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/Documents/Karriere/Jobs/2023_The_World_Bank/03_projects/05_Hydromet-Cambodia/data/Agriculture/"/>
    </mc:Choice>
  </mc:AlternateContent>
  <xr:revisionPtr revIDLastSave="0" documentId="13_ncr:1_{4267E48E-53FE-F94A-AC3F-C87D8640857A}" xr6:coauthVersionLast="47" xr6:coauthVersionMax="47" xr10:uidLastSave="{00000000-0000-0000-0000-000000000000}"/>
  <bookViews>
    <workbookView xWindow="-38400" yWindow="620" windowWidth="38400" windowHeight="20980" xr2:uid="{3B9D64EF-B6CA-BD4F-AF1A-D2E779AF33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H3" i="1"/>
  <c r="G3" i="1"/>
  <c r="E7" i="1"/>
  <c r="E5" i="1"/>
  <c r="E4" i="1"/>
  <c r="D4" i="1"/>
  <c r="D10" i="1" s="1"/>
  <c r="D5" i="1"/>
  <c r="D6" i="1" s="1"/>
  <c r="D7" i="1"/>
  <c r="C6" i="1"/>
  <c r="C8" i="1" s="1"/>
  <c r="G7" i="1" l="1"/>
  <c r="D8" i="1"/>
  <c r="H4" i="1"/>
  <c r="H5" i="1"/>
  <c r="H7" i="1"/>
  <c r="G5" i="1"/>
  <c r="G4" i="1"/>
  <c r="E6" i="1"/>
  <c r="E10" i="1"/>
  <c r="D9" i="1" l="1"/>
  <c r="G10" i="1"/>
  <c r="H10" i="1"/>
  <c r="G6" i="1"/>
  <c r="H6" i="1"/>
  <c r="E8" i="1"/>
  <c r="G8" i="1" l="1"/>
  <c r="E9" i="1"/>
  <c r="H8" i="1"/>
  <c r="G9" i="1" l="1"/>
  <c r="H9" i="1"/>
</calcChain>
</file>

<file path=xl/sharedStrings.xml><?xml version="1.0" encoding="utf-8"?>
<sst xmlns="http://schemas.openxmlformats.org/spreadsheetml/2006/main" count="27" uniqueCount="27">
  <si>
    <t>Vietnam</t>
  </si>
  <si>
    <t>Yield Y [t/ha]</t>
  </si>
  <si>
    <t>Price P [USD/t]</t>
  </si>
  <si>
    <t>Costs C [USD/ha]</t>
  </si>
  <si>
    <t>Revenue R [t/ha]</t>
  </si>
  <si>
    <t>Profit [USD/ha]</t>
  </si>
  <si>
    <t>Base</t>
  </si>
  <si>
    <t>No forecast</t>
  </si>
  <si>
    <t>Current forecast skill</t>
  </si>
  <si>
    <t>Perfect forecasts</t>
  </si>
  <si>
    <t>Forecast value [USD/ha]</t>
  </si>
  <si>
    <t>Profitability increase</t>
  </si>
  <si>
    <t>current to perfect FC (abs)</t>
  </si>
  <si>
    <t>current to perfect FC (rel)</t>
  </si>
  <si>
    <t>Sources</t>
  </si>
  <si>
    <t>Yield</t>
  </si>
  <si>
    <t>Forcast value</t>
  </si>
  <si>
    <t>An-Vo et al. (2021)</t>
  </si>
  <si>
    <t>Stuart et al. (2018)</t>
  </si>
  <si>
    <t>Costs</t>
  </si>
  <si>
    <t>Price</t>
  </si>
  <si>
    <t>An-Vo et al. (2021) from Devkota et al. (2019)</t>
  </si>
  <si>
    <t>An-Vo et al. (2021) from AGROINFO</t>
  </si>
  <si>
    <t>Assumptions</t>
  </si>
  <si>
    <t>Productivity (TFP) increase</t>
  </si>
  <si>
    <t>Increase in "value" is due to higher yields, while costs (, inputs) and prices remain constant --&gt; Then, increase in output is equivalent to increase in TFP</t>
  </si>
  <si>
    <t>percent of potential currently realized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</si>
</sst>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p\p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10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45D1-C717-0440-9EB0-62F0791FE56F}">
  <dimension ref="A2:H19"/>
  <sheetViews>
    <sheetView tabSelected="1" workbookViewId="0">
      <selection activeCell="J23" sqref="J23"/>
    </sheetView>
  </sheetViews>
  <sheetFormatPr baseColWidth="10" defaultRowHeight="16" x14ac:dyDescent="0.2"/>
  <cols>
    <col min="1" max="1" width="11.6640625" bestFit="1" customWidth="1"/>
    <col min="2" max="2" width="32.5" customWidth="1"/>
    <col min="3" max="3" width="10.6640625" bestFit="1" customWidth="1"/>
    <col min="4" max="4" width="18.1640625" customWidth="1"/>
    <col min="5" max="5" width="15" customWidth="1"/>
    <col min="7" max="7" width="23" bestFit="1" customWidth="1"/>
    <col min="8" max="8" width="22.33203125" bestFit="1" customWidth="1"/>
  </cols>
  <sheetData>
    <row r="2" spans="1:8" x14ac:dyDescent="0.2">
      <c r="B2" s="1" t="s">
        <v>6</v>
      </c>
      <c r="C2" s="1" t="s">
        <v>7</v>
      </c>
      <c r="D2" s="1" t="s">
        <v>8</v>
      </c>
      <c r="E2" s="1" t="s">
        <v>9</v>
      </c>
      <c r="G2" s="1" t="s">
        <v>12</v>
      </c>
      <c r="H2" s="1" t="s">
        <v>13</v>
      </c>
    </row>
    <row r="3" spans="1:8" x14ac:dyDescent="0.2">
      <c r="B3" s="2" t="s">
        <v>10</v>
      </c>
      <c r="C3">
        <v>0</v>
      </c>
      <c r="D3">
        <v>135</v>
      </c>
      <c r="E3">
        <v>220</v>
      </c>
      <c r="G3">
        <f>E3-D3</f>
        <v>85</v>
      </c>
      <c r="H3" s="3">
        <f>E3/D3-1</f>
        <v>0.62962962962962954</v>
      </c>
    </row>
    <row r="4" spans="1:8" x14ac:dyDescent="0.2">
      <c r="A4" t="s">
        <v>0</v>
      </c>
      <c r="B4" t="s">
        <v>1</v>
      </c>
      <c r="C4">
        <v>5.8</v>
      </c>
      <c r="D4">
        <f>D3/C5+C4</f>
        <v>6.3999999999999995</v>
      </c>
      <c r="E4" s="4">
        <f>E3/C5+C4</f>
        <v>6.7777777777777777</v>
      </c>
      <c r="G4" s="4">
        <f>E4-D4</f>
        <v>0.37777777777777821</v>
      </c>
      <c r="H4" s="3">
        <f>E4/D4-1</f>
        <v>5.9027777777777901E-2</v>
      </c>
    </row>
    <row r="5" spans="1:8" x14ac:dyDescent="0.2">
      <c r="B5" t="s">
        <v>2</v>
      </c>
      <c r="C5">
        <v>225</v>
      </c>
      <c r="D5">
        <f>C5</f>
        <v>225</v>
      </c>
      <c r="E5">
        <f>C5</f>
        <v>225</v>
      </c>
      <c r="G5" s="4">
        <f>E5-D5</f>
        <v>0</v>
      </c>
      <c r="H5" s="3">
        <f>E5/D5-1</f>
        <v>0</v>
      </c>
    </row>
    <row r="6" spans="1:8" x14ac:dyDescent="0.2">
      <c r="B6" t="s">
        <v>4</v>
      </c>
      <c r="C6">
        <f>C5*C4</f>
        <v>1305</v>
      </c>
      <c r="D6">
        <f>D5*D4</f>
        <v>1439.9999999999998</v>
      </c>
      <c r="E6">
        <f>E5*E4</f>
        <v>1525</v>
      </c>
      <c r="G6" s="4">
        <f>E6-D6</f>
        <v>85.000000000000227</v>
      </c>
      <c r="H6" s="3">
        <f>E6/D6-1</f>
        <v>5.9027777777777901E-2</v>
      </c>
    </row>
    <row r="7" spans="1:8" x14ac:dyDescent="0.2">
      <c r="B7" t="s">
        <v>3</v>
      </c>
      <c r="C7">
        <v>461</v>
      </c>
      <c r="D7">
        <f>C7</f>
        <v>461</v>
      </c>
      <c r="E7">
        <f>C7</f>
        <v>461</v>
      </c>
      <c r="G7" s="4">
        <f>E7-D7</f>
        <v>0</v>
      </c>
      <c r="H7" s="3">
        <f>E7/D7-1</f>
        <v>0</v>
      </c>
    </row>
    <row r="8" spans="1:8" x14ac:dyDescent="0.2">
      <c r="B8" t="s">
        <v>5</v>
      </c>
      <c r="C8">
        <f>C6-C7</f>
        <v>844</v>
      </c>
      <c r="D8">
        <f>D6-D7</f>
        <v>978.99999999999977</v>
      </c>
      <c r="E8">
        <f>E6-E7</f>
        <v>1064</v>
      </c>
      <c r="G8" s="4">
        <f>E8-D8</f>
        <v>85.000000000000227</v>
      </c>
      <c r="H8" s="3">
        <f>E8/D8-1</f>
        <v>8.6823289070480314E-2</v>
      </c>
    </row>
    <row r="9" spans="1:8" x14ac:dyDescent="0.2">
      <c r="B9" t="s">
        <v>11</v>
      </c>
      <c r="C9">
        <v>0</v>
      </c>
      <c r="D9" s="3">
        <f>(D8/C8-1)</f>
        <v>0.15995260663507072</v>
      </c>
      <c r="E9" s="3">
        <f>(E8/C8-1)</f>
        <v>0.26066350710900466</v>
      </c>
      <c r="G9" s="5">
        <f>(E9-D9)*100</f>
        <v>10.071090047393394</v>
      </c>
      <c r="H9" s="3">
        <f>E9/D9-1</f>
        <v>0.62962962962963287</v>
      </c>
    </row>
    <row r="10" spans="1:8" x14ac:dyDescent="0.2">
      <c r="B10" t="s">
        <v>24</v>
      </c>
      <c r="C10">
        <v>0</v>
      </c>
      <c r="D10" s="3">
        <f>(D4/C4-1)</f>
        <v>0.10344827586206895</v>
      </c>
      <c r="E10" s="3">
        <f>(E4/C4-1)</f>
        <v>0.16858237547892729</v>
      </c>
      <c r="G10" s="5">
        <f>(E10-D10)*100</f>
        <v>6.5134099616858343</v>
      </c>
      <c r="H10" s="3">
        <f>E10/D10-1</f>
        <v>0.62962962962963065</v>
      </c>
    </row>
    <row r="11" spans="1:8" x14ac:dyDescent="0.2">
      <c r="D11" s="3"/>
      <c r="E11" s="3"/>
      <c r="G11" s="5"/>
      <c r="H11" s="3"/>
    </row>
    <row r="12" spans="1:8" x14ac:dyDescent="0.2">
      <c r="B12" t="s">
        <v>26</v>
      </c>
      <c r="D12" s="3">
        <f>D10/E10</f>
        <v>0.6136363636363632</v>
      </c>
      <c r="E12" s="3"/>
      <c r="G12" s="5"/>
      <c r="H12" s="3"/>
    </row>
    <row r="14" spans="1:8" x14ac:dyDescent="0.2">
      <c r="A14" t="s">
        <v>23</v>
      </c>
      <c r="B14" t="s">
        <v>25</v>
      </c>
    </row>
    <row r="16" spans="1:8" x14ac:dyDescent="0.2">
      <c r="A16" t="s">
        <v>14</v>
      </c>
      <c r="B16" t="s">
        <v>16</v>
      </c>
      <c r="C16" t="s">
        <v>17</v>
      </c>
    </row>
    <row r="17" spans="2:3" x14ac:dyDescent="0.2">
      <c r="B17" t="s">
        <v>15</v>
      </c>
      <c r="C17" t="s">
        <v>18</v>
      </c>
    </row>
    <row r="18" spans="2:3" x14ac:dyDescent="0.2">
      <c r="B18" t="s">
        <v>20</v>
      </c>
      <c r="C18" t="s">
        <v>21</v>
      </c>
    </row>
    <row r="19" spans="2:3" x14ac:dyDescent="0.2">
      <c r="B19" t="s">
        <v>19</v>
      </c>
      <c r="C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Middelanis</dc:creator>
  <cp:lastModifiedBy>Robin Middelanis</cp:lastModifiedBy>
  <dcterms:created xsi:type="dcterms:W3CDTF">2025-10-24T09:53:55Z</dcterms:created>
  <dcterms:modified xsi:type="dcterms:W3CDTF">2025-10-24T12:27:39Z</dcterms:modified>
</cp:coreProperties>
</file>