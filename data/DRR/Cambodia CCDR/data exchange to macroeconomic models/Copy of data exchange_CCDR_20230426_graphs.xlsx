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/Documents/Karriere/Jobs/2023_The_World_Bank/03_projects/05_Hydromet-Cambodia/data/DRR/Cambodia CCDR/data exchange to macroeconomic models/"/>
    </mc:Choice>
  </mc:AlternateContent>
  <xr:revisionPtr revIDLastSave="0" documentId="13_ncr:1_{9E77B47C-74BD-1941-A287-AB1D5D8D13A0}" xr6:coauthVersionLast="47" xr6:coauthVersionMax="47" xr10:uidLastSave="{00000000-0000-0000-0000-000000000000}"/>
  <bookViews>
    <workbookView xWindow="0" yWindow="680" windowWidth="29400" windowHeight="17340" tabRatio="864" xr2:uid="{EA58DB0F-896D-4CE3-BD5F-87C5A342EB24}"/>
  </bookViews>
  <sheets>
    <sheet name="Flood (national AAL PML)" sheetId="1" r:id="rId1"/>
    <sheet name="Drought (national AAL PML)" sheetId="2" r:id="rId2"/>
    <sheet name="Flood Affected Population" sheetId="3" r:id="rId3"/>
    <sheet name="Drought Affected Population" sheetId="7" r:id="rId4"/>
    <sheet name="Flood AAL (admin 1)" sheetId="5" r:id="rId5"/>
    <sheet name="Drought AAL (admin 1)" sheetId="8" r:id="rId6"/>
    <sheet name="graph_AALpop" sheetId="11" r:id="rId7"/>
    <sheet name="graph_AALeconomic" sheetId="12" r:id="rId8"/>
    <sheet name="graph_AALbua" sheetId="18" r:id="rId9"/>
    <sheet name="graph_PMLpop" sheetId="14" r:id="rId10"/>
    <sheet name="graph_PMLeco" sheetId="9" r:id="rId11"/>
    <sheet name="graph_PMLbua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1" l="1"/>
  <c r="B77" i="1"/>
  <c r="B55" i="1"/>
  <c r="B44" i="1"/>
  <c r="B33" i="1"/>
  <c r="B22" i="1"/>
  <c r="B11" i="1"/>
  <c r="U11" i="14"/>
  <c r="U9" i="14"/>
  <c r="H31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7" i="3"/>
  <c r="C5" i="18"/>
  <c r="K4" i="18"/>
  <c r="K3" i="18"/>
  <c r="C4" i="18"/>
  <c r="C3" i="18"/>
  <c r="K5" i="18"/>
  <c r="J5" i="18"/>
  <c r="I5" i="18"/>
  <c r="H5" i="18"/>
  <c r="G5" i="18"/>
  <c r="F5" i="18"/>
  <c r="E5" i="18"/>
  <c r="Q4" i="18"/>
  <c r="P4" i="18"/>
  <c r="O4" i="18"/>
  <c r="N4" i="18"/>
  <c r="M4" i="18"/>
  <c r="J4" i="18"/>
  <c r="R4" i="18" s="1"/>
  <c r="I4" i="18"/>
  <c r="H4" i="18"/>
  <c r="G4" i="18"/>
  <c r="F4" i="18"/>
  <c r="E4" i="18"/>
  <c r="O3" i="18"/>
  <c r="N3" i="18"/>
  <c r="M3" i="18"/>
  <c r="J3" i="18"/>
  <c r="R3" i="18" s="1"/>
  <c r="I3" i="18"/>
  <c r="Q3" i="18" s="1"/>
  <c r="H3" i="18"/>
  <c r="P3" i="18" s="1"/>
  <c r="G3" i="18"/>
  <c r="F3" i="18"/>
  <c r="E3" i="18"/>
  <c r="K4" i="12"/>
  <c r="K3" i="12"/>
  <c r="C5" i="12"/>
  <c r="C4" i="12"/>
  <c r="C3" i="12"/>
  <c r="M13" i="15"/>
  <c r="L13" i="15"/>
  <c r="K13" i="15"/>
  <c r="N13" i="15" s="1"/>
  <c r="I13" i="15"/>
  <c r="H13" i="15"/>
  <c r="G13" i="15"/>
  <c r="M12" i="15"/>
  <c r="L12" i="15"/>
  <c r="K12" i="15"/>
  <c r="I12" i="15"/>
  <c r="H12" i="15"/>
  <c r="G12" i="15"/>
  <c r="M11" i="15"/>
  <c r="L11" i="15"/>
  <c r="K11" i="15"/>
  <c r="N11" i="15" s="1"/>
  <c r="I11" i="15"/>
  <c r="H11" i="15"/>
  <c r="G11" i="15"/>
  <c r="M10" i="15"/>
  <c r="L10" i="15"/>
  <c r="K10" i="15"/>
  <c r="I10" i="15"/>
  <c r="H10" i="15"/>
  <c r="G10" i="15"/>
  <c r="M7" i="15"/>
  <c r="L7" i="15"/>
  <c r="K7" i="15"/>
  <c r="N7" i="15" s="1"/>
  <c r="I7" i="15"/>
  <c r="H7" i="15"/>
  <c r="G7" i="15"/>
  <c r="J7" i="15" s="1"/>
  <c r="E7" i="15"/>
  <c r="D7" i="15"/>
  <c r="C7" i="15"/>
  <c r="M6" i="15"/>
  <c r="L6" i="15"/>
  <c r="K6" i="15"/>
  <c r="N6" i="15" s="1"/>
  <c r="I6" i="15"/>
  <c r="H6" i="15"/>
  <c r="G6" i="15"/>
  <c r="E6" i="15"/>
  <c r="D6" i="15"/>
  <c r="C6" i="15"/>
  <c r="F6" i="15" s="1"/>
  <c r="M5" i="15"/>
  <c r="L5" i="15"/>
  <c r="K5" i="15"/>
  <c r="I5" i="15"/>
  <c r="H5" i="15"/>
  <c r="G5" i="15"/>
  <c r="J5" i="15" s="1"/>
  <c r="E5" i="15"/>
  <c r="D5" i="15"/>
  <c r="C5" i="15"/>
  <c r="F5" i="15" s="1"/>
  <c r="M4" i="15"/>
  <c r="L4" i="15"/>
  <c r="K4" i="15"/>
  <c r="I4" i="15"/>
  <c r="H4" i="15"/>
  <c r="G4" i="15"/>
  <c r="E4" i="15"/>
  <c r="D4" i="15"/>
  <c r="C4" i="15"/>
  <c r="F4" i="15" s="1"/>
  <c r="Q11" i="9"/>
  <c r="R11" i="9"/>
  <c r="S11" i="9"/>
  <c r="T11" i="9"/>
  <c r="U11" i="9"/>
  <c r="V11" i="9"/>
  <c r="Q12" i="9"/>
  <c r="R12" i="9"/>
  <c r="S12" i="9"/>
  <c r="T12" i="9"/>
  <c r="U12" i="9"/>
  <c r="V12" i="9"/>
  <c r="Q13" i="9"/>
  <c r="R13" i="9"/>
  <c r="S13" i="9"/>
  <c r="T13" i="9"/>
  <c r="U13" i="9"/>
  <c r="V13" i="9"/>
  <c r="V10" i="9"/>
  <c r="U10" i="9"/>
  <c r="T10" i="9"/>
  <c r="S10" i="9"/>
  <c r="R10" i="9"/>
  <c r="Q10" i="9"/>
  <c r="J11" i="9"/>
  <c r="P11" i="9" s="1"/>
  <c r="K11" i="9"/>
  <c r="L11" i="9"/>
  <c r="M11" i="9"/>
  <c r="N11" i="9"/>
  <c r="O11" i="9"/>
  <c r="J12" i="9"/>
  <c r="K12" i="9"/>
  <c r="L12" i="9"/>
  <c r="M12" i="9"/>
  <c r="N12" i="9"/>
  <c r="O12" i="9"/>
  <c r="J13" i="9"/>
  <c r="K13" i="9"/>
  <c r="L13" i="9"/>
  <c r="M13" i="9"/>
  <c r="N13" i="9"/>
  <c r="O13" i="9"/>
  <c r="O10" i="9"/>
  <c r="N10" i="9"/>
  <c r="M10" i="9"/>
  <c r="L10" i="9"/>
  <c r="J10" i="9"/>
  <c r="K10" i="9"/>
  <c r="J5" i="9"/>
  <c r="K5" i="9"/>
  <c r="L5" i="9"/>
  <c r="M5" i="9"/>
  <c r="N5" i="9"/>
  <c r="O5" i="9"/>
  <c r="J6" i="9"/>
  <c r="K6" i="9"/>
  <c r="L6" i="9"/>
  <c r="M6" i="9"/>
  <c r="N6" i="9"/>
  <c r="O6" i="9"/>
  <c r="J7" i="9"/>
  <c r="K7" i="9"/>
  <c r="L7" i="9"/>
  <c r="M7" i="9"/>
  <c r="N7" i="9"/>
  <c r="O7" i="9"/>
  <c r="O4" i="9"/>
  <c r="N4" i="9"/>
  <c r="M4" i="9"/>
  <c r="L4" i="9"/>
  <c r="K4" i="9"/>
  <c r="J4" i="9"/>
  <c r="P4" i="9" s="1"/>
  <c r="V5" i="9"/>
  <c r="V6" i="9"/>
  <c r="V7" i="9"/>
  <c r="V4" i="9"/>
  <c r="U5" i="9"/>
  <c r="U6" i="9"/>
  <c r="U7" i="9"/>
  <c r="U4" i="9"/>
  <c r="T5" i="9"/>
  <c r="T6" i="9"/>
  <c r="T7" i="9"/>
  <c r="T4" i="9"/>
  <c r="S5" i="9"/>
  <c r="S6" i="9"/>
  <c r="S7" i="9"/>
  <c r="S4" i="9"/>
  <c r="R5" i="9"/>
  <c r="R6" i="9"/>
  <c r="R7" i="9"/>
  <c r="R4" i="9"/>
  <c r="Q5" i="9"/>
  <c r="W5" i="9" s="1"/>
  <c r="Q6" i="9"/>
  <c r="W6" i="9" s="1"/>
  <c r="Q7" i="9"/>
  <c r="W7" i="9" s="1"/>
  <c r="Q4" i="9"/>
  <c r="H5" i="9"/>
  <c r="H6" i="9"/>
  <c r="H7" i="9"/>
  <c r="H4" i="9"/>
  <c r="G5" i="9"/>
  <c r="G6" i="9"/>
  <c r="G7" i="9"/>
  <c r="G4" i="9"/>
  <c r="F5" i="9"/>
  <c r="F6" i="9"/>
  <c r="F7" i="9"/>
  <c r="F4" i="9"/>
  <c r="E5" i="9"/>
  <c r="E6" i="9"/>
  <c r="E7" i="9"/>
  <c r="E4" i="9"/>
  <c r="D5" i="9"/>
  <c r="D6" i="9"/>
  <c r="D7" i="9"/>
  <c r="D4" i="9"/>
  <c r="C5" i="9"/>
  <c r="I5" i="9" s="1"/>
  <c r="C6" i="9"/>
  <c r="I6" i="9" s="1"/>
  <c r="C7" i="9"/>
  <c r="C4" i="9"/>
  <c r="I4" i="9" s="1"/>
  <c r="H95" i="1"/>
  <c r="I95" i="1"/>
  <c r="J95" i="1"/>
  <c r="K95" i="1"/>
  <c r="L95" i="1"/>
  <c r="M95" i="1"/>
  <c r="N95" i="1"/>
  <c r="O95" i="1"/>
  <c r="P95" i="1"/>
  <c r="Q95" i="1"/>
  <c r="R95" i="1"/>
  <c r="S95" i="1"/>
  <c r="H96" i="1"/>
  <c r="I96" i="1"/>
  <c r="J96" i="1"/>
  <c r="K96" i="1"/>
  <c r="L96" i="1"/>
  <c r="M96" i="1"/>
  <c r="N96" i="1"/>
  <c r="O96" i="1"/>
  <c r="P96" i="1"/>
  <c r="Q96" i="1"/>
  <c r="R96" i="1"/>
  <c r="S96" i="1"/>
  <c r="H97" i="1"/>
  <c r="I97" i="1"/>
  <c r="J97" i="1"/>
  <c r="K97" i="1"/>
  <c r="L97" i="1"/>
  <c r="M97" i="1"/>
  <c r="N97" i="1"/>
  <c r="O97" i="1"/>
  <c r="P97" i="1"/>
  <c r="Q97" i="1"/>
  <c r="R97" i="1"/>
  <c r="S97" i="1"/>
  <c r="H98" i="1"/>
  <c r="I98" i="1"/>
  <c r="J98" i="1"/>
  <c r="K98" i="1"/>
  <c r="L98" i="1"/>
  <c r="M98" i="1"/>
  <c r="N98" i="1"/>
  <c r="O98" i="1"/>
  <c r="P98" i="1"/>
  <c r="Q98" i="1"/>
  <c r="R98" i="1"/>
  <c r="S98" i="1"/>
  <c r="I94" i="1"/>
  <c r="J94" i="1"/>
  <c r="K94" i="1"/>
  <c r="L94" i="1"/>
  <c r="M94" i="1"/>
  <c r="N94" i="1"/>
  <c r="O94" i="1"/>
  <c r="P94" i="1"/>
  <c r="Q94" i="1"/>
  <c r="R94" i="1"/>
  <c r="S94" i="1"/>
  <c r="H94" i="1"/>
  <c r="O4" i="12"/>
  <c r="N4" i="12"/>
  <c r="M4" i="12"/>
  <c r="O3" i="12"/>
  <c r="N3" i="12"/>
  <c r="M3" i="12"/>
  <c r="P4" i="12"/>
  <c r="Q4" i="12"/>
  <c r="R4" i="12"/>
  <c r="H73" i="1"/>
  <c r="I73" i="1"/>
  <c r="J73" i="1"/>
  <c r="K73" i="1"/>
  <c r="L73" i="1"/>
  <c r="M73" i="1"/>
  <c r="N73" i="1"/>
  <c r="O73" i="1"/>
  <c r="P73" i="1"/>
  <c r="Q73" i="1"/>
  <c r="R73" i="1"/>
  <c r="S73" i="1"/>
  <c r="H74" i="1"/>
  <c r="I74" i="1"/>
  <c r="J74" i="1"/>
  <c r="K74" i="1"/>
  <c r="L74" i="1"/>
  <c r="M74" i="1"/>
  <c r="N74" i="1"/>
  <c r="O74" i="1"/>
  <c r="P74" i="1"/>
  <c r="Q74" i="1"/>
  <c r="R74" i="1"/>
  <c r="S74" i="1"/>
  <c r="H75" i="1"/>
  <c r="I75" i="1"/>
  <c r="J75" i="1"/>
  <c r="K75" i="1"/>
  <c r="L75" i="1"/>
  <c r="M75" i="1"/>
  <c r="N75" i="1"/>
  <c r="O75" i="1"/>
  <c r="P75" i="1"/>
  <c r="Q75" i="1"/>
  <c r="R75" i="1"/>
  <c r="S75" i="1"/>
  <c r="H76" i="1"/>
  <c r="I76" i="1"/>
  <c r="J76" i="1"/>
  <c r="K76" i="1"/>
  <c r="L76" i="1"/>
  <c r="M76" i="1"/>
  <c r="N76" i="1"/>
  <c r="O76" i="1"/>
  <c r="P76" i="1"/>
  <c r="Q76" i="1"/>
  <c r="R76" i="1"/>
  <c r="S76" i="1"/>
  <c r="I72" i="1"/>
  <c r="J72" i="1"/>
  <c r="K72" i="1"/>
  <c r="L72" i="1"/>
  <c r="M72" i="1"/>
  <c r="N72" i="1"/>
  <c r="O72" i="1"/>
  <c r="P72" i="1"/>
  <c r="Q72" i="1"/>
  <c r="R72" i="1"/>
  <c r="S72" i="1"/>
  <c r="H72" i="1"/>
  <c r="Q3" i="12"/>
  <c r="R3" i="12"/>
  <c r="P3" i="12"/>
  <c r="K5" i="12"/>
  <c r="J4" i="12"/>
  <c r="I4" i="12"/>
  <c r="H4" i="12"/>
  <c r="G4" i="12"/>
  <c r="F4" i="12"/>
  <c r="E4" i="12"/>
  <c r="H51" i="1"/>
  <c r="I51" i="1"/>
  <c r="J51" i="1"/>
  <c r="K51" i="1"/>
  <c r="L51" i="1"/>
  <c r="M51" i="1"/>
  <c r="N51" i="1"/>
  <c r="O51" i="1"/>
  <c r="P51" i="1"/>
  <c r="Q51" i="1"/>
  <c r="R51" i="1"/>
  <c r="S51" i="1"/>
  <c r="H52" i="1"/>
  <c r="I52" i="1"/>
  <c r="J52" i="1"/>
  <c r="K52" i="1"/>
  <c r="L52" i="1"/>
  <c r="M52" i="1"/>
  <c r="N52" i="1"/>
  <c r="O52" i="1"/>
  <c r="P52" i="1"/>
  <c r="Q52" i="1"/>
  <c r="R52" i="1"/>
  <c r="S52" i="1"/>
  <c r="H53" i="1"/>
  <c r="I53" i="1"/>
  <c r="J53" i="1"/>
  <c r="K53" i="1"/>
  <c r="L53" i="1"/>
  <c r="M53" i="1"/>
  <c r="N53" i="1"/>
  <c r="O53" i="1"/>
  <c r="P53" i="1"/>
  <c r="Q53" i="1"/>
  <c r="R53" i="1"/>
  <c r="S53" i="1"/>
  <c r="H54" i="1"/>
  <c r="I54" i="1"/>
  <c r="J54" i="1"/>
  <c r="K54" i="1"/>
  <c r="L54" i="1"/>
  <c r="M54" i="1"/>
  <c r="N54" i="1"/>
  <c r="O54" i="1"/>
  <c r="P54" i="1"/>
  <c r="Q54" i="1"/>
  <c r="R54" i="1"/>
  <c r="S54" i="1"/>
  <c r="I50" i="1"/>
  <c r="J50" i="1"/>
  <c r="K50" i="1"/>
  <c r="L50" i="1"/>
  <c r="M50" i="1"/>
  <c r="N50" i="1"/>
  <c r="O50" i="1"/>
  <c r="P50" i="1"/>
  <c r="Q50" i="1"/>
  <c r="R50" i="1"/>
  <c r="S50" i="1"/>
  <c r="H50" i="1"/>
  <c r="J3" i="12"/>
  <c r="I3" i="12"/>
  <c r="H3" i="12"/>
  <c r="G3" i="12"/>
  <c r="F3" i="12"/>
  <c r="E3" i="12"/>
  <c r="H29" i="1"/>
  <c r="I29" i="1"/>
  <c r="J29" i="1"/>
  <c r="K29" i="1"/>
  <c r="L29" i="1"/>
  <c r="M29" i="1"/>
  <c r="N29" i="1"/>
  <c r="O29" i="1"/>
  <c r="P29" i="1"/>
  <c r="Q29" i="1"/>
  <c r="R29" i="1"/>
  <c r="S29" i="1"/>
  <c r="H30" i="1"/>
  <c r="I30" i="1"/>
  <c r="J30" i="1"/>
  <c r="K30" i="1"/>
  <c r="L30" i="1"/>
  <c r="M30" i="1"/>
  <c r="N30" i="1"/>
  <c r="O30" i="1"/>
  <c r="P30" i="1"/>
  <c r="Q30" i="1"/>
  <c r="R30" i="1"/>
  <c r="S30" i="1"/>
  <c r="H31" i="1"/>
  <c r="I31" i="1"/>
  <c r="J31" i="1"/>
  <c r="K31" i="1"/>
  <c r="L31" i="1"/>
  <c r="M31" i="1"/>
  <c r="N31" i="1"/>
  <c r="O31" i="1"/>
  <c r="P31" i="1"/>
  <c r="Q31" i="1"/>
  <c r="R31" i="1"/>
  <c r="S31" i="1"/>
  <c r="H32" i="1"/>
  <c r="I32" i="1"/>
  <c r="J32" i="1"/>
  <c r="K32" i="1"/>
  <c r="L32" i="1"/>
  <c r="M32" i="1"/>
  <c r="N32" i="1"/>
  <c r="O32" i="1"/>
  <c r="P32" i="1"/>
  <c r="Q32" i="1"/>
  <c r="R32" i="1"/>
  <c r="S32" i="1"/>
  <c r="I28" i="1"/>
  <c r="J28" i="1"/>
  <c r="K28" i="1"/>
  <c r="L28" i="1"/>
  <c r="M28" i="1"/>
  <c r="N28" i="1"/>
  <c r="O28" i="1"/>
  <c r="P28" i="1"/>
  <c r="Q28" i="1"/>
  <c r="R28" i="1"/>
  <c r="S28" i="1"/>
  <c r="H28" i="1"/>
  <c r="J5" i="12"/>
  <c r="I5" i="12"/>
  <c r="H5" i="12"/>
  <c r="G5" i="12"/>
  <c r="F5" i="12"/>
  <c r="E5" i="12"/>
  <c r="F3" i="11"/>
  <c r="E3" i="11"/>
  <c r="F4" i="11"/>
  <c r="E4" i="11"/>
  <c r="D5" i="11"/>
  <c r="D4" i="11"/>
  <c r="C4" i="11"/>
  <c r="D3" i="11"/>
  <c r="C3" i="11"/>
  <c r="B32" i="3"/>
  <c r="C5" i="11" s="1"/>
  <c r="F7" i="15" l="1"/>
  <c r="N4" i="15"/>
  <c r="J4" i="15"/>
  <c r="N10" i="15"/>
  <c r="J10" i="15"/>
  <c r="J6" i="15"/>
  <c r="J13" i="15"/>
  <c r="N5" i="15"/>
  <c r="J12" i="15"/>
  <c r="N12" i="15"/>
  <c r="J11" i="15"/>
  <c r="P12" i="9"/>
  <c r="P7" i="9"/>
  <c r="W13" i="9"/>
  <c r="I7" i="9"/>
  <c r="P6" i="9"/>
  <c r="W12" i="9"/>
  <c r="P13" i="9"/>
  <c r="W11" i="9"/>
  <c r="P5" i="9"/>
  <c r="W4" i="9"/>
  <c r="W10" i="9"/>
  <c r="P10" i="9"/>
</calcChain>
</file>

<file path=xl/sharedStrings.xml><?xml version="1.0" encoding="utf-8"?>
<sst xmlns="http://schemas.openxmlformats.org/spreadsheetml/2006/main" count="638" uniqueCount="86">
  <si>
    <t xml:space="preserve">Base year 2020 (no climate change) </t>
  </si>
  <si>
    <t>RP</t>
  </si>
  <si>
    <t>Housing</t>
  </si>
  <si>
    <t>Services Sector</t>
  </si>
  <si>
    <t xml:space="preserve">Productive Sector </t>
  </si>
  <si>
    <t>Roads</t>
  </si>
  <si>
    <t>Schools</t>
  </si>
  <si>
    <t>Health Centers</t>
  </si>
  <si>
    <t>US$ million</t>
  </si>
  <si>
    <t xml:space="preserve">% of total asset value </t>
  </si>
  <si>
    <t>km</t>
  </si>
  <si>
    <t>% of asset</t>
  </si>
  <si>
    <t>Number</t>
  </si>
  <si>
    <t>AAL</t>
  </si>
  <si>
    <t>Year 2050 (SSP585, no adaptation, no socio-economic projections)</t>
  </si>
  <si>
    <t>Year 2050 (SSP585, no adaptation, with socio-economic projections)</t>
  </si>
  <si>
    <t>Year 2050 (SSP126, no adaptation, no socio-economic projections)</t>
  </si>
  <si>
    <t>Year 2050 (SSP126,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</si>
  <si>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</si>
  <si>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</si>
  <si>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with adaptation, no socio-economic projections)</t>
  </si>
  <si>
    <t>Year 2050 (SSP126, with adaptation, with socio-economic projections)</t>
  </si>
  <si>
    <t>asset 1</t>
  </si>
  <si>
    <t>asset 2</t>
  </si>
  <si>
    <t>asset 3</t>
  </si>
  <si>
    <t>Base year</t>
  </si>
  <si>
    <t>no adaptation</t>
  </si>
  <si>
    <t>with adaptation</t>
  </si>
  <si>
    <t>SSP126</t>
  </si>
  <si>
    <t>SSP585</t>
  </si>
  <si>
    <t>no socio-economic projections</t>
  </si>
  <si>
    <t>with socio-economic projections</t>
  </si>
  <si>
    <t xml:space="preserve">Number </t>
  </si>
  <si>
    <t>%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</si>
  <si>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</si>
  <si>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</si>
  <si>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</si>
  <si>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</si>
  <si>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</si>
  <si>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</si>
  <si>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</si>
  <si>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</si>
  <si>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</si>
  <si>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</si>
  <si>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</si>
  <si>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</si>
  <si>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</si>
  <si>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</si>
  <si>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</si>
  <si>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</si>
  <si>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</si>
  <si>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</si>
  <si>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</si>
  <si>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</si>
  <si>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</si>
  <si>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</si>
  <si>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</si>
  <si>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</si>
  <si>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</si>
  <si>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</si>
  <si>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  AAL [million$]</t>
  </si>
  <si>
    <t>NO ADAPTATION</t>
  </si>
  <si>
    <t>WITH ADAPTATION</t>
  </si>
  <si>
    <t>Scenario</t>
  </si>
  <si>
    <t>People Affected</t>
  </si>
  <si>
    <t>Future Climate 
SSP585 &amp; SEP</t>
  </si>
  <si>
    <t>Future Climate 
SSP126 &amp; SEP</t>
  </si>
  <si>
    <t>Present Climate</t>
  </si>
  <si>
    <t>Direct Loss total $</t>
  </si>
  <si>
    <t>housing</t>
  </si>
  <si>
    <t>service</t>
  </si>
  <si>
    <t>industrial</t>
  </si>
  <si>
    <t>transportation</t>
  </si>
  <si>
    <t>school</t>
  </si>
  <si>
    <t>health</t>
  </si>
  <si>
    <t>Return Period</t>
  </si>
  <si>
    <t>POP 2020 - Current Climate</t>
  </si>
  <si>
    <t>POP 2050 - SSP 126 - Projected</t>
  </si>
  <si>
    <t>POP 2050 - SSP 126 - Mitigated</t>
  </si>
  <si>
    <t>POP 2050 - SSP 585 - Projected</t>
  </si>
  <si>
    <t>POP 2050 - SSP 585 - Mitigated</t>
  </si>
  <si>
    <t>present</t>
  </si>
  <si>
    <t>future SSP126</t>
  </si>
  <si>
    <t>future SSP585</t>
  </si>
  <si>
    <t>productive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</si>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</sst>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</cellStyleXfs>
  <cellXfs count="12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2" xfId="0" applyNumberFormat="1" applyFill="1" applyBorder="1"/>
    <xf numFmtId="165" fontId="0" fillId="2" borderId="0" xfId="0" applyNumberFormat="1" applyFill="1"/>
    <xf numFmtId="165" fontId="0" fillId="2" borderId="3" xfId="0" applyNumberFormat="1" applyFill="1" applyBorder="1"/>
    <xf numFmtId="165" fontId="0" fillId="2" borderId="2" xfId="0" applyNumberFormat="1" applyFill="1" applyBorder="1"/>
    <xf numFmtId="1" fontId="4" fillId="2" borderId="0" xfId="0" applyNumberFormat="1" applyFont="1" applyFill="1"/>
    <xf numFmtId="2" fontId="0" fillId="2" borderId="11" xfId="0" applyNumberFormat="1" applyFill="1" applyBorder="1"/>
    <xf numFmtId="2" fontId="0" fillId="2" borderId="7" xfId="0" applyNumberFormat="1" applyFill="1" applyBorder="1"/>
    <xf numFmtId="2" fontId="0" fillId="2" borderId="6" xfId="0" applyNumberFormat="1" applyFill="1" applyBorder="1"/>
    <xf numFmtId="0" fontId="1" fillId="3" borderId="0" xfId="0" applyFont="1" applyFill="1"/>
    <xf numFmtId="0" fontId="1" fillId="3" borderId="3" xfId="0" applyFont="1" applyFill="1" applyBorder="1"/>
    <xf numFmtId="1" fontId="4" fillId="4" borderId="0" xfId="0" applyNumberFormat="1" applyFont="1" applyFill="1"/>
    <xf numFmtId="2" fontId="0" fillId="4" borderId="0" xfId="0" applyNumberFormat="1" applyFill="1"/>
    <xf numFmtId="1" fontId="0" fillId="4" borderId="2" xfId="0" applyNumberFormat="1" applyFill="1" applyBorder="1"/>
    <xf numFmtId="2" fontId="0" fillId="4" borderId="2" xfId="0" applyNumberFormat="1" applyFill="1" applyBorder="1"/>
    <xf numFmtId="165" fontId="0" fillId="4" borderId="0" xfId="0" applyNumberFormat="1" applyFill="1"/>
    <xf numFmtId="165" fontId="0" fillId="4" borderId="3" xfId="0" applyNumberFormat="1" applyFill="1" applyBorder="1"/>
    <xf numFmtId="165" fontId="0" fillId="4" borderId="2" xfId="0" applyNumberFormat="1" applyFill="1" applyBorder="1"/>
    <xf numFmtId="0" fontId="1" fillId="2" borderId="1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vertical="center"/>
    </xf>
    <xf numFmtId="2" fontId="1" fillId="2" borderId="0" xfId="0" applyNumberFormat="1" applyFont="1" applyFill="1"/>
    <xf numFmtId="165" fontId="1" fillId="2" borderId="0" xfId="0" applyNumberFormat="1" applyFont="1" applyFill="1"/>
    <xf numFmtId="0" fontId="1" fillId="2" borderId="3" xfId="0" applyFont="1" applyFill="1" applyBorder="1"/>
    <xf numFmtId="165" fontId="1" fillId="2" borderId="3" xfId="0" applyNumberFormat="1" applyFont="1" applyFill="1" applyBorder="1"/>
    <xf numFmtId="2" fontId="1" fillId="2" borderId="3" xfId="0" applyNumberFormat="1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2" fontId="0" fillId="2" borderId="3" xfId="0" applyNumberFormat="1" applyFill="1" applyBorder="1"/>
    <xf numFmtId="1" fontId="1" fillId="2" borderId="0" xfId="0" applyNumberFormat="1" applyFont="1" applyFill="1"/>
    <xf numFmtId="1" fontId="0" fillId="2" borderId="0" xfId="0" applyNumberFormat="1" applyFill="1"/>
    <xf numFmtId="1" fontId="1" fillId="2" borderId="3" xfId="0" applyNumberFormat="1" applyFont="1" applyFill="1" applyBorder="1"/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6" fillId="0" borderId="0" xfId="0" applyFont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 applyAlignment="1">
      <alignment horizontal="right"/>
    </xf>
    <xf numFmtId="0" fontId="6" fillId="0" borderId="14" xfId="0" applyFont="1" applyBorder="1"/>
    <xf numFmtId="0" fontId="6" fillId="0" borderId="15" xfId="0" applyFont="1" applyBorder="1"/>
    <xf numFmtId="0" fontId="0" fillId="0" borderId="16" xfId="0" applyBorder="1" applyAlignment="1">
      <alignment wrapText="1"/>
    </xf>
    <xf numFmtId="166" fontId="0" fillId="0" borderId="17" xfId="1" applyNumberFormat="1" applyFont="1" applyBorder="1"/>
    <xf numFmtId="0" fontId="0" fillId="0" borderId="18" xfId="0" applyBorder="1"/>
    <xf numFmtId="0" fontId="0" fillId="0" borderId="16" xfId="0" applyBorder="1" applyAlignment="1">
      <alignment horizontal="left" wrapText="1"/>
    </xf>
    <xf numFmtId="0" fontId="0" fillId="0" borderId="19" xfId="0" applyBorder="1"/>
    <xf numFmtId="166" fontId="0" fillId="0" borderId="20" xfId="1" applyNumberFormat="1" applyFont="1" applyBorder="1"/>
    <xf numFmtId="0" fontId="0" fillId="0" borderId="20" xfId="0" applyBorder="1"/>
    <xf numFmtId="0" fontId="0" fillId="0" borderId="22" xfId="0" applyBorder="1"/>
    <xf numFmtId="1" fontId="0" fillId="5" borderId="2" xfId="0" applyNumberFormat="1" applyFill="1" applyBorder="1"/>
    <xf numFmtId="2" fontId="0" fillId="5" borderId="6" xfId="0" applyNumberFormat="1" applyFill="1" applyBorder="1"/>
    <xf numFmtId="0" fontId="6" fillId="0" borderId="15" xfId="0" applyFont="1" applyBorder="1" applyAlignment="1">
      <alignment horizontal="right"/>
    </xf>
    <xf numFmtId="10" fontId="0" fillId="0" borderId="18" xfId="2" applyNumberFormat="1" applyFont="1" applyBorder="1"/>
    <xf numFmtId="10" fontId="0" fillId="0" borderId="22" xfId="2" applyNumberFormat="1" applyFont="1" applyBorder="1"/>
    <xf numFmtId="2" fontId="0" fillId="0" borderId="18" xfId="0" applyNumberFormat="1" applyBorder="1"/>
    <xf numFmtId="165" fontId="1" fillId="5" borderId="3" xfId="0" applyNumberFormat="1" applyFont="1" applyFill="1" applyBorder="1"/>
    <xf numFmtId="2" fontId="1" fillId="3" borderId="0" xfId="0" applyNumberFormat="1" applyFont="1" applyFill="1"/>
    <xf numFmtId="2" fontId="1" fillId="3" borderId="3" xfId="0" applyNumberFormat="1" applyFont="1" applyFill="1" applyBorder="1"/>
    <xf numFmtId="2" fontId="1" fillId="5" borderId="3" xfId="0" applyNumberFormat="1" applyFont="1" applyFill="1" applyBorder="1"/>
    <xf numFmtId="2" fontId="0" fillId="0" borderId="0" xfId="0" applyNumberFormat="1"/>
    <xf numFmtId="2" fontId="0" fillId="0" borderId="17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1" fillId="3" borderId="1" xfId="0" applyNumberFormat="1" applyFont="1" applyFill="1" applyBorder="1"/>
    <xf numFmtId="2" fontId="0" fillId="3" borderId="20" xfId="0" applyNumberFormat="1" applyFill="1" applyBorder="1"/>
    <xf numFmtId="2" fontId="0" fillId="3" borderId="21" xfId="0" applyNumberFormat="1" applyFill="1" applyBorder="1"/>
    <xf numFmtId="0" fontId="7" fillId="0" borderId="0" xfId="3"/>
    <xf numFmtId="1" fontId="7" fillId="0" borderId="0" xfId="3" applyNumberFormat="1"/>
    <xf numFmtId="165" fontId="1" fillId="6" borderId="0" xfId="0" applyNumberFormat="1" applyFont="1" applyFill="1" applyAlignment="1">
      <alignment vertical="center"/>
    </xf>
    <xf numFmtId="165" fontId="1" fillId="6" borderId="0" xfId="0" applyNumberFormat="1" applyFont="1" applyFill="1"/>
    <xf numFmtId="0" fontId="0" fillId="0" borderId="17" xfId="0" applyBorder="1" applyAlignment="1">
      <alignment wrapText="1"/>
    </xf>
    <xf numFmtId="0" fontId="0" fillId="0" borderId="17" xfId="0" applyBorder="1" applyAlignment="1">
      <alignment horizontal="left" wrapText="1"/>
    </xf>
    <xf numFmtId="2" fontId="0" fillId="3" borderId="22" xfId="0" applyNumberFormat="1" applyFill="1" applyBorder="1"/>
    <xf numFmtId="2" fontId="0" fillId="5" borderId="2" xfId="0" applyNumberFormat="1" applyFill="1" applyBorder="1"/>
    <xf numFmtId="2" fontId="0" fillId="3" borderId="0" xfId="0" applyNumberFormat="1" applyFill="1"/>
    <xf numFmtId="166" fontId="0" fillId="5" borderId="2" xfId="1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" fillId="7" borderId="0" xfId="0" applyFont="1" applyFill="1"/>
  </cellXfs>
  <cellStyles count="4">
    <cellStyle name="Comma" xfId="1" builtinId="3"/>
    <cellStyle name="Normal" xfId="0" builtinId="0"/>
    <cellStyle name="Normale 2" xfId="3" xr:uid="{93B6B8A7-A64D-4F16-B105-B508D8EC578C}"/>
    <cellStyle name="Percent" xfId="2" builtinId="5"/>
  </cellStyles>
  <dxfs count="0"/>
  <tableStyles count="0" defaultTableStyle="TableStyleMedium2" defaultPivotStyle="PivotStyleLight16"/>
  <colors>
    <mruColors>
      <color rgb="FF9BC8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ANNUAL AVERAGE NUMBER OF</a:t>
            </a:r>
          </a:p>
          <a:p>
            <a:pPr algn="ctr" rtl="0">
              <a:defRPr lang="en-US" sz="1400" b="1" cap="all" spc="15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POTENTIALLY AFFECTED PEOPLE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3006745270709"/>
          <c:y val="0.28264246862772863"/>
          <c:w val="0.76469090910385484"/>
          <c:h val="0.59390087907580991"/>
        </c:manualLayout>
      </c:layout>
      <c:barChart>
        <c:barDir val="bar"/>
        <c:grouping val="clustered"/>
        <c:varyColors val="0"/>
        <c:ser>
          <c:idx val="1"/>
          <c:order val="0"/>
          <c:tx>
            <c:v>with adaptation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E22C4BE-5D5C-BF43-ADBB-B7E553E473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756-4DD8-AC79-5C3F4838C2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D4BB18-41D3-474C-AE86-EC912C3998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756-4DD8-AC79-5C3F4838C2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756-4DD8-AC79-5C3F4838C2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graph_AALpop!$E$3:$E$5</c:f>
              <c:numCache>
                <c:formatCode>_-* #,##0_-;\-* #,##0_-;_-* "-"??_-;_-@_-</c:formatCode>
                <c:ptCount val="3"/>
                <c:pt idx="0">
                  <c:v>1137427.66150383</c:v>
                </c:pt>
                <c:pt idx="1">
                  <c:v>447053.13098796899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graph_AALpop!$F$3:$F$5</c15:f>
                <c15:dlblRangeCache>
                  <c:ptCount val="3"/>
                  <c:pt idx="0">
                    <c:v>5.63%</c:v>
                  </c:pt>
                  <c:pt idx="1">
                    <c:v>2.21%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7756-4DD8-AC79-5C3F4838C296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56-4DD8-AC79-5C3F4838C296}"/>
              </c:ext>
            </c:extLst>
          </c:dPt>
          <c:dPt>
            <c:idx val="1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56-4DD8-AC79-5C3F4838C29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56-4DD8-AC79-5C3F4838C2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6F1F167-27B6-5D40-88C7-142B8E61A4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56-4DD8-AC79-5C3F4838C2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523C16-B9F4-7749-89B3-7DD690CE8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56-4DD8-AC79-5C3F4838C2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BDE61DB-80AB-EA4C-BE17-B7F6794DA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756-4DD8-AC79-5C3F4838C2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graph_AALpop!$B$3:$B$5</c:f>
              <c:strCache>
                <c:ptCount val="3"/>
                <c:pt idx="0">
                  <c:v>Future Climate 
SSP585 &amp; SEP</c:v>
                </c:pt>
                <c:pt idx="1">
                  <c:v>Future Climate 
SSP126 &amp; SEP</c:v>
                </c:pt>
                <c:pt idx="2">
                  <c:v>Present Climate</c:v>
                </c:pt>
              </c:strCache>
            </c:strRef>
          </c:cat>
          <c:val>
            <c:numRef>
              <c:f>graph_AALpop!$C$3:$C$5</c:f>
              <c:numCache>
                <c:formatCode>_-* #,##0_-;\-* #,##0_-;_-* "-"??_-;_-@_-</c:formatCode>
                <c:ptCount val="3"/>
                <c:pt idx="0">
                  <c:v>1622263.4157116599</c:v>
                </c:pt>
                <c:pt idx="1">
                  <c:v>675523.666796381</c:v>
                </c:pt>
                <c:pt idx="2">
                  <c:v>284185.11788298999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graph_AALpop!$D$3:$D$5</c15:f>
                <c15:dlblRangeCache>
                  <c:ptCount val="3"/>
                  <c:pt idx="0">
                    <c:v>7.52%</c:v>
                  </c:pt>
                  <c:pt idx="1">
                    <c:v>3.13%</c:v>
                  </c:pt>
                  <c:pt idx="2">
                    <c:v>1.74%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7756-4DD8-AC79-5C3F4838C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5"/>
        <c:axId val="666750368"/>
        <c:axId val="272934848"/>
      </c:barChart>
      <c:catAx>
        <c:axId val="66675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auto val="1"/>
        <c:lblAlgn val="r"/>
        <c:lblOffset val="100"/>
        <c:noMultiLvlLbl val="0"/>
      </c:catAx>
      <c:valAx>
        <c:axId val="27293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between"/>
        <c:majorUnit val="500000"/>
        <c:dispUnits>
          <c:builtInUnit val="thousands"/>
          <c:dispUnitsLbl>
            <c:layout>
              <c:manualLayout>
                <c:xMode val="edge"/>
                <c:yMode val="edge"/>
                <c:x val="7.6922501834327719E-3"/>
                <c:y val="0.8943213512978766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K-People </a:t>
                  </a:r>
                  <a:r>
                    <a:rPr lang="en-US" sz="900" b="0" i="0" u="none" strike="noStrike" kern="1200" cap="all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rPr>
                    <a:t>affected</a:t>
                  </a:r>
                  <a:r>
                    <a:rPr lang="en-US"/>
                    <a:t>/Y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5229034721446455"/>
          <c:y val="0.27964422653698501"/>
          <c:w val="0.26419868192402751"/>
          <c:h val="8.2529369563785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ANNUAL AVERAGE OF DIRECT ECONOMIC LOSS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63006745270709"/>
          <c:y val="0.28264246862772863"/>
          <c:w val="0.76469090910385484"/>
          <c:h val="0.59390087907580991"/>
        </c:manualLayout>
      </c:layout>
      <c:barChart>
        <c:barDir val="bar"/>
        <c:grouping val="clustered"/>
        <c:varyColors val="0"/>
        <c:ser>
          <c:idx val="1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483C-4E32-9DA9-8554BB816F4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483C-4E32-9DA9-8554BB816F4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483C-4E32-9DA9-8554BB816F47}"/>
              </c:ext>
            </c:extLst>
          </c:dPt>
          <c:val>
            <c:numRef>
              <c:f>graph_AALeconomic!$K$3:$K$5</c:f>
              <c:numCache>
                <c:formatCode>0.00</c:formatCode>
                <c:ptCount val="3"/>
                <c:pt idx="0">
                  <c:v>1995928944.5858405</c:v>
                </c:pt>
                <c:pt idx="1">
                  <c:v>686447364.28620732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with adaptation</c:v>
                </c15:tx>
              </c15:filteredSeriesTitle>
            </c:ext>
            <c:ext xmlns:c16="http://schemas.microsoft.com/office/drawing/2014/chart" uri="{C3380CC4-5D6E-409C-BE32-E72D297353CC}">
              <c16:uniqueId val="{00000014-483C-4E32-9DA9-8554BB816F47}"/>
            </c:ext>
          </c:extLst>
        </c:ser>
        <c:ser>
          <c:idx val="0"/>
          <c:order val="1"/>
          <c:invertIfNegative val="0"/>
          <c:dPt>
            <c:idx val="0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83C-4E32-9DA9-8554BB816F47}"/>
              </c:ext>
            </c:extLst>
          </c:dPt>
          <c:dPt>
            <c:idx val="1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83C-4E32-9DA9-8554BB816F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83C-4E32-9DA9-8554BB816F47}"/>
              </c:ext>
            </c:extLst>
          </c:dPt>
          <c:cat>
            <c:strRef>
              <c:f>graph_AALpop!$B$3:$B$5</c:f>
              <c:strCache>
                <c:ptCount val="3"/>
                <c:pt idx="0">
                  <c:v>Future Climate 
SSP585 &amp; SEP</c:v>
                </c:pt>
                <c:pt idx="1">
                  <c:v>Future Climate 
SSP126 &amp; SEP</c:v>
                </c:pt>
                <c:pt idx="2">
                  <c:v>Present Climate</c:v>
                </c:pt>
              </c:strCache>
            </c:strRef>
          </c:cat>
          <c:val>
            <c:numRef>
              <c:f>graph_AALeconomic!$C$3:$C$5</c:f>
              <c:numCache>
                <c:formatCode>0.00</c:formatCode>
                <c:ptCount val="3"/>
                <c:pt idx="0">
                  <c:v>10648898778.147697</c:v>
                </c:pt>
                <c:pt idx="1">
                  <c:v>3315829880.4681921</c:v>
                </c:pt>
                <c:pt idx="2">
                  <c:v>534498697.95348459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83C-4E32-9DA9-8554BB816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5"/>
        <c:axId val="666750368"/>
        <c:axId val="272934848"/>
      </c:barChart>
      <c:catAx>
        <c:axId val="66675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auto val="1"/>
        <c:lblAlgn val="r"/>
        <c:lblOffset val="100"/>
        <c:noMultiLvlLbl val="0"/>
      </c:catAx>
      <c:valAx>
        <c:axId val="272934848"/>
        <c:scaling>
          <c:orientation val="minMax"/>
          <c:max val="12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between"/>
        <c:majorUnit val="2000000000"/>
        <c:minorUnit val="1000000000"/>
        <c:dispUnits>
          <c:builtInUnit val="millions"/>
          <c:dispUnitsLbl>
            <c:layout>
              <c:manualLayout>
                <c:xMode val="edge"/>
                <c:yMode val="edge"/>
                <c:x val="0.10462576532148649"/>
                <c:y val="0.89432134570992261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MilLION$/y</a:t>
                  </a:r>
                </a:p>
              </c:rich>
            </c:tx>
            <c:spPr>
              <a:solidFill>
                <a:schemeClr val="bg1"/>
              </a:solidFill>
              <a:ln>
                <a:noFill/>
              </a:ln>
              <a:effectLst/>
            </c:spPr>
          </c:dispUnitsLbl>
        </c:dispUnits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42554457706279"/>
          <c:y val="0.29111810178471514"/>
          <c:w val="0.52580141182355467"/>
          <c:h val="0.67262808728319079"/>
        </c:manualLayout>
      </c:layout>
      <c:doughnutChart>
        <c:varyColors val="1"/>
        <c:ser>
          <c:idx val="0"/>
          <c:order val="0"/>
          <c:tx>
            <c:v>Proportion of the different sectors to the overall economic loss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AF-4194-BDA5-84F302B346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F-4194-BDA5-84F302B346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AF-4194-BDA5-84F302B346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AF-4194-BDA5-84F302B346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AF-4194-BDA5-84F302B346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AF-4194-BDA5-84F302B3467C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8AF-4194-BDA5-84F302B3467C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AF-4194-BDA5-84F302B3467C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8AF-4194-BDA5-84F302B3467C}"/>
                </c:ext>
              </c:extLst>
            </c:dLbl>
            <c:dLbl>
              <c:idx val="3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8AF-4194-BDA5-84F302B3467C}"/>
                </c:ext>
              </c:extLst>
            </c:dLbl>
            <c:dLbl>
              <c:idx val="4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781183111318103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8AF-4194-BDA5-84F302B3467C}"/>
                </c:ext>
              </c:extLst>
            </c:dLbl>
            <c:dLbl>
              <c:idx val="5"/>
              <c:layout>
                <c:manualLayout>
                  <c:x val="1.062549589133548E-2"/>
                  <c:y val="-8.19267248847127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781183111318103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28AF-4194-BDA5-84F302B346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b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graph_AALeconomic!$E$2:$J$2</c:f>
              <c:strCache>
                <c:ptCount val="6"/>
                <c:pt idx="0">
                  <c:v>housing</c:v>
                </c:pt>
                <c:pt idx="1">
                  <c:v>service</c:v>
                </c:pt>
                <c:pt idx="2">
                  <c:v>industrial</c:v>
                </c:pt>
                <c:pt idx="3">
                  <c:v>transportation</c:v>
                </c:pt>
                <c:pt idx="4">
                  <c:v>school</c:v>
                </c:pt>
                <c:pt idx="5">
                  <c:v>health</c:v>
                </c:pt>
              </c:strCache>
            </c:strRef>
          </c:cat>
          <c:val>
            <c:numRef>
              <c:f>graph_AALeconomic!$E$5:$J$5</c:f>
              <c:numCache>
                <c:formatCode>0.00</c:formatCode>
                <c:ptCount val="6"/>
                <c:pt idx="0">
                  <c:v>56.327998339077297</c:v>
                </c:pt>
                <c:pt idx="1">
                  <c:v>180.32301130247399</c:v>
                </c:pt>
                <c:pt idx="2">
                  <c:v>216.188258158633</c:v>
                </c:pt>
                <c:pt idx="3">
                  <c:v>70.478122905387806</c:v>
                </c:pt>
                <c:pt idx="4">
                  <c:v>8.0799589540424606</c:v>
                </c:pt>
                <c:pt idx="5">
                  <c:v>3.10134829387008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AF-4194-BDA5-84F302B3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9337307896577"/>
          <c:y val="0.47627051052950381"/>
          <c:w val="0.13576115242944095"/>
          <c:h val="0.2990055888395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ANNUAL AVERAGE OF DIRECT ECONOMIC LOSS TO BUILT-UP AREA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63006745270709"/>
          <c:y val="0.28264246862772863"/>
          <c:w val="0.76469090910385484"/>
          <c:h val="0.59390087907580991"/>
        </c:manualLayout>
      </c:layout>
      <c:barChart>
        <c:barDir val="bar"/>
        <c:grouping val="clustered"/>
        <c:varyColors val="0"/>
        <c:ser>
          <c:idx val="1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C2-4B5B-B520-A7A22CFABA9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C2-4B5B-B520-A7A22CFABA9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2C2-4B5B-B520-A7A22CFABA9B}"/>
              </c:ext>
            </c:extLst>
          </c:dPt>
          <c:val>
            <c:numRef>
              <c:f>graph_AALbua!$K$3:$K$5</c:f>
              <c:numCache>
                <c:formatCode>0.00</c:formatCode>
                <c:ptCount val="3"/>
                <c:pt idx="0">
                  <c:v>1821150563.7123218</c:v>
                </c:pt>
                <c:pt idx="1">
                  <c:v>620447334.72369063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with adaptation</c:v>
                </c15:tx>
              </c15:filteredSeriesTitle>
            </c:ext>
            <c:ext xmlns:c16="http://schemas.microsoft.com/office/drawing/2014/chart" uri="{C3380CC4-5D6E-409C-BE32-E72D297353CC}">
              <c16:uniqueId val="{00000006-F2C2-4B5B-B520-A7A22CFABA9B}"/>
            </c:ext>
          </c:extLst>
        </c:ser>
        <c:ser>
          <c:idx val="0"/>
          <c:order val="1"/>
          <c:invertIfNegative val="0"/>
          <c:dPt>
            <c:idx val="0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2C2-4B5B-B520-A7A22CFABA9B}"/>
              </c:ext>
            </c:extLst>
          </c:dPt>
          <c:dPt>
            <c:idx val="1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2C2-4B5B-B520-A7A22CFABA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2C2-4B5B-B520-A7A22CFABA9B}"/>
              </c:ext>
            </c:extLst>
          </c:dPt>
          <c:cat>
            <c:strRef>
              <c:f>graph_AALpop!$B$3:$B$5</c:f>
              <c:strCache>
                <c:ptCount val="3"/>
                <c:pt idx="0">
                  <c:v>Future Climate 
SSP585 &amp; SEP</c:v>
                </c:pt>
                <c:pt idx="1">
                  <c:v>Future Climate 
SSP126 &amp; SEP</c:v>
                </c:pt>
                <c:pt idx="2">
                  <c:v>Present Climate</c:v>
                </c:pt>
              </c:strCache>
            </c:strRef>
          </c:cat>
          <c:val>
            <c:numRef>
              <c:f>graph_AALbua!$C$3:$C$5</c:f>
              <c:numCache>
                <c:formatCode>0.00</c:formatCode>
                <c:ptCount val="3"/>
                <c:pt idx="0">
                  <c:v>10474120397.274181</c:v>
                </c:pt>
                <c:pt idx="1">
                  <c:v>3249829850.9056749</c:v>
                </c:pt>
                <c:pt idx="2">
                  <c:v>452839267.80018431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2C2-4B5B-B520-A7A22CFAB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5"/>
        <c:axId val="666750368"/>
        <c:axId val="272934848"/>
      </c:barChart>
      <c:catAx>
        <c:axId val="66675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auto val="1"/>
        <c:lblAlgn val="r"/>
        <c:lblOffset val="100"/>
        <c:noMultiLvlLbl val="0"/>
      </c:catAx>
      <c:valAx>
        <c:axId val="272934848"/>
        <c:scaling>
          <c:orientation val="minMax"/>
          <c:max val="12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between"/>
        <c:majorUnit val="2000000000"/>
        <c:minorUnit val="1000000000"/>
        <c:dispUnits>
          <c:builtInUnit val="millions"/>
          <c:dispUnitsLbl>
            <c:layout>
              <c:manualLayout>
                <c:xMode val="edge"/>
                <c:yMode val="edge"/>
                <c:x val="0.10462576532148649"/>
                <c:y val="0.89432134570992261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MilLION$/y</a:t>
                  </a:r>
                </a:p>
              </c:rich>
            </c:tx>
            <c:spPr>
              <a:solidFill>
                <a:schemeClr val="bg1"/>
              </a:solidFill>
              <a:ln>
                <a:noFill/>
              </a:ln>
              <a:effectLst/>
            </c:spPr>
          </c:dispUnitsLbl>
        </c:dispUnits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>
                <a:effectLst/>
              </a:rPr>
              <a:t>PROPORTION OF THE DIFFERENT SECTORS TO BUILT-UP AREA ECONOMIC 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42554457706279"/>
          <c:y val="0.29111810178471514"/>
          <c:w val="0.52580141182355467"/>
          <c:h val="0.6726280872831907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C-4E8D-97CE-C36C647809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C-4E8D-97CE-C36C647809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2C-4E8D-97CE-C36C64780950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82C-4E8D-97CE-C36C64780950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82C-4E8D-97CE-C36C64780950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2C-4E8D-97CE-C36C64780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b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graph_AALbua!$E$2:$G$2</c:f>
              <c:strCache>
                <c:ptCount val="3"/>
                <c:pt idx="0">
                  <c:v>housing</c:v>
                </c:pt>
                <c:pt idx="1">
                  <c:v>service</c:v>
                </c:pt>
                <c:pt idx="2">
                  <c:v>industrial</c:v>
                </c:pt>
              </c:strCache>
            </c:strRef>
          </c:cat>
          <c:val>
            <c:numRef>
              <c:f>graph_AALbua!$E$5:$G$5</c:f>
              <c:numCache>
                <c:formatCode>0.00</c:formatCode>
                <c:ptCount val="3"/>
                <c:pt idx="0">
                  <c:v>56.327998339077297</c:v>
                </c:pt>
                <c:pt idx="1">
                  <c:v>180.32301130247399</c:v>
                </c:pt>
                <c:pt idx="2">
                  <c:v>216.188258158633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2C-4E8D-97CE-C36C64780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9337307896577"/>
          <c:y val="0.47627051052950381"/>
          <c:w val="0.13576115242944095"/>
          <c:h val="0.2990055888395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PROBABLE MAXIMUM</a:t>
            </a:r>
            <a:r>
              <a:rPr lang="en-US" sz="1400" b="1" i="0" cap="all" baseline="0">
                <a:effectLst/>
              </a:rPr>
              <a:t> AFFECTED PEOPLE 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b="1" cap="all" spc="150" normalizeH="0">
                <a:solidFill>
                  <a:sysClr val="windowText" lastClr="000000">
                    <a:lumMod val="50000"/>
                    <a:lumOff val="50000"/>
                  </a:sysClr>
                </a:solidFill>
              </a:defRPr>
            </a:pPr>
            <a:endPara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graph_PMLpop!$P$3</c:f>
              <c:strCache>
                <c:ptCount val="1"/>
                <c:pt idx="0">
                  <c:v>POP 2020 - Current Climate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graph_PMLpop!$Q$3:$W$3</c:f>
              <c:numCache>
                <c:formatCode>0</c:formatCode>
                <c:ptCount val="7"/>
                <c:pt idx="0">
                  <c:v>215654.80712890599</c:v>
                </c:pt>
                <c:pt idx="1">
                  <c:v>356854.05899047898</c:v>
                </c:pt>
                <c:pt idx="2">
                  <c:v>411510.74822235102</c:v>
                </c:pt>
                <c:pt idx="3">
                  <c:v>532600.57203674305</c:v>
                </c:pt>
                <c:pt idx="4">
                  <c:v>607229.85278701806</c:v>
                </c:pt>
                <c:pt idx="5">
                  <c:v>688797.21415710496</c:v>
                </c:pt>
                <c:pt idx="6">
                  <c:v>707243.96799087501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AD-48DB-A1B9-64E7D4B65036}"/>
            </c:ext>
          </c:extLst>
        </c:ser>
        <c:ser>
          <c:idx val="5"/>
          <c:order val="1"/>
          <c:tx>
            <c:v> 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13-35AD-48DB-A1B9-64E7D4B65036}"/>
            </c:ext>
          </c:extLst>
        </c:ser>
        <c:ser>
          <c:idx val="0"/>
          <c:order val="2"/>
          <c:tx>
            <c:strRef>
              <c:f>graph_PMLpop!$P$4</c:f>
              <c:strCache>
                <c:ptCount val="1"/>
                <c:pt idx="0">
                  <c:v>POP 2050 - SSP 126 - Projected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graph_PMLpop!$Q$4:$W$4</c:f>
              <c:numCache>
                <c:formatCode>0</c:formatCode>
                <c:ptCount val="7"/>
                <c:pt idx="0">
                  <c:v>482527.159194946</c:v>
                </c:pt>
                <c:pt idx="1">
                  <c:v>765305.45275878895</c:v>
                </c:pt>
                <c:pt idx="2">
                  <c:v>914190.04852676403</c:v>
                </c:pt>
                <c:pt idx="3">
                  <c:v>1178543.5332093199</c:v>
                </c:pt>
                <c:pt idx="4">
                  <c:v>1373504.8361515999</c:v>
                </c:pt>
                <c:pt idx="5">
                  <c:v>1572703.47485209</c:v>
                </c:pt>
                <c:pt idx="6">
                  <c:v>1874093.1532807399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AD-48DB-A1B9-64E7D4B65036}"/>
            </c:ext>
          </c:extLst>
        </c:ser>
        <c:ser>
          <c:idx val="2"/>
          <c:order val="3"/>
          <c:tx>
            <c:strRef>
              <c:f>graph_PMLpop!$P$5</c:f>
              <c:strCache>
                <c:ptCount val="1"/>
                <c:pt idx="0">
                  <c:v>POP 2050 - SSP 126 - Mitigated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graph_PMLpop!$Q$5:$W$5</c:f>
              <c:numCache>
                <c:formatCode>0</c:formatCode>
                <c:ptCount val="7"/>
                <c:pt idx="0">
                  <c:v>334522.897109985</c:v>
                </c:pt>
                <c:pt idx="1">
                  <c:v>545188.48959446</c:v>
                </c:pt>
                <c:pt idx="2">
                  <c:v>661415.42104673397</c:v>
                </c:pt>
                <c:pt idx="3">
                  <c:v>865920.37583494198</c:v>
                </c:pt>
                <c:pt idx="4">
                  <c:v>1026381.53594065</c:v>
                </c:pt>
                <c:pt idx="5">
                  <c:v>1233181.4341111199</c:v>
                </c:pt>
                <c:pt idx="6">
                  <c:v>1587844.1795415899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AD-48DB-A1B9-64E7D4B65036}"/>
            </c:ext>
          </c:extLst>
        </c:ser>
        <c:ser>
          <c:idx val="3"/>
          <c:order val="4"/>
          <c:tx>
            <c:strRef>
              <c:f>graph_PMLpop!$P$6</c:f>
              <c:strCache>
                <c:ptCount val="1"/>
                <c:pt idx="0">
                  <c:v>POP 2050 - SSP 585 - Projected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graph_PMLpop!$Q$6:$W$6</c:f>
              <c:numCache>
                <c:formatCode>0</c:formatCode>
                <c:ptCount val="7"/>
                <c:pt idx="0">
                  <c:v>1090938.3160667401</c:v>
                </c:pt>
                <c:pt idx="1">
                  <c:v>1709206.24098396</c:v>
                </c:pt>
                <c:pt idx="2">
                  <c:v>2433346.0362815899</c:v>
                </c:pt>
                <c:pt idx="3">
                  <c:v>2707529.8384666401</c:v>
                </c:pt>
                <c:pt idx="4">
                  <c:v>3432323.06270409</c:v>
                </c:pt>
                <c:pt idx="5">
                  <c:v>3705143.2761402102</c:v>
                </c:pt>
                <c:pt idx="6">
                  <c:v>3918848.3908805801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AD-48DB-A1B9-64E7D4B65036}"/>
            </c:ext>
          </c:extLst>
        </c:ser>
        <c:ser>
          <c:idx val="4"/>
          <c:order val="5"/>
          <c:tx>
            <c:strRef>
              <c:f>graph_PMLpop!$P$7</c:f>
              <c:strCache>
                <c:ptCount val="1"/>
                <c:pt idx="0">
                  <c:v>POP 2050 - SSP 585 - Mitigated</c:v>
                </c:pt>
              </c:strCache>
            </c:strRef>
          </c:tx>
          <c:spPr>
            <a:ln w="2540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6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5AD-48DB-A1B9-64E7D4B65036}"/>
              </c:ext>
            </c:extLst>
          </c:dPt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graph_PMLpop!$Q$7:$W$7</c:f>
              <c:numCache>
                <c:formatCode>0</c:formatCode>
                <c:ptCount val="7"/>
                <c:pt idx="0">
                  <c:v>775319.77493286098</c:v>
                </c:pt>
                <c:pt idx="1">
                  <c:v>1295190.11209106</c:v>
                </c:pt>
                <c:pt idx="2">
                  <c:v>2063402.6722083101</c:v>
                </c:pt>
                <c:pt idx="3">
                  <c:v>2335126.4179968801</c:v>
                </c:pt>
                <c:pt idx="4">
                  <c:v>2938883.5381164602</c:v>
                </c:pt>
                <c:pt idx="5">
                  <c:v>3230913.82177734</c:v>
                </c:pt>
                <c:pt idx="6">
                  <c:v>3363531.6568298298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AD-48DB-A1B9-64E7D4B6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50368"/>
        <c:axId val="272934848"/>
      </c:scatterChart>
      <c:valAx>
        <c:axId val="666750368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Period [Years]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crossBetween val="midCat"/>
      </c:valAx>
      <c:valAx>
        <c:axId val="272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K-People affected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midCat"/>
        <c:majorUnit val="1000000"/>
        <c:minorUnit val="500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007471853565112E-2"/>
          <c:y val="0.83407297559295079"/>
          <c:w val="0.86054013055628764"/>
          <c:h val="0.14291015442465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PROBABLE MAXIMUM LOSS CURVE DIRECT ECONOMIC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Present Climate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graph_PMLeco!$B$4:$B$7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graph_PMLeco!$I$4:$I$7</c:f>
              <c:numCache>
                <c:formatCode>General</c:formatCode>
                <c:ptCount val="4"/>
                <c:pt idx="0">
                  <c:v>880.69006602953584</c:v>
                </c:pt>
                <c:pt idx="1">
                  <c:v>1024.9027073523764</c:v>
                </c:pt>
                <c:pt idx="2">
                  <c:v>1386.9241298103464</c:v>
                </c:pt>
                <c:pt idx="3">
                  <c:v>1441.2090350071562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26-401C-A391-231C567CFD2A}"/>
            </c:ext>
          </c:extLst>
        </c:ser>
        <c:ser>
          <c:idx val="5"/>
          <c:order val="1"/>
          <c:tx>
            <c:v> 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8-EF26-401C-A391-231C567CFD2A}"/>
            </c:ext>
          </c:extLst>
        </c:ser>
        <c:ser>
          <c:idx val="0"/>
          <c:order val="2"/>
          <c:tx>
            <c:v>Future Climate SSP126</c:v>
          </c:tx>
          <c:spPr>
            <a:ln w="25400" cap="rnd">
              <a:solidFill>
                <a:srgbClr val="00B0F0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5400" cap="rnd">
                <a:solidFill>
                  <a:srgbClr val="00B0F0"/>
                </a:solidFill>
                <a:prstDash val="lg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26-401C-A391-231C567CFD2A}"/>
              </c:ext>
            </c:extLst>
          </c:dPt>
          <c:xVal>
            <c:numRef>
              <c:f>graph_PMLeco!$B$4:$B$7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graph_PMLeco!$P$4:$P$7</c:f>
              <c:numCache>
                <c:formatCode>General</c:formatCode>
                <c:ptCount val="4"/>
                <c:pt idx="0">
                  <c:v>7973.6488055303425</c:v>
                </c:pt>
                <c:pt idx="1">
                  <c:v>10566.446653451003</c:v>
                </c:pt>
                <c:pt idx="2">
                  <c:v>11737.241915786628</c:v>
                </c:pt>
                <c:pt idx="3">
                  <c:v>11982.570533903909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26-401C-A391-231C567CFD2A}"/>
            </c:ext>
          </c:extLst>
        </c:ser>
        <c:ser>
          <c:idx val="3"/>
          <c:order val="3"/>
          <c:tx>
            <c:v>Future Climate SSP126 -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graph_PMLeco!$B$10:$B$13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graph_PMLeco!$P$10:$P$13</c:f>
              <c:numCache>
                <c:formatCode>General</c:formatCode>
                <c:ptCount val="4"/>
                <c:pt idx="0">
                  <c:v>1344.5140586259965</c:v>
                </c:pt>
                <c:pt idx="1">
                  <c:v>1841.6936731606452</c:v>
                </c:pt>
                <c:pt idx="2">
                  <c:v>2404.6842338694601</c:v>
                </c:pt>
                <c:pt idx="3">
                  <c:v>2676.8372011526253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26-401C-A391-231C567CFD2A}"/>
            </c:ext>
          </c:extLst>
        </c:ser>
        <c:ser>
          <c:idx val="2"/>
          <c:order val="4"/>
          <c:tx>
            <c:v>Future Climate SSP585</c:v>
          </c:tx>
          <c:spPr>
            <a:ln w="2540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graph_PMLeco!$B$4:$B$7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graph_PMLeco!$W$4:$W$7</c:f>
              <c:numCache>
                <c:formatCode>General</c:formatCode>
                <c:ptCount val="4"/>
                <c:pt idx="0">
                  <c:v>12511.639196980272</c:v>
                </c:pt>
                <c:pt idx="1">
                  <c:v>14401.087945709096</c:v>
                </c:pt>
                <c:pt idx="2">
                  <c:v>18248.324939774888</c:v>
                </c:pt>
                <c:pt idx="3">
                  <c:v>18937.75952360774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26-401C-A391-231C567CFD2A}"/>
            </c:ext>
          </c:extLst>
        </c:ser>
        <c:ser>
          <c:idx val="4"/>
          <c:order val="5"/>
          <c:tx>
            <c:v>Future Climate SSP585 -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graph_PMLeco!$B$10:$B$13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graph_PMLeco!$W$10:$W$13</c:f>
              <c:numCache>
                <c:formatCode>General</c:formatCode>
                <c:ptCount val="4"/>
                <c:pt idx="0">
                  <c:v>3408.1791290919305</c:v>
                </c:pt>
                <c:pt idx="1">
                  <c:v>4736.3511276011877</c:v>
                </c:pt>
                <c:pt idx="2">
                  <c:v>6663.9911474843375</c:v>
                </c:pt>
                <c:pt idx="3">
                  <c:v>7384.9940964756315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F26-401C-A391-231C567C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50368"/>
        <c:axId val="272934848"/>
      </c:scatterChart>
      <c:valAx>
        <c:axId val="666750368"/>
        <c:scaling>
          <c:orientation val="minMax"/>
          <c:max val="21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Period [Years]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max"/>
        <c:crossBetween val="midCat"/>
      </c:valAx>
      <c:valAx>
        <c:axId val="272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[Million$]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816086045161313E-2"/>
          <c:y val="0.860254981482515"/>
          <c:w val="0.91709900805122757"/>
          <c:h val="0.13974509613894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PROBABLE MAXIMUM LOSS CURVE DIRECT ECONOMIC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Present Climate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graph_PMLbua!$B$4:$B$7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graph_PMLbua!$F$4:$F$7</c:f>
              <c:numCache>
                <c:formatCode>General</c:formatCode>
                <c:ptCount val="4"/>
                <c:pt idx="0">
                  <c:v>748.25362079668957</c:v>
                </c:pt>
                <c:pt idx="1">
                  <c:v>864.20019593732798</c:v>
                </c:pt>
                <c:pt idx="2">
                  <c:v>1185.5713828453509</c:v>
                </c:pt>
                <c:pt idx="3">
                  <c:v>1232.9113150392859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3F-4ED5-8E94-7E032FD08446}"/>
            </c:ext>
          </c:extLst>
        </c:ser>
        <c:ser>
          <c:idx val="5"/>
          <c:order val="1"/>
          <c:tx>
            <c:v> 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53F-4ED5-8E94-7E032FD08446}"/>
            </c:ext>
          </c:extLst>
        </c:ser>
        <c:ser>
          <c:idx val="0"/>
          <c:order val="2"/>
          <c:tx>
            <c:v>Future Climate SSP126</c:v>
          </c:tx>
          <c:spPr>
            <a:ln w="25400" cap="rnd">
              <a:solidFill>
                <a:srgbClr val="9BC8E2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graph_PMLbua!$B$4:$B$7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graph_PMLbua!$J$4:$J$7</c:f>
              <c:numCache>
                <c:formatCode>General</c:formatCode>
                <c:ptCount val="4"/>
                <c:pt idx="0">
                  <c:v>7842.3946926421568</c:v>
                </c:pt>
                <c:pt idx="1">
                  <c:v>10387.29183281933</c:v>
                </c:pt>
                <c:pt idx="2">
                  <c:v>11523.75308439336</c:v>
                </c:pt>
                <c:pt idx="3">
                  <c:v>11753.211055216761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3F-4ED5-8E94-7E032FD08446}"/>
            </c:ext>
          </c:extLst>
        </c:ser>
        <c:ser>
          <c:idx val="3"/>
          <c:order val="3"/>
          <c:tx>
            <c:v>Future Climate SSP126 -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graph_PMLbua!$B$10:$B$13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graph_PMLbua!$J$10:$J$13</c:f>
              <c:numCache>
                <c:formatCode>General</c:formatCode>
                <c:ptCount val="4"/>
                <c:pt idx="0">
                  <c:v>1213.259945737811</c:v>
                </c:pt>
                <c:pt idx="1">
                  <c:v>1662.538852528972</c:v>
                </c:pt>
                <c:pt idx="2">
                  <c:v>2191.1954024761917</c:v>
                </c:pt>
                <c:pt idx="3">
                  <c:v>2447.4777224654781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3F-4ED5-8E94-7E032FD08446}"/>
            </c:ext>
          </c:extLst>
        </c:ser>
        <c:ser>
          <c:idx val="2"/>
          <c:order val="4"/>
          <c:tx>
            <c:v>Future Climate SSP585</c:v>
          </c:tx>
          <c:spPr>
            <a:ln w="25400" cap="rnd">
              <a:solidFill>
                <a:srgbClr val="9BC8E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graph_PMLbua!$B$4:$B$7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graph_PMLbua!$N$4:$N$7</c:f>
              <c:numCache>
                <c:formatCode>General</c:formatCode>
                <c:ptCount val="4"/>
                <c:pt idx="0">
                  <c:v>12229.561480880009</c:v>
                </c:pt>
                <c:pt idx="1">
                  <c:v>14047.39071054594</c:v>
                </c:pt>
                <c:pt idx="2">
                  <c:v>17806.712127696272</c:v>
                </c:pt>
                <c:pt idx="3">
                  <c:v>18477.765828511881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3F-4ED5-8E94-7E032FD08446}"/>
            </c:ext>
          </c:extLst>
        </c:ser>
        <c:ser>
          <c:idx val="4"/>
          <c:order val="5"/>
          <c:tx>
            <c:v>Future Climate SSP585 -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graph_PMLbua!$B$10:$B$13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graph_PMLbua!$N$10:$N$13</c:f>
              <c:numCache>
                <c:formatCode>General</c:formatCode>
                <c:ptCount val="4"/>
                <c:pt idx="0">
                  <c:v>3126.101412991668</c:v>
                </c:pt>
                <c:pt idx="1">
                  <c:v>4382.653892438032</c:v>
                </c:pt>
                <c:pt idx="2">
                  <c:v>6222.3783354057214</c:v>
                </c:pt>
                <c:pt idx="3">
                  <c:v>6925.0004013797761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53F-4ED5-8E94-7E032FD08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50368"/>
        <c:axId val="272934848"/>
      </c:scatterChart>
      <c:valAx>
        <c:axId val="666750368"/>
        <c:scaling>
          <c:orientation val="minMax"/>
          <c:max val="21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Period [Years]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max"/>
        <c:crossBetween val="midCat"/>
      </c:valAx>
      <c:valAx>
        <c:axId val="272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[Million$]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816086045161313E-2"/>
          <c:y val="0.860254981482515"/>
          <c:w val="0.91260101665230797"/>
          <c:h val="0.13974509613894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54806</xdr:colOff>
      <xdr:row>5</xdr:row>
      <xdr:rowOff>168074</xdr:rowOff>
    </xdr:from>
    <xdr:to>
      <xdr:col>4</xdr:col>
      <xdr:colOff>1055688</xdr:colOff>
      <xdr:row>20</xdr:row>
      <xdr:rowOff>26458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5F3A2F4-286B-49DE-A03A-3A6CD8331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697745</xdr:colOff>
      <xdr:row>8</xdr:row>
      <xdr:rowOff>64887</xdr:rowOff>
    </xdr:from>
    <xdr:to>
      <xdr:col>5</xdr:col>
      <xdr:colOff>579439</xdr:colOff>
      <xdr:row>22</xdr:row>
      <xdr:rowOff>105833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9F5A79A-EB1E-4273-A84B-4749F90F3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182562</xdr:colOff>
      <xdr:row>8</xdr:row>
      <xdr:rowOff>96841</xdr:rowOff>
    </xdr:from>
    <xdr:to>
      <xdr:col>17</xdr:col>
      <xdr:colOff>508000</xdr:colOff>
      <xdr:row>32</xdr:row>
      <xdr:rowOff>79376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B2737AE-E1AD-4F5B-B9A2-57E089D4F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697745</xdr:colOff>
      <xdr:row>8</xdr:row>
      <xdr:rowOff>64887</xdr:rowOff>
    </xdr:from>
    <xdr:to>
      <xdr:col>5</xdr:col>
      <xdr:colOff>579439</xdr:colOff>
      <xdr:row>22</xdr:row>
      <xdr:rowOff>105833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F34201A-0B75-4FEB-8C62-79EF10FE1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182562</xdr:colOff>
      <xdr:row>8</xdr:row>
      <xdr:rowOff>96841</xdr:rowOff>
    </xdr:from>
    <xdr:to>
      <xdr:col>17</xdr:col>
      <xdr:colOff>508000</xdr:colOff>
      <xdr:row>32</xdr:row>
      <xdr:rowOff>79376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68913A3-CA06-4FFC-A9FF-93499EEE7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784677</xdr:colOff>
      <xdr:row>2</xdr:row>
      <xdr:rowOff>104320</xdr:rowOff>
    </xdr:from>
    <xdr:to>
      <xdr:col>11</xdr:col>
      <xdr:colOff>27214</xdr:colOff>
      <xdr:row>26</xdr:row>
      <xdr:rowOff>9069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6272DB-D0BA-4400-9256-CFD35B967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14</xdr:row>
      <xdr:rowOff>31749</xdr:rowOff>
    </xdr:from>
    <xdr:to>
      <xdr:col>11</xdr:col>
      <xdr:colOff>462644</xdr:colOff>
      <xdr:row>37</xdr:row>
      <xdr:rowOff>99785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DF9C19E-6433-44D9-AE8C-C3AAB3BBB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349252</xdr:colOff>
      <xdr:row>2</xdr:row>
      <xdr:rowOff>122464</xdr:rowOff>
    </xdr:from>
    <xdr:to>
      <xdr:col>24</xdr:col>
      <xdr:colOff>526145</xdr:colOff>
      <xdr:row>25</xdr:row>
      <xdr:rowOff>172357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46EA724-DE76-47F7-85AA-FBD0FE223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X99"/>
  <sheetViews>
    <sheetView tabSelected="1" zoomScale="80" zoomScaleNormal="80" workbookViewId="0">
      <selection activeCell="J101" sqref="J101"/>
    </sheetView>
  </sheetViews>
  <sheetFormatPr baseColWidth="10" defaultColWidth="8.83203125" defaultRowHeight="15" x14ac:dyDescent="0.2"/>
  <cols>
    <col min="1" max="1" width="9" style="9" bestFit="1" customWidth="1"/>
    <col min="2" max="2" width="9.83203125" style="9" customWidth="1"/>
    <col min="3" max="3" width="10.33203125" style="9" customWidth="1"/>
    <col min="4" max="5" width="8.83203125" style="9"/>
    <col min="6" max="6" width="8.5" style="9" customWidth="1"/>
    <col min="7" max="7" width="8.83203125" style="9"/>
    <col min="8" max="9" width="9" style="9" bestFit="1" customWidth="1"/>
    <col min="10" max="10" width="11.1640625" style="9" bestFit="1" customWidth="1"/>
    <col min="11" max="11" width="9" style="9" bestFit="1" customWidth="1"/>
    <col min="12" max="15" width="8.83203125" style="9"/>
    <col min="16" max="16" width="10.5" style="9" bestFit="1" customWidth="1"/>
    <col min="17" max="16384" width="8.83203125" style="9"/>
  </cols>
  <sheetData>
    <row r="2" spans="1:24" x14ac:dyDescent="0.2">
      <c r="A2" s="18" t="s">
        <v>0</v>
      </c>
      <c r="B2" s="18"/>
    </row>
    <row r="3" spans="1:24" s="18" customFormat="1" x14ac:dyDescent="0.2"/>
    <row r="4" spans="1:24" s="18" customFormat="1" x14ac:dyDescent="0.2">
      <c r="A4" s="39" t="s">
        <v>1</v>
      </c>
      <c r="B4" s="100" t="s">
        <v>2</v>
      </c>
      <c r="C4" s="100"/>
      <c r="D4" s="100" t="s">
        <v>3</v>
      </c>
      <c r="E4" s="100"/>
      <c r="F4" s="100" t="s">
        <v>4</v>
      </c>
      <c r="G4" s="100"/>
      <c r="H4" s="100" t="s">
        <v>5</v>
      </c>
      <c r="I4" s="100"/>
      <c r="J4" s="100"/>
      <c r="K4" s="100"/>
      <c r="L4" s="100" t="s">
        <v>6</v>
      </c>
      <c r="M4" s="100"/>
      <c r="N4" s="100"/>
      <c r="O4" s="100"/>
      <c r="P4" s="100" t="s">
        <v>7</v>
      </c>
      <c r="Q4" s="100"/>
      <c r="R4" s="100"/>
      <c r="S4" s="100"/>
    </row>
    <row r="5" spans="1:24" s="49" customFormat="1" ht="26" x14ac:dyDescent="0.15">
      <c r="A5" s="40"/>
      <c r="B5" s="41" t="s">
        <v>8</v>
      </c>
      <c r="C5" s="42" t="s">
        <v>9</v>
      </c>
      <c r="D5" s="41" t="s">
        <v>8</v>
      </c>
      <c r="E5" s="42" t="s">
        <v>9</v>
      </c>
      <c r="F5" s="41" t="s">
        <v>8</v>
      </c>
      <c r="G5" s="42" t="s">
        <v>9</v>
      </c>
      <c r="H5" s="41" t="s">
        <v>10</v>
      </c>
      <c r="I5" s="41" t="s">
        <v>11</v>
      </c>
      <c r="J5" s="41" t="s">
        <v>8</v>
      </c>
      <c r="K5" s="42" t="s">
        <v>9</v>
      </c>
      <c r="L5" s="41" t="s">
        <v>12</v>
      </c>
      <c r="M5" s="41" t="s">
        <v>11</v>
      </c>
      <c r="N5" s="41" t="s">
        <v>8</v>
      </c>
      <c r="O5" s="42" t="s">
        <v>9</v>
      </c>
      <c r="P5" s="41" t="s">
        <v>12</v>
      </c>
      <c r="Q5" s="41" t="s">
        <v>11</v>
      </c>
      <c r="R5" s="41" t="s">
        <v>8</v>
      </c>
      <c r="S5" s="42" t="s">
        <v>9</v>
      </c>
    </row>
    <row r="6" spans="1:24" s="18" customFormat="1" x14ac:dyDescent="0.2">
      <c r="A6" s="18">
        <v>10</v>
      </c>
      <c r="B6" s="92">
        <v>92.689411276849498</v>
      </c>
      <c r="C6" s="44">
        <v>1.5623834261001326</v>
      </c>
      <c r="D6" s="92">
        <v>298.13221510010902</v>
      </c>
      <c r="E6" s="44">
        <v>1.5314150914001237</v>
      </c>
      <c r="F6" s="93">
        <v>357.43199441973098</v>
      </c>
      <c r="G6" s="44">
        <v>1.5311836807774646</v>
      </c>
      <c r="H6" s="53">
        <v>1385.6158934738501</v>
      </c>
      <c r="I6" s="44">
        <v>3.2014436883354001</v>
      </c>
      <c r="J6" s="93">
        <v>112.593225356541</v>
      </c>
      <c r="K6" s="44">
        <v>3.1126290610984699</v>
      </c>
      <c r="L6" s="54">
        <v>269.156802985002</v>
      </c>
      <c r="M6" s="44">
        <v>2.353180652080801</v>
      </c>
      <c r="N6" s="93">
        <v>14.263540259444</v>
      </c>
      <c r="O6" s="44">
        <v>2.3545354428835075</v>
      </c>
      <c r="P6" s="54">
        <v>83.906000381335602</v>
      </c>
      <c r="Q6" s="44">
        <v>5.6808395654255648</v>
      </c>
      <c r="R6" s="93">
        <v>5.5796796168612799</v>
      </c>
      <c r="S6" s="44">
        <v>5.6383751016696619</v>
      </c>
      <c r="U6" s="9"/>
    </row>
    <row r="7" spans="1:24" s="18" customFormat="1" x14ac:dyDescent="0.2">
      <c r="A7" s="18">
        <v>25</v>
      </c>
      <c r="B7" s="93">
        <v>107.724089770874</v>
      </c>
      <c r="C7" s="44">
        <v>1.8158097039480634</v>
      </c>
      <c r="D7" s="93">
        <v>344.05970870607399</v>
      </c>
      <c r="E7" s="44">
        <v>1.7673307464551811</v>
      </c>
      <c r="F7" s="93">
        <v>412.41639746037998</v>
      </c>
      <c r="G7" s="44">
        <v>1.7667284052216539</v>
      </c>
      <c r="H7" s="53">
        <v>1740.7414699439</v>
      </c>
      <c r="I7" s="44">
        <v>4.0219557369567296</v>
      </c>
      <c r="J7" s="93">
        <v>137.58200802482301</v>
      </c>
      <c r="K7" s="44">
        <v>3.8034415934552599</v>
      </c>
      <c r="L7" s="54">
        <v>315.733003157307</v>
      </c>
      <c r="M7" s="44">
        <v>2.7603864587979281</v>
      </c>
      <c r="N7" s="93">
        <v>16.740495362852698</v>
      </c>
      <c r="O7" s="44">
        <v>2.7634155999360668</v>
      </c>
      <c r="P7" s="54">
        <v>95.926001310348497</v>
      </c>
      <c r="Q7" s="44">
        <v>6.4946514089606291</v>
      </c>
      <c r="R7" s="93">
        <v>6.38000802737265</v>
      </c>
      <c r="S7" s="44">
        <v>6.4471225733613418</v>
      </c>
      <c r="U7" s="9"/>
    </row>
    <row r="8" spans="1:24" s="18" customFormat="1" x14ac:dyDescent="0.2">
      <c r="A8" s="18">
        <v>100</v>
      </c>
      <c r="B8" s="93">
        <v>148.578348790343</v>
      </c>
      <c r="C8" s="44">
        <v>2.5044538144060473</v>
      </c>
      <c r="D8" s="93">
        <v>471.64262625479699</v>
      </c>
      <c r="E8" s="44">
        <v>2.4226856374835295</v>
      </c>
      <c r="F8" s="93">
        <v>565.35040780021097</v>
      </c>
      <c r="G8" s="44">
        <v>2.421874179869953</v>
      </c>
      <c r="H8" s="53">
        <v>2124.2692558108802</v>
      </c>
      <c r="I8" s="44">
        <v>4.9080906428481601</v>
      </c>
      <c r="J8" s="93">
        <v>172.23987479344899</v>
      </c>
      <c r="K8" s="44">
        <v>4.7615550408505101</v>
      </c>
      <c r="L8" s="54">
        <v>399.57640090258701</v>
      </c>
      <c r="M8" s="44">
        <v>3.4934114434567847</v>
      </c>
      <c r="N8" s="93">
        <v>21.1765211595519</v>
      </c>
      <c r="O8" s="44">
        <v>3.4956868154891794</v>
      </c>
      <c r="P8" s="54">
        <v>119.198998584412</v>
      </c>
      <c r="Q8" s="44">
        <v>8.0703451986737988</v>
      </c>
      <c r="R8" s="93">
        <v>7.93635101199476</v>
      </c>
      <c r="S8" s="44">
        <v>8.0198375205840406</v>
      </c>
      <c r="U8" s="9"/>
    </row>
    <row r="9" spans="1:24" s="18" customFormat="1" x14ac:dyDescent="0.2">
      <c r="A9" s="18">
        <v>200</v>
      </c>
      <c r="B9" s="93">
        <v>154.26320486480299</v>
      </c>
      <c r="C9" s="44">
        <v>2.6002784052427712</v>
      </c>
      <c r="D9" s="93">
        <v>490.57679011763298</v>
      </c>
      <c r="E9" s="44">
        <v>2.5199447152147076</v>
      </c>
      <c r="F9" s="93">
        <v>588.07132005685003</v>
      </c>
      <c r="G9" s="44">
        <v>2.5192070728478795</v>
      </c>
      <c r="H9" s="53">
        <v>2178.8822877644602</v>
      </c>
      <c r="I9" s="44">
        <v>5.03427319262412</v>
      </c>
      <c r="J9" s="93">
        <v>178.02599997997001</v>
      </c>
      <c r="K9" s="44">
        <v>4.9215119241326599</v>
      </c>
      <c r="L9" s="54">
        <v>419.12480154493801</v>
      </c>
      <c r="M9" s="44">
        <v>3.6643189503841409</v>
      </c>
      <c r="N9" s="93">
        <v>22.024287970326</v>
      </c>
      <c r="O9" s="44">
        <v>3.6356308242668254</v>
      </c>
      <c r="P9" s="54">
        <v>122.71500038541799</v>
      </c>
      <c r="Q9" s="44">
        <v>8.3083954221677718</v>
      </c>
      <c r="R9" s="93">
        <v>8.2474320175743205</v>
      </c>
      <c r="S9" s="44">
        <v>8.3341909453150507</v>
      </c>
      <c r="U9" s="9"/>
    </row>
    <row r="10" spans="1:24" s="18" customFormat="1" x14ac:dyDescent="0.2">
      <c r="A10" s="46" t="s">
        <v>13</v>
      </c>
      <c r="B10" s="78">
        <v>56.327998339077297</v>
      </c>
      <c r="C10" s="48">
        <v>0.94947124831238305</v>
      </c>
      <c r="D10" s="78">
        <v>180.32301130247399</v>
      </c>
      <c r="E10" s="48">
        <v>0.92626481422880191</v>
      </c>
      <c r="F10" s="78">
        <v>216.188258158633</v>
      </c>
      <c r="G10" s="48">
        <v>0.9261172419822169</v>
      </c>
      <c r="H10" s="55">
        <v>905.13020926676302</v>
      </c>
      <c r="I10" s="52">
        <v>2.0912890861218099</v>
      </c>
      <c r="J10" s="78">
        <v>70.478122905387806</v>
      </c>
      <c r="K10" s="48">
        <v>1.94836103888409</v>
      </c>
      <c r="L10" s="55">
        <v>152.44232511018899</v>
      </c>
      <c r="M10" s="48">
        <v>1.3327708087968964</v>
      </c>
      <c r="N10" s="78">
        <v>8.0799589540424606</v>
      </c>
      <c r="O10" s="48">
        <v>1.3337887641001769</v>
      </c>
      <c r="P10" s="55">
        <v>46.613182130500803</v>
      </c>
      <c r="Q10" s="48">
        <v>3.1559365017265266</v>
      </c>
      <c r="R10" s="78">
        <v>3.10134829387008</v>
      </c>
      <c r="S10" s="48">
        <v>3.1339729523035604</v>
      </c>
      <c r="U10" s="9"/>
      <c r="W10" s="9"/>
      <c r="X10" s="9"/>
    </row>
    <row r="11" spans="1:24" s="18" customFormat="1" x14ac:dyDescent="0.2">
      <c r="B11" s="18">
        <f>(B10+D10+F10)/(B10/C10+D10/E10+F10/G10)</f>
        <v>0.92901857430929247</v>
      </c>
    </row>
    <row r="12" spans="1:24" s="18" customFormat="1" x14ac:dyDescent="0.2">
      <c r="T12" s="9"/>
      <c r="U12" s="9"/>
      <c r="V12" s="9"/>
      <c r="W12" s="9"/>
      <c r="X12" s="9"/>
    </row>
    <row r="13" spans="1:24" s="18" customFormat="1" x14ac:dyDescent="0.2">
      <c r="A13" s="18" t="s">
        <v>14</v>
      </c>
    </row>
    <row r="14" spans="1:24" s="18" customFormat="1" x14ac:dyDescent="0.2"/>
    <row r="15" spans="1:24" s="18" customFormat="1" x14ac:dyDescent="0.2">
      <c r="A15" s="39" t="s">
        <v>1</v>
      </c>
      <c r="B15" s="100" t="s">
        <v>2</v>
      </c>
      <c r="C15" s="100"/>
      <c r="D15" s="100" t="s">
        <v>3</v>
      </c>
      <c r="E15" s="100"/>
      <c r="F15" s="100" t="s">
        <v>4</v>
      </c>
      <c r="G15" s="100"/>
      <c r="H15" s="100" t="s">
        <v>5</v>
      </c>
      <c r="I15" s="100"/>
      <c r="J15" s="100"/>
      <c r="K15" s="100"/>
      <c r="L15" s="100" t="s">
        <v>6</v>
      </c>
      <c r="M15" s="100"/>
      <c r="N15" s="100"/>
      <c r="O15" s="100"/>
      <c r="P15" s="100" t="s">
        <v>7</v>
      </c>
      <c r="Q15" s="100"/>
      <c r="R15" s="100"/>
      <c r="S15" s="100"/>
    </row>
    <row r="16" spans="1:24" s="49" customFormat="1" ht="26" x14ac:dyDescent="0.15">
      <c r="B16" s="50" t="s">
        <v>8</v>
      </c>
      <c r="C16" s="51" t="s">
        <v>9</v>
      </c>
      <c r="D16" s="50" t="s">
        <v>8</v>
      </c>
      <c r="E16" s="51" t="s">
        <v>9</v>
      </c>
      <c r="F16" s="50" t="s">
        <v>8</v>
      </c>
      <c r="G16" s="51" t="s">
        <v>9</v>
      </c>
      <c r="H16" s="50" t="s">
        <v>10</v>
      </c>
      <c r="I16" s="50" t="s">
        <v>11</v>
      </c>
      <c r="J16" s="50" t="s">
        <v>8</v>
      </c>
      <c r="K16" s="51" t="s">
        <v>9</v>
      </c>
      <c r="L16" s="50" t="s">
        <v>12</v>
      </c>
      <c r="M16" s="50" t="s">
        <v>11</v>
      </c>
      <c r="N16" s="50" t="s">
        <v>8</v>
      </c>
      <c r="O16" s="51" t="s">
        <v>9</v>
      </c>
      <c r="P16" s="50" t="s">
        <v>12</v>
      </c>
      <c r="Q16" s="50" t="s">
        <v>11</v>
      </c>
      <c r="R16" s="50" t="s">
        <v>8</v>
      </c>
      <c r="S16" s="51" t="s">
        <v>9</v>
      </c>
    </row>
    <row r="17" spans="1:19" s="18" customFormat="1" x14ac:dyDescent="0.2">
      <c r="A17" s="18">
        <v>10</v>
      </c>
      <c r="B17" s="43">
        <v>255.977337680636</v>
      </c>
      <c r="C17" s="44">
        <v>4.3147644536883396</v>
      </c>
      <c r="D17" s="43">
        <v>809.82217066730595</v>
      </c>
      <c r="E17" s="44">
        <v>4.1597932431131799</v>
      </c>
      <c r="F17" s="45">
        <v>971.32227882994005</v>
      </c>
      <c r="G17" s="44">
        <v>4.1609766929100802</v>
      </c>
      <c r="H17" s="53">
        <v>3140.9922894053202</v>
      </c>
      <c r="I17" s="44">
        <v>7.2572131911798099</v>
      </c>
      <c r="J17" s="45">
        <v>240.20591885031899</v>
      </c>
      <c r="K17" s="44">
        <v>6.6404698976671703</v>
      </c>
      <c r="L17" s="54">
        <v>581.61459984211297</v>
      </c>
      <c r="M17" s="44">
        <v>5.0849326791581797</v>
      </c>
      <c r="N17" s="45">
        <v>30.825574267510099</v>
      </c>
      <c r="O17" s="44">
        <v>5.0849327576582004</v>
      </c>
      <c r="P17" s="54">
        <v>164.86899805185399</v>
      </c>
      <c r="Q17" s="44">
        <v>11.1624237001932</v>
      </c>
      <c r="R17" s="45">
        <v>11.046222982433401</v>
      </c>
      <c r="S17" s="44">
        <v>11.1624238143407</v>
      </c>
    </row>
    <row r="18" spans="1:19" s="18" customFormat="1" x14ac:dyDescent="0.2">
      <c r="A18" s="18">
        <v>25</v>
      </c>
      <c r="B18" s="45">
        <v>398.70229510307001</v>
      </c>
      <c r="C18" s="44">
        <v>6.72054216245105</v>
      </c>
      <c r="D18" s="45">
        <v>1245.66913402411</v>
      </c>
      <c r="E18" s="44">
        <v>6.3985974137980204</v>
      </c>
      <c r="F18" s="45">
        <v>1494.3582554726099</v>
      </c>
      <c r="G18" s="44">
        <v>6.4015723796323396</v>
      </c>
      <c r="H18" s="53">
        <v>3811.0608425464002</v>
      </c>
      <c r="I18" s="44">
        <v>8.8053960247552894</v>
      </c>
      <c r="J18" s="45">
        <v>302.56937223882397</v>
      </c>
      <c r="K18" s="44">
        <v>8.3645016655895699</v>
      </c>
      <c r="L18" s="54">
        <v>722.36801587371201</v>
      </c>
      <c r="M18" s="44">
        <v>6.3155098432742802</v>
      </c>
      <c r="N18" s="45">
        <v>38.285503928956999</v>
      </c>
      <c r="O18" s="44">
        <v>6.3155096927746701</v>
      </c>
      <c r="P18" s="54">
        <v>191.67700109048701</v>
      </c>
      <c r="Q18" s="44">
        <v>12.9774543730865</v>
      </c>
      <c r="R18" s="45">
        <v>12.8423589953745</v>
      </c>
      <c r="S18" s="44">
        <v>12.977454294581101</v>
      </c>
    </row>
    <row r="19" spans="1:19" s="18" customFormat="1" x14ac:dyDescent="0.2">
      <c r="A19" s="18">
        <v>100</v>
      </c>
      <c r="B19" s="45">
        <v>587.31413138766595</v>
      </c>
      <c r="C19" s="44">
        <v>9.8997909745509496</v>
      </c>
      <c r="D19" s="45">
        <v>1830.1140224794301</v>
      </c>
      <c r="E19" s="44">
        <v>9.4007008212228804</v>
      </c>
      <c r="F19" s="45">
        <v>2195.8271165381798</v>
      </c>
      <c r="G19" s="44">
        <v>9.4065436907115192</v>
      </c>
      <c r="H19" s="53">
        <v>4628.7882245252804</v>
      </c>
      <c r="I19" s="44">
        <v>10.6947422556592</v>
      </c>
      <c r="J19" s="45">
        <v>378.74647208908601</v>
      </c>
      <c r="K19" s="44">
        <v>10.470410382861701</v>
      </c>
      <c r="L19" s="54">
        <v>880.20500773983099</v>
      </c>
      <c r="M19" s="44">
        <v>7.6954450755361998</v>
      </c>
      <c r="N19" s="45">
        <v>46.6508658322564</v>
      </c>
      <c r="O19" s="44">
        <v>7.6954451451560599</v>
      </c>
      <c r="P19" s="54">
        <v>242.022000605008</v>
      </c>
      <c r="Q19" s="44">
        <v>16.386052850711401</v>
      </c>
      <c r="R19" s="45">
        <v>16.215474157273999</v>
      </c>
      <c r="S19" s="44">
        <v>16.386052968677902</v>
      </c>
    </row>
    <row r="20" spans="1:19" s="18" customFormat="1" x14ac:dyDescent="0.2">
      <c r="A20" s="18">
        <v>200</v>
      </c>
      <c r="B20" s="45">
        <v>649.03513684754898</v>
      </c>
      <c r="C20" s="44">
        <v>10.940162762214699</v>
      </c>
      <c r="D20" s="45">
        <v>2028.45254136118</v>
      </c>
      <c r="E20" s="44">
        <v>10.4195013191316</v>
      </c>
      <c r="F20" s="45">
        <v>2433.9291640276701</v>
      </c>
      <c r="G20" s="44">
        <v>10.4265316923575</v>
      </c>
      <c r="H20" s="53">
        <v>4773.8521818962599</v>
      </c>
      <c r="I20" s="44">
        <v>11.029910243351599</v>
      </c>
      <c r="J20" s="45">
        <v>395.40113331051498</v>
      </c>
      <c r="K20" s="44">
        <v>10.930826916417899</v>
      </c>
      <c r="L20" s="54">
        <v>899.91207359444002</v>
      </c>
      <c r="M20" s="44">
        <v>7.8677397586504698</v>
      </c>
      <c r="N20" s="45">
        <v>47.695340351749699</v>
      </c>
      <c r="O20" s="44">
        <v>7.8677398330869499</v>
      </c>
      <c r="P20" s="54">
        <v>252.197333094897</v>
      </c>
      <c r="Q20" s="44">
        <v>17.074971773520399</v>
      </c>
      <c r="R20" s="45">
        <v>16.897221433590602</v>
      </c>
      <c r="S20" s="44">
        <v>17.074971890975601</v>
      </c>
    </row>
    <row r="21" spans="1:19" s="18" customFormat="1" x14ac:dyDescent="0.2">
      <c r="A21" s="46" t="s">
        <v>13</v>
      </c>
      <c r="B21" s="47">
        <v>151.218749904216</v>
      </c>
      <c r="C21" s="48">
        <v>2.5489494215770798</v>
      </c>
      <c r="D21" s="47">
        <v>479.48056345039799</v>
      </c>
      <c r="E21" s="48">
        <v>2.4629357904606799</v>
      </c>
      <c r="F21" s="47">
        <v>574.9641833938</v>
      </c>
      <c r="G21" s="48">
        <v>2.4630471456307901</v>
      </c>
      <c r="H21" s="55">
        <v>1930.68040719284</v>
      </c>
      <c r="I21" s="52">
        <v>4.4608066585496298</v>
      </c>
      <c r="J21" s="47">
        <v>148.34601294145699</v>
      </c>
      <c r="K21" s="48">
        <v>4.1010114908556199</v>
      </c>
      <c r="L21" s="55">
        <v>347.630533926873</v>
      </c>
      <c r="M21" s="48">
        <v>3.0392597825395402</v>
      </c>
      <c r="N21" s="47">
        <v>18.424418307195701</v>
      </c>
      <c r="O21" s="48">
        <v>3.0392597840359499</v>
      </c>
      <c r="P21" s="55">
        <v>119.521635976954</v>
      </c>
      <c r="Q21" s="48">
        <v>8.09218930108017</v>
      </c>
      <c r="R21" s="47">
        <v>8.0079496248658693</v>
      </c>
      <c r="S21" s="48">
        <v>8.0921893156417006</v>
      </c>
    </row>
    <row r="22" spans="1:19" s="18" customFormat="1" x14ac:dyDescent="0.2">
      <c r="B22" s="18">
        <f>(B21+D21+F21)/(B21/C21+D21/E21+F21/G21)</f>
        <v>2.4734577544871588</v>
      </c>
    </row>
    <row r="23" spans="1:19" s="18" customFormat="1" x14ac:dyDescent="0.2"/>
    <row r="24" spans="1:19" s="18" customFormat="1" x14ac:dyDescent="0.2">
      <c r="A24" s="18" t="s">
        <v>15</v>
      </c>
    </row>
    <row r="25" spans="1:19" s="18" customFormat="1" x14ac:dyDescent="0.2"/>
    <row r="26" spans="1:19" s="18" customFormat="1" x14ac:dyDescent="0.2">
      <c r="A26" s="39" t="s">
        <v>1</v>
      </c>
      <c r="B26" s="100" t="s">
        <v>2</v>
      </c>
      <c r="C26" s="100"/>
      <c r="D26" s="100" t="s">
        <v>3</v>
      </c>
      <c r="E26" s="100"/>
      <c r="F26" s="100" t="s">
        <v>4</v>
      </c>
      <c r="G26" s="100"/>
      <c r="H26" s="100" t="s">
        <v>5</v>
      </c>
      <c r="I26" s="100"/>
      <c r="J26" s="100"/>
      <c r="K26" s="100"/>
      <c r="L26" s="100" t="s">
        <v>6</v>
      </c>
      <c r="M26" s="100"/>
      <c r="N26" s="100"/>
      <c r="O26" s="100"/>
      <c r="P26" s="100" t="s">
        <v>7</v>
      </c>
      <c r="Q26" s="100"/>
      <c r="R26" s="100"/>
      <c r="S26" s="100"/>
    </row>
    <row r="27" spans="1:19" s="49" customFormat="1" ht="26" x14ac:dyDescent="0.15">
      <c r="A27" s="40"/>
      <c r="B27" s="41" t="s">
        <v>8</v>
      </c>
      <c r="C27" s="42" t="s">
        <v>9</v>
      </c>
      <c r="D27" s="41" t="s">
        <v>8</v>
      </c>
      <c r="E27" s="42" t="s">
        <v>9</v>
      </c>
      <c r="F27" s="41" t="s">
        <v>8</v>
      </c>
      <c r="G27" s="42" t="s">
        <v>9</v>
      </c>
      <c r="H27" s="41" t="s">
        <v>10</v>
      </c>
      <c r="I27" s="41" t="s">
        <v>11</v>
      </c>
      <c r="J27" s="41" t="s">
        <v>8</v>
      </c>
      <c r="K27" s="42" t="s">
        <v>9</v>
      </c>
      <c r="L27" s="41" t="s">
        <v>12</v>
      </c>
      <c r="M27" s="41" t="s">
        <v>11</v>
      </c>
      <c r="N27" s="41" t="s">
        <v>8</v>
      </c>
      <c r="O27" s="42" t="s">
        <v>9</v>
      </c>
      <c r="P27" s="41" t="s">
        <v>12</v>
      </c>
      <c r="Q27" s="41" t="s">
        <v>11</v>
      </c>
      <c r="R27" s="41" t="s">
        <v>8</v>
      </c>
      <c r="S27" s="42" t="s">
        <v>9</v>
      </c>
    </row>
    <row r="28" spans="1:19" s="18" customFormat="1" x14ac:dyDescent="0.2">
      <c r="A28" s="18">
        <v>10</v>
      </c>
      <c r="B28" s="43">
        <v>1462.8131907151701</v>
      </c>
      <c r="C28" s="44">
        <v>13.453486897310301</v>
      </c>
      <c r="D28" s="43">
        <v>4894.3245325472599</v>
      </c>
      <c r="E28" s="44">
        <v>13.3499271222781</v>
      </c>
      <c r="F28" s="45">
        <v>5872.4237576175801</v>
      </c>
      <c r="G28" s="44">
        <v>13.3608958365155</v>
      </c>
      <c r="H28" s="79">
        <f>H17</f>
        <v>3140.9922894053202</v>
      </c>
      <c r="I28" s="79">
        <f t="shared" ref="I28:S28" si="0">I17</f>
        <v>7.2572131911798099</v>
      </c>
      <c r="J28" s="79">
        <f t="shared" si="0"/>
        <v>240.20591885031899</v>
      </c>
      <c r="K28" s="79">
        <f t="shared" si="0"/>
        <v>6.6404698976671703</v>
      </c>
      <c r="L28" s="79">
        <f t="shared" si="0"/>
        <v>581.61459984211297</v>
      </c>
      <c r="M28" s="79">
        <f t="shared" si="0"/>
        <v>5.0849326791581797</v>
      </c>
      <c r="N28" s="79">
        <f t="shared" si="0"/>
        <v>30.825574267510099</v>
      </c>
      <c r="O28" s="79">
        <f t="shared" si="0"/>
        <v>5.0849327576582004</v>
      </c>
      <c r="P28" s="79">
        <f t="shared" si="0"/>
        <v>164.86899805185399</v>
      </c>
      <c r="Q28" s="79">
        <f t="shared" si="0"/>
        <v>11.1624237001932</v>
      </c>
      <c r="R28" s="79">
        <f t="shared" si="0"/>
        <v>11.046222982433401</v>
      </c>
      <c r="S28" s="79">
        <f t="shared" si="0"/>
        <v>11.1624238143407</v>
      </c>
    </row>
    <row r="29" spans="1:19" s="18" customFormat="1" x14ac:dyDescent="0.2">
      <c r="A29" s="18">
        <v>25</v>
      </c>
      <c r="B29" s="45">
        <v>1677.4659332276999</v>
      </c>
      <c r="C29" s="44">
        <v>15.427647287162999</v>
      </c>
      <c r="D29" s="45">
        <v>5623.1095868379298</v>
      </c>
      <c r="E29" s="44">
        <v>15.337786181865701</v>
      </c>
      <c r="F29" s="45">
        <v>6746.8151904803099</v>
      </c>
      <c r="G29" s="44">
        <v>15.350304867099499</v>
      </c>
      <c r="H29" s="79">
        <f t="shared" ref="H29:S29" si="1">H18</f>
        <v>3811.0608425464002</v>
      </c>
      <c r="I29" s="79">
        <f t="shared" si="1"/>
        <v>8.8053960247552894</v>
      </c>
      <c r="J29" s="79">
        <f t="shared" si="1"/>
        <v>302.56937223882397</v>
      </c>
      <c r="K29" s="79">
        <f t="shared" si="1"/>
        <v>8.3645016655895699</v>
      </c>
      <c r="L29" s="79">
        <f t="shared" si="1"/>
        <v>722.36801587371201</v>
      </c>
      <c r="M29" s="79">
        <f t="shared" si="1"/>
        <v>6.3155098432742802</v>
      </c>
      <c r="N29" s="79">
        <f t="shared" si="1"/>
        <v>38.285503928956999</v>
      </c>
      <c r="O29" s="79">
        <f t="shared" si="1"/>
        <v>6.3155096927746701</v>
      </c>
      <c r="P29" s="79">
        <f t="shared" si="1"/>
        <v>191.67700109048701</v>
      </c>
      <c r="Q29" s="79">
        <f t="shared" si="1"/>
        <v>12.9774543730865</v>
      </c>
      <c r="R29" s="79">
        <f t="shared" si="1"/>
        <v>12.8423589953745</v>
      </c>
      <c r="S29" s="79">
        <f t="shared" si="1"/>
        <v>12.977454294581101</v>
      </c>
    </row>
    <row r="30" spans="1:19" s="18" customFormat="1" x14ac:dyDescent="0.2">
      <c r="A30" s="18">
        <v>100</v>
      </c>
      <c r="B30" s="45">
        <v>2143.3480454259302</v>
      </c>
      <c r="C30" s="44">
        <v>19.712363156511898</v>
      </c>
      <c r="D30" s="45">
        <v>7125.3363972999496</v>
      </c>
      <c r="E30" s="44">
        <v>19.4353114496401</v>
      </c>
      <c r="F30" s="45">
        <v>8538.0276849703896</v>
      </c>
      <c r="G30" s="44">
        <v>19.425658511138302</v>
      </c>
      <c r="H30" s="79">
        <f t="shared" ref="H30:S30" si="2">H19</f>
        <v>4628.7882245252804</v>
      </c>
      <c r="I30" s="79">
        <f t="shared" si="2"/>
        <v>10.6947422556592</v>
      </c>
      <c r="J30" s="79">
        <f t="shared" si="2"/>
        <v>378.74647208908601</v>
      </c>
      <c r="K30" s="79">
        <f t="shared" si="2"/>
        <v>10.470410382861701</v>
      </c>
      <c r="L30" s="79">
        <f t="shared" si="2"/>
        <v>880.20500773983099</v>
      </c>
      <c r="M30" s="79">
        <f t="shared" si="2"/>
        <v>7.6954450755361998</v>
      </c>
      <c r="N30" s="79">
        <f t="shared" si="2"/>
        <v>46.6508658322564</v>
      </c>
      <c r="O30" s="79">
        <f t="shared" si="2"/>
        <v>7.6954451451560599</v>
      </c>
      <c r="P30" s="79">
        <f t="shared" si="2"/>
        <v>242.022000605008</v>
      </c>
      <c r="Q30" s="79">
        <f t="shared" si="2"/>
        <v>16.386052850711401</v>
      </c>
      <c r="R30" s="79">
        <f t="shared" si="2"/>
        <v>16.215474157273999</v>
      </c>
      <c r="S30" s="79">
        <f t="shared" si="2"/>
        <v>16.386052968677902</v>
      </c>
    </row>
    <row r="31" spans="1:19" s="18" customFormat="1" x14ac:dyDescent="0.2">
      <c r="A31" s="18">
        <v>200</v>
      </c>
      <c r="B31" s="45">
        <v>2210.5223764256002</v>
      </c>
      <c r="C31" s="44">
        <v>20.330165202375198</v>
      </c>
      <c r="D31" s="45">
        <v>7396.5671302158898</v>
      </c>
      <c r="E31" s="44">
        <v>20.175129680668899</v>
      </c>
      <c r="F31" s="45">
        <v>8870.6763218703909</v>
      </c>
      <c r="G31" s="44">
        <v>20.1824982712142</v>
      </c>
      <c r="H31" s="79">
        <f t="shared" ref="H31:S31" si="3">H20</f>
        <v>4773.8521818962599</v>
      </c>
      <c r="I31" s="79">
        <f t="shared" si="3"/>
        <v>11.029910243351599</v>
      </c>
      <c r="J31" s="79">
        <f t="shared" si="3"/>
        <v>395.40113331051498</v>
      </c>
      <c r="K31" s="79">
        <f t="shared" si="3"/>
        <v>10.930826916417899</v>
      </c>
      <c r="L31" s="79">
        <f t="shared" si="3"/>
        <v>899.91207359444002</v>
      </c>
      <c r="M31" s="79">
        <f t="shared" si="3"/>
        <v>7.8677397586504698</v>
      </c>
      <c r="N31" s="79">
        <f t="shared" si="3"/>
        <v>47.695340351749699</v>
      </c>
      <c r="O31" s="79">
        <f t="shared" si="3"/>
        <v>7.8677398330869499</v>
      </c>
      <c r="P31" s="79">
        <f t="shared" si="3"/>
        <v>252.197333094897</v>
      </c>
      <c r="Q31" s="79">
        <f t="shared" si="3"/>
        <v>17.074971773520399</v>
      </c>
      <c r="R31" s="79">
        <f t="shared" si="3"/>
        <v>16.897221433590602</v>
      </c>
      <c r="S31" s="79">
        <f t="shared" si="3"/>
        <v>17.074971890975601</v>
      </c>
    </row>
    <row r="32" spans="1:19" s="18" customFormat="1" x14ac:dyDescent="0.2">
      <c r="A32" s="46" t="s">
        <v>13</v>
      </c>
      <c r="B32" s="78">
        <v>1256.35289811542</v>
      </c>
      <c r="C32" s="48">
        <v>11.554672435603401</v>
      </c>
      <c r="D32" s="78">
        <v>4190.7359482094098</v>
      </c>
      <c r="E32" s="48">
        <v>11.4307948165811</v>
      </c>
      <c r="F32" s="78">
        <v>5027.0315509493503</v>
      </c>
      <c r="G32" s="48">
        <v>11.437465634523599</v>
      </c>
      <c r="H32" s="80">
        <f t="shared" ref="H32:S32" si="4">H21</f>
        <v>1930.68040719284</v>
      </c>
      <c r="I32" s="80">
        <f t="shared" si="4"/>
        <v>4.4608066585496298</v>
      </c>
      <c r="J32" s="81">
        <f t="shared" si="4"/>
        <v>148.34601294145699</v>
      </c>
      <c r="K32" s="80">
        <f t="shared" si="4"/>
        <v>4.1010114908556199</v>
      </c>
      <c r="L32" s="80">
        <f t="shared" si="4"/>
        <v>347.630533926873</v>
      </c>
      <c r="M32" s="80">
        <f t="shared" si="4"/>
        <v>3.0392597825395402</v>
      </c>
      <c r="N32" s="81">
        <f t="shared" si="4"/>
        <v>18.424418307195701</v>
      </c>
      <c r="O32" s="80">
        <f t="shared" si="4"/>
        <v>3.0392597840359499</v>
      </c>
      <c r="P32" s="80">
        <f t="shared" si="4"/>
        <v>119.521635976954</v>
      </c>
      <c r="Q32" s="80">
        <f t="shared" si="4"/>
        <v>8.09218930108017</v>
      </c>
      <c r="R32" s="81">
        <f t="shared" si="4"/>
        <v>8.0079496248658693</v>
      </c>
      <c r="S32" s="80">
        <f t="shared" si="4"/>
        <v>8.0921893156417006</v>
      </c>
    </row>
    <row r="33" spans="1:20" s="18" customFormat="1" x14ac:dyDescent="0.2">
      <c r="B33" s="18">
        <f>(B32+D32+F32)/(B32/C32+D32/E32+F32/G32)</f>
        <v>11.448722273447304</v>
      </c>
    </row>
    <row r="34" spans="1:20" s="18" customFormat="1" x14ac:dyDescent="0.2"/>
    <row r="35" spans="1:20" s="18" customFormat="1" x14ac:dyDescent="0.2">
      <c r="A35" s="18" t="s">
        <v>16</v>
      </c>
    </row>
    <row r="36" spans="1:20" s="18" customFormat="1" x14ac:dyDescent="0.2"/>
    <row r="37" spans="1:20" s="18" customFormat="1" x14ac:dyDescent="0.2">
      <c r="A37" s="39" t="s">
        <v>1</v>
      </c>
      <c r="B37" s="100" t="s">
        <v>2</v>
      </c>
      <c r="C37" s="100"/>
      <c r="D37" s="100" t="s">
        <v>3</v>
      </c>
      <c r="E37" s="100"/>
      <c r="F37" s="100" t="s">
        <v>4</v>
      </c>
      <c r="G37" s="100"/>
      <c r="H37" s="100" t="s">
        <v>5</v>
      </c>
      <c r="I37" s="100"/>
      <c r="J37" s="100"/>
      <c r="K37" s="100"/>
      <c r="L37" s="100" t="s">
        <v>6</v>
      </c>
      <c r="M37" s="100"/>
      <c r="N37" s="100"/>
      <c r="O37" s="100"/>
      <c r="P37" s="100" t="s">
        <v>7</v>
      </c>
      <c r="Q37" s="100"/>
      <c r="R37" s="100"/>
      <c r="S37" s="100"/>
    </row>
    <row r="38" spans="1:20" s="49" customFormat="1" ht="26" x14ac:dyDescent="0.15">
      <c r="A38" s="40"/>
      <c r="B38" s="41" t="s">
        <v>8</v>
      </c>
      <c r="C38" s="42" t="s">
        <v>9</v>
      </c>
      <c r="D38" s="41" t="s">
        <v>8</v>
      </c>
      <c r="E38" s="42" t="s">
        <v>9</v>
      </c>
      <c r="F38" s="41" t="s">
        <v>8</v>
      </c>
      <c r="G38" s="42" t="s">
        <v>9</v>
      </c>
      <c r="H38" s="41" t="s">
        <v>10</v>
      </c>
      <c r="I38" s="41" t="s">
        <v>11</v>
      </c>
      <c r="J38" s="41" t="s">
        <v>8</v>
      </c>
      <c r="K38" s="42" t="s">
        <v>9</v>
      </c>
      <c r="L38" s="41" t="s">
        <v>12</v>
      </c>
      <c r="M38" s="41" t="s">
        <v>11</v>
      </c>
      <c r="N38" s="41" t="s">
        <v>8</v>
      </c>
      <c r="O38" s="42" t="s">
        <v>9</v>
      </c>
      <c r="P38" s="41" t="s">
        <v>12</v>
      </c>
      <c r="Q38" s="41" t="s">
        <v>11</v>
      </c>
      <c r="R38" s="41" t="s">
        <v>8</v>
      </c>
      <c r="S38" s="42" t="s">
        <v>9</v>
      </c>
    </row>
    <row r="39" spans="1:20" s="18" customFormat="1" x14ac:dyDescent="0.2">
      <c r="A39" s="18">
        <v>10</v>
      </c>
      <c r="B39" s="23">
        <v>92.110700944911997</v>
      </c>
      <c r="C39" s="20">
        <v>1.55262173535563</v>
      </c>
      <c r="D39" s="23">
        <v>296.13614468877398</v>
      </c>
      <c r="E39" s="44">
        <v>1.5211551107607699</v>
      </c>
      <c r="F39" s="23">
        <v>355.221430531799</v>
      </c>
      <c r="G39" s="20">
        <v>1.52170718769622</v>
      </c>
      <c r="H39" s="53">
        <v>1432.6083640209399</v>
      </c>
      <c r="I39" s="44">
        <v>3.3100190510609999</v>
      </c>
      <c r="J39" s="45">
        <v>112.358748951461</v>
      </c>
      <c r="K39" s="44">
        <v>3.1061469830668602</v>
      </c>
      <c r="L39" s="53">
        <v>249.365601749159</v>
      </c>
      <c r="M39" s="44">
        <v>2.1801503912323801</v>
      </c>
      <c r="N39" s="45">
        <v>13.216376912954701</v>
      </c>
      <c r="O39" s="44">
        <v>2.1801503945726601</v>
      </c>
      <c r="P39" s="53">
        <v>84.761001334059998</v>
      </c>
      <c r="Q39" s="44">
        <v>5.7387272399498999</v>
      </c>
      <c r="R39" s="23">
        <v>5.6789870237698796</v>
      </c>
      <c r="S39" s="44">
        <v>5.7387271736475496</v>
      </c>
    </row>
    <row r="40" spans="1:20" s="18" customFormat="1" x14ac:dyDescent="0.2">
      <c r="A40" s="18">
        <v>25</v>
      </c>
      <c r="B40" s="23">
        <v>127.690911253213</v>
      </c>
      <c r="C40" s="20">
        <v>2.1523632128005898</v>
      </c>
      <c r="D40" s="23">
        <v>410.16143981770102</v>
      </c>
      <c r="E40" s="44">
        <v>2.10686598581677</v>
      </c>
      <c r="F40" s="23">
        <v>492.00771259834897</v>
      </c>
      <c r="G40" s="20">
        <v>2.10767596859802</v>
      </c>
      <c r="H40" s="53">
        <v>1975.88465173845</v>
      </c>
      <c r="I40" s="44">
        <v>4.5652503532763902</v>
      </c>
      <c r="J40" s="45">
        <v>153.68206164531901</v>
      </c>
      <c r="K40" s="44">
        <v>4.24852605236216</v>
      </c>
      <c r="L40" s="53">
        <v>347.23500062816299</v>
      </c>
      <c r="M40" s="44">
        <v>3.0358017190781901</v>
      </c>
      <c r="N40" s="45">
        <v>18.403454907973401</v>
      </c>
      <c r="O40" s="44">
        <v>3.0358016984057401</v>
      </c>
      <c r="P40" s="53">
        <v>105.512000793358</v>
      </c>
      <c r="Q40" s="44">
        <v>7.1436696542558096</v>
      </c>
      <c r="R40" s="23">
        <v>7.0693040783808101</v>
      </c>
      <c r="S40" s="44">
        <v>7.1436696797469796</v>
      </c>
    </row>
    <row r="41" spans="1:20" s="18" customFormat="1" x14ac:dyDescent="0.2">
      <c r="A41" s="18">
        <v>100</v>
      </c>
      <c r="B41" s="23">
        <v>173.01309367337899</v>
      </c>
      <c r="C41" s="20">
        <v>2.9163157698589401</v>
      </c>
      <c r="D41" s="23">
        <v>555.85570391011197</v>
      </c>
      <c r="E41" s="44">
        <v>2.8552500598568198</v>
      </c>
      <c r="F41" s="23">
        <v>666.55344450003201</v>
      </c>
      <c r="G41" s="20">
        <v>2.8553997036746201</v>
      </c>
      <c r="H41" s="53">
        <v>2447.7031556663601</v>
      </c>
      <c r="I41" s="44">
        <v>5.65537957202611</v>
      </c>
      <c r="J41" s="45">
        <v>182.64105101441999</v>
      </c>
      <c r="K41" s="44">
        <v>5.0490945732911001</v>
      </c>
      <c r="L41" s="53">
        <v>422.40040257165703</v>
      </c>
      <c r="M41" s="44">
        <v>3.69295683311468</v>
      </c>
      <c r="N41" s="45">
        <v>22.387221395205401</v>
      </c>
      <c r="O41" s="44">
        <v>3.6929568428319701</v>
      </c>
      <c r="P41" s="53">
        <v>126.276997980895</v>
      </c>
      <c r="Q41" s="44">
        <v>8.5495597820510891</v>
      </c>
      <c r="R41" s="23">
        <v>8.4605589836428408</v>
      </c>
      <c r="S41" s="44">
        <v>8.5495599022250008</v>
      </c>
    </row>
    <row r="42" spans="1:20" s="18" customFormat="1" x14ac:dyDescent="0.2">
      <c r="A42" s="18">
        <v>200</v>
      </c>
      <c r="B42" s="23">
        <v>197.68943017938901</v>
      </c>
      <c r="C42" s="20">
        <v>3.33226110536447</v>
      </c>
      <c r="D42" s="23">
        <v>624.93367705369894</v>
      </c>
      <c r="E42" s="44">
        <v>3.21008115282859</v>
      </c>
      <c r="F42" s="23">
        <v>749.42884943958597</v>
      </c>
      <c r="G42" s="20">
        <v>3.2104236085976798</v>
      </c>
      <c r="H42" s="53">
        <v>2686.5775411118898</v>
      </c>
      <c r="I42" s="44">
        <v>6.2072950755877301</v>
      </c>
      <c r="J42" s="45">
        <v>197.00295504042899</v>
      </c>
      <c r="K42" s="44">
        <v>5.4461280511269496</v>
      </c>
      <c r="L42" s="53">
        <v>442.81040016100002</v>
      </c>
      <c r="M42" s="44">
        <v>3.8713970988022401</v>
      </c>
      <c r="N42" s="45">
        <v>23.468951345797301</v>
      </c>
      <c r="O42" s="44">
        <v>3.8713971214451202</v>
      </c>
      <c r="P42" s="53">
        <v>132.65033145396399</v>
      </c>
      <c r="Q42" s="44">
        <v>8.9810650950550794</v>
      </c>
      <c r="R42" s="23">
        <v>8.8875723009211196</v>
      </c>
      <c r="S42" s="44">
        <v>8.9810651895442692</v>
      </c>
    </row>
    <row r="43" spans="1:20" s="18" customFormat="1" x14ac:dyDescent="0.2">
      <c r="A43" s="46" t="s">
        <v>13</v>
      </c>
      <c r="B43" s="24">
        <v>50.0061253098634</v>
      </c>
      <c r="C43" s="52">
        <v>0.84290528961933697</v>
      </c>
      <c r="D43" s="24">
        <v>159.109760014106</v>
      </c>
      <c r="E43" s="52">
        <v>0.81729511563588197</v>
      </c>
      <c r="F43" s="24">
        <v>190.75308979106501</v>
      </c>
      <c r="G43" s="48">
        <v>0.81715325388945304</v>
      </c>
      <c r="H43" s="55">
        <v>753.007955585486</v>
      </c>
      <c r="I43" s="52">
        <v>1.73981301602398</v>
      </c>
      <c r="J43" s="47">
        <v>56.560510297506703</v>
      </c>
      <c r="K43" s="48">
        <v>1.5636099552623</v>
      </c>
      <c r="L43" s="55">
        <v>124.16847502485</v>
      </c>
      <c r="M43" s="48">
        <v>1.0855785541602601</v>
      </c>
      <c r="N43" s="47">
        <v>6.5809291729872701</v>
      </c>
      <c r="O43" s="48">
        <v>1.0855785536109801</v>
      </c>
      <c r="P43" s="55">
        <v>42.665523669085097</v>
      </c>
      <c r="Q43" s="48">
        <v>2.88866104733142</v>
      </c>
      <c r="R43" s="47">
        <v>2.85859009202286</v>
      </c>
      <c r="S43" s="48">
        <v>2.8886610535907402</v>
      </c>
      <c r="T43" s="45"/>
    </row>
    <row r="44" spans="1:20" s="18" customFormat="1" x14ac:dyDescent="0.2">
      <c r="B44" s="18">
        <f>(B43+D43+F43)/(B43/C43+D43/E43+F43/G43)</f>
        <v>0.82034416729421855</v>
      </c>
    </row>
    <row r="45" spans="1:20" s="18" customFormat="1" x14ac:dyDescent="0.2"/>
    <row r="46" spans="1:20" s="18" customFormat="1" x14ac:dyDescent="0.2">
      <c r="A46" s="18" t="s">
        <v>17</v>
      </c>
    </row>
    <row r="47" spans="1:20" s="18" customFormat="1" x14ac:dyDescent="0.2"/>
    <row r="48" spans="1:20" s="18" customFormat="1" x14ac:dyDescent="0.2">
      <c r="A48" s="39" t="s">
        <v>1</v>
      </c>
      <c r="B48" s="100" t="s">
        <v>2</v>
      </c>
      <c r="C48" s="100"/>
      <c r="D48" s="100" t="s">
        <v>3</v>
      </c>
      <c r="E48" s="100"/>
      <c r="F48" s="100" t="s">
        <v>4</v>
      </c>
      <c r="G48" s="100"/>
      <c r="H48" s="100" t="s">
        <v>5</v>
      </c>
      <c r="I48" s="100"/>
      <c r="J48" s="100"/>
      <c r="K48" s="100"/>
      <c r="L48" s="100" t="s">
        <v>6</v>
      </c>
      <c r="M48" s="100"/>
      <c r="N48" s="100"/>
      <c r="O48" s="100"/>
      <c r="P48" s="100" t="s">
        <v>7</v>
      </c>
      <c r="Q48" s="100"/>
      <c r="R48" s="100"/>
      <c r="S48" s="100"/>
    </row>
    <row r="49" spans="1:21" s="49" customFormat="1" ht="26" x14ac:dyDescent="0.15">
      <c r="A49" s="40"/>
      <c r="B49" s="41" t="s">
        <v>8</v>
      </c>
      <c r="C49" s="42" t="s">
        <v>9</v>
      </c>
      <c r="D49" s="41" t="s">
        <v>8</v>
      </c>
      <c r="E49" s="42" t="s">
        <v>9</v>
      </c>
      <c r="F49" s="41" t="s">
        <v>8</v>
      </c>
      <c r="G49" s="42" t="s">
        <v>9</v>
      </c>
      <c r="H49" s="41" t="s">
        <v>10</v>
      </c>
      <c r="I49" s="41" t="s">
        <v>11</v>
      </c>
      <c r="J49" s="41" t="s">
        <v>8</v>
      </c>
      <c r="K49" s="42" t="s">
        <v>9</v>
      </c>
      <c r="L49" s="41" t="s">
        <v>12</v>
      </c>
      <c r="M49" s="41" t="s">
        <v>11</v>
      </c>
      <c r="N49" s="41" t="s">
        <v>8</v>
      </c>
      <c r="O49" s="42" t="s">
        <v>9</v>
      </c>
      <c r="P49" s="41" t="s">
        <v>12</v>
      </c>
      <c r="Q49" s="41" t="s">
        <v>11</v>
      </c>
      <c r="R49" s="41" t="s">
        <v>8</v>
      </c>
      <c r="S49" s="42" t="s">
        <v>9</v>
      </c>
    </row>
    <row r="50" spans="1:21" s="18" customFormat="1" x14ac:dyDescent="0.2">
      <c r="A50" s="18">
        <v>10</v>
      </c>
      <c r="B50" s="43">
        <v>943.81881648035699</v>
      </c>
      <c r="C50" s="44">
        <v>8.6802977725033301</v>
      </c>
      <c r="D50" s="43">
        <v>3135.8716643242301</v>
      </c>
      <c r="E50" s="44">
        <v>8.5535108890209699</v>
      </c>
      <c r="F50" s="45">
        <v>3762.7042118375698</v>
      </c>
      <c r="G50" s="44">
        <v>8.5608772651610199</v>
      </c>
      <c r="H50" s="79">
        <f>H39</f>
        <v>1432.6083640209399</v>
      </c>
      <c r="I50" s="79">
        <f t="shared" ref="I50:S50" si="5">I39</f>
        <v>3.3100190510609999</v>
      </c>
      <c r="J50" s="79">
        <f t="shared" si="5"/>
        <v>112.358748951461</v>
      </c>
      <c r="K50" s="79">
        <f t="shared" si="5"/>
        <v>3.1061469830668602</v>
      </c>
      <c r="L50" s="79">
        <f t="shared" si="5"/>
        <v>249.365601749159</v>
      </c>
      <c r="M50" s="79">
        <f t="shared" si="5"/>
        <v>2.1801503912323801</v>
      </c>
      <c r="N50" s="79">
        <f t="shared" si="5"/>
        <v>13.216376912954701</v>
      </c>
      <c r="O50" s="79">
        <f t="shared" si="5"/>
        <v>2.1801503945726601</v>
      </c>
      <c r="P50" s="79">
        <f t="shared" si="5"/>
        <v>84.761001334059998</v>
      </c>
      <c r="Q50" s="79">
        <f t="shared" si="5"/>
        <v>5.7387272399498999</v>
      </c>
      <c r="R50" s="79">
        <f t="shared" si="5"/>
        <v>5.6789870237698796</v>
      </c>
      <c r="S50" s="79">
        <f t="shared" si="5"/>
        <v>5.7387271736475496</v>
      </c>
    </row>
    <row r="51" spans="1:21" s="18" customFormat="1" x14ac:dyDescent="0.2">
      <c r="A51" s="18">
        <v>25</v>
      </c>
      <c r="B51" s="45">
        <v>1241.91184000053</v>
      </c>
      <c r="C51" s="44">
        <v>11.4218580835281</v>
      </c>
      <c r="D51" s="45">
        <v>4157.1924606183602</v>
      </c>
      <c r="E51" s="44">
        <v>11.339300451671299</v>
      </c>
      <c r="F51" s="45">
        <v>4988.1875322004398</v>
      </c>
      <c r="G51" s="44">
        <v>11.349088005490501</v>
      </c>
      <c r="H51" s="79">
        <f t="shared" ref="H51:S51" si="6">H40</f>
        <v>1975.88465173845</v>
      </c>
      <c r="I51" s="79">
        <f t="shared" si="6"/>
        <v>4.5652503532763902</v>
      </c>
      <c r="J51" s="79">
        <f t="shared" si="6"/>
        <v>153.68206164531901</v>
      </c>
      <c r="K51" s="79">
        <f t="shared" si="6"/>
        <v>4.24852605236216</v>
      </c>
      <c r="L51" s="79">
        <f t="shared" si="6"/>
        <v>347.23500062816299</v>
      </c>
      <c r="M51" s="79">
        <f t="shared" si="6"/>
        <v>3.0358017190781901</v>
      </c>
      <c r="N51" s="79">
        <f t="shared" si="6"/>
        <v>18.403454907973401</v>
      </c>
      <c r="O51" s="79">
        <f t="shared" si="6"/>
        <v>3.0358016984057401</v>
      </c>
      <c r="P51" s="79">
        <f t="shared" si="6"/>
        <v>105.512000793358</v>
      </c>
      <c r="Q51" s="79">
        <f t="shared" si="6"/>
        <v>7.1436696542558096</v>
      </c>
      <c r="R51" s="79">
        <f t="shared" si="6"/>
        <v>7.0693040783808101</v>
      </c>
      <c r="S51" s="79">
        <f t="shared" si="6"/>
        <v>7.1436696797469796</v>
      </c>
    </row>
    <row r="52" spans="1:21" s="18" customFormat="1" x14ac:dyDescent="0.2">
      <c r="A52" s="18">
        <v>100</v>
      </c>
      <c r="B52" s="45">
        <v>1382.5573317977</v>
      </c>
      <c r="C52" s="44">
        <v>12.7153740930016</v>
      </c>
      <c r="D52" s="45">
        <v>4610.7650599812396</v>
      </c>
      <c r="E52" s="44">
        <v>12.5764805989807</v>
      </c>
      <c r="F52" s="45">
        <v>5530.43069261442</v>
      </c>
      <c r="G52" s="44">
        <v>12.58279570156</v>
      </c>
      <c r="H52" s="79">
        <f t="shared" ref="H52:S52" si="7">H41</f>
        <v>2447.7031556663601</v>
      </c>
      <c r="I52" s="79">
        <f t="shared" si="7"/>
        <v>5.65537957202611</v>
      </c>
      <c r="J52" s="79">
        <f t="shared" si="7"/>
        <v>182.64105101441999</v>
      </c>
      <c r="K52" s="79">
        <f t="shared" si="7"/>
        <v>5.0490945732911001</v>
      </c>
      <c r="L52" s="79">
        <f t="shared" si="7"/>
        <v>422.40040257165703</v>
      </c>
      <c r="M52" s="79">
        <f t="shared" si="7"/>
        <v>3.69295683311468</v>
      </c>
      <c r="N52" s="79">
        <f t="shared" si="7"/>
        <v>22.387221395205401</v>
      </c>
      <c r="O52" s="79">
        <f t="shared" si="7"/>
        <v>3.6929568428319701</v>
      </c>
      <c r="P52" s="79">
        <f t="shared" si="7"/>
        <v>126.276997980895</v>
      </c>
      <c r="Q52" s="79">
        <f t="shared" si="7"/>
        <v>8.5495597820510891</v>
      </c>
      <c r="R52" s="79">
        <f t="shared" si="7"/>
        <v>8.4605589836428408</v>
      </c>
      <c r="S52" s="79">
        <f t="shared" si="7"/>
        <v>8.5495599022250008</v>
      </c>
    </row>
    <row r="53" spans="1:21" s="18" customFormat="1" x14ac:dyDescent="0.2">
      <c r="A53" s="18">
        <v>200</v>
      </c>
      <c r="B53" s="45">
        <v>1410.0363313963701</v>
      </c>
      <c r="C53" s="44">
        <v>12.968098339267801</v>
      </c>
      <c r="D53" s="45">
        <v>4703.0830657444003</v>
      </c>
      <c r="E53" s="44">
        <v>12.8282903514433</v>
      </c>
      <c r="F53" s="45">
        <v>5640.0916580759904</v>
      </c>
      <c r="G53" s="44">
        <v>12.8322955328627</v>
      </c>
      <c r="H53" s="79">
        <f t="shared" ref="H53:S53" si="8">H42</f>
        <v>2686.5775411118898</v>
      </c>
      <c r="I53" s="79">
        <f t="shared" si="8"/>
        <v>6.2072950755877301</v>
      </c>
      <c r="J53" s="79">
        <f t="shared" si="8"/>
        <v>197.00295504042899</v>
      </c>
      <c r="K53" s="79">
        <f t="shared" si="8"/>
        <v>5.4461280511269496</v>
      </c>
      <c r="L53" s="79">
        <f t="shared" si="8"/>
        <v>442.81040016100002</v>
      </c>
      <c r="M53" s="79">
        <f t="shared" si="8"/>
        <v>3.8713970988022401</v>
      </c>
      <c r="N53" s="79">
        <f t="shared" si="8"/>
        <v>23.468951345797301</v>
      </c>
      <c r="O53" s="79">
        <f t="shared" si="8"/>
        <v>3.8713971214451202</v>
      </c>
      <c r="P53" s="79">
        <f t="shared" si="8"/>
        <v>132.65033145396399</v>
      </c>
      <c r="Q53" s="79">
        <f t="shared" si="8"/>
        <v>8.9810650950550794</v>
      </c>
      <c r="R53" s="79">
        <f t="shared" si="8"/>
        <v>8.8875723009211196</v>
      </c>
      <c r="S53" s="79">
        <f t="shared" si="8"/>
        <v>8.9810651895442692</v>
      </c>
    </row>
    <row r="54" spans="1:21" s="18" customFormat="1" x14ac:dyDescent="0.2">
      <c r="A54" s="46" t="s">
        <v>13</v>
      </c>
      <c r="B54" s="78">
        <v>392.61409517304497</v>
      </c>
      <c r="C54" s="48">
        <v>3.61087021817701</v>
      </c>
      <c r="D54" s="78">
        <v>1299.37693434927</v>
      </c>
      <c r="E54" s="48">
        <v>3.5442250023628699</v>
      </c>
      <c r="F54" s="78">
        <v>1557.83882138336</v>
      </c>
      <c r="G54" s="48">
        <v>3.5443835597837201</v>
      </c>
      <c r="H54" s="80">
        <f t="shared" ref="H54:S54" si="9">H43</f>
        <v>753.007955585486</v>
      </c>
      <c r="I54" s="80">
        <f t="shared" si="9"/>
        <v>1.73981301602398</v>
      </c>
      <c r="J54" s="81">
        <f t="shared" si="9"/>
        <v>56.560510297506703</v>
      </c>
      <c r="K54" s="80">
        <f t="shared" si="9"/>
        <v>1.5636099552623</v>
      </c>
      <c r="L54" s="80">
        <f t="shared" si="9"/>
        <v>124.16847502485</v>
      </c>
      <c r="M54" s="80">
        <f t="shared" si="9"/>
        <v>1.0855785541602601</v>
      </c>
      <c r="N54" s="81">
        <f t="shared" si="9"/>
        <v>6.5809291729872701</v>
      </c>
      <c r="O54" s="80">
        <f t="shared" si="9"/>
        <v>1.0855785536109801</v>
      </c>
      <c r="P54" s="80">
        <f t="shared" si="9"/>
        <v>42.665523669085097</v>
      </c>
      <c r="Q54" s="80">
        <f t="shared" si="9"/>
        <v>2.88866104733142</v>
      </c>
      <c r="R54" s="81">
        <f t="shared" si="9"/>
        <v>2.85859009202286</v>
      </c>
      <c r="S54" s="80">
        <f t="shared" si="9"/>
        <v>2.8886610535907402</v>
      </c>
      <c r="U54" s="45"/>
    </row>
    <row r="55" spans="1:21" s="18" customFormat="1" x14ac:dyDescent="0.2">
      <c r="B55" s="18">
        <f>(B54+D54+F54)/(B54/C54+D54/E54+F54/G54)</f>
        <v>3.5522218561341368</v>
      </c>
    </row>
    <row r="56" spans="1:21" s="18" customFormat="1" x14ac:dyDescent="0.2"/>
    <row r="57" spans="1:21" s="18" customFormat="1" x14ac:dyDescent="0.2">
      <c r="A57" s="18" t="s">
        <v>18</v>
      </c>
    </row>
    <row r="58" spans="1:21" s="18" customFormat="1" x14ac:dyDescent="0.2"/>
    <row r="59" spans="1:21" s="18" customFormat="1" x14ac:dyDescent="0.2">
      <c r="A59" s="39" t="s">
        <v>1</v>
      </c>
      <c r="B59" s="100" t="s">
        <v>2</v>
      </c>
      <c r="C59" s="100"/>
      <c r="D59" s="100" t="s">
        <v>3</v>
      </c>
      <c r="E59" s="100"/>
      <c r="F59" s="100" t="s">
        <v>4</v>
      </c>
      <c r="G59" s="100"/>
      <c r="H59" s="100" t="s">
        <v>5</v>
      </c>
      <c r="I59" s="100"/>
      <c r="J59" s="100"/>
      <c r="K59" s="100"/>
      <c r="L59" s="100" t="s">
        <v>6</v>
      </c>
      <c r="M59" s="100"/>
      <c r="N59" s="100"/>
      <c r="O59" s="100"/>
      <c r="P59" s="100" t="s">
        <v>7</v>
      </c>
      <c r="Q59" s="100"/>
      <c r="R59" s="100"/>
      <c r="S59" s="100"/>
    </row>
    <row r="60" spans="1:21" s="49" customFormat="1" ht="26" x14ac:dyDescent="0.15">
      <c r="A60" s="40"/>
      <c r="B60" s="41" t="s">
        <v>8</v>
      </c>
      <c r="C60" s="42" t="s">
        <v>9</v>
      </c>
      <c r="D60" s="41" t="s">
        <v>8</v>
      </c>
      <c r="E60" s="42" t="s">
        <v>9</v>
      </c>
      <c r="F60" s="41" t="s">
        <v>8</v>
      </c>
      <c r="G60" s="42" t="s">
        <v>9</v>
      </c>
      <c r="H60" s="41" t="s">
        <v>10</v>
      </c>
      <c r="I60" s="41" t="s">
        <v>11</v>
      </c>
      <c r="J60" s="41" t="s">
        <v>8</v>
      </c>
      <c r="K60" s="42" t="s">
        <v>9</v>
      </c>
      <c r="L60" s="41" t="s">
        <v>12</v>
      </c>
      <c r="M60" s="41" t="s">
        <v>11</v>
      </c>
      <c r="N60" s="41" t="s">
        <v>8</v>
      </c>
      <c r="O60" s="42" t="s">
        <v>9</v>
      </c>
      <c r="P60" s="41" t="s">
        <v>12</v>
      </c>
      <c r="Q60" s="41" t="s">
        <v>11</v>
      </c>
      <c r="R60" s="41" t="s">
        <v>8</v>
      </c>
      <c r="S60" s="42" t="s">
        <v>9</v>
      </c>
    </row>
    <row r="61" spans="1:21" s="18" customFormat="1" x14ac:dyDescent="0.2">
      <c r="A61" s="18">
        <v>10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21" s="18" customFormat="1" x14ac:dyDescent="0.2">
      <c r="A62" s="18">
        <v>25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21" s="18" customFormat="1" x14ac:dyDescent="0.2">
      <c r="A63" s="18">
        <v>100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21" s="18" customFormat="1" x14ac:dyDescent="0.2">
      <c r="A64" s="18">
        <v>200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 s="18" customFormat="1" x14ac:dyDescent="0.2">
      <c r="A65" s="46" t="s">
        <v>13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spans="1:19" s="18" customFormat="1" x14ac:dyDescent="0.2"/>
    <row r="67" spans="1:19" s="18" customFormat="1" x14ac:dyDescent="0.2"/>
    <row r="68" spans="1:19" s="18" customFormat="1" x14ac:dyDescent="0.2">
      <c r="A68" s="18" t="s">
        <v>19</v>
      </c>
    </row>
    <row r="69" spans="1:19" s="18" customFormat="1" x14ac:dyDescent="0.2"/>
    <row r="70" spans="1:19" s="18" customFormat="1" x14ac:dyDescent="0.2">
      <c r="A70" s="39" t="s">
        <v>1</v>
      </c>
      <c r="B70" s="100" t="s">
        <v>2</v>
      </c>
      <c r="C70" s="100"/>
      <c r="D70" s="100" t="s">
        <v>3</v>
      </c>
      <c r="E70" s="100"/>
      <c r="F70" s="100" t="s">
        <v>4</v>
      </c>
      <c r="G70" s="100"/>
      <c r="H70" s="100" t="s">
        <v>5</v>
      </c>
      <c r="I70" s="100"/>
      <c r="J70" s="100"/>
      <c r="K70" s="100"/>
      <c r="L70" s="100" t="s">
        <v>6</v>
      </c>
      <c r="M70" s="100"/>
      <c r="N70" s="100"/>
      <c r="O70" s="100"/>
      <c r="P70" s="100" t="s">
        <v>7</v>
      </c>
      <c r="Q70" s="100"/>
      <c r="R70" s="100"/>
      <c r="S70" s="100"/>
    </row>
    <row r="71" spans="1:19" s="49" customFormat="1" ht="26" x14ac:dyDescent="0.15">
      <c r="A71" s="40"/>
      <c r="B71" s="41" t="s">
        <v>8</v>
      </c>
      <c r="C71" s="42" t="s">
        <v>9</v>
      </c>
      <c r="D71" s="41" t="s">
        <v>8</v>
      </c>
      <c r="E71" s="42" t="s">
        <v>9</v>
      </c>
      <c r="F71" s="41" t="s">
        <v>8</v>
      </c>
      <c r="G71" s="42" t="s">
        <v>9</v>
      </c>
      <c r="H71" s="41" t="s">
        <v>10</v>
      </c>
      <c r="I71" s="41" t="s">
        <v>11</v>
      </c>
      <c r="J71" s="41" t="s">
        <v>8</v>
      </c>
      <c r="K71" s="42" t="s">
        <v>9</v>
      </c>
      <c r="L71" s="41" t="s">
        <v>12</v>
      </c>
      <c r="M71" s="41" t="s">
        <v>11</v>
      </c>
      <c r="N71" s="41" t="s">
        <v>8</v>
      </c>
      <c r="O71" s="42" t="s">
        <v>9</v>
      </c>
      <c r="P71" s="41" t="s">
        <v>12</v>
      </c>
      <c r="Q71" s="41" t="s">
        <v>11</v>
      </c>
      <c r="R71" s="41" t="s">
        <v>8</v>
      </c>
      <c r="S71" s="42" t="s">
        <v>9</v>
      </c>
    </row>
    <row r="72" spans="1:19" s="18" customFormat="1" x14ac:dyDescent="0.2">
      <c r="A72" s="18">
        <v>10</v>
      </c>
      <c r="B72" s="43">
        <v>368.34552094743799</v>
      </c>
      <c r="C72" s="44">
        <v>5.14322861516718</v>
      </c>
      <c r="D72" s="43">
        <v>1253.7722010678399</v>
      </c>
      <c r="E72" s="44">
        <v>5.0994873510126499</v>
      </c>
      <c r="F72" s="45">
        <v>1503.9836909763901</v>
      </c>
      <c r="G72" s="44">
        <v>5.10086605394679</v>
      </c>
      <c r="H72" s="87">
        <f>H28</f>
        <v>3140.9922894053202</v>
      </c>
      <c r="I72" s="87">
        <f t="shared" ref="I72:S72" si="10">I28</f>
        <v>7.2572131911798099</v>
      </c>
      <c r="J72" s="87">
        <f t="shared" si="10"/>
        <v>240.20591885031899</v>
      </c>
      <c r="K72" s="87">
        <f t="shared" si="10"/>
        <v>6.6404698976671703</v>
      </c>
      <c r="L72" s="87">
        <f t="shared" si="10"/>
        <v>581.61459984211297</v>
      </c>
      <c r="M72" s="87">
        <f t="shared" si="10"/>
        <v>5.0849326791581797</v>
      </c>
      <c r="N72" s="87">
        <f t="shared" si="10"/>
        <v>30.825574267510099</v>
      </c>
      <c r="O72" s="87">
        <f t="shared" si="10"/>
        <v>5.0849327576582004</v>
      </c>
      <c r="P72" s="87">
        <f t="shared" si="10"/>
        <v>164.86899805185399</v>
      </c>
      <c r="Q72" s="87">
        <f t="shared" si="10"/>
        <v>11.1624237001932</v>
      </c>
      <c r="R72" s="87">
        <f t="shared" si="10"/>
        <v>11.046222982433401</v>
      </c>
      <c r="S72" s="87">
        <f t="shared" si="10"/>
        <v>11.1624238143407</v>
      </c>
    </row>
    <row r="73" spans="1:19" s="18" customFormat="1" x14ac:dyDescent="0.2">
      <c r="A73" s="18">
        <v>25</v>
      </c>
      <c r="B73" s="45">
        <v>517.48496867165204</v>
      </c>
      <c r="C73" s="44">
        <v>7.2256708645324501</v>
      </c>
      <c r="D73" s="45">
        <v>1757.2109355948101</v>
      </c>
      <c r="E73" s="44">
        <v>7.1471316172865196</v>
      </c>
      <c r="F73" s="45">
        <v>2107.9579881715699</v>
      </c>
      <c r="G73" s="44">
        <v>7.1492871960797704</v>
      </c>
      <c r="H73" s="79">
        <f t="shared" ref="H73:S73" si="11">H29</f>
        <v>3811.0608425464002</v>
      </c>
      <c r="I73" s="79">
        <f t="shared" si="11"/>
        <v>8.8053960247552894</v>
      </c>
      <c r="J73" s="79">
        <f t="shared" si="11"/>
        <v>302.56937223882397</v>
      </c>
      <c r="K73" s="79">
        <f t="shared" si="11"/>
        <v>8.3645016655895699</v>
      </c>
      <c r="L73" s="79">
        <f t="shared" si="11"/>
        <v>722.36801587371201</v>
      </c>
      <c r="M73" s="79">
        <f t="shared" si="11"/>
        <v>6.3155098432742802</v>
      </c>
      <c r="N73" s="79">
        <f t="shared" si="11"/>
        <v>38.285503928956999</v>
      </c>
      <c r="O73" s="79">
        <f t="shared" si="11"/>
        <v>6.3155096927746701</v>
      </c>
      <c r="P73" s="79">
        <f t="shared" si="11"/>
        <v>191.67700109048701</v>
      </c>
      <c r="Q73" s="79">
        <f t="shared" si="11"/>
        <v>12.9774543730865</v>
      </c>
      <c r="R73" s="79">
        <f t="shared" si="11"/>
        <v>12.8423589953745</v>
      </c>
      <c r="S73" s="79">
        <f t="shared" si="11"/>
        <v>12.977454294581101</v>
      </c>
    </row>
    <row r="74" spans="1:19" s="18" customFormat="1" x14ac:dyDescent="0.2">
      <c r="A74" s="18">
        <v>100</v>
      </c>
      <c r="B74" s="45">
        <v>735.66815005106196</v>
      </c>
      <c r="C74" s="44">
        <v>10.272174535684499</v>
      </c>
      <c r="D74" s="45">
        <v>2494.45994372429</v>
      </c>
      <c r="E74" s="44">
        <v>10.145756078971701</v>
      </c>
      <c r="F74" s="45">
        <v>2992.2502416303701</v>
      </c>
      <c r="G74" s="44">
        <v>10.148426325379599</v>
      </c>
      <c r="H74" s="79">
        <f t="shared" ref="H74:S74" si="12">H30</f>
        <v>4628.7882245252804</v>
      </c>
      <c r="I74" s="79">
        <f t="shared" si="12"/>
        <v>10.6947422556592</v>
      </c>
      <c r="J74" s="79">
        <f t="shared" si="12"/>
        <v>378.74647208908601</v>
      </c>
      <c r="K74" s="79">
        <f t="shared" si="12"/>
        <v>10.470410382861701</v>
      </c>
      <c r="L74" s="79">
        <f t="shared" si="12"/>
        <v>880.20500773983099</v>
      </c>
      <c r="M74" s="79">
        <f t="shared" si="12"/>
        <v>7.6954450755361998</v>
      </c>
      <c r="N74" s="79">
        <f t="shared" si="12"/>
        <v>46.6508658322564</v>
      </c>
      <c r="O74" s="79">
        <f t="shared" si="12"/>
        <v>7.6954451451560599</v>
      </c>
      <c r="P74" s="79">
        <f t="shared" si="12"/>
        <v>242.022000605008</v>
      </c>
      <c r="Q74" s="79">
        <f t="shared" si="12"/>
        <v>16.386052850711401</v>
      </c>
      <c r="R74" s="79">
        <f t="shared" si="12"/>
        <v>16.215474157273999</v>
      </c>
      <c r="S74" s="79">
        <f t="shared" si="12"/>
        <v>16.386052968677902</v>
      </c>
    </row>
    <row r="75" spans="1:19" s="18" customFormat="1" x14ac:dyDescent="0.2">
      <c r="A75" s="18">
        <v>200</v>
      </c>
      <c r="B75" s="45">
        <v>821.42797421008595</v>
      </c>
      <c r="C75" s="44">
        <v>11.469643641625799</v>
      </c>
      <c r="D75" s="45">
        <v>2774.78617485623</v>
      </c>
      <c r="E75" s="44">
        <v>11.285931358497599</v>
      </c>
      <c r="F75" s="45">
        <v>3328.78625231346</v>
      </c>
      <c r="G75" s="44">
        <v>11.289811782631199</v>
      </c>
      <c r="H75" s="79">
        <f t="shared" ref="H75:S75" si="13">H31</f>
        <v>4773.8521818962599</v>
      </c>
      <c r="I75" s="79">
        <f t="shared" si="13"/>
        <v>11.029910243351599</v>
      </c>
      <c r="J75" s="79">
        <f t="shared" si="13"/>
        <v>395.40113331051498</v>
      </c>
      <c r="K75" s="79">
        <f t="shared" si="13"/>
        <v>10.930826916417899</v>
      </c>
      <c r="L75" s="79">
        <f t="shared" si="13"/>
        <v>899.91207359444002</v>
      </c>
      <c r="M75" s="79">
        <f t="shared" si="13"/>
        <v>7.8677397586504698</v>
      </c>
      <c r="N75" s="79">
        <f t="shared" si="13"/>
        <v>47.695340351749699</v>
      </c>
      <c r="O75" s="79">
        <f t="shared" si="13"/>
        <v>7.8677398330869499</v>
      </c>
      <c r="P75" s="79">
        <f t="shared" si="13"/>
        <v>252.197333094897</v>
      </c>
      <c r="Q75" s="79">
        <f t="shared" si="13"/>
        <v>17.074971773520399</v>
      </c>
      <c r="R75" s="79">
        <f t="shared" si="13"/>
        <v>16.897221433590602</v>
      </c>
      <c r="S75" s="79">
        <f t="shared" si="13"/>
        <v>17.074971890975601</v>
      </c>
    </row>
    <row r="76" spans="1:19" s="18" customFormat="1" x14ac:dyDescent="0.2">
      <c r="A76" s="46" t="s">
        <v>13</v>
      </c>
      <c r="B76" s="78">
        <v>214.57434176980399</v>
      </c>
      <c r="C76" s="48">
        <v>2.9961132466942599</v>
      </c>
      <c r="D76" s="78">
        <v>730.44208924806196</v>
      </c>
      <c r="E76" s="48">
        <v>2.9709385736860798</v>
      </c>
      <c r="F76" s="78">
        <v>876.13413269445596</v>
      </c>
      <c r="G76" s="48">
        <v>2.9714702911864301</v>
      </c>
      <c r="H76" s="80">
        <f t="shared" ref="H76:S76" si="14">H32</f>
        <v>1930.68040719284</v>
      </c>
      <c r="I76" s="80">
        <f t="shared" si="14"/>
        <v>4.4608066585496298</v>
      </c>
      <c r="J76" s="81">
        <f t="shared" si="14"/>
        <v>148.34601294145699</v>
      </c>
      <c r="K76" s="80">
        <f t="shared" si="14"/>
        <v>4.1010114908556199</v>
      </c>
      <c r="L76" s="80">
        <f t="shared" si="14"/>
        <v>347.630533926873</v>
      </c>
      <c r="M76" s="80">
        <f t="shared" si="14"/>
        <v>3.0392597825395402</v>
      </c>
      <c r="N76" s="81">
        <f t="shared" si="14"/>
        <v>18.424418307195701</v>
      </c>
      <c r="O76" s="80">
        <f t="shared" si="14"/>
        <v>3.0392597840359499</v>
      </c>
      <c r="P76" s="80">
        <f t="shared" si="14"/>
        <v>119.521635976954</v>
      </c>
      <c r="Q76" s="80">
        <f t="shared" si="14"/>
        <v>8.09218930108017</v>
      </c>
      <c r="R76" s="81">
        <f t="shared" si="14"/>
        <v>8.0079496248658693</v>
      </c>
      <c r="S76" s="80">
        <f t="shared" si="14"/>
        <v>8.0921893156417006</v>
      </c>
    </row>
    <row r="77" spans="1:19" s="18" customFormat="1" x14ac:dyDescent="0.2">
      <c r="B77" s="123">
        <f>(B76+D76+F76)/(B76/C76+D76/E76+F76/G76)</f>
        <v>2.974139020065433</v>
      </c>
    </row>
    <row r="78" spans="1:19" s="18" customFormat="1" x14ac:dyDescent="0.2"/>
    <row r="79" spans="1:19" s="18" customFormat="1" x14ac:dyDescent="0.2">
      <c r="A79" s="18" t="s">
        <v>20</v>
      </c>
    </row>
    <row r="80" spans="1:19" s="18" customFormat="1" x14ac:dyDescent="0.2"/>
    <row r="81" spans="1:19" s="18" customFormat="1" x14ac:dyDescent="0.2">
      <c r="A81" s="39" t="s">
        <v>1</v>
      </c>
      <c r="B81" s="100" t="s">
        <v>2</v>
      </c>
      <c r="C81" s="100"/>
      <c r="D81" s="100" t="s">
        <v>3</v>
      </c>
      <c r="E81" s="100"/>
      <c r="F81" s="100" t="s">
        <v>4</v>
      </c>
      <c r="G81" s="100"/>
      <c r="H81" s="100" t="s">
        <v>5</v>
      </c>
      <c r="I81" s="100"/>
      <c r="J81" s="100"/>
      <c r="K81" s="100"/>
      <c r="L81" s="100" t="s">
        <v>6</v>
      </c>
      <c r="M81" s="100"/>
      <c r="N81" s="100"/>
      <c r="O81" s="100"/>
      <c r="P81" s="100" t="s">
        <v>7</v>
      </c>
      <c r="Q81" s="100"/>
      <c r="R81" s="100"/>
      <c r="S81" s="100"/>
    </row>
    <row r="82" spans="1:19" s="49" customFormat="1" ht="26" x14ac:dyDescent="0.15">
      <c r="A82" s="40"/>
      <c r="B82" s="41" t="s">
        <v>8</v>
      </c>
      <c r="C82" s="42" t="s">
        <v>9</v>
      </c>
      <c r="D82" s="41" t="s">
        <v>8</v>
      </c>
      <c r="E82" s="42" t="s">
        <v>9</v>
      </c>
      <c r="F82" s="41" t="s">
        <v>8</v>
      </c>
      <c r="G82" s="42" t="s">
        <v>9</v>
      </c>
      <c r="H82" s="41" t="s">
        <v>10</v>
      </c>
      <c r="I82" s="41" t="s">
        <v>11</v>
      </c>
      <c r="J82" s="41" t="s">
        <v>8</v>
      </c>
      <c r="K82" s="42" t="s">
        <v>9</v>
      </c>
      <c r="L82" s="41" t="s">
        <v>12</v>
      </c>
      <c r="M82" s="41" t="s">
        <v>11</v>
      </c>
      <c r="N82" s="41" t="s">
        <v>8</v>
      </c>
      <c r="O82" s="42" t="s">
        <v>9</v>
      </c>
      <c r="P82" s="41" t="s">
        <v>12</v>
      </c>
      <c r="Q82" s="41" t="s">
        <v>11</v>
      </c>
      <c r="R82" s="41" t="s">
        <v>8</v>
      </c>
      <c r="S82" s="42" t="s">
        <v>9</v>
      </c>
    </row>
    <row r="83" spans="1:19" s="18" customFormat="1" x14ac:dyDescent="0.2">
      <c r="A83" s="18">
        <v>10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 s="18" customFormat="1" x14ac:dyDescent="0.2">
      <c r="A84" s="18">
        <v>25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 s="18" customFormat="1" x14ac:dyDescent="0.2">
      <c r="A85" s="18">
        <v>100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</row>
    <row r="86" spans="1:19" s="18" customFormat="1" x14ac:dyDescent="0.2">
      <c r="A86" s="18">
        <v>200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</row>
    <row r="87" spans="1:19" s="18" customFormat="1" x14ac:dyDescent="0.2">
      <c r="A87" s="46" t="s">
        <v>13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</row>
    <row r="88" spans="1:19" s="18" customFormat="1" x14ac:dyDescent="0.2"/>
    <row r="89" spans="1:19" s="18" customFormat="1" x14ac:dyDescent="0.2"/>
    <row r="90" spans="1:19" s="18" customFormat="1" x14ac:dyDescent="0.2">
      <c r="A90" s="18" t="s">
        <v>21</v>
      </c>
    </row>
    <row r="91" spans="1:19" s="18" customFormat="1" x14ac:dyDescent="0.2"/>
    <row r="92" spans="1:19" s="18" customFormat="1" x14ac:dyDescent="0.2">
      <c r="A92" s="39" t="s">
        <v>1</v>
      </c>
      <c r="B92" s="100" t="s">
        <v>2</v>
      </c>
      <c r="C92" s="100"/>
      <c r="D92" s="100" t="s">
        <v>3</v>
      </c>
      <c r="E92" s="100"/>
      <c r="F92" s="100" t="s">
        <v>4</v>
      </c>
      <c r="G92" s="100"/>
      <c r="H92" s="100" t="s">
        <v>5</v>
      </c>
      <c r="I92" s="100"/>
      <c r="J92" s="100"/>
      <c r="K92" s="100"/>
      <c r="L92" s="100" t="s">
        <v>6</v>
      </c>
      <c r="M92" s="100"/>
      <c r="N92" s="100"/>
      <c r="O92" s="100"/>
      <c r="P92" s="100" t="s">
        <v>7</v>
      </c>
      <c r="Q92" s="100"/>
      <c r="R92" s="100"/>
      <c r="S92" s="100"/>
    </row>
    <row r="93" spans="1:19" s="49" customFormat="1" ht="26" x14ac:dyDescent="0.15">
      <c r="A93" s="40"/>
      <c r="B93" s="41" t="s">
        <v>8</v>
      </c>
      <c r="C93" s="42" t="s">
        <v>9</v>
      </c>
      <c r="D93" s="41" t="s">
        <v>8</v>
      </c>
      <c r="E93" s="42" t="s">
        <v>9</v>
      </c>
      <c r="F93" s="41" t="s">
        <v>8</v>
      </c>
      <c r="G93" s="42" t="s">
        <v>9</v>
      </c>
      <c r="H93" s="41" t="s">
        <v>10</v>
      </c>
      <c r="I93" s="41" t="s">
        <v>11</v>
      </c>
      <c r="J93" s="41" t="s">
        <v>8</v>
      </c>
      <c r="K93" s="42" t="s">
        <v>9</v>
      </c>
      <c r="L93" s="41" t="s">
        <v>12</v>
      </c>
      <c r="M93" s="41" t="s">
        <v>11</v>
      </c>
      <c r="N93" s="41" t="s">
        <v>8</v>
      </c>
      <c r="O93" s="42" t="s">
        <v>9</v>
      </c>
      <c r="P93" s="41" t="s">
        <v>12</v>
      </c>
      <c r="Q93" s="41" t="s">
        <v>11</v>
      </c>
      <c r="R93" s="41" t="s">
        <v>8</v>
      </c>
      <c r="S93" s="42" t="s">
        <v>9</v>
      </c>
    </row>
    <row r="94" spans="1:19" s="18" customFormat="1" x14ac:dyDescent="0.2">
      <c r="A94" s="18">
        <v>10</v>
      </c>
      <c r="B94" s="43">
        <v>142.93827734334801</v>
      </c>
      <c r="C94" s="44">
        <v>1.9958549688457199</v>
      </c>
      <c r="D94" s="43">
        <v>486.618167487346</v>
      </c>
      <c r="E94" s="44">
        <v>1.9792297099594101</v>
      </c>
      <c r="F94" s="45">
        <v>583.70350090711702</v>
      </c>
      <c r="G94" s="44">
        <v>1.9796713163917901</v>
      </c>
      <c r="H94" s="87">
        <f>H50</f>
        <v>1432.6083640209399</v>
      </c>
      <c r="I94" s="87">
        <f t="shared" ref="I94:S94" si="15">I50</f>
        <v>3.3100190510609999</v>
      </c>
      <c r="J94" s="87">
        <f t="shared" si="15"/>
        <v>112.358748951461</v>
      </c>
      <c r="K94" s="87">
        <f t="shared" si="15"/>
        <v>3.1061469830668602</v>
      </c>
      <c r="L94" s="87">
        <f t="shared" si="15"/>
        <v>249.365601749159</v>
      </c>
      <c r="M94" s="87">
        <f t="shared" si="15"/>
        <v>2.1801503912323801</v>
      </c>
      <c r="N94" s="87">
        <f t="shared" si="15"/>
        <v>13.216376912954701</v>
      </c>
      <c r="O94" s="87">
        <f t="shared" si="15"/>
        <v>2.1801503945726601</v>
      </c>
      <c r="P94" s="87">
        <f t="shared" si="15"/>
        <v>84.761001334059998</v>
      </c>
      <c r="Q94" s="87">
        <f t="shared" si="15"/>
        <v>5.7387272399498999</v>
      </c>
      <c r="R94" s="87">
        <f t="shared" si="15"/>
        <v>5.6789870237698796</v>
      </c>
      <c r="S94" s="87">
        <f t="shared" si="15"/>
        <v>5.7387271736475496</v>
      </c>
    </row>
    <row r="95" spans="1:19" s="18" customFormat="1" x14ac:dyDescent="0.2">
      <c r="A95" s="18">
        <v>25</v>
      </c>
      <c r="B95" s="45">
        <v>195.40409929273201</v>
      </c>
      <c r="C95" s="44">
        <v>2.7284381045772501</v>
      </c>
      <c r="D95" s="45">
        <v>667.103228289144</v>
      </c>
      <c r="E95" s="44">
        <v>2.7133194304218899</v>
      </c>
      <c r="F95" s="45">
        <v>800.03152494709605</v>
      </c>
      <c r="G95" s="44">
        <v>2.7133629654192801</v>
      </c>
      <c r="H95" s="79">
        <f t="shared" ref="H95:S95" si="16">H51</f>
        <v>1975.88465173845</v>
      </c>
      <c r="I95" s="79">
        <f t="shared" si="16"/>
        <v>4.5652503532763902</v>
      </c>
      <c r="J95" s="79">
        <f t="shared" si="16"/>
        <v>153.68206164531901</v>
      </c>
      <c r="K95" s="79">
        <f t="shared" si="16"/>
        <v>4.24852605236216</v>
      </c>
      <c r="L95" s="79">
        <f t="shared" si="16"/>
        <v>347.23500062816299</v>
      </c>
      <c r="M95" s="79">
        <f t="shared" si="16"/>
        <v>3.0358017190781901</v>
      </c>
      <c r="N95" s="79">
        <f t="shared" si="16"/>
        <v>18.403454907973401</v>
      </c>
      <c r="O95" s="79">
        <f t="shared" si="16"/>
        <v>3.0358016984057401</v>
      </c>
      <c r="P95" s="79">
        <f t="shared" si="16"/>
        <v>105.512000793358</v>
      </c>
      <c r="Q95" s="79">
        <f t="shared" si="16"/>
        <v>7.1436696542558096</v>
      </c>
      <c r="R95" s="79">
        <f t="shared" si="16"/>
        <v>7.0693040783808101</v>
      </c>
      <c r="S95" s="79">
        <f t="shared" si="16"/>
        <v>7.1436696797469796</v>
      </c>
    </row>
    <row r="96" spans="1:19" s="18" customFormat="1" x14ac:dyDescent="0.2">
      <c r="A96" s="18">
        <v>100</v>
      </c>
      <c r="B96" s="45">
        <v>258.493209536027</v>
      </c>
      <c r="C96" s="44">
        <v>3.6093547946299398</v>
      </c>
      <c r="D96" s="45">
        <v>878.70238848682504</v>
      </c>
      <c r="E96" s="44">
        <v>3.5739600156844702</v>
      </c>
      <c r="F96" s="45">
        <v>1053.9998044533399</v>
      </c>
      <c r="G96" s="44">
        <v>3.5747141778593901</v>
      </c>
      <c r="H96" s="79">
        <f t="shared" ref="H96:S96" si="17">H52</f>
        <v>2447.7031556663601</v>
      </c>
      <c r="I96" s="79">
        <f t="shared" si="17"/>
        <v>5.65537957202611</v>
      </c>
      <c r="J96" s="79">
        <f t="shared" si="17"/>
        <v>182.64105101441999</v>
      </c>
      <c r="K96" s="79">
        <f t="shared" si="17"/>
        <v>5.0490945732911001</v>
      </c>
      <c r="L96" s="79">
        <f t="shared" si="17"/>
        <v>422.40040257165703</v>
      </c>
      <c r="M96" s="79">
        <f t="shared" si="17"/>
        <v>3.69295683311468</v>
      </c>
      <c r="N96" s="79">
        <f t="shared" si="17"/>
        <v>22.387221395205401</v>
      </c>
      <c r="O96" s="79">
        <f t="shared" si="17"/>
        <v>3.6929568428319701</v>
      </c>
      <c r="P96" s="79">
        <f t="shared" si="17"/>
        <v>126.276997980895</v>
      </c>
      <c r="Q96" s="79">
        <f t="shared" si="17"/>
        <v>8.5495597820510891</v>
      </c>
      <c r="R96" s="79">
        <f t="shared" si="17"/>
        <v>8.4605589836428408</v>
      </c>
      <c r="S96" s="79">
        <f t="shared" si="17"/>
        <v>8.5495599022250008</v>
      </c>
    </row>
    <row r="97" spans="1:19" s="18" customFormat="1" x14ac:dyDescent="0.2">
      <c r="A97" s="18">
        <v>200</v>
      </c>
      <c r="B97" s="45">
        <v>287.579192605223</v>
      </c>
      <c r="C97" s="44">
        <v>4.0154839638865001</v>
      </c>
      <c r="D97" s="45">
        <v>982.04985628435497</v>
      </c>
      <c r="E97" s="44">
        <v>3.9943067934674099</v>
      </c>
      <c r="F97" s="45">
        <v>1177.8486735759</v>
      </c>
      <c r="G97" s="44">
        <v>3.9947562940852999</v>
      </c>
      <c r="H97" s="79">
        <f t="shared" ref="H97:S97" si="18">H53</f>
        <v>2686.5775411118898</v>
      </c>
      <c r="I97" s="79">
        <f t="shared" si="18"/>
        <v>6.2072950755877301</v>
      </c>
      <c r="J97" s="79">
        <f t="shared" si="18"/>
        <v>197.00295504042899</v>
      </c>
      <c r="K97" s="79">
        <f t="shared" si="18"/>
        <v>5.4461280511269496</v>
      </c>
      <c r="L97" s="79">
        <f t="shared" si="18"/>
        <v>442.81040016100002</v>
      </c>
      <c r="M97" s="79">
        <f t="shared" si="18"/>
        <v>3.8713970988022401</v>
      </c>
      <c r="N97" s="79">
        <f t="shared" si="18"/>
        <v>23.468951345797301</v>
      </c>
      <c r="O97" s="79">
        <f t="shared" si="18"/>
        <v>3.8713971214451202</v>
      </c>
      <c r="P97" s="79">
        <f t="shared" si="18"/>
        <v>132.65033145396399</v>
      </c>
      <c r="Q97" s="79">
        <f t="shared" si="18"/>
        <v>8.9810650950550794</v>
      </c>
      <c r="R97" s="79">
        <f t="shared" si="18"/>
        <v>8.8875723009211196</v>
      </c>
      <c r="S97" s="79">
        <f t="shared" si="18"/>
        <v>8.9810651895442692</v>
      </c>
    </row>
    <row r="98" spans="1:19" s="18" customFormat="1" x14ac:dyDescent="0.2">
      <c r="A98" s="46" t="s">
        <v>13</v>
      </c>
      <c r="B98" s="78">
        <v>72.916592366206501</v>
      </c>
      <c r="C98" s="48">
        <v>1.0181383593690301</v>
      </c>
      <c r="D98" s="78">
        <v>248.94747773440201</v>
      </c>
      <c r="E98" s="48">
        <v>1.0125479833512401</v>
      </c>
      <c r="F98" s="78">
        <v>298.58326462308202</v>
      </c>
      <c r="G98" s="48">
        <v>1.0126660600978501</v>
      </c>
      <c r="H98" s="80">
        <f t="shared" ref="H98:S98" si="19">H54</f>
        <v>753.007955585486</v>
      </c>
      <c r="I98" s="80">
        <f t="shared" si="19"/>
        <v>1.73981301602398</v>
      </c>
      <c r="J98" s="81">
        <f t="shared" si="19"/>
        <v>56.560510297506703</v>
      </c>
      <c r="K98" s="80">
        <f t="shared" si="19"/>
        <v>1.5636099552623</v>
      </c>
      <c r="L98" s="80">
        <f t="shared" si="19"/>
        <v>124.16847502485</v>
      </c>
      <c r="M98" s="80">
        <f t="shared" si="19"/>
        <v>1.0855785541602601</v>
      </c>
      <c r="N98" s="81">
        <f t="shared" si="19"/>
        <v>6.5809291729872701</v>
      </c>
      <c r="O98" s="80">
        <f t="shared" si="19"/>
        <v>1.0855785536109801</v>
      </c>
      <c r="P98" s="80">
        <f t="shared" si="19"/>
        <v>42.665523669085097</v>
      </c>
      <c r="Q98" s="80">
        <f t="shared" si="19"/>
        <v>2.88866104733142</v>
      </c>
      <c r="R98" s="81">
        <f t="shared" si="19"/>
        <v>2.85859009202286</v>
      </c>
      <c r="S98" s="80">
        <f t="shared" si="19"/>
        <v>2.8886610535907402</v>
      </c>
    </row>
    <row r="99" spans="1:19" x14ac:dyDescent="0.2">
      <c r="B99" s="123">
        <f>(B98+D98+F98)/(B98/C98+D98/E98+F98/G98)</f>
        <v>1.0132586864953017</v>
      </c>
    </row>
  </sheetData>
  <mergeCells count="54">
    <mergeCell ref="P92:S92"/>
    <mergeCell ref="B92:C92"/>
    <mergeCell ref="D92:E92"/>
    <mergeCell ref="F92:G92"/>
    <mergeCell ref="H92:K92"/>
    <mergeCell ref="L92:O92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G62"/>
  <sheetViews>
    <sheetView workbookViewId="0">
      <selection activeCell="A40" sqref="A40"/>
    </sheetView>
  </sheetViews>
  <sheetFormatPr baseColWidth="10" defaultColWidth="8.83203125" defaultRowHeight="15" x14ac:dyDescent="0.2"/>
  <cols>
    <col min="2" max="2" width="9.83203125" customWidth="1"/>
    <col min="3" max="3" width="10.33203125" customWidth="1"/>
  </cols>
  <sheetData>
    <row r="2" spans="1:7" x14ac:dyDescent="0.2">
      <c r="A2" s="1" t="s">
        <v>0</v>
      </c>
    </row>
    <row r="3" spans="1:7" s="1" customFormat="1" x14ac:dyDescent="0.2"/>
    <row r="4" spans="1:7" s="1" customFormat="1" x14ac:dyDescent="0.2">
      <c r="A4" s="2" t="s">
        <v>1</v>
      </c>
      <c r="B4" s="101" t="s">
        <v>22</v>
      </c>
      <c r="C4" s="101"/>
      <c r="D4" s="101" t="s">
        <v>23</v>
      </c>
      <c r="E4" s="101"/>
      <c r="F4" s="101" t="s">
        <v>24</v>
      </c>
      <c r="G4" s="101"/>
    </row>
    <row r="5" spans="1:7" s="6" customFormat="1" ht="26" x14ac:dyDescent="0.15">
      <c r="A5" s="3"/>
      <c r="B5" s="4" t="s">
        <v>8</v>
      </c>
      <c r="C5" s="5" t="s">
        <v>9</v>
      </c>
      <c r="D5" s="4" t="s">
        <v>8</v>
      </c>
      <c r="E5" s="5" t="s">
        <v>9</v>
      </c>
      <c r="F5" s="4" t="s">
        <v>8</v>
      </c>
      <c r="G5" s="5" t="s">
        <v>9</v>
      </c>
    </row>
    <row r="6" spans="1:7" s="1" customFormat="1" x14ac:dyDescent="0.2">
      <c r="A6" s="1">
        <v>10</v>
      </c>
      <c r="B6" s="7"/>
      <c r="C6" s="7"/>
    </row>
    <row r="7" spans="1:7" s="1" customFormat="1" x14ac:dyDescent="0.2">
      <c r="A7" s="1">
        <v>25</v>
      </c>
    </row>
    <row r="8" spans="1:7" s="1" customFormat="1" x14ac:dyDescent="0.2">
      <c r="A8" s="1">
        <v>100</v>
      </c>
    </row>
    <row r="9" spans="1:7" s="1" customFormat="1" x14ac:dyDescent="0.2">
      <c r="A9" s="1">
        <v>200</v>
      </c>
    </row>
    <row r="10" spans="1:7" s="1" customFormat="1" x14ac:dyDescent="0.2">
      <c r="A10" s="8" t="s">
        <v>13</v>
      </c>
      <c r="B10" s="8"/>
      <c r="C10" s="8"/>
      <c r="D10" s="8"/>
      <c r="E10" s="8"/>
      <c r="F10" s="8"/>
      <c r="G10" s="8"/>
    </row>
    <row r="11" spans="1:7" s="1" customFormat="1" x14ac:dyDescent="0.2"/>
    <row r="12" spans="1:7" s="1" customFormat="1" x14ac:dyDescent="0.2"/>
    <row r="13" spans="1:7" s="1" customFormat="1" x14ac:dyDescent="0.2">
      <c r="A13" s="1" t="s">
        <v>14</v>
      </c>
    </row>
    <row r="14" spans="1:7" s="1" customFormat="1" x14ac:dyDescent="0.2"/>
    <row r="15" spans="1:7" s="1" customFormat="1" x14ac:dyDescent="0.2">
      <c r="A15" s="2" t="s">
        <v>1</v>
      </c>
      <c r="B15" s="101" t="s">
        <v>22</v>
      </c>
      <c r="C15" s="101"/>
      <c r="D15" s="101" t="s">
        <v>23</v>
      </c>
      <c r="E15" s="101"/>
      <c r="F15" s="101" t="s">
        <v>24</v>
      </c>
      <c r="G15" s="101"/>
    </row>
    <row r="16" spans="1:7" s="6" customFormat="1" ht="26" x14ac:dyDescent="0.15">
      <c r="A16" s="3"/>
      <c r="B16" s="4" t="s">
        <v>8</v>
      </c>
      <c r="C16" s="5" t="s">
        <v>9</v>
      </c>
      <c r="D16" s="4" t="s">
        <v>8</v>
      </c>
      <c r="E16" s="5" t="s">
        <v>9</v>
      </c>
      <c r="F16" s="4" t="s">
        <v>8</v>
      </c>
      <c r="G16" s="5" t="s">
        <v>9</v>
      </c>
    </row>
    <row r="17" spans="1:7" s="1" customFormat="1" x14ac:dyDescent="0.2">
      <c r="A17" s="1">
        <v>10</v>
      </c>
      <c r="B17" s="7"/>
      <c r="C17" s="7"/>
    </row>
    <row r="18" spans="1:7" s="1" customFormat="1" x14ac:dyDescent="0.2">
      <c r="A18" s="1">
        <v>25</v>
      </c>
    </row>
    <row r="19" spans="1:7" s="1" customFormat="1" x14ac:dyDescent="0.2">
      <c r="A19" s="1">
        <v>100</v>
      </c>
    </row>
    <row r="20" spans="1:7" s="1" customFormat="1" x14ac:dyDescent="0.2">
      <c r="A20" s="1">
        <v>200</v>
      </c>
    </row>
    <row r="21" spans="1:7" s="1" customFormat="1" x14ac:dyDescent="0.2">
      <c r="A21" s="1">
        <v>500</v>
      </c>
    </row>
    <row r="22" spans="1:7" s="1" customFormat="1" x14ac:dyDescent="0.2">
      <c r="A22" s="1">
        <v>1000</v>
      </c>
    </row>
    <row r="23" spans="1:7" s="1" customFormat="1" x14ac:dyDescent="0.2">
      <c r="A23" s="8" t="s">
        <v>13</v>
      </c>
      <c r="B23" s="8"/>
      <c r="C23" s="8"/>
      <c r="D23" s="8"/>
      <c r="E23" s="8"/>
      <c r="F23" s="8"/>
      <c r="G23" s="8"/>
    </row>
    <row r="24" spans="1:7" s="1" customFormat="1" x14ac:dyDescent="0.2"/>
    <row r="25" spans="1:7" s="1" customFormat="1" x14ac:dyDescent="0.2"/>
    <row r="26" spans="1:7" s="1" customFormat="1" x14ac:dyDescent="0.2">
      <c r="A26" s="1" t="s">
        <v>15</v>
      </c>
    </row>
    <row r="27" spans="1:7" s="1" customFormat="1" x14ac:dyDescent="0.2"/>
    <row r="28" spans="1:7" s="1" customFormat="1" x14ac:dyDescent="0.2">
      <c r="A28" s="2" t="s">
        <v>1</v>
      </c>
      <c r="B28" s="101" t="s">
        <v>22</v>
      </c>
      <c r="C28" s="101"/>
      <c r="D28" s="101" t="s">
        <v>23</v>
      </c>
      <c r="E28" s="101"/>
      <c r="F28" s="101" t="s">
        <v>24</v>
      </c>
      <c r="G28" s="101"/>
    </row>
    <row r="29" spans="1:7" s="6" customFormat="1" ht="26" x14ac:dyDescent="0.15">
      <c r="A29" s="3"/>
      <c r="B29" s="4" t="s">
        <v>8</v>
      </c>
      <c r="C29" s="5" t="s">
        <v>9</v>
      </c>
      <c r="D29" s="4" t="s">
        <v>8</v>
      </c>
      <c r="E29" s="5" t="s">
        <v>9</v>
      </c>
      <c r="F29" s="4" t="s">
        <v>8</v>
      </c>
      <c r="G29" s="5" t="s">
        <v>9</v>
      </c>
    </row>
    <row r="30" spans="1:7" s="1" customFormat="1" x14ac:dyDescent="0.2">
      <c r="A30" s="1">
        <v>10</v>
      </c>
      <c r="B30" s="7"/>
      <c r="C30" s="7"/>
    </row>
    <row r="31" spans="1:7" s="1" customFormat="1" x14ac:dyDescent="0.2">
      <c r="A31" s="1">
        <v>25</v>
      </c>
    </row>
    <row r="32" spans="1:7" s="1" customFormat="1" x14ac:dyDescent="0.2">
      <c r="A32" s="1">
        <v>100</v>
      </c>
    </row>
    <row r="33" spans="1:7" s="1" customFormat="1" x14ac:dyDescent="0.2">
      <c r="A33" s="1">
        <v>200</v>
      </c>
    </row>
    <row r="34" spans="1:7" s="1" customFormat="1" x14ac:dyDescent="0.2">
      <c r="A34" s="1">
        <v>500</v>
      </c>
    </row>
    <row r="35" spans="1:7" s="1" customFormat="1" x14ac:dyDescent="0.2">
      <c r="A35" s="1">
        <v>1000</v>
      </c>
    </row>
    <row r="36" spans="1:7" s="1" customFormat="1" x14ac:dyDescent="0.2">
      <c r="A36" s="8" t="s">
        <v>13</v>
      </c>
      <c r="B36" s="8"/>
      <c r="C36" s="8"/>
      <c r="D36" s="8"/>
      <c r="E36" s="8"/>
      <c r="F36" s="8"/>
      <c r="G36" s="8"/>
    </row>
    <row r="37" spans="1:7" s="1" customFormat="1" x14ac:dyDescent="0.2"/>
    <row r="38" spans="1:7" s="1" customFormat="1" x14ac:dyDescent="0.2"/>
    <row r="39" spans="1:7" s="1" customFormat="1" x14ac:dyDescent="0.2">
      <c r="A39" s="1" t="s">
        <v>16</v>
      </c>
    </row>
    <row r="40" spans="1:7" s="1" customFormat="1" x14ac:dyDescent="0.2"/>
    <row r="41" spans="1:7" s="1" customFormat="1" x14ac:dyDescent="0.2">
      <c r="A41" s="2" t="s">
        <v>1</v>
      </c>
      <c r="B41" s="101" t="s">
        <v>22</v>
      </c>
      <c r="C41" s="101"/>
      <c r="D41" s="101" t="s">
        <v>23</v>
      </c>
      <c r="E41" s="101"/>
      <c r="F41" s="101" t="s">
        <v>24</v>
      </c>
      <c r="G41" s="101"/>
    </row>
    <row r="42" spans="1:7" s="6" customFormat="1" ht="26" x14ac:dyDescent="0.15">
      <c r="A42" s="3"/>
      <c r="B42" s="4" t="s">
        <v>8</v>
      </c>
      <c r="C42" s="5" t="s">
        <v>9</v>
      </c>
      <c r="D42" s="4" t="s">
        <v>8</v>
      </c>
      <c r="E42" s="5" t="s">
        <v>9</v>
      </c>
      <c r="F42" s="4" t="s">
        <v>8</v>
      </c>
      <c r="G42" s="5" t="s">
        <v>9</v>
      </c>
    </row>
    <row r="43" spans="1:7" s="1" customFormat="1" x14ac:dyDescent="0.2">
      <c r="A43" s="1">
        <v>10</v>
      </c>
      <c r="B43" s="7"/>
      <c r="C43" s="7"/>
    </row>
    <row r="44" spans="1:7" s="1" customFormat="1" x14ac:dyDescent="0.2">
      <c r="A44" s="1">
        <v>25</v>
      </c>
    </row>
    <row r="45" spans="1:7" s="1" customFormat="1" x14ac:dyDescent="0.2">
      <c r="A45" s="1">
        <v>100</v>
      </c>
    </row>
    <row r="46" spans="1:7" s="1" customFormat="1" x14ac:dyDescent="0.2">
      <c r="A46" s="1">
        <v>200</v>
      </c>
    </row>
    <row r="47" spans="1:7" s="1" customFormat="1" x14ac:dyDescent="0.2">
      <c r="A47" s="1">
        <v>500</v>
      </c>
    </row>
    <row r="48" spans="1:7" s="1" customFormat="1" x14ac:dyDescent="0.2">
      <c r="A48" s="1">
        <v>1000</v>
      </c>
    </row>
    <row r="49" spans="1:7" s="1" customFormat="1" x14ac:dyDescent="0.2">
      <c r="A49" s="8" t="s">
        <v>13</v>
      </c>
      <c r="B49" s="8"/>
      <c r="C49" s="8"/>
      <c r="D49" s="8"/>
      <c r="E49" s="8"/>
      <c r="F49" s="8"/>
      <c r="G49" s="8"/>
    </row>
    <row r="50" spans="1:7" s="1" customFormat="1" x14ac:dyDescent="0.2"/>
    <row r="52" spans="1:7" s="1" customFormat="1" x14ac:dyDescent="0.2">
      <c r="A52" s="1" t="s">
        <v>17</v>
      </c>
    </row>
    <row r="53" spans="1:7" s="1" customFormat="1" x14ac:dyDescent="0.2"/>
    <row r="54" spans="1:7" s="1" customFormat="1" x14ac:dyDescent="0.2">
      <c r="A54" s="2" t="s">
        <v>1</v>
      </c>
      <c r="B54" s="101" t="s">
        <v>22</v>
      </c>
      <c r="C54" s="101"/>
      <c r="D54" s="101" t="s">
        <v>23</v>
      </c>
      <c r="E54" s="101"/>
      <c r="F54" s="101" t="s">
        <v>24</v>
      </c>
      <c r="G54" s="101"/>
    </row>
    <row r="55" spans="1:7" s="6" customFormat="1" ht="26" x14ac:dyDescent="0.15">
      <c r="A55" s="3"/>
      <c r="B55" s="4" t="s">
        <v>8</v>
      </c>
      <c r="C55" s="5" t="s">
        <v>9</v>
      </c>
      <c r="D55" s="4" t="s">
        <v>8</v>
      </c>
      <c r="E55" s="5" t="s">
        <v>9</v>
      </c>
      <c r="F55" s="4" t="s">
        <v>8</v>
      </c>
      <c r="G55" s="5" t="s">
        <v>9</v>
      </c>
    </row>
    <row r="56" spans="1:7" s="1" customFormat="1" x14ac:dyDescent="0.2">
      <c r="A56" s="1">
        <v>10</v>
      </c>
      <c r="B56" s="7"/>
      <c r="C56" s="7"/>
    </row>
    <row r="57" spans="1:7" s="1" customFormat="1" x14ac:dyDescent="0.2">
      <c r="A57" s="1">
        <v>25</v>
      </c>
    </row>
    <row r="58" spans="1:7" s="1" customFormat="1" x14ac:dyDescent="0.2">
      <c r="A58" s="1">
        <v>100</v>
      </c>
    </row>
    <row r="59" spans="1:7" s="1" customFormat="1" x14ac:dyDescent="0.2">
      <c r="A59" s="1">
        <v>200</v>
      </c>
    </row>
    <row r="60" spans="1:7" s="1" customFormat="1" x14ac:dyDescent="0.2">
      <c r="A60" s="1">
        <v>500</v>
      </c>
    </row>
    <row r="61" spans="1:7" s="1" customFormat="1" x14ac:dyDescent="0.2">
      <c r="A61" s="1">
        <v>1000</v>
      </c>
    </row>
    <row r="62" spans="1:7" s="1" customFormat="1" x14ac:dyDescent="0.2">
      <c r="A62" s="8" t="s">
        <v>13</v>
      </c>
      <c r="B62" s="8"/>
      <c r="C62" s="8"/>
      <c r="D62" s="8"/>
      <c r="E62" s="8"/>
      <c r="F62" s="8"/>
      <c r="G62" s="8"/>
    </row>
  </sheetData>
  <mergeCells count="15">
    <mergeCell ref="B4:C4"/>
    <mergeCell ref="D4:E4"/>
    <mergeCell ref="F4:G4"/>
    <mergeCell ref="B15:C15"/>
    <mergeCell ref="D15:E15"/>
    <mergeCell ref="F15:G15"/>
    <mergeCell ref="B28:C28"/>
    <mergeCell ref="D28:E28"/>
    <mergeCell ref="F28:G28"/>
    <mergeCell ref="B54:C54"/>
    <mergeCell ref="D54:E54"/>
    <mergeCell ref="F54:G54"/>
    <mergeCell ref="B41:C41"/>
    <mergeCell ref="D41:E41"/>
    <mergeCell ref="F41:G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U32"/>
  <sheetViews>
    <sheetView topLeftCell="A11" workbookViewId="0">
      <selection activeCell="L32" sqref="L32"/>
    </sheetView>
  </sheetViews>
  <sheetFormatPr baseColWidth="10" defaultColWidth="8.5" defaultRowHeight="15" x14ac:dyDescent="0.2"/>
  <cols>
    <col min="1" max="1" width="17.5" style="9" customWidth="1"/>
    <col min="2" max="2" width="11.1640625" style="9" bestFit="1" customWidth="1"/>
    <col min="3" max="21" width="10.5" style="9" customWidth="1"/>
    <col min="22" max="16384" width="8.5" style="9"/>
  </cols>
  <sheetData>
    <row r="1" spans="1:21" x14ac:dyDescent="0.2">
      <c r="A1" s="18"/>
      <c r="B1" s="18"/>
      <c r="C1" s="18"/>
    </row>
    <row r="2" spans="1:21" x14ac:dyDescent="0.2">
      <c r="A2" s="19"/>
      <c r="B2" s="111" t="s">
        <v>25</v>
      </c>
      <c r="C2" s="112"/>
      <c r="D2" s="105" t="s">
        <v>26</v>
      </c>
      <c r="E2" s="104"/>
      <c r="F2" s="104"/>
      <c r="G2" s="104"/>
      <c r="H2" s="104"/>
      <c r="I2" s="104"/>
      <c r="J2" s="104"/>
      <c r="K2" s="104"/>
      <c r="L2" s="104"/>
      <c r="M2" s="106"/>
      <c r="N2" s="104" t="s">
        <v>27</v>
      </c>
      <c r="O2" s="104"/>
      <c r="P2" s="104"/>
      <c r="Q2" s="104"/>
      <c r="R2" s="104"/>
      <c r="S2" s="104"/>
      <c r="T2" s="104"/>
      <c r="U2" s="104"/>
    </row>
    <row r="3" spans="1:21" x14ac:dyDescent="0.2">
      <c r="A3" s="19"/>
      <c r="B3" s="111"/>
      <c r="C3" s="112"/>
      <c r="D3" s="105">
        <v>2050</v>
      </c>
      <c r="E3" s="104"/>
      <c r="F3" s="104"/>
      <c r="G3" s="104"/>
      <c r="H3" s="104"/>
      <c r="I3" s="104"/>
      <c r="J3" s="104"/>
      <c r="K3" s="104"/>
      <c r="L3" s="104"/>
      <c r="M3" s="106"/>
      <c r="N3" s="104">
        <v>2050</v>
      </c>
      <c r="O3" s="104"/>
      <c r="P3" s="104"/>
      <c r="Q3" s="104"/>
      <c r="R3" s="104"/>
      <c r="S3" s="104"/>
      <c r="T3" s="104"/>
      <c r="U3" s="104"/>
    </row>
    <row r="4" spans="1:21" ht="29.25" customHeight="1" x14ac:dyDescent="0.2">
      <c r="A4" s="19"/>
      <c r="B4" s="111"/>
      <c r="C4" s="112"/>
      <c r="D4" s="107" t="s">
        <v>28</v>
      </c>
      <c r="E4" s="108"/>
      <c r="F4" s="108"/>
      <c r="G4" s="109"/>
      <c r="H4" s="57"/>
      <c r="I4" s="57"/>
      <c r="J4" s="108" t="s">
        <v>29</v>
      </c>
      <c r="K4" s="108"/>
      <c r="L4" s="108"/>
      <c r="M4" s="108"/>
      <c r="N4" s="107" t="s">
        <v>28</v>
      </c>
      <c r="O4" s="108"/>
      <c r="P4" s="108"/>
      <c r="Q4" s="109"/>
      <c r="R4" s="108" t="s">
        <v>29</v>
      </c>
      <c r="S4" s="108"/>
      <c r="T4" s="108"/>
      <c r="U4" s="108"/>
    </row>
    <row r="5" spans="1:21" ht="29.25" customHeight="1" x14ac:dyDescent="0.2">
      <c r="A5" s="19"/>
      <c r="B5" s="113"/>
      <c r="C5" s="114"/>
      <c r="D5" s="110" t="s">
        <v>30</v>
      </c>
      <c r="E5" s="102"/>
      <c r="F5" s="102" t="s">
        <v>31</v>
      </c>
      <c r="G5" s="103"/>
      <c r="H5" s="56"/>
      <c r="I5" s="56"/>
      <c r="J5" s="110" t="s">
        <v>30</v>
      </c>
      <c r="K5" s="102"/>
      <c r="L5" s="102" t="s">
        <v>31</v>
      </c>
      <c r="M5" s="103"/>
      <c r="N5" s="110" t="s">
        <v>30</v>
      </c>
      <c r="O5" s="102"/>
      <c r="P5" s="102" t="s">
        <v>31</v>
      </c>
      <c r="Q5" s="103"/>
      <c r="R5" s="110" t="s">
        <v>30</v>
      </c>
      <c r="S5" s="102"/>
      <c r="T5" s="102" t="s">
        <v>31</v>
      </c>
      <c r="U5" s="103"/>
    </row>
    <row r="6" spans="1:21" ht="16" x14ac:dyDescent="0.2">
      <c r="A6" s="12"/>
      <c r="B6" s="16" t="s">
        <v>32</v>
      </c>
      <c r="C6" s="15" t="s">
        <v>33</v>
      </c>
      <c r="D6" s="15" t="s">
        <v>32</v>
      </c>
      <c r="E6" s="15" t="s">
        <v>33</v>
      </c>
      <c r="F6" s="16" t="s">
        <v>32</v>
      </c>
      <c r="G6" s="15" t="s">
        <v>33</v>
      </c>
      <c r="H6" s="16"/>
      <c r="I6" s="16"/>
      <c r="J6" s="16" t="s">
        <v>32</v>
      </c>
      <c r="K6" s="15" t="s">
        <v>33</v>
      </c>
      <c r="L6" s="16" t="s">
        <v>32</v>
      </c>
      <c r="M6" s="15" t="s">
        <v>33</v>
      </c>
      <c r="N6" s="17" t="s">
        <v>32</v>
      </c>
      <c r="O6" s="15" t="s">
        <v>33</v>
      </c>
      <c r="P6" s="16" t="s">
        <v>32</v>
      </c>
      <c r="Q6" s="15" t="s">
        <v>33</v>
      </c>
      <c r="R6" s="15" t="s">
        <v>32</v>
      </c>
      <c r="S6" s="15" t="s">
        <v>33</v>
      </c>
      <c r="T6" s="16" t="s">
        <v>32</v>
      </c>
      <c r="U6" s="15" t="s">
        <v>33</v>
      </c>
    </row>
    <row r="7" spans="1:21" ht="16" x14ac:dyDescent="0.2">
      <c r="A7" s="9" t="s">
        <v>34</v>
      </c>
      <c r="B7" s="26">
        <v>1652.0816199999999</v>
      </c>
      <c r="C7" s="27">
        <v>0.26600132984996305</v>
      </c>
      <c r="D7" s="26">
        <v>2367.8063639730499</v>
      </c>
      <c r="E7" s="20">
        <v>0.38121405692245802</v>
      </c>
      <c r="F7" s="26">
        <v>6162.6237900350798</v>
      </c>
      <c r="G7" s="27">
        <v>0.75458221069790699</v>
      </c>
      <c r="H7" s="20">
        <f>F7/B7</f>
        <v>3.7302175119138967</v>
      </c>
      <c r="I7" s="20"/>
      <c r="J7" s="26">
        <v>6506.8966310650503</v>
      </c>
      <c r="K7" s="27">
        <v>1.0476027518319599</v>
      </c>
      <c r="L7" s="26">
        <v>14726.703959914499</v>
      </c>
      <c r="M7" s="27">
        <v>1.80321064679216</v>
      </c>
      <c r="N7" s="32"/>
      <c r="O7" s="33"/>
      <c r="P7" s="26">
        <v>3346.26376412538</v>
      </c>
      <c r="Q7" s="27">
        <v>0.43806936954629605</v>
      </c>
      <c r="R7" s="32"/>
      <c r="S7" s="33"/>
      <c r="T7" s="26">
        <v>9251.0988660732801</v>
      </c>
      <c r="U7" s="27">
        <v>1.2110889438299899</v>
      </c>
    </row>
    <row r="8" spans="1:21" ht="16" x14ac:dyDescent="0.2">
      <c r="A8" s="9" t="s">
        <v>35</v>
      </c>
      <c r="B8" s="26">
        <v>5083.0474899999999</v>
      </c>
      <c r="C8" s="28">
        <v>0.23684657890740654</v>
      </c>
      <c r="D8" s="26">
        <v>4794.8139623654597</v>
      </c>
      <c r="E8" s="20">
        <v>0.22341803372692301</v>
      </c>
      <c r="F8" s="26">
        <v>9107.0335799748791</v>
      </c>
      <c r="G8" s="28">
        <v>0.32548619272908896</v>
      </c>
      <c r="H8" s="98">
        <f t="shared" ref="H8:H30" si="0">F8/B8</f>
        <v>1.7916483365326337</v>
      </c>
      <c r="I8" s="98"/>
      <c r="J8" s="26">
        <v>12259.0567469581</v>
      </c>
      <c r="K8" s="28">
        <v>0.57122015061476095</v>
      </c>
      <c r="L8" s="26">
        <v>23335.7497647583</v>
      </c>
      <c r="M8" s="28">
        <v>0.83402177873938299</v>
      </c>
      <c r="N8" s="32"/>
      <c r="O8" s="33"/>
      <c r="P8" s="26">
        <v>6648.7957494292896</v>
      </c>
      <c r="Q8" s="28">
        <v>0.24695175690501101</v>
      </c>
      <c r="R8" s="32"/>
      <c r="S8" s="33"/>
      <c r="T8" s="26">
        <v>17387.7780095333</v>
      </c>
      <c r="U8" s="28">
        <v>0.64582256546189498</v>
      </c>
    </row>
    <row r="9" spans="1:21" ht="16" x14ac:dyDescent="0.2">
      <c r="A9" s="9" t="s">
        <v>36</v>
      </c>
      <c r="B9" s="26">
        <v>23252.328000000001</v>
      </c>
      <c r="C9" s="28">
        <v>6.5307293406516767</v>
      </c>
      <c r="D9" s="26">
        <v>19170.477260744599</v>
      </c>
      <c r="E9" s="20">
        <v>5.3842817456326602</v>
      </c>
      <c r="F9" s="26">
        <v>65423.365410630096</v>
      </c>
      <c r="G9" s="28">
        <v>10.3725810715469</v>
      </c>
      <c r="H9" s="20">
        <f t="shared" si="0"/>
        <v>2.813626464009543</v>
      </c>
      <c r="I9" s="20"/>
      <c r="J9" s="26">
        <v>42717.480610505401</v>
      </c>
      <c r="K9" s="28">
        <v>11.997768649272899</v>
      </c>
      <c r="L9" s="26">
        <v>128551.021788276</v>
      </c>
      <c r="M9" s="28">
        <v>20.381187775345499</v>
      </c>
      <c r="N9" s="32"/>
      <c r="O9" s="33"/>
      <c r="P9" s="26">
        <v>26428.109856597799</v>
      </c>
      <c r="Q9" s="28">
        <v>5.2750073340940098</v>
      </c>
      <c r="R9" s="32"/>
      <c r="S9" s="33"/>
      <c r="T9" s="26">
        <v>59363.963039945098</v>
      </c>
      <c r="U9" s="28">
        <v>11.848949550904701</v>
      </c>
    </row>
    <row r="10" spans="1:21" ht="16" x14ac:dyDescent="0.2">
      <c r="A10" s="9" t="s">
        <v>37</v>
      </c>
      <c r="B10" s="26">
        <v>11520.5324</v>
      </c>
      <c r="C10" s="28">
        <v>5.0072904291458258</v>
      </c>
      <c r="D10" s="26">
        <v>14069.5266333293</v>
      </c>
      <c r="E10" s="20">
        <v>6.1150122258087602</v>
      </c>
      <c r="F10" s="26">
        <v>30880.4982811103</v>
      </c>
      <c r="G10" s="28">
        <v>8.1485169976713099</v>
      </c>
      <c r="H10" s="20">
        <f t="shared" si="0"/>
        <v>2.6804749302306812</v>
      </c>
      <c r="I10" s="20"/>
      <c r="J10" s="26">
        <v>38466.425342736598</v>
      </c>
      <c r="K10" s="28">
        <v>16.718590993443499</v>
      </c>
      <c r="L10" s="26">
        <v>83525.124814372</v>
      </c>
      <c r="M10" s="28">
        <v>22.039990841043398</v>
      </c>
      <c r="N10" s="32"/>
      <c r="O10" s="33"/>
      <c r="P10" s="26">
        <v>18853.6644798665</v>
      </c>
      <c r="Q10" s="28">
        <v>5.97117283486413</v>
      </c>
      <c r="R10" s="32"/>
      <c r="S10" s="33"/>
      <c r="T10" s="26">
        <v>50706.484764234898</v>
      </c>
      <c r="U10" s="28">
        <v>16.0593281321507</v>
      </c>
    </row>
    <row r="11" spans="1:21" ht="16" x14ac:dyDescent="0.2">
      <c r="A11" s="9" t="s">
        <v>38</v>
      </c>
      <c r="B11" s="26">
        <v>1397.9829400000001</v>
      </c>
      <c r="C11" s="28">
        <v>0.33851369903850437</v>
      </c>
      <c r="D11" s="26">
        <v>1202.5064115477801</v>
      </c>
      <c r="E11" s="20">
        <v>0.29118988892257103</v>
      </c>
      <c r="F11" s="26">
        <v>2287.2041694823502</v>
      </c>
      <c r="G11" s="28">
        <v>0.32850014719876597</v>
      </c>
      <c r="H11" s="20">
        <f t="shared" si="0"/>
        <v>1.6360744498658546</v>
      </c>
      <c r="I11" s="20"/>
      <c r="J11" s="26">
        <v>1887.8665152496101</v>
      </c>
      <c r="K11" s="28">
        <v>0.45715152584392899</v>
      </c>
      <c r="L11" s="26">
        <v>3574.0697536597399</v>
      </c>
      <c r="M11" s="28">
        <v>0.51332646898838408</v>
      </c>
      <c r="N11" s="32"/>
      <c r="O11" s="33"/>
      <c r="P11" s="26">
        <v>1811.5740091339801</v>
      </c>
      <c r="Q11" s="28">
        <v>0.29899003803837598</v>
      </c>
      <c r="R11" s="32"/>
      <c r="S11" s="33"/>
      <c r="T11" s="26">
        <v>2908.29963100029</v>
      </c>
      <c r="U11" s="28">
        <v>0.479998395271448</v>
      </c>
    </row>
    <row r="12" spans="1:21" ht="16" x14ac:dyDescent="0.2">
      <c r="A12" s="9" t="s">
        <v>39</v>
      </c>
      <c r="B12" s="26">
        <v>5529.4800599999999</v>
      </c>
      <c r="C12" s="28">
        <v>1.5975980401930072</v>
      </c>
      <c r="D12" s="26">
        <v>6273.7159356561297</v>
      </c>
      <c r="E12" s="20">
        <v>1.81260888664062</v>
      </c>
      <c r="F12" s="26">
        <v>10777.3838153663</v>
      </c>
      <c r="G12" s="28">
        <v>2.1047384071184299</v>
      </c>
      <c r="H12" s="20">
        <f t="shared" si="0"/>
        <v>1.9490772547186472</v>
      </c>
      <c r="I12" s="20"/>
      <c r="J12" s="26">
        <v>15474.597633969601</v>
      </c>
      <c r="K12" s="28">
        <v>4.4709377147768103</v>
      </c>
      <c r="L12" s="26">
        <v>25997.0785652983</v>
      </c>
      <c r="M12" s="28">
        <v>5.0770252471887805</v>
      </c>
      <c r="N12" s="32"/>
      <c r="O12" s="33"/>
      <c r="P12" s="26">
        <v>7795.7083817576104</v>
      </c>
      <c r="Q12" s="28">
        <v>1.76211242954634</v>
      </c>
      <c r="R12" s="32"/>
      <c r="S12" s="33"/>
      <c r="T12" s="26">
        <v>19582.154845510599</v>
      </c>
      <c r="U12" s="28">
        <v>4.4262761972114602</v>
      </c>
    </row>
    <row r="13" spans="1:21" ht="16" x14ac:dyDescent="0.2">
      <c r="A13" s="9" t="s">
        <v>40</v>
      </c>
      <c r="B13" s="26">
        <v>2351.9713400000001</v>
      </c>
      <c r="C13" s="28">
        <v>0.43188824930392983</v>
      </c>
      <c r="D13" s="26">
        <v>2152.6412056969002</v>
      </c>
      <c r="E13" s="20">
        <v>0.39528561688172598</v>
      </c>
      <c r="F13" s="26">
        <v>3712.9010199950899</v>
      </c>
      <c r="G13" s="28">
        <v>0.44754225538354397</v>
      </c>
      <c r="H13" s="98">
        <f t="shared" si="0"/>
        <v>1.5786336154908629</v>
      </c>
      <c r="I13" s="98"/>
      <c r="J13" s="26">
        <v>6170.4675487620898</v>
      </c>
      <c r="K13" s="28">
        <v>1.13307181197038</v>
      </c>
      <c r="L13" s="26">
        <v>11261.054086054801</v>
      </c>
      <c r="M13" s="28">
        <v>1.35737460183512</v>
      </c>
      <c r="N13" s="32"/>
      <c r="O13" s="33"/>
      <c r="P13" s="26">
        <v>3041.3463162806001</v>
      </c>
      <c r="Q13" s="28">
        <v>0.39492671135281499</v>
      </c>
      <c r="R13" s="32"/>
      <c r="S13" s="33"/>
      <c r="T13" s="26">
        <v>9219.8114620529996</v>
      </c>
      <c r="U13" s="28">
        <v>1.19721644342512</v>
      </c>
    </row>
    <row r="14" spans="1:21" ht="16" x14ac:dyDescent="0.2">
      <c r="A14" s="9" t="s">
        <v>41</v>
      </c>
      <c r="B14" s="26">
        <v>44867.914900000003</v>
      </c>
      <c r="C14" s="28">
        <v>7.1341563792495606</v>
      </c>
      <c r="D14" s="26">
        <v>46491.338224286897</v>
      </c>
      <c r="E14" s="20">
        <v>7.3925326837009901</v>
      </c>
      <c r="F14" s="26">
        <v>100115.20163005601</v>
      </c>
      <c r="G14" s="28">
        <v>9.4753673068354693</v>
      </c>
      <c r="H14" s="20">
        <f t="shared" si="0"/>
        <v>2.2313317178475791</v>
      </c>
      <c r="I14" s="20"/>
      <c r="J14" s="26">
        <v>120170.186847463</v>
      </c>
      <c r="K14" s="28">
        <v>19.108119228373901</v>
      </c>
      <c r="L14" s="26">
        <v>272055.07701262401</v>
      </c>
      <c r="M14" s="28">
        <v>25.748555068685203</v>
      </c>
      <c r="N14" s="32"/>
      <c r="O14" s="33"/>
      <c r="P14" s="26">
        <v>66872.600558194405</v>
      </c>
      <c r="Q14" s="28">
        <v>7.4531791408014501</v>
      </c>
      <c r="R14" s="32"/>
      <c r="S14" s="33"/>
      <c r="T14" s="26">
        <v>171257.04015322699</v>
      </c>
      <c r="U14" s="28">
        <v>19.087180530308</v>
      </c>
    </row>
    <row r="15" spans="1:21" ht="16" x14ac:dyDescent="0.2">
      <c r="A15" s="9" t="s">
        <v>42</v>
      </c>
      <c r="B15" s="26">
        <v>542.39843499999995</v>
      </c>
      <c r="C15" s="28">
        <v>1.0060132667125317</v>
      </c>
      <c r="D15" s="26">
        <v>631.11237910234195</v>
      </c>
      <c r="E15" s="20">
        <v>1.1705554169341801</v>
      </c>
      <c r="F15" s="26">
        <v>1031.1662576835799</v>
      </c>
      <c r="G15" s="28">
        <v>1.4740301305908201</v>
      </c>
      <c r="H15" s="20">
        <f t="shared" si="0"/>
        <v>1.9011232170748797</v>
      </c>
      <c r="I15" s="20"/>
      <c r="J15" s="26">
        <v>815.43792126552205</v>
      </c>
      <c r="K15" s="28">
        <v>1.5124331379279099</v>
      </c>
      <c r="L15" s="26">
        <v>1188.0240178864101</v>
      </c>
      <c r="M15" s="28">
        <v>1.6982549469413502</v>
      </c>
      <c r="N15" s="32"/>
      <c r="O15" s="33"/>
      <c r="P15" s="26">
        <v>756.36707662609194</v>
      </c>
      <c r="Q15" s="28">
        <v>1.1949395164935401</v>
      </c>
      <c r="R15" s="32"/>
      <c r="S15" s="33"/>
      <c r="T15" s="26">
        <v>945.60943394759101</v>
      </c>
      <c r="U15" s="28">
        <v>1.49391230093382</v>
      </c>
    </row>
    <row r="16" spans="1:21" ht="16" x14ac:dyDescent="0.2">
      <c r="A16" s="9" t="s">
        <v>43</v>
      </c>
      <c r="B16" s="26">
        <v>13414.6018</v>
      </c>
      <c r="C16" s="28">
        <v>5.2908507915686336</v>
      </c>
      <c r="D16" s="26">
        <v>22783.150648036801</v>
      </c>
      <c r="E16" s="20">
        <v>8.9858985646378002</v>
      </c>
      <c r="F16" s="26">
        <v>80949.251503459207</v>
      </c>
      <c r="G16" s="28">
        <v>21.730350596046598</v>
      </c>
      <c r="H16" s="20">
        <f t="shared" si="0"/>
        <v>6.034413299055899</v>
      </c>
      <c r="I16" s="20"/>
      <c r="J16" s="26">
        <v>48634.623407661202</v>
      </c>
      <c r="K16" s="28">
        <v>19.181973530436998</v>
      </c>
      <c r="L16" s="26">
        <v>133439.882470082</v>
      </c>
      <c r="M16" s="28">
        <v>35.8211518416106</v>
      </c>
      <c r="N16" s="32"/>
      <c r="O16" s="33"/>
      <c r="P16" s="26">
        <v>31630.790293144899</v>
      </c>
      <c r="Q16" s="28">
        <v>10.060439608023799</v>
      </c>
      <c r="R16" s="32"/>
      <c r="S16" s="33"/>
      <c r="T16" s="26">
        <v>69435.449038395498</v>
      </c>
      <c r="U16" s="28">
        <v>22.084530143977599</v>
      </c>
    </row>
    <row r="17" spans="1:21" ht="16" x14ac:dyDescent="0.2">
      <c r="A17" s="9" t="s">
        <v>44</v>
      </c>
      <c r="B17" s="26">
        <v>1084.43109</v>
      </c>
      <c r="C17" s="28">
        <v>0.73455305888744615</v>
      </c>
      <c r="D17" s="26">
        <v>3948.4122051803101</v>
      </c>
      <c r="E17" s="20">
        <v>2.6745067422707902</v>
      </c>
      <c r="F17" s="26">
        <v>4112.67586909076</v>
      </c>
      <c r="G17" s="28">
        <v>2.1704855705446899</v>
      </c>
      <c r="H17" s="20">
        <f t="shared" si="0"/>
        <v>3.7924732212267722</v>
      </c>
      <c r="I17" s="20"/>
      <c r="J17" s="26">
        <v>5792.4564663124102</v>
      </c>
      <c r="K17" s="28">
        <v>3.9235933505466098</v>
      </c>
      <c r="L17" s="26">
        <v>6285.0074118020502</v>
      </c>
      <c r="M17" s="28">
        <v>3.3169445714424102</v>
      </c>
      <c r="N17" s="32"/>
      <c r="O17" s="33"/>
      <c r="P17" s="26">
        <v>4065.23380482023</v>
      </c>
      <c r="Q17" s="28">
        <v>2.18409818734172</v>
      </c>
      <c r="R17" s="32"/>
      <c r="S17" s="33"/>
      <c r="T17" s="26">
        <v>6090.0622392887199</v>
      </c>
      <c r="U17" s="28">
        <v>3.2719628282774602</v>
      </c>
    </row>
    <row r="18" spans="1:21" ht="16" x14ac:dyDescent="0.2">
      <c r="A18" s="9" t="s">
        <v>45</v>
      </c>
      <c r="B18" s="26">
        <v>35994.251799999998</v>
      </c>
      <c r="C18" s="28">
        <v>1.4442297785294342</v>
      </c>
      <c r="D18" s="26">
        <v>63350.860793799198</v>
      </c>
      <c r="E18" s="20">
        <v>2.5418604480989702</v>
      </c>
      <c r="F18" s="26">
        <v>76040.412466841197</v>
      </c>
      <c r="G18" s="28">
        <v>2.9333522707811999</v>
      </c>
      <c r="H18" s="20">
        <f t="shared" si="0"/>
        <v>2.1125709985404169</v>
      </c>
      <c r="I18" s="20"/>
      <c r="J18" s="26">
        <v>297210.66579748399</v>
      </c>
      <c r="K18" s="28">
        <v>11.925142400239199</v>
      </c>
      <c r="L18" s="26">
        <v>322061.72294371697</v>
      </c>
      <c r="M18" s="28">
        <v>12.423926379155601</v>
      </c>
      <c r="N18" s="32"/>
      <c r="O18" s="33"/>
      <c r="P18" s="26">
        <v>68185.709789919303</v>
      </c>
      <c r="Q18" s="28">
        <v>2.6572102239573798</v>
      </c>
      <c r="R18" s="32"/>
      <c r="S18" s="33"/>
      <c r="T18" s="26">
        <v>306156.565018525</v>
      </c>
      <c r="U18" s="28">
        <v>11.9309802186611</v>
      </c>
    </row>
    <row r="19" spans="1:21" ht="16" x14ac:dyDescent="0.2">
      <c r="A19" s="9" t="s">
        <v>46</v>
      </c>
      <c r="B19" s="26">
        <v>954.998243</v>
      </c>
      <c r="C19" s="28">
        <v>0.1493407221253569</v>
      </c>
      <c r="D19" s="26">
        <v>1544.7816428111801</v>
      </c>
      <c r="E19" s="20">
        <v>0.241569874872681</v>
      </c>
      <c r="F19" s="26">
        <v>2768.0610546338098</v>
      </c>
      <c r="G19" s="28">
        <v>0.34769375398762398</v>
      </c>
      <c r="H19" s="20">
        <f t="shared" si="0"/>
        <v>2.8984985835558335</v>
      </c>
      <c r="I19" s="20"/>
      <c r="J19" s="26">
        <v>3003.1129064686802</v>
      </c>
      <c r="K19" s="28">
        <v>0.46962081173102399</v>
      </c>
      <c r="L19" s="26">
        <v>4775.5724282465699</v>
      </c>
      <c r="M19" s="28">
        <v>0.59985552061332803</v>
      </c>
      <c r="N19" s="32"/>
      <c r="O19" s="33"/>
      <c r="P19" s="26">
        <v>2381.9883040588502</v>
      </c>
      <c r="Q19" s="28">
        <v>0.30381737045071899</v>
      </c>
      <c r="R19" s="32"/>
      <c r="S19" s="33"/>
      <c r="T19" s="26">
        <v>4200.2614947110096</v>
      </c>
      <c r="U19" s="28">
        <v>0.53573411773434798</v>
      </c>
    </row>
    <row r="20" spans="1:21" ht="16" x14ac:dyDescent="0.2">
      <c r="A20" s="9" t="s">
        <v>47</v>
      </c>
      <c r="B20" s="26">
        <v>50177.576699999998</v>
      </c>
      <c r="C20" s="28">
        <v>14.226312334555979</v>
      </c>
      <c r="D20" s="26">
        <v>40408.858694313298</v>
      </c>
      <c r="E20" s="20">
        <v>11.4568052639175</v>
      </c>
      <c r="F20" s="26">
        <v>79716.553648512898</v>
      </c>
      <c r="G20" s="28">
        <v>12.6671376073792</v>
      </c>
      <c r="H20" s="98">
        <f t="shared" si="0"/>
        <v>1.5886887907146161</v>
      </c>
      <c r="I20" s="98"/>
      <c r="J20" s="26">
        <v>95002.250175946698</v>
      </c>
      <c r="K20" s="28">
        <v>26.935239327929001</v>
      </c>
      <c r="L20" s="26">
        <v>206904.883044096</v>
      </c>
      <c r="M20" s="28">
        <v>32.877645924262502</v>
      </c>
      <c r="N20" s="32"/>
      <c r="O20" s="33"/>
      <c r="P20" s="26">
        <v>59856.967598527997</v>
      </c>
      <c r="Q20" s="28">
        <v>11.8467582600881</v>
      </c>
      <c r="R20" s="32"/>
      <c r="S20" s="33"/>
      <c r="T20" s="26">
        <v>136142.05866965599</v>
      </c>
      <c r="U20" s="28">
        <v>26.944934279126798</v>
      </c>
    </row>
    <row r="21" spans="1:21" ht="16" x14ac:dyDescent="0.2">
      <c r="A21" s="9" t="s">
        <v>48</v>
      </c>
      <c r="B21" s="26">
        <v>3347.4664600000001</v>
      </c>
      <c r="C21" s="28">
        <v>1.7805392181072188</v>
      </c>
      <c r="D21" s="26">
        <v>3437.8002592918601</v>
      </c>
      <c r="E21" s="20">
        <v>1.8286072798516599</v>
      </c>
      <c r="F21" s="26">
        <v>6310.5660891698599</v>
      </c>
      <c r="G21" s="28">
        <v>2.3489919022499297</v>
      </c>
      <c r="H21" s="98">
        <f t="shared" si="0"/>
        <v>1.8851767940252522</v>
      </c>
      <c r="I21" s="98"/>
      <c r="J21" s="26">
        <v>5758.0861491565602</v>
      </c>
      <c r="K21" s="28">
        <v>3.0627952342203799</v>
      </c>
      <c r="L21" s="26">
        <v>9671.3353860534298</v>
      </c>
      <c r="M21" s="28">
        <v>3.5999763230070601</v>
      </c>
      <c r="N21" s="32"/>
      <c r="O21" s="33"/>
      <c r="P21" s="26">
        <v>4361.0577318432497</v>
      </c>
      <c r="Q21" s="28">
        <v>1.8627228154827602</v>
      </c>
      <c r="R21" s="32"/>
      <c r="S21" s="33"/>
      <c r="T21" s="26">
        <v>7273.8078753341597</v>
      </c>
      <c r="U21" s="28">
        <v>3.1068352491395301</v>
      </c>
    </row>
    <row r="22" spans="1:21" ht="16" x14ac:dyDescent="0.2">
      <c r="A22" s="9" t="s">
        <v>49</v>
      </c>
      <c r="B22" s="26">
        <v>2021.3137899999999</v>
      </c>
      <c r="C22" s="28">
        <v>1.152628723840492</v>
      </c>
      <c r="D22" s="26">
        <v>3538.2659590069002</v>
      </c>
      <c r="E22" s="20">
        <v>2.0176515840188798</v>
      </c>
      <c r="F22" s="26">
        <v>3538.2659590068902</v>
      </c>
      <c r="G22" s="28">
        <v>1.7173681776658001</v>
      </c>
      <c r="H22" s="98">
        <f t="shared" si="0"/>
        <v>1.7504783158912156</v>
      </c>
      <c r="I22" s="98"/>
      <c r="J22" s="26">
        <v>7744.9879388747104</v>
      </c>
      <c r="K22" s="28">
        <v>4.4164817919633501</v>
      </c>
      <c r="L22" s="26">
        <v>7744.9879388747004</v>
      </c>
      <c r="M22" s="28">
        <v>3.7591848596825397</v>
      </c>
      <c r="N22" s="32"/>
      <c r="O22" s="33"/>
      <c r="P22" s="26">
        <v>3538.2659590068902</v>
      </c>
      <c r="Q22" s="28">
        <v>1.7599335966750298</v>
      </c>
      <c r="R22" s="32"/>
      <c r="S22" s="33"/>
      <c r="T22" s="26">
        <v>7744.9879388747004</v>
      </c>
      <c r="U22" s="28">
        <v>3.8523572386554896</v>
      </c>
    </row>
    <row r="23" spans="1:21" ht="16" x14ac:dyDescent="0.2">
      <c r="A23" s="9" t="s">
        <v>50</v>
      </c>
      <c r="B23" s="26">
        <v>3489.3434600000001</v>
      </c>
      <c r="C23" s="28">
        <v>0.46276945118957347</v>
      </c>
      <c r="D23" s="26">
        <v>3791.72103271376</v>
      </c>
      <c r="E23" s="20">
        <v>0.50287258661593304</v>
      </c>
      <c r="F23" s="26">
        <v>7609.9317846862996</v>
      </c>
      <c r="G23" s="28">
        <v>0.748400063325947</v>
      </c>
      <c r="H23" s="20">
        <f t="shared" si="0"/>
        <v>2.1809064862552394</v>
      </c>
      <c r="I23" s="20"/>
      <c r="J23" s="26">
        <v>13726.6101542864</v>
      </c>
      <c r="K23" s="28">
        <v>1.8204756874780501</v>
      </c>
      <c r="L23" s="26">
        <v>24901.692893094001</v>
      </c>
      <c r="M23" s="28">
        <v>2.4489613133743799</v>
      </c>
      <c r="N23" s="32"/>
      <c r="O23" s="33"/>
      <c r="P23" s="26">
        <v>5180.70733187728</v>
      </c>
      <c r="Q23" s="28">
        <v>0.55334043427760704</v>
      </c>
      <c r="R23" s="32"/>
      <c r="S23" s="33"/>
      <c r="T23" s="26">
        <v>18273.534869091902</v>
      </c>
      <c r="U23" s="28">
        <v>1.9517577567127902</v>
      </c>
    </row>
    <row r="24" spans="1:21" ht="16" x14ac:dyDescent="0.2">
      <c r="A24" s="9" t="s">
        <v>51</v>
      </c>
      <c r="B24" s="26">
        <v>41.0201061</v>
      </c>
      <c r="C24" s="28">
        <v>2.7808380909266319E-2</v>
      </c>
      <c r="D24" s="26">
        <v>54.934116512677598</v>
      </c>
      <c r="E24" s="20">
        <v>3.7240991102819698E-2</v>
      </c>
      <c r="F24" s="26">
        <v>54.934116512677598</v>
      </c>
      <c r="G24" s="28">
        <v>2.6966471665450898E-2</v>
      </c>
      <c r="H24" s="98">
        <f t="shared" si="0"/>
        <v>1.3391997665427198</v>
      </c>
      <c r="I24" s="98"/>
      <c r="J24" s="26">
        <v>59.957335488622398</v>
      </c>
      <c r="K24" s="28">
        <v>4.0646336725289098E-2</v>
      </c>
      <c r="L24" s="26">
        <v>59.957335488622299</v>
      </c>
      <c r="M24" s="28">
        <v>2.9432307120416501E-2</v>
      </c>
      <c r="N24" s="32"/>
      <c r="O24" s="33"/>
      <c r="P24" s="26">
        <v>54.934116512677598</v>
      </c>
      <c r="Q24" s="28">
        <v>2.8204738620072403E-2</v>
      </c>
      <c r="R24" s="32"/>
      <c r="S24" s="33"/>
      <c r="T24" s="26">
        <v>59.957335488622299</v>
      </c>
      <c r="U24" s="28">
        <v>3.0783802182789598E-2</v>
      </c>
    </row>
    <row r="25" spans="1:21" ht="16" x14ac:dyDescent="0.2">
      <c r="A25" s="9" t="s">
        <v>52</v>
      </c>
      <c r="B25" s="26">
        <v>9984.2221100000006</v>
      </c>
      <c r="C25" s="28">
        <v>10.685665252612553</v>
      </c>
      <c r="D25" s="26">
        <v>30487.3983429072</v>
      </c>
      <c r="E25" s="20">
        <v>32.629404657101901</v>
      </c>
      <c r="F25" s="26">
        <v>47395.3866361029</v>
      </c>
      <c r="G25" s="28">
        <v>40.519475194138899</v>
      </c>
      <c r="H25" s="20">
        <f t="shared" si="0"/>
        <v>4.7470284729175454</v>
      </c>
      <c r="I25" s="20"/>
      <c r="J25" s="26">
        <v>53832.041847926703</v>
      </c>
      <c r="K25" s="28">
        <v>57.614213492988704</v>
      </c>
      <c r="L25" s="26">
        <v>77196.050176469304</v>
      </c>
      <c r="M25" s="28">
        <v>65.9967912958912</v>
      </c>
      <c r="N25" s="32"/>
      <c r="O25" s="33"/>
      <c r="P25" s="26">
        <v>40646.486180878499</v>
      </c>
      <c r="Q25" s="28">
        <v>37.208725027831903</v>
      </c>
      <c r="R25" s="32"/>
      <c r="S25" s="33"/>
      <c r="T25" s="26">
        <v>68653.149246155604</v>
      </c>
      <c r="U25" s="28">
        <v>62.846666283213303</v>
      </c>
    </row>
    <row r="26" spans="1:21" ht="16" x14ac:dyDescent="0.2">
      <c r="A26" s="9" t="s">
        <v>53</v>
      </c>
      <c r="B26" s="26">
        <v>29303.271700000001</v>
      </c>
      <c r="C26" s="28">
        <v>16.091880392437435</v>
      </c>
      <c r="D26" s="26">
        <v>28747.500720754098</v>
      </c>
      <c r="E26" s="20">
        <v>15.786678960685199</v>
      </c>
      <c r="F26" s="26">
        <v>44233.424532110097</v>
      </c>
      <c r="G26" s="28">
        <v>16.567818372604002</v>
      </c>
      <c r="H26" s="20">
        <f t="shared" si="0"/>
        <v>1.5095046377401637</v>
      </c>
      <c r="I26" s="20"/>
      <c r="J26" s="26">
        <v>36447.824404802202</v>
      </c>
      <c r="K26" s="28">
        <v>20.015308749210298</v>
      </c>
      <c r="L26" s="26">
        <v>56012.950334334302</v>
      </c>
      <c r="M26" s="28">
        <v>20.979890150247599</v>
      </c>
      <c r="N26" s="32"/>
      <c r="O26" s="33"/>
      <c r="P26" s="26">
        <v>38345.5213116421</v>
      </c>
      <c r="Q26" s="28">
        <v>16.248888281929499</v>
      </c>
      <c r="R26" s="32"/>
      <c r="S26" s="33"/>
      <c r="T26" s="26">
        <v>47148.753289379099</v>
      </c>
      <c r="U26" s="28">
        <v>19.979251777671799</v>
      </c>
    </row>
    <row r="27" spans="1:21" ht="16" x14ac:dyDescent="0.2">
      <c r="A27" s="9" t="s">
        <v>54</v>
      </c>
      <c r="B27" s="26">
        <v>23600.050299999999</v>
      </c>
      <c r="C27" s="28">
        <v>6.4901562095981786</v>
      </c>
      <c r="D27" s="26">
        <v>19769.389759619899</v>
      </c>
      <c r="E27" s="20">
        <v>5.43650202929273</v>
      </c>
      <c r="F27" s="26">
        <v>44901.619668833802</v>
      </c>
      <c r="G27" s="28">
        <v>6.5988998069952798</v>
      </c>
      <c r="H27" s="20">
        <f t="shared" si="0"/>
        <v>1.9026069477840819</v>
      </c>
      <c r="I27" s="20"/>
      <c r="J27" s="26">
        <v>35928.8739722092</v>
      </c>
      <c r="K27" s="28">
        <v>9.8802946694432592</v>
      </c>
      <c r="L27" s="26">
        <v>89510.304316228197</v>
      </c>
      <c r="M27" s="28">
        <v>13.1547488538911</v>
      </c>
      <c r="N27" s="32"/>
      <c r="O27" s="33"/>
      <c r="P27" s="26">
        <v>30696.375479178001</v>
      </c>
      <c r="Q27" s="28">
        <v>5.3765537938150896</v>
      </c>
      <c r="R27" s="32"/>
      <c r="S27" s="33"/>
      <c r="T27" s="26">
        <v>54273.511367938001</v>
      </c>
      <c r="U27" s="28">
        <v>9.5061533778439102</v>
      </c>
    </row>
    <row r="28" spans="1:21" ht="16" x14ac:dyDescent="0.2">
      <c r="A28" s="9" t="s">
        <v>55</v>
      </c>
      <c r="B28" s="26">
        <v>3219.4254799999999</v>
      </c>
      <c r="C28" s="28">
        <v>8.6609290785197815E-2</v>
      </c>
      <c r="D28" s="26">
        <v>3152.9996079473499</v>
      </c>
      <c r="E28" s="20">
        <v>8.4822294815583399E-2</v>
      </c>
      <c r="F28" s="26">
        <v>3318.7551935076599</v>
      </c>
      <c r="G28" s="28">
        <v>7.6459377030149503E-2</v>
      </c>
      <c r="H28" s="98">
        <f t="shared" si="0"/>
        <v>1.030853242022443</v>
      </c>
      <c r="I28" s="98"/>
      <c r="J28" s="26">
        <v>6309.2675959357903</v>
      </c>
      <c r="K28" s="28">
        <v>0.16973251590135</v>
      </c>
      <c r="L28" s="26">
        <v>6747.4065495949999</v>
      </c>
      <c r="M28" s="28">
        <v>0.15545060460030899</v>
      </c>
      <c r="N28" s="32"/>
      <c r="O28" s="33"/>
      <c r="P28" s="26">
        <v>3219.739044641</v>
      </c>
      <c r="Q28" s="28">
        <v>7.4252570509283897E-2</v>
      </c>
      <c r="R28" s="32"/>
      <c r="S28" s="33"/>
      <c r="T28" s="26">
        <v>6600.0734234689799</v>
      </c>
      <c r="U28" s="28">
        <v>0.15220873817655101</v>
      </c>
    </row>
    <row r="29" spans="1:21" ht="16" x14ac:dyDescent="0.2">
      <c r="A29" s="9" t="s">
        <v>56</v>
      </c>
      <c r="B29" s="26">
        <v>5.86830389</v>
      </c>
      <c r="C29" s="28">
        <v>2.843798167089481E-2</v>
      </c>
      <c r="D29" s="26">
        <v>0.88071974192533897</v>
      </c>
      <c r="E29" s="20">
        <v>4.2679950390287803E-3</v>
      </c>
      <c r="F29" s="26">
        <v>3.9184421831709999</v>
      </c>
      <c r="G29" s="28">
        <v>1.01653742499557E-2</v>
      </c>
      <c r="H29" s="20">
        <f t="shared" si="0"/>
        <v>0.66772993638729228</v>
      </c>
      <c r="I29" s="20"/>
      <c r="J29" s="26">
        <v>38.566803758265202</v>
      </c>
      <c r="K29" s="28">
        <v>0.18689592077456399</v>
      </c>
      <c r="L29" s="26">
        <v>170.70380194338099</v>
      </c>
      <c r="M29" s="28">
        <v>0.44284640464964803</v>
      </c>
      <c r="N29" s="32"/>
      <c r="O29" s="33"/>
      <c r="P29" s="26">
        <v>2.7478488856700598</v>
      </c>
      <c r="Q29" s="28">
        <v>8.1851095424817794E-3</v>
      </c>
      <c r="R29" s="32"/>
      <c r="S29" s="33"/>
      <c r="T29" s="26">
        <v>119.57223202608201</v>
      </c>
      <c r="U29" s="28">
        <v>0.35617381380631202</v>
      </c>
    </row>
    <row r="30" spans="1:21" ht="16" x14ac:dyDescent="0.2">
      <c r="A30" s="9" t="s">
        <v>57</v>
      </c>
      <c r="B30" s="26">
        <v>314.15935500000001</v>
      </c>
      <c r="C30" s="28">
        <v>3.7737773768661401E-2</v>
      </c>
      <c r="D30" s="26">
        <v>203.267867343918</v>
      </c>
      <c r="E30" s="20">
        <v>2.4417152198118401E-2</v>
      </c>
      <c r="F30" s="26">
        <v>308.44958025801901</v>
      </c>
      <c r="G30" s="28">
        <v>2.7264512161922903E-2</v>
      </c>
      <c r="H30" s="20">
        <f t="shared" si="0"/>
        <v>0.98182522770337055</v>
      </c>
      <c r="I30" s="20"/>
      <c r="J30" s="26">
        <v>899.96824316368202</v>
      </c>
      <c r="K30" s="28">
        <v>0.108106912587521</v>
      </c>
      <c r="L30" s="26">
        <v>1305.5140528079301</v>
      </c>
      <c r="M30" s="28">
        <v>0.11539715418179</v>
      </c>
      <c r="N30" s="32"/>
      <c r="O30" s="33"/>
      <c r="P30" s="26">
        <v>293.19047645062699</v>
      </c>
      <c r="Q30" s="28">
        <v>2.6006925261280598E-2</v>
      </c>
      <c r="R30" s="32"/>
      <c r="S30" s="33"/>
      <c r="T30" s="26">
        <v>1264.19238835639</v>
      </c>
      <c r="U30" s="28">
        <v>0.112137874865117</v>
      </c>
    </row>
    <row r="31" spans="1:21" ht="16" x14ac:dyDescent="0.2">
      <c r="A31" s="9" t="s">
        <v>58</v>
      </c>
      <c r="B31" s="26">
        <v>11035.38</v>
      </c>
      <c r="C31" s="28">
        <v>1.8621831212474176</v>
      </c>
      <c r="D31" s="26">
        <v>12610.165882567801</v>
      </c>
      <c r="E31" s="20">
        <v>2.1279619889670101</v>
      </c>
      <c r="F31" s="26">
        <v>44764.082297137902</v>
      </c>
      <c r="G31" s="28">
        <v>4.7675072294266698</v>
      </c>
      <c r="H31" s="20">
        <f>F31/B31</f>
        <v>4.0564151209236021</v>
      </c>
      <c r="I31" s="20"/>
      <c r="J31" s="26">
        <v>41272.550738183898</v>
      </c>
      <c r="K31" s="28">
        <v>6.9647314695501601</v>
      </c>
      <c r="L31" s="26">
        <v>111261.540865982</v>
      </c>
      <c r="M31" s="28">
        <v>11.849683344667501</v>
      </c>
      <c r="N31" s="32"/>
      <c r="O31" s="33"/>
      <c r="P31" s="26">
        <v>19038.9855245699</v>
      </c>
      <c r="Q31" s="28">
        <v>2.3025808945455704</v>
      </c>
      <c r="R31" s="32"/>
      <c r="S31" s="33"/>
      <c r="T31" s="26">
        <v>63369.484871617897</v>
      </c>
      <c r="U31" s="28">
        <v>7.6639254215661801</v>
      </c>
    </row>
    <row r="32" spans="1:21" x14ac:dyDescent="0.2">
      <c r="A32" s="13" t="s">
        <v>59</v>
      </c>
      <c r="B32" s="99">
        <f>SUM(B7:B31)</f>
        <v>284185.11788298999</v>
      </c>
      <c r="C32" s="73">
        <v>1.744276630161594</v>
      </c>
      <c r="D32" s="22">
        <v>334984.32662925101</v>
      </c>
      <c r="E32" s="21">
        <v>2.0560705989960102</v>
      </c>
      <c r="F32" s="99">
        <v>675523.666796381</v>
      </c>
      <c r="G32" s="73">
        <v>3.13068218030643</v>
      </c>
      <c r="H32" s="97"/>
      <c r="I32" s="97"/>
      <c r="J32" s="22">
        <v>896130.25973563397</v>
      </c>
      <c r="K32" s="29">
        <v>5.50027847109493</v>
      </c>
      <c r="L32" s="99">
        <v>1622263.4157116599</v>
      </c>
      <c r="M32" s="73">
        <v>7.5183023437466296</v>
      </c>
      <c r="N32" s="34"/>
      <c r="O32" s="35"/>
      <c r="P32" s="22">
        <v>447053.13098796899</v>
      </c>
      <c r="Q32" s="29">
        <v>2.2115883026069798</v>
      </c>
      <c r="R32" s="34"/>
      <c r="S32" s="35"/>
      <c r="T32" s="72">
        <v>1137427.66150383</v>
      </c>
      <c r="U32" s="73">
        <v>5.6268965294668503</v>
      </c>
    </row>
  </sheetData>
  <mergeCells count="17">
    <mergeCell ref="B2:C5"/>
    <mergeCell ref="D5:E5"/>
    <mergeCell ref="F5:G5"/>
    <mergeCell ref="N5:O5"/>
    <mergeCell ref="P5:Q5"/>
    <mergeCell ref="N2:U2"/>
    <mergeCell ref="N3:U3"/>
    <mergeCell ref="D2:M2"/>
    <mergeCell ref="N4:Q4"/>
    <mergeCell ref="R4:U4"/>
    <mergeCell ref="D3:M3"/>
    <mergeCell ref="D4:G4"/>
    <mergeCell ref="R5:S5"/>
    <mergeCell ref="T5:U5"/>
    <mergeCell ref="J4:M4"/>
    <mergeCell ref="J5:K5"/>
    <mergeCell ref="L5:M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baseColWidth="10" defaultColWidth="8.5" defaultRowHeight="15" x14ac:dyDescent="0.2"/>
  <cols>
    <col min="1" max="1" width="17.5" style="9" customWidth="1"/>
    <col min="2" max="11" width="10.5" style="9" customWidth="1"/>
    <col min="12" max="16384" width="8.5" style="9"/>
  </cols>
  <sheetData>
    <row r="1" spans="1:11" x14ac:dyDescent="0.2">
      <c r="A1" s="18"/>
      <c r="B1" s="18"/>
      <c r="C1" s="18"/>
    </row>
    <row r="2" spans="1:11" x14ac:dyDescent="0.2">
      <c r="B2" s="111" t="s">
        <v>25</v>
      </c>
      <c r="C2" s="112"/>
      <c r="D2" s="105" t="s">
        <v>26</v>
      </c>
      <c r="E2" s="104"/>
      <c r="F2" s="104"/>
      <c r="G2" s="104"/>
      <c r="H2" s="104"/>
      <c r="I2" s="104"/>
      <c r="J2" s="104"/>
      <c r="K2" s="106"/>
    </row>
    <row r="3" spans="1:11" x14ac:dyDescent="0.2">
      <c r="B3" s="111"/>
      <c r="C3" s="112"/>
      <c r="D3" s="105">
        <v>2050</v>
      </c>
      <c r="E3" s="104"/>
      <c r="F3" s="104"/>
      <c r="G3" s="104"/>
      <c r="H3" s="104"/>
      <c r="I3" s="104"/>
      <c r="J3" s="104"/>
      <c r="K3" s="106"/>
    </row>
    <row r="4" spans="1:11" ht="29.25" customHeight="1" x14ac:dyDescent="0.2">
      <c r="A4" s="19"/>
      <c r="B4" s="111"/>
      <c r="C4" s="112"/>
      <c r="D4" s="107" t="s">
        <v>28</v>
      </c>
      <c r="E4" s="108"/>
      <c r="F4" s="108"/>
      <c r="G4" s="109"/>
      <c r="H4" s="108" t="s">
        <v>29</v>
      </c>
      <c r="I4" s="108"/>
      <c r="J4" s="108"/>
      <c r="K4" s="108"/>
    </row>
    <row r="5" spans="1:11" ht="29.25" customHeight="1" x14ac:dyDescent="0.2">
      <c r="A5" s="19"/>
      <c r="B5" s="113"/>
      <c r="C5" s="114"/>
      <c r="D5" s="110" t="s">
        <v>30</v>
      </c>
      <c r="E5" s="102"/>
      <c r="F5" s="102" t="s">
        <v>31</v>
      </c>
      <c r="G5" s="103"/>
      <c r="H5" s="110" t="s">
        <v>30</v>
      </c>
      <c r="I5" s="102"/>
      <c r="J5" s="102" t="s">
        <v>31</v>
      </c>
      <c r="K5" s="103"/>
    </row>
    <row r="6" spans="1:11" ht="16" x14ac:dyDescent="0.2">
      <c r="A6" s="12"/>
      <c r="B6" s="16" t="s">
        <v>32</v>
      </c>
      <c r="C6" s="15" t="s">
        <v>33</v>
      </c>
      <c r="D6" s="15" t="s">
        <v>32</v>
      </c>
      <c r="E6" s="15" t="s">
        <v>33</v>
      </c>
      <c r="F6" s="15" t="s">
        <v>32</v>
      </c>
      <c r="G6" s="15" t="s">
        <v>33</v>
      </c>
      <c r="H6" s="15" t="s">
        <v>32</v>
      </c>
      <c r="I6" s="15" t="s">
        <v>33</v>
      </c>
      <c r="J6" s="15" t="s">
        <v>32</v>
      </c>
      <c r="K6" s="15" t="s">
        <v>33</v>
      </c>
    </row>
    <row r="7" spans="1:11" x14ac:dyDescent="0.2">
      <c r="A7" s="9" t="s">
        <v>34</v>
      </c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9" t="s">
        <v>35</v>
      </c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9" t="s">
        <v>36</v>
      </c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9" t="s">
        <v>37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9" t="s">
        <v>38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9" t="s">
        <v>39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9" t="s">
        <v>40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9" t="s">
        <v>41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9" t="s">
        <v>42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9" t="s">
        <v>43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9" t="s">
        <v>44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9" t="s">
        <v>45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2">
      <c r="A19" s="9" t="s">
        <v>46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9" t="s">
        <v>47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9" t="s">
        <v>48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9" t="s">
        <v>49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9" t="s">
        <v>50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9" t="s">
        <v>51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9" t="s">
        <v>52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9" t="s">
        <v>53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2">
      <c r="A27" s="9" t="s">
        <v>54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2">
      <c r="A28" s="9" t="s">
        <v>55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2">
      <c r="A29" s="9" t="s">
        <v>56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2">
      <c r="A30" s="9" t="s">
        <v>57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2">
      <c r="A31" s="9" t="s">
        <v>58</v>
      </c>
    </row>
    <row r="32" spans="1:11" x14ac:dyDescent="0.2">
      <c r="A32" s="13" t="s">
        <v>59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U32"/>
  <sheetViews>
    <sheetView topLeftCell="A5" workbookViewId="0">
      <selection activeCell="A18" sqref="A18"/>
    </sheetView>
  </sheetViews>
  <sheetFormatPr baseColWidth="10" defaultColWidth="8.5" defaultRowHeight="15" x14ac:dyDescent="0.2"/>
  <cols>
    <col min="1" max="1" width="21.1640625" style="9" customWidth="1"/>
    <col min="2" max="19" width="10.5" style="9" customWidth="1"/>
    <col min="20" max="16384" width="8.5" style="9"/>
  </cols>
  <sheetData>
    <row r="1" spans="1:21" x14ac:dyDescent="0.2">
      <c r="A1" s="18"/>
      <c r="B1" s="18"/>
      <c r="C1" s="18"/>
    </row>
    <row r="2" spans="1:21" x14ac:dyDescent="0.2">
      <c r="B2" s="111" t="s">
        <v>25</v>
      </c>
      <c r="C2" s="112"/>
      <c r="D2" s="105" t="s">
        <v>26</v>
      </c>
      <c r="E2" s="104"/>
      <c r="F2" s="104"/>
      <c r="G2" s="104"/>
      <c r="H2" s="104"/>
      <c r="I2" s="104"/>
      <c r="J2" s="104"/>
      <c r="K2" s="106"/>
      <c r="L2" s="104" t="s">
        <v>27</v>
      </c>
      <c r="M2" s="104"/>
      <c r="N2" s="104"/>
      <c r="O2" s="104"/>
      <c r="P2" s="104"/>
      <c r="Q2" s="104"/>
      <c r="R2" s="104"/>
      <c r="S2" s="104"/>
    </row>
    <row r="3" spans="1:21" x14ac:dyDescent="0.2">
      <c r="B3" s="111"/>
      <c r="C3" s="112"/>
      <c r="D3" s="105">
        <v>2050</v>
      </c>
      <c r="E3" s="104"/>
      <c r="F3" s="104"/>
      <c r="G3" s="104"/>
      <c r="H3" s="104"/>
      <c r="I3" s="104"/>
      <c r="J3" s="104"/>
      <c r="K3" s="106"/>
      <c r="L3" s="104">
        <v>2050</v>
      </c>
      <c r="M3" s="104"/>
      <c r="N3" s="104"/>
      <c r="O3" s="104"/>
      <c r="P3" s="104"/>
      <c r="Q3" s="104"/>
      <c r="R3" s="104"/>
      <c r="S3" s="104"/>
    </row>
    <row r="4" spans="1:21" ht="29.25" customHeight="1" x14ac:dyDescent="0.2">
      <c r="A4" s="19"/>
      <c r="B4" s="111"/>
      <c r="C4" s="112"/>
      <c r="D4" s="107" t="s">
        <v>28</v>
      </c>
      <c r="E4" s="108"/>
      <c r="F4" s="108"/>
      <c r="G4" s="109"/>
      <c r="H4" s="108" t="s">
        <v>29</v>
      </c>
      <c r="I4" s="108"/>
      <c r="J4" s="108"/>
      <c r="K4" s="109"/>
      <c r="L4" s="107" t="s">
        <v>28</v>
      </c>
      <c r="M4" s="108"/>
      <c r="N4" s="108"/>
      <c r="O4" s="109"/>
      <c r="P4" s="108" t="s">
        <v>29</v>
      </c>
      <c r="Q4" s="108"/>
      <c r="R4" s="108"/>
      <c r="S4" s="108"/>
    </row>
    <row r="5" spans="1:21" ht="29.25" customHeight="1" x14ac:dyDescent="0.2">
      <c r="A5" s="19"/>
      <c r="B5" s="113"/>
      <c r="C5" s="114"/>
      <c r="D5" s="110" t="s">
        <v>30</v>
      </c>
      <c r="E5" s="102"/>
      <c r="F5" s="102" t="s">
        <v>31</v>
      </c>
      <c r="G5" s="103"/>
      <c r="H5" s="110" t="s">
        <v>30</v>
      </c>
      <c r="I5" s="102"/>
      <c r="J5" s="102" t="s">
        <v>31</v>
      </c>
      <c r="K5" s="103"/>
      <c r="L5" s="110" t="s">
        <v>30</v>
      </c>
      <c r="M5" s="102"/>
      <c r="N5" s="102" t="s">
        <v>31</v>
      </c>
      <c r="O5" s="103"/>
      <c r="P5" s="110" t="s">
        <v>30</v>
      </c>
      <c r="Q5" s="102"/>
      <c r="R5" s="102" t="s">
        <v>31</v>
      </c>
      <c r="S5" s="103"/>
    </row>
    <row r="6" spans="1:21" ht="32" x14ac:dyDescent="0.2">
      <c r="A6" s="12"/>
      <c r="B6" s="16" t="s">
        <v>60</v>
      </c>
      <c r="C6" s="17" t="s">
        <v>33</v>
      </c>
      <c r="D6" s="16" t="s">
        <v>13</v>
      </c>
      <c r="E6" s="14" t="s">
        <v>33</v>
      </c>
      <c r="F6" s="14" t="s">
        <v>13</v>
      </c>
      <c r="G6" s="17" t="s">
        <v>33</v>
      </c>
      <c r="H6" s="14" t="s">
        <v>13</v>
      </c>
      <c r="I6" s="14" t="s">
        <v>33</v>
      </c>
      <c r="J6" s="14" t="s">
        <v>13</v>
      </c>
      <c r="K6" s="17" t="s">
        <v>33</v>
      </c>
      <c r="L6" s="16" t="s">
        <v>13</v>
      </c>
      <c r="M6" s="14" t="s">
        <v>33</v>
      </c>
      <c r="N6" s="14" t="s">
        <v>13</v>
      </c>
      <c r="O6" s="17" t="s">
        <v>33</v>
      </c>
      <c r="P6" s="14" t="s">
        <v>13</v>
      </c>
      <c r="Q6" s="14" t="s">
        <v>33</v>
      </c>
      <c r="R6" s="14" t="s">
        <v>13</v>
      </c>
      <c r="S6" s="17" t="s">
        <v>33</v>
      </c>
    </row>
    <row r="7" spans="1:21" x14ac:dyDescent="0.2">
      <c r="A7" s="9" t="s">
        <v>34</v>
      </c>
      <c r="B7" s="23">
        <v>2.2192594789976701</v>
      </c>
      <c r="C7" s="23">
        <v>0.11372062297667399</v>
      </c>
      <c r="D7" s="23">
        <v>3.3691257758603701</v>
      </c>
      <c r="E7" s="23">
        <v>0.17264276022858602</v>
      </c>
      <c r="F7" s="23">
        <v>123.293625755015</v>
      </c>
      <c r="G7" s="23">
        <v>1.3704306661946299</v>
      </c>
      <c r="H7" s="23">
        <v>9.4811951267940398</v>
      </c>
      <c r="I7" s="23">
        <v>0.48584107743426097</v>
      </c>
      <c r="J7" s="23">
        <v>364.20156844228097</v>
      </c>
      <c r="K7" s="23">
        <v>4.0481654668929998</v>
      </c>
      <c r="L7" s="36"/>
      <c r="M7" s="36"/>
      <c r="N7" s="23">
        <v>4.6686153204893603</v>
      </c>
      <c r="O7" s="23">
        <v>0.190582086294315</v>
      </c>
      <c r="P7" s="36"/>
      <c r="Q7" s="36"/>
      <c r="R7" s="23">
        <v>13.2143289429733</v>
      </c>
      <c r="S7" s="23">
        <v>0.53943497290910503</v>
      </c>
      <c r="U7" s="23"/>
    </row>
    <row r="8" spans="1:21" x14ac:dyDescent="0.2">
      <c r="A8" s="9" t="s">
        <v>35</v>
      </c>
      <c r="B8" s="23">
        <v>7.65273977597366</v>
      </c>
      <c r="C8" s="23">
        <v>0.18245795147396598</v>
      </c>
      <c r="D8" s="23">
        <v>8.1497874076024992</v>
      </c>
      <c r="E8" s="23">
        <v>0.194308647473942</v>
      </c>
      <c r="F8" s="23">
        <v>14.3687289133506</v>
      </c>
      <c r="G8" s="23">
        <v>0.24306769756732702</v>
      </c>
      <c r="H8" s="23">
        <v>20.009759609131699</v>
      </c>
      <c r="I8" s="23">
        <v>0.47707616548403797</v>
      </c>
      <c r="J8" s="23">
        <v>39.5854601530596</v>
      </c>
      <c r="K8" s="23">
        <v>0.66964494316593504</v>
      </c>
      <c r="L8" s="36"/>
      <c r="M8" s="36"/>
      <c r="N8" s="23">
        <v>10.7642956817987</v>
      </c>
      <c r="O8" s="23">
        <v>0.19970244652469599</v>
      </c>
      <c r="P8" s="36"/>
      <c r="Q8" s="36"/>
      <c r="R8" s="23">
        <v>28.070619294247901</v>
      </c>
      <c r="S8" s="23">
        <v>0.52077456010460799</v>
      </c>
      <c r="U8" s="23"/>
    </row>
    <row r="9" spans="1:21" x14ac:dyDescent="0.2">
      <c r="A9" s="9" t="s">
        <v>36</v>
      </c>
      <c r="B9" s="23">
        <v>51.525438001706497</v>
      </c>
      <c r="C9" s="23">
        <v>2.4497995816643701</v>
      </c>
      <c r="D9" s="23">
        <v>29.6230166125365</v>
      </c>
      <c r="E9" s="23">
        <v>1.40843933636479</v>
      </c>
      <c r="F9" s="23">
        <v>102.320697660813</v>
      </c>
      <c r="G9" s="23">
        <v>2.6828660461829599</v>
      </c>
      <c r="H9" s="23">
        <v>93.368918434151396</v>
      </c>
      <c r="I9" s="23">
        <v>4.4392662380252501</v>
      </c>
      <c r="J9" s="23">
        <v>307.35176893860398</v>
      </c>
      <c r="K9" s="23">
        <v>8.0588155082082906</v>
      </c>
      <c r="L9" s="36"/>
      <c r="M9" s="36"/>
      <c r="N9" s="23">
        <v>43.446352309208798</v>
      </c>
      <c r="O9" s="23">
        <v>1.4865303838446999</v>
      </c>
      <c r="P9" s="36"/>
      <c r="Q9" s="36"/>
      <c r="R9" s="23">
        <v>137.67270569706</v>
      </c>
      <c r="S9" s="23">
        <v>4.71051421275273</v>
      </c>
      <c r="U9" s="23"/>
    </row>
    <row r="10" spans="1:21" x14ac:dyDescent="0.2">
      <c r="A10" s="9" t="s">
        <v>37</v>
      </c>
      <c r="B10" s="23">
        <v>35.7100914909309</v>
      </c>
      <c r="C10" s="23">
        <v>2.8243631706635299</v>
      </c>
      <c r="D10" s="23">
        <v>32.803733340532098</v>
      </c>
      <c r="E10" s="23">
        <v>2.5944950695742803</v>
      </c>
      <c r="F10" s="23">
        <v>76.044019513995806</v>
      </c>
      <c r="G10" s="23">
        <v>1.1463485538890201</v>
      </c>
      <c r="H10" s="23">
        <v>66.622841997936703</v>
      </c>
      <c r="I10" s="23">
        <v>5.2692976525052</v>
      </c>
      <c r="J10" s="23">
        <v>149.57171663499199</v>
      </c>
      <c r="K10" s="23">
        <v>2.25476404539168</v>
      </c>
      <c r="L10" s="36"/>
      <c r="M10" s="36"/>
      <c r="N10" s="23">
        <v>47.497475494033097</v>
      </c>
      <c r="O10" s="23">
        <v>2.8434665955841298</v>
      </c>
      <c r="P10" s="36"/>
      <c r="Q10" s="36"/>
      <c r="R10" s="23">
        <v>93.8077692539335</v>
      </c>
      <c r="S10" s="23">
        <v>5.6158618011884203</v>
      </c>
      <c r="U10" s="23"/>
    </row>
    <row r="11" spans="1:21" x14ac:dyDescent="0.2">
      <c r="A11" s="9" t="s">
        <v>38</v>
      </c>
      <c r="B11" s="23">
        <v>1.2650458659789601</v>
      </c>
      <c r="C11" s="23">
        <v>6.0316056657439707E-2</v>
      </c>
      <c r="D11" s="23">
        <v>1.0681459250704399</v>
      </c>
      <c r="E11" s="23">
        <v>5.09280745209231E-2</v>
      </c>
      <c r="F11" s="23">
        <v>1.8513185964685499</v>
      </c>
      <c r="G11" s="23">
        <v>5.3682215128597596E-2</v>
      </c>
      <c r="H11" s="23">
        <v>2.4699107722582898</v>
      </c>
      <c r="I11" s="23">
        <v>0.117762748438426</v>
      </c>
      <c r="J11" s="23">
        <v>4.5158247039743502</v>
      </c>
      <c r="K11" s="23">
        <v>0.130944221974655</v>
      </c>
      <c r="L11" s="36"/>
      <c r="M11" s="36"/>
      <c r="N11" s="23">
        <v>1.56251224538611</v>
      </c>
      <c r="O11" s="23">
        <v>5.2107175145604499E-2</v>
      </c>
      <c r="P11" s="36"/>
      <c r="Q11" s="36"/>
      <c r="R11" s="23">
        <v>3.6931435909518702</v>
      </c>
      <c r="S11" s="23">
        <v>0.123160173944136</v>
      </c>
      <c r="U11" s="23"/>
    </row>
    <row r="12" spans="1:21" x14ac:dyDescent="0.2">
      <c r="A12" s="9" t="s">
        <v>39</v>
      </c>
      <c r="B12" s="23">
        <v>8.5217080799169498</v>
      </c>
      <c r="C12" s="23">
        <v>0.49651174658069902</v>
      </c>
      <c r="D12" s="23">
        <v>10.1136441155773</v>
      </c>
      <c r="E12" s="23">
        <v>0.58926485829233799</v>
      </c>
      <c r="F12" s="23">
        <v>17.548454061921301</v>
      </c>
      <c r="G12" s="23">
        <v>0.62794489015836008</v>
      </c>
      <c r="H12" s="23">
        <v>24.205307389814301</v>
      </c>
      <c r="I12" s="23">
        <v>1.41030640053989</v>
      </c>
      <c r="J12" s="23">
        <v>50.588145512574002</v>
      </c>
      <c r="K12" s="23">
        <v>1.8102202829444101</v>
      </c>
      <c r="L12" s="36"/>
      <c r="M12" s="36"/>
      <c r="N12" s="23">
        <v>12.5862764473012</v>
      </c>
      <c r="O12" s="23">
        <v>0.57248098831275906</v>
      </c>
      <c r="P12" s="36"/>
      <c r="Q12" s="36"/>
      <c r="R12" s="23">
        <v>31.773034544790399</v>
      </c>
      <c r="S12" s="23">
        <v>1.4451818450084299</v>
      </c>
      <c r="U12" s="23"/>
    </row>
    <row r="13" spans="1:21" x14ac:dyDescent="0.2">
      <c r="A13" s="9" t="s">
        <v>40</v>
      </c>
      <c r="B13" s="23">
        <v>1.65591645392111</v>
      </c>
      <c r="C13" s="23">
        <v>9.1031343800485304E-2</v>
      </c>
      <c r="D13" s="23">
        <v>1.5356376576961701</v>
      </c>
      <c r="E13" s="23">
        <v>8.4419210425559207E-2</v>
      </c>
      <c r="F13" s="23">
        <v>2.72251003835814</v>
      </c>
      <c r="G13" s="23">
        <v>9.3790182375942402E-2</v>
      </c>
      <c r="H13" s="23">
        <v>7.7478555346852502</v>
      </c>
      <c r="I13" s="23">
        <v>0.42592589694022298</v>
      </c>
      <c r="J13" s="23">
        <v>14.6581523745576</v>
      </c>
      <c r="K13" s="23">
        <v>0.50497179629618905</v>
      </c>
      <c r="L13" s="36"/>
      <c r="M13" s="36"/>
      <c r="N13" s="23">
        <v>2.10085499279743</v>
      </c>
      <c r="O13" s="23">
        <v>8.0189230357337299E-2</v>
      </c>
      <c r="P13" s="36"/>
      <c r="Q13" s="36"/>
      <c r="R13" s="23">
        <v>11.553967403016999</v>
      </c>
      <c r="S13" s="23">
        <v>0.44101270996719105</v>
      </c>
      <c r="U13" s="23"/>
    </row>
    <row r="14" spans="1:21" x14ac:dyDescent="0.2">
      <c r="A14" s="9" t="s">
        <v>41</v>
      </c>
      <c r="B14" s="23">
        <v>102.985668586483</v>
      </c>
      <c r="C14" s="23">
        <v>3.1816174242282398</v>
      </c>
      <c r="D14" s="23">
        <v>84.275861828709296</v>
      </c>
      <c r="E14" s="23">
        <v>2.6036006185744798</v>
      </c>
      <c r="F14" s="23">
        <v>531.534418382117</v>
      </c>
      <c r="G14" s="23">
        <v>6.4985998589736198</v>
      </c>
      <c r="H14" s="23">
        <v>187.70725677723499</v>
      </c>
      <c r="I14" s="23">
        <v>5.7989882185890993</v>
      </c>
      <c r="J14" s="23">
        <v>1057.0165691424299</v>
      </c>
      <c r="K14" s="23">
        <v>12.9232040101374</v>
      </c>
      <c r="L14" s="36"/>
      <c r="M14" s="36"/>
      <c r="N14" s="23">
        <v>132.28719658652801</v>
      </c>
      <c r="O14" s="23">
        <v>2.9396405967216701</v>
      </c>
      <c r="P14" s="36"/>
      <c r="Q14" s="36"/>
      <c r="R14" s="23">
        <v>294.06315155455502</v>
      </c>
      <c r="S14" s="23">
        <v>6.5345702427389902</v>
      </c>
      <c r="U14" s="23"/>
    </row>
    <row r="15" spans="1:21" x14ac:dyDescent="0.2">
      <c r="A15" s="9" t="s">
        <v>42</v>
      </c>
      <c r="B15" s="23">
        <v>0.495098816080838</v>
      </c>
      <c r="C15" s="23">
        <v>0.13424736663161801</v>
      </c>
      <c r="D15" s="23">
        <v>0.94247455592246099</v>
      </c>
      <c r="E15" s="23">
        <v>0.25555449364927402</v>
      </c>
      <c r="F15" s="23">
        <v>1.4961215245472701</v>
      </c>
      <c r="G15" s="23">
        <v>0.319994428142506</v>
      </c>
      <c r="H15" s="23">
        <v>1.3461441546603601</v>
      </c>
      <c r="I15" s="23">
        <v>0.36501058374615802</v>
      </c>
      <c r="J15" s="23">
        <v>2.2400926668987302</v>
      </c>
      <c r="K15" s="23">
        <v>0.479116943489861</v>
      </c>
      <c r="L15" s="36"/>
      <c r="M15" s="36"/>
      <c r="N15" s="23">
        <v>1.16702484637818</v>
      </c>
      <c r="O15" s="23">
        <v>0.276289174192617</v>
      </c>
      <c r="P15" s="36"/>
      <c r="Q15" s="36"/>
      <c r="R15" s="23">
        <v>1.71684224146111</v>
      </c>
      <c r="S15" s="23">
        <v>0.40645657766790794</v>
      </c>
      <c r="U15" s="23"/>
    </row>
    <row r="16" spans="1:21" x14ac:dyDescent="0.2">
      <c r="A16" s="9" t="s">
        <v>43</v>
      </c>
      <c r="B16" s="23">
        <v>37.551357578896599</v>
      </c>
      <c r="C16" s="23">
        <v>3.4319557976409198</v>
      </c>
      <c r="D16" s="23">
        <v>28.739725587946801</v>
      </c>
      <c r="E16" s="23">
        <v>2.6266285485666199</v>
      </c>
      <c r="F16" s="23">
        <v>481.40872043956801</v>
      </c>
      <c r="G16" s="23">
        <v>14.835173602935599</v>
      </c>
      <c r="H16" s="23">
        <v>108.169672243683</v>
      </c>
      <c r="I16" s="23">
        <v>9.8860216439752797</v>
      </c>
      <c r="J16" s="23">
        <v>1811.4535075019901</v>
      </c>
      <c r="K16" s="23">
        <v>55.822061621362096</v>
      </c>
      <c r="L16" s="36"/>
      <c r="M16" s="36"/>
      <c r="N16" s="23">
        <v>43.403070543007203</v>
      </c>
      <c r="O16" s="23">
        <v>3.2910508622796595</v>
      </c>
      <c r="P16" s="36"/>
      <c r="Q16" s="36"/>
      <c r="R16" s="23">
        <v>158.39720315911899</v>
      </c>
      <c r="S16" s="23">
        <v>12.010515512329201</v>
      </c>
      <c r="U16" s="23"/>
    </row>
    <row r="17" spans="1:21" x14ac:dyDescent="0.2">
      <c r="A17" s="9" t="s">
        <v>44</v>
      </c>
      <c r="B17" s="23">
        <v>1.2671933726406801</v>
      </c>
      <c r="C17" s="23">
        <v>0.31264067487299602</v>
      </c>
      <c r="D17" s="23">
        <v>1.96405947955081</v>
      </c>
      <c r="E17" s="23">
        <v>0.48457078014689403</v>
      </c>
      <c r="F17" s="23">
        <v>2.4548719251406301</v>
      </c>
      <c r="G17" s="23">
        <v>0.50377301738318103</v>
      </c>
      <c r="H17" s="23">
        <v>5.1910945011326399</v>
      </c>
      <c r="I17" s="23">
        <v>1.2807416162393301</v>
      </c>
      <c r="J17" s="23">
        <v>6.3004403314530704</v>
      </c>
      <c r="K17" s="23">
        <v>1.29293581637134</v>
      </c>
      <c r="L17" s="36"/>
      <c r="M17" s="36"/>
      <c r="N17" s="23">
        <v>2.3935039404465202</v>
      </c>
      <c r="O17" s="23">
        <v>0.50384602161908498</v>
      </c>
      <c r="P17" s="36"/>
      <c r="Q17" s="36"/>
      <c r="R17" s="23">
        <v>6.1388733895833401</v>
      </c>
      <c r="S17" s="23">
        <v>1.2922673250280099</v>
      </c>
      <c r="U17" s="23"/>
    </row>
    <row r="18" spans="1:21" x14ac:dyDescent="0.2">
      <c r="A18" s="9" t="s">
        <v>45</v>
      </c>
      <c r="B18" s="23">
        <v>35.5715966384494</v>
      </c>
      <c r="C18" s="23">
        <v>0.26065839026566301</v>
      </c>
      <c r="D18" s="23">
        <v>48.555899460336398</v>
      </c>
      <c r="E18" s="23">
        <v>0.35580361263717497</v>
      </c>
      <c r="F18" s="23">
        <v>66.621345741363797</v>
      </c>
      <c r="G18" s="23">
        <v>0.47667244045024998</v>
      </c>
      <c r="H18" s="23">
        <v>265.21200757089099</v>
      </c>
      <c r="I18" s="23">
        <v>1.9433970219326802</v>
      </c>
      <c r="J18" s="23">
        <v>332.454700574951</v>
      </c>
      <c r="K18" s="23">
        <v>2.37869697315086</v>
      </c>
      <c r="L18" s="36"/>
      <c r="M18" s="36"/>
      <c r="N18" s="23">
        <v>59.109716499775402</v>
      </c>
      <c r="O18" s="23">
        <v>0.42583817353506204</v>
      </c>
      <c r="P18" s="36"/>
      <c r="Q18" s="36"/>
      <c r="R18" s="23">
        <v>313.98042401410601</v>
      </c>
      <c r="S18" s="23">
        <v>2.2619775259527599</v>
      </c>
      <c r="U18" s="23"/>
    </row>
    <row r="19" spans="1:21" x14ac:dyDescent="0.2">
      <c r="A19" s="9" t="s">
        <v>46</v>
      </c>
      <c r="B19" s="23">
        <v>1.4495250900969401</v>
      </c>
      <c r="C19" s="23">
        <v>0.14676403893492301</v>
      </c>
      <c r="D19" s="23">
        <v>2.3864953031507201</v>
      </c>
      <c r="E19" s="23">
        <v>0.24163202967821701</v>
      </c>
      <c r="F19" s="23">
        <v>4.4272513060422396</v>
      </c>
      <c r="G19" s="23">
        <v>0.35561346838833402</v>
      </c>
      <c r="H19" s="23">
        <v>5.16154844158069</v>
      </c>
      <c r="I19" s="23">
        <v>0.52260543927113301</v>
      </c>
      <c r="J19" s="23">
        <v>8.9148908844997496</v>
      </c>
      <c r="K19" s="23">
        <v>0.71607754983634897</v>
      </c>
      <c r="L19" s="36"/>
      <c r="M19" s="36"/>
      <c r="N19" s="23">
        <v>3.69277046193131</v>
      </c>
      <c r="O19" s="23">
        <v>0.32818143823003904</v>
      </c>
      <c r="P19" s="36"/>
      <c r="Q19" s="36"/>
      <c r="R19" s="23">
        <v>7.34997420770231</v>
      </c>
      <c r="S19" s="23">
        <v>0.65320201493810093</v>
      </c>
      <c r="U19" s="23"/>
    </row>
    <row r="20" spans="1:21" x14ac:dyDescent="0.2">
      <c r="A20" s="9" t="s">
        <v>47</v>
      </c>
      <c r="B20" s="23">
        <v>86.509064857475295</v>
      </c>
      <c r="C20" s="23">
        <v>3.9968965451291001</v>
      </c>
      <c r="D20" s="23">
        <v>72.539408321996305</v>
      </c>
      <c r="E20" s="23">
        <v>3.3514697099727404</v>
      </c>
      <c r="F20" s="23">
        <v>170.787952813591</v>
      </c>
      <c r="G20" s="23">
        <v>4.4626108800399802</v>
      </c>
      <c r="H20" s="23">
        <v>204.33151520219801</v>
      </c>
      <c r="I20" s="23">
        <v>9.4405358388530889</v>
      </c>
      <c r="J20" s="23">
        <v>473.002929422649</v>
      </c>
      <c r="K20" s="23">
        <v>12.359349616633599</v>
      </c>
      <c r="L20" s="36"/>
      <c r="M20" s="36"/>
      <c r="N20" s="23">
        <v>109.834101113907</v>
      </c>
      <c r="O20" s="23">
        <v>3.64956820105153</v>
      </c>
      <c r="P20" s="36"/>
      <c r="Q20" s="36"/>
      <c r="R20" s="23">
        <v>316.75001638276098</v>
      </c>
      <c r="S20" s="23">
        <v>10.524971532058199</v>
      </c>
      <c r="U20" s="23"/>
    </row>
    <row r="21" spans="1:21" x14ac:dyDescent="0.2">
      <c r="A21" s="9" t="s">
        <v>48</v>
      </c>
      <c r="B21" s="23">
        <v>5.5882779713412303</v>
      </c>
      <c r="C21" s="23">
        <v>0.51875174554785797</v>
      </c>
      <c r="D21" s="23">
        <v>4.6059294017487602</v>
      </c>
      <c r="E21" s="23">
        <v>0.42756175145201503</v>
      </c>
      <c r="F21" s="23">
        <v>7.56863007495999</v>
      </c>
      <c r="G21" s="23">
        <v>0.50465727154437801</v>
      </c>
      <c r="H21" s="23">
        <v>9.0277782763490002</v>
      </c>
      <c r="I21" s="23">
        <v>0.83803557433831088</v>
      </c>
      <c r="J21" s="23">
        <v>14.535579661393999</v>
      </c>
      <c r="K21" s="23">
        <v>0.96919599710702498</v>
      </c>
      <c r="L21" s="36"/>
      <c r="M21" s="36"/>
      <c r="N21" s="23">
        <v>5.8431899730942103</v>
      </c>
      <c r="O21" s="23">
        <v>0.44441298131171203</v>
      </c>
      <c r="P21" s="36"/>
      <c r="Q21" s="36"/>
      <c r="R21" s="23">
        <v>11.4138580439856</v>
      </c>
      <c r="S21" s="23">
        <v>0.86809888176718697</v>
      </c>
      <c r="U21" s="23"/>
    </row>
    <row r="22" spans="1:21" x14ac:dyDescent="0.2">
      <c r="A22" s="9" t="s">
        <v>49</v>
      </c>
      <c r="B22" s="23">
        <v>3.9940689450513398</v>
      </c>
      <c r="C22" s="23">
        <v>0.58277297141264195</v>
      </c>
      <c r="D22" s="23">
        <v>5.6574979648664003</v>
      </c>
      <c r="E22" s="23">
        <v>0.82548322152305298</v>
      </c>
      <c r="F22" s="23">
        <v>6.2277280793613503</v>
      </c>
      <c r="G22" s="23">
        <v>0.79018546349015995</v>
      </c>
      <c r="H22" s="23">
        <v>12.4984227722192</v>
      </c>
      <c r="I22" s="23">
        <v>1.82363977115673</v>
      </c>
      <c r="J22" s="23">
        <v>13.5816472959685</v>
      </c>
      <c r="K22" s="23">
        <v>1.72326410639067</v>
      </c>
      <c r="L22" s="36"/>
      <c r="M22" s="36"/>
      <c r="N22" s="23">
        <v>6.2277479413928498</v>
      </c>
      <c r="O22" s="23">
        <v>0.81024735398879999</v>
      </c>
      <c r="P22" s="36"/>
      <c r="Q22" s="36"/>
      <c r="R22" s="23">
        <v>13.5817025962</v>
      </c>
      <c r="S22" s="23">
        <v>1.7670173383370302</v>
      </c>
      <c r="U22" s="23"/>
    </row>
    <row r="23" spans="1:21" x14ac:dyDescent="0.2">
      <c r="A23" s="9" t="s">
        <v>50</v>
      </c>
      <c r="B23" s="23">
        <v>10.0866813124163</v>
      </c>
      <c r="C23" s="23">
        <v>0.27116758652496198</v>
      </c>
      <c r="D23" s="23">
        <v>9.1963244721251094</v>
      </c>
      <c r="E23" s="23">
        <v>0.247231476316883</v>
      </c>
      <c r="F23" s="23">
        <v>25.940253013899198</v>
      </c>
      <c r="G23" s="23">
        <v>0.50409823738484494</v>
      </c>
      <c r="H23" s="23">
        <v>15.791971165384201</v>
      </c>
      <c r="I23" s="23">
        <v>0.42454704126695497</v>
      </c>
      <c r="J23" s="23">
        <v>42.6136945722956</v>
      </c>
      <c r="K23" s="23">
        <v>0.82811406314503599</v>
      </c>
      <c r="L23" s="36"/>
      <c r="M23" s="36"/>
      <c r="N23" s="23">
        <v>12.8650686705612</v>
      </c>
      <c r="O23" s="23">
        <v>0.28529672602886402</v>
      </c>
      <c r="P23" s="36"/>
      <c r="Q23" s="36"/>
      <c r="R23" s="23">
        <v>23.174934795237998</v>
      </c>
      <c r="S23" s="23">
        <v>0.51392908909559298</v>
      </c>
      <c r="U23" s="23"/>
    </row>
    <row r="24" spans="1:21" x14ac:dyDescent="0.2">
      <c r="A24" s="9" t="s">
        <v>51</v>
      </c>
      <c r="B24" s="23">
        <v>3.2232810309478402E-2</v>
      </c>
      <c r="C24" s="23">
        <v>3.5442506620389997E-3</v>
      </c>
      <c r="D24" s="23">
        <v>0.14300863271703201</v>
      </c>
      <c r="E24" s="23">
        <v>1.5724922410367298E-2</v>
      </c>
      <c r="F24" s="23">
        <v>0.149010742618574</v>
      </c>
      <c r="G24" s="23">
        <v>1.23808588586032E-2</v>
      </c>
      <c r="H24" s="23">
        <v>0.26084325782089801</v>
      </c>
      <c r="I24" s="23">
        <v>2.8681764957623701E-2</v>
      </c>
      <c r="J24" s="23">
        <v>0.27289112252363801</v>
      </c>
      <c r="K24" s="23">
        <v>2.2673710716141399E-2</v>
      </c>
      <c r="L24" s="36"/>
      <c r="M24" s="36"/>
      <c r="N24" s="23">
        <v>0.149010742618574</v>
      </c>
      <c r="O24" s="23">
        <v>1.3320384085878802E-2</v>
      </c>
      <c r="P24" s="36"/>
      <c r="Q24" s="36"/>
      <c r="R24" s="23">
        <v>0.27289112252363801</v>
      </c>
      <c r="S24" s="23">
        <v>2.4394312126516198E-2</v>
      </c>
      <c r="U24" s="23"/>
    </row>
    <row r="25" spans="1:21" x14ac:dyDescent="0.2">
      <c r="A25" s="9" t="s">
        <v>52</v>
      </c>
      <c r="B25" s="23">
        <v>26.598291820318099</v>
      </c>
      <c r="C25" s="23">
        <v>5.7729885648475996</v>
      </c>
      <c r="D25" s="23">
        <v>25.410229787127001</v>
      </c>
      <c r="E25" s="23">
        <v>5.51512732404783</v>
      </c>
      <c r="F25" s="23">
        <v>40.879624712790999</v>
      </c>
      <c r="G25" s="23">
        <v>7.2908300314467596</v>
      </c>
      <c r="H25" s="23">
        <v>88.726970868921995</v>
      </c>
      <c r="I25" s="23">
        <v>19.257619687764098</v>
      </c>
      <c r="J25" s="23">
        <v>143.07603456003301</v>
      </c>
      <c r="K25" s="23">
        <v>25.5174321408143</v>
      </c>
      <c r="L25" s="36"/>
      <c r="M25" s="36"/>
      <c r="N25" s="23">
        <v>36.0436894631112</v>
      </c>
      <c r="O25" s="23">
        <v>6.8127299980621601</v>
      </c>
      <c r="P25" s="36"/>
      <c r="Q25" s="36"/>
      <c r="R25" s="23">
        <v>125.469259297419</v>
      </c>
      <c r="S25" s="23">
        <v>23.7153354549067</v>
      </c>
      <c r="U25" s="23"/>
    </row>
    <row r="26" spans="1:21" x14ac:dyDescent="0.2">
      <c r="A26" s="9" t="s">
        <v>53</v>
      </c>
      <c r="B26" s="23">
        <v>48.170536220842102</v>
      </c>
      <c r="C26" s="23">
        <v>4.0142007829718596</v>
      </c>
      <c r="D26" s="23">
        <v>43.931891993664202</v>
      </c>
      <c r="E26" s="23">
        <v>3.6609813606787096</v>
      </c>
      <c r="F26" s="23">
        <v>75.445348943545298</v>
      </c>
      <c r="G26" s="23">
        <v>4.3748302323061798</v>
      </c>
      <c r="H26" s="23">
        <v>102.392522608021</v>
      </c>
      <c r="I26" s="23">
        <v>8.5326877520981999</v>
      </c>
      <c r="J26" s="23">
        <v>167.96198273979499</v>
      </c>
      <c r="K26" s="23">
        <v>9.7395687110943197</v>
      </c>
      <c r="L26" s="36"/>
      <c r="M26" s="36"/>
      <c r="N26" s="23">
        <v>64.036001421374905</v>
      </c>
      <c r="O26" s="23">
        <v>4.2033235735030301</v>
      </c>
      <c r="P26" s="36"/>
      <c r="Q26" s="36"/>
      <c r="R26" s="23">
        <v>146.76206422181099</v>
      </c>
      <c r="S26" s="23">
        <v>9.6334629044091304</v>
      </c>
      <c r="U26" s="23"/>
    </row>
    <row r="27" spans="1:21" x14ac:dyDescent="0.2">
      <c r="A27" s="9" t="s">
        <v>54</v>
      </c>
      <c r="B27" s="23">
        <v>37.491831162283503</v>
      </c>
      <c r="C27" s="23">
        <v>1.7658168926833102</v>
      </c>
      <c r="D27" s="23">
        <v>30.0574110479109</v>
      </c>
      <c r="E27" s="23">
        <v>1.41566529383395</v>
      </c>
      <c r="F27" s="23">
        <v>98.939959061174306</v>
      </c>
      <c r="G27" s="23">
        <v>2.44724841130687</v>
      </c>
      <c r="H27" s="23">
        <v>71.034895884292297</v>
      </c>
      <c r="I27" s="23">
        <v>3.3456519789481498</v>
      </c>
      <c r="J27" s="23">
        <v>213.51741636883099</v>
      </c>
      <c r="K27" s="23">
        <v>5.28128536693543</v>
      </c>
      <c r="L27" s="36"/>
      <c r="M27" s="36"/>
      <c r="N27" s="23">
        <v>48.050137082711601</v>
      </c>
      <c r="O27" s="23">
        <v>1.48875972132849</v>
      </c>
      <c r="P27" s="36"/>
      <c r="Q27" s="36"/>
      <c r="R27" s="23">
        <v>115.44831875235</v>
      </c>
      <c r="S27" s="23">
        <v>3.5769888971957404</v>
      </c>
      <c r="U27" s="23"/>
    </row>
    <row r="28" spans="1:21" x14ac:dyDescent="0.2">
      <c r="A28" s="9" t="s">
        <v>55</v>
      </c>
      <c r="B28" s="23">
        <v>0.41684091490619701</v>
      </c>
      <c r="C28" s="23">
        <v>1.5409288755964499E-2</v>
      </c>
      <c r="D28" s="23">
        <v>0.364740280432855</v>
      </c>
      <c r="E28" s="23">
        <v>1.3483293268814801E-2</v>
      </c>
      <c r="F28" s="23">
        <v>0.44964484832288998</v>
      </c>
      <c r="G28" s="23">
        <v>1.3913480892941098E-2</v>
      </c>
      <c r="H28" s="23">
        <v>1.4171117288049899</v>
      </c>
      <c r="I28" s="23">
        <v>5.2386133528984899E-2</v>
      </c>
      <c r="J28" s="23">
        <v>1.7511734786511099</v>
      </c>
      <c r="K28" s="23">
        <v>5.4187029666447104E-2</v>
      </c>
      <c r="L28" s="36"/>
      <c r="M28" s="36"/>
      <c r="N28" s="23">
        <v>0.42656412229210799</v>
      </c>
      <c r="O28" s="23">
        <v>1.3258193548157899E-2</v>
      </c>
      <c r="P28" s="36"/>
      <c r="Q28" s="36"/>
      <c r="R28" s="23">
        <v>1.68850462258552</v>
      </c>
      <c r="S28" s="23">
        <v>5.2481022015883699E-2</v>
      </c>
      <c r="U28" s="23"/>
    </row>
    <row r="29" spans="1:21" x14ac:dyDescent="0.2">
      <c r="A29" s="9" t="s">
        <v>56</v>
      </c>
      <c r="B29" s="23">
        <v>3.7993046181610799E-3</v>
      </c>
      <c r="C29" s="23">
        <v>3.0493205709093501E-3</v>
      </c>
      <c r="D29" s="23">
        <v>1.17548443637784E-3</v>
      </c>
      <c r="E29" s="23">
        <v>9.4344340158901603E-4</v>
      </c>
      <c r="F29" s="23">
        <v>6.1675959773890999E-3</v>
      </c>
      <c r="G29" s="23">
        <v>1.8075142885185199E-3</v>
      </c>
      <c r="H29" s="23">
        <v>3.6485307500477002E-2</v>
      </c>
      <c r="I29" s="23">
        <v>2.9283095165716599E-2</v>
      </c>
      <c r="J29" s="23">
        <v>0.19455514118688499</v>
      </c>
      <c r="K29" s="23">
        <v>5.7017547661885E-2</v>
      </c>
      <c r="L29" s="36"/>
      <c r="M29" s="36"/>
      <c r="N29" s="23">
        <v>3.8525025983596399E-3</v>
      </c>
      <c r="O29" s="23">
        <v>2.0240372609728E-3</v>
      </c>
      <c r="P29" s="36"/>
      <c r="Q29" s="36"/>
      <c r="R29" s="23">
        <v>0.119153670020652</v>
      </c>
      <c r="S29" s="23">
        <v>6.2601247305101901E-2</v>
      </c>
      <c r="U29" s="23"/>
    </row>
    <row r="30" spans="1:21" x14ac:dyDescent="0.2">
      <c r="A30" s="9" t="s">
        <v>57</v>
      </c>
      <c r="B30" s="23">
        <v>7.7596676649892005E-2</v>
      </c>
      <c r="C30" s="23">
        <v>8.6576993933391699E-3</v>
      </c>
      <c r="D30" s="23">
        <v>5.2844193871018803E-2</v>
      </c>
      <c r="E30" s="23">
        <v>5.8959889130671198E-3</v>
      </c>
      <c r="F30" s="23">
        <v>9.6297466061076906E-2</v>
      </c>
      <c r="G30" s="23">
        <v>7.8641079277149799E-3</v>
      </c>
      <c r="H30" s="23">
        <v>0.207033171204873</v>
      </c>
      <c r="I30" s="23">
        <v>2.3099326390339799E-2</v>
      </c>
      <c r="J30" s="23">
        <v>0.36179786078605602</v>
      </c>
      <c r="K30" s="23">
        <v>2.9546129733396698E-2</v>
      </c>
      <c r="L30" s="36"/>
      <c r="M30" s="36"/>
      <c r="N30" s="23">
        <v>8.9501120025105699E-2</v>
      </c>
      <c r="O30" s="23">
        <v>7.4366610281969394E-3</v>
      </c>
      <c r="P30" s="36"/>
      <c r="Q30" s="36"/>
      <c r="R30" s="23">
        <v>0.339264408222472</v>
      </c>
      <c r="S30" s="23">
        <v>2.8189528825724598E-2</v>
      </c>
      <c r="U30" s="23"/>
    </row>
    <row r="31" spans="1:21" x14ac:dyDescent="0.2">
      <c r="A31" s="9" t="s">
        <v>58</v>
      </c>
      <c r="B31" s="24">
        <v>27.679621704337499</v>
      </c>
      <c r="C31" s="23">
        <v>1.3031445440898799</v>
      </c>
      <c r="D31" s="24">
        <v>20.380936046162301</v>
      </c>
      <c r="E31" s="24">
        <v>0.95952559957997297</v>
      </c>
      <c r="F31" s="24">
        <v>1463.2471792571801</v>
      </c>
      <c r="G31" s="24">
        <v>14.462656681118899</v>
      </c>
      <c r="H31" s="24">
        <v>78.022814825259104</v>
      </c>
      <c r="I31" s="24">
        <v>3.6732801676310101</v>
      </c>
      <c r="J31" s="24">
        <v>5429.17623806129</v>
      </c>
      <c r="K31" s="24">
        <v>53.661686901204099</v>
      </c>
      <c r="L31" s="37"/>
      <c r="M31" s="37"/>
      <c r="N31" s="24">
        <v>38.213792423987996</v>
      </c>
      <c r="O31" s="23">
        <v>1.2864095446631099</v>
      </c>
      <c r="P31" s="37"/>
      <c r="Q31" s="37"/>
      <c r="R31" s="24">
        <v>139.51271803580701</v>
      </c>
      <c r="S31" s="23">
        <v>4.6964847166149397</v>
      </c>
      <c r="U31" s="23"/>
    </row>
    <row r="32" spans="1:21" x14ac:dyDescent="0.2">
      <c r="A32" s="13" t="s">
        <v>59</v>
      </c>
      <c r="B32" s="25">
        <v>534.51948293062196</v>
      </c>
      <c r="C32" s="25">
        <v>1.0070843349793799</v>
      </c>
      <c r="D32" s="25">
        <v>465.86900467754998</v>
      </c>
      <c r="E32" s="25">
        <v>0.8777404598815951</v>
      </c>
      <c r="F32" s="25">
        <v>3315.8298804681899</v>
      </c>
      <c r="G32" s="25">
        <v>3.4608606624835399</v>
      </c>
      <c r="H32" s="25">
        <v>1380.44187762193</v>
      </c>
      <c r="I32" s="25">
        <v>2.6008806688960497</v>
      </c>
      <c r="J32" s="25">
        <v>10648.898778147601</v>
      </c>
      <c r="K32" s="25">
        <v>11.1146699947274</v>
      </c>
      <c r="L32" s="38"/>
      <c r="M32" s="38"/>
      <c r="N32" s="25">
        <v>686.46232194675702</v>
      </c>
      <c r="O32" s="25">
        <v>1.0471518608077299</v>
      </c>
      <c r="P32" s="38"/>
      <c r="Q32" s="38"/>
      <c r="R32" s="25">
        <v>1995.96472324242</v>
      </c>
      <c r="S32" s="25">
        <v>3.0447092392814801</v>
      </c>
      <c r="U32" s="23"/>
    </row>
  </sheetData>
  <mergeCells count="17"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  <mergeCell ref="J5:K5"/>
    <mergeCell ref="L5:M5"/>
    <mergeCell ref="N5:O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baseColWidth="10" defaultColWidth="8.5" defaultRowHeight="15" x14ac:dyDescent="0.2"/>
  <cols>
    <col min="1" max="1" width="21.1640625" style="9" customWidth="1"/>
    <col min="2" max="11" width="10.5" style="9" customWidth="1"/>
    <col min="12" max="16384" width="8.5" style="9"/>
  </cols>
  <sheetData>
    <row r="1" spans="1:11" x14ac:dyDescent="0.2">
      <c r="A1" s="18"/>
      <c r="B1" s="18"/>
      <c r="C1" s="18"/>
    </row>
    <row r="2" spans="1:11" x14ac:dyDescent="0.2">
      <c r="B2" s="111" t="s">
        <v>25</v>
      </c>
      <c r="C2" s="112"/>
      <c r="D2" s="105" t="s">
        <v>26</v>
      </c>
      <c r="E2" s="104"/>
      <c r="F2" s="104"/>
      <c r="G2" s="104"/>
      <c r="H2" s="104"/>
      <c r="I2" s="104"/>
      <c r="J2" s="104"/>
      <c r="K2" s="106"/>
    </row>
    <row r="3" spans="1:11" x14ac:dyDescent="0.2">
      <c r="B3" s="111"/>
      <c r="C3" s="112"/>
      <c r="D3" s="105">
        <v>2050</v>
      </c>
      <c r="E3" s="104"/>
      <c r="F3" s="104"/>
      <c r="G3" s="104"/>
      <c r="H3" s="104"/>
      <c r="I3" s="104"/>
      <c r="J3" s="104"/>
      <c r="K3" s="106"/>
    </row>
    <row r="4" spans="1:11" ht="29.25" customHeight="1" x14ac:dyDescent="0.2">
      <c r="A4" s="19"/>
      <c r="B4" s="111"/>
      <c r="C4" s="112"/>
      <c r="D4" s="107" t="s">
        <v>28</v>
      </c>
      <c r="E4" s="108"/>
      <c r="F4" s="108"/>
      <c r="G4" s="109"/>
      <c r="H4" s="108" t="s">
        <v>29</v>
      </c>
      <c r="I4" s="108"/>
      <c r="J4" s="108"/>
      <c r="K4" s="109"/>
    </row>
    <row r="5" spans="1:11" ht="29.25" customHeight="1" x14ac:dyDescent="0.2">
      <c r="A5" s="19"/>
      <c r="B5" s="113"/>
      <c r="C5" s="114"/>
      <c r="D5" s="110" t="s">
        <v>30</v>
      </c>
      <c r="E5" s="102"/>
      <c r="F5" s="102" t="s">
        <v>31</v>
      </c>
      <c r="G5" s="103"/>
      <c r="H5" s="110" t="s">
        <v>30</v>
      </c>
      <c r="I5" s="102"/>
      <c r="J5" s="102" t="s">
        <v>31</v>
      </c>
      <c r="K5" s="103"/>
    </row>
    <row r="6" spans="1:11" ht="16" x14ac:dyDescent="0.2">
      <c r="A6" s="12"/>
      <c r="B6" s="16" t="s">
        <v>32</v>
      </c>
      <c r="C6" s="17" t="s">
        <v>33</v>
      </c>
      <c r="D6" s="16" t="s">
        <v>13</v>
      </c>
      <c r="E6" s="14" t="s">
        <v>33</v>
      </c>
      <c r="F6" s="14" t="s">
        <v>13</v>
      </c>
      <c r="G6" s="17" t="s">
        <v>33</v>
      </c>
      <c r="H6" s="14" t="s">
        <v>13</v>
      </c>
      <c r="I6" s="14" t="s">
        <v>33</v>
      </c>
      <c r="J6" s="14" t="s">
        <v>13</v>
      </c>
      <c r="K6" s="17" t="s">
        <v>33</v>
      </c>
    </row>
    <row r="7" spans="1:11" x14ac:dyDescent="0.2">
      <c r="A7" s="9" t="s">
        <v>34</v>
      </c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9" t="s">
        <v>35</v>
      </c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9" t="s">
        <v>36</v>
      </c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9" t="s">
        <v>37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9" t="s">
        <v>38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9" t="s">
        <v>39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9" t="s">
        <v>40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9" t="s">
        <v>41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9" t="s">
        <v>42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9" t="s">
        <v>43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9" t="s">
        <v>44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9" t="s">
        <v>45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2">
      <c r="A19" s="9" t="s">
        <v>46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9" t="s">
        <v>47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9" t="s">
        <v>48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9" t="s">
        <v>49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9" t="s">
        <v>50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9" t="s">
        <v>51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9" t="s">
        <v>52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9" t="s">
        <v>53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2">
      <c r="A27" s="9" t="s">
        <v>54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2">
      <c r="A28" s="9" t="s">
        <v>55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2">
      <c r="A29" s="9" t="s">
        <v>56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2">
      <c r="A30" s="9" t="s">
        <v>57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2">
      <c r="A31" s="9" t="s">
        <v>58</v>
      </c>
    </row>
    <row r="32" spans="1:11" x14ac:dyDescent="0.2">
      <c r="A32" s="13" t="s">
        <v>59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B519-B430-4DBC-9DC7-6DC874FF7C6A}">
  <dimension ref="B1:F5"/>
  <sheetViews>
    <sheetView zoomScale="80" zoomScaleNormal="80" workbookViewId="0">
      <selection activeCell="H1" sqref="H1:H1048576"/>
    </sheetView>
  </sheetViews>
  <sheetFormatPr baseColWidth="10" defaultColWidth="8.83203125" defaultRowHeight="15" x14ac:dyDescent="0.2"/>
  <cols>
    <col min="2" max="2" width="18.1640625" customWidth="1"/>
    <col min="3" max="3" width="15" customWidth="1"/>
    <col min="5" max="5" width="17.83203125" customWidth="1"/>
    <col min="6" max="6" width="8.1640625" customWidth="1"/>
  </cols>
  <sheetData>
    <row r="1" spans="2:6" ht="16" thickBot="1" x14ac:dyDescent="0.25">
      <c r="C1" s="115" t="s">
        <v>61</v>
      </c>
      <c r="D1" s="115"/>
      <c r="E1" s="115" t="s">
        <v>62</v>
      </c>
      <c r="F1" s="115"/>
    </row>
    <row r="2" spans="2:6" x14ac:dyDescent="0.2">
      <c r="B2" s="59" t="s">
        <v>63</v>
      </c>
      <c r="C2" s="60" t="s">
        <v>64</v>
      </c>
      <c r="D2" s="61" t="s">
        <v>33</v>
      </c>
      <c r="E2" s="60" t="s">
        <v>64</v>
      </c>
      <c r="F2" s="74" t="s">
        <v>33</v>
      </c>
    </row>
    <row r="3" spans="2:6" ht="32" x14ac:dyDescent="0.2">
      <c r="B3" s="64" t="s">
        <v>65</v>
      </c>
      <c r="C3" s="65">
        <f>'Flood Affected Population'!L32</f>
        <v>1622263.4157116599</v>
      </c>
      <c r="D3" s="75">
        <f>'Flood Affected Population'!M32/100</f>
        <v>7.5183023437466301E-2</v>
      </c>
      <c r="E3" s="65">
        <f>'Flood Affected Population'!T32</f>
        <v>1137427.66150383</v>
      </c>
      <c r="F3" s="75">
        <f>'Flood Affected Population'!U32/100</f>
        <v>5.6268965294668502E-2</v>
      </c>
    </row>
    <row r="4" spans="2:6" ht="32" x14ac:dyDescent="0.2">
      <c r="B4" s="67" t="s">
        <v>66</v>
      </c>
      <c r="C4" s="65">
        <f>'Flood Affected Population'!F32</f>
        <v>675523.666796381</v>
      </c>
      <c r="D4" s="75">
        <f>'Flood Affected Population'!G32/100</f>
        <v>3.1306821803064301E-2</v>
      </c>
      <c r="E4" s="65">
        <f>'Flood Affected Population'!P32</f>
        <v>447053.13098796899</v>
      </c>
      <c r="F4" s="75">
        <f>'Flood Affected Population'!Q32/100</f>
        <v>2.2115883026069798E-2</v>
      </c>
    </row>
    <row r="5" spans="2:6" ht="16" thickBot="1" x14ac:dyDescent="0.25">
      <c r="B5" s="68" t="s">
        <v>67</v>
      </c>
      <c r="C5" s="69">
        <f>'Flood Affected Population'!B32</f>
        <v>284185.11788298999</v>
      </c>
      <c r="D5" s="76">
        <f>'Flood Affected Population'!C32/100</f>
        <v>1.7442766301615939E-2</v>
      </c>
      <c r="E5" s="69"/>
      <c r="F5" s="76"/>
    </row>
  </sheetData>
  <mergeCells count="2">
    <mergeCell ref="C1:D1"/>
    <mergeCell ref="E1:F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27B-D090-4EDA-96E7-0FD3F3BA562C}">
  <dimension ref="B1:R5"/>
  <sheetViews>
    <sheetView zoomScale="80" zoomScaleNormal="80" workbookViewId="0">
      <selection activeCell="G2" sqref="G2"/>
    </sheetView>
  </sheetViews>
  <sheetFormatPr baseColWidth="10" defaultColWidth="8.83203125" defaultRowHeight="15" x14ac:dyDescent="0.2"/>
  <cols>
    <col min="2" max="2" width="18.1640625" customWidth="1"/>
    <col min="3" max="3" width="22.33203125" bestFit="1" customWidth="1"/>
    <col min="11" max="11" width="13.83203125" bestFit="1" customWidth="1"/>
  </cols>
  <sheetData>
    <row r="1" spans="2:18" ht="16" thickBot="1" x14ac:dyDescent="0.25">
      <c r="C1" s="116" t="s">
        <v>61</v>
      </c>
      <c r="D1" s="117"/>
      <c r="E1" s="117"/>
      <c r="F1" s="117"/>
      <c r="G1" s="117"/>
      <c r="H1" s="117"/>
      <c r="I1" s="117"/>
      <c r="J1" s="118"/>
      <c r="K1" s="116" t="s">
        <v>62</v>
      </c>
      <c r="L1" s="117"/>
      <c r="M1" s="117"/>
      <c r="N1" s="117"/>
      <c r="O1" s="117"/>
      <c r="P1" s="117"/>
      <c r="Q1" s="117"/>
      <c r="R1" s="118"/>
    </row>
    <row r="2" spans="2:18" x14ac:dyDescent="0.2">
      <c r="B2" s="60" t="s">
        <v>63</v>
      </c>
      <c r="C2" s="60" t="s">
        <v>68</v>
      </c>
      <c r="D2" s="63" t="s">
        <v>33</v>
      </c>
      <c r="E2" s="60" t="s">
        <v>69</v>
      </c>
      <c r="F2" s="62" t="s">
        <v>70</v>
      </c>
      <c r="G2" s="62" t="s">
        <v>71</v>
      </c>
      <c r="H2" s="62" t="s">
        <v>72</v>
      </c>
      <c r="I2" s="62" t="s">
        <v>73</v>
      </c>
      <c r="J2" s="63" t="s">
        <v>74</v>
      </c>
      <c r="K2" s="60" t="s">
        <v>68</v>
      </c>
      <c r="L2" s="63" t="s">
        <v>33</v>
      </c>
      <c r="M2" s="60" t="s">
        <v>69</v>
      </c>
      <c r="N2" s="62" t="s">
        <v>70</v>
      </c>
      <c r="O2" s="62" t="s">
        <v>71</v>
      </c>
      <c r="P2" s="62" t="s">
        <v>72</v>
      </c>
      <c r="Q2" s="62" t="s">
        <v>73</v>
      </c>
      <c r="R2" s="63" t="s">
        <v>74</v>
      </c>
    </row>
    <row r="3" spans="2:18" ht="32" x14ac:dyDescent="0.2">
      <c r="B3" s="94" t="s">
        <v>65</v>
      </c>
      <c r="C3" s="83">
        <f>SUM(E3:J3)*1000000</f>
        <v>10648898778.147697</v>
      </c>
      <c r="D3" s="66"/>
      <c r="E3" s="83">
        <f>'Flood (national AAL PML)'!B32</f>
        <v>1256.35289811542</v>
      </c>
      <c r="F3" s="82">
        <f>'Flood (national AAL PML)'!D32</f>
        <v>4190.7359482094098</v>
      </c>
      <c r="G3" s="82">
        <f>'Flood (national AAL PML)'!F32</f>
        <v>5027.0315509493503</v>
      </c>
      <c r="H3" s="82">
        <f>'Flood (national AAL PML)'!J32</f>
        <v>148.34601294145699</v>
      </c>
      <c r="I3" s="82">
        <f>'Flood (national AAL PML)'!N32</f>
        <v>18.424418307195701</v>
      </c>
      <c r="J3" s="77">
        <f>'Flood (national AAL PML)'!R32</f>
        <v>8.0079496248658693</v>
      </c>
      <c r="K3" s="83">
        <f>SUM(M3:R3)*1000000</f>
        <v>1995928944.5858405</v>
      </c>
      <c r="L3" s="66"/>
      <c r="M3" s="83">
        <f>'Flood (national AAL PML)'!B76</f>
        <v>214.57434176980399</v>
      </c>
      <c r="N3" s="82">
        <f>'Flood (national AAL PML)'!D76</f>
        <v>730.44208924806196</v>
      </c>
      <c r="O3" s="82">
        <f>'Flood (national AAL PML)'!F76</f>
        <v>876.13413269445596</v>
      </c>
      <c r="P3" s="82">
        <f>H3</f>
        <v>148.34601294145699</v>
      </c>
      <c r="Q3" s="82">
        <f t="shared" ref="Q3:R3" si="0">I3</f>
        <v>18.424418307195701</v>
      </c>
      <c r="R3" s="77">
        <f t="shared" si="0"/>
        <v>8.0079496248658693</v>
      </c>
    </row>
    <row r="4" spans="2:18" ht="32" x14ac:dyDescent="0.2">
      <c r="B4" s="95" t="s">
        <v>66</v>
      </c>
      <c r="C4" s="83">
        <f>SUM(E4:J4)*1000000</f>
        <v>3315829880.4681921</v>
      </c>
      <c r="D4" s="66"/>
      <c r="E4" s="83">
        <f>'Flood (national AAL PML)'!B54</f>
        <v>392.61409517304497</v>
      </c>
      <c r="F4" s="82">
        <f>'Flood (national AAL PML)'!D54</f>
        <v>1299.37693434927</v>
      </c>
      <c r="G4" s="82">
        <f>'Flood (national AAL PML)'!F54</f>
        <v>1557.83882138336</v>
      </c>
      <c r="H4" s="82">
        <f>'Flood (national AAL PML)'!J54</f>
        <v>56.560510297506703</v>
      </c>
      <c r="I4" s="82">
        <f>'Flood (national AAL PML)'!N54</f>
        <v>6.5809291729872701</v>
      </c>
      <c r="J4" s="77">
        <f>'Flood (national AAL PML)'!R54</f>
        <v>2.85859009202286</v>
      </c>
      <c r="K4" s="83">
        <f>SUM(M4:R4)*1000000</f>
        <v>686447364.28620732</v>
      </c>
      <c r="L4" s="66"/>
      <c r="M4" s="83">
        <f>'Flood (national AAL PML)'!B98</f>
        <v>72.916592366206501</v>
      </c>
      <c r="N4" s="82">
        <f>'Flood (national AAL PML)'!D98</f>
        <v>248.94747773440201</v>
      </c>
      <c r="O4" s="82">
        <f>'Flood (national AAL PML)'!F98</f>
        <v>298.58326462308202</v>
      </c>
      <c r="P4" s="82">
        <f t="shared" ref="P4" si="1">H4</f>
        <v>56.560510297506703</v>
      </c>
      <c r="Q4" s="82">
        <f t="shared" ref="Q4" si="2">I4</f>
        <v>6.5809291729872701</v>
      </c>
      <c r="R4" s="77">
        <f t="shared" ref="R4" si="3">J4</f>
        <v>2.85859009202286</v>
      </c>
    </row>
    <row r="5" spans="2:18" ht="16" thickBot="1" x14ac:dyDescent="0.25">
      <c r="B5" s="70" t="s">
        <v>67</v>
      </c>
      <c r="C5" s="84">
        <f>SUM(E5:J5)*1000000</f>
        <v>534498697.95348459</v>
      </c>
      <c r="D5" s="71"/>
      <c r="E5" s="84">
        <f>'Flood (national AAL PML)'!B10</f>
        <v>56.327998339077297</v>
      </c>
      <c r="F5" s="85">
        <f>'Flood (national AAL PML)'!D10</f>
        <v>180.32301130247399</v>
      </c>
      <c r="G5" s="85">
        <f>'Flood (national AAL PML)'!F10</f>
        <v>216.188258158633</v>
      </c>
      <c r="H5" s="85">
        <f>'Flood (national AAL PML)'!J10</f>
        <v>70.478122905387806</v>
      </c>
      <c r="I5" s="85">
        <f>'Flood (national AAL PML)'!N10</f>
        <v>8.0799589540424606</v>
      </c>
      <c r="J5" s="86">
        <f>'Flood (national AAL PML)'!R10</f>
        <v>3.10134829387008</v>
      </c>
      <c r="K5" s="84">
        <f>SUM(M5:R5)</f>
        <v>0</v>
      </c>
      <c r="L5" s="71"/>
      <c r="M5" s="88"/>
      <c r="N5" s="89"/>
      <c r="O5" s="89"/>
      <c r="P5" s="89"/>
      <c r="Q5" s="89"/>
      <c r="R5" s="96"/>
    </row>
  </sheetData>
  <mergeCells count="2">
    <mergeCell ref="C1:J1"/>
    <mergeCell ref="K1:R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7025-4979-427C-AC01-2C129A8F74D6}">
  <dimension ref="B1:R5"/>
  <sheetViews>
    <sheetView topLeftCell="A4" zoomScale="80" zoomScaleNormal="80" workbookViewId="0">
      <selection activeCell="S11" sqref="S11"/>
    </sheetView>
  </sheetViews>
  <sheetFormatPr baseColWidth="10" defaultColWidth="8.83203125" defaultRowHeight="15" x14ac:dyDescent="0.2"/>
  <cols>
    <col min="2" max="2" width="18.1640625" customWidth="1"/>
    <col min="3" max="3" width="22.33203125" bestFit="1" customWidth="1"/>
    <col min="11" max="11" width="13.83203125" bestFit="1" customWidth="1"/>
  </cols>
  <sheetData>
    <row r="1" spans="2:18" ht="16" thickBot="1" x14ac:dyDescent="0.25">
      <c r="C1" s="116" t="s">
        <v>61</v>
      </c>
      <c r="D1" s="117"/>
      <c r="E1" s="117"/>
      <c r="F1" s="117"/>
      <c r="G1" s="117"/>
      <c r="H1" s="117"/>
      <c r="I1" s="117"/>
      <c r="J1" s="118"/>
      <c r="K1" s="116" t="s">
        <v>62</v>
      </c>
      <c r="L1" s="117"/>
      <c r="M1" s="117"/>
      <c r="N1" s="117"/>
      <c r="O1" s="117"/>
      <c r="P1" s="117"/>
      <c r="Q1" s="117"/>
      <c r="R1" s="118"/>
    </row>
    <row r="2" spans="2:18" x14ac:dyDescent="0.2">
      <c r="B2" s="60" t="s">
        <v>63</v>
      </c>
      <c r="C2" s="60" t="s">
        <v>68</v>
      </c>
      <c r="D2" s="63" t="s">
        <v>33</v>
      </c>
      <c r="E2" s="60" t="s">
        <v>69</v>
      </c>
      <c r="F2" s="62" t="s">
        <v>70</v>
      </c>
      <c r="G2" s="62" t="s">
        <v>71</v>
      </c>
      <c r="H2" s="62" t="s">
        <v>72</v>
      </c>
      <c r="I2" s="62" t="s">
        <v>73</v>
      </c>
      <c r="J2" s="63" t="s">
        <v>74</v>
      </c>
      <c r="K2" s="60" t="s">
        <v>68</v>
      </c>
      <c r="L2" s="63" t="s">
        <v>33</v>
      </c>
      <c r="M2" s="60" t="s">
        <v>69</v>
      </c>
      <c r="N2" s="62" t="s">
        <v>70</v>
      </c>
      <c r="O2" s="62" t="s">
        <v>71</v>
      </c>
      <c r="P2" s="62" t="s">
        <v>72</v>
      </c>
      <c r="Q2" s="62" t="s">
        <v>73</v>
      </c>
      <c r="R2" s="63" t="s">
        <v>74</v>
      </c>
    </row>
    <row r="3" spans="2:18" ht="32" x14ac:dyDescent="0.2">
      <c r="B3" s="94" t="s">
        <v>65</v>
      </c>
      <c r="C3" s="83">
        <f>SUM(E3:G3)*1000000</f>
        <v>10474120397.274181</v>
      </c>
      <c r="D3" s="66"/>
      <c r="E3" s="83">
        <f>'Flood (national AAL PML)'!B32</f>
        <v>1256.35289811542</v>
      </c>
      <c r="F3" s="82">
        <f>'Flood (national AAL PML)'!D32</f>
        <v>4190.7359482094098</v>
      </c>
      <c r="G3" s="82">
        <f>'Flood (national AAL PML)'!F32</f>
        <v>5027.0315509493503</v>
      </c>
      <c r="H3" s="82">
        <f>'Flood (national AAL PML)'!J32</f>
        <v>148.34601294145699</v>
      </c>
      <c r="I3" s="82">
        <f>'Flood (national AAL PML)'!N32</f>
        <v>18.424418307195701</v>
      </c>
      <c r="J3" s="77">
        <f>'Flood (national AAL PML)'!R32</f>
        <v>8.0079496248658693</v>
      </c>
      <c r="K3" s="83">
        <f>SUM(M3:O3)*1000000</f>
        <v>1821150563.7123218</v>
      </c>
      <c r="L3" s="66"/>
      <c r="M3" s="83">
        <f>'Flood (national AAL PML)'!B76</f>
        <v>214.57434176980399</v>
      </c>
      <c r="N3" s="82">
        <f>'Flood (national AAL PML)'!D76</f>
        <v>730.44208924806196</v>
      </c>
      <c r="O3" s="82">
        <f>'Flood (national AAL PML)'!F76</f>
        <v>876.13413269445596</v>
      </c>
      <c r="P3" s="82">
        <f>H3</f>
        <v>148.34601294145699</v>
      </c>
      <c r="Q3" s="82">
        <f t="shared" ref="Q3:R4" si="0">I3</f>
        <v>18.424418307195701</v>
      </c>
      <c r="R3" s="77">
        <f t="shared" si="0"/>
        <v>8.0079496248658693</v>
      </c>
    </row>
    <row r="4" spans="2:18" ht="32" x14ac:dyDescent="0.2">
      <c r="B4" s="95" t="s">
        <v>66</v>
      </c>
      <c r="C4" s="83">
        <f>SUM(E4:G4)*1000000</f>
        <v>3249829850.9056749</v>
      </c>
      <c r="D4" s="66"/>
      <c r="E4" s="83">
        <f>'Flood (national AAL PML)'!B54</f>
        <v>392.61409517304497</v>
      </c>
      <c r="F4" s="82">
        <f>'Flood (national AAL PML)'!D54</f>
        <v>1299.37693434927</v>
      </c>
      <c r="G4" s="82">
        <f>'Flood (national AAL PML)'!F54</f>
        <v>1557.83882138336</v>
      </c>
      <c r="H4" s="82">
        <f>'Flood (national AAL PML)'!J54</f>
        <v>56.560510297506703</v>
      </c>
      <c r="I4" s="82">
        <f>'Flood (national AAL PML)'!N54</f>
        <v>6.5809291729872701</v>
      </c>
      <c r="J4" s="77">
        <f>'Flood (national AAL PML)'!R54</f>
        <v>2.85859009202286</v>
      </c>
      <c r="K4" s="83">
        <f>SUM(M4:O4)*1000000</f>
        <v>620447334.72369063</v>
      </c>
      <c r="L4" s="66"/>
      <c r="M4" s="83">
        <f>'Flood (national AAL PML)'!B98</f>
        <v>72.916592366206501</v>
      </c>
      <c r="N4" s="82">
        <f>'Flood (national AAL PML)'!D98</f>
        <v>248.94747773440201</v>
      </c>
      <c r="O4" s="82">
        <f>'Flood (national AAL PML)'!F98</f>
        <v>298.58326462308202</v>
      </c>
      <c r="P4" s="82">
        <f t="shared" ref="P4" si="1">H4</f>
        <v>56.560510297506703</v>
      </c>
      <c r="Q4" s="82">
        <f t="shared" si="0"/>
        <v>6.5809291729872701</v>
      </c>
      <c r="R4" s="77">
        <f t="shared" si="0"/>
        <v>2.85859009202286</v>
      </c>
    </row>
    <row r="5" spans="2:18" ht="16" thickBot="1" x14ac:dyDescent="0.25">
      <c r="B5" s="70" t="s">
        <v>67</v>
      </c>
      <c r="C5" s="84">
        <f>SUM(E5:G5)*1000000</f>
        <v>452839267.80018431</v>
      </c>
      <c r="D5" s="71"/>
      <c r="E5" s="84">
        <f>'Flood (national AAL PML)'!B10</f>
        <v>56.327998339077297</v>
      </c>
      <c r="F5" s="85">
        <f>'Flood (national AAL PML)'!D10</f>
        <v>180.32301130247399</v>
      </c>
      <c r="G5" s="85">
        <f>'Flood (national AAL PML)'!F10</f>
        <v>216.188258158633</v>
      </c>
      <c r="H5" s="85">
        <f>'Flood (national AAL PML)'!J10</f>
        <v>70.478122905387806</v>
      </c>
      <c r="I5" s="85">
        <f>'Flood (national AAL PML)'!N10</f>
        <v>8.0799589540424606</v>
      </c>
      <c r="J5" s="86">
        <f>'Flood (national AAL PML)'!R10</f>
        <v>3.10134829387008</v>
      </c>
      <c r="K5" s="84">
        <f>SUM(M5:R5)</f>
        <v>0</v>
      </c>
      <c r="L5" s="71"/>
      <c r="M5" s="88"/>
      <c r="N5" s="89"/>
      <c r="O5" s="89"/>
      <c r="P5" s="89"/>
      <c r="Q5" s="89"/>
      <c r="R5" s="96"/>
    </row>
  </sheetData>
  <mergeCells count="2">
    <mergeCell ref="C1:J1"/>
    <mergeCell ref="K1:R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AA3D-D86F-4D1E-9105-F4592F8AA2A8}">
  <dimension ref="I2:W11"/>
  <sheetViews>
    <sheetView topLeftCell="C1" zoomScale="80" zoomScaleNormal="80" workbookViewId="0">
      <selection activeCell="U10" sqref="U10"/>
    </sheetView>
  </sheetViews>
  <sheetFormatPr baseColWidth="10" defaultColWidth="8.83203125" defaultRowHeight="15" x14ac:dyDescent="0.2"/>
  <cols>
    <col min="2" max="2" width="13.33203125" customWidth="1"/>
    <col min="9" max="9" width="8.6640625" style="58" customWidth="1"/>
    <col min="16" max="16" width="28.83203125" style="58" bestFit="1" customWidth="1"/>
    <col min="23" max="23" width="8.6640625" style="58"/>
  </cols>
  <sheetData>
    <row r="2" spans="16:23" ht="16" x14ac:dyDescent="0.2">
      <c r="P2" s="58" t="s">
        <v>75</v>
      </c>
      <c r="Q2" s="90">
        <v>2</v>
      </c>
      <c r="R2" s="90">
        <v>5</v>
      </c>
      <c r="S2" s="90">
        <v>10</v>
      </c>
      <c r="T2" s="90">
        <v>25</v>
      </c>
      <c r="U2" s="90">
        <v>50</v>
      </c>
      <c r="V2" s="90">
        <v>100</v>
      </c>
      <c r="W2" s="90">
        <v>250</v>
      </c>
    </row>
    <row r="3" spans="16:23" ht="16" x14ac:dyDescent="0.2">
      <c r="P3" s="90" t="s">
        <v>76</v>
      </c>
      <c r="Q3" s="91">
        <v>215654.80712890599</v>
      </c>
      <c r="R3" s="91">
        <v>356854.05899047898</v>
      </c>
      <c r="S3" s="91">
        <v>411510.74822235102</v>
      </c>
      <c r="T3" s="91">
        <v>532600.57203674305</v>
      </c>
      <c r="U3" s="91">
        <v>607229.85278701806</v>
      </c>
      <c r="V3" s="91">
        <v>688797.21415710496</v>
      </c>
      <c r="W3" s="91">
        <v>707243.96799087501</v>
      </c>
    </row>
    <row r="4" spans="16:23" ht="16" x14ac:dyDescent="0.2">
      <c r="P4" s="90" t="s">
        <v>77</v>
      </c>
      <c r="Q4" s="91">
        <v>482527.159194946</v>
      </c>
      <c r="R4" s="91">
        <v>765305.45275878895</v>
      </c>
      <c r="S4" s="91">
        <v>914190.04852676403</v>
      </c>
      <c r="T4" s="91">
        <v>1178543.5332093199</v>
      </c>
      <c r="U4" s="91">
        <v>1373504.8361515999</v>
      </c>
      <c r="V4" s="91">
        <v>1572703.47485209</v>
      </c>
      <c r="W4" s="91">
        <v>1874093.1532807399</v>
      </c>
    </row>
    <row r="5" spans="16:23" ht="16" x14ac:dyDescent="0.2">
      <c r="P5" s="90" t="s">
        <v>78</v>
      </c>
      <c r="Q5" s="91">
        <v>334522.897109985</v>
      </c>
      <c r="R5" s="91">
        <v>545188.48959446</v>
      </c>
      <c r="S5" s="91">
        <v>661415.42104673397</v>
      </c>
      <c r="T5" s="91">
        <v>865920.37583494198</v>
      </c>
      <c r="U5" s="91">
        <v>1026381.53594065</v>
      </c>
      <c r="V5" s="91">
        <v>1233181.4341111199</v>
      </c>
      <c r="W5" s="91">
        <v>1587844.1795415899</v>
      </c>
    </row>
    <row r="6" spans="16:23" ht="16" x14ac:dyDescent="0.2">
      <c r="P6" s="90" t="s">
        <v>79</v>
      </c>
      <c r="Q6" s="91">
        <v>1090938.3160667401</v>
      </c>
      <c r="R6" s="91">
        <v>1709206.24098396</v>
      </c>
      <c r="S6" s="91">
        <v>2433346.0362815899</v>
      </c>
      <c r="T6" s="91">
        <v>2707529.8384666401</v>
      </c>
      <c r="U6" s="91">
        <v>3432323.06270409</v>
      </c>
      <c r="V6" s="91">
        <v>3705143.2761402102</v>
      </c>
      <c r="W6" s="91">
        <v>3918848.3908805801</v>
      </c>
    </row>
    <row r="7" spans="16:23" ht="16" x14ac:dyDescent="0.2">
      <c r="P7" s="90" t="s">
        <v>80</v>
      </c>
      <c r="Q7" s="91">
        <v>775319.77493286098</v>
      </c>
      <c r="R7" s="91">
        <v>1295190.11209106</v>
      </c>
      <c r="S7" s="91">
        <v>2063402.6722083101</v>
      </c>
      <c r="T7" s="91">
        <v>2335126.4179968801</v>
      </c>
      <c r="U7" s="91">
        <v>2938883.5381164602</v>
      </c>
      <c r="V7" s="91">
        <v>3230913.82177734</v>
      </c>
      <c r="W7" s="91">
        <v>3363531.6568298298</v>
      </c>
    </row>
    <row r="9" spans="16:23" x14ac:dyDescent="0.2">
      <c r="U9">
        <f>(U5-U4)*100/U4</f>
        <v>-25.272812375641049</v>
      </c>
    </row>
    <row r="11" spans="16:23" x14ac:dyDescent="0.2">
      <c r="U11">
        <f>(U7-U6)*100/U6</f>
        <v>-14.376255252583448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6632-3168-4022-990A-0ABA75767FC9}">
  <dimension ref="B1:W13"/>
  <sheetViews>
    <sheetView topLeftCell="A7" zoomScale="70" zoomScaleNormal="70" workbookViewId="0">
      <selection activeCell="M33" sqref="M33"/>
    </sheetView>
  </sheetViews>
  <sheetFormatPr baseColWidth="10" defaultColWidth="8.83203125" defaultRowHeight="15" x14ac:dyDescent="0.2"/>
  <cols>
    <col min="2" max="2" width="13.33203125" customWidth="1"/>
    <col min="9" max="9" width="8.6640625" style="58"/>
    <col min="16" max="16" width="8.6640625" style="58"/>
    <col min="23" max="23" width="8.6640625" style="58"/>
  </cols>
  <sheetData>
    <row r="1" spans="2:23" s="58" customFormat="1" ht="16" thickBot="1" x14ac:dyDescent="0.25">
      <c r="C1" s="119" t="s">
        <v>81</v>
      </c>
      <c r="D1" s="119"/>
      <c r="E1" s="119"/>
      <c r="F1" s="119"/>
      <c r="G1" s="119"/>
      <c r="H1" s="119"/>
      <c r="I1" s="119"/>
      <c r="J1" s="119" t="s">
        <v>82</v>
      </c>
      <c r="K1" s="119"/>
      <c r="L1" s="119"/>
      <c r="M1" s="119"/>
      <c r="N1" s="119"/>
      <c r="O1" s="119"/>
      <c r="P1" s="119"/>
      <c r="Q1" s="119" t="s">
        <v>83</v>
      </c>
      <c r="R1" s="119"/>
      <c r="S1" s="119"/>
      <c r="T1" s="119"/>
      <c r="U1" s="119"/>
      <c r="V1" s="119"/>
      <c r="W1" s="119"/>
    </row>
    <row r="2" spans="2:23" s="58" customFormat="1" ht="16" thickBot="1" x14ac:dyDescent="0.25">
      <c r="C2" s="120" t="s">
        <v>26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2"/>
    </row>
    <row r="3" spans="2:23" x14ac:dyDescent="0.2">
      <c r="B3" s="58" t="s">
        <v>75</v>
      </c>
      <c r="C3" t="s">
        <v>69</v>
      </c>
      <c r="D3" t="s">
        <v>70</v>
      </c>
      <c r="E3" t="s">
        <v>84</v>
      </c>
      <c r="F3" t="s">
        <v>72</v>
      </c>
      <c r="G3" t="s">
        <v>73</v>
      </c>
      <c r="H3" t="s">
        <v>74</v>
      </c>
      <c r="I3" s="58" t="s">
        <v>85</v>
      </c>
      <c r="J3" t="s">
        <v>69</v>
      </c>
      <c r="K3" t="s">
        <v>70</v>
      </c>
      <c r="L3" t="s">
        <v>84</v>
      </c>
      <c r="M3" t="s">
        <v>72</v>
      </c>
      <c r="N3" t="s">
        <v>73</v>
      </c>
      <c r="O3" t="s">
        <v>74</v>
      </c>
      <c r="P3" s="58" t="s">
        <v>85</v>
      </c>
      <c r="Q3" t="s">
        <v>69</v>
      </c>
      <c r="R3" t="s">
        <v>70</v>
      </c>
      <c r="S3" t="s">
        <v>84</v>
      </c>
      <c r="T3" t="s">
        <v>72</v>
      </c>
      <c r="U3" t="s">
        <v>73</v>
      </c>
      <c r="V3" t="s">
        <v>74</v>
      </c>
      <c r="W3" s="58" t="s">
        <v>85</v>
      </c>
    </row>
    <row r="4" spans="2:23" x14ac:dyDescent="0.2">
      <c r="B4" s="58">
        <v>10</v>
      </c>
      <c r="C4">
        <f>'Flood (national AAL PML)'!B6</f>
        <v>92.689411276849498</v>
      </c>
      <c r="D4">
        <f>'Flood (national AAL PML)'!D6</f>
        <v>298.13221510010902</v>
      </c>
      <c r="E4">
        <f>'Flood (national AAL PML)'!F6</f>
        <v>357.43199441973098</v>
      </c>
      <c r="F4">
        <f>'Flood (national AAL PML)'!J6</f>
        <v>112.593225356541</v>
      </c>
      <c r="G4">
        <f>'Flood (national AAL PML)'!N6</f>
        <v>14.263540259444</v>
      </c>
      <c r="H4">
        <f>'Flood (national AAL PML)'!R6</f>
        <v>5.5796796168612799</v>
      </c>
      <c r="I4" s="58">
        <f>SUM(C4:H4)</f>
        <v>880.69006602953584</v>
      </c>
      <c r="J4">
        <f>'Flood (national AAL PML)'!B50</f>
        <v>943.81881648035699</v>
      </c>
      <c r="K4">
        <f>'Flood (national AAL PML)'!D50</f>
        <v>3135.8716643242301</v>
      </c>
      <c r="L4">
        <f>'Flood (national AAL PML)'!F50</f>
        <v>3762.7042118375698</v>
      </c>
      <c r="M4" s="82">
        <f>'Flood (national AAL PML)'!J50</f>
        <v>112.358748951461</v>
      </c>
      <c r="N4" s="82">
        <f>'Flood (national AAL PML)'!N50</f>
        <v>13.216376912954701</v>
      </c>
      <c r="O4" s="82">
        <f>'Flood (national AAL PML)'!R50</f>
        <v>5.6789870237698796</v>
      </c>
      <c r="P4" s="58">
        <f>SUM(J4:O4)</f>
        <v>7973.6488055303425</v>
      </c>
      <c r="Q4">
        <f>'Flood (national AAL PML)'!B28</f>
        <v>1462.8131907151701</v>
      </c>
      <c r="R4">
        <f>'Flood (national AAL PML)'!D28</f>
        <v>4894.3245325472599</v>
      </c>
      <c r="S4">
        <f>'Flood (national AAL PML)'!F28</f>
        <v>5872.4237576175801</v>
      </c>
      <c r="T4" s="82">
        <f>'Flood (national AAL PML)'!J28</f>
        <v>240.20591885031899</v>
      </c>
      <c r="U4" s="82">
        <f>'Flood (national AAL PML)'!N28</f>
        <v>30.825574267510099</v>
      </c>
      <c r="V4" s="82">
        <f>'Flood (national AAL PML)'!R28</f>
        <v>11.046222982433401</v>
      </c>
      <c r="W4" s="58">
        <f>SUM(Q4:V4)</f>
        <v>12511.639196980272</v>
      </c>
    </row>
    <row r="5" spans="2:23" x14ac:dyDescent="0.2">
      <c r="B5" s="58">
        <v>25</v>
      </c>
      <c r="C5">
        <f>'Flood (national AAL PML)'!B7</f>
        <v>107.724089770874</v>
      </c>
      <c r="D5">
        <f>'Flood (national AAL PML)'!D7</f>
        <v>344.05970870607399</v>
      </c>
      <c r="E5">
        <f>'Flood (national AAL PML)'!F7</f>
        <v>412.41639746037998</v>
      </c>
      <c r="F5">
        <f>'Flood (national AAL PML)'!J7</f>
        <v>137.58200802482301</v>
      </c>
      <c r="G5">
        <f>'Flood (national AAL PML)'!N7</f>
        <v>16.740495362852698</v>
      </c>
      <c r="H5">
        <f>'Flood (national AAL PML)'!R7</f>
        <v>6.38000802737265</v>
      </c>
      <c r="I5" s="58">
        <f t="shared" ref="I5:I7" si="0">SUM(C5:H5)</f>
        <v>1024.9027073523764</v>
      </c>
      <c r="J5">
        <f>'Flood (national AAL PML)'!B51</f>
        <v>1241.91184000053</v>
      </c>
      <c r="K5">
        <f>'Flood (national AAL PML)'!D51</f>
        <v>4157.1924606183602</v>
      </c>
      <c r="L5">
        <f>'Flood (national AAL PML)'!F51</f>
        <v>4988.1875322004398</v>
      </c>
      <c r="M5" s="82">
        <f>'Flood (national AAL PML)'!J51</f>
        <v>153.68206164531901</v>
      </c>
      <c r="N5" s="82">
        <f>'Flood (national AAL PML)'!N51</f>
        <v>18.403454907973401</v>
      </c>
      <c r="O5" s="82">
        <f>'Flood (national AAL PML)'!R51</f>
        <v>7.0693040783808101</v>
      </c>
      <c r="P5" s="58">
        <f t="shared" ref="P5:P7" si="1">SUM(J5:O5)</f>
        <v>10566.446653451003</v>
      </c>
      <c r="Q5">
        <f>'Flood (national AAL PML)'!B29</f>
        <v>1677.4659332276999</v>
      </c>
      <c r="R5">
        <f>'Flood (national AAL PML)'!D29</f>
        <v>5623.1095868379298</v>
      </c>
      <c r="S5">
        <f>'Flood (national AAL PML)'!F29</f>
        <v>6746.8151904803099</v>
      </c>
      <c r="T5" s="82">
        <f>'Flood (national AAL PML)'!J29</f>
        <v>302.56937223882397</v>
      </c>
      <c r="U5" s="82">
        <f>'Flood (national AAL PML)'!N29</f>
        <v>38.285503928956999</v>
      </c>
      <c r="V5" s="82">
        <f>'Flood (national AAL PML)'!R29</f>
        <v>12.8423589953745</v>
      </c>
      <c r="W5" s="58">
        <f t="shared" ref="W5:W7" si="2">SUM(Q5:V5)</f>
        <v>14401.087945709096</v>
      </c>
    </row>
    <row r="6" spans="2:23" x14ac:dyDescent="0.2">
      <c r="B6" s="58">
        <v>100</v>
      </c>
      <c r="C6">
        <f>'Flood (national AAL PML)'!B8</f>
        <v>148.578348790343</v>
      </c>
      <c r="D6">
        <f>'Flood (national AAL PML)'!D8</f>
        <v>471.64262625479699</v>
      </c>
      <c r="E6">
        <f>'Flood (national AAL PML)'!F8</f>
        <v>565.35040780021097</v>
      </c>
      <c r="F6">
        <f>'Flood (national AAL PML)'!J8</f>
        <v>172.23987479344899</v>
      </c>
      <c r="G6">
        <f>'Flood (national AAL PML)'!N8</f>
        <v>21.1765211595519</v>
      </c>
      <c r="H6">
        <f>'Flood (national AAL PML)'!R8</f>
        <v>7.93635101199476</v>
      </c>
      <c r="I6" s="58">
        <f t="shared" si="0"/>
        <v>1386.9241298103464</v>
      </c>
      <c r="J6">
        <f>'Flood (national AAL PML)'!B52</f>
        <v>1382.5573317977</v>
      </c>
      <c r="K6">
        <f>'Flood (national AAL PML)'!D52</f>
        <v>4610.7650599812396</v>
      </c>
      <c r="L6">
        <f>'Flood (national AAL PML)'!F52</f>
        <v>5530.43069261442</v>
      </c>
      <c r="M6" s="82">
        <f>'Flood (national AAL PML)'!J52</f>
        <v>182.64105101441999</v>
      </c>
      <c r="N6" s="82">
        <f>'Flood (national AAL PML)'!N52</f>
        <v>22.387221395205401</v>
      </c>
      <c r="O6" s="82">
        <f>'Flood (national AAL PML)'!R52</f>
        <v>8.4605589836428408</v>
      </c>
      <c r="P6" s="58">
        <f t="shared" si="1"/>
        <v>11737.241915786628</v>
      </c>
      <c r="Q6">
        <f>'Flood (national AAL PML)'!B30</f>
        <v>2143.3480454259302</v>
      </c>
      <c r="R6">
        <f>'Flood (national AAL PML)'!D30</f>
        <v>7125.3363972999496</v>
      </c>
      <c r="S6">
        <f>'Flood (national AAL PML)'!F30</f>
        <v>8538.0276849703896</v>
      </c>
      <c r="T6" s="82">
        <f>'Flood (national AAL PML)'!J30</f>
        <v>378.74647208908601</v>
      </c>
      <c r="U6" s="82">
        <f>'Flood (national AAL PML)'!N30</f>
        <v>46.6508658322564</v>
      </c>
      <c r="V6" s="82">
        <f>'Flood (national AAL PML)'!R30</f>
        <v>16.215474157273999</v>
      </c>
      <c r="W6" s="58">
        <f t="shared" si="2"/>
        <v>18248.324939774888</v>
      </c>
    </row>
    <row r="7" spans="2:23" ht="16" thickBot="1" x14ac:dyDescent="0.25">
      <c r="B7" s="58">
        <v>200</v>
      </c>
      <c r="C7">
        <f>'Flood (national AAL PML)'!B9</f>
        <v>154.26320486480299</v>
      </c>
      <c r="D7">
        <f>'Flood (national AAL PML)'!D9</f>
        <v>490.57679011763298</v>
      </c>
      <c r="E7">
        <f>'Flood (national AAL PML)'!F9</f>
        <v>588.07132005685003</v>
      </c>
      <c r="F7">
        <f>'Flood (national AAL PML)'!J9</f>
        <v>178.02599997997001</v>
      </c>
      <c r="G7">
        <f>'Flood (national AAL PML)'!N9</f>
        <v>22.024287970326</v>
      </c>
      <c r="H7">
        <f>'Flood (national AAL PML)'!R9</f>
        <v>8.2474320175743205</v>
      </c>
      <c r="I7" s="58">
        <f t="shared" si="0"/>
        <v>1441.2090350071562</v>
      </c>
      <c r="J7">
        <f>'Flood (national AAL PML)'!B53</f>
        <v>1410.0363313963701</v>
      </c>
      <c r="K7">
        <f>'Flood (national AAL PML)'!D53</f>
        <v>4703.0830657444003</v>
      </c>
      <c r="L7">
        <f>'Flood (national AAL PML)'!F53</f>
        <v>5640.0916580759904</v>
      </c>
      <c r="M7" s="82">
        <f>'Flood (national AAL PML)'!J53</f>
        <v>197.00295504042899</v>
      </c>
      <c r="N7" s="82">
        <f>'Flood (national AAL PML)'!N53</f>
        <v>23.468951345797301</v>
      </c>
      <c r="O7" s="82">
        <f>'Flood (national AAL PML)'!R53</f>
        <v>8.8875723009211196</v>
      </c>
      <c r="P7" s="58">
        <f t="shared" si="1"/>
        <v>11982.570533903909</v>
      </c>
      <c r="Q7">
        <f>'Flood (national AAL PML)'!B31</f>
        <v>2210.5223764256002</v>
      </c>
      <c r="R7">
        <f>'Flood (national AAL PML)'!D31</f>
        <v>7396.5671302158898</v>
      </c>
      <c r="S7">
        <f>'Flood (national AAL PML)'!F31</f>
        <v>8870.6763218703909</v>
      </c>
      <c r="T7" s="82">
        <f>'Flood (national AAL PML)'!J31</f>
        <v>395.40113331051498</v>
      </c>
      <c r="U7" s="82">
        <f>'Flood (national AAL PML)'!N31</f>
        <v>47.695340351749699</v>
      </c>
      <c r="V7" s="82">
        <f>'Flood (national AAL PML)'!R31</f>
        <v>16.897221433590602</v>
      </c>
      <c r="W7" s="58">
        <f t="shared" si="2"/>
        <v>18937.75952360774</v>
      </c>
    </row>
    <row r="8" spans="2:23" ht="16" thickBot="1" x14ac:dyDescent="0.25">
      <c r="C8" s="120" t="s">
        <v>27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2"/>
    </row>
    <row r="9" spans="2:23" x14ac:dyDescent="0.2">
      <c r="B9" s="58" t="s">
        <v>75</v>
      </c>
      <c r="J9" t="s">
        <v>69</v>
      </c>
      <c r="K9" t="s">
        <v>70</v>
      </c>
      <c r="L9" t="s">
        <v>84</v>
      </c>
      <c r="M9" t="s">
        <v>72</v>
      </c>
      <c r="N9" t="s">
        <v>73</v>
      </c>
      <c r="O9" t="s">
        <v>74</v>
      </c>
      <c r="P9" s="58" t="s">
        <v>85</v>
      </c>
      <c r="Q9" t="s">
        <v>69</v>
      </c>
      <c r="R9" t="s">
        <v>70</v>
      </c>
      <c r="S9" t="s">
        <v>84</v>
      </c>
      <c r="T9" t="s">
        <v>72</v>
      </c>
      <c r="U9" t="s">
        <v>73</v>
      </c>
      <c r="V9" t="s">
        <v>74</v>
      </c>
      <c r="W9" s="58" t="s">
        <v>85</v>
      </c>
    </row>
    <row r="10" spans="2:23" x14ac:dyDescent="0.2">
      <c r="B10" s="58">
        <v>10</v>
      </c>
      <c r="J10">
        <f>'Flood (national AAL PML)'!B94</f>
        <v>142.93827734334801</v>
      </c>
      <c r="K10">
        <f>'Flood (national AAL PML)'!D94</f>
        <v>486.618167487346</v>
      </c>
      <c r="L10">
        <f>'Flood (national AAL PML)'!F94</f>
        <v>583.70350090711702</v>
      </c>
      <c r="M10" s="82">
        <f>'Flood (national AAL PML)'!J94</f>
        <v>112.358748951461</v>
      </c>
      <c r="N10" s="82">
        <f>'Flood (national AAL PML)'!N94</f>
        <v>13.216376912954701</v>
      </c>
      <c r="O10" s="82">
        <f>'Flood (national AAL PML)'!R94</f>
        <v>5.6789870237698796</v>
      </c>
      <c r="P10" s="58">
        <f>SUM(J10:O10)</f>
        <v>1344.5140586259965</v>
      </c>
      <c r="Q10">
        <f>'Flood (national AAL PML)'!B72</f>
        <v>368.34552094743799</v>
      </c>
      <c r="R10">
        <f>'Flood (national AAL PML)'!D72</f>
        <v>1253.7722010678399</v>
      </c>
      <c r="S10">
        <f>'Flood (national AAL PML)'!F72</f>
        <v>1503.9836909763901</v>
      </c>
      <c r="T10" s="82">
        <f>'Flood (national AAL PML)'!J72</f>
        <v>240.20591885031899</v>
      </c>
      <c r="U10" s="82">
        <f>'Flood (national AAL PML)'!N72</f>
        <v>30.825574267510099</v>
      </c>
      <c r="V10" s="82">
        <f>'Flood (national AAL PML)'!R72</f>
        <v>11.046222982433401</v>
      </c>
      <c r="W10" s="58">
        <f>SUM(Q10:V10)</f>
        <v>3408.1791290919305</v>
      </c>
    </row>
    <row r="11" spans="2:23" x14ac:dyDescent="0.2">
      <c r="B11" s="58">
        <v>25</v>
      </c>
      <c r="J11">
        <f>'Flood (national AAL PML)'!B95</f>
        <v>195.40409929273201</v>
      </c>
      <c r="K11">
        <f>'Flood (national AAL PML)'!D95</f>
        <v>667.103228289144</v>
      </c>
      <c r="L11">
        <f>'Flood (national AAL PML)'!F95</f>
        <v>800.03152494709605</v>
      </c>
      <c r="M11" s="82">
        <f>'Flood (national AAL PML)'!J95</f>
        <v>153.68206164531901</v>
      </c>
      <c r="N11" s="82">
        <f>'Flood (national AAL PML)'!N95</f>
        <v>18.403454907973401</v>
      </c>
      <c r="O11" s="82">
        <f>'Flood (national AAL PML)'!R95</f>
        <v>7.0693040783808101</v>
      </c>
      <c r="P11" s="58">
        <f t="shared" ref="P11:P13" si="3">SUM(J11:O11)</f>
        <v>1841.6936731606452</v>
      </c>
      <c r="Q11">
        <f>'Flood (national AAL PML)'!B73</f>
        <v>517.48496867165204</v>
      </c>
      <c r="R11">
        <f>'Flood (national AAL PML)'!D73</f>
        <v>1757.2109355948101</v>
      </c>
      <c r="S11">
        <f>'Flood (national AAL PML)'!F73</f>
        <v>2107.9579881715699</v>
      </c>
      <c r="T11" s="82">
        <f>'Flood (national AAL PML)'!J73</f>
        <v>302.56937223882397</v>
      </c>
      <c r="U11" s="82">
        <f>'Flood (national AAL PML)'!N73</f>
        <v>38.285503928956999</v>
      </c>
      <c r="V11" s="82">
        <f>'Flood (national AAL PML)'!R73</f>
        <v>12.8423589953745</v>
      </c>
      <c r="W11" s="58">
        <f t="shared" ref="W11:W13" si="4">SUM(Q11:V11)</f>
        <v>4736.3511276011877</v>
      </c>
    </row>
    <row r="12" spans="2:23" x14ac:dyDescent="0.2">
      <c r="B12" s="58">
        <v>100</v>
      </c>
      <c r="J12">
        <f>'Flood (national AAL PML)'!B96</f>
        <v>258.493209536027</v>
      </c>
      <c r="K12">
        <f>'Flood (national AAL PML)'!D96</f>
        <v>878.70238848682504</v>
      </c>
      <c r="L12">
        <f>'Flood (national AAL PML)'!F96</f>
        <v>1053.9998044533399</v>
      </c>
      <c r="M12" s="82">
        <f>'Flood (national AAL PML)'!J96</f>
        <v>182.64105101441999</v>
      </c>
      <c r="N12" s="82">
        <f>'Flood (national AAL PML)'!N96</f>
        <v>22.387221395205401</v>
      </c>
      <c r="O12" s="82">
        <f>'Flood (national AAL PML)'!R96</f>
        <v>8.4605589836428408</v>
      </c>
      <c r="P12" s="58">
        <f t="shared" si="3"/>
        <v>2404.6842338694601</v>
      </c>
      <c r="Q12">
        <f>'Flood (national AAL PML)'!B74</f>
        <v>735.66815005106196</v>
      </c>
      <c r="R12">
        <f>'Flood (national AAL PML)'!D74</f>
        <v>2494.45994372429</v>
      </c>
      <c r="S12">
        <f>'Flood (national AAL PML)'!F74</f>
        <v>2992.2502416303701</v>
      </c>
      <c r="T12" s="82">
        <f>'Flood (national AAL PML)'!J74</f>
        <v>378.74647208908601</v>
      </c>
      <c r="U12" s="82">
        <f>'Flood (national AAL PML)'!N74</f>
        <v>46.6508658322564</v>
      </c>
      <c r="V12" s="82">
        <f>'Flood (national AAL PML)'!R74</f>
        <v>16.215474157273999</v>
      </c>
      <c r="W12" s="58">
        <f t="shared" si="4"/>
        <v>6663.9911474843375</v>
      </c>
    </row>
    <row r="13" spans="2:23" x14ac:dyDescent="0.2">
      <c r="B13" s="58">
        <v>200</v>
      </c>
      <c r="J13">
        <f>'Flood (national AAL PML)'!B97</f>
        <v>287.579192605223</v>
      </c>
      <c r="K13">
        <f>'Flood (national AAL PML)'!D97</f>
        <v>982.04985628435497</v>
      </c>
      <c r="L13">
        <f>'Flood (national AAL PML)'!F97</f>
        <v>1177.8486735759</v>
      </c>
      <c r="M13" s="82">
        <f>'Flood (national AAL PML)'!J97</f>
        <v>197.00295504042899</v>
      </c>
      <c r="N13" s="82">
        <f>'Flood (national AAL PML)'!N97</f>
        <v>23.468951345797301</v>
      </c>
      <c r="O13" s="82">
        <f>'Flood (national AAL PML)'!R97</f>
        <v>8.8875723009211196</v>
      </c>
      <c r="P13" s="58">
        <f t="shared" si="3"/>
        <v>2676.8372011526253</v>
      </c>
      <c r="Q13">
        <f>'Flood (national AAL PML)'!B75</f>
        <v>821.42797421008595</v>
      </c>
      <c r="R13">
        <f>'Flood (national AAL PML)'!D75</f>
        <v>2774.78617485623</v>
      </c>
      <c r="S13">
        <f>'Flood (national AAL PML)'!F75</f>
        <v>3328.78625231346</v>
      </c>
      <c r="T13" s="82">
        <f>'Flood (national AAL PML)'!J75</f>
        <v>395.40113331051498</v>
      </c>
      <c r="U13" s="82">
        <f>'Flood (national AAL PML)'!N75</f>
        <v>47.695340351749699</v>
      </c>
      <c r="V13" s="82">
        <f>'Flood (national AAL PML)'!R75</f>
        <v>16.897221433590602</v>
      </c>
      <c r="W13" s="58">
        <f t="shared" si="4"/>
        <v>7384.9940964756315</v>
      </c>
    </row>
  </sheetData>
  <mergeCells count="5">
    <mergeCell ref="C1:I1"/>
    <mergeCell ref="J1:P1"/>
    <mergeCell ref="Q1:W1"/>
    <mergeCell ref="C2:W2"/>
    <mergeCell ref="C8:W8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6949-DD51-4A83-B402-D8BBA4595093}">
  <dimension ref="B1:N13"/>
  <sheetViews>
    <sheetView zoomScale="70" zoomScaleNormal="70" workbookViewId="0">
      <selection activeCell="L23" sqref="L23"/>
    </sheetView>
  </sheetViews>
  <sheetFormatPr baseColWidth="10" defaultColWidth="8.83203125" defaultRowHeight="15" x14ac:dyDescent="0.2"/>
  <cols>
    <col min="2" max="2" width="13.33203125" customWidth="1"/>
    <col min="6" max="6" width="8.6640625" style="58"/>
    <col min="10" max="10" width="8.6640625" style="58"/>
    <col min="14" max="14" width="8.6640625" style="58"/>
  </cols>
  <sheetData>
    <row r="1" spans="2:14" s="58" customFormat="1" ht="16" thickBot="1" x14ac:dyDescent="0.25">
      <c r="C1" s="119" t="s">
        <v>81</v>
      </c>
      <c r="D1" s="119"/>
      <c r="E1" s="119"/>
      <c r="F1" s="119"/>
      <c r="G1" s="119" t="s">
        <v>82</v>
      </c>
      <c r="H1" s="119"/>
      <c r="I1" s="119"/>
      <c r="J1" s="119"/>
      <c r="K1" s="119" t="s">
        <v>83</v>
      </c>
      <c r="L1" s="119"/>
      <c r="M1" s="119"/>
      <c r="N1" s="119"/>
    </row>
    <row r="2" spans="2:14" s="58" customFormat="1" ht="16" thickBot="1" x14ac:dyDescent="0.25">
      <c r="C2" s="120" t="s">
        <v>26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2"/>
    </row>
    <row r="3" spans="2:14" x14ac:dyDescent="0.2">
      <c r="B3" s="58" t="s">
        <v>75</v>
      </c>
      <c r="C3" t="s">
        <v>69</v>
      </c>
      <c r="D3" t="s">
        <v>70</v>
      </c>
      <c r="E3" t="s">
        <v>84</v>
      </c>
      <c r="F3" s="58" t="s">
        <v>85</v>
      </c>
      <c r="G3" t="s">
        <v>69</v>
      </c>
      <c r="H3" t="s">
        <v>70</v>
      </c>
      <c r="I3" t="s">
        <v>84</v>
      </c>
      <c r="J3" s="58" t="s">
        <v>85</v>
      </c>
      <c r="K3" t="s">
        <v>69</v>
      </c>
      <c r="L3" t="s">
        <v>70</v>
      </c>
      <c r="M3" t="s">
        <v>84</v>
      </c>
      <c r="N3" s="58" t="s">
        <v>85</v>
      </c>
    </row>
    <row r="4" spans="2:14" x14ac:dyDescent="0.2">
      <c r="B4" s="58">
        <v>10</v>
      </c>
      <c r="C4">
        <f>'Flood (national AAL PML)'!B6</f>
        <v>92.689411276849498</v>
      </c>
      <c r="D4">
        <f>'Flood (national AAL PML)'!D6</f>
        <v>298.13221510010902</v>
      </c>
      <c r="E4">
        <f>'Flood (national AAL PML)'!F6</f>
        <v>357.43199441973098</v>
      </c>
      <c r="F4" s="58">
        <f>SUM(C4:E4)</f>
        <v>748.25362079668957</v>
      </c>
      <c r="G4">
        <f>'Flood (national AAL PML)'!B50</f>
        <v>943.81881648035699</v>
      </c>
      <c r="H4">
        <f>'Flood (national AAL PML)'!D50</f>
        <v>3135.8716643242301</v>
      </c>
      <c r="I4">
        <f>'Flood (national AAL PML)'!F50</f>
        <v>3762.7042118375698</v>
      </c>
      <c r="J4" s="58">
        <f>SUM(G4:I4)</f>
        <v>7842.3946926421568</v>
      </c>
      <c r="K4">
        <f>'Flood (national AAL PML)'!B28</f>
        <v>1462.8131907151701</v>
      </c>
      <c r="L4">
        <f>'Flood (national AAL PML)'!D28</f>
        <v>4894.3245325472599</v>
      </c>
      <c r="M4">
        <f>'Flood (national AAL PML)'!F28</f>
        <v>5872.4237576175801</v>
      </c>
      <c r="N4" s="58">
        <f>SUM(K4:M4)</f>
        <v>12229.561480880009</v>
      </c>
    </row>
    <row r="5" spans="2:14" x14ac:dyDescent="0.2">
      <c r="B5" s="58">
        <v>25</v>
      </c>
      <c r="C5">
        <f>'Flood (national AAL PML)'!B7</f>
        <v>107.724089770874</v>
      </c>
      <c r="D5">
        <f>'Flood (national AAL PML)'!D7</f>
        <v>344.05970870607399</v>
      </c>
      <c r="E5">
        <f>'Flood (national AAL PML)'!F7</f>
        <v>412.41639746037998</v>
      </c>
      <c r="F5" s="58">
        <f>SUM(C5:E5)</f>
        <v>864.20019593732798</v>
      </c>
      <c r="G5">
        <f>'Flood (national AAL PML)'!B51</f>
        <v>1241.91184000053</v>
      </c>
      <c r="H5">
        <f>'Flood (national AAL PML)'!D51</f>
        <v>4157.1924606183602</v>
      </c>
      <c r="I5">
        <f>'Flood (national AAL PML)'!F51</f>
        <v>4988.1875322004398</v>
      </c>
      <c r="J5" s="58">
        <f>SUM(G5:I5)</f>
        <v>10387.29183281933</v>
      </c>
      <c r="K5">
        <f>'Flood (national AAL PML)'!B29</f>
        <v>1677.4659332276999</v>
      </c>
      <c r="L5">
        <f>'Flood (national AAL PML)'!D29</f>
        <v>5623.1095868379298</v>
      </c>
      <c r="M5">
        <f>'Flood (national AAL PML)'!F29</f>
        <v>6746.8151904803099</v>
      </c>
      <c r="N5" s="58">
        <f>SUM(K5:M5)</f>
        <v>14047.39071054594</v>
      </c>
    </row>
    <row r="6" spans="2:14" x14ac:dyDescent="0.2">
      <c r="B6" s="58">
        <v>100</v>
      </c>
      <c r="C6">
        <f>'Flood (national AAL PML)'!B8</f>
        <v>148.578348790343</v>
      </c>
      <c r="D6">
        <f>'Flood (national AAL PML)'!D8</f>
        <v>471.64262625479699</v>
      </c>
      <c r="E6">
        <f>'Flood (national AAL PML)'!F8</f>
        <v>565.35040780021097</v>
      </c>
      <c r="F6" s="58">
        <f>SUM(C6:E6)</f>
        <v>1185.5713828453509</v>
      </c>
      <c r="G6">
        <f>'Flood (national AAL PML)'!B52</f>
        <v>1382.5573317977</v>
      </c>
      <c r="H6">
        <f>'Flood (national AAL PML)'!D52</f>
        <v>4610.7650599812396</v>
      </c>
      <c r="I6">
        <f>'Flood (national AAL PML)'!F52</f>
        <v>5530.43069261442</v>
      </c>
      <c r="J6" s="58">
        <f>SUM(G6:I6)</f>
        <v>11523.75308439336</v>
      </c>
      <c r="K6">
        <f>'Flood (national AAL PML)'!B30</f>
        <v>2143.3480454259302</v>
      </c>
      <c r="L6">
        <f>'Flood (national AAL PML)'!D30</f>
        <v>7125.3363972999496</v>
      </c>
      <c r="M6">
        <f>'Flood (national AAL PML)'!F30</f>
        <v>8538.0276849703896</v>
      </c>
      <c r="N6" s="58">
        <f>SUM(K6:M6)</f>
        <v>17806.712127696272</v>
      </c>
    </row>
    <row r="7" spans="2:14" ht="16" thickBot="1" x14ac:dyDescent="0.25">
      <c r="B7" s="58">
        <v>200</v>
      </c>
      <c r="C7">
        <f>'Flood (national AAL PML)'!B9</f>
        <v>154.26320486480299</v>
      </c>
      <c r="D7">
        <f>'Flood (national AAL PML)'!D9</f>
        <v>490.57679011763298</v>
      </c>
      <c r="E7">
        <f>'Flood (national AAL PML)'!F9</f>
        <v>588.07132005685003</v>
      </c>
      <c r="F7" s="58">
        <f>SUM(C7:E7)</f>
        <v>1232.9113150392859</v>
      </c>
      <c r="G7">
        <f>'Flood (national AAL PML)'!B53</f>
        <v>1410.0363313963701</v>
      </c>
      <c r="H7">
        <f>'Flood (national AAL PML)'!D53</f>
        <v>4703.0830657444003</v>
      </c>
      <c r="I7">
        <f>'Flood (national AAL PML)'!F53</f>
        <v>5640.0916580759904</v>
      </c>
      <c r="J7" s="58">
        <f>SUM(G7:I7)</f>
        <v>11753.211055216761</v>
      </c>
      <c r="K7">
        <f>'Flood (national AAL PML)'!B31</f>
        <v>2210.5223764256002</v>
      </c>
      <c r="L7">
        <f>'Flood (national AAL PML)'!D31</f>
        <v>7396.5671302158898</v>
      </c>
      <c r="M7">
        <f>'Flood (national AAL PML)'!F31</f>
        <v>8870.6763218703909</v>
      </c>
      <c r="N7" s="58">
        <f>SUM(K7:M7)</f>
        <v>18477.765828511881</v>
      </c>
    </row>
    <row r="8" spans="2:14" ht="16" thickBot="1" x14ac:dyDescent="0.25">
      <c r="C8" s="120" t="s">
        <v>27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2"/>
    </row>
    <row r="9" spans="2:14" x14ac:dyDescent="0.2">
      <c r="B9" s="58" t="s">
        <v>75</v>
      </c>
      <c r="G9" t="s">
        <v>69</v>
      </c>
      <c r="H9" t="s">
        <v>70</v>
      </c>
      <c r="I9" t="s">
        <v>84</v>
      </c>
      <c r="J9" s="58" t="s">
        <v>85</v>
      </c>
      <c r="K9" t="s">
        <v>69</v>
      </c>
      <c r="L9" t="s">
        <v>70</v>
      </c>
      <c r="M9" t="s">
        <v>84</v>
      </c>
      <c r="N9" s="58" t="s">
        <v>85</v>
      </c>
    </row>
    <row r="10" spans="2:14" x14ac:dyDescent="0.2">
      <c r="B10" s="58">
        <v>10</v>
      </c>
      <c r="G10">
        <f>'Flood (national AAL PML)'!B94</f>
        <v>142.93827734334801</v>
      </c>
      <c r="H10">
        <f>'Flood (national AAL PML)'!D94</f>
        <v>486.618167487346</v>
      </c>
      <c r="I10">
        <f>'Flood (national AAL PML)'!F94</f>
        <v>583.70350090711702</v>
      </c>
      <c r="J10" s="58">
        <f>SUM(G10:I10)</f>
        <v>1213.259945737811</v>
      </c>
      <c r="K10">
        <f>'Flood (national AAL PML)'!B72</f>
        <v>368.34552094743799</v>
      </c>
      <c r="L10">
        <f>'Flood (national AAL PML)'!D72</f>
        <v>1253.7722010678399</v>
      </c>
      <c r="M10">
        <f>'Flood (national AAL PML)'!F72</f>
        <v>1503.9836909763901</v>
      </c>
      <c r="N10" s="58">
        <f>SUM(K10:M10)</f>
        <v>3126.101412991668</v>
      </c>
    </row>
    <row r="11" spans="2:14" x14ac:dyDescent="0.2">
      <c r="B11" s="58">
        <v>25</v>
      </c>
      <c r="G11">
        <f>'Flood (national AAL PML)'!B95</f>
        <v>195.40409929273201</v>
      </c>
      <c r="H11">
        <f>'Flood (national AAL PML)'!D95</f>
        <v>667.103228289144</v>
      </c>
      <c r="I11">
        <f>'Flood (national AAL PML)'!F95</f>
        <v>800.03152494709605</v>
      </c>
      <c r="J11" s="58">
        <f>SUM(G11:I11)</f>
        <v>1662.538852528972</v>
      </c>
      <c r="K11">
        <f>'Flood (national AAL PML)'!B73</f>
        <v>517.48496867165204</v>
      </c>
      <c r="L11">
        <f>'Flood (national AAL PML)'!D73</f>
        <v>1757.2109355948101</v>
      </c>
      <c r="M11">
        <f>'Flood (national AAL PML)'!F73</f>
        <v>2107.9579881715699</v>
      </c>
      <c r="N11" s="58">
        <f>SUM(K11:M11)</f>
        <v>4382.653892438032</v>
      </c>
    </row>
    <row r="12" spans="2:14" x14ac:dyDescent="0.2">
      <c r="B12" s="58">
        <v>100</v>
      </c>
      <c r="G12">
        <f>'Flood (national AAL PML)'!B96</f>
        <v>258.493209536027</v>
      </c>
      <c r="H12">
        <f>'Flood (national AAL PML)'!D96</f>
        <v>878.70238848682504</v>
      </c>
      <c r="I12">
        <f>'Flood (national AAL PML)'!F96</f>
        <v>1053.9998044533399</v>
      </c>
      <c r="J12" s="58">
        <f>SUM(G12:I12)</f>
        <v>2191.1954024761917</v>
      </c>
      <c r="K12">
        <f>'Flood (national AAL PML)'!B74</f>
        <v>735.66815005106196</v>
      </c>
      <c r="L12">
        <f>'Flood (national AAL PML)'!D74</f>
        <v>2494.45994372429</v>
      </c>
      <c r="M12">
        <f>'Flood (national AAL PML)'!F74</f>
        <v>2992.2502416303701</v>
      </c>
      <c r="N12" s="58">
        <f>SUM(K12:M12)</f>
        <v>6222.3783354057214</v>
      </c>
    </row>
    <row r="13" spans="2:14" x14ac:dyDescent="0.2">
      <c r="B13" s="58">
        <v>200</v>
      </c>
      <c r="G13">
        <f>'Flood (national AAL PML)'!B97</f>
        <v>287.579192605223</v>
      </c>
      <c r="H13">
        <f>'Flood (national AAL PML)'!D97</f>
        <v>982.04985628435497</v>
      </c>
      <c r="I13">
        <f>'Flood (national AAL PML)'!F97</f>
        <v>1177.8486735759</v>
      </c>
      <c r="J13" s="58">
        <f>SUM(G13:I13)</f>
        <v>2447.4777224654781</v>
      </c>
      <c r="K13">
        <f>'Flood (national AAL PML)'!B75</f>
        <v>821.42797421008595</v>
      </c>
      <c r="L13">
        <f>'Flood (national AAL PML)'!D75</f>
        <v>2774.78617485623</v>
      </c>
      <c r="M13">
        <f>'Flood (national AAL PML)'!F75</f>
        <v>3328.78625231346</v>
      </c>
      <c r="N13" s="58">
        <f>SUM(K13:M13)</f>
        <v>6925.0004013797761</v>
      </c>
    </row>
  </sheetData>
  <mergeCells count="5">
    <mergeCell ref="C1:F1"/>
    <mergeCell ref="G1:J1"/>
    <mergeCell ref="K1:N1"/>
    <mergeCell ref="C2:N2"/>
    <mergeCell ref="C8:N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604C3B73AE9943B737720A48E3AF7C" ma:contentTypeVersion="15" ma:contentTypeDescription="Create a new document." ma:contentTypeScope="" ma:versionID="2931084d8a896172ba05b36fa46de9d0">
  <xsd:schema xmlns:xsd="http://www.w3.org/2001/XMLSchema" xmlns:xs="http://www.w3.org/2001/XMLSchema" xmlns:p="http://schemas.microsoft.com/office/2006/metadata/properties" xmlns:ns3="60c75bb3-2e3f-4394-b4f4-3e2677e21dfa" xmlns:ns4="9c83b91e-5ffe-420f-9ed1-9dac5903eaec" targetNamespace="http://schemas.microsoft.com/office/2006/metadata/properties" ma:root="true" ma:fieldsID="f3b5444c800561470cecb7ddf8e5e853" ns3:_="" ns4:_="">
    <xsd:import namespace="60c75bb3-2e3f-4394-b4f4-3e2677e21dfa"/>
    <xsd:import namespace="9c83b91e-5ffe-420f-9ed1-9dac5903ea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75bb3-2e3f-4394-b4f4-3e2677e21df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3b91e-5ffe-420f-9ed1-9dac5903e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83b91e-5ffe-420f-9ed1-9dac5903ea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D5C58-D8E0-4CF9-9F5F-8FDB48D42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75bb3-2e3f-4394-b4f4-3e2677e21dfa"/>
    <ds:schemaRef ds:uri="9c83b91e-5ffe-420f-9ed1-9dac5903e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E4CC94-FBE6-4012-961A-66DDAB253ADC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9c83b91e-5ffe-420f-9ed1-9dac5903eaec"/>
    <ds:schemaRef ds:uri="http://schemas.openxmlformats.org/package/2006/metadata/core-properties"/>
    <ds:schemaRef ds:uri="http://www.w3.org/XML/1998/namespace"/>
    <ds:schemaRef ds:uri="http://purl.org/dc/dcmitype/"/>
    <ds:schemaRef ds:uri="60c75bb3-2e3f-4394-b4f4-3e2677e21dfa"/>
  </ds:schemaRefs>
</ds:datastoreItem>
</file>

<file path=customXml/itemProps3.xml><?xml version="1.0" encoding="utf-8"?>
<ds:datastoreItem xmlns:ds="http://schemas.openxmlformats.org/officeDocument/2006/customXml" ds:itemID="{F81AA192-3301-4C07-802C-F84D38B0A1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Flood (national AAL PML)</vt:lpstr>
      <vt:lpstr>Drought (national AAL PML)</vt:lpstr>
      <vt:lpstr>Flood Affected Population</vt:lpstr>
      <vt:lpstr>Drought Affected Population</vt:lpstr>
      <vt:lpstr>Flood AAL (admin 1)</vt:lpstr>
      <vt:lpstr>Drought AAL (admin 1)</vt:lpstr>
      <vt:lpstr>graph_AALpop</vt:lpstr>
      <vt:lpstr>graph_AALeconomic</vt:lpstr>
      <vt:lpstr>graph_AALbua</vt:lpstr>
      <vt:lpstr>graph_PMLpop</vt:lpstr>
      <vt:lpstr>graph_PMLeco</vt:lpstr>
      <vt:lpstr>graph_PMLbua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Junko Mochizuki</dc:creator>
  <cp:keywords/>
  <dc:description/>
  <cp:lastModifiedBy>Robin Middelanis</cp:lastModifiedBy>
  <cp:revision/>
  <dcterms:created xsi:type="dcterms:W3CDTF">2022-11-30T10:12:22Z</dcterms:created>
  <dcterms:modified xsi:type="dcterms:W3CDTF">2025-10-24T16:15:58Z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0x010100FD604C3B73AE9943B737720A48E3AF7C</vt:lpwstr>
  </property>
</Properties>
</file>