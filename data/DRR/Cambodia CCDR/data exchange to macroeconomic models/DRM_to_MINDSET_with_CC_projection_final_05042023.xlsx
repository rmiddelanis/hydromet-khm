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in/Documents/Karriere/Jobs/2023_The_World_Bank/03_projects/05_Hydromet-Cambodia/data/DRR/Cambodia CCDR/data exchange to macroeconomic models/"/>
    </mc:Choice>
  </mc:AlternateContent>
  <xr:revisionPtr revIDLastSave="0" documentId="13_ncr:1_{466E2A8F-492A-AD45-BAD8-EE36A6CA0B99}" xr6:coauthVersionLast="47" xr6:coauthVersionMax="47" xr10:uidLastSave="{00000000-0000-0000-0000-000000000000}"/>
  <bookViews>
    <workbookView xWindow="0" yWindow="680" windowWidth="29400" windowHeight="17340" tabRatio="864" activeTab="1" xr2:uid="{EA58DB0F-896D-4CE3-BD5F-87C5A342EB24}"/>
  </bookViews>
  <sheets>
    <sheet name="CGE-Flood Weighted Av Calcs" sheetId="9" r:id="rId1"/>
    <sheet name="Flood (national AAL PML)" sheetId="1" r:id="rId2"/>
    <sheet name="MINDSET" sheetId="10" r:id="rId3"/>
    <sheet name="Sheet1" sheetId="11" state="hidden" r:id="rId4"/>
    <sheet name="Interpolation" sheetId="12" r:id="rId5"/>
    <sheet name="Inundation" sheetId="13" r:id="rId6"/>
    <sheet name="GIS output" sheetId="14" r:id="rId7"/>
    <sheet name="Drought (national AAL PML)" sheetId="2" r:id="rId8"/>
    <sheet name="Drought interpolation" sheetId="15" r:id="rId9"/>
    <sheet name="Flood Affected Population" sheetId="3" r:id="rId10"/>
    <sheet name="Drought Affected Population" sheetId="7" r:id="rId11"/>
    <sheet name="Flood AAL (admin 1)" sheetId="5" r:id="rId12"/>
    <sheet name="Drought AAL (admin 1)" sheetId="8" r:id="rId13"/>
  </sheets>
  <externalReferences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1" l="1"/>
  <c r="B66" i="1"/>
  <c r="B55" i="1"/>
  <c r="B44" i="1"/>
  <c r="B33" i="1"/>
  <c r="B22" i="1"/>
  <c r="B11" i="1"/>
  <c r="F68" i="10" l="1"/>
  <c r="E68" i="10"/>
  <c r="D68" i="10"/>
  <c r="C68" i="10"/>
  <c r="B68" i="10"/>
  <c r="F67" i="10"/>
  <c r="E67" i="10"/>
  <c r="D67" i="10"/>
  <c r="C67" i="10"/>
  <c r="B67" i="10"/>
  <c r="F66" i="10"/>
  <c r="E66" i="10"/>
  <c r="D66" i="10"/>
  <c r="C66" i="10"/>
  <c r="B66" i="10"/>
  <c r="F65" i="10"/>
  <c r="E65" i="10"/>
  <c r="D65" i="10"/>
  <c r="C65" i="10"/>
  <c r="B65" i="10"/>
  <c r="F64" i="10"/>
  <c r="W609" i="10" s="1"/>
  <c r="E64" i="10"/>
  <c r="W762" i="10" s="1"/>
  <c r="D64" i="10"/>
  <c r="C64" i="10"/>
  <c r="B64" i="10"/>
  <c r="F63" i="10"/>
  <c r="E63" i="10"/>
  <c r="D63" i="10"/>
  <c r="C63" i="10"/>
  <c r="B63" i="10"/>
  <c r="E37" i="2"/>
  <c r="E36" i="2"/>
  <c r="E35" i="2"/>
  <c r="E34" i="2"/>
  <c r="E33" i="2"/>
  <c r="E32" i="2"/>
  <c r="C37" i="2"/>
  <c r="C36" i="2"/>
  <c r="C35" i="2"/>
  <c r="C34" i="2"/>
  <c r="C33" i="2"/>
  <c r="C32" i="2"/>
  <c r="E25" i="2"/>
  <c r="E24" i="2"/>
  <c r="E23" i="2"/>
  <c r="E22" i="2"/>
  <c r="E21" i="2"/>
  <c r="E20" i="2"/>
  <c r="C25" i="2"/>
  <c r="C24" i="2"/>
  <c r="C23" i="2"/>
  <c r="C22" i="2"/>
  <c r="C21" i="2"/>
  <c r="C20" i="2"/>
  <c r="E11" i="2"/>
  <c r="E10" i="2"/>
  <c r="E9" i="2"/>
  <c r="E8" i="2"/>
  <c r="E7" i="2"/>
  <c r="E6" i="2"/>
  <c r="C11" i="2"/>
  <c r="C10" i="2"/>
  <c r="C9" i="2"/>
  <c r="C8" i="2"/>
  <c r="C7" i="2"/>
  <c r="C6" i="2"/>
  <c r="C27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1002" i="10"/>
  <c r="U1003" i="10"/>
  <c r="U1004" i="10"/>
  <c r="U1005" i="10"/>
  <c r="U1006" i="10"/>
  <c r="U1007" i="10"/>
  <c r="U1008" i="10"/>
  <c r="U1009" i="10"/>
  <c r="U1010" i="10"/>
  <c r="U1011" i="10"/>
  <c r="U1012" i="10"/>
  <c r="U1013" i="10"/>
  <c r="U1014" i="10"/>
  <c r="U1015" i="10"/>
  <c r="U1016" i="10"/>
  <c r="U1017" i="10"/>
  <c r="U1018" i="10"/>
  <c r="U1019" i="10"/>
  <c r="U1020" i="10"/>
  <c r="U1021" i="10"/>
  <c r="U1022" i="10"/>
  <c r="U1023" i="10"/>
  <c r="U1024" i="10"/>
  <c r="U1025" i="10"/>
  <c r="U1026" i="10"/>
  <c r="U1027" i="10"/>
  <c r="U1028" i="10"/>
  <c r="U1029" i="10"/>
  <c r="U1030" i="10"/>
  <c r="U1031" i="10"/>
  <c r="U1032" i="10"/>
  <c r="U1033" i="10"/>
  <c r="U1034" i="10"/>
  <c r="U1035" i="10"/>
  <c r="U1036" i="10"/>
  <c r="U1037" i="10"/>
  <c r="U1038" i="10"/>
  <c r="U1039" i="10"/>
  <c r="U1040" i="10"/>
  <c r="U1041" i="10"/>
  <c r="U1042" i="10"/>
  <c r="U1043" i="10"/>
  <c r="U1044" i="10"/>
  <c r="U1045" i="10"/>
  <c r="U1046" i="10"/>
  <c r="U1047" i="10"/>
  <c r="U1048" i="10"/>
  <c r="U1049" i="10"/>
  <c r="U1050" i="10"/>
  <c r="U1051" i="10"/>
  <c r="U1052" i="10"/>
  <c r="U1053" i="10"/>
  <c r="U1054" i="10"/>
  <c r="U1055" i="10"/>
  <c r="U1056" i="10"/>
  <c r="U1057" i="10"/>
  <c r="U1058" i="10"/>
  <c r="U1059" i="10"/>
  <c r="U1060" i="10"/>
  <c r="U1061" i="10"/>
  <c r="U1062" i="10"/>
  <c r="U1063" i="10"/>
  <c r="U1064" i="10"/>
  <c r="U1065" i="10"/>
  <c r="U1066" i="10"/>
  <c r="U1067" i="10"/>
  <c r="U1068" i="10"/>
  <c r="U1069" i="10"/>
  <c r="U1070" i="10"/>
  <c r="U1071" i="10"/>
  <c r="U1072" i="10"/>
  <c r="U1073" i="10"/>
  <c r="U1074" i="10"/>
  <c r="U75" i="10"/>
  <c r="AA78" i="10"/>
  <c r="AA81" i="10"/>
  <c r="AA83" i="10"/>
  <c r="AA84" i="10"/>
  <c r="AA85" i="10"/>
  <c r="AA87" i="10"/>
  <c r="AA88" i="10"/>
  <c r="AA89" i="10"/>
  <c r="AA90" i="10"/>
  <c r="AA92" i="10"/>
  <c r="AA93" i="10"/>
  <c r="AA94" i="10"/>
  <c r="AA95" i="10"/>
  <c r="AA97" i="10"/>
  <c r="AA98" i="10"/>
  <c r="AA100" i="10"/>
  <c r="AA101" i="10"/>
  <c r="AA103" i="10"/>
  <c r="AA105" i="10"/>
  <c r="AA109" i="10"/>
  <c r="AA110" i="10"/>
  <c r="AA111" i="10"/>
  <c r="AA112" i="10"/>
  <c r="AA116" i="10"/>
  <c r="AA118" i="10"/>
  <c r="AA119" i="10"/>
  <c r="AA121" i="10"/>
  <c r="AA122" i="10"/>
  <c r="AA123" i="10"/>
  <c r="AA125" i="10"/>
  <c r="AA126" i="10"/>
  <c r="AA130" i="10"/>
  <c r="AA131" i="10"/>
  <c r="AA132" i="10"/>
  <c r="AA133" i="10"/>
  <c r="AA134" i="10"/>
  <c r="AA136" i="10"/>
  <c r="AA139" i="10"/>
  <c r="AA140" i="10"/>
  <c r="AA143" i="10"/>
  <c r="AA145" i="10"/>
  <c r="AA147" i="10"/>
  <c r="AA148" i="10"/>
  <c r="AA150" i="10"/>
  <c r="AA152" i="10"/>
  <c r="AA155" i="10"/>
  <c r="AA156" i="10"/>
  <c r="AA157" i="10"/>
  <c r="AA158" i="10"/>
  <c r="AA162" i="10"/>
  <c r="AA164" i="10"/>
  <c r="AA171" i="10"/>
  <c r="AA172" i="10"/>
  <c r="AA174" i="10"/>
  <c r="AA178" i="10"/>
  <c r="AA181" i="10"/>
  <c r="AA182" i="10"/>
  <c r="AA184" i="10"/>
  <c r="AA185" i="10"/>
  <c r="AA188" i="10"/>
  <c r="AA189" i="10"/>
  <c r="AA190" i="10"/>
  <c r="AA192" i="10"/>
  <c r="AA193" i="10"/>
  <c r="AA196" i="10"/>
  <c r="AA198" i="10"/>
  <c r="AA199" i="10"/>
  <c r="AA200" i="10"/>
  <c r="AA201" i="10"/>
  <c r="AA203" i="10"/>
  <c r="AA206" i="10"/>
  <c r="AA210" i="10"/>
  <c r="AA212" i="10"/>
  <c r="AA213" i="10"/>
  <c r="AA216" i="10"/>
  <c r="AA218" i="10"/>
  <c r="AA219" i="10"/>
  <c r="AA221" i="10"/>
  <c r="AA222" i="10"/>
  <c r="AA226" i="10"/>
  <c r="AA228" i="10"/>
  <c r="AA229" i="10"/>
  <c r="AA230" i="10"/>
  <c r="AA231" i="10"/>
  <c r="AA237" i="10"/>
  <c r="AA238" i="10"/>
  <c r="AA239" i="10"/>
  <c r="AA242" i="10"/>
  <c r="AA245" i="10"/>
  <c r="AA252" i="10"/>
  <c r="AA253" i="10"/>
  <c r="AA254" i="10"/>
  <c r="AA257" i="10"/>
  <c r="AA258" i="10"/>
  <c r="AA261" i="10"/>
  <c r="AA265" i="10"/>
  <c r="AA266" i="10"/>
  <c r="AA267" i="10"/>
  <c r="AA268" i="10"/>
  <c r="AA271" i="10"/>
  <c r="AA272" i="10"/>
  <c r="AA273" i="10"/>
  <c r="AA274" i="10"/>
  <c r="AA284" i="10"/>
  <c r="AA285" i="10"/>
  <c r="AA287" i="10"/>
  <c r="AA289" i="10"/>
  <c r="AA290" i="10"/>
  <c r="AA291" i="10"/>
  <c r="AA293" i="10"/>
  <c r="AA294" i="10"/>
  <c r="AA296" i="10"/>
  <c r="AA297" i="10"/>
  <c r="AA298" i="10"/>
  <c r="AA300" i="10"/>
  <c r="AA301" i="10"/>
  <c r="AA302" i="10"/>
  <c r="AA303" i="10"/>
  <c r="AA305" i="10"/>
  <c r="AA307" i="10"/>
  <c r="AA312" i="10"/>
  <c r="AA314" i="10"/>
  <c r="AA315" i="10"/>
  <c r="AA319" i="10"/>
  <c r="AA320" i="10"/>
  <c r="AA323" i="10"/>
  <c r="AA324" i="10"/>
  <c r="AA330" i="10"/>
  <c r="AA331" i="10"/>
  <c r="AA332" i="10"/>
  <c r="AA333" i="10"/>
  <c r="AA334" i="10"/>
  <c r="AA337" i="10"/>
  <c r="AA338" i="10"/>
  <c r="AA339" i="10"/>
  <c r="AA341" i="10"/>
  <c r="AA342" i="10"/>
  <c r="AA344" i="10"/>
  <c r="AA345" i="10"/>
  <c r="AA346" i="10"/>
  <c r="AA352" i="10"/>
  <c r="AA353" i="10"/>
  <c r="AA354" i="10"/>
  <c r="AA355" i="10"/>
  <c r="AA357" i="10"/>
  <c r="AA358" i="10"/>
  <c r="AA359" i="10"/>
  <c r="AA363" i="10"/>
  <c r="AA368" i="10"/>
  <c r="AA371" i="10"/>
  <c r="AA374" i="10"/>
  <c r="AA376" i="10"/>
  <c r="AA377" i="10"/>
  <c r="AA379" i="10"/>
  <c r="AA381" i="10"/>
  <c r="AA383" i="10"/>
  <c r="AA385" i="10"/>
  <c r="AA386" i="10"/>
  <c r="AA388" i="10"/>
  <c r="AA389" i="10"/>
  <c r="AA390" i="10"/>
  <c r="AA391" i="10"/>
  <c r="AA392" i="10"/>
  <c r="AA393" i="10"/>
  <c r="AA394" i="10"/>
  <c r="AA395" i="10"/>
  <c r="AA398" i="10"/>
  <c r="AA401" i="10"/>
  <c r="AA402" i="10"/>
  <c r="AA406" i="10"/>
  <c r="AA411" i="10"/>
  <c r="AA412" i="10"/>
  <c r="AA414" i="10"/>
  <c r="AA417" i="10"/>
  <c r="AA418" i="10"/>
  <c r="AA419" i="10"/>
  <c r="AA423" i="10"/>
  <c r="AA428" i="10"/>
  <c r="AA429" i="10"/>
  <c r="AA431" i="10"/>
  <c r="AA433" i="10"/>
  <c r="AA435" i="10"/>
  <c r="AA436" i="10"/>
  <c r="AA439" i="10"/>
  <c r="AA440" i="10"/>
  <c r="AA441" i="10"/>
  <c r="AA442" i="10"/>
  <c r="AA443" i="10"/>
  <c r="AA444" i="10"/>
  <c r="AA445" i="10"/>
  <c r="AA449" i="10"/>
  <c r="AA450" i="10"/>
  <c r="AA452" i="10"/>
  <c r="AA454" i="10"/>
  <c r="AA455" i="10"/>
  <c r="AA456" i="10"/>
  <c r="AA457" i="10"/>
  <c r="AA458" i="10"/>
  <c r="AA460" i="10"/>
  <c r="AA461" i="10"/>
  <c r="AA463" i="10"/>
  <c r="AA464" i="10"/>
  <c r="AA465" i="10"/>
  <c r="AA466" i="10"/>
  <c r="AA467" i="10"/>
  <c r="AA471" i="10"/>
  <c r="AA474" i="10"/>
  <c r="AA475" i="10"/>
  <c r="AA477" i="10"/>
  <c r="AA481" i="10"/>
  <c r="AA483" i="10"/>
  <c r="AA485" i="10"/>
  <c r="AA486" i="10"/>
  <c r="AA487" i="10"/>
  <c r="AA488" i="10"/>
  <c r="AA490" i="10"/>
  <c r="AA491" i="10"/>
  <c r="AA493" i="10"/>
  <c r="AA494" i="10"/>
  <c r="AA497" i="10"/>
  <c r="AA500" i="10"/>
  <c r="AA503" i="10"/>
  <c r="AA504" i="10"/>
  <c r="AA505" i="10"/>
  <c r="AA508" i="10"/>
  <c r="AA509" i="10"/>
  <c r="AA511" i="10"/>
  <c r="AA513" i="10"/>
  <c r="AA514" i="10"/>
  <c r="AA515" i="10"/>
  <c r="AA517" i="10"/>
  <c r="AA518" i="10"/>
  <c r="AA520" i="10"/>
  <c r="AA521" i="10"/>
  <c r="AA523" i="10"/>
  <c r="AA524" i="10"/>
  <c r="AA526" i="10"/>
  <c r="AA527" i="10"/>
  <c r="AA529" i="10"/>
  <c r="AA532" i="10"/>
  <c r="AA534" i="10"/>
  <c r="AA536" i="10"/>
  <c r="AA537" i="10"/>
  <c r="AA542" i="10"/>
  <c r="AA544" i="10"/>
  <c r="AA545" i="10"/>
  <c r="AA549" i="10"/>
  <c r="AA550" i="10"/>
  <c r="AA553" i="10"/>
  <c r="AA554" i="10"/>
  <c r="AA556" i="10"/>
  <c r="AA557" i="10"/>
  <c r="AA559" i="10"/>
  <c r="AA560" i="10"/>
  <c r="AA561" i="10"/>
  <c r="AA565" i="10"/>
  <c r="AA568" i="10"/>
  <c r="AA571" i="10"/>
  <c r="AA572" i="10"/>
  <c r="AA573" i="10"/>
  <c r="AA574" i="10"/>
  <c r="AA577" i="10"/>
  <c r="AA579" i="10"/>
  <c r="AA580" i="10"/>
  <c r="AA581" i="10"/>
  <c r="AA582" i="10"/>
  <c r="AA584" i="10"/>
  <c r="AA586" i="10"/>
  <c r="AA589" i="10"/>
  <c r="AA590" i="10"/>
  <c r="AA595" i="10"/>
  <c r="AA596" i="10"/>
  <c r="AA597" i="10"/>
  <c r="AA598" i="10"/>
  <c r="AA600" i="10"/>
  <c r="AA601" i="10"/>
  <c r="AA605" i="10"/>
  <c r="AA608" i="10"/>
  <c r="AA610" i="10"/>
  <c r="AA613" i="10"/>
  <c r="AA614" i="10"/>
  <c r="AA615" i="10"/>
  <c r="AA620" i="10"/>
  <c r="AA622" i="10"/>
  <c r="AA624" i="10"/>
  <c r="AA625" i="10"/>
  <c r="AA626" i="10"/>
  <c r="AA629" i="10"/>
  <c r="AA630" i="10"/>
  <c r="AA631" i="10"/>
  <c r="AA632" i="10"/>
  <c r="AA633" i="10"/>
  <c r="AA634" i="10"/>
  <c r="AA639" i="10"/>
  <c r="AA640" i="10"/>
  <c r="AA641" i="10"/>
  <c r="AA643" i="10"/>
  <c r="AA644" i="10"/>
  <c r="AA645" i="10"/>
  <c r="AA646" i="10"/>
  <c r="AA653" i="10"/>
  <c r="AA655" i="10"/>
  <c r="AA658" i="10"/>
  <c r="AA660" i="10"/>
  <c r="AA662" i="10"/>
  <c r="AA665" i="10"/>
  <c r="AA666" i="10"/>
  <c r="AA667" i="10"/>
  <c r="AA669" i="10"/>
  <c r="AA671" i="10"/>
  <c r="AA673" i="10"/>
  <c r="AA674" i="10"/>
  <c r="AA675" i="10"/>
  <c r="AA677" i="10"/>
  <c r="AA678" i="10"/>
  <c r="AA679" i="10"/>
  <c r="AA681" i="10"/>
  <c r="AA682" i="10"/>
  <c r="AA683" i="10"/>
  <c r="AA685" i="10"/>
  <c r="AA688" i="10"/>
  <c r="AA689" i="10"/>
  <c r="AA692" i="10"/>
  <c r="AA693" i="10"/>
  <c r="AA694" i="10"/>
  <c r="AA696" i="10"/>
  <c r="AA697" i="10"/>
  <c r="AA698" i="10"/>
  <c r="AA701" i="10"/>
  <c r="AA702" i="10"/>
  <c r="AA703" i="10"/>
  <c r="AA707" i="10"/>
  <c r="AA708" i="10"/>
  <c r="AA709" i="10"/>
  <c r="AA712" i="10"/>
  <c r="AA713" i="10"/>
  <c r="AA714" i="10"/>
  <c r="AA715" i="10"/>
  <c r="AA719" i="10"/>
  <c r="AA720" i="10"/>
  <c r="AA721" i="10"/>
  <c r="AA726" i="10"/>
  <c r="AA729" i="10"/>
  <c r="AA730" i="10"/>
  <c r="AA731" i="10"/>
  <c r="AA732" i="10"/>
  <c r="AA733" i="10"/>
  <c r="AA734" i="10"/>
  <c r="AA735" i="10"/>
  <c r="AA738" i="10"/>
  <c r="AA743" i="10"/>
  <c r="AA744" i="10"/>
  <c r="AA746" i="10"/>
  <c r="AA748" i="10"/>
  <c r="AA749" i="10"/>
  <c r="AA750" i="10"/>
  <c r="AA751" i="10"/>
  <c r="AA752" i="10"/>
  <c r="AA754" i="10"/>
  <c r="AA756" i="10"/>
  <c r="AA757" i="10"/>
  <c r="AA763" i="10"/>
  <c r="AA764" i="10"/>
  <c r="AA765" i="10"/>
  <c r="AA766" i="10"/>
  <c r="AA768" i="10"/>
  <c r="AA769" i="10"/>
  <c r="AA770" i="10"/>
  <c r="AA771" i="10"/>
  <c r="AA772" i="10"/>
  <c r="AA773" i="10"/>
  <c r="AA778" i="10"/>
  <c r="AA780" i="10"/>
  <c r="AA785" i="10"/>
  <c r="AA786" i="10"/>
  <c r="AA787" i="10"/>
  <c r="AA788" i="10"/>
  <c r="AA790" i="10"/>
  <c r="AA792" i="10"/>
  <c r="AA794" i="10"/>
  <c r="AA799" i="10"/>
  <c r="AA800" i="10"/>
  <c r="AA806" i="10"/>
  <c r="AA807" i="10"/>
  <c r="AA809" i="10"/>
  <c r="AA810" i="10"/>
  <c r="AA812" i="10"/>
  <c r="AA814" i="10"/>
  <c r="AA815" i="10"/>
  <c r="AA816" i="10"/>
  <c r="AA817" i="10"/>
  <c r="AA818" i="10"/>
  <c r="AA820" i="10"/>
  <c r="AA822" i="10"/>
  <c r="AA826" i="10"/>
  <c r="AA827" i="10"/>
  <c r="AA828" i="10"/>
  <c r="AA829" i="10"/>
  <c r="AA831" i="10"/>
  <c r="AA832" i="10"/>
  <c r="AA833" i="10"/>
  <c r="AA837" i="10"/>
  <c r="AA839" i="10"/>
  <c r="AA841" i="10"/>
  <c r="AA843" i="10"/>
  <c r="AA844" i="10"/>
  <c r="AA845" i="10"/>
  <c r="AA851" i="10"/>
  <c r="AA852" i="10"/>
  <c r="AA854" i="10"/>
  <c r="AA855" i="10"/>
  <c r="AA857" i="10"/>
  <c r="AA858" i="10"/>
  <c r="AA863" i="10"/>
  <c r="AA864" i="10"/>
  <c r="AA865" i="10"/>
  <c r="AA866" i="10"/>
  <c r="AA867" i="10"/>
  <c r="AA870" i="10"/>
  <c r="AA871" i="10"/>
  <c r="AA873" i="10"/>
  <c r="AA874" i="10"/>
  <c r="AA880" i="10"/>
  <c r="AA881" i="10"/>
  <c r="AA883" i="10"/>
  <c r="AA886" i="10"/>
  <c r="AA889" i="10"/>
  <c r="AA890" i="10"/>
  <c r="AA893" i="10"/>
  <c r="AA894" i="10"/>
  <c r="AA896" i="10"/>
  <c r="AA898" i="10"/>
  <c r="AA905" i="10"/>
  <c r="AA907" i="10"/>
  <c r="AA909" i="10"/>
  <c r="AA911" i="10"/>
  <c r="AA918" i="10"/>
  <c r="AA923" i="10"/>
  <c r="AA925" i="10"/>
  <c r="AA926" i="10"/>
  <c r="AA927" i="10"/>
  <c r="AA932" i="10"/>
  <c r="AA939" i="10"/>
  <c r="AA940" i="10"/>
  <c r="AA941" i="10"/>
  <c r="AA943" i="10"/>
  <c r="AA944" i="10"/>
  <c r="AA946" i="10"/>
  <c r="AA947" i="10"/>
  <c r="AA948" i="10"/>
  <c r="AA951" i="10"/>
  <c r="AA952" i="10"/>
  <c r="AA953" i="10"/>
  <c r="AA956" i="10"/>
  <c r="AA958" i="10"/>
  <c r="AA959" i="10"/>
  <c r="AA961" i="10"/>
  <c r="AA965" i="10"/>
  <c r="AA966" i="10"/>
  <c r="AA967" i="10"/>
  <c r="AA969" i="10"/>
  <c r="AA972" i="10"/>
  <c r="AA973" i="10"/>
  <c r="AA974" i="10"/>
  <c r="AA977" i="10"/>
  <c r="AA979" i="10"/>
  <c r="AA981" i="10"/>
  <c r="AA982" i="10"/>
  <c r="AA983" i="10"/>
  <c r="AA984" i="10"/>
  <c r="AA985" i="10"/>
  <c r="AA986" i="10"/>
  <c r="AA987" i="10"/>
  <c r="AA992" i="10"/>
  <c r="AA998" i="10"/>
  <c r="AA999" i="10"/>
  <c r="AA1001" i="10"/>
  <c r="AA1002" i="10"/>
  <c r="AA1004" i="10"/>
  <c r="AA1005" i="10"/>
  <c r="AA1006" i="10"/>
  <c r="AA1008" i="10"/>
  <c r="AA1012" i="10"/>
  <c r="AA1014" i="10"/>
  <c r="AA1015" i="10"/>
  <c r="AA1017" i="10"/>
  <c r="AA1020" i="10"/>
  <c r="AA1021" i="10"/>
  <c r="AA1022" i="10"/>
  <c r="AA1023" i="10"/>
  <c r="AA1028" i="10"/>
  <c r="AA1029" i="10"/>
  <c r="AA1031" i="10"/>
  <c r="AA1034" i="10"/>
  <c r="AA1035" i="10"/>
  <c r="AA1036" i="10"/>
  <c r="AA1041" i="10"/>
  <c r="AA1042" i="10"/>
  <c r="AA1043" i="10"/>
  <c r="AA1045" i="10"/>
  <c r="AA1047" i="10"/>
  <c r="AA1048" i="10"/>
  <c r="AA1049" i="10"/>
  <c r="AA1050" i="10"/>
  <c r="AA1054" i="10"/>
  <c r="AA1056" i="10"/>
  <c r="AA1057" i="10"/>
  <c r="AA1061" i="10"/>
  <c r="AA1065" i="10"/>
  <c r="AA1067" i="10"/>
  <c r="AA1071" i="10"/>
  <c r="AA1072" i="10"/>
  <c r="AA1073" i="10"/>
  <c r="Q76" i="10"/>
  <c r="AA75" i="10"/>
  <c r="Z78" i="10"/>
  <c r="Z81" i="10"/>
  <c r="Z83" i="10"/>
  <c r="Z84" i="10"/>
  <c r="Z85" i="10"/>
  <c r="Z87" i="10"/>
  <c r="Z88" i="10"/>
  <c r="Z89" i="10"/>
  <c r="Z90" i="10"/>
  <c r="Z92" i="10"/>
  <c r="Z93" i="10"/>
  <c r="Z94" i="10"/>
  <c r="Z95" i="10"/>
  <c r="Z97" i="10"/>
  <c r="Z98" i="10"/>
  <c r="Z100" i="10"/>
  <c r="Z101" i="10"/>
  <c r="Z103" i="10"/>
  <c r="Z105" i="10"/>
  <c r="Z109" i="10"/>
  <c r="Z110" i="10"/>
  <c r="Z112" i="10"/>
  <c r="Z116" i="10"/>
  <c r="Z118" i="10"/>
  <c r="Z119" i="10"/>
  <c r="Z121" i="10"/>
  <c r="Z122" i="10"/>
  <c r="Z123" i="10"/>
  <c r="Z125" i="10"/>
  <c r="Z126" i="10"/>
  <c r="Z130" i="10"/>
  <c r="Z131" i="10"/>
  <c r="Z132" i="10"/>
  <c r="Z133" i="10"/>
  <c r="Z134" i="10"/>
  <c r="Z136" i="10"/>
  <c r="Z139" i="10"/>
  <c r="Z140" i="10"/>
  <c r="Z143" i="10"/>
  <c r="Z145" i="10"/>
  <c r="Z147" i="10"/>
  <c r="Z148" i="10"/>
  <c r="Z150" i="10"/>
  <c r="Z152" i="10"/>
  <c r="Z155" i="10"/>
  <c r="Z156" i="10"/>
  <c r="Z157" i="10"/>
  <c r="Z158" i="10"/>
  <c r="Z162" i="10"/>
  <c r="Z164" i="10"/>
  <c r="Z171" i="10"/>
  <c r="Z172" i="10"/>
  <c r="Z174" i="10"/>
  <c r="Z178" i="10"/>
  <c r="Z181" i="10"/>
  <c r="Z182" i="10"/>
  <c r="Z184" i="10"/>
  <c r="Z185" i="10"/>
  <c r="Z188" i="10"/>
  <c r="Z189" i="10"/>
  <c r="Z190" i="10"/>
  <c r="Z192" i="10"/>
  <c r="Z193" i="10"/>
  <c r="Z196" i="10"/>
  <c r="Z198" i="10"/>
  <c r="Z199" i="10"/>
  <c r="Z200" i="10"/>
  <c r="Z201" i="10"/>
  <c r="Z203" i="10"/>
  <c r="Z206" i="10"/>
  <c r="Z210" i="10"/>
  <c r="Z212" i="10"/>
  <c r="Z213" i="10"/>
  <c r="Z216" i="10"/>
  <c r="Z218" i="10"/>
  <c r="Z219" i="10"/>
  <c r="Z221" i="10"/>
  <c r="Z222" i="10"/>
  <c r="Z226" i="10"/>
  <c r="Z228" i="10"/>
  <c r="Z229" i="10"/>
  <c r="Z230" i="10"/>
  <c r="Z231" i="10"/>
  <c r="Z237" i="10"/>
  <c r="Z238" i="10"/>
  <c r="Z239" i="10"/>
  <c r="Z242" i="10"/>
  <c r="Z245" i="10"/>
  <c r="Z252" i="10"/>
  <c r="Z253" i="10"/>
  <c r="Z254" i="10"/>
  <c r="Z257" i="10"/>
  <c r="Z258" i="10"/>
  <c r="Z261" i="10"/>
  <c r="Z265" i="10"/>
  <c r="Z266" i="10"/>
  <c r="Z267" i="10"/>
  <c r="Z268" i="10"/>
  <c r="Z271" i="10"/>
  <c r="Z272" i="10"/>
  <c r="Z273" i="10"/>
  <c r="Z274" i="10"/>
  <c r="Z284" i="10"/>
  <c r="Z285" i="10"/>
  <c r="Z287" i="10"/>
  <c r="Z289" i="10"/>
  <c r="Z290" i="10"/>
  <c r="Z291" i="10"/>
  <c r="Z293" i="10"/>
  <c r="Z294" i="10"/>
  <c r="Z296" i="10"/>
  <c r="Z297" i="10"/>
  <c r="Z298" i="10"/>
  <c r="Z300" i="10"/>
  <c r="Z301" i="10"/>
  <c r="Z303" i="10"/>
  <c r="Z305" i="10"/>
  <c r="Z307" i="10"/>
  <c r="Z312" i="10"/>
  <c r="Z314" i="10"/>
  <c r="Z315" i="10"/>
  <c r="Z319" i="10"/>
  <c r="Z320" i="10"/>
  <c r="Z323" i="10"/>
  <c r="Z324" i="10"/>
  <c r="Z330" i="10"/>
  <c r="Z331" i="10"/>
  <c r="Z332" i="10"/>
  <c r="Z333" i="10"/>
  <c r="Z334" i="10"/>
  <c r="Z337" i="10"/>
  <c r="Z338" i="10"/>
  <c r="Z339" i="10"/>
  <c r="Z341" i="10"/>
  <c r="Z342" i="10"/>
  <c r="Z344" i="10"/>
  <c r="Z345" i="10"/>
  <c r="Z346" i="10"/>
  <c r="Z352" i="10"/>
  <c r="Z353" i="10"/>
  <c r="Z354" i="10"/>
  <c r="Z355" i="10"/>
  <c r="Z357" i="10"/>
  <c r="Z358" i="10"/>
  <c r="Z359" i="10"/>
  <c r="Z363" i="10"/>
  <c r="Z368" i="10"/>
  <c r="Z371" i="10"/>
  <c r="Z374" i="10"/>
  <c r="Z376" i="10"/>
  <c r="Z377" i="10"/>
  <c r="Z379" i="10"/>
  <c r="Z381" i="10"/>
  <c r="Z383" i="10"/>
  <c r="Z385" i="10"/>
  <c r="Z386" i="10"/>
  <c r="Z388" i="10"/>
  <c r="Z389" i="10"/>
  <c r="Z390" i="10"/>
  <c r="Z391" i="10"/>
  <c r="Z392" i="10"/>
  <c r="Z393" i="10"/>
  <c r="Z394" i="10"/>
  <c r="Z395" i="10"/>
  <c r="Z398" i="10"/>
  <c r="Z401" i="10"/>
  <c r="Z402" i="10"/>
  <c r="Z406" i="10"/>
  <c r="Z411" i="10"/>
  <c r="Z412" i="10"/>
  <c r="Z414" i="10"/>
  <c r="Z417" i="10"/>
  <c r="Z418" i="10"/>
  <c r="Z419" i="10"/>
  <c r="Z423" i="10"/>
  <c r="Z428" i="10"/>
  <c r="Z429" i="10"/>
  <c r="Z431" i="10"/>
  <c r="Z433" i="10"/>
  <c r="Z435" i="10"/>
  <c r="Z436" i="10"/>
  <c r="Z439" i="10"/>
  <c r="Z440" i="10"/>
  <c r="Z441" i="10"/>
  <c r="Z442" i="10"/>
  <c r="Z443" i="10"/>
  <c r="Z444" i="10"/>
  <c r="Z445" i="10"/>
  <c r="Z449" i="10"/>
  <c r="Z450" i="10"/>
  <c r="Z452" i="10"/>
  <c r="Z454" i="10"/>
  <c r="Z455" i="10"/>
  <c r="Z456" i="10"/>
  <c r="Z457" i="10"/>
  <c r="Z458" i="10"/>
  <c r="Z460" i="10"/>
  <c r="Z461" i="10"/>
  <c r="Z463" i="10"/>
  <c r="Z464" i="10"/>
  <c r="Z465" i="10"/>
  <c r="Z466" i="10"/>
  <c r="Z467" i="10"/>
  <c r="Z471" i="10"/>
  <c r="Z474" i="10"/>
  <c r="Z475" i="10"/>
  <c r="Z477" i="10"/>
  <c r="Z481" i="10"/>
  <c r="Z483" i="10"/>
  <c r="Z485" i="10"/>
  <c r="Z486" i="10"/>
  <c r="Z487" i="10"/>
  <c r="Z488" i="10"/>
  <c r="Z490" i="10"/>
  <c r="Z491" i="10"/>
  <c r="Z493" i="10"/>
  <c r="Z494" i="10"/>
  <c r="Z497" i="10"/>
  <c r="Z500" i="10"/>
  <c r="Z503" i="10"/>
  <c r="Z504" i="10"/>
  <c r="Z505" i="10"/>
  <c r="Z508" i="10"/>
  <c r="Z509" i="10"/>
  <c r="Z511" i="10"/>
  <c r="Z513" i="10"/>
  <c r="Z514" i="10"/>
  <c r="Z515" i="10"/>
  <c r="Z517" i="10"/>
  <c r="Z518" i="10"/>
  <c r="Z520" i="10"/>
  <c r="Z521" i="10"/>
  <c r="Z523" i="10"/>
  <c r="Z524" i="10"/>
  <c r="Z526" i="10"/>
  <c r="Z527" i="10"/>
  <c r="Z529" i="10"/>
  <c r="Z532" i="10"/>
  <c r="Z534" i="10"/>
  <c r="Z536" i="10"/>
  <c r="Z537" i="10"/>
  <c r="Z542" i="10"/>
  <c r="Z544" i="10"/>
  <c r="Z545" i="10"/>
  <c r="Z549" i="10"/>
  <c r="Z550" i="10"/>
  <c r="Z553" i="10"/>
  <c r="Z554" i="10"/>
  <c r="Z556" i="10"/>
  <c r="Z557" i="10"/>
  <c r="Z559" i="10"/>
  <c r="Z560" i="10"/>
  <c r="Z561" i="10"/>
  <c r="Z565" i="10"/>
  <c r="Z568" i="10"/>
  <c r="Z571" i="10"/>
  <c r="Z572" i="10"/>
  <c r="Z573" i="10"/>
  <c r="Z574" i="10"/>
  <c r="Z577" i="10"/>
  <c r="Z579" i="10"/>
  <c r="Z580" i="10"/>
  <c r="Z581" i="10"/>
  <c r="Z582" i="10"/>
  <c r="Z584" i="10"/>
  <c r="Z586" i="10"/>
  <c r="Z589" i="10"/>
  <c r="Z590" i="10"/>
  <c r="Z595" i="10"/>
  <c r="Z596" i="10"/>
  <c r="Z597" i="10"/>
  <c r="Z598" i="10"/>
  <c r="Z600" i="10"/>
  <c r="Z601" i="10"/>
  <c r="Z605" i="10"/>
  <c r="Z608" i="10"/>
  <c r="Z610" i="10"/>
  <c r="Z613" i="10"/>
  <c r="Z614" i="10"/>
  <c r="Z615" i="10"/>
  <c r="Z620" i="10"/>
  <c r="Z622" i="10"/>
  <c r="Z624" i="10"/>
  <c r="Z625" i="10"/>
  <c r="Z626" i="10"/>
  <c r="Z629" i="10"/>
  <c r="Z630" i="10"/>
  <c r="Z631" i="10"/>
  <c r="Z632" i="10"/>
  <c r="Z633" i="10"/>
  <c r="Z634" i="10"/>
  <c r="Z639" i="10"/>
  <c r="Z640" i="10"/>
  <c r="Z641" i="10"/>
  <c r="Z643" i="10"/>
  <c r="Z644" i="10"/>
  <c r="Z645" i="10"/>
  <c r="Z646" i="10"/>
  <c r="Z653" i="10"/>
  <c r="Z655" i="10"/>
  <c r="Z658" i="10"/>
  <c r="Z660" i="10"/>
  <c r="Z662" i="10"/>
  <c r="Z665" i="10"/>
  <c r="Z666" i="10"/>
  <c r="Z667" i="10"/>
  <c r="Z669" i="10"/>
  <c r="Z671" i="10"/>
  <c r="Z673" i="10"/>
  <c r="Z674" i="10"/>
  <c r="Z675" i="10"/>
  <c r="Z677" i="10"/>
  <c r="Z678" i="10"/>
  <c r="Z679" i="10"/>
  <c r="Z681" i="10"/>
  <c r="Z682" i="10"/>
  <c r="Z683" i="10"/>
  <c r="Z685" i="10"/>
  <c r="Z688" i="10"/>
  <c r="Z689" i="10"/>
  <c r="Z692" i="10"/>
  <c r="Z693" i="10"/>
  <c r="Z694" i="10"/>
  <c r="Z696" i="10"/>
  <c r="Z697" i="10"/>
  <c r="Z698" i="10"/>
  <c r="Z701" i="10"/>
  <c r="Z702" i="10"/>
  <c r="Z703" i="10"/>
  <c r="Z707" i="10"/>
  <c r="Z708" i="10"/>
  <c r="Z709" i="10"/>
  <c r="Z712" i="10"/>
  <c r="Z713" i="10"/>
  <c r="Z714" i="10"/>
  <c r="Z715" i="10"/>
  <c r="Z719" i="10"/>
  <c r="Z720" i="10"/>
  <c r="Z721" i="10"/>
  <c r="Z726" i="10"/>
  <c r="Z729" i="10"/>
  <c r="Z730" i="10"/>
  <c r="Z731" i="10"/>
  <c r="Z732" i="10"/>
  <c r="Z733" i="10"/>
  <c r="Z734" i="10"/>
  <c r="Z735" i="10"/>
  <c r="Z738" i="10"/>
  <c r="Z743" i="10"/>
  <c r="Z744" i="10"/>
  <c r="Z746" i="10"/>
  <c r="Z748" i="10"/>
  <c r="Z749" i="10"/>
  <c r="Z750" i="10"/>
  <c r="Z751" i="10"/>
  <c r="Z752" i="10"/>
  <c r="Z754" i="10"/>
  <c r="Z756" i="10"/>
  <c r="Z757" i="10"/>
  <c r="Z763" i="10"/>
  <c r="Z764" i="10"/>
  <c r="Z765" i="10"/>
  <c r="Z766" i="10"/>
  <c r="Z768" i="10"/>
  <c r="Z769" i="10"/>
  <c r="Z770" i="10"/>
  <c r="Z771" i="10"/>
  <c r="Z772" i="10"/>
  <c r="Z773" i="10"/>
  <c r="Z778" i="10"/>
  <c r="Z780" i="10"/>
  <c r="Z785" i="10"/>
  <c r="Z786" i="10"/>
  <c r="Z787" i="10"/>
  <c r="Z788" i="10"/>
  <c r="Z790" i="10"/>
  <c r="Z792" i="10"/>
  <c r="Z794" i="10"/>
  <c r="Z799" i="10"/>
  <c r="Z800" i="10"/>
  <c r="Z806" i="10"/>
  <c r="Z807" i="10"/>
  <c r="Z809" i="10"/>
  <c r="Z810" i="10"/>
  <c r="Z812" i="10"/>
  <c r="Z814" i="10"/>
  <c r="Z815" i="10"/>
  <c r="Z816" i="10"/>
  <c r="Z817" i="10"/>
  <c r="Z818" i="10"/>
  <c r="Z820" i="10"/>
  <c r="Z822" i="10"/>
  <c r="Z826" i="10"/>
  <c r="Z827" i="10"/>
  <c r="Z828" i="10"/>
  <c r="Z829" i="10"/>
  <c r="Z831" i="10"/>
  <c r="Z832" i="10"/>
  <c r="Z833" i="10"/>
  <c r="Z837" i="10"/>
  <c r="Z839" i="10"/>
  <c r="Z841" i="10"/>
  <c r="Z843" i="10"/>
  <c r="Z844" i="10"/>
  <c r="Z845" i="10"/>
  <c r="Z851" i="10"/>
  <c r="Z852" i="10"/>
  <c r="Z854" i="10"/>
  <c r="Z855" i="10"/>
  <c r="Z857" i="10"/>
  <c r="Z858" i="10"/>
  <c r="Z863" i="10"/>
  <c r="Z864" i="10"/>
  <c r="Z865" i="10"/>
  <c r="Z866" i="10"/>
  <c r="Z867" i="10"/>
  <c r="Z870" i="10"/>
  <c r="Z871" i="10"/>
  <c r="Z873" i="10"/>
  <c r="Z874" i="10"/>
  <c r="Z880" i="10"/>
  <c r="Z881" i="10"/>
  <c r="Z883" i="10"/>
  <c r="Z886" i="10"/>
  <c r="Z889" i="10"/>
  <c r="Z890" i="10"/>
  <c r="Z893" i="10"/>
  <c r="Z894" i="10"/>
  <c r="Z896" i="10"/>
  <c r="Z898" i="10"/>
  <c r="Z905" i="10"/>
  <c r="Z907" i="10"/>
  <c r="Z909" i="10"/>
  <c r="Z911" i="10"/>
  <c r="Z918" i="10"/>
  <c r="Z923" i="10"/>
  <c r="Z925" i="10"/>
  <c r="Z926" i="10"/>
  <c r="Z927" i="10"/>
  <c r="Z932" i="10"/>
  <c r="Z939" i="10"/>
  <c r="Z940" i="10"/>
  <c r="Z941" i="10"/>
  <c r="Z943" i="10"/>
  <c r="Z944" i="10"/>
  <c r="Z946" i="10"/>
  <c r="Z947" i="10"/>
  <c r="Z948" i="10"/>
  <c r="Z951" i="10"/>
  <c r="Z952" i="10"/>
  <c r="Z953" i="10"/>
  <c r="Z956" i="10"/>
  <c r="Z958" i="10"/>
  <c r="Z959" i="10"/>
  <c r="Z961" i="10"/>
  <c r="Z965" i="10"/>
  <c r="Z966" i="10"/>
  <c r="Z967" i="10"/>
  <c r="Z969" i="10"/>
  <c r="Z972" i="10"/>
  <c r="Z973" i="10"/>
  <c r="Z974" i="10"/>
  <c r="Z977" i="10"/>
  <c r="Z979" i="10"/>
  <c r="Z981" i="10"/>
  <c r="Z982" i="10"/>
  <c r="Z983" i="10"/>
  <c r="Z984" i="10"/>
  <c r="Z985" i="10"/>
  <c r="Z986" i="10"/>
  <c r="Z987" i="10"/>
  <c r="Z992" i="10"/>
  <c r="Z998" i="10"/>
  <c r="Z999" i="10"/>
  <c r="Z1001" i="10"/>
  <c r="Z1002" i="10"/>
  <c r="Z1004" i="10"/>
  <c r="Z1005" i="10"/>
  <c r="Z1006" i="10"/>
  <c r="Z1008" i="10"/>
  <c r="Z1012" i="10"/>
  <c r="Z1014" i="10"/>
  <c r="Z1015" i="10"/>
  <c r="Z1017" i="10"/>
  <c r="Z1020" i="10"/>
  <c r="Z1021" i="10"/>
  <c r="Z1022" i="10"/>
  <c r="Z1023" i="10"/>
  <c r="Z1028" i="10"/>
  <c r="Z1029" i="10"/>
  <c r="Z1031" i="10"/>
  <c r="Z1034" i="10"/>
  <c r="Z1035" i="10"/>
  <c r="Z1036" i="10"/>
  <c r="Z1041" i="10"/>
  <c r="Z1042" i="10"/>
  <c r="Z1043" i="10"/>
  <c r="Z1045" i="10"/>
  <c r="Z1047" i="10"/>
  <c r="Z1048" i="10"/>
  <c r="Z1049" i="10"/>
  <c r="Z1050" i="10"/>
  <c r="Z1054" i="10"/>
  <c r="Z1056" i="10"/>
  <c r="Z1057" i="10"/>
  <c r="Z1061" i="10"/>
  <c r="Z1065" i="10"/>
  <c r="Z1067" i="10"/>
  <c r="Z1071" i="10"/>
  <c r="Z1072" i="10"/>
  <c r="Z1073" i="10"/>
  <c r="Z75" i="10"/>
  <c r="Y78" i="10"/>
  <c r="Y81" i="10"/>
  <c r="Y83" i="10"/>
  <c r="Y84" i="10"/>
  <c r="Y85" i="10"/>
  <c r="Y87" i="10"/>
  <c r="Y88" i="10"/>
  <c r="Y89" i="10"/>
  <c r="Y90" i="10"/>
  <c r="Y92" i="10"/>
  <c r="Y93" i="10"/>
  <c r="Y94" i="10"/>
  <c r="Y95" i="10"/>
  <c r="Y97" i="10"/>
  <c r="Y98" i="10"/>
  <c r="Y100" i="10"/>
  <c r="Y101" i="10"/>
  <c r="Y103" i="10"/>
  <c r="Y105" i="10"/>
  <c r="Y109" i="10"/>
  <c r="Y110" i="10"/>
  <c r="Y112" i="10"/>
  <c r="Y116" i="10"/>
  <c r="Y118" i="10"/>
  <c r="Y119" i="10"/>
  <c r="Y121" i="10"/>
  <c r="Y122" i="10"/>
  <c r="Y123" i="10"/>
  <c r="Y125" i="10"/>
  <c r="Y126" i="10"/>
  <c r="Y130" i="10"/>
  <c r="Y131" i="10"/>
  <c r="Y132" i="10"/>
  <c r="Y133" i="10"/>
  <c r="Y134" i="10"/>
  <c r="Y136" i="10"/>
  <c r="Y139" i="10"/>
  <c r="Y140" i="10"/>
  <c r="Y143" i="10"/>
  <c r="Y145" i="10"/>
  <c r="Y147" i="10"/>
  <c r="Y148" i="10"/>
  <c r="Y150" i="10"/>
  <c r="Y152" i="10"/>
  <c r="Y155" i="10"/>
  <c r="Y156" i="10"/>
  <c r="Y157" i="10"/>
  <c r="Y158" i="10"/>
  <c r="Y162" i="10"/>
  <c r="Y164" i="10"/>
  <c r="Y171" i="10"/>
  <c r="Y172" i="10"/>
  <c r="Y174" i="10"/>
  <c r="Y178" i="10"/>
  <c r="Y181" i="10"/>
  <c r="Y182" i="10"/>
  <c r="Y184" i="10"/>
  <c r="Y185" i="10"/>
  <c r="Y188" i="10"/>
  <c r="Y189" i="10"/>
  <c r="Y190" i="10"/>
  <c r="Y192" i="10"/>
  <c r="Y193" i="10"/>
  <c r="Y196" i="10"/>
  <c r="Y198" i="10"/>
  <c r="Y199" i="10"/>
  <c r="Y200" i="10"/>
  <c r="Y201" i="10"/>
  <c r="Y203" i="10"/>
  <c r="Y206" i="10"/>
  <c r="Y210" i="10"/>
  <c r="Y212" i="10"/>
  <c r="Y213" i="10"/>
  <c r="Y216" i="10"/>
  <c r="Y218" i="10"/>
  <c r="Y219" i="10"/>
  <c r="Y221" i="10"/>
  <c r="Y222" i="10"/>
  <c r="Y226" i="10"/>
  <c r="Y228" i="10"/>
  <c r="Y229" i="10"/>
  <c r="Y230" i="10"/>
  <c r="Y231" i="10"/>
  <c r="Y237" i="10"/>
  <c r="Y238" i="10"/>
  <c r="Y239" i="10"/>
  <c r="Y242" i="10"/>
  <c r="Y245" i="10"/>
  <c r="Y252" i="10"/>
  <c r="Y253" i="10"/>
  <c r="Y254" i="10"/>
  <c r="Y257" i="10"/>
  <c r="Y258" i="10"/>
  <c r="Y261" i="10"/>
  <c r="Y265" i="10"/>
  <c r="Y266" i="10"/>
  <c r="Y267" i="10"/>
  <c r="Y268" i="10"/>
  <c r="Y271" i="10"/>
  <c r="Y272" i="10"/>
  <c r="Y273" i="10"/>
  <c r="Y274" i="10"/>
  <c r="Y284" i="10"/>
  <c r="Y285" i="10"/>
  <c r="Y287" i="10"/>
  <c r="Y289" i="10"/>
  <c r="Y290" i="10"/>
  <c r="Y291" i="10"/>
  <c r="Y293" i="10"/>
  <c r="Y294" i="10"/>
  <c r="Y296" i="10"/>
  <c r="Y297" i="10"/>
  <c r="Y298" i="10"/>
  <c r="Y300" i="10"/>
  <c r="Y301" i="10"/>
  <c r="Y303" i="10"/>
  <c r="Y305" i="10"/>
  <c r="Y307" i="10"/>
  <c r="Y312" i="10"/>
  <c r="Y314" i="10"/>
  <c r="Y315" i="10"/>
  <c r="Y319" i="10"/>
  <c r="Y320" i="10"/>
  <c r="Y323" i="10"/>
  <c r="Y324" i="10"/>
  <c r="Y330" i="10"/>
  <c r="Y331" i="10"/>
  <c r="Y332" i="10"/>
  <c r="Y333" i="10"/>
  <c r="Y334" i="10"/>
  <c r="Y337" i="10"/>
  <c r="Y338" i="10"/>
  <c r="Y339" i="10"/>
  <c r="Y341" i="10"/>
  <c r="Y342" i="10"/>
  <c r="Y344" i="10"/>
  <c r="Y345" i="10"/>
  <c r="Y346" i="10"/>
  <c r="Y352" i="10"/>
  <c r="Y353" i="10"/>
  <c r="Y354" i="10"/>
  <c r="Y355" i="10"/>
  <c r="Y357" i="10"/>
  <c r="Y358" i="10"/>
  <c r="Y359" i="10"/>
  <c r="Y363" i="10"/>
  <c r="Y368" i="10"/>
  <c r="Y371" i="10"/>
  <c r="Y374" i="10"/>
  <c r="Y376" i="10"/>
  <c r="Y377" i="10"/>
  <c r="Y379" i="10"/>
  <c r="Y381" i="10"/>
  <c r="Y383" i="10"/>
  <c r="Y385" i="10"/>
  <c r="Y386" i="10"/>
  <c r="Y388" i="10"/>
  <c r="Y389" i="10"/>
  <c r="Y390" i="10"/>
  <c r="Y391" i="10"/>
  <c r="Y392" i="10"/>
  <c r="Y393" i="10"/>
  <c r="Y394" i="10"/>
  <c r="Y395" i="10"/>
  <c r="Y398" i="10"/>
  <c r="Y401" i="10"/>
  <c r="Y402" i="10"/>
  <c r="Y406" i="10"/>
  <c r="Y411" i="10"/>
  <c r="Y412" i="10"/>
  <c r="Y414" i="10"/>
  <c r="Y417" i="10"/>
  <c r="Y418" i="10"/>
  <c r="Y419" i="10"/>
  <c r="Y423" i="10"/>
  <c r="Y428" i="10"/>
  <c r="Y429" i="10"/>
  <c r="Y431" i="10"/>
  <c r="Y433" i="10"/>
  <c r="Y435" i="10"/>
  <c r="Y436" i="10"/>
  <c r="Y439" i="10"/>
  <c r="Y440" i="10"/>
  <c r="Y441" i="10"/>
  <c r="Y442" i="10"/>
  <c r="Y443" i="10"/>
  <c r="Y444" i="10"/>
  <c r="Y445" i="10"/>
  <c r="Y449" i="10"/>
  <c r="Y450" i="10"/>
  <c r="Y452" i="10"/>
  <c r="Y454" i="10"/>
  <c r="Y455" i="10"/>
  <c r="Y456" i="10"/>
  <c r="Y457" i="10"/>
  <c r="Y458" i="10"/>
  <c r="Y460" i="10"/>
  <c r="Y461" i="10"/>
  <c r="Y463" i="10"/>
  <c r="Y464" i="10"/>
  <c r="Y465" i="10"/>
  <c r="Y466" i="10"/>
  <c r="Y467" i="10"/>
  <c r="Y471" i="10"/>
  <c r="Y474" i="10"/>
  <c r="Y475" i="10"/>
  <c r="Y477" i="10"/>
  <c r="Y481" i="10"/>
  <c r="Y483" i="10"/>
  <c r="Y485" i="10"/>
  <c r="Y486" i="10"/>
  <c r="Y487" i="10"/>
  <c r="Y488" i="10"/>
  <c r="Y490" i="10"/>
  <c r="Y491" i="10"/>
  <c r="Y493" i="10"/>
  <c r="Y494" i="10"/>
  <c r="Y497" i="10"/>
  <c r="Y500" i="10"/>
  <c r="Y503" i="10"/>
  <c r="Y504" i="10"/>
  <c r="Y505" i="10"/>
  <c r="Y508" i="10"/>
  <c r="Y509" i="10"/>
  <c r="Y511" i="10"/>
  <c r="Y513" i="10"/>
  <c r="Y514" i="10"/>
  <c r="Y515" i="10"/>
  <c r="Y517" i="10"/>
  <c r="Y518" i="10"/>
  <c r="Y520" i="10"/>
  <c r="Y521" i="10"/>
  <c r="Y523" i="10"/>
  <c r="Y524" i="10"/>
  <c r="Y526" i="10"/>
  <c r="Y527" i="10"/>
  <c r="Y529" i="10"/>
  <c r="Y532" i="10"/>
  <c r="Y534" i="10"/>
  <c r="Y536" i="10"/>
  <c r="Y537" i="10"/>
  <c r="Y542" i="10"/>
  <c r="Y544" i="10"/>
  <c r="Y545" i="10"/>
  <c r="Y549" i="10"/>
  <c r="Y550" i="10"/>
  <c r="Y553" i="10"/>
  <c r="Y554" i="10"/>
  <c r="Y556" i="10"/>
  <c r="Y557" i="10"/>
  <c r="Y559" i="10"/>
  <c r="Y560" i="10"/>
  <c r="Y561" i="10"/>
  <c r="Y565" i="10"/>
  <c r="Y568" i="10"/>
  <c r="Y571" i="10"/>
  <c r="Y572" i="10"/>
  <c r="Y573" i="10"/>
  <c r="Y574" i="10"/>
  <c r="Y577" i="10"/>
  <c r="Y579" i="10"/>
  <c r="Y580" i="10"/>
  <c r="Y581" i="10"/>
  <c r="Y582" i="10"/>
  <c r="Y584" i="10"/>
  <c r="Y586" i="10"/>
  <c r="Y589" i="10"/>
  <c r="Y590" i="10"/>
  <c r="Y595" i="10"/>
  <c r="Y596" i="10"/>
  <c r="Y597" i="10"/>
  <c r="Y598" i="10"/>
  <c r="Y600" i="10"/>
  <c r="Y601" i="10"/>
  <c r="Y605" i="10"/>
  <c r="Y608" i="10"/>
  <c r="Y610" i="10"/>
  <c r="Y613" i="10"/>
  <c r="Y614" i="10"/>
  <c r="Y615" i="10"/>
  <c r="Y620" i="10"/>
  <c r="Y622" i="10"/>
  <c r="Y624" i="10"/>
  <c r="Y625" i="10"/>
  <c r="Y626" i="10"/>
  <c r="Y629" i="10"/>
  <c r="Y630" i="10"/>
  <c r="Y631" i="10"/>
  <c r="Y632" i="10"/>
  <c r="Y633" i="10"/>
  <c r="Y634" i="10"/>
  <c r="Y639" i="10"/>
  <c r="Y640" i="10"/>
  <c r="Y641" i="10"/>
  <c r="Y643" i="10"/>
  <c r="Y644" i="10"/>
  <c r="Y645" i="10"/>
  <c r="Y646" i="10"/>
  <c r="Y653" i="10"/>
  <c r="Y655" i="10"/>
  <c r="Y658" i="10"/>
  <c r="Y660" i="10"/>
  <c r="Y662" i="10"/>
  <c r="Y665" i="10"/>
  <c r="Y666" i="10"/>
  <c r="Y667" i="10"/>
  <c r="Y669" i="10"/>
  <c r="Y671" i="10"/>
  <c r="Y673" i="10"/>
  <c r="Y674" i="10"/>
  <c r="Y675" i="10"/>
  <c r="Y677" i="10"/>
  <c r="Y678" i="10"/>
  <c r="Y679" i="10"/>
  <c r="Y681" i="10"/>
  <c r="Y682" i="10"/>
  <c r="Y683" i="10"/>
  <c r="Y685" i="10"/>
  <c r="Y688" i="10"/>
  <c r="Y689" i="10"/>
  <c r="Y692" i="10"/>
  <c r="Y693" i="10"/>
  <c r="Y694" i="10"/>
  <c r="Y696" i="10"/>
  <c r="Y697" i="10"/>
  <c r="Y698" i="10"/>
  <c r="Y701" i="10"/>
  <c r="Y702" i="10"/>
  <c r="Y703" i="10"/>
  <c r="Y707" i="10"/>
  <c r="Y708" i="10"/>
  <c r="Y709" i="10"/>
  <c r="Y712" i="10"/>
  <c r="Y713" i="10"/>
  <c r="Y714" i="10"/>
  <c r="Y715" i="10"/>
  <c r="Y719" i="10"/>
  <c r="Y720" i="10"/>
  <c r="Y721" i="10"/>
  <c r="Y726" i="10"/>
  <c r="Y729" i="10"/>
  <c r="Y730" i="10"/>
  <c r="Y731" i="10"/>
  <c r="Y732" i="10"/>
  <c r="Y733" i="10"/>
  <c r="Y734" i="10"/>
  <c r="Y735" i="10"/>
  <c r="Y738" i="10"/>
  <c r="Y743" i="10"/>
  <c r="Y744" i="10"/>
  <c r="Y746" i="10"/>
  <c r="Y748" i="10"/>
  <c r="Y749" i="10"/>
  <c r="Y750" i="10"/>
  <c r="Y751" i="10"/>
  <c r="Y752" i="10"/>
  <c r="Y754" i="10"/>
  <c r="Y756" i="10"/>
  <c r="Y757" i="10"/>
  <c r="Y763" i="10"/>
  <c r="Y764" i="10"/>
  <c r="Y765" i="10"/>
  <c r="Y766" i="10"/>
  <c r="Y768" i="10"/>
  <c r="Y769" i="10"/>
  <c r="Y770" i="10"/>
  <c r="Y771" i="10"/>
  <c r="Y772" i="10"/>
  <c r="Y773" i="10"/>
  <c r="Y778" i="10"/>
  <c r="Y780" i="10"/>
  <c r="Y785" i="10"/>
  <c r="Y786" i="10"/>
  <c r="Y787" i="10"/>
  <c r="Y788" i="10"/>
  <c r="Y790" i="10"/>
  <c r="Y792" i="10"/>
  <c r="Y794" i="10"/>
  <c r="Y799" i="10"/>
  <c r="Y800" i="10"/>
  <c r="Y806" i="10"/>
  <c r="Y807" i="10"/>
  <c r="Y809" i="10"/>
  <c r="Y810" i="10"/>
  <c r="Y812" i="10"/>
  <c r="Y814" i="10"/>
  <c r="Y815" i="10"/>
  <c r="Y816" i="10"/>
  <c r="Y817" i="10"/>
  <c r="Y818" i="10"/>
  <c r="Y820" i="10"/>
  <c r="Y822" i="10"/>
  <c r="Y826" i="10"/>
  <c r="Y827" i="10"/>
  <c r="Y828" i="10"/>
  <c r="Y829" i="10"/>
  <c r="Y831" i="10"/>
  <c r="Y832" i="10"/>
  <c r="Y833" i="10"/>
  <c r="Y837" i="10"/>
  <c r="Y839" i="10"/>
  <c r="Y841" i="10"/>
  <c r="Y843" i="10"/>
  <c r="Y844" i="10"/>
  <c r="Y845" i="10"/>
  <c r="Y851" i="10"/>
  <c r="Y852" i="10"/>
  <c r="Y854" i="10"/>
  <c r="Y855" i="10"/>
  <c r="Y857" i="10"/>
  <c r="Y858" i="10"/>
  <c r="Y863" i="10"/>
  <c r="Y864" i="10"/>
  <c r="Y865" i="10"/>
  <c r="Y866" i="10"/>
  <c r="Y867" i="10"/>
  <c r="Y870" i="10"/>
  <c r="Y871" i="10"/>
  <c r="Y873" i="10"/>
  <c r="Y874" i="10"/>
  <c r="Y880" i="10"/>
  <c r="Y881" i="10"/>
  <c r="Y883" i="10"/>
  <c r="Y886" i="10"/>
  <c r="Y889" i="10"/>
  <c r="Y890" i="10"/>
  <c r="Y893" i="10"/>
  <c r="Y894" i="10"/>
  <c r="Y896" i="10"/>
  <c r="Y898" i="10"/>
  <c r="Y905" i="10"/>
  <c r="Y907" i="10"/>
  <c r="Y909" i="10"/>
  <c r="Y911" i="10"/>
  <c r="Y918" i="10"/>
  <c r="Y923" i="10"/>
  <c r="Y925" i="10"/>
  <c r="Y926" i="10"/>
  <c r="Y927" i="10"/>
  <c r="Y932" i="10"/>
  <c r="Y939" i="10"/>
  <c r="Y940" i="10"/>
  <c r="Y941" i="10"/>
  <c r="Y943" i="10"/>
  <c r="Y944" i="10"/>
  <c r="Y946" i="10"/>
  <c r="Y947" i="10"/>
  <c r="Y948" i="10"/>
  <c r="Y951" i="10"/>
  <c r="Y952" i="10"/>
  <c r="Y953" i="10"/>
  <c r="Y956" i="10"/>
  <c r="Y958" i="10"/>
  <c r="Y959" i="10"/>
  <c r="Y961" i="10"/>
  <c r="Y965" i="10"/>
  <c r="Y966" i="10"/>
  <c r="Y967" i="10"/>
  <c r="Y969" i="10"/>
  <c r="Y972" i="10"/>
  <c r="Y973" i="10"/>
  <c r="Y974" i="10"/>
  <c r="Y977" i="10"/>
  <c r="Y979" i="10"/>
  <c r="Y981" i="10"/>
  <c r="Y982" i="10"/>
  <c r="Y983" i="10"/>
  <c r="Y984" i="10"/>
  <c r="Y985" i="10"/>
  <c r="Y986" i="10"/>
  <c r="Y987" i="10"/>
  <c r="Y992" i="10"/>
  <c r="Y998" i="10"/>
  <c r="Y999" i="10"/>
  <c r="Y1001" i="10"/>
  <c r="Y1002" i="10"/>
  <c r="Y1004" i="10"/>
  <c r="Y1005" i="10"/>
  <c r="Y1006" i="10"/>
  <c r="Y1008" i="10"/>
  <c r="Y1012" i="10"/>
  <c r="Y1014" i="10"/>
  <c r="Y1015" i="10"/>
  <c r="Y1017" i="10"/>
  <c r="Y1020" i="10"/>
  <c r="Y1021" i="10"/>
  <c r="Y1022" i="10"/>
  <c r="Y1023" i="10"/>
  <c r="Y1028" i="10"/>
  <c r="Y1029" i="10"/>
  <c r="Y1031" i="10"/>
  <c r="Y1034" i="10"/>
  <c r="Y1035" i="10"/>
  <c r="Y1036" i="10"/>
  <c r="Y1041" i="10"/>
  <c r="Y1042" i="10"/>
  <c r="Y1043" i="10"/>
  <c r="Y1045" i="10"/>
  <c r="Y1047" i="10"/>
  <c r="Y1048" i="10"/>
  <c r="Y1049" i="10"/>
  <c r="Y1050" i="10"/>
  <c r="Y1054" i="10"/>
  <c r="Y1056" i="10"/>
  <c r="Y1057" i="10"/>
  <c r="Y1061" i="10"/>
  <c r="Y1065" i="10"/>
  <c r="Y1067" i="10"/>
  <c r="Y1071" i="10"/>
  <c r="Y1072" i="10"/>
  <c r="Y1073" i="10"/>
  <c r="Y75" i="10"/>
  <c r="X78" i="10"/>
  <c r="X81" i="10"/>
  <c r="X83" i="10"/>
  <c r="X84" i="10"/>
  <c r="X85" i="10"/>
  <c r="X87" i="10"/>
  <c r="X88" i="10"/>
  <c r="X89" i="10"/>
  <c r="X90" i="10"/>
  <c r="X92" i="10"/>
  <c r="X93" i="10"/>
  <c r="X94" i="10"/>
  <c r="X95" i="10"/>
  <c r="X97" i="10"/>
  <c r="X98" i="10"/>
  <c r="X100" i="10"/>
  <c r="X101" i="10"/>
  <c r="X103" i="10"/>
  <c r="X105" i="10"/>
  <c r="X109" i="10"/>
  <c r="X110" i="10"/>
  <c r="X112" i="10"/>
  <c r="X116" i="10"/>
  <c r="X118" i="10"/>
  <c r="X119" i="10"/>
  <c r="X121" i="10"/>
  <c r="X122" i="10"/>
  <c r="X123" i="10"/>
  <c r="X125" i="10"/>
  <c r="X126" i="10"/>
  <c r="X130" i="10"/>
  <c r="X131" i="10"/>
  <c r="X132" i="10"/>
  <c r="X133" i="10"/>
  <c r="X134" i="10"/>
  <c r="X136" i="10"/>
  <c r="X139" i="10"/>
  <c r="X140" i="10"/>
  <c r="X143" i="10"/>
  <c r="X145" i="10"/>
  <c r="X147" i="10"/>
  <c r="X148" i="10"/>
  <c r="X150" i="10"/>
  <c r="X152" i="10"/>
  <c r="X155" i="10"/>
  <c r="X156" i="10"/>
  <c r="X157" i="10"/>
  <c r="X158" i="10"/>
  <c r="X162" i="10"/>
  <c r="X164" i="10"/>
  <c r="X171" i="10"/>
  <c r="X172" i="10"/>
  <c r="X174" i="10"/>
  <c r="X178" i="10"/>
  <c r="X181" i="10"/>
  <c r="X182" i="10"/>
  <c r="X184" i="10"/>
  <c r="X185" i="10"/>
  <c r="X188" i="10"/>
  <c r="X189" i="10"/>
  <c r="X190" i="10"/>
  <c r="X192" i="10"/>
  <c r="X193" i="10"/>
  <c r="X196" i="10"/>
  <c r="X198" i="10"/>
  <c r="X199" i="10"/>
  <c r="X200" i="10"/>
  <c r="X201" i="10"/>
  <c r="X203" i="10"/>
  <c r="X206" i="10"/>
  <c r="X210" i="10"/>
  <c r="X212" i="10"/>
  <c r="X213" i="10"/>
  <c r="X216" i="10"/>
  <c r="X218" i="10"/>
  <c r="X219" i="10"/>
  <c r="X221" i="10"/>
  <c r="X222" i="10"/>
  <c r="X226" i="10"/>
  <c r="X228" i="10"/>
  <c r="X229" i="10"/>
  <c r="X230" i="10"/>
  <c r="X231" i="10"/>
  <c r="X237" i="10"/>
  <c r="X238" i="10"/>
  <c r="X239" i="10"/>
  <c r="X242" i="10"/>
  <c r="X245" i="10"/>
  <c r="X252" i="10"/>
  <c r="X253" i="10"/>
  <c r="X254" i="10"/>
  <c r="X257" i="10"/>
  <c r="X258" i="10"/>
  <c r="X261" i="10"/>
  <c r="X265" i="10"/>
  <c r="X266" i="10"/>
  <c r="X267" i="10"/>
  <c r="X268" i="10"/>
  <c r="X271" i="10"/>
  <c r="X272" i="10"/>
  <c r="X273" i="10"/>
  <c r="X274" i="10"/>
  <c r="X284" i="10"/>
  <c r="X285" i="10"/>
  <c r="X287" i="10"/>
  <c r="X289" i="10"/>
  <c r="X290" i="10"/>
  <c r="X291" i="10"/>
  <c r="X293" i="10"/>
  <c r="X294" i="10"/>
  <c r="X296" i="10"/>
  <c r="X297" i="10"/>
  <c r="X298" i="10"/>
  <c r="X300" i="10"/>
  <c r="X301" i="10"/>
  <c r="X303" i="10"/>
  <c r="X305" i="10"/>
  <c r="X307" i="10"/>
  <c r="X312" i="10"/>
  <c r="X314" i="10"/>
  <c r="X315" i="10"/>
  <c r="X319" i="10"/>
  <c r="X320" i="10"/>
  <c r="X323" i="10"/>
  <c r="X324" i="10"/>
  <c r="X330" i="10"/>
  <c r="X331" i="10"/>
  <c r="X332" i="10"/>
  <c r="X333" i="10"/>
  <c r="X334" i="10"/>
  <c r="X337" i="10"/>
  <c r="X338" i="10"/>
  <c r="X339" i="10"/>
  <c r="X341" i="10"/>
  <c r="X342" i="10"/>
  <c r="X344" i="10"/>
  <c r="X345" i="10"/>
  <c r="X346" i="10"/>
  <c r="X352" i="10"/>
  <c r="X353" i="10"/>
  <c r="X354" i="10"/>
  <c r="X355" i="10"/>
  <c r="X357" i="10"/>
  <c r="X358" i="10"/>
  <c r="X359" i="10"/>
  <c r="X363" i="10"/>
  <c r="X368" i="10"/>
  <c r="X371" i="10"/>
  <c r="X374" i="10"/>
  <c r="X376" i="10"/>
  <c r="X377" i="10"/>
  <c r="X379" i="10"/>
  <c r="X381" i="10"/>
  <c r="X383" i="10"/>
  <c r="X385" i="10"/>
  <c r="X386" i="10"/>
  <c r="X388" i="10"/>
  <c r="X389" i="10"/>
  <c r="X390" i="10"/>
  <c r="X391" i="10"/>
  <c r="X392" i="10"/>
  <c r="X393" i="10"/>
  <c r="X394" i="10"/>
  <c r="X395" i="10"/>
  <c r="X398" i="10"/>
  <c r="X401" i="10"/>
  <c r="X402" i="10"/>
  <c r="X406" i="10"/>
  <c r="X411" i="10"/>
  <c r="X412" i="10"/>
  <c r="X414" i="10"/>
  <c r="X417" i="10"/>
  <c r="X418" i="10"/>
  <c r="X419" i="10"/>
  <c r="X423" i="10"/>
  <c r="X428" i="10"/>
  <c r="X429" i="10"/>
  <c r="X431" i="10"/>
  <c r="X433" i="10"/>
  <c r="X435" i="10"/>
  <c r="X436" i="10"/>
  <c r="X439" i="10"/>
  <c r="X440" i="10"/>
  <c r="X441" i="10"/>
  <c r="X442" i="10"/>
  <c r="X443" i="10"/>
  <c r="X444" i="10"/>
  <c r="X445" i="10"/>
  <c r="X449" i="10"/>
  <c r="X450" i="10"/>
  <c r="X452" i="10"/>
  <c r="X454" i="10"/>
  <c r="X455" i="10"/>
  <c r="X456" i="10"/>
  <c r="X457" i="10"/>
  <c r="X458" i="10"/>
  <c r="X460" i="10"/>
  <c r="X461" i="10"/>
  <c r="X463" i="10"/>
  <c r="X464" i="10"/>
  <c r="X465" i="10"/>
  <c r="X466" i="10"/>
  <c r="X467" i="10"/>
  <c r="X471" i="10"/>
  <c r="X474" i="10"/>
  <c r="X475" i="10"/>
  <c r="X477" i="10"/>
  <c r="X481" i="10"/>
  <c r="X483" i="10"/>
  <c r="X485" i="10"/>
  <c r="X486" i="10"/>
  <c r="X487" i="10"/>
  <c r="X488" i="10"/>
  <c r="X490" i="10"/>
  <c r="X491" i="10"/>
  <c r="X493" i="10"/>
  <c r="X494" i="10"/>
  <c r="X497" i="10"/>
  <c r="X500" i="10"/>
  <c r="X503" i="10"/>
  <c r="X504" i="10"/>
  <c r="X505" i="10"/>
  <c r="X508" i="10"/>
  <c r="X509" i="10"/>
  <c r="X511" i="10"/>
  <c r="X513" i="10"/>
  <c r="X514" i="10"/>
  <c r="X515" i="10"/>
  <c r="X517" i="10"/>
  <c r="X518" i="10"/>
  <c r="X520" i="10"/>
  <c r="X521" i="10"/>
  <c r="X523" i="10"/>
  <c r="X524" i="10"/>
  <c r="X526" i="10"/>
  <c r="X527" i="10"/>
  <c r="X529" i="10"/>
  <c r="X532" i="10"/>
  <c r="X534" i="10"/>
  <c r="X536" i="10"/>
  <c r="X537" i="10"/>
  <c r="X542" i="10"/>
  <c r="X544" i="10"/>
  <c r="X545" i="10"/>
  <c r="X546" i="10"/>
  <c r="X549" i="10"/>
  <c r="X550" i="10"/>
  <c r="X553" i="10"/>
  <c r="X554" i="10"/>
  <c r="X556" i="10"/>
  <c r="X557" i="10"/>
  <c r="X559" i="10"/>
  <c r="X560" i="10"/>
  <c r="X561" i="10"/>
  <c r="X565" i="10"/>
  <c r="X568" i="10"/>
  <c r="X571" i="10"/>
  <c r="X572" i="10"/>
  <c r="X573" i="10"/>
  <c r="X574" i="10"/>
  <c r="X577" i="10"/>
  <c r="X579" i="10"/>
  <c r="X580" i="10"/>
  <c r="X581" i="10"/>
  <c r="X582" i="10"/>
  <c r="X584" i="10"/>
  <c r="X586" i="10"/>
  <c r="X589" i="10"/>
  <c r="X590" i="10"/>
  <c r="X595" i="10"/>
  <c r="X596" i="10"/>
  <c r="X597" i="10"/>
  <c r="X598" i="10"/>
  <c r="X600" i="10"/>
  <c r="X601" i="10"/>
  <c r="X605" i="10"/>
  <c r="X608" i="10"/>
  <c r="X610" i="10"/>
  <c r="X613" i="10"/>
  <c r="X614" i="10"/>
  <c r="X615" i="10"/>
  <c r="X619" i="10"/>
  <c r="X620" i="10"/>
  <c r="X622" i="10"/>
  <c r="X624" i="10"/>
  <c r="X625" i="10"/>
  <c r="X626" i="10"/>
  <c r="X629" i="10"/>
  <c r="X630" i="10"/>
  <c r="X631" i="10"/>
  <c r="X632" i="10"/>
  <c r="X633" i="10"/>
  <c r="X634" i="10"/>
  <c r="X639" i="10"/>
  <c r="X640" i="10"/>
  <c r="X641" i="10"/>
  <c r="X643" i="10"/>
  <c r="X644" i="10"/>
  <c r="X645" i="10"/>
  <c r="X646" i="10"/>
  <c r="X653" i="10"/>
  <c r="X655" i="10"/>
  <c r="X658" i="10"/>
  <c r="X660" i="10"/>
  <c r="X662" i="10"/>
  <c r="X665" i="10"/>
  <c r="X666" i="10"/>
  <c r="X667" i="10"/>
  <c r="X669" i="10"/>
  <c r="X671" i="10"/>
  <c r="X673" i="10"/>
  <c r="X674" i="10"/>
  <c r="X675" i="10"/>
  <c r="X677" i="10"/>
  <c r="X678" i="10"/>
  <c r="X679" i="10"/>
  <c r="X681" i="10"/>
  <c r="X682" i="10"/>
  <c r="X683" i="10"/>
  <c r="X685" i="10"/>
  <c r="X688" i="10"/>
  <c r="X689" i="10"/>
  <c r="X692" i="10"/>
  <c r="X693" i="10"/>
  <c r="X694" i="10"/>
  <c r="X696" i="10"/>
  <c r="X697" i="10"/>
  <c r="X698" i="10"/>
  <c r="X701" i="10"/>
  <c r="X702" i="10"/>
  <c r="X703" i="10"/>
  <c r="X707" i="10"/>
  <c r="X708" i="10"/>
  <c r="X709" i="10"/>
  <c r="X712" i="10"/>
  <c r="X713" i="10"/>
  <c r="X714" i="10"/>
  <c r="X715" i="10"/>
  <c r="X719" i="10"/>
  <c r="X720" i="10"/>
  <c r="X721" i="10"/>
  <c r="X726" i="10"/>
  <c r="X729" i="10"/>
  <c r="X730" i="10"/>
  <c r="X731" i="10"/>
  <c r="X732" i="10"/>
  <c r="X733" i="10"/>
  <c r="X734" i="10"/>
  <c r="X735" i="10"/>
  <c r="X738" i="10"/>
  <c r="X743" i="10"/>
  <c r="X744" i="10"/>
  <c r="X746" i="10"/>
  <c r="X748" i="10"/>
  <c r="X749" i="10"/>
  <c r="X750" i="10"/>
  <c r="X751" i="10"/>
  <c r="X752" i="10"/>
  <c r="X754" i="10"/>
  <c r="X756" i="10"/>
  <c r="X757" i="10"/>
  <c r="X763" i="10"/>
  <c r="X764" i="10"/>
  <c r="X765" i="10"/>
  <c r="X766" i="10"/>
  <c r="X768" i="10"/>
  <c r="X769" i="10"/>
  <c r="X770" i="10"/>
  <c r="X771" i="10"/>
  <c r="X772" i="10"/>
  <c r="X773" i="10"/>
  <c r="X778" i="10"/>
  <c r="X780" i="10"/>
  <c r="X785" i="10"/>
  <c r="X786" i="10"/>
  <c r="X787" i="10"/>
  <c r="X788" i="10"/>
  <c r="X790" i="10"/>
  <c r="X792" i="10"/>
  <c r="X794" i="10"/>
  <c r="X799" i="10"/>
  <c r="X800" i="10"/>
  <c r="X806" i="10"/>
  <c r="X807" i="10"/>
  <c r="X809" i="10"/>
  <c r="X810" i="10"/>
  <c r="X812" i="10"/>
  <c r="X814" i="10"/>
  <c r="X815" i="10"/>
  <c r="X816" i="10"/>
  <c r="X817" i="10"/>
  <c r="X818" i="10"/>
  <c r="X820" i="10"/>
  <c r="X822" i="10"/>
  <c r="X826" i="10"/>
  <c r="X827" i="10"/>
  <c r="X828" i="10"/>
  <c r="X829" i="10"/>
  <c r="X831" i="10"/>
  <c r="X832" i="10"/>
  <c r="X833" i="10"/>
  <c r="X837" i="10"/>
  <c r="X839" i="10"/>
  <c r="X841" i="10"/>
  <c r="X843" i="10"/>
  <c r="X844" i="10"/>
  <c r="X845" i="10"/>
  <c r="X851" i="10"/>
  <c r="X852" i="10"/>
  <c r="X854" i="10"/>
  <c r="X855" i="10"/>
  <c r="X857" i="10"/>
  <c r="X858" i="10"/>
  <c r="X863" i="10"/>
  <c r="X864" i="10"/>
  <c r="X865" i="10"/>
  <c r="X866" i="10"/>
  <c r="X867" i="10"/>
  <c r="X870" i="10"/>
  <c r="X871" i="10"/>
  <c r="X873" i="10"/>
  <c r="X874" i="10"/>
  <c r="X880" i="10"/>
  <c r="X881" i="10"/>
  <c r="X883" i="10"/>
  <c r="X886" i="10"/>
  <c r="X889" i="10"/>
  <c r="X890" i="10"/>
  <c r="X893" i="10"/>
  <c r="X894" i="10"/>
  <c r="X896" i="10"/>
  <c r="X898" i="10"/>
  <c r="X905" i="10"/>
  <c r="X907" i="10"/>
  <c r="X909" i="10"/>
  <c r="X911" i="10"/>
  <c r="X918" i="10"/>
  <c r="X923" i="10"/>
  <c r="X925" i="10"/>
  <c r="X926" i="10"/>
  <c r="X927" i="10"/>
  <c r="X932" i="10"/>
  <c r="X939" i="10"/>
  <c r="X940" i="10"/>
  <c r="X941" i="10"/>
  <c r="X943" i="10"/>
  <c r="X944" i="10"/>
  <c r="X946" i="10"/>
  <c r="X947" i="10"/>
  <c r="X948" i="10"/>
  <c r="X951" i="10"/>
  <c r="X952" i="10"/>
  <c r="X953" i="10"/>
  <c r="X956" i="10"/>
  <c r="X958" i="10"/>
  <c r="X959" i="10"/>
  <c r="X961" i="10"/>
  <c r="X965" i="10"/>
  <c r="X966" i="10"/>
  <c r="X967" i="10"/>
  <c r="X969" i="10"/>
  <c r="X972" i="10"/>
  <c r="X973" i="10"/>
  <c r="X974" i="10"/>
  <c r="X977" i="10"/>
  <c r="X979" i="10"/>
  <c r="X981" i="10"/>
  <c r="X982" i="10"/>
  <c r="X983" i="10"/>
  <c r="X984" i="10"/>
  <c r="X985" i="10"/>
  <c r="X986" i="10"/>
  <c r="X987" i="10"/>
  <c r="X992" i="10"/>
  <c r="X998" i="10"/>
  <c r="X999" i="10"/>
  <c r="X1001" i="10"/>
  <c r="X1002" i="10"/>
  <c r="X1004" i="10"/>
  <c r="X1005" i="10"/>
  <c r="X1006" i="10"/>
  <c r="X1008" i="10"/>
  <c r="X1012" i="10"/>
  <c r="X1014" i="10"/>
  <c r="X1015" i="10"/>
  <c r="X1017" i="10"/>
  <c r="X1020" i="10"/>
  <c r="X1021" i="10"/>
  <c r="X1022" i="10"/>
  <c r="X1023" i="10"/>
  <c r="X1028" i="10"/>
  <c r="X1029" i="10"/>
  <c r="X1031" i="10"/>
  <c r="X1034" i="10"/>
  <c r="X1035" i="10"/>
  <c r="X1036" i="10"/>
  <c r="X1041" i="10"/>
  <c r="X1042" i="10"/>
  <c r="X1043" i="10"/>
  <c r="X1045" i="10"/>
  <c r="X1047" i="10"/>
  <c r="X1048" i="10"/>
  <c r="X1049" i="10"/>
  <c r="X1050" i="10"/>
  <c r="X1054" i="10"/>
  <c r="X1056" i="10"/>
  <c r="X1057" i="10"/>
  <c r="X1061" i="10"/>
  <c r="X1065" i="10"/>
  <c r="X1067" i="10"/>
  <c r="X1071" i="10"/>
  <c r="X1072" i="10"/>
  <c r="X1073" i="10"/>
  <c r="X1074" i="10"/>
  <c r="X75" i="10"/>
  <c r="W78" i="10"/>
  <c r="W81" i="10"/>
  <c r="W83" i="10"/>
  <c r="W84" i="10"/>
  <c r="W85" i="10"/>
  <c r="W87" i="10"/>
  <c r="W88" i="10"/>
  <c r="W89" i="10"/>
  <c r="W90" i="10"/>
  <c r="W92" i="10"/>
  <c r="W93" i="10"/>
  <c r="W94" i="10"/>
  <c r="W95" i="10"/>
  <c r="W97" i="10"/>
  <c r="W98" i="10"/>
  <c r="W100" i="10"/>
  <c r="W101" i="10"/>
  <c r="W103" i="10"/>
  <c r="W105" i="10"/>
  <c r="W109" i="10"/>
  <c r="W110" i="10"/>
  <c r="W112" i="10"/>
  <c r="W116" i="10"/>
  <c r="W118" i="10"/>
  <c r="W119" i="10"/>
  <c r="W121" i="10"/>
  <c r="W122" i="10"/>
  <c r="W123" i="10"/>
  <c r="W125" i="10"/>
  <c r="W126" i="10"/>
  <c r="W130" i="10"/>
  <c r="W131" i="10"/>
  <c r="W132" i="10"/>
  <c r="W133" i="10"/>
  <c r="W134" i="10"/>
  <c r="W136" i="10"/>
  <c r="W139" i="10"/>
  <c r="W140" i="10"/>
  <c r="W143" i="10"/>
  <c r="W145" i="10"/>
  <c r="W147" i="10"/>
  <c r="W148" i="10"/>
  <c r="W150" i="10"/>
  <c r="W152" i="10"/>
  <c r="W155" i="10"/>
  <c r="W156" i="10"/>
  <c r="W157" i="10"/>
  <c r="W158" i="10"/>
  <c r="W162" i="10"/>
  <c r="W164" i="10"/>
  <c r="W171" i="10"/>
  <c r="W172" i="10"/>
  <c r="W174" i="10"/>
  <c r="W178" i="10"/>
  <c r="W181" i="10"/>
  <c r="W182" i="10"/>
  <c r="W184" i="10"/>
  <c r="W185" i="10"/>
  <c r="W188" i="10"/>
  <c r="W189" i="10"/>
  <c r="W190" i="10"/>
  <c r="W192" i="10"/>
  <c r="W193" i="10"/>
  <c r="W196" i="10"/>
  <c r="W198" i="10"/>
  <c r="W199" i="10"/>
  <c r="W200" i="10"/>
  <c r="W201" i="10"/>
  <c r="W203" i="10"/>
  <c r="W206" i="10"/>
  <c r="W210" i="10"/>
  <c r="W212" i="10"/>
  <c r="W213" i="10"/>
  <c r="W216" i="10"/>
  <c r="W218" i="10"/>
  <c r="W219" i="10"/>
  <c r="W221" i="10"/>
  <c r="W222" i="10"/>
  <c r="W226" i="10"/>
  <c r="W228" i="10"/>
  <c r="W229" i="10"/>
  <c r="W230" i="10"/>
  <c r="W231" i="10"/>
  <c r="W234" i="10"/>
  <c r="W237" i="10"/>
  <c r="W238" i="10"/>
  <c r="W239" i="10"/>
  <c r="W242" i="10"/>
  <c r="W245" i="10"/>
  <c r="W252" i="10"/>
  <c r="W253" i="10"/>
  <c r="W254" i="10"/>
  <c r="W257" i="10"/>
  <c r="W258" i="10"/>
  <c r="W261" i="10"/>
  <c r="W265" i="10"/>
  <c r="W266" i="10"/>
  <c r="W267" i="10"/>
  <c r="W268" i="10"/>
  <c r="W271" i="10"/>
  <c r="W272" i="10"/>
  <c r="W273" i="10"/>
  <c r="W274" i="10"/>
  <c r="W284" i="10"/>
  <c r="W285" i="10"/>
  <c r="W287" i="10"/>
  <c r="W289" i="10"/>
  <c r="W290" i="10"/>
  <c r="W291" i="10"/>
  <c r="W293" i="10"/>
  <c r="W294" i="10"/>
  <c r="W296" i="10"/>
  <c r="W297" i="10"/>
  <c r="W298" i="10"/>
  <c r="W300" i="10"/>
  <c r="W301" i="10"/>
  <c r="W303" i="10"/>
  <c r="W305" i="10"/>
  <c r="W307" i="10"/>
  <c r="W312" i="10"/>
  <c r="W314" i="10"/>
  <c r="W315" i="10"/>
  <c r="W319" i="10"/>
  <c r="W320" i="10"/>
  <c r="W323" i="10"/>
  <c r="W324" i="10"/>
  <c r="W330" i="10"/>
  <c r="W331" i="10"/>
  <c r="W332" i="10"/>
  <c r="W333" i="10"/>
  <c r="W334" i="10"/>
  <c r="W337" i="10"/>
  <c r="W338" i="10"/>
  <c r="W339" i="10"/>
  <c r="W341" i="10"/>
  <c r="W342" i="10"/>
  <c r="W344" i="10"/>
  <c r="W345" i="10"/>
  <c r="W346" i="10"/>
  <c r="W352" i="10"/>
  <c r="W353" i="10"/>
  <c r="W354" i="10"/>
  <c r="W355" i="10"/>
  <c r="W357" i="10"/>
  <c r="W358" i="10"/>
  <c r="W359" i="10"/>
  <c r="W363" i="10"/>
  <c r="W368" i="10"/>
  <c r="W371" i="10"/>
  <c r="W374" i="10"/>
  <c r="W376" i="10"/>
  <c r="W377" i="10"/>
  <c r="W379" i="10"/>
  <c r="W381" i="10"/>
  <c r="W383" i="10"/>
  <c r="W385" i="10"/>
  <c r="W386" i="10"/>
  <c r="W388" i="10"/>
  <c r="W389" i="10"/>
  <c r="W390" i="10"/>
  <c r="W391" i="10"/>
  <c r="W392" i="10"/>
  <c r="W393" i="10"/>
  <c r="W394" i="10"/>
  <c r="W395" i="10"/>
  <c r="W398" i="10"/>
  <c r="W401" i="10"/>
  <c r="W402" i="10"/>
  <c r="W406" i="10"/>
  <c r="W411" i="10"/>
  <c r="W412" i="10"/>
  <c r="W414" i="10"/>
  <c r="W417" i="10"/>
  <c r="W418" i="10"/>
  <c r="W419" i="10"/>
  <c r="W423" i="10"/>
  <c r="W428" i="10"/>
  <c r="W429" i="10"/>
  <c r="W431" i="10"/>
  <c r="W433" i="10"/>
  <c r="W435" i="10"/>
  <c r="W436" i="10"/>
  <c r="W439" i="10"/>
  <c r="W440" i="10"/>
  <c r="W441" i="10"/>
  <c r="W442" i="10"/>
  <c r="W443" i="10"/>
  <c r="W444" i="10"/>
  <c r="W445" i="10"/>
  <c r="W449" i="10"/>
  <c r="W450" i="10"/>
  <c r="W452" i="10"/>
  <c r="W454" i="10"/>
  <c r="W455" i="10"/>
  <c r="W456" i="10"/>
  <c r="W457" i="10"/>
  <c r="W458" i="10"/>
  <c r="W460" i="10"/>
  <c r="W461" i="10"/>
  <c r="W463" i="10"/>
  <c r="W464" i="10"/>
  <c r="W465" i="10"/>
  <c r="W466" i="10"/>
  <c r="W467" i="10"/>
  <c r="W471" i="10"/>
  <c r="W474" i="10"/>
  <c r="W475" i="10"/>
  <c r="W477" i="10"/>
  <c r="W481" i="10"/>
  <c r="W483" i="10"/>
  <c r="W485" i="10"/>
  <c r="W486" i="10"/>
  <c r="W487" i="10"/>
  <c r="W488" i="10"/>
  <c r="W490" i="10"/>
  <c r="W491" i="10"/>
  <c r="W493" i="10"/>
  <c r="W494" i="10"/>
  <c r="W497" i="10"/>
  <c r="W500" i="10"/>
  <c r="W503" i="10"/>
  <c r="W504" i="10"/>
  <c r="W505" i="10"/>
  <c r="W508" i="10"/>
  <c r="W509" i="10"/>
  <c r="W511" i="10"/>
  <c r="W513" i="10"/>
  <c r="W514" i="10"/>
  <c r="W515" i="10"/>
  <c r="W517" i="10"/>
  <c r="W518" i="10"/>
  <c r="W520" i="10"/>
  <c r="W521" i="10"/>
  <c r="W523" i="10"/>
  <c r="W524" i="10"/>
  <c r="W526" i="10"/>
  <c r="W527" i="10"/>
  <c r="W529" i="10"/>
  <c r="W532" i="10"/>
  <c r="W534" i="10"/>
  <c r="W536" i="10"/>
  <c r="W537" i="10"/>
  <c r="W542" i="10"/>
  <c r="W544" i="10"/>
  <c r="W545" i="10"/>
  <c r="W549" i="10"/>
  <c r="W550" i="10"/>
  <c r="W553" i="10"/>
  <c r="W554" i="10"/>
  <c r="W556" i="10"/>
  <c r="W557" i="10"/>
  <c r="W559" i="10"/>
  <c r="W560" i="10"/>
  <c r="W561" i="10"/>
  <c r="W565" i="10"/>
  <c r="W568" i="10"/>
  <c r="W571" i="10"/>
  <c r="W572" i="10"/>
  <c r="W573" i="10"/>
  <c r="W574" i="10"/>
  <c r="W577" i="10"/>
  <c r="W579" i="10"/>
  <c r="W580" i="10"/>
  <c r="W581" i="10"/>
  <c r="W582" i="10"/>
  <c r="W584" i="10"/>
  <c r="W586" i="10"/>
  <c r="W589" i="10"/>
  <c r="W590" i="10"/>
  <c r="W595" i="10"/>
  <c r="W596" i="10"/>
  <c r="W597" i="10"/>
  <c r="W598" i="10"/>
  <c r="W600" i="10"/>
  <c r="W601" i="10"/>
  <c r="W605" i="10"/>
  <c r="W608" i="10"/>
  <c r="W610" i="10"/>
  <c r="W613" i="10"/>
  <c r="W614" i="10"/>
  <c r="W615" i="10"/>
  <c r="W620" i="10"/>
  <c r="W622" i="10"/>
  <c r="W624" i="10"/>
  <c r="W625" i="10"/>
  <c r="W626" i="10"/>
  <c r="W629" i="10"/>
  <c r="W630" i="10"/>
  <c r="W631" i="10"/>
  <c r="W632" i="10"/>
  <c r="W633" i="10"/>
  <c r="W634" i="10"/>
  <c r="W639" i="10"/>
  <c r="W640" i="10"/>
  <c r="W641" i="10"/>
  <c r="W643" i="10"/>
  <c r="W644" i="10"/>
  <c r="W645" i="10"/>
  <c r="W646" i="10"/>
  <c r="W653" i="10"/>
  <c r="W655" i="10"/>
  <c r="W658" i="10"/>
  <c r="W660" i="10"/>
  <c r="W662" i="10"/>
  <c r="W665" i="10"/>
  <c r="W666" i="10"/>
  <c r="W667" i="10"/>
  <c r="W669" i="10"/>
  <c r="W671" i="10"/>
  <c r="W672" i="10"/>
  <c r="W673" i="10"/>
  <c r="W674" i="10"/>
  <c r="W675" i="10"/>
  <c r="W677" i="10"/>
  <c r="W678" i="10"/>
  <c r="W679" i="10"/>
  <c r="W681" i="10"/>
  <c r="W682" i="10"/>
  <c r="W683" i="10"/>
  <c r="W685" i="10"/>
  <c r="W688" i="10"/>
  <c r="W689" i="10"/>
  <c r="W692" i="10"/>
  <c r="W693" i="10"/>
  <c r="W694" i="10"/>
  <c r="W696" i="10"/>
  <c r="W697" i="10"/>
  <c r="W698" i="10"/>
  <c r="W701" i="10"/>
  <c r="W702" i="10"/>
  <c r="W703" i="10"/>
  <c r="W707" i="10"/>
  <c r="W708" i="10"/>
  <c r="W709" i="10"/>
  <c r="W712" i="10"/>
  <c r="W713" i="10"/>
  <c r="W714" i="10"/>
  <c r="W715" i="10"/>
  <c r="W719" i="10"/>
  <c r="W720" i="10"/>
  <c r="W721" i="10"/>
  <c r="W726" i="10"/>
  <c r="W729" i="10"/>
  <c r="W730" i="10"/>
  <c r="W731" i="10"/>
  <c r="W732" i="10"/>
  <c r="W733" i="10"/>
  <c r="W734" i="10"/>
  <c r="W735" i="10"/>
  <c r="W738" i="10"/>
  <c r="W743" i="10"/>
  <c r="W744" i="10"/>
  <c r="W746" i="10"/>
  <c r="W748" i="10"/>
  <c r="W749" i="10"/>
  <c r="W750" i="10"/>
  <c r="W751" i="10"/>
  <c r="W752" i="10"/>
  <c r="W754" i="10"/>
  <c r="W756" i="10"/>
  <c r="W757" i="10"/>
  <c r="W763" i="10"/>
  <c r="W764" i="10"/>
  <c r="W765" i="10"/>
  <c r="W766" i="10"/>
  <c r="W768" i="10"/>
  <c r="W769" i="10"/>
  <c r="W770" i="10"/>
  <c r="W771" i="10"/>
  <c r="W772" i="10"/>
  <c r="W773" i="10"/>
  <c r="W778" i="10"/>
  <c r="W780" i="10"/>
  <c r="W785" i="10"/>
  <c r="W786" i="10"/>
  <c r="W787" i="10"/>
  <c r="W788" i="10"/>
  <c r="W790" i="10"/>
  <c r="W792" i="10"/>
  <c r="W794" i="10"/>
  <c r="W799" i="10"/>
  <c r="W800" i="10"/>
  <c r="W806" i="10"/>
  <c r="W807" i="10"/>
  <c r="W809" i="10"/>
  <c r="W810" i="10"/>
  <c r="W812" i="10"/>
  <c r="W814" i="10"/>
  <c r="W815" i="10"/>
  <c r="W816" i="10"/>
  <c r="W817" i="10"/>
  <c r="W818" i="10"/>
  <c r="W820" i="10"/>
  <c r="W822" i="10"/>
  <c r="W826" i="10"/>
  <c r="W827" i="10"/>
  <c r="W828" i="10"/>
  <c r="W829" i="10"/>
  <c r="W831" i="10"/>
  <c r="W832" i="10"/>
  <c r="W833" i="10"/>
  <c r="W837" i="10"/>
  <c r="W839" i="10"/>
  <c r="W841" i="10"/>
  <c r="W843" i="10"/>
  <c r="W844" i="10"/>
  <c r="W845" i="10"/>
  <c r="W851" i="10"/>
  <c r="W852" i="10"/>
  <c r="W854" i="10"/>
  <c r="W855" i="10"/>
  <c r="W857" i="10"/>
  <c r="W858" i="10"/>
  <c r="W861" i="10"/>
  <c r="W863" i="10"/>
  <c r="W864" i="10"/>
  <c r="W865" i="10"/>
  <c r="W866" i="10"/>
  <c r="W867" i="10"/>
  <c r="W870" i="10"/>
  <c r="W871" i="10"/>
  <c r="W873" i="10"/>
  <c r="W874" i="10"/>
  <c r="W880" i="10"/>
  <c r="W881" i="10"/>
  <c r="W883" i="10"/>
  <c r="W886" i="10"/>
  <c r="W889" i="10"/>
  <c r="W890" i="10"/>
  <c r="W893" i="10"/>
  <c r="W894" i="10"/>
  <c r="W896" i="10"/>
  <c r="W898" i="10"/>
  <c r="W905" i="10"/>
  <c r="W907" i="10"/>
  <c r="W909" i="10"/>
  <c r="W911" i="10"/>
  <c r="W918" i="10"/>
  <c r="W919" i="10"/>
  <c r="W923" i="10"/>
  <c r="W925" i="10"/>
  <c r="W926" i="10"/>
  <c r="W927" i="10"/>
  <c r="W932" i="10"/>
  <c r="W939" i="10"/>
  <c r="W940" i="10"/>
  <c r="W941" i="10"/>
  <c r="W943" i="10"/>
  <c r="W944" i="10"/>
  <c r="W946" i="10"/>
  <c r="W947" i="10"/>
  <c r="W948" i="10"/>
  <c r="W951" i="10"/>
  <c r="W952" i="10"/>
  <c r="W953" i="10"/>
  <c r="W956" i="10"/>
  <c r="W958" i="10"/>
  <c r="W959" i="10"/>
  <c r="W961" i="10"/>
  <c r="W965" i="10"/>
  <c r="W966" i="10"/>
  <c r="W967" i="10"/>
  <c r="W969" i="10"/>
  <c r="W972" i="10"/>
  <c r="W973" i="10"/>
  <c r="W974" i="10"/>
  <c r="W977" i="10"/>
  <c r="W979" i="10"/>
  <c r="W981" i="10"/>
  <c r="W982" i="10"/>
  <c r="W983" i="10"/>
  <c r="W984" i="10"/>
  <c r="W985" i="10"/>
  <c r="W986" i="10"/>
  <c r="W987" i="10"/>
  <c r="W992" i="10"/>
  <c r="W998" i="10"/>
  <c r="W999" i="10"/>
  <c r="W1001" i="10"/>
  <c r="W1002" i="10"/>
  <c r="W1004" i="10"/>
  <c r="W1005" i="10"/>
  <c r="W1006" i="10"/>
  <c r="W1008" i="10"/>
  <c r="W1012" i="10"/>
  <c r="W1014" i="10"/>
  <c r="W1015" i="10"/>
  <c r="W1017" i="10"/>
  <c r="W1020" i="10"/>
  <c r="W1021" i="10"/>
  <c r="W1022" i="10"/>
  <c r="W1023" i="10"/>
  <c r="W1028" i="10"/>
  <c r="W1029" i="10"/>
  <c r="W1031" i="10"/>
  <c r="W1034" i="10"/>
  <c r="W1035" i="10"/>
  <c r="W1036" i="10"/>
  <c r="W1041" i="10"/>
  <c r="W1042" i="10"/>
  <c r="W1043" i="10"/>
  <c r="W1045" i="10"/>
  <c r="W1047" i="10"/>
  <c r="W1048" i="10"/>
  <c r="W1049" i="10"/>
  <c r="W1050" i="10"/>
  <c r="W1054" i="10"/>
  <c r="W1056" i="10"/>
  <c r="W1057" i="10"/>
  <c r="W1061" i="10"/>
  <c r="W1065" i="10"/>
  <c r="W1067" i="10"/>
  <c r="W1071" i="10"/>
  <c r="W1072" i="10"/>
  <c r="W1073" i="10"/>
  <c r="W75" i="10"/>
  <c r="V78" i="10"/>
  <c r="V81" i="10"/>
  <c r="V83" i="10"/>
  <c r="V84" i="10"/>
  <c r="V85" i="10"/>
  <c r="V87" i="10"/>
  <c r="V88" i="10"/>
  <c r="V89" i="10"/>
  <c r="V90" i="10"/>
  <c r="V92" i="10"/>
  <c r="V93" i="10"/>
  <c r="V94" i="10"/>
  <c r="V95" i="10"/>
  <c r="V96" i="10"/>
  <c r="V97" i="10"/>
  <c r="V98" i="10"/>
  <c r="V100" i="10"/>
  <c r="V101" i="10"/>
  <c r="V103" i="10"/>
  <c r="V105" i="10"/>
  <c r="V109" i="10"/>
  <c r="V110" i="10"/>
  <c r="V112" i="10"/>
  <c r="V116" i="10"/>
  <c r="V118" i="10"/>
  <c r="V119" i="10"/>
  <c r="V121" i="10"/>
  <c r="V122" i="10"/>
  <c r="V123" i="10"/>
  <c r="V125" i="10"/>
  <c r="V126" i="10"/>
  <c r="V130" i="10"/>
  <c r="V131" i="10"/>
  <c r="V132" i="10"/>
  <c r="V133" i="10"/>
  <c r="V134" i="10"/>
  <c r="V136" i="10"/>
  <c r="V139" i="10"/>
  <c r="V140" i="10"/>
  <c r="V143" i="10"/>
  <c r="V145" i="10"/>
  <c r="V147" i="10"/>
  <c r="V148" i="10"/>
  <c r="V150" i="10"/>
  <c r="V152" i="10"/>
  <c r="V155" i="10"/>
  <c r="V156" i="10"/>
  <c r="V157" i="10"/>
  <c r="V158" i="10"/>
  <c r="V162" i="10"/>
  <c r="V164" i="10"/>
  <c r="V165" i="10"/>
  <c r="V171" i="10"/>
  <c r="V172" i="10"/>
  <c r="V174" i="10"/>
  <c r="V178" i="10"/>
  <c r="V181" i="10"/>
  <c r="V182" i="10"/>
  <c r="V184" i="10"/>
  <c r="V185" i="10"/>
  <c r="V188" i="10"/>
  <c r="V189" i="10"/>
  <c r="V190" i="10"/>
  <c r="V192" i="10"/>
  <c r="V193" i="10"/>
  <c r="V196" i="10"/>
  <c r="V198" i="10"/>
  <c r="V199" i="10"/>
  <c r="V200" i="10"/>
  <c r="V201" i="10"/>
  <c r="V203" i="10"/>
  <c r="V206" i="10"/>
  <c r="V210" i="10"/>
  <c r="V212" i="10"/>
  <c r="V213" i="10"/>
  <c r="V214" i="10"/>
  <c r="V216" i="10"/>
  <c r="V218" i="10"/>
  <c r="V219" i="10"/>
  <c r="V221" i="10"/>
  <c r="V222" i="10"/>
  <c r="V226" i="10"/>
  <c r="V228" i="10"/>
  <c r="V229" i="10"/>
  <c r="V230" i="10"/>
  <c r="V231" i="10"/>
  <c r="V237" i="10"/>
  <c r="V238" i="10"/>
  <c r="V239" i="10"/>
  <c r="V242" i="10"/>
  <c r="V245" i="10"/>
  <c r="V252" i="10"/>
  <c r="V253" i="10"/>
  <c r="V254" i="10"/>
  <c r="V257" i="10"/>
  <c r="V258" i="10"/>
  <c r="V261" i="10"/>
  <c r="V265" i="10"/>
  <c r="V266" i="10"/>
  <c r="V267" i="10"/>
  <c r="V268" i="10"/>
  <c r="V271" i="10"/>
  <c r="V272" i="10"/>
  <c r="V273" i="10"/>
  <c r="V274" i="10"/>
  <c r="V281" i="10"/>
  <c r="V284" i="10"/>
  <c r="V285" i="10"/>
  <c r="V287" i="10"/>
  <c r="V289" i="10"/>
  <c r="V290" i="10"/>
  <c r="V291" i="10"/>
  <c r="V293" i="10"/>
  <c r="V294" i="10"/>
  <c r="V296" i="10"/>
  <c r="V297" i="10"/>
  <c r="V298" i="10"/>
  <c r="V300" i="10"/>
  <c r="V301" i="10"/>
  <c r="V303" i="10"/>
  <c r="V305" i="10"/>
  <c r="V307" i="10"/>
  <c r="V312" i="10"/>
  <c r="V314" i="10"/>
  <c r="V315" i="10"/>
  <c r="V319" i="10"/>
  <c r="V320" i="10"/>
  <c r="V323" i="10"/>
  <c r="V324" i="10"/>
  <c r="V330" i="10"/>
  <c r="V331" i="10"/>
  <c r="V332" i="10"/>
  <c r="V333" i="10"/>
  <c r="V334" i="10"/>
  <c r="V337" i="10"/>
  <c r="V338" i="10"/>
  <c r="V339" i="10"/>
  <c r="V341" i="10"/>
  <c r="V342" i="10"/>
  <c r="V344" i="10"/>
  <c r="V345" i="10"/>
  <c r="V346" i="10"/>
  <c r="V347" i="10"/>
  <c r="V352" i="10"/>
  <c r="V353" i="10"/>
  <c r="V354" i="10"/>
  <c r="V355" i="10"/>
  <c r="V357" i="10"/>
  <c r="V358" i="10"/>
  <c r="V359" i="10"/>
  <c r="V363" i="10"/>
  <c r="V368" i="10"/>
  <c r="V370" i="10"/>
  <c r="V371" i="10"/>
  <c r="V374" i="10"/>
  <c r="V376" i="10"/>
  <c r="V377" i="10"/>
  <c r="V379" i="10"/>
  <c r="V381" i="10"/>
  <c r="V383" i="10"/>
  <c r="V384" i="10"/>
  <c r="V385" i="10"/>
  <c r="V386" i="10"/>
  <c r="V388" i="10"/>
  <c r="V389" i="10"/>
  <c r="V390" i="10"/>
  <c r="V391" i="10"/>
  <c r="V392" i="10"/>
  <c r="V393" i="10"/>
  <c r="V394" i="10"/>
  <c r="V395" i="10"/>
  <c r="V398" i="10"/>
  <c r="V399" i="10"/>
  <c r="V401" i="10"/>
  <c r="V402" i="10"/>
  <c r="V406" i="10"/>
  <c r="V408" i="10"/>
  <c r="V411" i="10"/>
  <c r="V412" i="10"/>
  <c r="V414" i="10"/>
  <c r="V415" i="10"/>
  <c r="V416" i="10"/>
  <c r="V417" i="10"/>
  <c r="V418" i="10"/>
  <c r="V419" i="10"/>
  <c r="V420" i="10"/>
  <c r="V423" i="10"/>
  <c r="V425" i="10"/>
  <c r="V428" i="10"/>
  <c r="V429" i="10"/>
  <c r="V431" i="10"/>
  <c r="V433" i="10"/>
  <c r="V435" i="10"/>
  <c r="V436" i="10"/>
  <c r="V439" i="10"/>
  <c r="V440" i="10"/>
  <c r="V441" i="10"/>
  <c r="V442" i="10"/>
  <c r="V443" i="10"/>
  <c r="V444" i="10"/>
  <c r="V445" i="10"/>
  <c r="V446" i="10"/>
  <c r="V447" i="10"/>
  <c r="V449" i="10"/>
  <c r="V450" i="10"/>
  <c r="V452" i="10"/>
  <c r="V454" i="10"/>
  <c r="V455" i="10"/>
  <c r="V456" i="10"/>
  <c r="V457" i="10"/>
  <c r="V458" i="10"/>
  <c r="V460" i="10"/>
  <c r="V461" i="10"/>
  <c r="V463" i="10"/>
  <c r="V464" i="10"/>
  <c r="V465" i="10"/>
  <c r="V466" i="10"/>
  <c r="V467" i="10"/>
  <c r="V471" i="10"/>
  <c r="V474" i="10"/>
  <c r="V475" i="10"/>
  <c r="V477" i="10"/>
  <c r="V478" i="10"/>
  <c r="V481" i="10"/>
  <c r="V483" i="10"/>
  <c r="V485" i="10"/>
  <c r="V486" i="10"/>
  <c r="V487" i="10"/>
  <c r="V488" i="10"/>
  <c r="V490" i="10"/>
  <c r="V491" i="10"/>
  <c r="V493" i="10"/>
  <c r="V494" i="10"/>
  <c r="V496" i="10"/>
  <c r="V497" i="10"/>
  <c r="V500" i="10"/>
  <c r="V502" i="10"/>
  <c r="V503" i="10"/>
  <c r="V504" i="10"/>
  <c r="V505" i="10"/>
  <c r="V508" i="10"/>
  <c r="V509" i="10"/>
  <c r="V511" i="10"/>
  <c r="V513" i="10"/>
  <c r="V514" i="10"/>
  <c r="V515" i="10"/>
  <c r="V516" i="10"/>
  <c r="V517" i="10"/>
  <c r="V518" i="10"/>
  <c r="V520" i="10"/>
  <c r="V521" i="10"/>
  <c r="V523" i="10"/>
  <c r="V524" i="10"/>
  <c r="V526" i="10"/>
  <c r="V527" i="10"/>
  <c r="V529" i="10"/>
  <c r="V532" i="10"/>
  <c r="V533" i="10"/>
  <c r="V534" i="10"/>
  <c r="V536" i="10"/>
  <c r="V537" i="10"/>
  <c r="V542" i="10"/>
  <c r="V544" i="10"/>
  <c r="V545" i="10"/>
  <c r="V547" i="10"/>
  <c r="V549" i="10"/>
  <c r="V550" i="10"/>
  <c r="V553" i="10"/>
  <c r="V554" i="10"/>
  <c r="V556" i="10"/>
  <c r="V557" i="10"/>
  <c r="V559" i="10"/>
  <c r="V560" i="10"/>
  <c r="V561" i="10"/>
  <c r="V565" i="10"/>
  <c r="V566" i="10"/>
  <c r="V568" i="10"/>
  <c r="V571" i="10"/>
  <c r="V572" i="10"/>
  <c r="V573" i="10"/>
  <c r="V574" i="10"/>
  <c r="V577" i="10"/>
  <c r="V579" i="10"/>
  <c r="V580" i="10"/>
  <c r="V581" i="10"/>
  <c r="V582" i="10"/>
  <c r="V584" i="10"/>
  <c r="V586" i="10"/>
  <c r="V589" i="10"/>
  <c r="V590" i="10"/>
  <c r="V595" i="10"/>
  <c r="V596" i="10"/>
  <c r="V597" i="10"/>
  <c r="V598" i="10"/>
  <c r="V600" i="10"/>
  <c r="V601" i="10"/>
  <c r="V605" i="10"/>
  <c r="V608" i="10"/>
  <c r="V610" i="10"/>
  <c r="V612" i="10"/>
  <c r="V613" i="10"/>
  <c r="V614" i="10"/>
  <c r="V615" i="10"/>
  <c r="V616" i="10"/>
  <c r="V619" i="10"/>
  <c r="V620" i="10"/>
  <c r="V622" i="10"/>
  <c r="V624" i="10"/>
  <c r="V625" i="10"/>
  <c r="V626" i="10"/>
  <c r="V629" i="10"/>
  <c r="V630" i="10"/>
  <c r="V631" i="10"/>
  <c r="V632" i="10"/>
  <c r="V633" i="10"/>
  <c r="V634" i="10"/>
  <c r="V639" i="10"/>
  <c r="V640" i="10"/>
  <c r="V641" i="10"/>
  <c r="V643" i="10"/>
  <c r="V644" i="10"/>
  <c r="V645" i="10"/>
  <c r="V646" i="10"/>
  <c r="V649" i="10"/>
  <c r="V653" i="10"/>
  <c r="V655" i="10"/>
  <c r="V656" i="10"/>
  <c r="V658" i="10"/>
  <c r="V660" i="10"/>
  <c r="V662" i="10"/>
  <c r="V665" i="10"/>
  <c r="V666" i="10"/>
  <c r="V667" i="10"/>
  <c r="V669" i="10"/>
  <c r="V671" i="10"/>
  <c r="V672" i="10"/>
  <c r="V673" i="10"/>
  <c r="V674" i="10"/>
  <c r="V675" i="10"/>
  <c r="V677" i="10"/>
  <c r="V678" i="10"/>
  <c r="V679" i="10"/>
  <c r="V681" i="10"/>
  <c r="V682" i="10"/>
  <c r="V683" i="10"/>
  <c r="V684" i="10"/>
  <c r="V685" i="10"/>
  <c r="V688" i="10"/>
  <c r="V689" i="10"/>
  <c r="V692" i="10"/>
  <c r="V693" i="10"/>
  <c r="V694" i="10"/>
  <c r="V696" i="10"/>
  <c r="V697" i="10"/>
  <c r="V698" i="10"/>
  <c r="V701" i="10"/>
  <c r="V702" i="10"/>
  <c r="V703" i="10"/>
  <c r="V707" i="10"/>
  <c r="V708" i="10"/>
  <c r="V709" i="10"/>
  <c r="V712" i="10"/>
  <c r="V713" i="10"/>
  <c r="V714" i="10"/>
  <c r="V715" i="10"/>
  <c r="V719" i="10"/>
  <c r="V720" i="10"/>
  <c r="V721" i="10"/>
  <c r="V726" i="10"/>
  <c r="V729" i="10"/>
  <c r="V730" i="10"/>
  <c r="V731" i="10"/>
  <c r="V732" i="10"/>
  <c r="V733" i="10"/>
  <c r="V734" i="10"/>
  <c r="V735" i="10"/>
  <c r="V738" i="10"/>
  <c r="V742" i="10"/>
  <c r="V743" i="10"/>
  <c r="V744" i="10"/>
  <c r="V746" i="10"/>
  <c r="V748" i="10"/>
  <c r="V749" i="10"/>
  <c r="V750" i="10"/>
  <c r="V751" i="10"/>
  <c r="V752" i="10"/>
  <c r="V754" i="10"/>
  <c r="V755" i="10"/>
  <c r="V756" i="10"/>
  <c r="V757" i="10"/>
  <c r="V758" i="10"/>
  <c r="V763" i="10"/>
  <c r="V764" i="10"/>
  <c r="V765" i="10"/>
  <c r="V766" i="10"/>
  <c r="V768" i="10"/>
  <c r="V769" i="10"/>
  <c r="V770" i="10"/>
  <c r="V771" i="10"/>
  <c r="V772" i="10"/>
  <c r="V773" i="10"/>
  <c r="V778" i="10"/>
  <c r="V780" i="10"/>
  <c r="V785" i="10"/>
  <c r="V786" i="10"/>
  <c r="V787" i="10"/>
  <c r="V788" i="10"/>
  <c r="V790" i="10"/>
  <c r="V792" i="10"/>
  <c r="V794" i="10"/>
  <c r="V799" i="10"/>
  <c r="V800" i="10"/>
  <c r="V806" i="10"/>
  <c r="V807" i="10"/>
  <c r="V809" i="10"/>
  <c r="V810" i="10"/>
  <c r="V812" i="10"/>
  <c r="V814" i="10"/>
  <c r="V815" i="10"/>
  <c r="V816" i="10"/>
  <c r="V817" i="10"/>
  <c r="V818" i="10"/>
  <c r="V820" i="10"/>
  <c r="V822" i="10"/>
  <c r="V826" i="10"/>
  <c r="V827" i="10"/>
  <c r="V828" i="10"/>
  <c r="V829" i="10"/>
  <c r="V831" i="10"/>
  <c r="V832" i="10"/>
  <c r="V833" i="10"/>
  <c r="V837" i="10"/>
  <c r="V839" i="10"/>
  <c r="V841" i="10"/>
  <c r="V843" i="10"/>
  <c r="V844" i="10"/>
  <c r="V845" i="10"/>
  <c r="V851" i="10"/>
  <c r="V852" i="10"/>
  <c r="V853" i="10"/>
  <c r="V854" i="10"/>
  <c r="V855" i="10"/>
  <c r="V857" i="10"/>
  <c r="V858" i="10"/>
  <c r="V863" i="10"/>
  <c r="V864" i="10"/>
  <c r="V865" i="10"/>
  <c r="V866" i="10"/>
  <c r="V867" i="10"/>
  <c r="V870" i="10"/>
  <c r="V871" i="10"/>
  <c r="V873" i="10"/>
  <c r="V874" i="10"/>
  <c r="V879" i="10"/>
  <c r="V880" i="10"/>
  <c r="V881" i="10"/>
  <c r="V882" i="10"/>
  <c r="V883" i="10"/>
  <c r="V886" i="10"/>
  <c r="V889" i="10"/>
  <c r="V890" i="10"/>
  <c r="V892" i="10"/>
  <c r="V893" i="10"/>
  <c r="V894" i="10"/>
  <c r="V896" i="10"/>
  <c r="V898" i="10"/>
  <c r="V902" i="10"/>
  <c r="V905" i="10"/>
  <c r="V907" i="10"/>
  <c r="V909" i="10"/>
  <c r="V911" i="10"/>
  <c r="V914" i="10"/>
  <c r="V918" i="10"/>
  <c r="V919" i="10"/>
  <c r="V923" i="10"/>
  <c r="V925" i="10"/>
  <c r="V926" i="10"/>
  <c r="V927" i="10"/>
  <c r="V932" i="10"/>
  <c r="V939" i="10"/>
  <c r="V940" i="10"/>
  <c r="V941" i="10"/>
  <c r="V943" i="10"/>
  <c r="V944" i="10"/>
  <c r="V946" i="10"/>
  <c r="V947" i="10"/>
  <c r="V948" i="10"/>
  <c r="V951" i="10"/>
  <c r="V952" i="10"/>
  <c r="V953" i="10"/>
  <c r="V956" i="10"/>
  <c r="V958" i="10"/>
  <c r="V959" i="10"/>
  <c r="V961" i="10"/>
  <c r="V965" i="10"/>
  <c r="V966" i="10"/>
  <c r="V967" i="10"/>
  <c r="V969" i="10"/>
  <c r="V972" i="10"/>
  <c r="V973" i="10"/>
  <c r="V974" i="10"/>
  <c r="V977" i="10"/>
  <c r="V979" i="10"/>
  <c r="V981" i="10"/>
  <c r="V982" i="10"/>
  <c r="V983" i="10"/>
  <c r="V984" i="10"/>
  <c r="V985" i="10"/>
  <c r="V986" i="10"/>
  <c r="V987" i="10"/>
  <c r="V988" i="10"/>
  <c r="V990" i="10"/>
  <c r="V992" i="10"/>
  <c r="V998" i="10"/>
  <c r="V999" i="10"/>
  <c r="V1001" i="10"/>
  <c r="V1002" i="10"/>
  <c r="V1004" i="10"/>
  <c r="V1005" i="10"/>
  <c r="V1006" i="10"/>
  <c r="V1008" i="10"/>
  <c r="V1012" i="10"/>
  <c r="V1013" i="10"/>
  <c r="V1014" i="10"/>
  <c r="V1015" i="10"/>
  <c r="V1017" i="10"/>
  <c r="V1020" i="10"/>
  <c r="V1021" i="10"/>
  <c r="V1022" i="10"/>
  <c r="V1023" i="10"/>
  <c r="V1027" i="10"/>
  <c r="V1028" i="10"/>
  <c r="V1029" i="10"/>
  <c r="V1031" i="10"/>
  <c r="V1034" i="10"/>
  <c r="V1035" i="10"/>
  <c r="V1036" i="10"/>
  <c r="V1041" i="10"/>
  <c r="V1042" i="10"/>
  <c r="V1043" i="10"/>
  <c r="V1045" i="10"/>
  <c r="V1047" i="10"/>
  <c r="V1048" i="10"/>
  <c r="V1049" i="10"/>
  <c r="V1050" i="10"/>
  <c r="V1054" i="10"/>
  <c r="V1055" i="10"/>
  <c r="V1056" i="10"/>
  <c r="V1057" i="10"/>
  <c r="V1061" i="10"/>
  <c r="V1065" i="10"/>
  <c r="V1067" i="10"/>
  <c r="V1069" i="10"/>
  <c r="V1071" i="10"/>
  <c r="V1072" i="10"/>
  <c r="V1073" i="10"/>
  <c r="V1074" i="10"/>
  <c r="V75" i="10"/>
  <c r="X420" i="10"/>
  <c r="X775" i="10"/>
  <c r="W476" i="10"/>
  <c r="V108" i="10"/>
  <c r="C62" i="10"/>
  <c r="V400" i="10" s="1"/>
  <c r="D62" i="10"/>
  <c r="V1051" i="10" s="1"/>
  <c r="E62" i="10"/>
  <c r="V473" i="10" s="1"/>
  <c r="F62" i="10"/>
  <c r="B62" i="10"/>
  <c r="X887" i="10" s="1"/>
  <c r="B163" i="10"/>
  <c r="D163" i="10"/>
  <c r="F163" i="10"/>
  <c r="B594" i="10"/>
  <c r="D594" i="10"/>
  <c r="F594" i="10"/>
  <c r="B1000" i="10"/>
  <c r="D1000" i="10"/>
  <c r="F1000" i="10"/>
  <c r="B1002" i="10"/>
  <c r="D1002" i="10"/>
  <c r="F1002" i="10"/>
  <c r="B306" i="10"/>
  <c r="D306" i="10"/>
  <c r="F306" i="10"/>
  <c r="B704" i="10"/>
  <c r="D704" i="10"/>
  <c r="F704" i="10"/>
  <c r="B599" i="10"/>
  <c r="D599" i="10"/>
  <c r="F599" i="10"/>
  <c r="B862" i="10"/>
  <c r="D862" i="10"/>
  <c r="F862" i="10"/>
  <c r="B334" i="10"/>
  <c r="D334" i="10"/>
  <c r="F334" i="10"/>
  <c r="B1064" i="10"/>
  <c r="D1064" i="10"/>
  <c r="F1064" i="10"/>
  <c r="B654" i="10"/>
  <c r="D654" i="10"/>
  <c r="F654" i="10"/>
  <c r="B236" i="10"/>
  <c r="D236" i="10"/>
  <c r="F236" i="10"/>
  <c r="B132" i="10"/>
  <c r="D132" i="10"/>
  <c r="F132" i="10"/>
  <c r="B820" i="10"/>
  <c r="D820" i="10"/>
  <c r="F820" i="10"/>
  <c r="B918" i="10"/>
  <c r="D918" i="10"/>
  <c r="F918" i="10"/>
  <c r="B803" i="10"/>
  <c r="D803" i="10"/>
  <c r="F803" i="10"/>
  <c r="B345" i="10"/>
  <c r="D345" i="10"/>
  <c r="F345" i="10"/>
  <c r="B825" i="10"/>
  <c r="D825" i="10"/>
  <c r="F825" i="10"/>
  <c r="B598" i="10"/>
  <c r="D598" i="10"/>
  <c r="F598" i="10"/>
  <c r="B861" i="10"/>
  <c r="D861" i="10"/>
  <c r="F861" i="10"/>
  <c r="B530" i="10"/>
  <c r="D530" i="10"/>
  <c r="F530" i="10"/>
  <c r="B225" i="10"/>
  <c r="D225" i="10"/>
  <c r="F225" i="10"/>
  <c r="B813" i="10"/>
  <c r="D813" i="10"/>
  <c r="F813" i="10"/>
  <c r="B639" i="10"/>
  <c r="D639" i="10"/>
  <c r="F639" i="10"/>
  <c r="B866" i="10"/>
  <c r="D866" i="10"/>
  <c r="F866" i="10"/>
  <c r="B1044" i="10"/>
  <c r="D1044" i="10"/>
  <c r="F1044" i="10"/>
  <c r="B454" i="10"/>
  <c r="D454" i="10"/>
  <c r="F454" i="10"/>
  <c r="B553" i="10"/>
  <c r="D553" i="10"/>
  <c r="F553" i="10"/>
  <c r="B450" i="10"/>
  <c r="D450" i="10"/>
  <c r="F450" i="10"/>
  <c r="B1010" i="10"/>
  <c r="D1010" i="10"/>
  <c r="F1010" i="10"/>
  <c r="B555" i="10"/>
  <c r="D555" i="10"/>
  <c r="F555" i="10"/>
  <c r="B495" i="10"/>
  <c r="D495" i="10"/>
  <c r="F495" i="10"/>
  <c r="B829" i="10"/>
  <c r="D829" i="10"/>
  <c r="F829" i="10"/>
  <c r="B412" i="10"/>
  <c r="D412" i="10"/>
  <c r="F412" i="10"/>
  <c r="B472" i="10"/>
  <c r="D472" i="10"/>
  <c r="F472" i="10"/>
  <c r="B320" i="10"/>
  <c r="D320" i="10"/>
  <c r="F320" i="10"/>
  <c r="B235" i="10"/>
  <c r="D235" i="10"/>
  <c r="F235" i="10"/>
  <c r="B693" i="10"/>
  <c r="D693" i="10"/>
  <c r="F693" i="10"/>
  <c r="B331" i="10"/>
  <c r="D331" i="10"/>
  <c r="F331" i="10"/>
  <c r="B1039" i="10"/>
  <c r="D1039" i="10"/>
  <c r="F1039" i="10"/>
  <c r="B1043" i="10"/>
  <c r="D1043" i="10"/>
  <c r="F1043" i="10"/>
  <c r="B199" i="10"/>
  <c r="D199" i="10"/>
  <c r="F199" i="10"/>
  <c r="B892" i="10"/>
  <c r="D892" i="10"/>
  <c r="F892" i="10"/>
  <c r="B104" i="10"/>
  <c r="D104" i="10"/>
  <c r="F104" i="10"/>
  <c r="B242" i="10"/>
  <c r="D242" i="10"/>
  <c r="F242" i="10"/>
  <c r="B573" i="10"/>
  <c r="D573" i="10"/>
  <c r="F573" i="10"/>
  <c r="B785" i="10"/>
  <c r="D785" i="10"/>
  <c r="F785" i="10"/>
  <c r="B173" i="10"/>
  <c r="D173" i="10"/>
  <c r="F173" i="10"/>
  <c r="B1070" i="10"/>
  <c r="D1070" i="10"/>
  <c r="F1070" i="10"/>
  <c r="B843" i="10"/>
  <c r="D843" i="10"/>
  <c r="F843" i="10"/>
  <c r="B847" i="10"/>
  <c r="D847" i="10"/>
  <c r="F847" i="10"/>
  <c r="B699" i="10"/>
  <c r="D699" i="10"/>
  <c r="F699" i="10"/>
  <c r="B379" i="10"/>
  <c r="D379" i="10"/>
  <c r="F379" i="10"/>
  <c r="B534" i="10"/>
  <c r="D534" i="10"/>
  <c r="F534" i="10"/>
  <c r="B652" i="10"/>
  <c r="D652" i="10"/>
  <c r="F652" i="10"/>
  <c r="B625" i="10"/>
  <c r="D625" i="10"/>
  <c r="F625" i="10"/>
  <c r="B870" i="10"/>
  <c r="D870" i="10"/>
  <c r="F870" i="10"/>
  <c r="B799" i="10"/>
  <c r="D799" i="10"/>
  <c r="F799" i="10"/>
  <c r="B343" i="10"/>
  <c r="D343" i="10"/>
  <c r="F343" i="10"/>
  <c r="B275" i="10"/>
  <c r="D275" i="10"/>
  <c r="F275" i="10"/>
  <c r="B656" i="10"/>
  <c r="D656" i="10"/>
  <c r="F656" i="10"/>
  <c r="B938" i="10"/>
  <c r="D938" i="10"/>
  <c r="F938" i="10"/>
  <c r="B708" i="10"/>
  <c r="D708" i="10"/>
  <c r="F708" i="10"/>
  <c r="B166" i="10"/>
  <c r="D166" i="10"/>
  <c r="F166" i="10"/>
  <c r="B1053" i="10"/>
  <c r="D1053" i="10"/>
  <c r="F1053" i="10"/>
  <c r="B613" i="10"/>
  <c r="D613" i="10"/>
  <c r="F613" i="10"/>
  <c r="B844" i="10"/>
  <c r="D844" i="10"/>
  <c r="F844" i="10"/>
  <c r="B607" i="10"/>
  <c r="D607" i="10"/>
  <c r="F607" i="10"/>
  <c r="B376" i="10"/>
  <c r="D376" i="10"/>
  <c r="F376" i="10"/>
  <c r="B818" i="10"/>
  <c r="D818" i="10"/>
  <c r="F818" i="10"/>
  <c r="B928" i="10"/>
  <c r="D928" i="10"/>
  <c r="F928" i="10"/>
  <c r="B146" i="10"/>
  <c r="D146" i="10"/>
  <c r="F146" i="10"/>
  <c r="B186" i="10"/>
  <c r="D186" i="10"/>
  <c r="F186" i="10"/>
  <c r="B1035" i="10"/>
  <c r="D1035" i="10"/>
  <c r="F1035" i="10"/>
  <c r="B324" i="10"/>
  <c r="D324" i="10"/>
  <c r="F324" i="10"/>
  <c r="B949" i="10"/>
  <c r="D949" i="10"/>
  <c r="F949" i="10"/>
  <c r="B135" i="10"/>
  <c r="D135" i="10"/>
  <c r="F135" i="10"/>
  <c r="B445" i="10"/>
  <c r="D445" i="10"/>
  <c r="F445" i="10"/>
  <c r="B796" i="10"/>
  <c r="D796" i="10"/>
  <c r="F796" i="10"/>
  <c r="B960" i="10"/>
  <c r="D960" i="10"/>
  <c r="F960" i="10"/>
  <c r="B415" i="10"/>
  <c r="D415" i="10"/>
  <c r="F415" i="10"/>
  <c r="B936" i="10"/>
  <c r="D936" i="10"/>
  <c r="F936" i="10"/>
  <c r="B288" i="10"/>
  <c r="D288" i="10"/>
  <c r="F288" i="10"/>
  <c r="B86" i="10"/>
  <c r="D86" i="10"/>
  <c r="F86" i="10"/>
  <c r="B137" i="10"/>
  <c r="D137" i="10"/>
  <c r="F137" i="10"/>
  <c r="B237" i="10"/>
  <c r="D237" i="10"/>
  <c r="F237" i="10"/>
  <c r="B201" i="10"/>
  <c r="D201" i="10"/>
  <c r="F201" i="10"/>
  <c r="B868" i="10"/>
  <c r="D868" i="10"/>
  <c r="F868" i="10"/>
  <c r="B279" i="10"/>
  <c r="D279" i="10"/>
  <c r="F279" i="10"/>
  <c r="B540" i="10"/>
  <c r="D540" i="10"/>
  <c r="F540" i="10"/>
  <c r="B313" i="10"/>
  <c r="D313" i="10"/>
  <c r="F313" i="10"/>
  <c r="B452" i="10"/>
  <c r="D452" i="10"/>
  <c r="F452" i="10"/>
  <c r="B995" i="10"/>
  <c r="D995" i="10"/>
  <c r="F995" i="10"/>
  <c r="B422" i="10"/>
  <c r="D422" i="10"/>
  <c r="F422" i="10"/>
  <c r="B181" i="10"/>
  <c r="D181" i="10"/>
  <c r="F181" i="10"/>
  <c r="B434" i="10"/>
  <c r="D434" i="10"/>
  <c r="F434" i="10"/>
  <c r="B159" i="10"/>
  <c r="D159" i="10"/>
  <c r="F159" i="10"/>
  <c r="B917" i="10"/>
  <c r="D917" i="10"/>
  <c r="F917" i="10"/>
  <c r="B340" i="10"/>
  <c r="D340" i="10"/>
  <c r="F340" i="10"/>
  <c r="B218" i="10"/>
  <c r="D218" i="10"/>
  <c r="F218" i="10"/>
  <c r="B459" i="10"/>
  <c r="D459" i="10"/>
  <c r="F459" i="10"/>
  <c r="B649" i="10"/>
  <c r="D649" i="10"/>
  <c r="F649" i="10"/>
  <c r="B221" i="10"/>
  <c r="D221" i="10"/>
  <c r="F221" i="10"/>
  <c r="B1072" i="10"/>
  <c r="D1072" i="10"/>
  <c r="F1072" i="10"/>
  <c r="B747" i="10"/>
  <c r="D747" i="10"/>
  <c r="F747" i="10"/>
  <c r="B935" i="10"/>
  <c r="D935" i="10"/>
  <c r="F935" i="10"/>
  <c r="B265" i="10"/>
  <c r="D265" i="10"/>
  <c r="F265" i="10"/>
  <c r="B363" i="10"/>
  <c r="D363" i="10"/>
  <c r="F363" i="10"/>
  <c r="B318" i="10"/>
  <c r="D318" i="10"/>
  <c r="F318" i="10"/>
  <c r="B183" i="10"/>
  <c r="D183" i="10"/>
  <c r="F183" i="10"/>
  <c r="B411" i="10"/>
  <c r="D411" i="10"/>
  <c r="F411" i="10"/>
  <c r="B216" i="10"/>
  <c r="D216" i="10"/>
  <c r="F216" i="10"/>
  <c r="B287" i="10"/>
  <c r="D287" i="10"/>
  <c r="F287" i="10"/>
  <c r="B707" i="10"/>
  <c r="D707" i="10"/>
  <c r="F707" i="10"/>
  <c r="B190" i="10"/>
  <c r="D190" i="10"/>
  <c r="F190" i="10"/>
  <c r="B510" i="10"/>
  <c r="D510" i="10"/>
  <c r="F510" i="10"/>
  <c r="B389" i="10"/>
  <c r="D389" i="10"/>
  <c r="F389" i="10"/>
  <c r="B354" i="10"/>
  <c r="D354" i="10"/>
  <c r="F354" i="10"/>
  <c r="B744" i="10"/>
  <c r="D744" i="10"/>
  <c r="F744" i="10"/>
  <c r="B988" i="10"/>
  <c r="D988" i="10"/>
  <c r="F988" i="10"/>
  <c r="B260" i="10"/>
  <c r="D260" i="10"/>
  <c r="F260" i="10"/>
  <c r="B456" i="10"/>
  <c r="D456" i="10"/>
  <c r="F456" i="10"/>
  <c r="B946" i="10"/>
  <c r="D946" i="10"/>
  <c r="F946" i="10"/>
  <c r="B388" i="10"/>
  <c r="D388" i="10"/>
  <c r="F388" i="10"/>
  <c r="B121" i="10"/>
  <c r="D121" i="10"/>
  <c r="F121" i="10"/>
  <c r="B979" i="10"/>
  <c r="D979" i="10"/>
  <c r="F979" i="10"/>
  <c r="B261" i="10"/>
  <c r="D261" i="10"/>
  <c r="F261" i="10"/>
  <c r="B877" i="10"/>
  <c r="D877" i="10"/>
  <c r="F877" i="10"/>
  <c r="B557" i="10"/>
  <c r="D557" i="10"/>
  <c r="F557" i="10"/>
  <c r="B846" i="10"/>
  <c r="D846" i="10"/>
  <c r="F846" i="10"/>
  <c r="B506" i="10"/>
  <c r="D506" i="10"/>
  <c r="F506" i="10"/>
  <c r="B945" i="10"/>
  <c r="D945" i="10"/>
  <c r="F945" i="10"/>
  <c r="B834" i="10"/>
  <c r="D834" i="10"/>
  <c r="F834" i="10"/>
  <c r="B855" i="10"/>
  <c r="D855" i="10"/>
  <c r="F855" i="10"/>
  <c r="B85" i="10"/>
  <c r="D85" i="10"/>
  <c r="F85" i="10"/>
  <c r="B1067" i="10"/>
  <c r="D1067" i="10"/>
  <c r="F1067" i="10"/>
  <c r="B290" i="10"/>
  <c r="D290" i="10"/>
  <c r="F290" i="10"/>
  <c r="B294" i="10"/>
  <c r="D294" i="10"/>
  <c r="F294" i="10"/>
  <c r="B114" i="10"/>
  <c r="D114" i="10"/>
  <c r="F114" i="10"/>
  <c r="B549" i="10"/>
  <c r="D549" i="10"/>
  <c r="F549" i="10"/>
  <c r="B527" i="10"/>
  <c r="D527" i="10"/>
  <c r="F527" i="10"/>
  <c r="B314" i="10"/>
  <c r="D314" i="10"/>
  <c r="F314" i="10"/>
  <c r="B886" i="10"/>
  <c r="D886" i="10"/>
  <c r="F886" i="10"/>
  <c r="B528" i="10"/>
  <c r="D528" i="10"/>
  <c r="F528" i="10"/>
  <c r="B993" i="10"/>
  <c r="D993" i="10"/>
  <c r="F993" i="10"/>
  <c r="B641" i="10"/>
  <c r="D641" i="10"/>
  <c r="F641" i="10"/>
  <c r="B144" i="10"/>
  <c r="D144" i="10"/>
  <c r="F144" i="10"/>
  <c r="B289" i="10"/>
  <c r="D289" i="10"/>
  <c r="F289" i="10"/>
  <c r="B264" i="10"/>
  <c r="D264" i="10"/>
  <c r="F264" i="10"/>
  <c r="B996" i="10"/>
  <c r="D996" i="10"/>
  <c r="F996" i="10"/>
  <c r="B521" i="10"/>
  <c r="D521" i="10"/>
  <c r="F521" i="10"/>
  <c r="B194" i="10"/>
  <c r="D194" i="10"/>
  <c r="F194" i="10"/>
  <c r="B939" i="10"/>
  <c r="D939" i="10"/>
  <c r="F939" i="10"/>
  <c r="B153" i="10"/>
  <c r="D153" i="10"/>
  <c r="F153" i="10"/>
  <c r="B1062" i="10"/>
  <c r="D1062" i="10"/>
  <c r="F1062" i="10"/>
  <c r="B1036" i="10"/>
  <c r="D1036" i="10"/>
  <c r="F1036" i="10"/>
  <c r="B764" i="10"/>
  <c r="D764" i="10"/>
  <c r="F764" i="10"/>
  <c r="B409" i="10"/>
  <c r="D409" i="10"/>
  <c r="F409" i="10"/>
  <c r="B914" i="10"/>
  <c r="D914" i="10"/>
  <c r="F914" i="10"/>
  <c r="B657" i="10"/>
  <c r="D657" i="10"/>
  <c r="F657" i="10"/>
  <c r="B464" i="10"/>
  <c r="D464" i="10"/>
  <c r="F464" i="10"/>
  <c r="B262" i="10"/>
  <c r="D262" i="10"/>
  <c r="F262" i="10"/>
  <c r="B560" i="10"/>
  <c r="D560" i="10"/>
  <c r="F560" i="10"/>
  <c r="B756" i="10"/>
  <c r="D756" i="10"/>
  <c r="F756" i="10"/>
  <c r="B156" i="10"/>
  <c r="D156" i="10"/>
  <c r="F156" i="10"/>
  <c r="B431" i="10"/>
  <c r="D431" i="10"/>
  <c r="F431" i="10"/>
  <c r="B771" i="10"/>
  <c r="D771" i="10"/>
  <c r="F771" i="10"/>
  <c r="B905" i="10"/>
  <c r="D905" i="10"/>
  <c r="F905" i="10"/>
  <c r="B871" i="10"/>
  <c r="D871" i="10"/>
  <c r="F871" i="10"/>
  <c r="B361" i="10"/>
  <c r="D361" i="10"/>
  <c r="F361" i="10"/>
  <c r="B448" i="10"/>
  <c r="D448" i="10"/>
  <c r="F448" i="10"/>
  <c r="B383" i="10"/>
  <c r="D383" i="10"/>
  <c r="F383" i="10"/>
  <c r="B1048" i="10"/>
  <c r="D1048" i="10"/>
  <c r="F1048" i="10"/>
  <c r="B357" i="10"/>
  <c r="D357" i="10"/>
  <c r="F357" i="10"/>
  <c r="B687" i="10"/>
  <c r="D687" i="10"/>
  <c r="F687" i="10"/>
  <c r="B959" i="10"/>
  <c r="D959" i="10"/>
  <c r="F959" i="10"/>
  <c r="B419" i="10"/>
  <c r="D419" i="10"/>
  <c r="F419" i="10"/>
  <c r="B873" i="10"/>
  <c r="D873" i="10"/>
  <c r="F873" i="10"/>
  <c r="B904" i="10"/>
  <c r="D904" i="10"/>
  <c r="F904" i="10"/>
  <c r="B539" i="10"/>
  <c r="D539" i="10"/>
  <c r="F539" i="10"/>
  <c r="B1021" i="10"/>
  <c r="D1021" i="10"/>
  <c r="F1021" i="10"/>
  <c r="B746" i="10"/>
  <c r="D746" i="10"/>
  <c r="F746" i="10"/>
  <c r="B315" i="10"/>
  <c r="D315" i="10"/>
  <c r="F315" i="10"/>
  <c r="B426" i="10"/>
  <c r="D426" i="10"/>
  <c r="F426" i="10"/>
  <c r="B128" i="10"/>
  <c r="D128" i="10"/>
  <c r="F128" i="10"/>
  <c r="B948" i="10"/>
  <c r="D948" i="10"/>
  <c r="F948" i="10"/>
  <c r="B736" i="10"/>
  <c r="D736" i="10"/>
  <c r="F736" i="10"/>
  <c r="B932" i="10"/>
  <c r="D932" i="10"/>
  <c r="F932" i="10"/>
  <c r="B170" i="10"/>
  <c r="D170" i="10"/>
  <c r="F170" i="10"/>
  <c r="B730" i="10"/>
  <c r="D730" i="10"/>
  <c r="F730" i="10"/>
  <c r="B588" i="10"/>
  <c r="D588" i="10"/>
  <c r="F588" i="10"/>
  <c r="B953" i="10"/>
  <c r="D953" i="10"/>
  <c r="F953" i="10"/>
  <c r="B786" i="10"/>
  <c r="D786" i="10"/>
  <c r="F786" i="10"/>
  <c r="B592" i="10"/>
  <c r="D592" i="10"/>
  <c r="F592" i="10"/>
  <c r="B172" i="10"/>
  <c r="D172" i="10"/>
  <c r="F172" i="10"/>
  <c r="B837" i="10"/>
  <c r="D837" i="10"/>
  <c r="F837" i="10"/>
  <c r="B719" i="10"/>
  <c r="D719" i="10"/>
  <c r="F719" i="10"/>
  <c r="B296" i="10"/>
  <c r="D296" i="10"/>
  <c r="F296" i="10"/>
  <c r="B742" i="10"/>
  <c r="D742" i="10"/>
  <c r="F742" i="10"/>
  <c r="B348" i="10"/>
  <c r="D348" i="10"/>
  <c r="F348" i="10"/>
  <c r="B930" i="10"/>
  <c r="D930" i="10"/>
  <c r="F930" i="10"/>
  <c r="B300" i="10"/>
  <c r="D300" i="10"/>
  <c r="F300" i="10"/>
  <c r="B804" i="10"/>
  <c r="D804" i="10"/>
  <c r="F804" i="10"/>
  <c r="B1029" i="10"/>
  <c r="D1029" i="10"/>
  <c r="F1029" i="10"/>
  <c r="B417" i="10"/>
  <c r="D417" i="10"/>
  <c r="F417" i="10"/>
  <c r="B400" i="10"/>
  <c r="D400" i="10"/>
  <c r="F400" i="10"/>
  <c r="B211" i="10"/>
  <c r="D211" i="10"/>
  <c r="F211" i="10"/>
  <c r="B643" i="10"/>
  <c r="D643" i="10"/>
  <c r="F643" i="10"/>
  <c r="B635" i="10"/>
  <c r="D635" i="10"/>
  <c r="F635" i="10"/>
  <c r="B191" i="10"/>
  <c r="D191" i="10"/>
  <c r="F191" i="10"/>
  <c r="B692" i="10"/>
  <c r="D692" i="10"/>
  <c r="F692" i="10"/>
  <c r="B1054" i="10"/>
  <c r="D1054" i="10"/>
  <c r="F1054" i="10"/>
  <c r="B631" i="10"/>
  <c r="D631" i="10"/>
  <c r="F631" i="10"/>
  <c r="B955" i="10"/>
  <c r="D955" i="10"/>
  <c r="F955" i="10"/>
  <c r="B1042" i="10"/>
  <c r="D1042" i="10"/>
  <c r="F1042" i="10"/>
  <c r="B479" i="10"/>
  <c r="D479" i="10"/>
  <c r="F479" i="10"/>
  <c r="B480" i="10"/>
  <c r="D480" i="10"/>
  <c r="F480" i="10"/>
  <c r="B227" i="10"/>
  <c r="D227" i="10"/>
  <c r="F227" i="10"/>
  <c r="B270" i="10"/>
  <c r="D270" i="10"/>
  <c r="F270" i="10"/>
  <c r="B763" i="10"/>
  <c r="D763" i="10"/>
  <c r="F763" i="10"/>
  <c r="B234" i="10"/>
  <c r="D234" i="10"/>
  <c r="F234" i="10"/>
  <c r="B421" i="10"/>
  <c r="D421" i="10"/>
  <c r="F421" i="10"/>
  <c r="B396" i="10"/>
  <c r="D396" i="10"/>
  <c r="F396" i="10"/>
  <c r="B965" i="10"/>
  <c r="D965" i="10"/>
  <c r="F965" i="10"/>
  <c r="B414" i="10"/>
  <c r="D414" i="10"/>
  <c r="F414" i="10"/>
  <c r="B999" i="10"/>
  <c r="D999" i="10"/>
  <c r="F999" i="10"/>
  <c r="B473" i="10"/>
  <c r="D473" i="10"/>
  <c r="F473" i="10"/>
  <c r="B276" i="10"/>
  <c r="D276" i="10"/>
  <c r="F276" i="10"/>
  <c r="B478" i="10"/>
  <c r="D478" i="10"/>
  <c r="F478" i="10"/>
  <c r="B185" i="10"/>
  <c r="D185" i="10"/>
  <c r="F185" i="10"/>
  <c r="B277" i="10"/>
  <c r="D277" i="10"/>
  <c r="F277" i="10"/>
  <c r="B101" i="10"/>
  <c r="D101" i="10"/>
  <c r="F101" i="10"/>
  <c r="B778" i="10"/>
  <c r="D778" i="10"/>
  <c r="F778" i="10"/>
  <c r="B537" i="10"/>
  <c r="D537" i="10"/>
  <c r="F537" i="10"/>
  <c r="B694" i="10"/>
  <c r="D694" i="10"/>
  <c r="F694" i="10"/>
  <c r="B96" i="10"/>
  <c r="D96" i="10"/>
  <c r="F96" i="10"/>
  <c r="B413" i="10"/>
  <c r="D413" i="10"/>
  <c r="F413" i="10"/>
  <c r="B836" i="10"/>
  <c r="D836" i="10"/>
  <c r="F836" i="10"/>
  <c r="B364" i="10"/>
  <c r="D364" i="10"/>
  <c r="F364" i="10"/>
  <c r="B529" i="10"/>
  <c r="D529" i="10"/>
  <c r="F529" i="10"/>
  <c r="B800" i="10"/>
  <c r="D800" i="10"/>
  <c r="F800" i="10"/>
  <c r="B660" i="10"/>
  <c r="D660" i="10"/>
  <c r="F660" i="10"/>
  <c r="B978" i="10"/>
  <c r="D978" i="10"/>
  <c r="F978" i="10"/>
  <c r="B690" i="10"/>
  <c r="D690" i="10"/>
  <c r="F690" i="10"/>
  <c r="B781" i="10"/>
  <c r="D781" i="10"/>
  <c r="F781" i="10"/>
  <c r="B240" i="10"/>
  <c r="D240" i="10"/>
  <c r="F240" i="10"/>
  <c r="B1049" i="10"/>
  <c r="D1049" i="10"/>
  <c r="F1049" i="10"/>
  <c r="B893" i="10"/>
  <c r="D893" i="10"/>
  <c r="F893" i="10"/>
  <c r="B1041" i="10"/>
  <c r="D1041" i="10"/>
  <c r="F1041" i="10"/>
  <c r="B675" i="10"/>
  <c r="D675" i="10"/>
  <c r="F675" i="10"/>
  <c r="B811" i="10"/>
  <c r="D811" i="10"/>
  <c r="F811" i="10"/>
  <c r="B254" i="10"/>
  <c r="D254" i="10"/>
  <c r="F254" i="10"/>
  <c r="B882" i="10"/>
  <c r="D882" i="10"/>
  <c r="F882" i="10"/>
  <c r="B124" i="10"/>
  <c r="D124" i="10"/>
  <c r="F124" i="10"/>
  <c r="B1028" i="10"/>
  <c r="D1028" i="10"/>
  <c r="F1028" i="10"/>
  <c r="B248" i="10"/>
  <c r="D248" i="10"/>
  <c r="F248" i="10"/>
  <c r="B346" i="10"/>
  <c r="D346" i="10"/>
  <c r="F346" i="10"/>
  <c r="B683" i="10"/>
  <c r="D683" i="10"/>
  <c r="F683" i="10"/>
  <c r="B927" i="10"/>
  <c r="D927" i="10"/>
  <c r="F927" i="10"/>
  <c r="B670" i="10"/>
  <c r="D670" i="10"/>
  <c r="F670" i="10"/>
  <c r="B925" i="10"/>
  <c r="D925" i="10"/>
  <c r="F925" i="10"/>
  <c r="B118" i="10"/>
  <c r="D118" i="10"/>
  <c r="F118" i="10"/>
  <c r="B808" i="10"/>
  <c r="D808" i="10"/>
  <c r="F808" i="10"/>
  <c r="B795" i="10"/>
  <c r="D795" i="10"/>
  <c r="F795" i="10"/>
  <c r="B597" i="10"/>
  <c r="D597" i="10"/>
  <c r="F597" i="10"/>
  <c r="B79" i="10"/>
  <c r="D79" i="10"/>
  <c r="F79" i="10"/>
  <c r="B814" i="10"/>
  <c r="D814" i="10"/>
  <c r="F814" i="10"/>
  <c r="B792" i="10"/>
  <c r="D792" i="10"/>
  <c r="F792" i="10"/>
  <c r="B1057" i="10"/>
  <c r="D1057" i="10"/>
  <c r="F1057" i="10"/>
  <c r="B554" i="10"/>
  <c r="D554" i="10"/>
  <c r="F554" i="10"/>
  <c r="B666" i="10"/>
  <c r="D666" i="10"/>
  <c r="F666" i="10"/>
  <c r="B241" i="10"/>
  <c r="D241" i="10"/>
  <c r="F241" i="10"/>
  <c r="B985" i="10"/>
  <c r="D985" i="10"/>
  <c r="F985" i="10"/>
  <c r="B585" i="10"/>
  <c r="D585" i="10"/>
  <c r="F585" i="10"/>
  <c r="B341" i="10"/>
  <c r="D341" i="10"/>
  <c r="F341" i="10"/>
  <c r="B423" i="10"/>
  <c r="D423" i="10"/>
  <c r="F423" i="10"/>
  <c r="B715" i="10"/>
  <c r="D715" i="10"/>
  <c r="F715" i="10"/>
  <c r="B864" i="10"/>
  <c r="D864" i="10"/>
  <c r="F864" i="10"/>
  <c r="B440" i="10"/>
  <c r="D440" i="10"/>
  <c r="F440" i="10"/>
  <c r="B651" i="10"/>
  <c r="D651" i="10"/>
  <c r="F651" i="10"/>
  <c r="B175" i="10"/>
  <c r="D175" i="10"/>
  <c r="F175" i="10"/>
  <c r="B603" i="10"/>
  <c r="D603" i="10"/>
  <c r="F603" i="10"/>
  <c r="B109" i="10"/>
  <c r="D109" i="10"/>
  <c r="F109" i="10"/>
  <c r="B399" i="10"/>
  <c r="D399" i="10"/>
  <c r="F399" i="10"/>
  <c r="B1050" i="10"/>
  <c r="D1050" i="10"/>
  <c r="F1050" i="10"/>
  <c r="B1060" i="10"/>
  <c r="D1060" i="10"/>
  <c r="F1060" i="10"/>
  <c r="B327" i="10"/>
  <c r="D327" i="10"/>
  <c r="F327" i="10"/>
  <c r="B498" i="10"/>
  <c r="D498" i="10"/>
  <c r="F498" i="10"/>
  <c r="B179" i="10"/>
  <c r="D179" i="10"/>
  <c r="F179" i="10"/>
  <c r="B266" i="10"/>
  <c r="D266" i="10"/>
  <c r="F266" i="10"/>
  <c r="B77" i="10"/>
  <c r="D77" i="10"/>
  <c r="F77" i="10"/>
  <c r="B727" i="10"/>
  <c r="D727" i="10"/>
  <c r="F727" i="10"/>
  <c r="B617" i="10"/>
  <c r="D617" i="10"/>
  <c r="F617" i="10"/>
  <c r="B977" i="10"/>
  <c r="D977" i="10"/>
  <c r="F977" i="10"/>
  <c r="B787" i="10"/>
  <c r="D787" i="10"/>
  <c r="F787" i="10"/>
  <c r="B775" i="10"/>
  <c r="D775" i="10"/>
  <c r="F775" i="10"/>
  <c r="B447" i="10"/>
  <c r="D447" i="10"/>
  <c r="F447" i="10"/>
  <c r="B809" i="10"/>
  <c r="D809" i="10"/>
  <c r="F809" i="10"/>
  <c r="B964" i="10"/>
  <c r="D964" i="10"/>
  <c r="F964" i="10"/>
  <c r="B167" i="10"/>
  <c r="D167" i="10"/>
  <c r="F167" i="10"/>
  <c r="B609" i="10"/>
  <c r="D609" i="10"/>
  <c r="F609" i="10"/>
  <c r="B508" i="10"/>
  <c r="D508" i="10"/>
  <c r="F508" i="10"/>
  <c r="B335" i="10"/>
  <c r="D335" i="10"/>
  <c r="F335" i="10"/>
  <c r="B311" i="10"/>
  <c r="D311" i="10"/>
  <c r="F311" i="10"/>
  <c r="B1069" i="10"/>
  <c r="D1069" i="10"/>
  <c r="F1069" i="10"/>
  <c r="B887" i="10"/>
  <c r="D887" i="10"/>
  <c r="F887" i="10"/>
  <c r="B601" i="10"/>
  <c r="D601" i="10"/>
  <c r="F601" i="10"/>
  <c r="B782" i="10"/>
  <c r="D782" i="10"/>
  <c r="F782" i="10"/>
  <c r="B125" i="10"/>
  <c r="D125" i="10"/>
  <c r="F125" i="10"/>
  <c r="B223" i="10"/>
  <c r="D223" i="10"/>
  <c r="F223" i="10"/>
  <c r="B148" i="10"/>
  <c r="D148" i="10"/>
  <c r="F148" i="10"/>
  <c r="B551" i="10"/>
  <c r="D551" i="10"/>
  <c r="F551" i="10"/>
  <c r="B878" i="10"/>
  <c r="D878" i="10"/>
  <c r="F878" i="10"/>
  <c r="B875" i="10"/>
  <c r="D875" i="10"/>
  <c r="F875" i="10"/>
  <c r="B515" i="10"/>
  <c r="D515" i="10"/>
  <c r="F515" i="10"/>
  <c r="B511" i="10"/>
  <c r="D511" i="10"/>
  <c r="F511" i="10"/>
  <c r="B487" i="10"/>
  <c r="D487" i="10"/>
  <c r="F487" i="10"/>
  <c r="B373" i="10"/>
  <c r="D373" i="10"/>
  <c r="F373" i="10"/>
  <c r="B92" i="10"/>
  <c r="D92" i="10"/>
  <c r="F92" i="10"/>
  <c r="B767" i="10"/>
  <c r="D767" i="10"/>
  <c r="F767" i="10"/>
  <c r="B274" i="10"/>
  <c r="D274" i="10"/>
  <c r="F274" i="10"/>
  <c r="B126" i="10"/>
  <c r="D126" i="10"/>
  <c r="F126" i="10"/>
  <c r="B605" i="10"/>
  <c r="D605" i="10"/>
  <c r="F605" i="10"/>
  <c r="B569" i="10"/>
  <c r="D569" i="10"/>
  <c r="F569" i="10"/>
  <c r="B854" i="10"/>
  <c r="D854" i="10"/>
  <c r="F854" i="10"/>
  <c r="B458" i="10"/>
  <c r="D458" i="10"/>
  <c r="F458" i="10"/>
  <c r="B503" i="10"/>
  <c r="D503" i="10"/>
  <c r="F503" i="10"/>
  <c r="B698" i="10"/>
  <c r="D698" i="10"/>
  <c r="F698" i="10"/>
  <c r="B1018" i="10"/>
  <c r="D1018" i="10"/>
  <c r="F1018" i="10"/>
  <c r="B113" i="10"/>
  <c r="D113" i="10"/>
  <c r="F113" i="10"/>
  <c r="B420" i="10"/>
  <c r="D420" i="10"/>
  <c r="F420" i="10"/>
  <c r="B611" i="10"/>
  <c r="D611" i="10"/>
  <c r="F611" i="10"/>
  <c r="B941" i="10"/>
  <c r="D941" i="10"/>
  <c r="F941" i="10"/>
  <c r="B372" i="10"/>
  <c r="D372" i="10"/>
  <c r="F372" i="10"/>
  <c r="B224" i="10"/>
  <c r="D224" i="10"/>
  <c r="F224" i="10"/>
  <c r="B644" i="10"/>
  <c r="D644" i="10"/>
  <c r="F644" i="10"/>
  <c r="B350" i="10"/>
  <c r="D350" i="10"/>
  <c r="F350" i="10"/>
  <c r="B439" i="10"/>
  <c r="D439" i="10"/>
  <c r="F439" i="10"/>
  <c r="B436" i="10"/>
  <c r="D436" i="10"/>
  <c r="F436" i="10"/>
  <c r="B226" i="10"/>
  <c r="D226" i="10"/>
  <c r="F226" i="10"/>
  <c r="B655" i="10"/>
  <c r="D655" i="10"/>
  <c r="F655" i="10"/>
  <c r="B272" i="10"/>
  <c r="D272" i="10"/>
  <c r="F272" i="10"/>
  <c r="B610" i="10"/>
  <c r="D610" i="10"/>
  <c r="F610" i="10"/>
  <c r="B616" i="10"/>
  <c r="D616" i="10"/>
  <c r="F616" i="10"/>
  <c r="B929" i="10"/>
  <c r="D929" i="10"/>
  <c r="F929" i="10"/>
  <c r="B433" i="10"/>
  <c r="D433" i="10"/>
  <c r="F433" i="10"/>
  <c r="B740" i="10"/>
  <c r="D740" i="10"/>
  <c r="F740" i="10"/>
  <c r="B1013" i="10"/>
  <c r="D1013" i="10"/>
  <c r="F1013" i="10"/>
  <c r="B164" i="10"/>
  <c r="D164" i="10"/>
  <c r="F164" i="10"/>
  <c r="B832" i="10"/>
  <c r="D832" i="10"/>
  <c r="F832" i="10"/>
  <c r="B668" i="10"/>
  <c r="D668" i="10"/>
  <c r="F668" i="10"/>
  <c r="B674" i="10"/>
  <c r="D674" i="10"/>
  <c r="F674" i="10"/>
  <c r="B519" i="10"/>
  <c r="D519" i="10"/>
  <c r="F519" i="10"/>
  <c r="B83" i="10"/>
  <c r="D83" i="10"/>
  <c r="F83" i="10"/>
  <c r="B100" i="10"/>
  <c r="D100" i="10"/>
  <c r="F100" i="10"/>
  <c r="B149" i="10"/>
  <c r="D149" i="10"/>
  <c r="F149" i="10"/>
  <c r="B382" i="10"/>
  <c r="D382" i="10"/>
  <c r="F382" i="10"/>
  <c r="B923" i="10"/>
  <c r="D923" i="10"/>
  <c r="F923" i="10"/>
  <c r="B645" i="10"/>
  <c r="D645" i="10"/>
  <c r="F645" i="10"/>
  <c r="B407" i="10"/>
  <c r="D407" i="10"/>
  <c r="F407" i="10"/>
  <c r="B817" i="10"/>
  <c r="D817" i="10"/>
  <c r="F817" i="10"/>
  <c r="B84" i="10"/>
  <c r="D84" i="10"/>
  <c r="F84" i="10"/>
  <c r="B475" i="10"/>
  <c r="D475" i="10"/>
  <c r="F475" i="10"/>
  <c r="B471" i="10"/>
  <c r="D471" i="10"/>
  <c r="F471" i="10"/>
  <c r="B355" i="10"/>
  <c r="D355" i="10"/>
  <c r="F355" i="10"/>
  <c r="B134" i="10"/>
  <c r="D134" i="10"/>
  <c r="F134" i="10"/>
  <c r="B894" i="10"/>
  <c r="D894" i="10"/>
  <c r="F894" i="10"/>
  <c r="B1047" i="10"/>
  <c r="D1047" i="10"/>
  <c r="F1047" i="10"/>
  <c r="B217" i="10"/>
  <c r="D217" i="10"/>
  <c r="F217" i="10"/>
  <c r="B768" i="10"/>
  <c r="D768" i="10"/>
  <c r="F768" i="10"/>
  <c r="B1024" i="10"/>
  <c r="D1024" i="10"/>
  <c r="F1024" i="10"/>
  <c r="B922" i="10"/>
  <c r="D922" i="10"/>
  <c r="F922" i="10"/>
  <c r="B88" i="10"/>
  <c r="D88" i="10"/>
  <c r="F88" i="10"/>
  <c r="B902" i="10"/>
  <c r="D902" i="10"/>
  <c r="F902" i="10"/>
  <c r="B212" i="10"/>
  <c r="D212" i="10"/>
  <c r="F212" i="10"/>
  <c r="B728" i="10"/>
  <c r="D728" i="10"/>
  <c r="F728" i="10"/>
  <c r="B926" i="10"/>
  <c r="D926" i="10"/>
  <c r="F926" i="10"/>
  <c r="B263" i="10"/>
  <c r="D263" i="10"/>
  <c r="F263" i="10"/>
  <c r="B428" i="10"/>
  <c r="D428" i="10"/>
  <c r="F428" i="10"/>
  <c r="B806" i="10"/>
  <c r="D806" i="10"/>
  <c r="F806" i="10"/>
  <c r="B150" i="10"/>
  <c r="D150" i="10"/>
  <c r="F150" i="10"/>
  <c r="B827" i="10"/>
  <c r="D827" i="10"/>
  <c r="F827" i="10"/>
  <c r="B586" i="10"/>
  <c r="D586" i="10"/>
  <c r="F586" i="10"/>
  <c r="B748" i="10"/>
  <c r="D748" i="10"/>
  <c r="F748" i="10"/>
  <c r="B773" i="10"/>
  <c r="D773" i="10"/>
  <c r="F773" i="10"/>
  <c r="B81" i="10"/>
  <c r="D81" i="10"/>
  <c r="F81" i="10"/>
  <c r="B794" i="10"/>
  <c r="D794" i="10"/>
  <c r="F794" i="10"/>
  <c r="B441" i="10"/>
  <c r="D441" i="10"/>
  <c r="F441" i="10"/>
  <c r="B975" i="10"/>
  <c r="D975" i="10"/>
  <c r="F975" i="10"/>
  <c r="B595" i="10"/>
  <c r="D595" i="10"/>
  <c r="F595" i="10"/>
  <c r="B650" i="10"/>
  <c r="D650" i="10"/>
  <c r="F650" i="10"/>
  <c r="B658" i="10"/>
  <c r="D658" i="10"/>
  <c r="F658" i="10"/>
  <c r="B116" i="10"/>
  <c r="D116" i="10"/>
  <c r="F116" i="10"/>
  <c r="B446" i="10"/>
  <c r="D446" i="10"/>
  <c r="F446" i="10"/>
  <c r="B891" i="10"/>
  <c r="D891" i="10"/>
  <c r="F891" i="10"/>
  <c r="B974" i="10"/>
  <c r="D974" i="10"/>
  <c r="F974" i="10"/>
  <c r="B889" i="10"/>
  <c r="D889" i="10"/>
  <c r="F889" i="10"/>
  <c r="B840" i="10"/>
  <c r="D840" i="10"/>
  <c r="F840" i="10"/>
  <c r="B538" i="10"/>
  <c r="D538" i="10"/>
  <c r="F538" i="10"/>
  <c r="B309" i="10"/>
  <c r="D309" i="10"/>
  <c r="F309" i="10"/>
  <c r="B255" i="10"/>
  <c r="D255" i="10"/>
  <c r="F255" i="10"/>
  <c r="B798" i="10"/>
  <c r="D798" i="10"/>
  <c r="F798" i="10"/>
  <c r="B401" i="10"/>
  <c r="D401" i="10"/>
  <c r="F401" i="10"/>
  <c r="B474" i="10"/>
  <c r="D474" i="10"/>
  <c r="F474" i="10"/>
  <c r="B1025" i="10"/>
  <c r="D1025" i="10"/>
  <c r="F1025" i="10"/>
  <c r="B405" i="10"/>
  <c r="D405" i="10"/>
  <c r="F405" i="10"/>
  <c r="B648" i="10"/>
  <c r="D648" i="10"/>
  <c r="F648" i="10"/>
  <c r="B533" i="10"/>
  <c r="D533" i="10"/>
  <c r="F533" i="10"/>
  <c r="B308" i="10"/>
  <c r="D308" i="10"/>
  <c r="F308" i="10"/>
  <c r="B507" i="10"/>
  <c r="D507" i="10"/>
  <c r="F507" i="10"/>
  <c r="B702" i="10"/>
  <c r="D702" i="10"/>
  <c r="F702" i="10"/>
  <c r="B286" i="10"/>
  <c r="D286" i="10"/>
  <c r="F286" i="10"/>
  <c r="B215" i="10"/>
  <c r="D215" i="10"/>
  <c r="F215" i="10"/>
  <c r="B556" i="10"/>
  <c r="D556" i="10"/>
  <c r="F556" i="10"/>
  <c r="B634" i="10"/>
  <c r="D634" i="10"/>
  <c r="F634" i="10"/>
  <c r="B325" i="10"/>
  <c r="D325" i="10"/>
  <c r="F325" i="10"/>
  <c r="B705" i="10"/>
  <c r="D705" i="10"/>
  <c r="F705" i="10"/>
  <c r="B951" i="10"/>
  <c r="D951" i="10"/>
  <c r="F951" i="10"/>
  <c r="B222" i="10"/>
  <c r="D222" i="10"/>
  <c r="F222" i="10"/>
  <c r="B269" i="10"/>
  <c r="D269" i="10"/>
  <c r="F269" i="10"/>
  <c r="B637" i="10"/>
  <c r="D637" i="10"/>
  <c r="F637" i="10"/>
  <c r="B912" i="10"/>
  <c r="D912" i="10"/>
  <c r="F912" i="10"/>
  <c r="B368" i="10"/>
  <c r="D368" i="10"/>
  <c r="F368" i="10"/>
  <c r="B991" i="10"/>
  <c r="D991" i="10"/>
  <c r="F991" i="10"/>
  <c r="B828" i="10"/>
  <c r="D828" i="10"/>
  <c r="F828" i="10"/>
  <c r="B584" i="10"/>
  <c r="D584" i="10"/>
  <c r="F584" i="10"/>
  <c r="B102" i="10"/>
  <c r="D102" i="10"/>
  <c r="F102" i="10"/>
  <c r="B385" i="10"/>
  <c r="D385" i="10"/>
  <c r="F385" i="10"/>
  <c r="B725" i="10"/>
  <c r="D725" i="10"/>
  <c r="F725" i="10"/>
  <c r="B627" i="10"/>
  <c r="D627" i="10"/>
  <c r="F627" i="10"/>
  <c r="B377" i="10"/>
  <c r="D377" i="10"/>
  <c r="F377" i="10"/>
  <c r="B193" i="10"/>
  <c r="D193" i="10"/>
  <c r="F193" i="10"/>
  <c r="B161" i="10"/>
  <c r="D161" i="10"/>
  <c r="F161" i="10"/>
  <c r="B1052" i="10"/>
  <c r="D1052" i="10"/>
  <c r="F1052" i="10"/>
  <c r="B724" i="10"/>
  <c r="D724" i="10"/>
  <c r="F724" i="10"/>
  <c r="B231" i="10"/>
  <c r="D231" i="10"/>
  <c r="F231" i="10"/>
  <c r="B176" i="10"/>
  <c r="D176" i="10"/>
  <c r="F176" i="10"/>
  <c r="B501" i="10"/>
  <c r="D501" i="10"/>
  <c r="F501" i="10"/>
  <c r="B972" i="10"/>
  <c r="D972" i="10"/>
  <c r="F972" i="10"/>
  <c r="B952" i="10"/>
  <c r="D952" i="10"/>
  <c r="F952" i="10"/>
  <c r="B165" i="10"/>
  <c r="D165" i="10"/>
  <c r="F165" i="10"/>
  <c r="B726" i="10"/>
  <c r="D726" i="10"/>
  <c r="F726" i="10"/>
  <c r="B757" i="10"/>
  <c r="D757" i="10"/>
  <c r="F757" i="10"/>
  <c r="B780" i="10"/>
  <c r="D780" i="10"/>
  <c r="F780" i="10"/>
  <c r="B909" i="10"/>
  <c r="D909" i="10"/>
  <c r="F909" i="10"/>
  <c r="B502" i="10"/>
  <c r="D502" i="10"/>
  <c r="F502" i="10"/>
  <c r="B942" i="10"/>
  <c r="D942" i="10"/>
  <c r="F942" i="10"/>
  <c r="B82" i="10"/>
  <c r="D82" i="10"/>
  <c r="F82" i="10"/>
  <c r="B776" i="10"/>
  <c r="D776" i="10"/>
  <c r="F776" i="10"/>
  <c r="B461" i="10"/>
  <c r="D461" i="10"/>
  <c r="F461" i="10"/>
  <c r="B321" i="10"/>
  <c r="D321" i="10"/>
  <c r="F321" i="10"/>
  <c r="B305" i="10"/>
  <c r="D305" i="10"/>
  <c r="F305" i="10"/>
  <c r="B195" i="10"/>
  <c r="D195" i="10"/>
  <c r="F195" i="10"/>
  <c r="B901" i="10"/>
  <c r="D901" i="10"/>
  <c r="F901" i="10"/>
  <c r="B485" i="10"/>
  <c r="D485" i="10"/>
  <c r="F485" i="10"/>
  <c r="B830" i="10"/>
  <c r="D830" i="10"/>
  <c r="F830" i="10"/>
  <c r="B460" i="10"/>
  <c r="D460" i="10"/>
  <c r="F460" i="10"/>
  <c r="B307" i="10"/>
  <c r="D307" i="10"/>
  <c r="F307" i="10"/>
  <c r="B366" i="10"/>
  <c r="D366" i="10"/>
  <c r="F366" i="10"/>
  <c r="B196" i="10"/>
  <c r="D196" i="10"/>
  <c r="F196" i="10"/>
  <c r="B793" i="10"/>
  <c r="D793" i="10"/>
  <c r="F793" i="10"/>
  <c r="B352" i="10"/>
  <c r="D352" i="10"/>
  <c r="F352" i="10"/>
  <c r="B772" i="10"/>
  <c r="D772" i="10"/>
  <c r="F772" i="10"/>
  <c r="B99" i="10"/>
  <c r="D99" i="10"/>
  <c r="F99" i="10"/>
  <c r="B860" i="10"/>
  <c r="D860" i="10"/>
  <c r="F860" i="10"/>
  <c r="B381" i="10"/>
  <c r="D381" i="10"/>
  <c r="F381" i="10"/>
  <c r="B790" i="10"/>
  <c r="D790" i="10"/>
  <c r="F790" i="10"/>
  <c r="B463" i="10"/>
  <c r="D463" i="10"/>
  <c r="F463" i="10"/>
  <c r="B206" i="10"/>
  <c r="D206" i="10"/>
  <c r="F206" i="10"/>
  <c r="B453" i="10"/>
  <c r="D453" i="10"/>
  <c r="F453" i="10"/>
  <c r="B802" i="10"/>
  <c r="D802" i="10"/>
  <c r="F802" i="10"/>
  <c r="B1003" i="10"/>
  <c r="D1003" i="10"/>
  <c r="F1003" i="10"/>
  <c r="B310" i="10"/>
  <c r="D310" i="10"/>
  <c r="F310" i="10"/>
  <c r="B524" i="10"/>
  <c r="D524" i="10"/>
  <c r="F524" i="10"/>
  <c r="B122" i="10"/>
  <c r="D122" i="10"/>
  <c r="F122" i="10"/>
  <c r="B612" i="10"/>
  <c r="D612" i="10"/>
  <c r="F612" i="10"/>
  <c r="B130" i="10"/>
  <c r="D130" i="10"/>
  <c r="F130" i="10"/>
  <c r="B204" i="10"/>
  <c r="D204" i="10"/>
  <c r="F204" i="10"/>
  <c r="B468" i="10"/>
  <c r="D468" i="10"/>
  <c r="F468" i="10"/>
  <c r="B87" i="10"/>
  <c r="D87" i="10"/>
  <c r="F87" i="10"/>
  <c r="B784" i="10"/>
  <c r="D784" i="10"/>
  <c r="F784" i="10"/>
  <c r="B219" i="10"/>
  <c r="D219" i="10"/>
  <c r="F219" i="10"/>
  <c r="B499" i="10"/>
  <c r="D499" i="10"/>
  <c r="F499" i="10"/>
  <c r="B154" i="10"/>
  <c r="D154" i="10"/>
  <c r="F154" i="10"/>
  <c r="B232" i="10"/>
  <c r="D232" i="10"/>
  <c r="F232" i="10"/>
  <c r="B688" i="10"/>
  <c r="D688" i="10"/>
  <c r="F688" i="10"/>
  <c r="B518" i="10"/>
  <c r="D518" i="10"/>
  <c r="F518" i="10"/>
  <c r="B432" i="10"/>
  <c r="D432" i="10"/>
  <c r="F432" i="10"/>
  <c r="B789" i="10"/>
  <c r="D789" i="10"/>
  <c r="F789" i="10"/>
  <c r="B580" i="10"/>
  <c r="D580" i="10"/>
  <c r="F580" i="10"/>
  <c r="B581" i="10"/>
  <c r="D581" i="10"/>
  <c r="F581" i="10"/>
  <c r="B1017" i="10"/>
  <c r="D1017" i="10"/>
  <c r="F1017" i="10"/>
  <c r="B696" i="10"/>
  <c r="D696" i="10"/>
  <c r="F696" i="10"/>
  <c r="B1026" i="10"/>
  <c r="D1026" i="10"/>
  <c r="F1026" i="10"/>
  <c r="B203" i="10"/>
  <c r="D203" i="10"/>
  <c r="F203" i="10"/>
  <c r="B532" i="10"/>
  <c r="D532" i="10"/>
  <c r="F532" i="10"/>
  <c r="B136" i="10"/>
  <c r="D136" i="10"/>
  <c r="F136" i="10"/>
  <c r="B483" i="10"/>
  <c r="D483" i="10"/>
  <c r="F483" i="10"/>
  <c r="B278" i="10"/>
  <c r="D278" i="10"/>
  <c r="F278" i="10"/>
  <c r="B188" i="10"/>
  <c r="D188" i="10"/>
  <c r="F188" i="10"/>
  <c r="B762" i="10"/>
  <c r="D762" i="10"/>
  <c r="F762" i="10"/>
  <c r="B961" i="10"/>
  <c r="D961" i="10"/>
  <c r="F961" i="10"/>
  <c r="B957" i="10"/>
  <c r="D957" i="10"/>
  <c r="F957" i="10"/>
  <c r="B91" i="10"/>
  <c r="D91" i="10"/>
  <c r="F91" i="10"/>
  <c r="B497" i="10"/>
  <c r="D497" i="10"/>
  <c r="F497" i="10"/>
  <c r="B966" i="10"/>
  <c r="D966" i="10"/>
  <c r="F966" i="10"/>
  <c r="B158" i="10"/>
  <c r="D158" i="10"/>
  <c r="F158" i="10"/>
  <c r="B239" i="10"/>
  <c r="D239" i="10"/>
  <c r="F239" i="10"/>
  <c r="B494" i="10"/>
  <c r="D494" i="10"/>
  <c r="F494" i="10"/>
  <c r="B578" i="10"/>
  <c r="D578" i="10"/>
  <c r="F578" i="10"/>
  <c r="B123" i="10"/>
  <c r="D123" i="10"/>
  <c r="F123" i="10"/>
  <c r="B90" i="10"/>
  <c r="D90" i="10"/>
  <c r="F90" i="10"/>
  <c r="B791" i="10"/>
  <c r="D791" i="10"/>
  <c r="F791" i="10"/>
  <c r="B329" i="10"/>
  <c r="D329" i="10"/>
  <c r="F329" i="10"/>
  <c r="B78" i="10"/>
  <c r="D78" i="10"/>
  <c r="F78" i="10"/>
  <c r="B243" i="10"/>
  <c r="D243" i="10"/>
  <c r="F243" i="10"/>
  <c r="B697" i="10"/>
  <c r="D697" i="10"/>
  <c r="F697" i="10"/>
  <c r="B512" i="10"/>
  <c r="D512" i="10"/>
  <c r="F512" i="10"/>
  <c r="B526" i="10"/>
  <c r="D526" i="10"/>
  <c r="F526" i="10"/>
  <c r="B842" i="10"/>
  <c r="D842" i="10"/>
  <c r="F842" i="10"/>
  <c r="B1045" i="10"/>
  <c r="D1045" i="10"/>
  <c r="F1045" i="10"/>
  <c r="B160" i="10"/>
  <c r="D160" i="10"/>
  <c r="F160" i="10"/>
  <c r="B769" i="10"/>
  <c r="D769" i="10"/>
  <c r="F769" i="10"/>
  <c r="B906" i="10"/>
  <c r="D906" i="10"/>
  <c r="F906" i="10"/>
  <c r="B899" i="10"/>
  <c r="D899" i="10"/>
  <c r="F899" i="10"/>
  <c r="B546" i="10"/>
  <c r="D546" i="10"/>
  <c r="F546" i="10"/>
  <c r="B75" i="10"/>
  <c r="D75" i="10"/>
  <c r="E75" i="10"/>
  <c r="F75" i="10"/>
  <c r="G75" i="10"/>
  <c r="B1012" i="10"/>
  <c r="D1012" i="10"/>
  <c r="F1012" i="10"/>
  <c r="B944" i="10"/>
  <c r="D944" i="10"/>
  <c r="F944" i="10"/>
  <c r="B915" i="10"/>
  <c r="D915" i="10"/>
  <c r="F915" i="10"/>
  <c r="B620" i="10"/>
  <c r="D620" i="10"/>
  <c r="F620" i="10"/>
  <c r="B1051" i="10"/>
  <c r="D1051" i="10"/>
  <c r="F1051" i="10"/>
  <c r="B115" i="10"/>
  <c r="D115" i="10"/>
  <c r="F115" i="10"/>
  <c r="B1046" i="10"/>
  <c r="D1046" i="10"/>
  <c r="F1046" i="10"/>
  <c r="B416" i="10"/>
  <c r="D416" i="10"/>
  <c r="F416" i="10"/>
  <c r="B1009" i="10"/>
  <c r="D1009" i="10"/>
  <c r="F1009" i="10"/>
  <c r="B897" i="10"/>
  <c r="D897" i="10"/>
  <c r="F897" i="10"/>
  <c r="B280" i="10"/>
  <c r="D280" i="10"/>
  <c r="F280" i="10"/>
  <c r="B374" i="10"/>
  <c r="D374" i="10"/>
  <c r="F374" i="10"/>
  <c r="B258" i="10"/>
  <c r="D258" i="10"/>
  <c r="F258" i="10"/>
  <c r="B713" i="10"/>
  <c r="D713" i="10"/>
  <c r="F713" i="10"/>
  <c r="B606" i="10"/>
  <c r="D606" i="10"/>
  <c r="F606" i="10"/>
  <c r="B395" i="10"/>
  <c r="D395" i="10"/>
  <c r="F395" i="10"/>
  <c r="B734" i="10"/>
  <c r="D734" i="10"/>
  <c r="F734" i="10"/>
  <c r="B192" i="10"/>
  <c r="D192" i="10"/>
  <c r="F192" i="10"/>
  <c r="B883" i="10"/>
  <c r="D883" i="10"/>
  <c r="F883" i="10"/>
  <c r="B896" i="10"/>
  <c r="D896" i="10"/>
  <c r="F896" i="10"/>
  <c r="B570" i="10"/>
  <c r="D570" i="10"/>
  <c r="F570" i="10"/>
  <c r="B632" i="10"/>
  <c r="D632" i="10"/>
  <c r="F632" i="10"/>
  <c r="B251" i="10"/>
  <c r="D251" i="10"/>
  <c r="F251" i="10"/>
  <c r="B496" i="10"/>
  <c r="D496" i="10"/>
  <c r="F496" i="10"/>
  <c r="B360" i="10"/>
  <c r="D360" i="10"/>
  <c r="F360" i="10"/>
  <c r="B984" i="10"/>
  <c r="D984" i="10"/>
  <c r="F984" i="10"/>
  <c r="B628" i="10"/>
  <c r="D628" i="10"/>
  <c r="F628" i="10"/>
  <c r="B371" i="10"/>
  <c r="D371" i="10"/>
  <c r="F371" i="10"/>
  <c r="B438" i="10"/>
  <c r="D438" i="10"/>
  <c r="F438" i="10"/>
  <c r="B841" i="10"/>
  <c r="D841" i="10"/>
  <c r="F841" i="10"/>
  <c r="B624" i="10"/>
  <c r="D624" i="10"/>
  <c r="F624" i="10"/>
  <c r="B1074" i="10"/>
  <c r="D1074" i="10"/>
  <c r="F1074" i="10"/>
  <c r="B304" i="10"/>
  <c r="D304" i="10"/>
  <c r="F304" i="10"/>
  <c r="B365" i="10"/>
  <c r="D365" i="10"/>
  <c r="F365" i="10"/>
  <c r="B709" i="10"/>
  <c r="D709" i="10"/>
  <c r="F709" i="10"/>
  <c r="B449" i="10"/>
  <c r="D449" i="10"/>
  <c r="F449" i="10"/>
  <c r="B398" i="10"/>
  <c r="D398" i="10"/>
  <c r="F398" i="10"/>
  <c r="B614" i="10"/>
  <c r="D614" i="10"/>
  <c r="F614" i="10"/>
  <c r="B244" i="10"/>
  <c r="D244" i="10"/>
  <c r="F244" i="10"/>
  <c r="B424" i="10"/>
  <c r="D424" i="10"/>
  <c r="F424" i="10"/>
  <c r="B151" i="10"/>
  <c r="D151" i="10"/>
  <c r="F151" i="10"/>
  <c r="B330" i="10"/>
  <c r="D330" i="10"/>
  <c r="F330" i="10"/>
  <c r="B169" i="10"/>
  <c r="D169" i="10"/>
  <c r="F169" i="10"/>
  <c r="B520" i="10"/>
  <c r="D520" i="10"/>
  <c r="F520" i="10"/>
  <c r="B898" i="10"/>
  <c r="D898" i="10"/>
  <c r="F898" i="10"/>
  <c r="B998" i="10"/>
  <c r="D998" i="10"/>
  <c r="F998" i="10"/>
  <c r="B695" i="10"/>
  <c r="D695" i="10"/>
  <c r="F695" i="10"/>
  <c r="B477" i="10"/>
  <c r="D477" i="10"/>
  <c r="F477" i="10"/>
  <c r="B387" i="10"/>
  <c r="D387" i="10"/>
  <c r="F387" i="10"/>
  <c r="B973" i="10"/>
  <c r="D973" i="10"/>
  <c r="F973" i="10"/>
  <c r="B268" i="10"/>
  <c r="D268" i="10"/>
  <c r="F268" i="10"/>
  <c r="B872" i="10"/>
  <c r="D872" i="10"/>
  <c r="F872" i="10"/>
  <c r="B386" i="10"/>
  <c r="D386" i="10"/>
  <c r="F386" i="10"/>
  <c r="B758" i="10"/>
  <c r="D758" i="10"/>
  <c r="F758" i="10"/>
  <c r="B561" i="10"/>
  <c r="D561" i="10"/>
  <c r="F561" i="10"/>
  <c r="B139" i="10"/>
  <c r="D139" i="10"/>
  <c r="F139" i="10"/>
  <c r="B669" i="10"/>
  <c r="D669" i="10"/>
  <c r="F669" i="10"/>
  <c r="B667" i="10"/>
  <c r="D667" i="10"/>
  <c r="F667" i="10"/>
  <c r="B97" i="10"/>
  <c r="D97" i="10"/>
  <c r="F97" i="10"/>
  <c r="B504" i="10"/>
  <c r="D504" i="10"/>
  <c r="F504" i="10"/>
  <c r="B358" i="10"/>
  <c r="D358" i="10"/>
  <c r="F358" i="10"/>
  <c r="B982" i="10"/>
  <c r="D982" i="10"/>
  <c r="F982" i="10"/>
  <c r="B429" i="10"/>
  <c r="D429" i="10"/>
  <c r="F429" i="10"/>
  <c r="B636" i="10"/>
  <c r="D636" i="10"/>
  <c r="F636" i="10"/>
  <c r="B187" i="10"/>
  <c r="D187" i="10"/>
  <c r="F187" i="10"/>
  <c r="B410" i="10"/>
  <c r="D410" i="10"/>
  <c r="F410" i="10"/>
  <c r="B112" i="10"/>
  <c r="D112" i="10"/>
  <c r="F112" i="10"/>
  <c r="B392" i="10"/>
  <c r="D392" i="10"/>
  <c r="F392" i="10"/>
  <c r="B367" i="10"/>
  <c r="D367" i="10"/>
  <c r="F367" i="10"/>
  <c r="B661" i="10"/>
  <c r="D661" i="10"/>
  <c r="F661" i="10"/>
  <c r="B94" i="10"/>
  <c r="D94" i="10"/>
  <c r="F94" i="10"/>
  <c r="B884" i="10"/>
  <c r="D884" i="10"/>
  <c r="F884" i="10"/>
  <c r="B994" i="10"/>
  <c r="D994" i="10"/>
  <c r="F994" i="10"/>
  <c r="B710" i="10"/>
  <c r="D710" i="10"/>
  <c r="F710" i="10"/>
  <c r="B351" i="10"/>
  <c r="D351" i="10"/>
  <c r="F351" i="10"/>
  <c r="B491" i="10"/>
  <c r="D491" i="10"/>
  <c r="F491" i="10"/>
  <c r="B147" i="10"/>
  <c r="D147" i="10"/>
  <c r="F147" i="10"/>
  <c r="B336" i="10"/>
  <c r="D336" i="10"/>
  <c r="F336" i="10"/>
  <c r="B729" i="10"/>
  <c r="D729" i="10"/>
  <c r="F729" i="10"/>
  <c r="B816" i="10"/>
  <c r="D816" i="10"/>
  <c r="F816" i="10"/>
  <c r="B390" i="10"/>
  <c r="D390" i="10"/>
  <c r="F390" i="10"/>
  <c r="B425" i="10"/>
  <c r="D425" i="10"/>
  <c r="F425" i="10"/>
  <c r="B291" i="10"/>
  <c r="D291" i="10"/>
  <c r="F291" i="10"/>
  <c r="B1016" i="10"/>
  <c r="D1016" i="10"/>
  <c r="F1016" i="10"/>
  <c r="B1037" i="10"/>
  <c r="D1037" i="10"/>
  <c r="F1037" i="10"/>
  <c r="B812" i="10"/>
  <c r="D812" i="10"/>
  <c r="F812" i="10"/>
  <c r="B819" i="10"/>
  <c r="D819" i="10"/>
  <c r="F819" i="10"/>
  <c r="B514" i="10"/>
  <c r="D514" i="10"/>
  <c r="F514" i="10"/>
  <c r="B220" i="10"/>
  <c r="D220" i="10"/>
  <c r="F220" i="10"/>
  <c r="B1030" i="10"/>
  <c r="D1030" i="10"/>
  <c r="F1030" i="10"/>
  <c r="B482" i="10"/>
  <c r="D482" i="10"/>
  <c r="F482" i="10"/>
  <c r="B826" i="10"/>
  <c r="D826" i="10"/>
  <c r="F826" i="10"/>
  <c r="B760" i="10"/>
  <c r="D760" i="10"/>
  <c r="F760" i="10"/>
  <c r="B831" i="10"/>
  <c r="D831" i="10"/>
  <c r="F831" i="10"/>
  <c r="B292" i="10"/>
  <c r="D292" i="10"/>
  <c r="F292" i="10"/>
  <c r="B316" i="10"/>
  <c r="D316" i="10"/>
  <c r="F316" i="10"/>
  <c r="B462" i="10"/>
  <c r="D462" i="10"/>
  <c r="F462" i="10"/>
  <c r="B178" i="10"/>
  <c r="D178" i="10"/>
  <c r="F178" i="10"/>
  <c r="B737" i="10"/>
  <c r="D737" i="10"/>
  <c r="F737" i="10"/>
  <c r="B338" i="10"/>
  <c r="D338" i="10"/>
  <c r="F338" i="10"/>
  <c r="B207" i="10"/>
  <c r="D207" i="10"/>
  <c r="F207" i="10"/>
  <c r="B890" i="10"/>
  <c r="D890" i="10"/>
  <c r="F890" i="10"/>
  <c r="B347" i="10"/>
  <c r="D347" i="10"/>
  <c r="F347" i="10"/>
  <c r="B835" i="10"/>
  <c r="D835" i="10"/>
  <c r="F835" i="10"/>
  <c r="B493" i="10"/>
  <c r="D493" i="10"/>
  <c r="F493" i="10"/>
  <c r="B720" i="10"/>
  <c r="D720" i="10"/>
  <c r="F720" i="10"/>
  <c r="B859" i="10"/>
  <c r="D859" i="10"/>
  <c r="F859" i="10"/>
  <c r="B968" i="10"/>
  <c r="D968" i="10"/>
  <c r="F968" i="10"/>
  <c r="B322" i="10"/>
  <c r="D322" i="10"/>
  <c r="F322" i="10"/>
  <c r="B282" i="10"/>
  <c r="D282" i="10"/>
  <c r="F282" i="10"/>
  <c r="B228" i="10"/>
  <c r="D228" i="10"/>
  <c r="F228" i="10"/>
  <c r="B513" i="10"/>
  <c r="D513" i="10"/>
  <c r="F513" i="10"/>
  <c r="B986" i="10"/>
  <c r="D986" i="10"/>
  <c r="F986" i="10"/>
  <c r="B608" i="10"/>
  <c r="D608" i="10"/>
  <c r="F608" i="10"/>
  <c r="B312" i="10"/>
  <c r="D312" i="10"/>
  <c r="F312" i="10"/>
  <c r="B685" i="10"/>
  <c r="D685" i="10"/>
  <c r="F685" i="10"/>
  <c r="B838" i="10"/>
  <c r="D838" i="10"/>
  <c r="F838" i="10"/>
  <c r="B271" i="10"/>
  <c r="D271" i="10"/>
  <c r="F271" i="10"/>
  <c r="B375" i="10"/>
  <c r="D375" i="10"/>
  <c r="F375" i="10"/>
  <c r="B950" i="10"/>
  <c r="D950" i="10"/>
  <c r="F950" i="10"/>
  <c r="B120" i="10"/>
  <c r="D120" i="10"/>
  <c r="F120" i="10"/>
  <c r="B564" i="10"/>
  <c r="D564" i="10"/>
  <c r="F564" i="10"/>
  <c r="B93" i="10"/>
  <c r="D93" i="10"/>
  <c r="F93" i="10"/>
  <c r="B754" i="10"/>
  <c r="D754" i="10"/>
  <c r="F754" i="10"/>
  <c r="B717" i="10"/>
  <c r="D717" i="10"/>
  <c r="F717" i="10"/>
  <c r="B247" i="10"/>
  <c r="D247" i="10"/>
  <c r="F247" i="10"/>
  <c r="B108" i="10"/>
  <c r="D108" i="10"/>
  <c r="F108" i="10"/>
  <c r="B653" i="10"/>
  <c r="D653" i="10"/>
  <c r="F653" i="10"/>
  <c r="B259" i="10"/>
  <c r="D259" i="10"/>
  <c r="F259" i="10"/>
  <c r="B210" i="10"/>
  <c r="D210" i="10"/>
  <c r="F210" i="10"/>
  <c r="B714" i="10"/>
  <c r="D714" i="10"/>
  <c r="F714" i="10"/>
  <c r="B600" i="10"/>
  <c r="D600" i="10"/>
  <c r="F600" i="10"/>
  <c r="B1014" i="10"/>
  <c r="D1014" i="10"/>
  <c r="F1014" i="10"/>
  <c r="B1040" i="10"/>
  <c r="D1040" i="10"/>
  <c r="F1040" i="10"/>
  <c r="B619" i="10"/>
  <c r="D619" i="10"/>
  <c r="F619" i="10"/>
  <c r="B174" i="10"/>
  <c r="D174" i="10"/>
  <c r="F174" i="10"/>
  <c r="B579" i="10"/>
  <c r="D579" i="10"/>
  <c r="F579" i="10"/>
  <c r="B550" i="10"/>
  <c r="D550" i="10"/>
  <c r="F550" i="10"/>
  <c r="B141" i="10"/>
  <c r="D141" i="10"/>
  <c r="F141" i="10"/>
  <c r="B531" i="10"/>
  <c r="D531" i="10"/>
  <c r="F531" i="10"/>
  <c r="B359" i="10"/>
  <c r="D359" i="10"/>
  <c r="F359" i="10"/>
  <c r="B558" i="10"/>
  <c r="D558" i="10"/>
  <c r="F558" i="10"/>
  <c r="B703" i="10"/>
  <c r="D703" i="10"/>
  <c r="F703" i="10"/>
  <c r="B500" i="10"/>
  <c r="D500" i="10"/>
  <c r="F500" i="10"/>
  <c r="B353" i="10"/>
  <c r="D353" i="10"/>
  <c r="F353" i="10"/>
  <c r="B867" i="10"/>
  <c r="D867" i="10"/>
  <c r="F867" i="10"/>
  <c r="B284" i="10"/>
  <c r="D284" i="10"/>
  <c r="F284" i="10"/>
  <c r="B739" i="10"/>
  <c r="D739" i="10"/>
  <c r="F739" i="10"/>
  <c r="B992" i="10"/>
  <c r="D992" i="10"/>
  <c r="F992" i="10"/>
  <c r="B252" i="10"/>
  <c r="D252" i="10"/>
  <c r="F252" i="10"/>
  <c r="B1033" i="10"/>
  <c r="D1033" i="10"/>
  <c r="F1033" i="10"/>
  <c r="B418" i="10"/>
  <c r="D418" i="10"/>
  <c r="F418" i="10"/>
  <c r="B80" i="10"/>
  <c r="D80" i="10"/>
  <c r="F80" i="10"/>
  <c r="B406" i="10"/>
  <c r="D406" i="10"/>
  <c r="F406" i="10"/>
  <c r="B920" i="10"/>
  <c r="D920" i="10"/>
  <c r="F920" i="10"/>
  <c r="B732" i="10"/>
  <c r="D732" i="10"/>
  <c r="F732" i="10"/>
  <c r="B663" i="10"/>
  <c r="D663" i="10"/>
  <c r="F663" i="10"/>
  <c r="B681" i="10"/>
  <c r="D681" i="10"/>
  <c r="F681" i="10"/>
  <c r="B879" i="10"/>
  <c r="D879" i="10"/>
  <c r="F879" i="10"/>
  <c r="B200" i="10"/>
  <c r="D200" i="10"/>
  <c r="F200" i="10"/>
  <c r="B881" i="10"/>
  <c r="D881" i="10"/>
  <c r="F881" i="10"/>
  <c r="B673" i="10"/>
  <c r="D673" i="10"/>
  <c r="F673" i="10"/>
  <c r="B981" i="10"/>
  <c r="D981" i="10"/>
  <c r="F981" i="10"/>
  <c r="B777" i="10"/>
  <c r="D777" i="10"/>
  <c r="F777" i="10"/>
  <c r="B646" i="10"/>
  <c r="D646" i="10"/>
  <c r="F646" i="10"/>
  <c r="B593" i="10"/>
  <c r="D593" i="10"/>
  <c r="F593" i="10"/>
  <c r="B430" i="10"/>
  <c r="D430" i="10"/>
  <c r="F430" i="10"/>
  <c r="B824" i="10"/>
  <c r="D824" i="10"/>
  <c r="F824" i="10"/>
  <c r="B302" i="10"/>
  <c r="D302" i="10"/>
  <c r="F302" i="10"/>
  <c r="B971" i="10"/>
  <c r="D971" i="10"/>
  <c r="F971" i="10"/>
  <c r="B684" i="10"/>
  <c r="D684" i="10"/>
  <c r="F684" i="10"/>
  <c r="B662" i="10"/>
  <c r="D662" i="10"/>
  <c r="F662" i="10"/>
  <c r="B956" i="10"/>
  <c r="D956" i="10"/>
  <c r="F956" i="10"/>
  <c r="B469" i="10"/>
  <c r="D469" i="10"/>
  <c r="F469" i="10"/>
  <c r="B394" i="10"/>
  <c r="D394" i="10"/>
  <c r="F394" i="10"/>
  <c r="B576" i="10"/>
  <c r="D576" i="10"/>
  <c r="F576" i="10"/>
  <c r="B443" i="10"/>
  <c r="D443" i="10"/>
  <c r="F443" i="10"/>
  <c r="B623" i="10"/>
  <c r="D623" i="10"/>
  <c r="F623" i="10"/>
  <c r="B544" i="10"/>
  <c r="D544" i="10"/>
  <c r="F544" i="10"/>
  <c r="B749" i="10"/>
  <c r="D749" i="10"/>
  <c r="F749" i="10"/>
  <c r="B880" i="10"/>
  <c r="D880" i="10"/>
  <c r="F880" i="10"/>
  <c r="B940" i="10"/>
  <c r="D940" i="10"/>
  <c r="F940" i="10"/>
  <c r="B535" i="10"/>
  <c r="D535" i="10"/>
  <c r="F535" i="10"/>
  <c r="B980" i="10"/>
  <c r="D980" i="10"/>
  <c r="F980" i="10"/>
  <c r="B849" i="10"/>
  <c r="D849" i="10"/>
  <c r="F849" i="10"/>
  <c r="B822" i="10"/>
  <c r="D822" i="10"/>
  <c r="F822" i="10"/>
  <c r="B1073" i="10"/>
  <c r="D1073" i="10"/>
  <c r="F1073" i="10"/>
  <c r="B983" i="10"/>
  <c r="D983" i="10"/>
  <c r="F983" i="10"/>
  <c r="B356" i="10"/>
  <c r="D356" i="10"/>
  <c r="F356" i="10"/>
  <c r="B267" i="10"/>
  <c r="D267" i="10"/>
  <c r="F267" i="10"/>
  <c r="B752" i="10"/>
  <c r="D752" i="10"/>
  <c r="F752" i="10"/>
  <c r="B484" i="10"/>
  <c r="D484" i="10"/>
  <c r="F484" i="10"/>
  <c r="B127" i="10"/>
  <c r="D127" i="10"/>
  <c r="F127" i="10"/>
  <c r="B718" i="10"/>
  <c r="D718" i="10"/>
  <c r="F718" i="10"/>
  <c r="B303" i="10"/>
  <c r="D303" i="10"/>
  <c r="F303" i="10"/>
  <c r="B397" i="10"/>
  <c r="D397" i="10"/>
  <c r="F397" i="10"/>
  <c r="B691" i="10"/>
  <c r="D691" i="10"/>
  <c r="F691" i="10"/>
  <c r="B665" i="10"/>
  <c r="D665" i="10"/>
  <c r="F665" i="10"/>
  <c r="B213" i="10"/>
  <c r="D213" i="10"/>
  <c r="F213" i="10"/>
  <c r="B970" i="10"/>
  <c r="D970" i="10"/>
  <c r="F970" i="10"/>
  <c r="B378" i="10"/>
  <c r="D378" i="10"/>
  <c r="F378" i="10"/>
  <c r="B517" i="10"/>
  <c r="D517" i="10"/>
  <c r="F517" i="10"/>
  <c r="B333" i="10"/>
  <c r="D333" i="10"/>
  <c r="F333" i="10"/>
  <c r="B852" i="10"/>
  <c r="D852" i="10"/>
  <c r="F852" i="10"/>
  <c r="B505" i="10"/>
  <c r="D505" i="10"/>
  <c r="F505" i="10"/>
  <c r="B273" i="10"/>
  <c r="D273" i="10"/>
  <c r="F273" i="10"/>
  <c r="B547" i="10"/>
  <c r="D547" i="10"/>
  <c r="F547" i="10"/>
  <c r="B850" i="10"/>
  <c r="D850" i="10"/>
  <c r="F850" i="10"/>
  <c r="B596" i="10"/>
  <c r="D596" i="10"/>
  <c r="F596" i="10"/>
  <c r="B492" i="10"/>
  <c r="D492" i="10"/>
  <c r="F492" i="10"/>
  <c r="B947" i="10"/>
  <c r="D947" i="10"/>
  <c r="F947" i="10"/>
  <c r="B362" i="10"/>
  <c r="D362" i="10"/>
  <c r="F362" i="10"/>
  <c r="B437" i="10"/>
  <c r="D437" i="10"/>
  <c r="F437" i="10"/>
  <c r="B642" i="10"/>
  <c r="D642" i="10"/>
  <c r="F642" i="10"/>
  <c r="B738" i="10"/>
  <c r="D738" i="10"/>
  <c r="F738" i="10"/>
  <c r="B319" i="10"/>
  <c r="D319" i="10"/>
  <c r="F319" i="10"/>
  <c r="B900" i="10"/>
  <c r="D900" i="10"/>
  <c r="F900" i="10"/>
  <c r="B783" i="10"/>
  <c r="D783" i="10"/>
  <c r="F783" i="10"/>
  <c r="B152" i="10"/>
  <c r="D152" i="10"/>
  <c r="F152" i="10"/>
  <c r="B1031" i="10"/>
  <c r="D1031" i="10"/>
  <c r="F1031" i="10"/>
  <c r="B250" i="10"/>
  <c r="D250" i="10"/>
  <c r="F250" i="10"/>
  <c r="B937" i="10"/>
  <c r="D937" i="10"/>
  <c r="F937" i="10"/>
  <c r="B1008" i="10"/>
  <c r="D1008" i="10"/>
  <c r="F1008" i="10"/>
  <c r="B833" i="10"/>
  <c r="D833" i="10"/>
  <c r="F833" i="10"/>
  <c r="B238" i="10"/>
  <c r="D238" i="10"/>
  <c r="F238" i="10"/>
  <c r="B317" i="10"/>
  <c r="D317" i="10"/>
  <c r="F317" i="10"/>
  <c r="B208" i="10"/>
  <c r="D208" i="10"/>
  <c r="F208" i="10"/>
  <c r="B888" i="10"/>
  <c r="D888" i="10"/>
  <c r="F888" i="10"/>
  <c r="B1061" i="10"/>
  <c r="D1061" i="10"/>
  <c r="F1061" i="10"/>
  <c r="B774" i="10"/>
  <c r="D774" i="10"/>
  <c r="F774" i="10"/>
  <c r="B384" i="10"/>
  <c r="D384" i="10"/>
  <c r="F384" i="10"/>
  <c r="B230" i="10"/>
  <c r="D230" i="10"/>
  <c r="F230" i="10"/>
  <c r="B815" i="10"/>
  <c r="D815" i="10"/>
  <c r="F815" i="10"/>
  <c r="B924" i="10"/>
  <c r="D924" i="10"/>
  <c r="F924" i="10"/>
  <c r="B249" i="10"/>
  <c r="D249" i="10"/>
  <c r="F249" i="10"/>
  <c r="B1001" i="10"/>
  <c r="D1001" i="10"/>
  <c r="F1001" i="10"/>
  <c r="B622" i="10"/>
  <c r="D622" i="10"/>
  <c r="F622" i="10"/>
  <c r="B162" i="10"/>
  <c r="D162" i="10"/>
  <c r="F162" i="10"/>
  <c r="B1034" i="10"/>
  <c r="D1034" i="10"/>
  <c r="F1034" i="10"/>
  <c r="B1056" i="10"/>
  <c r="D1056" i="10"/>
  <c r="F1056" i="10"/>
  <c r="B545" i="10"/>
  <c r="D545" i="10"/>
  <c r="F545" i="10"/>
  <c r="B1068" i="10"/>
  <c r="D1068" i="10"/>
  <c r="F1068" i="10"/>
  <c r="B565" i="10"/>
  <c r="D565" i="10"/>
  <c r="F565" i="10"/>
  <c r="B140" i="10"/>
  <c r="D140" i="10"/>
  <c r="F140" i="10"/>
  <c r="B466" i="10"/>
  <c r="D466" i="10"/>
  <c r="F466" i="10"/>
  <c r="B481" i="10"/>
  <c r="D481" i="10"/>
  <c r="F481" i="10"/>
  <c r="B987" i="10"/>
  <c r="D987" i="10"/>
  <c r="F987" i="10"/>
  <c r="B823" i="10"/>
  <c r="D823" i="10"/>
  <c r="F823" i="10"/>
  <c r="B117" i="10"/>
  <c r="D117" i="10"/>
  <c r="F117" i="10"/>
  <c r="B997" i="10"/>
  <c r="D997" i="10"/>
  <c r="F997" i="10"/>
  <c r="B567" i="10"/>
  <c r="D567" i="10"/>
  <c r="F567" i="10"/>
  <c r="B536" i="10"/>
  <c r="D536" i="10"/>
  <c r="F536" i="10"/>
  <c r="B245" i="10"/>
  <c r="D245" i="10"/>
  <c r="F245" i="10"/>
  <c r="B1022" i="10"/>
  <c r="D1022" i="10"/>
  <c r="F1022" i="10"/>
  <c r="B755" i="10"/>
  <c r="D755" i="10"/>
  <c r="F755" i="10"/>
  <c r="B962" i="10"/>
  <c r="D962" i="10"/>
  <c r="F962" i="10"/>
  <c r="B907" i="10"/>
  <c r="D907" i="10"/>
  <c r="F907" i="10"/>
  <c r="B750" i="10"/>
  <c r="D750" i="10"/>
  <c r="F750" i="10"/>
  <c r="B486" i="10"/>
  <c r="D486" i="10"/>
  <c r="F486" i="10"/>
  <c r="B664" i="10"/>
  <c r="D664" i="10"/>
  <c r="F664" i="10"/>
  <c r="B103" i="10"/>
  <c r="D103" i="10"/>
  <c r="F103" i="10"/>
  <c r="B543" i="10"/>
  <c r="D543" i="10"/>
  <c r="F543" i="10"/>
  <c r="B571" i="10"/>
  <c r="D571" i="10"/>
  <c r="F571" i="10"/>
  <c r="B559" i="10"/>
  <c r="D559" i="10"/>
  <c r="F559" i="10"/>
  <c r="B839" i="10"/>
  <c r="D839" i="10"/>
  <c r="F839" i="10"/>
  <c r="B805" i="10"/>
  <c r="D805" i="10"/>
  <c r="F805" i="10"/>
  <c r="B751" i="10"/>
  <c r="D751" i="10"/>
  <c r="F751" i="10"/>
  <c r="B848" i="10"/>
  <c r="D848" i="10"/>
  <c r="F848" i="10"/>
  <c r="B298" i="10"/>
  <c r="D298" i="10"/>
  <c r="F298" i="10"/>
  <c r="B672" i="10"/>
  <c r="D672" i="10"/>
  <c r="F672" i="10"/>
  <c r="B168" i="10"/>
  <c r="D168" i="10"/>
  <c r="F168" i="10"/>
  <c r="B171" i="10"/>
  <c r="D171" i="10"/>
  <c r="F171" i="10"/>
  <c r="B177" i="10"/>
  <c r="D177" i="10"/>
  <c r="F177" i="10"/>
  <c r="B1023" i="10"/>
  <c r="D1023" i="10"/>
  <c r="F1023" i="10"/>
  <c r="B457" i="10"/>
  <c r="D457" i="10"/>
  <c r="F457" i="10"/>
  <c r="B976" i="10"/>
  <c r="D976" i="10"/>
  <c r="F976" i="10"/>
  <c r="B788" i="10"/>
  <c r="D788" i="10"/>
  <c r="F788" i="10"/>
  <c r="B731" i="10"/>
  <c r="D731" i="10"/>
  <c r="F731" i="10"/>
  <c r="B876" i="10"/>
  <c r="D876" i="10"/>
  <c r="F876" i="10"/>
  <c r="B337" i="10"/>
  <c r="D337" i="10"/>
  <c r="F337" i="10"/>
  <c r="B858" i="10"/>
  <c r="D858" i="10"/>
  <c r="F858" i="10"/>
  <c r="B525" i="10"/>
  <c r="D525" i="10"/>
  <c r="F525" i="10"/>
  <c r="B680" i="10"/>
  <c r="D680" i="10"/>
  <c r="F680" i="10"/>
  <c r="B759" i="10"/>
  <c r="D759" i="10"/>
  <c r="F759" i="10"/>
  <c r="B189" i="10"/>
  <c r="D189" i="10"/>
  <c r="F189" i="10"/>
  <c r="B523" i="10"/>
  <c r="D523" i="10"/>
  <c r="F523" i="10"/>
  <c r="B640" i="10"/>
  <c r="D640" i="10"/>
  <c r="F640" i="10"/>
  <c r="B157" i="10"/>
  <c r="D157" i="10"/>
  <c r="F157" i="10"/>
  <c r="B1006" i="10"/>
  <c r="D1006" i="10"/>
  <c r="F1006" i="10"/>
  <c r="B863" i="10"/>
  <c r="D863" i="10"/>
  <c r="F863" i="10"/>
  <c r="B131" i="10"/>
  <c r="D131" i="10"/>
  <c r="F131" i="10"/>
  <c r="B205" i="10"/>
  <c r="D205" i="10"/>
  <c r="F205" i="10"/>
  <c r="B743" i="10"/>
  <c r="D743" i="10"/>
  <c r="F743" i="10"/>
  <c r="B133" i="10"/>
  <c r="D133" i="10"/>
  <c r="F133" i="10"/>
  <c r="B107" i="10"/>
  <c r="D107" i="10"/>
  <c r="F107" i="10"/>
  <c r="B408" i="10"/>
  <c r="D408" i="10"/>
  <c r="F408" i="10"/>
  <c r="B821" i="10"/>
  <c r="D821" i="10"/>
  <c r="F821" i="10"/>
  <c r="B129" i="10"/>
  <c r="D129" i="10"/>
  <c r="F129" i="10"/>
  <c r="B1066" i="10"/>
  <c r="D1066" i="10"/>
  <c r="F1066" i="10"/>
  <c r="B1059" i="10"/>
  <c r="D1059" i="10"/>
  <c r="F1059" i="10"/>
  <c r="B913" i="10"/>
  <c r="D913" i="10"/>
  <c r="F913" i="10"/>
  <c r="B299" i="10"/>
  <c r="D299" i="10"/>
  <c r="F299" i="10"/>
  <c r="B618" i="10"/>
  <c r="D618" i="10"/>
  <c r="F618" i="10"/>
  <c r="B671" i="10"/>
  <c r="D671" i="10"/>
  <c r="F671" i="10"/>
  <c r="B1011" i="10"/>
  <c r="D1011" i="10"/>
  <c r="F1011" i="10"/>
  <c r="B721" i="10"/>
  <c r="D721" i="10"/>
  <c r="F721" i="10"/>
  <c r="B958" i="10"/>
  <c r="D958" i="10"/>
  <c r="F958" i="10"/>
  <c r="B563" i="10"/>
  <c r="D563" i="10"/>
  <c r="F563" i="10"/>
  <c r="B753" i="10"/>
  <c r="D753" i="10"/>
  <c r="F753" i="10"/>
  <c r="B589" i="10"/>
  <c r="D589" i="10"/>
  <c r="F589" i="10"/>
  <c r="B344" i="10"/>
  <c r="D344" i="10"/>
  <c r="F344" i="10"/>
  <c r="B733" i="10"/>
  <c r="D733" i="10"/>
  <c r="F733" i="10"/>
  <c r="B198" i="10"/>
  <c r="D198" i="10"/>
  <c r="F198" i="10"/>
  <c r="B801" i="10"/>
  <c r="D801" i="10"/>
  <c r="F801" i="10"/>
  <c r="B779" i="10"/>
  <c r="D779" i="10"/>
  <c r="F779" i="10"/>
  <c r="B184" i="10"/>
  <c r="D184" i="10"/>
  <c r="F184" i="10"/>
  <c r="B1032" i="10"/>
  <c r="D1032" i="10"/>
  <c r="F1032" i="10"/>
  <c r="B256" i="10"/>
  <c r="D256" i="10"/>
  <c r="F256" i="10"/>
  <c r="B853" i="10"/>
  <c r="D853" i="10"/>
  <c r="F853" i="10"/>
  <c r="B467" i="10"/>
  <c r="D467" i="10"/>
  <c r="F467" i="10"/>
  <c r="B969" i="10"/>
  <c r="D969" i="10"/>
  <c r="F969" i="10"/>
  <c r="B326" i="10"/>
  <c r="D326" i="10"/>
  <c r="F326" i="10"/>
  <c r="B295" i="10"/>
  <c r="D295" i="10"/>
  <c r="F295" i="10"/>
  <c r="B711" i="10"/>
  <c r="D711" i="10"/>
  <c r="F711" i="10"/>
  <c r="B1004" i="10"/>
  <c r="D1004" i="10"/>
  <c r="F1004" i="10"/>
  <c r="B574" i="10"/>
  <c r="D574" i="10"/>
  <c r="F574" i="10"/>
  <c r="B293" i="10"/>
  <c r="D293" i="10"/>
  <c r="F293" i="10"/>
  <c r="B488" i="10"/>
  <c r="D488" i="10"/>
  <c r="F488" i="10"/>
  <c r="B911" i="10"/>
  <c r="D911" i="10"/>
  <c r="F911" i="10"/>
  <c r="B712" i="10"/>
  <c r="D712" i="10"/>
  <c r="F712" i="10"/>
  <c r="B963" i="10"/>
  <c r="D963" i="10"/>
  <c r="F963" i="10"/>
  <c r="B931" i="10"/>
  <c r="D931" i="10"/>
  <c r="F931" i="10"/>
  <c r="B349" i="10"/>
  <c r="D349" i="10"/>
  <c r="F349" i="10"/>
  <c r="B856" i="10"/>
  <c r="D856" i="10"/>
  <c r="F856" i="10"/>
  <c r="B180" i="10"/>
  <c r="D180" i="10"/>
  <c r="F180" i="10"/>
  <c r="B281" i="10"/>
  <c r="D281" i="10"/>
  <c r="F281" i="10"/>
  <c r="B1019" i="10"/>
  <c r="D1019" i="10"/>
  <c r="F1019" i="10"/>
  <c r="B1063" i="10"/>
  <c r="D1063" i="10"/>
  <c r="F1063" i="10"/>
  <c r="B591" i="10"/>
  <c r="D591" i="10"/>
  <c r="F591" i="10"/>
  <c r="B562" i="10"/>
  <c r="D562" i="10"/>
  <c r="F562" i="10"/>
  <c r="B1015" i="10"/>
  <c r="D1015" i="10"/>
  <c r="F1015" i="10"/>
  <c r="B903" i="10"/>
  <c r="D903" i="10"/>
  <c r="F903" i="10"/>
  <c r="B701" i="10"/>
  <c r="D701" i="10"/>
  <c r="F701" i="10"/>
  <c r="B182" i="10"/>
  <c r="D182" i="10"/>
  <c r="F182" i="10"/>
  <c r="B542" i="10"/>
  <c r="D542" i="10"/>
  <c r="F542" i="10"/>
  <c r="B575" i="10"/>
  <c r="D575" i="10"/>
  <c r="F575" i="10"/>
  <c r="B716" i="10"/>
  <c r="D716" i="10"/>
  <c r="F716" i="10"/>
  <c r="B615" i="10"/>
  <c r="D615" i="10"/>
  <c r="F615" i="10"/>
  <c r="B572" i="10"/>
  <c r="D572" i="10"/>
  <c r="F572" i="10"/>
  <c r="B686" i="10"/>
  <c r="D686" i="10"/>
  <c r="F686" i="10"/>
  <c r="B566" i="10"/>
  <c r="D566" i="10"/>
  <c r="F566" i="10"/>
  <c r="B989" i="10"/>
  <c r="D989" i="10"/>
  <c r="F989" i="10"/>
  <c r="B246" i="10"/>
  <c r="D246" i="10"/>
  <c r="F246" i="10"/>
  <c r="B145" i="10"/>
  <c r="D145" i="10"/>
  <c r="F145" i="10"/>
  <c r="B679" i="10"/>
  <c r="D679" i="10"/>
  <c r="F679" i="10"/>
  <c r="B229" i="10"/>
  <c r="D229" i="10"/>
  <c r="F229" i="10"/>
  <c r="B630" i="10"/>
  <c r="D630" i="10"/>
  <c r="F630" i="10"/>
  <c r="B869" i="10"/>
  <c r="D869" i="10"/>
  <c r="F869" i="10"/>
  <c r="B95" i="10"/>
  <c r="D95" i="10"/>
  <c r="F95" i="10"/>
  <c r="B765" i="10"/>
  <c r="D765" i="10"/>
  <c r="F765" i="10"/>
  <c r="B110" i="10"/>
  <c r="D110" i="10"/>
  <c r="F110" i="10"/>
  <c r="B435" i="10"/>
  <c r="D435" i="10"/>
  <c r="F435" i="10"/>
  <c r="B933" i="10"/>
  <c r="D933" i="10"/>
  <c r="F933" i="10"/>
  <c r="B723" i="10"/>
  <c r="D723" i="10"/>
  <c r="F723" i="10"/>
  <c r="B954" i="10"/>
  <c r="D954" i="10"/>
  <c r="F954" i="10"/>
  <c r="B138" i="10"/>
  <c r="D138" i="10"/>
  <c r="F138" i="10"/>
  <c r="B990" i="10"/>
  <c r="D990" i="10"/>
  <c r="F990" i="10"/>
  <c r="B682" i="10"/>
  <c r="D682" i="10"/>
  <c r="F682" i="10"/>
  <c r="B766" i="10"/>
  <c r="D766" i="10"/>
  <c r="F766" i="10"/>
  <c r="B626" i="10"/>
  <c r="D626" i="10"/>
  <c r="F626" i="10"/>
  <c r="B339" i="10"/>
  <c r="D339" i="10"/>
  <c r="F339" i="10"/>
  <c r="B807" i="10"/>
  <c r="D807" i="10"/>
  <c r="F807" i="10"/>
  <c r="B301" i="10"/>
  <c r="D301" i="10"/>
  <c r="F301" i="10"/>
  <c r="B465" i="10"/>
  <c r="D465" i="10"/>
  <c r="F465" i="10"/>
  <c r="B629" i="10"/>
  <c r="D629" i="10"/>
  <c r="F629" i="10"/>
  <c r="B621" i="10"/>
  <c r="D621" i="10"/>
  <c r="F621" i="10"/>
  <c r="B509" i="10"/>
  <c r="D509" i="10"/>
  <c r="F509" i="10"/>
  <c r="B143" i="10"/>
  <c r="D143" i="10"/>
  <c r="F143" i="10"/>
  <c r="B851" i="10"/>
  <c r="D851" i="10"/>
  <c r="F851" i="10"/>
  <c r="B490" i="10"/>
  <c r="D490" i="10"/>
  <c r="F490" i="10"/>
  <c r="B1038" i="10"/>
  <c r="D1038" i="10"/>
  <c r="F1038" i="10"/>
  <c r="B810" i="10"/>
  <c r="D810" i="10"/>
  <c r="F810" i="10"/>
  <c r="B489" i="10"/>
  <c r="D489" i="10"/>
  <c r="F489" i="10"/>
  <c r="B916" i="10"/>
  <c r="D916" i="10"/>
  <c r="F916" i="10"/>
  <c r="B1058" i="10"/>
  <c r="D1058" i="10"/>
  <c r="F1058" i="10"/>
  <c r="B470" i="10"/>
  <c r="D470" i="10"/>
  <c r="F470" i="10"/>
  <c r="B476" i="10"/>
  <c r="D476" i="10"/>
  <c r="F476" i="10"/>
  <c r="B541" i="10"/>
  <c r="D541" i="10"/>
  <c r="F541" i="10"/>
  <c r="B380" i="10"/>
  <c r="D380" i="10"/>
  <c r="F380" i="10"/>
  <c r="B604" i="10"/>
  <c r="D604" i="10"/>
  <c r="F604" i="10"/>
  <c r="B548" i="10"/>
  <c r="D548" i="10"/>
  <c r="F548" i="10"/>
  <c r="B676" i="10"/>
  <c r="D676" i="10"/>
  <c r="F676" i="10"/>
  <c r="B587" i="10"/>
  <c r="D587" i="10"/>
  <c r="F587" i="10"/>
  <c r="B89" i="10"/>
  <c r="D89" i="10"/>
  <c r="F89" i="10"/>
  <c r="B659" i="10"/>
  <c r="D659" i="10"/>
  <c r="F659" i="10"/>
  <c r="B577" i="10"/>
  <c r="D577" i="10"/>
  <c r="F577" i="10"/>
  <c r="B402" i="10"/>
  <c r="D402" i="10"/>
  <c r="F402" i="10"/>
  <c r="B706" i="10"/>
  <c r="D706" i="10"/>
  <c r="F706" i="10"/>
  <c r="B689" i="10"/>
  <c r="D689" i="10"/>
  <c r="F689" i="10"/>
  <c r="B895" i="10"/>
  <c r="D895" i="10"/>
  <c r="F895" i="10"/>
  <c r="B98" i="10"/>
  <c r="D98" i="10"/>
  <c r="F98" i="10"/>
  <c r="B761" i="10"/>
  <c r="D761" i="10"/>
  <c r="F761" i="10"/>
  <c r="B602" i="10"/>
  <c r="D602" i="10"/>
  <c r="F602" i="10"/>
  <c r="B633" i="10"/>
  <c r="D633" i="10"/>
  <c r="F633" i="10"/>
  <c r="B943" i="10"/>
  <c r="D943" i="10"/>
  <c r="F943" i="10"/>
  <c r="B328" i="10"/>
  <c r="D328" i="10"/>
  <c r="F328" i="10"/>
  <c r="B552" i="10"/>
  <c r="D552" i="10"/>
  <c r="F552" i="10"/>
  <c r="B590" i="10"/>
  <c r="D590" i="10"/>
  <c r="F590" i="10"/>
  <c r="B522" i="10"/>
  <c r="D522" i="10"/>
  <c r="F522" i="10"/>
  <c r="B874" i="10"/>
  <c r="D874" i="10"/>
  <c r="F874" i="10"/>
  <c r="B934" i="10"/>
  <c r="D934" i="10"/>
  <c r="F934" i="10"/>
  <c r="B106" i="10"/>
  <c r="D106" i="10"/>
  <c r="F106" i="10"/>
  <c r="B678" i="10"/>
  <c r="D678" i="10"/>
  <c r="F678" i="10"/>
  <c r="B403" i="10"/>
  <c r="D403" i="10"/>
  <c r="F403" i="10"/>
  <c r="B142" i="10"/>
  <c r="D142" i="10"/>
  <c r="F142" i="10"/>
  <c r="B921" i="10"/>
  <c r="D921" i="10"/>
  <c r="F921" i="10"/>
  <c r="B444" i="10"/>
  <c r="D444" i="10"/>
  <c r="F444" i="10"/>
  <c r="B647" i="10"/>
  <c r="D647" i="10"/>
  <c r="F647" i="10"/>
  <c r="B209" i="10"/>
  <c r="D209" i="10"/>
  <c r="F209" i="10"/>
  <c r="B369" i="10"/>
  <c r="D369" i="10"/>
  <c r="F369" i="10"/>
  <c r="B404" i="10"/>
  <c r="D404" i="10"/>
  <c r="F404" i="10"/>
  <c r="B908" i="10"/>
  <c r="D908" i="10"/>
  <c r="F908" i="10"/>
  <c r="B583" i="10"/>
  <c r="D583" i="10"/>
  <c r="F583" i="10"/>
  <c r="B638" i="10"/>
  <c r="D638" i="10"/>
  <c r="F638" i="10"/>
  <c r="B332" i="10"/>
  <c r="D332" i="10"/>
  <c r="F332" i="10"/>
  <c r="B283" i="10"/>
  <c r="D283" i="10"/>
  <c r="F283" i="10"/>
  <c r="B427" i="10"/>
  <c r="D427" i="10"/>
  <c r="F427" i="10"/>
  <c r="B745" i="10"/>
  <c r="D745" i="10"/>
  <c r="F745" i="10"/>
  <c r="B797" i="10"/>
  <c r="D797" i="10"/>
  <c r="F797" i="10"/>
  <c r="B865" i="10"/>
  <c r="D865" i="10"/>
  <c r="F865" i="10"/>
  <c r="B885" i="10"/>
  <c r="D885" i="10"/>
  <c r="F885" i="10"/>
  <c r="B253" i="10"/>
  <c r="D253" i="10"/>
  <c r="F253" i="10"/>
  <c r="B1005" i="10"/>
  <c r="D1005" i="10"/>
  <c r="F1005" i="10"/>
  <c r="B516" i="10"/>
  <c r="D516" i="10"/>
  <c r="F516" i="10"/>
  <c r="B857" i="10"/>
  <c r="D857" i="10"/>
  <c r="F857" i="10"/>
  <c r="B391" i="10"/>
  <c r="D391" i="10"/>
  <c r="F391" i="10"/>
  <c r="B700" i="10"/>
  <c r="D700" i="10"/>
  <c r="F700" i="10"/>
  <c r="B910" i="10"/>
  <c r="D910" i="10"/>
  <c r="F910" i="10"/>
  <c r="B919" i="10"/>
  <c r="D919" i="10"/>
  <c r="F919" i="10"/>
  <c r="B214" i="10"/>
  <c r="D214" i="10"/>
  <c r="F214" i="10"/>
  <c r="B285" i="10"/>
  <c r="D285" i="10"/>
  <c r="F285" i="10"/>
  <c r="B233" i="10"/>
  <c r="D233" i="10"/>
  <c r="F233" i="10"/>
  <c r="B722" i="10"/>
  <c r="D722" i="10"/>
  <c r="F722" i="10"/>
  <c r="B111" i="10"/>
  <c r="D111" i="10"/>
  <c r="F111" i="10"/>
  <c r="B967" i="10"/>
  <c r="D967" i="10"/>
  <c r="F967" i="10"/>
  <c r="B741" i="10"/>
  <c r="D741" i="10"/>
  <c r="F741" i="10"/>
  <c r="B155" i="10"/>
  <c r="D155" i="10"/>
  <c r="F155" i="10"/>
  <c r="B105" i="10"/>
  <c r="D105" i="10"/>
  <c r="F105" i="10"/>
  <c r="B677" i="10"/>
  <c r="D677" i="10"/>
  <c r="F677" i="10"/>
  <c r="B845" i="10"/>
  <c r="D845" i="10"/>
  <c r="F845" i="10"/>
  <c r="B76" i="10"/>
  <c r="D76" i="10"/>
  <c r="E76" i="10"/>
  <c r="F76" i="10"/>
  <c r="G76" i="10"/>
  <c r="B393" i="10"/>
  <c r="D393" i="10"/>
  <c r="F393" i="10"/>
  <c r="B323" i="10"/>
  <c r="D323" i="10"/>
  <c r="F323" i="10"/>
  <c r="B1055" i="10"/>
  <c r="D1055" i="10"/>
  <c r="F1055" i="10"/>
  <c r="B297" i="10"/>
  <c r="D297" i="10"/>
  <c r="F297" i="10"/>
  <c r="B735" i="10"/>
  <c r="D735" i="10"/>
  <c r="F735" i="10"/>
  <c r="B1027" i="10"/>
  <c r="D1027" i="10"/>
  <c r="F1027" i="10"/>
  <c r="B1020" i="10"/>
  <c r="D1020" i="10"/>
  <c r="F1020" i="10"/>
  <c r="B1071" i="10"/>
  <c r="D1071" i="10"/>
  <c r="F1071" i="10"/>
  <c r="B370" i="10"/>
  <c r="D370" i="10"/>
  <c r="F370" i="10"/>
  <c r="B202" i="10"/>
  <c r="D202" i="10"/>
  <c r="F202" i="10"/>
  <c r="B119" i="10"/>
  <c r="D119" i="10"/>
  <c r="F119" i="10"/>
  <c r="B582" i="10"/>
  <c r="D582" i="10"/>
  <c r="F582" i="10"/>
  <c r="B1007" i="10"/>
  <c r="D1007" i="10"/>
  <c r="F1007" i="10"/>
  <c r="B770" i="10"/>
  <c r="D770" i="10"/>
  <c r="F770" i="10"/>
  <c r="B451" i="10"/>
  <c r="D451" i="10"/>
  <c r="F451" i="10"/>
  <c r="B342" i="10"/>
  <c r="D342" i="10"/>
  <c r="F342" i="10"/>
  <c r="B455" i="10"/>
  <c r="D455" i="10"/>
  <c r="F455" i="10"/>
  <c r="B442" i="10"/>
  <c r="D442" i="10"/>
  <c r="F442" i="10"/>
  <c r="B568" i="10"/>
  <c r="D568" i="10"/>
  <c r="F568" i="10"/>
  <c r="B257" i="10"/>
  <c r="D257" i="10"/>
  <c r="F257" i="10"/>
  <c r="B197" i="10"/>
  <c r="D197" i="10"/>
  <c r="F197" i="10"/>
  <c r="B1065" i="10"/>
  <c r="D1065" i="10"/>
  <c r="F1065" i="10"/>
  <c r="V908" i="10" l="1"/>
  <c r="V602" i="10"/>
  <c r="V453" i="10"/>
  <c r="V279" i="10"/>
  <c r="W988" i="10"/>
  <c r="X910" i="10"/>
  <c r="X636" i="10"/>
  <c r="V648" i="10"/>
  <c r="V991" i="10"/>
  <c r="V955" i="10"/>
  <c r="V934" i="10"/>
  <c r="V340" i="10"/>
  <c r="W1013" i="10"/>
  <c r="X1051" i="10"/>
  <c r="W747" i="10"/>
  <c r="V824" i="10"/>
  <c r="V762" i="10"/>
  <c r="V690" i="10"/>
  <c r="V154" i="10"/>
  <c r="W859" i="10"/>
  <c r="W684" i="10"/>
  <c r="X1026" i="10"/>
  <c r="W687" i="10"/>
  <c r="V1026" i="10"/>
  <c r="V968" i="10"/>
  <c r="V859" i="10"/>
  <c r="V775" i="10"/>
  <c r="V760" i="10"/>
  <c r="V313" i="10"/>
  <c r="W1027" i="10"/>
  <c r="W612" i="10"/>
  <c r="V1024" i="10"/>
  <c r="V895" i="10"/>
  <c r="V727" i="10"/>
  <c r="V704" i="10"/>
  <c r="V479" i="10"/>
  <c r="X868" i="10"/>
  <c r="V860" i="10"/>
  <c r="V836" i="10"/>
  <c r="V796" i="10"/>
  <c r="V592" i="10"/>
  <c r="V530" i="10"/>
  <c r="V167" i="10"/>
  <c r="X438" i="10"/>
  <c r="V166" i="10"/>
  <c r="X762" i="10"/>
  <c r="V1040" i="10"/>
  <c r="V872" i="10"/>
  <c r="V834" i="10"/>
  <c r="V740" i="10"/>
  <c r="V424" i="10"/>
  <c r="V129" i="10"/>
  <c r="W936" i="10"/>
  <c r="W547" i="10"/>
  <c r="V1038" i="10"/>
  <c r="V739" i="10"/>
  <c r="V607" i="10"/>
  <c r="V262" i="10"/>
  <c r="V104" i="10"/>
  <c r="X512" i="10"/>
  <c r="X451" i="10"/>
  <c r="V567" i="10"/>
  <c r="V367" i="10"/>
  <c r="V326" i="10"/>
  <c r="V163" i="10"/>
  <c r="V868" i="10"/>
  <c r="V604" i="10"/>
  <c r="V489" i="10"/>
  <c r="V142" i="10"/>
  <c r="V292" i="10"/>
  <c r="V113" i="10"/>
  <c r="V151" i="10"/>
  <c r="V179" i="10"/>
  <c r="V117" i="10"/>
  <c r="V1063" i="10"/>
  <c r="V847" i="10"/>
  <c r="V774" i="10"/>
  <c r="V642" i="10"/>
  <c r="V591" i="10"/>
  <c r="V304" i="10"/>
  <c r="V241" i="10"/>
  <c r="W1052" i="10"/>
  <c r="W976" i="10"/>
  <c r="W888" i="10"/>
  <c r="W846" i="10"/>
  <c r="W235" i="10"/>
  <c r="W141" i="10"/>
  <c r="X372" i="10"/>
  <c r="Y970" i="10"/>
  <c r="Y327" i="10"/>
  <c r="V1062" i="10"/>
  <c r="V978" i="10"/>
  <c r="V942" i="10"/>
  <c r="V920" i="10"/>
  <c r="V846" i="10"/>
  <c r="V728" i="10"/>
  <c r="V691" i="10"/>
  <c r="V380" i="10"/>
  <c r="V240" i="10"/>
  <c r="V91" i="10"/>
  <c r="W975" i="10"/>
  <c r="W82" i="10"/>
  <c r="W142" i="10"/>
  <c r="W202" i="10"/>
  <c r="W250" i="10"/>
  <c r="W286" i="10"/>
  <c r="W322" i="10"/>
  <c r="W137" i="10"/>
  <c r="W149" i="10"/>
  <c r="W173" i="10"/>
  <c r="W197" i="10"/>
  <c r="W209" i="10"/>
  <c r="W269" i="10"/>
  <c r="W317" i="10"/>
  <c r="W329" i="10"/>
  <c r="W365" i="10"/>
  <c r="W413" i="10"/>
  <c r="W437" i="10"/>
  <c r="W80" i="10"/>
  <c r="W159" i="10"/>
  <c r="W278" i="10"/>
  <c r="W304" i="10"/>
  <c r="W318" i="10"/>
  <c r="W356" i="10"/>
  <c r="W468" i="10"/>
  <c r="W528" i="10"/>
  <c r="W540" i="10"/>
  <c r="W564" i="10"/>
  <c r="W576" i="10"/>
  <c r="W107" i="10"/>
  <c r="W120" i="10"/>
  <c r="W146" i="10"/>
  <c r="W175" i="10"/>
  <c r="W215" i="10"/>
  <c r="W227" i="10"/>
  <c r="W240" i="10"/>
  <c r="W382" i="10"/>
  <c r="W432" i="10"/>
  <c r="W469" i="10"/>
  <c r="W541" i="10"/>
  <c r="W637" i="10"/>
  <c r="W661" i="10"/>
  <c r="W745" i="10"/>
  <c r="W877" i="10"/>
  <c r="W901" i="10"/>
  <c r="W176" i="10"/>
  <c r="W241" i="10"/>
  <c r="W280" i="10"/>
  <c r="W470" i="10"/>
  <c r="W482" i="10"/>
  <c r="W506" i="10"/>
  <c r="W650" i="10"/>
  <c r="W686" i="10"/>
  <c r="W782" i="10"/>
  <c r="W830" i="10"/>
  <c r="W878" i="10"/>
  <c r="W938" i="10"/>
  <c r="W950" i="10"/>
  <c r="W962" i="10"/>
  <c r="W1046" i="10"/>
  <c r="W1058" i="10"/>
  <c r="W1070" i="10"/>
  <c r="W177" i="10"/>
  <c r="W282" i="10"/>
  <c r="W295" i="10"/>
  <c r="W321" i="10"/>
  <c r="W372" i="10"/>
  <c r="W396" i="10"/>
  <c r="W421" i="10"/>
  <c r="W434" i="10"/>
  <c r="W459" i="10"/>
  <c r="W495" i="10"/>
  <c r="W507" i="10"/>
  <c r="W135" i="10"/>
  <c r="W204" i="10"/>
  <c r="W243" i="10"/>
  <c r="W270" i="10"/>
  <c r="W283" i="10"/>
  <c r="W308" i="10"/>
  <c r="W336" i="10"/>
  <c r="W348" i="10"/>
  <c r="W373" i="10"/>
  <c r="W422" i="10"/>
  <c r="W604" i="10"/>
  <c r="W628" i="10"/>
  <c r="W652" i="10"/>
  <c r="W664" i="10"/>
  <c r="W676" i="10"/>
  <c r="W724" i="10"/>
  <c r="W736" i="10"/>
  <c r="W784" i="10"/>
  <c r="W808" i="10"/>
  <c r="W856" i="10"/>
  <c r="W904" i="10"/>
  <c r="W916" i="10"/>
  <c r="W111" i="10"/>
  <c r="W179" i="10"/>
  <c r="W191" i="10"/>
  <c r="W309" i="10"/>
  <c r="W349" i="10"/>
  <c r="W361" i="10"/>
  <c r="W410" i="10"/>
  <c r="W593" i="10"/>
  <c r="W617" i="10"/>
  <c r="W725" i="10"/>
  <c r="W737" i="10"/>
  <c r="W220" i="10"/>
  <c r="W232" i="10"/>
  <c r="W311" i="10"/>
  <c r="W350" i="10"/>
  <c r="W362" i="10"/>
  <c r="W375" i="10"/>
  <c r="W387" i="10"/>
  <c r="W462" i="10"/>
  <c r="W522" i="10"/>
  <c r="W570" i="10"/>
  <c r="W594" i="10"/>
  <c r="W618" i="10"/>
  <c r="W642" i="10"/>
  <c r="W654" i="10"/>
  <c r="W91" i="10"/>
  <c r="W211" i="10"/>
  <c r="W224" i="10"/>
  <c r="W263" i="10"/>
  <c r="W276" i="10"/>
  <c r="W302" i="10"/>
  <c r="W403" i="10"/>
  <c r="W538" i="10"/>
  <c r="W706" i="10"/>
  <c r="W718" i="10"/>
  <c r="W802" i="10"/>
  <c r="W838" i="10"/>
  <c r="W850" i="10"/>
  <c r="W862" i="10"/>
  <c r="W910" i="10"/>
  <c r="W922" i="10"/>
  <c r="W970" i="10"/>
  <c r="W994" i="10"/>
  <c r="W1018" i="10"/>
  <c r="W1030" i="10"/>
  <c r="W1066" i="10"/>
  <c r="W128" i="10"/>
  <c r="W168" i="10"/>
  <c r="W223" i="10"/>
  <c r="W259" i="10"/>
  <c r="W275" i="10"/>
  <c r="W316" i="10"/>
  <c r="W430" i="10"/>
  <c r="W535" i="10"/>
  <c r="W551" i="10"/>
  <c r="W691" i="10"/>
  <c r="W704" i="10"/>
  <c r="W835" i="10"/>
  <c r="W849" i="10"/>
  <c r="W79" i="10"/>
  <c r="W169" i="10"/>
  <c r="W260" i="10"/>
  <c r="W277" i="10"/>
  <c r="W585" i="10"/>
  <c r="W663" i="10"/>
  <c r="W705" i="10"/>
  <c r="W811" i="10"/>
  <c r="W823" i="10"/>
  <c r="W954" i="10"/>
  <c r="W980" i="10"/>
  <c r="W1019" i="10"/>
  <c r="W1032" i="10"/>
  <c r="W1044" i="10"/>
  <c r="W170" i="10"/>
  <c r="W299" i="10"/>
  <c r="W647" i="10"/>
  <c r="W767" i="10"/>
  <c r="W779" i="10"/>
  <c r="W895" i="10"/>
  <c r="W942" i="10"/>
  <c r="W955" i="10"/>
  <c r="W993" i="10"/>
  <c r="W1033" i="10"/>
  <c r="W208" i="10"/>
  <c r="W246" i="10"/>
  <c r="W264" i="10"/>
  <c r="W378" i="10"/>
  <c r="W539" i="10"/>
  <c r="W555" i="10"/>
  <c r="W587" i="10"/>
  <c r="W680" i="10"/>
  <c r="W723" i="10"/>
  <c r="W753" i="10"/>
  <c r="W798" i="10"/>
  <c r="W825" i="10"/>
  <c r="W869" i="10"/>
  <c r="W912" i="10"/>
  <c r="W929" i="10"/>
  <c r="W995" i="10"/>
  <c r="W1007" i="10"/>
  <c r="W1060" i="10"/>
  <c r="W247" i="10"/>
  <c r="W588" i="10"/>
  <c r="W621" i="10"/>
  <c r="W695" i="10"/>
  <c r="W840" i="10"/>
  <c r="W884" i="10"/>
  <c r="W897" i="10"/>
  <c r="W915" i="10"/>
  <c r="W930" i="10"/>
  <c r="W957" i="10"/>
  <c r="W971" i="10"/>
  <c r="W153" i="10"/>
  <c r="W194" i="10"/>
  <c r="W248" i="10"/>
  <c r="W288" i="10"/>
  <c r="W380" i="10"/>
  <c r="W575" i="10"/>
  <c r="W635" i="10"/>
  <c r="W668" i="10"/>
  <c r="W711" i="10"/>
  <c r="W727" i="10"/>
  <c r="W741" i="10"/>
  <c r="W885" i="10"/>
  <c r="W917" i="10"/>
  <c r="W931" i="10"/>
  <c r="W997" i="10"/>
  <c r="W1009" i="10"/>
  <c r="W1062" i="10"/>
  <c r="W102" i="10"/>
  <c r="W195" i="10"/>
  <c r="W251" i="10"/>
  <c r="W327" i="10"/>
  <c r="W525" i="10"/>
  <c r="W623" i="10"/>
  <c r="W728" i="10"/>
  <c r="W801" i="10"/>
  <c r="W899" i="10"/>
  <c r="W1011" i="10"/>
  <c r="W1063" i="10"/>
  <c r="W328" i="10"/>
  <c r="W343" i="10"/>
  <c r="W591" i="10"/>
  <c r="W656" i="10"/>
  <c r="W803" i="10"/>
  <c r="W887" i="10"/>
  <c r="W900" i="10"/>
  <c r="W933" i="10"/>
  <c r="W1064" i="10"/>
  <c r="W404" i="10"/>
  <c r="W479" i="10"/>
  <c r="W627" i="10"/>
  <c r="W659" i="10"/>
  <c r="W716" i="10"/>
  <c r="W847" i="10"/>
  <c r="W906" i="10"/>
  <c r="W937" i="10"/>
  <c r="W964" i="10"/>
  <c r="W1068" i="10"/>
  <c r="W76" i="10"/>
  <c r="W127" i="10"/>
  <c r="W144" i="10"/>
  <c r="W351" i="10"/>
  <c r="W499" i="10"/>
  <c r="W583" i="10"/>
  <c r="W717" i="10"/>
  <c r="W776" i="10"/>
  <c r="W821" i="10"/>
  <c r="W848" i="10"/>
  <c r="W891" i="10"/>
  <c r="W978" i="10"/>
  <c r="W1003" i="10"/>
  <c r="W1016" i="10"/>
  <c r="W804" i="10"/>
  <c r="AA699" i="10"/>
  <c r="X204" i="10"/>
  <c r="X404" i="10"/>
  <c r="X647" i="10"/>
  <c r="V76" i="10"/>
  <c r="V175" i="10"/>
  <c r="V224" i="10"/>
  <c r="V250" i="10"/>
  <c r="V275" i="10"/>
  <c r="V288" i="10"/>
  <c r="V350" i="10"/>
  <c r="V362" i="10"/>
  <c r="V375" i="10"/>
  <c r="V437" i="10"/>
  <c r="V538" i="10"/>
  <c r="V551" i="10"/>
  <c r="V564" i="10"/>
  <c r="V628" i="10"/>
  <c r="V652" i="10"/>
  <c r="V664" i="10"/>
  <c r="V676" i="10"/>
  <c r="V724" i="10"/>
  <c r="V736" i="10"/>
  <c r="V784" i="10"/>
  <c r="V808" i="10"/>
  <c r="V856" i="10"/>
  <c r="V904" i="10"/>
  <c r="V916" i="10"/>
  <c r="V964" i="10"/>
  <c r="V976" i="10"/>
  <c r="V1000" i="10"/>
  <c r="V1060" i="10"/>
  <c r="X322" i="10"/>
  <c r="X728" i="10"/>
  <c r="X1011" i="10"/>
  <c r="V128" i="10"/>
  <c r="V141" i="10"/>
  <c r="V153" i="10"/>
  <c r="V177" i="10"/>
  <c r="V202" i="10"/>
  <c r="V264" i="10"/>
  <c r="V277" i="10"/>
  <c r="V302" i="10"/>
  <c r="V328" i="10"/>
  <c r="V364" i="10"/>
  <c r="V427" i="10"/>
  <c r="V528" i="10"/>
  <c r="V910" i="10"/>
  <c r="V922" i="10"/>
  <c r="V970" i="10"/>
  <c r="V994" i="10"/>
  <c r="V1018" i="10"/>
  <c r="V1030" i="10"/>
  <c r="V1066" i="10"/>
  <c r="W106" i="10"/>
  <c r="W166" i="10"/>
  <c r="W262" i="10"/>
  <c r="W310" i="10"/>
  <c r="W77" i="10"/>
  <c r="W113" i="10"/>
  <c r="W186" i="10"/>
  <c r="W292" i="10"/>
  <c r="W369" i="10"/>
  <c r="W492" i="10"/>
  <c r="W552" i="10"/>
  <c r="W781" i="10"/>
  <c r="W793" i="10"/>
  <c r="W913" i="10"/>
  <c r="W530" i="10"/>
  <c r="W578" i="10"/>
  <c r="W602" i="10"/>
  <c r="W638" i="10"/>
  <c r="W842" i="10"/>
  <c r="W1010" i="10"/>
  <c r="W163" i="10"/>
  <c r="W217" i="10"/>
  <c r="W255" i="10"/>
  <c r="W335" i="10"/>
  <c r="W519" i="10"/>
  <c r="W256" i="10"/>
  <c r="W360" i="10"/>
  <c r="W397" i="10"/>
  <c r="W448" i="10"/>
  <c r="W472" i="10"/>
  <c r="W484" i="10"/>
  <c r="W592" i="10"/>
  <c r="W760" i="10"/>
  <c r="W796" i="10"/>
  <c r="W868" i="10"/>
  <c r="W124" i="10"/>
  <c r="W151" i="10"/>
  <c r="W205" i="10"/>
  <c r="W244" i="10"/>
  <c r="W761" i="10"/>
  <c r="W797" i="10"/>
  <c r="W99" i="10"/>
  <c r="W138" i="10"/>
  <c r="W180" i="10"/>
  <c r="W325" i="10"/>
  <c r="W424" i="10"/>
  <c r="W438" i="10"/>
  <c r="W558" i="10"/>
  <c r="W606" i="10"/>
  <c r="W690" i="10"/>
  <c r="W117" i="10"/>
  <c r="W249" i="10"/>
  <c r="W367" i="10"/>
  <c r="W502" i="10"/>
  <c r="W562" i="10"/>
  <c r="W670" i="10"/>
  <c r="W934" i="10"/>
  <c r="W599" i="10"/>
  <c r="W908" i="10"/>
  <c r="W225" i="10"/>
  <c r="W501" i="10"/>
  <c r="W836" i="10"/>
  <c r="W115" i="10"/>
  <c r="W207" i="10"/>
  <c r="W451" i="10"/>
  <c r="W824" i="10"/>
  <c r="W968" i="10"/>
  <c r="W1059" i="10"/>
  <c r="W648" i="10"/>
  <c r="W813" i="10"/>
  <c r="W651" i="10"/>
  <c r="W783" i="10"/>
  <c r="W996" i="10"/>
  <c r="W326" i="10"/>
  <c r="W489" i="10"/>
  <c r="W543" i="10"/>
  <c r="W607" i="10"/>
  <c r="W945" i="10"/>
  <c r="W872" i="10"/>
  <c r="W1024" i="10"/>
  <c r="W1037" i="10"/>
  <c r="W400" i="10"/>
  <c r="W960" i="10"/>
  <c r="W1025" i="10"/>
  <c r="W1038" i="10"/>
  <c r="W1051" i="10"/>
  <c r="W775" i="10"/>
  <c r="W876" i="10"/>
  <c r="W989" i="10"/>
  <c r="W567" i="10"/>
  <c r="W791" i="10"/>
  <c r="W834" i="10"/>
  <c r="W924" i="10"/>
  <c r="W990" i="10"/>
  <c r="Y160" i="10"/>
  <c r="Y96" i="10"/>
  <c r="Y233" i="10"/>
  <c r="Y446" i="10"/>
  <c r="Y566" i="10"/>
  <c r="Y234" i="10"/>
  <c r="Y161" i="10"/>
  <c r="Y114" i="10"/>
  <c r="Y740" i="10"/>
  <c r="Y165" i="10"/>
  <c r="Y214" i="10"/>
  <c r="Y405" i="10"/>
  <c r="Y609" i="10"/>
  <c r="Y861" i="10"/>
  <c r="Y187" i="10"/>
  <c r="Y347" i="10"/>
  <c r="Y408" i="10"/>
  <c r="Y480" i="10"/>
  <c r="Y612" i="10"/>
  <c r="Y758" i="10"/>
  <c r="Y879" i="10"/>
  <c r="Y919" i="10"/>
  <c r="Y853" i="10"/>
  <c r="Y496" i="10"/>
  <c r="Y510" i="10"/>
  <c r="Y1013" i="10"/>
  <c r="Y370" i="10"/>
  <c r="Y384" i="10"/>
  <c r="Y882" i="10"/>
  <c r="Y1027" i="10"/>
  <c r="Y415" i="10"/>
  <c r="Y498" i="10"/>
  <c r="Y616" i="10"/>
  <c r="Y722" i="10"/>
  <c r="Y1055" i="10"/>
  <c r="Y399" i="10"/>
  <c r="Y991" i="10"/>
  <c r="Y1069" i="10"/>
  <c r="Y473" i="10"/>
  <c r="Y684" i="10"/>
  <c r="Y710" i="10"/>
  <c r="Y129" i="10"/>
  <c r="Y447" i="10"/>
  <c r="Y516" i="10"/>
  <c r="Y619" i="10"/>
  <c r="Y672" i="10"/>
  <c r="Y859" i="10"/>
  <c r="Y914" i="10"/>
  <c r="Y306" i="10"/>
  <c r="Y420" i="10"/>
  <c r="Y531" i="10"/>
  <c r="Y902" i="10"/>
  <c r="Y546" i="10"/>
  <c r="Y755" i="10"/>
  <c r="Y547" i="10"/>
  <c r="Y700" i="10"/>
  <c r="Y742" i="10"/>
  <c r="Y1074" i="10"/>
  <c r="Y892" i="10"/>
  <c r="Y281" i="10"/>
  <c r="Y425" i="10"/>
  <c r="Y649" i="10"/>
  <c r="Y478" i="10"/>
  <c r="Y533" i="10"/>
  <c r="Y167" i="10"/>
  <c r="V954" i="10"/>
  <c r="V811" i="10"/>
  <c r="V617" i="10"/>
  <c r="V317" i="10"/>
  <c r="V215" i="10"/>
  <c r="W860" i="10"/>
  <c r="W819" i="10"/>
  <c r="W774" i="10"/>
  <c r="W759" i="10"/>
  <c r="Y340" i="10"/>
  <c r="Y409" i="10"/>
  <c r="Y108" i="10"/>
  <c r="Y86" i="10"/>
  <c r="Y416" i="10"/>
  <c r="Y1040" i="10"/>
  <c r="Y453" i="10"/>
  <c r="Y777" i="10"/>
  <c r="Y154" i="10"/>
  <c r="Y1051" i="10"/>
  <c r="Y603" i="10"/>
  <c r="Y762" i="10"/>
  <c r="Y569" i="10"/>
  <c r="Y805" i="10"/>
  <c r="Y928" i="10"/>
  <c r="Y739" i="10"/>
  <c r="Y795" i="10"/>
  <c r="Y279" i="10"/>
  <c r="Y687" i="10"/>
  <c r="Y636" i="10"/>
  <c r="Y407" i="10"/>
  <c r="W935" i="10"/>
  <c r="W699" i="10"/>
  <c r="V654" i="10"/>
  <c r="V404" i="10"/>
  <c r="V316" i="10"/>
  <c r="W949" i="10"/>
  <c r="W903" i="10"/>
  <c r="W875" i="10"/>
  <c r="W366" i="10"/>
  <c r="W183" i="10"/>
  <c r="Y124" i="10"/>
  <c r="Y244" i="10"/>
  <c r="Y256" i="10"/>
  <c r="Y292" i="10"/>
  <c r="Y205" i="10"/>
  <c r="Y335" i="10"/>
  <c r="Y360" i="10"/>
  <c r="Y397" i="10"/>
  <c r="Y310" i="10"/>
  <c r="Y530" i="10"/>
  <c r="Y207" i="10"/>
  <c r="Y99" i="10"/>
  <c r="Y249" i="10"/>
  <c r="Y262" i="10"/>
  <c r="Y313" i="10"/>
  <c r="Y326" i="10"/>
  <c r="Y186" i="10"/>
  <c r="Y151" i="10"/>
  <c r="Y512" i="10"/>
  <c r="Y548" i="10"/>
  <c r="Y824" i="10"/>
  <c r="Y836" i="10"/>
  <c r="Y872" i="10"/>
  <c r="Y908" i="10"/>
  <c r="Y968" i="10"/>
  <c r="Y115" i="10"/>
  <c r="Y369" i="10"/>
  <c r="Y489" i="10"/>
  <c r="Y501" i="10"/>
  <c r="Y813" i="10"/>
  <c r="Y945" i="10"/>
  <c r="Y599" i="10"/>
  <c r="Y638" i="10"/>
  <c r="Y690" i="10"/>
  <c r="Y797" i="10"/>
  <c r="Y934" i="10"/>
  <c r="Y960" i="10"/>
  <c r="Y1024" i="10"/>
  <c r="Y367" i="10"/>
  <c r="Y562" i="10"/>
  <c r="Y651" i="10"/>
  <c r="Y759" i="10"/>
  <c r="Y1025" i="10"/>
  <c r="Y1037" i="10"/>
  <c r="Y138" i="10"/>
  <c r="Y225" i="10"/>
  <c r="Y760" i="10"/>
  <c r="Y868" i="10"/>
  <c r="Y936" i="10"/>
  <c r="Y988" i="10"/>
  <c r="Y1026" i="10"/>
  <c r="Y1038" i="10"/>
  <c r="Y484" i="10"/>
  <c r="Y552" i="10"/>
  <c r="Y602" i="10"/>
  <c r="Y761" i="10"/>
  <c r="Y924" i="10"/>
  <c r="Y989" i="10"/>
  <c r="Y578" i="10"/>
  <c r="Y842" i="10"/>
  <c r="Y990" i="10"/>
  <c r="Y106" i="10"/>
  <c r="Y472" i="10"/>
  <c r="Y567" i="10"/>
  <c r="Y592" i="10"/>
  <c r="Y670" i="10"/>
  <c r="Y775" i="10"/>
  <c r="Y77" i="10"/>
  <c r="Y400" i="10"/>
  <c r="Y791" i="10"/>
  <c r="Y180" i="10"/>
  <c r="Y255" i="10"/>
  <c r="Y502" i="10"/>
  <c r="Y543" i="10"/>
  <c r="Y606" i="10"/>
  <c r="Y888" i="10"/>
  <c r="Y163" i="10"/>
  <c r="Y325" i="10"/>
  <c r="Y448" i="10"/>
  <c r="Y607" i="10"/>
  <c r="Y793" i="10"/>
  <c r="Y1059" i="10"/>
  <c r="Y451" i="10"/>
  <c r="Y113" i="10"/>
  <c r="Y1010" i="10"/>
  <c r="Y438" i="10"/>
  <c r="Y996" i="10"/>
  <c r="Y117" i="10"/>
  <c r="Y424" i="10"/>
  <c r="Y492" i="10"/>
  <c r="Y648" i="10"/>
  <c r="Y796" i="10"/>
  <c r="Y834" i="10"/>
  <c r="Y913" i="10"/>
  <c r="Y781" i="10"/>
  <c r="Y876" i="10"/>
  <c r="Y166" i="10"/>
  <c r="Y519" i="10"/>
  <c r="Y558" i="10"/>
  <c r="Y783" i="10"/>
  <c r="Y903" i="10"/>
  <c r="Y217" i="10"/>
  <c r="Z801" i="10"/>
  <c r="V1039" i="10"/>
  <c r="V403" i="10"/>
  <c r="V278" i="10"/>
  <c r="W1026" i="10"/>
  <c r="W512" i="10"/>
  <c r="W364" i="10"/>
  <c r="AA160" i="10"/>
  <c r="AA496" i="10"/>
  <c r="AA616" i="10"/>
  <c r="AA700" i="10"/>
  <c r="AA892" i="10"/>
  <c r="AA161" i="10"/>
  <c r="AA233" i="10"/>
  <c r="AA281" i="10"/>
  <c r="AA425" i="10"/>
  <c r="AA473" i="10"/>
  <c r="AA533" i="10"/>
  <c r="AA1013" i="10"/>
  <c r="AA114" i="10"/>
  <c r="AA234" i="10"/>
  <c r="AA306" i="10"/>
  <c r="AA498" i="10"/>
  <c r="AA510" i="10"/>
  <c r="AA546" i="10"/>
  <c r="AA882" i="10"/>
  <c r="AA1074" i="10"/>
  <c r="AA187" i="10"/>
  <c r="AA415" i="10"/>
  <c r="AA547" i="10"/>
  <c r="AA619" i="10"/>
  <c r="AA859" i="10"/>
  <c r="AA919" i="10"/>
  <c r="AA991" i="10"/>
  <c r="AA1027" i="10"/>
  <c r="AA740" i="10"/>
  <c r="AA129" i="10"/>
  <c r="AA165" i="10"/>
  <c r="AA405" i="10"/>
  <c r="AA609" i="10"/>
  <c r="AA861" i="10"/>
  <c r="AA214" i="10"/>
  <c r="AA370" i="10"/>
  <c r="AA478" i="10"/>
  <c r="AA742" i="10"/>
  <c r="AA167" i="10"/>
  <c r="AA347" i="10"/>
  <c r="AA755" i="10"/>
  <c r="AA1055" i="10"/>
  <c r="AA96" i="10"/>
  <c r="AA384" i="10"/>
  <c r="AA408" i="10"/>
  <c r="AA420" i="10"/>
  <c r="AA480" i="10"/>
  <c r="AA516" i="10"/>
  <c r="AA612" i="10"/>
  <c r="AA649" i="10"/>
  <c r="AA853" i="10"/>
  <c r="AA1069" i="10"/>
  <c r="AA447" i="10"/>
  <c r="AA758" i="10"/>
  <c r="AA722" i="10"/>
  <c r="AA879" i="10"/>
  <c r="AA902" i="10"/>
  <c r="AA710" i="10"/>
  <c r="AA566" i="10"/>
  <c r="AA399" i="10"/>
  <c r="AA672" i="10"/>
  <c r="AA446" i="10"/>
  <c r="AA914" i="10"/>
  <c r="AA531" i="10"/>
  <c r="AA684" i="10"/>
  <c r="V1052" i="10"/>
  <c r="V1003" i="10"/>
  <c r="V931" i="10"/>
  <c r="V823" i="10"/>
  <c r="V716" i="10"/>
  <c r="V191" i="10"/>
  <c r="X811" i="10"/>
  <c r="X618" i="10"/>
  <c r="X211" i="10"/>
  <c r="Z840" i="10"/>
  <c r="X223" i="10"/>
  <c r="V930" i="10"/>
  <c r="V668" i="10"/>
  <c r="V541" i="10"/>
  <c r="V906" i="10"/>
  <c r="V884" i="10"/>
  <c r="V835" i="10"/>
  <c r="V540" i="10"/>
  <c r="V227" i="10"/>
  <c r="W1040" i="10"/>
  <c r="W963" i="10"/>
  <c r="W921" i="10"/>
  <c r="W789" i="10"/>
  <c r="W657" i="10"/>
  <c r="W611" i="10"/>
  <c r="W548" i="10"/>
  <c r="W104" i="10"/>
  <c r="X654" i="10"/>
  <c r="V135" i="10"/>
  <c r="V1016" i="10"/>
  <c r="V776" i="10"/>
  <c r="V680" i="10"/>
  <c r="V593" i="10"/>
  <c r="V365" i="10"/>
  <c r="V329" i="10"/>
  <c r="V204" i="10"/>
  <c r="V80" i="10"/>
  <c r="W1039" i="10"/>
  <c r="W1000" i="10"/>
  <c r="W920" i="10"/>
  <c r="W427" i="10"/>
  <c r="W313" i="10"/>
  <c r="V1064" i="10"/>
  <c r="V980" i="10"/>
  <c r="V848" i="10"/>
  <c r="V798" i="10"/>
  <c r="V555" i="10"/>
  <c r="V79" i="10"/>
  <c r="W1053" i="10"/>
  <c r="W563" i="10"/>
  <c r="W426" i="10"/>
  <c r="W236" i="10"/>
  <c r="X997" i="10"/>
  <c r="X275" i="10"/>
  <c r="AA124" i="10"/>
  <c r="AA244" i="10"/>
  <c r="AA256" i="10"/>
  <c r="AA292" i="10"/>
  <c r="AA400" i="10"/>
  <c r="AA424" i="10"/>
  <c r="AA448" i="10"/>
  <c r="AA472" i="10"/>
  <c r="AA484" i="10"/>
  <c r="AA592" i="10"/>
  <c r="AA760" i="10"/>
  <c r="AA796" i="10"/>
  <c r="AA868" i="10"/>
  <c r="AA988" i="10"/>
  <c r="AA1024" i="10"/>
  <c r="AA77" i="10"/>
  <c r="AA113" i="10"/>
  <c r="AA761" i="10"/>
  <c r="AA797" i="10"/>
  <c r="AA989" i="10"/>
  <c r="AA1025" i="10"/>
  <c r="AA1037" i="10"/>
  <c r="AA138" i="10"/>
  <c r="AA186" i="10"/>
  <c r="AA438" i="10"/>
  <c r="AA558" i="10"/>
  <c r="AA606" i="10"/>
  <c r="AA690" i="10"/>
  <c r="AA834" i="10"/>
  <c r="AA990" i="10"/>
  <c r="AA1026" i="10"/>
  <c r="AA1038" i="10"/>
  <c r="AA115" i="10"/>
  <c r="AA151" i="10"/>
  <c r="AA163" i="10"/>
  <c r="AA367" i="10"/>
  <c r="AA451" i="10"/>
  <c r="AA607" i="10"/>
  <c r="AA775" i="10"/>
  <c r="AA512" i="10"/>
  <c r="AA548" i="10"/>
  <c r="AA824" i="10"/>
  <c r="AA836" i="10"/>
  <c r="AA872" i="10"/>
  <c r="AA908" i="10"/>
  <c r="AA968" i="10"/>
  <c r="AA117" i="10"/>
  <c r="AA225" i="10"/>
  <c r="AA249" i="10"/>
  <c r="AA369" i="10"/>
  <c r="AA489" i="10"/>
  <c r="AA501" i="10"/>
  <c r="AA813" i="10"/>
  <c r="AA945" i="10"/>
  <c r="AA106" i="10"/>
  <c r="AA166" i="10"/>
  <c r="AA262" i="10"/>
  <c r="AA310" i="10"/>
  <c r="AA502" i="10"/>
  <c r="AA562" i="10"/>
  <c r="AA670" i="10"/>
  <c r="AA934" i="10"/>
  <c r="AA335" i="10"/>
  <c r="AA599" i="10"/>
  <c r="AA791" i="10"/>
  <c r="AA180" i="10"/>
  <c r="AA360" i="10"/>
  <c r="AA492" i="10"/>
  <c r="AA552" i="10"/>
  <c r="AA648" i="10"/>
  <c r="AA205" i="10"/>
  <c r="AA217" i="10"/>
  <c r="AA313" i="10"/>
  <c r="AA325" i="10"/>
  <c r="AA397" i="10"/>
  <c r="AA781" i="10"/>
  <c r="AA793" i="10"/>
  <c r="AA913" i="10"/>
  <c r="AA960" i="10"/>
  <c r="AA519" i="10"/>
  <c r="AA759" i="10"/>
  <c r="AA578" i="10"/>
  <c r="AA638" i="10"/>
  <c r="AA924" i="10"/>
  <c r="AA1059" i="10"/>
  <c r="AA783" i="10"/>
  <c r="AA99" i="10"/>
  <c r="AA543" i="10"/>
  <c r="AA842" i="10"/>
  <c r="AA903" i="10"/>
  <c r="AA602" i="10"/>
  <c r="AA888" i="10"/>
  <c r="AA255" i="10"/>
  <c r="AA567" i="10"/>
  <c r="AA936" i="10"/>
  <c r="AA1010" i="10"/>
  <c r="AA207" i="10"/>
  <c r="AA651" i="10"/>
  <c r="AA326" i="10"/>
  <c r="AA530" i="10"/>
  <c r="AA996" i="10"/>
  <c r="V862" i="10"/>
  <c r="V850" i="10"/>
  <c r="V838" i="10"/>
  <c r="V802" i="10"/>
  <c r="V718" i="10"/>
  <c r="V706" i="10"/>
  <c r="V670" i="10"/>
  <c r="V609" i="10"/>
  <c r="V583" i="10"/>
  <c r="V519" i="10"/>
  <c r="V506" i="10"/>
  <c r="V469" i="10"/>
  <c r="V382" i="10"/>
  <c r="V369" i="10"/>
  <c r="V356" i="10"/>
  <c r="V256" i="10"/>
  <c r="V243" i="10"/>
  <c r="V194" i="10"/>
  <c r="V169" i="10"/>
  <c r="V120" i="10"/>
  <c r="V107" i="10"/>
  <c r="V82" i="10"/>
  <c r="W1069" i="10"/>
  <c r="W1055" i="10"/>
  <c r="W879" i="10"/>
  <c r="X960" i="10"/>
  <c r="X942" i="10"/>
  <c r="X916" i="10"/>
  <c r="X872" i="10"/>
  <c r="V114" i="10"/>
  <c r="V234" i="10"/>
  <c r="V306" i="10"/>
  <c r="V498" i="10"/>
  <c r="V510" i="10"/>
  <c r="V546" i="10"/>
  <c r="Y76" i="10"/>
  <c r="Y208" i="10"/>
  <c r="Y220" i="10"/>
  <c r="Y232" i="10"/>
  <c r="Y280" i="10"/>
  <c r="Y304" i="10"/>
  <c r="Y316" i="10"/>
  <c r="Y328" i="10"/>
  <c r="Y364" i="10"/>
  <c r="Y107" i="10"/>
  <c r="Y144" i="10"/>
  <c r="Y169" i="10"/>
  <c r="Y270" i="10"/>
  <c r="Y283" i="10"/>
  <c r="Y309" i="10"/>
  <c r="Y322" i="10"/>
  <c r="Y348" i="10"/>
  <c r="Y373" i="10"/>
  <c r="Y421" i="10"/>
  <c r="Y469" i="10"/>
  <c r="Y541" i="10"/>
  <c r="Y637" i="10"/>
  <c r="Y120" i="10"/>
  <c r="Y170" i="10"/>
  <c r="Y194" i="10"/>
  <c r="Y246" i="10"/>
  <c r="Y259" i="10"/>
  <c r="Y336" i="10"/>
  <c r="Y349" i="10"/>
  <c r="Y361" i="10"/>
  <c r="Y410" i="10"/>
  <c r="Y422" i="10"/>
  <c r="Y434" i="10"/>
  <c r="Y470" i="10"/>
  <c r="Y482" i="10"/>
  <c r="Y506" i="10"/>
  <c r="Y146" i="10"/>
  <c r="Y183" i="10"/>
  <c r="Y195" i="10"/>
  <c r="Y247" i="10"/>
  <c r="Y260" i="10"/>
  <c r="Y135" i="10"/>
  <c r="Y159" i="10"/>
  <c r="Y209" i="10"/>
  <c r="Y235" i="10"/>
  <c r="Y248" i="10"/>
  <c r="Y111" i="10"/>
  <c r="Y173" i="10"/>
  <c r="Y197" i="10"/>
  <c r="Y223" i="10"/>
  <c r="Y236" i="10"/>
  <c r="Y365" i="10"/>
  <c r="Y413" i="10"/>
  <c r="Y137" i="10"/>
  <c r="Y149" i="10"/>
  <c r="Y211" i="10"/>
  <c r="Y224" i="10"/>
  <c r="Y250" i="10"/>
  <c r="Y263" i="10"/>
  <c r="Y275" i="10"/>
  <c r="Y288" i="10"/>
  <c r="Y102" i="10"/>
  <c r="Y127" i="10"/>
  <c r="Y176" i="10"/>
  <c r="Y277" i="10"/>
  <c r="Y317" i="10"/>
  <c r="Y343" i="10"/>
  <c r="Y380" i="10"/>
  <c r="Y404" i="10"/>
  <c r="Y476" i="10"/>
  <c r="Y656" i="10"/>
  <c r="Y668" i="10"/>
  <c r="Y680" i="10"/>
  <c r="Y704" i="10"/>
  <c r="Y716" i="10"/>
  <c r="Y728" i="10"/>
  <c r="Y776" i="10"/>
  <c r="Y848" i="10"/>
  <c r="Y860" i="10"/>
  <c r="Y884" i="10"/>
  <c r="Y920" i="10"/>
  <c r="Y980" i="10"/>
  <c r="Y1016" i="10"/>
  <c r="Y1052" i="10"/>
  <c r="Y1064" i="10"/>
  <c r="Y79" i="10"/>
  <c r="Y91" i="10"/>
  <c r="Y128" i="10"/>
  <c r="Y177" i="10"/>
  <c r="Y227" i="10"/>
  <c r="Y240" i="10"/>
  <c r="Y278" i="10"/>
  <c r="Y318" i="10"/>
  <c r="Y356" i="10"/>
  <c r="Y525" i="10"/>
  <c r="Y585" i="10"/>
  <c r="Y621" i="10"/>
  <c r="Y657" i="10"/>
  <c r="Y705" i="10"/>
  <c r="Y717" i="10"/>
  <c r="Y741" i="10"/>
  <c r="Y753" i="10"/>
  <c r="Y789" i="10"/>
  <c r="Y801" i="10"/>
  <c r="Y825" i="10"/>
  <c r="Y849" i="10"/>
  <c r="Y885" i="10"/>
  <c r="Y897" i="10"/>
  <c r="Y921" i="10"/>
  <c r="Y933" i="10"/>
  <c r="Y957" i="10"/>
  <c r="Y993" i="10"/>
  <c r="Y1053" i="10"/>
  <c r="Y168" i="10"/>
  <c r="Y202" i="10"/>
  <c r="Y282" i="10"/>
  <c r="Y366" i="10"/>
  <c r="Y426" i="10"/>
  <c r="Y535" i="10"/>
  <c r="Y587" i="10"/>
  <c r="Y650" i="10"/>
  <c r="Y664" i="10"/>
  <c r="Y718" i="10"/>
  <c r="Y745" i="10"/>
  <c r="Y784" i="10"/>
  <c r="Y823" i="10"/>
  <c r="Y838" i="10"/>
  <c r="Y906" i="10"/>
  <c r="Y1011" i="10"/>
  <c r="Y1063" i="10"/>
  <c r="Y153" i="10"/>
  <c r="Y243" i="10"/>
  <c r="Y350" i="10"/>
  <c r="Y382" i="10"/>
  <c r="Y427" i="10"/>
  <c r="Y495" i="10"/>
  <c r="Y522" i="10"/>
  <c r="Y575" i="10"/>
  <c r="Y588" i="10"/>
  <c r="Y691" i="10"/>
  <c r="Y798" i="10"/>
  <c r="Y811" i="10"/>
  <c r="Y922" i="10"/>
  <c r="Y935" i="10"/>
  <c r="Y1000" i="10"/>
  <c r="Y204" i="10"/>
  <c r="Y299" i="10"/>
  <c r="Y351" i="10"/>
  <c r="Y551" i="10"/>
  <c r="Y563" i="10"/>
  <c r="Y576" i="10"/>
  <c r="Y627" i="10"/>
  <c r="Y652" i="10"/>
  <c r="Y706" i="10"/>
  <c r="Y747" i="10"/>
  <c r="Y840" i="10"/>
  <c r="Y895" i="10"/>
  <c r="Y949" i="10"/>
  <c r="Y962" i="10"/>
  <c r="Y975" i="10"/>
  <c r="Y1066" i="10"/>
  <c r="Y104" i="10"/>
  <c r="Y251" i="10"/>
  <c r="Y286" i="10"/>
  <c r="Y396" i="10"/>
  <c r="Y468" i="10"/>
  <c r="Y538" i="10"/>
  <c r="Y564" i="10"/>
  <c r="Y628" i="10"/>
  <c r="Y869" i="10"/>
  <c r="Y910" i="10"/>
  <c r="Y937" i="10"/>
  <c r="Y950" i="10"/>
  <c r="Y963" i="10"/>
  <c r="Y976" i="10"/>
  <c r="Y1039" i="10"/>
  <c r="Y175" i="10"/>
  <c r="Y191" i="10"/>
  <c r="Y269" i="10"/>
  <c r="Y430" i="10"/>
  <c r="Y539" i="10"/>
  <c r="Y591" i="10"/>
  <c r="Y642" i="10"/>
  <c r="Y654" i="10"/>
  <c r="Y774" i="10"/>
  <c r="Y802" i="10"/>
  <c r="Y856" i="10"/>
  <c r="Y938" i="10"/>
  <c r="Y964" i="10"/>
  <c r="Y1003" i="10"/>
  <c r="Y1068" i="10"/>
  <c r="Y141" i="10"/>
  <c r="Y302" i="10"/>
  <c r="Y321" i="10"/>
  <c r="Y372" i="10"/>
  <c r="Y499" i="10"/>
  <c r="Y540" i="10"/>
  <c r="Y604" i="10"/>
  <c r="Y617" i="10"/>
  <c r="Y695" i="10"/>
  <c r="Y723" i="10"/>
  <c r="Y736" i="10"/>
  <c r="Y803" i="10"/>
  <c r="Y830" i="10"/>
  <c r="Y899" i="10"/>
  <c r="Y912" i="10"/>
  <c r="Y978" i="10"/>
  <c r="Y142" i="10"/>
  <c r="Y179" i="10"/>
  <c r="Y387" i="10"/>
  <c r="Y432" i="10"/>
  <c r="Y459" i="10"/>
  <c r="Y528" i="10"/>
  <c r="Y555" i="10"/>
  <c r="Y593" i="10"/>
  <c r="Y618" i="10"/>
  <c r="Y724" i="10"/>
  <c r="Y737" i="10"/>
  <c r="Y804" i="10"/>
  <c r="Y215" i="10"/>
  <c r="Y375" i="10"/>
  <c r="Y594" i="10"/>
  <c r="Y659" i="10"/>
  <c r="Y711" i="10"/>
  <c r="Y725" i="10"/>
  <c r="Y779" i="10"/>
  <c r="Y901" i="10"/>
  <c r="Y954" i="10"/>
  <c r="Y994" i="10"/>
  <c r="Y1019" i="10"/>
  <c r="Y1044" i="10"/>
  <c r="Y1058" i="10"/>
  <c r="Y80" i="10"/>
  <c r="Y570" i="10"/>
  <c r="Y686" i="10"/>
  <c r="Y819" i="10"/>
  <c r="Y846" i="10"/>
  <c r="Y862" i="10"/>
  <c r="Y875" i="10"/>
  <c r="Y915" i="10"/>
  <c r="Y929" i="10"/>
  <c r="Y942" i="10"/>
  <c r="Y955" i="10"/>
  <c r="Y995" i="10"/>
  <c r="Y1007" i="10"/>
  <c r="Y1032" i="10"/>
  <c r="Y308" i="10"/>
  <c r="Y904" i="10"/>
  <c r="Y971" i="10"/>
  <c r="Y1009" i="10"/>
  <c r="Y1070" i="10"/>
  <c r="Y311" i="10"/>
  <c r="Y437" i="10"/>
  <c r="Y507" i="10"/>
  <c r="Y583" i="10"/>
  <c r="Y663" i="10"/>
  <c r="Y847" i="10"/>
  <c r="Y887" i="10"/>
  <c r="Y930" i="10"/>
  <c r="Y1030" i="10"/>
  <c r="Y378" i="10"/>
  <c r="Y850" i="10"/>
  <c r="Y931" i="10"/>
  <c r="Y295" i="10"/>
  <c r="Y611" i="10"/>
  <c r="Y699" i="10"/>
  <c r="Y997" i="10"/>
  <c r="Y1033" i="10"/>
  <c r="Y82" i="10"/>
  <c r="Y276" i="10"/>
  <c r="Y647" i="10"/>
  <c r="Y891" i="10"/>
  <c r="Y835" i="10"/>
  <c r="Y916" i="10"/>
  <c r="Y1018" i="10"/>
  <c r="Y264" i="10"/>
  <c r="Y362" i="10"/>
  <c r="Y403" i="10"/>
  <c r="Y635" i="10"/>
  <c r="Y727" i="10"/>
  <c r="Y782" i="10"/>
  <c r="Y877" i="10"/>
  <c r="Y917" i="10"/>
  <c r="Y1060" i="10"/>
  <c r="Y241" i="10"/>
  <c r="Y329" i="10"/>
  <c r="Y676" i="10"/>
  <c r="Y808" i="10"/>
  <c r="Y900" i="10"/>
  <c r="AA340" i="10"/>
  <c r="AA928" i="10"/>
  <c r="AA569" i="10"/>
  <c r="AA762" i="10"/>
  <c r="AA739" i="10"/>
  <c r="AA1051" i="10"/>
  <c r="AA416" i="10"/>
  <c r="AA1040" i="10"/>
  <c r="AA453" i="10"/>
  <c r="AA777" i="10"/>
  <c r="AA154" i="10"/>
  <c r="AA407" i="10"/>
  <c r="AA108" i="10"/>
  <c r="AA636" i="10"/>
  <c r="AA409" i="10"/>
  <c r="AA805" i="10"/>
  <c r="AA687" i="10"/>
  <c r="AA86" i="10"/>
  <c r="AA603" i="10"/>
  <c r="AA279" i="10"/>
  <c r="AA795" i="10"/>
  <c r="V1053" i="10"/>
  <c r="V993" i="10"/>
  <c r="V957" i="10"/>
  <c r="V945" i="10"/>
  <c r="V933" i="10"/>
  <c r="V921" i="10"/>
  <c r="V897" i="10"/>
  <c r="V885" i="10"/>
  <c r="V861" i="10"/>
  <c r="V849" i="10"/>
  <c r="V825" i="10"/>
  <c r="V813" i="10"/>
  <c r="V801" i="10"/>
  <c r="V789" i="10"/>
  <c r="V777" i="10"/>
  <c r="V753" i="10"/>
  <c r="V741" i="10"/>
  <c r="V717" i="10"/>
  <c r="V705" i="10"/>
  <c r="V657" i="10"/>
  <c r="V621" i="10"/>
  <c r="V569" i="10"/>
  <c r="V543" i="10"/>
  <c r="V531" i="10"/>
  <c r="V492" i="10"/>
  <c r="V480" i="10"/>
  <c r="V468" i="10"/>
  <c r="V430" i="10"/>
  <c r="V405" i="10"/>
  <c r="V343" i="10"/>
  <c r="V280" i="10"/>
  <c r="V255" i="10"/>
  <c r="V217" i="10"/>
  <c r="V205" i="10"/>
  <c r="V180" i="10"/>
  <c r="V168" i="10"/>
  <c r="V144" i="10"/>
  <c r="V106" i="10"/>
  <c r="X975" i="10"/>
  <c r="X912" i="10"/>
  <c r="X259" i="10"/>
  <c r="Y1062" i="10"/>
  <c r="Y821" i="10"/>
  <c r="W154" i="10"/>
  <c r="W279" i="10"/>
  <c r="W805" i="10"/>
  <c r="W108" i="10"/>
  <c r="W407" i="10"/>
  <c r="W409" i="10"/>
  <c r="W928" i="10"/>
  <c r="W86" i="10"/>
  <c r="W569" i="10"/>
  <c r="W416" i="10"/>
  <c r="V1037" i="10"/>
  <c r="V1025" i="10"/>
  <c r="V989" i="10"/>
  <c r="V929" i="10"/>
  <c r="V917" i="10"/>
  <c r="V869" i="10"/>
  <c r="V821" i="10"/>
  <c r="V797" i="10"/>
  <c r="V761" i="10"/>
  <c r="V737" i="10"/>
  <c r="V725" i="10"/>
  <c r="V603" i="10"/>
  <c r="V578" i="10"/>
  <c r="V552" i="10"/>
  <c r="V539" i="10"/>
  <c r="V501" i="10"/>
  <c r="V476" i="10"/>
  <c r="V451" i="10"/>
  <c r="V413" i="10"/>
  <c r="V351" i="10"/>
  <c r="V327" i="10"/>
  <c r="V276" i="10"/>
  <c r="V263" i="10"/>
  <c r="V251" i="10"/>
  <c r="V225" i="10"/>
  <c r="V176" i="10"/>
  <c r="V127" i="10"/>
  <c r="V115" i="10"/>
  <c r="V77" i="10"/>
  <c r="W636" i="10"/>
  <c r="X1009" i="10"/>
  <c r="X971" i="10"/>
  <c r="X931" i="10"/>
  <c r="X884" i="10"/>
  <c r="X727" i="10"/>
  <c r="X670" i="10"/>
  <c r="X648" i="10"/>
  <c r="X227" i="10"/>
  <c r="W214" i="10"/>
  <c r="W161" i="10"/>
  <c r="W233" i="10"/>
  <c r="W281" i="10"/>
  <c r="W425" i="10"/>
  <c r="W405" i="10"/>
  <c r="W480" i="10"/>
  <c r="W516" i="10"/>
  <c r="W160" i="10"/>
  <c r="W187" i="10"/>
  <c r="W370" i="10"/>
  <c r="W649" i="10"/>
  <c r="W853" i="10"/>
  <c r="W306" i="10"/>
  <c r="W420" i="10"/>
  <c r="W446" i="10"/>
  <c r="W566" i="10"/>
  <c r="W710" i="10"/>
  <c r="W722" i="10"/>
  <c r="W758" i="10"/>
  <c r="W902" i="10"/>
  <c r="W914" i="10"/>
  <c r="W96" i="10"/>
  <c r="W347" i="10"/>
  <c r="W384" i="10"/>
  <c r="W408" i="10"/>
  <c r="W447" i="10"/>
  <c r="W531" i="10"/>
  <c r="W496" i="10"/>
  <c r="W616" i="10"/>
  <c r="W700" i="10"/>
  <c r="W892" i="10"/>
  <c r="W165" i="10"/>
  <c r="W473" i="10"/>
  <c r="W533" i="10"/>
  <c r="W167" i="10"/>
  <c r="W399" i="10"/>
  <c r="W498" i="10"/>
  <c r="W510" i="10"/>
  <c r="W546" i="10"/>
  <c r="W129" i="10"/>
  <c r="W478" i="10"/>
  <c r="W742" i="10"/>
  <c r="Z107" i="10"/>
  <c r="Z179" i="10"/>
  <c r="Z191" i="10"/>
  <c r="Z215" i="10"/>
  <c r="Z227" i="10"/>
  <c r="Z251" i="10"/>
  <c r="Z263" i="10"/>
  <c r="Z275" i="10"/>
  <c r="Z299" i="10"/>
  <c r="Z311" i="10"/>
  <c r="Z479" i="10"/>
  <c r="Z539" i="10"/>
  <c r="Z551" i="10"/>
  <c r="Z563" i="10"/>
  <c r="Z575" i="10"/>
  <c r="Z587" i="10"/>
  <c r="Z611" i="10"/>
  <c r="Z623" i="10"/>
  <c r="Z635" i="10"/>
  <c r="Z647" i="10"/>
  <c r="Z659" i="10"/>
  <c r="Z120" i="10"/>
  <c r="Z144" i="10"/>
  <c r="Z168" i="10"/>
  <c r="Z204" i="10"/>
  <c r="Z240" i="10"/>
  <c r="Z264" i="10"/>
  <c r="Z276" i="10"/>
  <c r="Z288" i="10"/>
  <c r="Z336" i="10"/>
  <c r="Z348" i="10"/>
  <c r="Z372" i="10"/>
  <c r="Z396" i="10"/>
  <c r="Z432" i="10"/>
  <c r="Z468" i="10"/>
  <c r="Z528" i="10"/>
  <c r="Z540" i="10"/>
  <c r="Z564" i="10"/>
  <c r="Z576" i="10"/>
  <c r="Z588" i="10"/>
  <c r="Z169" i="10"/>
  <c r="Z241" i="10"/>
  <c r="Z277" i="10"/>
  <c r="Z349" i="10"/>
  <c r="Z361" i="10"/>
  <c r="Z373" i="10"/>
  <c r="Z421" i="10"/>
  <c r="Z469" i="10"/>
  <c r="Z541" i="10"/>
  <c r="Z637" i="10"/>
  <c r="Z661" i="10"/>
  <c r="Z146" i="10"/>
  <c r="Z170" i="10"/>
  <c r="Z194" i="10"/>
  <c r="Z278" i="10"/>
  <c r="Z302" i="10"/>
  <c r="Z350" i="10"/>
  <c r="Z362" i="10"/>
  <c r="Z410" i="10"/>
  <c r="Z422" i="10"/>
  <c r="Z434" i="10"/>
  <c r="Z470" i="10"/>
  <c r="Z482" i="10"/>
  <c r="Z506" i="10"/>
  <c r="Z111" i="10"/>
  <c r="Z135" i="10"/>
  <c r="Z159" i="10"/>
  <c r="Z183" i="10"/>
  <c r="Z195" i="10"/>
  <c r="Z243" i="10"/>
  <c r="Z327" i="10"/>
  <c r="Z351" i="10"/>
  <c r="Z375" i="10"/>
  <c r="Z387" i="10"/>
  <c r="Z76" i="10"/>
  <c r="Z208" i="10"/>
  <c r="Z220" i="10"/>
  <c r="Z232" i="10"/>
  <c r="Z280" i="10"/>
  <c r="Z304" i="10"/>
  <c r="Z316" i="10"/>
  <c r="Z328" i="10"/>
  <c r="Z364" i="10"/>
  <c r="Z137" i="10"/>
  <c r="Z149" i="10"/>
  <c r="Z173" i="10"/>
  <c r="Z197" i="10"/>
  <c r="Z209" i="10"/>
  <c r="Z269" i="10"/>
  <c r="Z317" i="10"/>
  <c r="Z329" i="10"/>
  <c r="Z365" i="10"/>
  <c r="Z413" i="10"/>
  <c r="Z437" i="10"/>
  <c r="Z102" i="10"/>
  <c r="Z246" i="10"/>
  <c r="Z270" i="10"/>
  <c r="Z282" i="10"/>
  <c r="Z318" i="10"/>
  <c r="Z366" i="10"/>
  <c r="Z378" i="10"/>
  <c r="Z426" i="10"/>
  <c r="Z462" i="10"/>
  <c r="Z80" i="10"/>
  <c r="Z104" i="10"/>
  <c r="Z128" i="10"/>
  <c r="Z176" i="10"/>
  <c r="Z224" i="10"/>
  <c r="Z236" i="10"/>
  <c r="Z248" i="10"/>
  <c r="Z260" i="10"/>
  <c r="Z308" i="10"/>
  <c r="Z356" i="10"/>
  <c r="Z380" i="10"/>
  <c r="Z404" i="10"/>
  <c r="Z476" i="10"/>
  <c r="Z656" i="10"/>
  <c r="Z668" i="10"/>
  <c r="Z680" i="10"/>
  <c r="Z704" i="10"/>
  <c r="Z716" i="10"/>
  <c r="Z728" i="10"/>
  <c r="Z776" i="10"/>
  <c r="Z848" i="10"/>
  <c r="Z860" i="10"/>
  <c r="Z884" i="10"/>
  <c r="Z920" i="10"/>
  <c r="Z980" i="10"/>
  <c r="Z1016" i="10"/>
  <c r="Z1052" i="10"/>
  <c r="Z1064" i="10"/>
  <c r="Z91" i="10"/>
  <c r="Z142" i="10"/>
  <c r="Z235" i="10"/>
  <c r="Z499" i="10"/>
  <c r="Z604" i="10"/>
  <c r="Z618" i="10"/>
  <c r="Z664" i="10"/>
  <c r="Z691" i="10"/>
  <c r="Z717" i="10"/>
  <c r="Z767" i="10"/>
  <c r="Z804" i="10"/>
  <c r="Z906" i="10"/>
  <c r="Z994" i="10"/>
  <c r="Z1019" i="10"/>
  <c r="Z1044" i="10"/>
  <c r="Z1070" i="10"/>
  <c r="Z127" i="10"/>
  <c r="Z283" i="10"/>
  <c r="Z591" i="10"/>
  <c r="Z650" i="10"/>
  <c r="Z705" i="10"/>
  <c r="Z718" i="10"/>
  <c r="Z830" i="10"/>
  <c r="Z856" i="10"/>
  <c r="Z869" i="10"/>
  <c r="Z895" i="10"/>
  <c r="Z921" i="10"/>
  <c r="Z933" i="10"/>
  <c r="Z957" i="10"/>
  <c r="Z970" i="10"/>
  <c r="Z995" i="10"/>
  <c r="Z1007" i="10"/>
  <c r="Z1032" i="10"/>
  <c r="Z1058" i="10"/>
  <c r="Z79" i="10"/>
  <c r="Z259" i="10"/>
  <c r="Z706" i="10"/>
  <c r="Z745" i="10"/>
  <c r="Z782" i="10"/>
  <c r="Z922" i="10"/>
  <c r="Z971" i="10"/>
  <c r="Z1033" i="10"/>
  <c r="Z1046" i="10"/>
  <c r="Z321" i="10"/>
  <c r="Z382" i="10"/>
  <c r="Z593" i="10"/>
  <c r="Z621" i="10"/>
  <c r="Z652" i="10"/>
  <c r="Z819" i="10"/>
  <c r="Z885" i="10"/>
  <c r="Z897" i="10"/>
  <c r="Z910" i="10"/>
  <c r="Z935" i="10"/>
  <c r="Z997" i="10"/>
  <c r="Z1009" i="10"/>
  <c r="Z1060" i="10"/>
  <c r="Z82" i="10"/>
  <c r="Z202" i="10"/>
  <c r="Z286" i="10"/>
  <c r="Z322" i="10"/>
  <c r="Z594" i="10"/>
  <c r="Z695" i="10"/>
  <c r="Z747" i="10"/>
  <c r="Z784" i="10"/>
  <c r="Z808" i="10"/>
  <c r="Z846" i="10"/>
  <c r="Z223" i="10"/>
  <c r="Z343" i="10"/>
  <c r="Z427" i="10"/>
  <c r="Z654" i="10"/>
  <c r="Z821" i="10"/>
  <c r="Z847" i="10"/>
  <c r="Z887" i="10"/>
  <c r="Z899" i="10"/>
  <c r="Z912" i="10"/>
  <c r="Z937" i="10"/>
  <c r="Z949" i="10"/>
  <c r="Z1011" i="10"/>
  <c r="Z1062" i="10"/>
  <c r="Z247" i="10"/>
  <c r="Z403" i="10"/>
  <c r="Z723" i="10"/>
  <c r="Z736" i="10"/>
  <c r="Z798" i="10"/>
  <c r="Z459" i="10"/>
  <c r="Z507" i="10"/>
  <c r="Z535" i="10"/>
  <c r="Z583" i="10"/>
  <c r="Z657" i="10"/>
  <c r="Z686" i="10"/>
  <c r="Z711" i="10"/>
  <c r="Z724" i="10"/>
  <c r="Z737" i="10"/>
  <c r="Z774" i="10"/>
  <c r="Z811" i="10"/>
  <c r="Z823" i="10"/>
  <c r="Z850" i="10"/>
  <c r="Z901" i="10"/>
  <c r="Z963" i="10"/>
  <c r="Z976" i="10"/>
  <c r="Z153" i="10"/>
  <c r="Z211" i="10"/>
  <c r="Z250" i="10"/>
  <c r="Z309" i="10"/>
  <c r="Z430" i="10"/>
  <c r="Z522" i="10"/>
  <c r="Z627" i="10"/>
  <c r="Z642" i="10"/>
  <c r="Z699" i="10"/>
  <c r="Z725" i="10"/>
  <c r="Z825" i="10"/>
  <c r="Z838" i="10"/>
  <c r="Z877" i="10"/>
  <c r="Z915" i="10"/>
  <c r="Z964" i="10"/>
  <c r="Z1039" i="10"/>
  <c r="Z1053" i="10"/>
  <c r="Z1066" i="10"/>
  <c r="Z676" i="10"/>
  <c r="Z862" i="10"/>
  <c r="Z955" i="10"/>
  <c r="Z1068" i="10"/>
  <c r="Z495" i="10"/>
  <c r="Z555" i="10"/>
  <c r="Z942" i="10"/>
  <c r="Z975" i="10"/>
  <c r="Z617" i="10"/>
  <c r="Z789" i="10"/>
  <c r="Z900" i="10"/>
  <c r="Z1030" i="10"/>
  <c r="Z663" i="10"/>
  <c r="Z978" i="10"/>
  <c r="Z993" i="10"/>
  <c r="Z753" i="10"/>
  <c r="Z849" i="10"/>
  <c r="Z904" i="10"/>
  <c r="Z141" i="10"/>
  <c r="Z538" i="10"/>
  <c r="Z929" i="10"/>
  <c r="Z962" i="10"/>
  <c r="Z741" i="10"/>
  <c r="Z930" i="10"/>
  <c r="Z1000" i="10"/>
  <c r="Z1018" i="10"/>
  <c r="Z931" i="10"/>
  <c r="Z950" i="10"/>
  <c r="Z585" i="10"/>
  <c r="Z628" i="10"/>
  <c r="Z727" i="10"/>
  <c r="Z779" i="10"/>
  <c r="Z835" i="10"/>
  <c r="Z891" i="10"/>
  <c r="Z295" i="10"/>
  <c r="Z802" i="10"/>
  <c r="Z175" i="10"/>
  <c r="Z803" i="10"/>
  <c r="Z916" i="10"/>
  <c r="Z177" i="10"/>
  <c r="Z917" i="10"/>
  <c r="Z570" i="10"/>
  <c r="Z525" i="10"/>
  <c r="Z875" i="10"/>
  <c r="Z1063" i="10"/>
  <c r="V928" i="10"/>
  <c r="V700" i="10"/>
  <c r="W755" i="10"/>
  <c r="X928" i="10"/>
  <c r="Z335" i="10"/>
  <c r="Z599" i="10"/>
  <c r="Z180" i="10"/>
  <c r="Z360" i="10"/>
  <c r="Z492" i="10"/>
  <c r="Z552" i="10"/>
  <c r="Z648" i="10"/>
  <c r="Z205" i="10"/>
  <c r="Z217" i="10"/>
  <c r="Z313" i="10"/>
  <c r="Z325" i="10"/>
  <c r="Z397" i="10"/>
  <c r="Z326" i="10"/>
  <c r="Z530" i="10"/>
  <c r="Z578" i="10"/>
  <c r="Z602" i="10"/>
  <c r="Z99" i="10"/>
  <c r="Z207" i="10"/>
  <c r="Z255" i="10"/>
  <c r="Z124" i="10"/>
  <c r="Z244" i="10"/>
  <c r="Z256" i="10"/>
  <c r="Z292" i="10"/>
  <c r="Z400" i="10"/>
  <c r="Z424" i="10"/>
  <c r="Z448" i="10"/>
  <c r="Z472" i="10"/>
  <c r="Z77" i="10"/>
  <c r="Z113" i="10"/>
  <c r="Z138" i="10"/>
  <c r="Z186" i="10"/>
  <c r="Z438" i="10"/>
  <c r="Z512" i="10"/>
  <c r="Z548" i="10"/>
  <c r="Z824" i="10"/>
  <c r="Z836" i="10"/>
  <c r="Z872" i="10"/>
  <c r="Z908" i="10"/>
  <c r="Z968" i="10"/>
  <c r="Z543" i="10"/>
  <c r="Z558" i="10"/>
  <c r="Z842" i="10"/>
  <c r="Z868" i="10"/>
  <c r="Z781" i="10"/>
  <c r="Z793" i="10"/>
  <c r="Z945" i="10"/>
  <c r="Z501" i="10"/>
  <c r="Z592" i="10"/>
  <c r="Z606" i="10"/>
  <c r="Z651" i="10"/>
  <c r="Z934" i="10"/>
  <c r="Z996" i="10"/>
  <c r="Z1059" i="10"/>
  <c r="Z115" i="10"/>
  <c r="Z163" i="10"/>
  <c r="Z502" i="10"/>
  <c r="Z607" i="10"/>
  <c r="Z783" i="10"/>
  <c r="Z262" i="10"/>
  <c r="Z489" i="10"/>
  <c r="Z562" i="10"/>
  <c r="Z638" i="10"/>
  <c r="Z759" i="10"/>
  <c r="Z796" i="10"/>
  <c r="Z924" i="10"/>
  <c r="Z936" i="10"/>
  <c r="Z960" i="10"/>
  <c r="Z1010" i="10"/>
  <c r="Z117" i="10"/>
  <c r="Z367" i="10"/>
  <c r="Z519" i="10"/>
  <c r="Z670" i="10"/>
  <c r="Z760" i="10"/>
  <c r="Z797" i="10"/>
  <c r="Z834" i="10"/>
  <c r="Z1024" i="10"/>
  <c r="Z151" i="10"/>
  <c r="Z166" i="10"/>
  <c r="Z225" i="10"/>
  <c r="Z567" i="10"/>
  <c r="Z761" i="10"/>
  <c r="Z249" i="10"/>
  <c r="Z369" i="10"/>
  <c r="Z876" i="10"/>
  <c r="Z989" i="10"/>
  <c r="Z1026" i="10"/>
  <c r="Z1038" i="10"/>
  <c r="Z775" i="10"/>
  <c r="Z990" i="10"/>
  <c r="Z988" i="10"/>
  <c r="Z903" i="10"/>
  <c r="Z484" i="10"/>
  <c r="Z791" i="10"/>
  <c r="Z813" i="10"/>
  <c r="Z888" i="10"/>
  <c r="Z310" i="10"/>
  <c r="Z1037" i="10"/>
  <c r="Z451" i="10"/>
  <c r="Z913" i="10"/>
  <c r="Z1025" i="10"/>
  <c r="Z106" i="10"/>
  <c r="Z690" i="10"/>
  <c r="V1059" i="10"/>
  <c r="V1011" i="10"/>
  <c r="V975" i="10"/>
  <c r="V963" i="10"/>
  <c r="V915" i="10"/>
  <c r="V903" i="10"/>
  <c r="V891" i="10"/>
  <c r="V819" i="10"/>
  <c r="V795" i="10"/>
  <c r="V783" i="10"/>
  <c r="V759" i="10"/>
  <c r="V747" i="10"/>
  <c r="V723" i="10"/>
  <c r="V711" i="10"/>
  <c r="V699" i="10"/>
  <c r="V687" i="10"/>
  <c r="V663" i="10"/>
  <c r="V651" i="10"/>
  <c r="V627" i="10"/>
  <c r="V588" i="10"/>
  <c r="V576" i="10"/>
  <c r="V563" i="10"/>
  <c r="V525" i="10"/>
  <c r="V512" i="10"/>
  <c r="V499" i="10"/>
  <c r="V387" i="10"/>
  <c r="V361" i="10"/>
  <c r="V349" i="10"/>
  <c r="V325" i="10"/>
  <c r="V299" i="10"/>
  <c r="V249" i="10"/>
  <c r="V236" i="10"/>
  <c r="V223" i="10"/>
  <c r="V211" i="10"/>
  <c r="V187" i="10"/>
  <c r="V137" i="10"/>
  <c r="V99" i="10"/>
  <c r="W740" i="10"/>
  <c r="W453" i="10"/>
  <c r="W340" i="10"/>
  <c r="X1024" i="10"/>
  <c r="X900" i="10"/>
  <c r="X882" i="10"/>
  <c r="X742" i="10"/>
  <c r="X668" i="10"/>
  <c r="X588" i="10"/>
  <c r="Y878" i="10"/>
  <c r="Y767" i="10"/>
  <c r="Y623" i="10"/>
  <c r="Z878" i="10"/>
  <c r="AA876" i="10"/>
  <c r="X76" i="10"/>
  <c r="X137" i="10"/>
  <c r="X149" i="10"/>
  <c r="X173" i="10"/>
  <c r="X197" i="10"/>
  <c r="X102" i="10"/>
  <c r="X128" i="10"/>
  <c r="X141" i="10"/>
  <c r="X241" i="10"/>
  <c r="X277" i="10"/>
  <c r="X349" i="10"/>
  <c r="X361" i="10"/>
  <c r="X373" i="10"/>
  <c r="X421" i="10"/>
  <c r="X469" i="10"/>
  <c r="X541" i="10"/>
  <c r="X637" i="10"/>
  <c r="X661" i="10"/>
  <c r="X745" i="10"/>
  <c r="X877" i="10"/>
  <c r="X901" i="10"/>
  <c r="X937" i="10"/>
  <c r="X949" i="10"/>
  <c r="X79" i="10"/>
  <c r="X91" i="10"/>
  <c r="X142" i="10"/>
  <c r="X168" i="10"/>
  <c r="X278" i="10"/>
  <c r="X302" i="10"/>
  <c r="X350" i="10"/>
  <c r="X362" i="10"/>
  <c r="X410" i="10"/>
  <c r="X422" i="10"/>
  <c r="X434" i="10"/>
  <c r="X470" i="10"/>
  <c r="X482" i="10"/>
  <c r="X506" i="10"/>
  <c r="X650" i="10"/>
  <c r="X686" i="10"/>
  <c r="X782" i="10"/>
  <c r="X830" i="10"/>
  <c r="X878" i="10"/>
  <c r="X938" i="10"/>
  <c r="X950" i="10"/>
  <c r="X962" i="10"/>
  <c r="X1046" i="10"/>
  <c r="X1058" i="10"/>
  <c r="X1070" i="10"/>
  <c r="X80" i="10"/>
  <c r="X104" i="10"/>
  <c r="X169" i="10"/>
  <c r="X194" i="10"/>
  <c r="X243" i="10"/>
  <c r="X327" i="10"/>
  <c r="X351" i="10"/>
  <c r="X375" i="10"/>
  <c r="X387" i="10"/>
  <c r="X459" i="10"/>
  <c r="X495" i="10"/>
  <c r="X507" i="10"/>
  <c r="X555" i="10"/>
  <c r="X591" i="10"/>
  <c r="X627" i="10"/>
  <c r="X663" i="10"/>
  <c r="X699" i="10"/>
  <c r="X711" i="10"/>
  <c r="X723" i="10"/>
  <c r="X747" i="10"/>
  <c r="X819" i="10"/>
  <c r="X144" i="10"/>
  <c r="X170" i="10"/>
  <c r="X183" i="10"/>
  <c r="X195" i="10"/>
  <c r="X208" i="10"/>
  <c r="X220" i="10"/>
  <c r="X232" i="10"/>
  <c r="X280" i="10"/>
  <c r="X304" i="10"/>
  <c r="X316" i="10"/>
  <c r="X328" i="10"/>
  <c r="X364" i="10"/>
  <c r="X604" i="10"/>
  <c r="X628" i="10"/>
  <c r="X652" i="10"/>
  <c r="X664" i="10"/>
  <c r="X676" i="10"/>
  <c r="X724" i="10"/>
  <c r="X736" i="10"/>
  <c r="X784" i="10"/>
  <c r="X808" i="10"/>
  <c r="X82" i="10"/>
  <c r="X209" i="10"/>
  <c r="X269" i="10"/>
  <c r="X317" i="10"/>
  <c r="X329" i="10"/>
  <c r="X365" i="10"/>
  <c r="X413" i="10"/>
  <c r="X437" i="10"/>
  <c r="X593" i="10"/>
  <c r="X617" i="10"/>
  <c r="X725" i="10"/>
  <c r="X737" i="10"/>
  <c r="X821" i="10"/>
  <c r="X869" i="10"/>
  <c r="X917" i="10"/>
  <c r="X929" i="10"/>
  <c r="X107" i="10"/>
  <c r="X120" i="10"/>
  <c r="X146" i="10"/>
  <c r="X159" i="10"/>
  <c r="X135" i="10"/>
  <c r="X175" i="10"/>
  <c r="X224" i="10"/>
  <c r="X236" i="10"/>
  <c r="X248" i="10"/>
  <c r="X260" i="10"/>
  <c r="X176" i="10"/>
  <c r="X309" i="10"/>
  <c r="X321" i="10"/>
  <c r="X525" i="10"/>
  <c r="X585" i="10"/>
  <c r="X621" i="10"/>
  <c r="X657" i="10"/>
  <c r="X705" i="10"/>
  <c r="X717" i="10"/>
  <c r="X741" i="10"/>
  <c r="X753" i="10"/>
  <c r="X789" i="10"/>
  <c r="X801" i="10"/>
  <c r="X825" i="10"/>
  <c r="X849" i="10"/>
  <c r="X885" i="10"/>
  <c r="X897" i="10"/>
  <c r="X921" i="10"/>
  <c r="X933" i="10"/>
  <c r="X957" i="10"/>
  <c r="X993" i="10"/>
  <c r="X1053" i="10"/>
  <c r="X246" i="10"/>
  <c r="X263" i="10"/>
  <c r="X276" i="10"/>
  <c r="X308" i="10"/>
  <c r="X343" i="10"/>
  <c r="X468" i="10"/>
  <c r="X575" i="10"/>
  <c r="X623" i="10"/>
  <c r="X779" i="10"/>
  <c r="X964" i="10"/>
  <c r="X976" i="10"/>
  <c r="X1039" i="10"/>
  <c r="X1052" i="10"/>
  <c r="X1066" i="10"/>
  <c r="X179" i="10"/>
  <c r="X247" i="10"/>
  <c r="X264" i="10"/>
  <c r="X282" i="10"/>
  <c r="X295" i="10"/>
  <c r="X378" i="10"/>
  <c r="X426" i="10"/>
  <c r="X576" i="10"/>
  <c r="X656" i="10"/>
  <c r="X716" i="10"/>
  <c r="X767" i="10"/>
  <c r="X802" i="10"/>
  <c r="X846" i="10"/>
  <c r="X860" i="10"/>
  <c r="X904" i="10"/>
  <c r="X1003" i="10"/>
  <c r="X1016" i="10"/>
  <c r="X250" i="10"/>
  <c r="X283" i="10"/>
  <c r="X311" i="10"/>
  <c r="X427" i="10"/>
  <c r="X535" i="10"/>
  <c r="X594" i="10"/>
  <c r="X718" i="10"/>
  <c r="X803" i="10"/>
  <c r="X847" i="10"/>
  <c r="X862" i="10"/>
  <c r="X875" i="10"/>
  <c r="X920" i="10"/>
  <c r="X935" i="10"/>
  <c r="X978" i="10"/>
  <c r="X1068" i="10"/>
  <c r="X215" i="10"/>
  <c r="X251" i="10"/>
  <c r="X380" i="10"/>
  <c r="X563" i="10"/>
  <c r="X611" i="10"/>
  <c r="X642" i="10"/>
  <c r="X659" i="10"/>
  <c r="X804" i="10"/>
  <c r="X835" i="10"/>
  <c r="X848" i="10"/>
  <c r="X891" i="10"/>
  <c r="X906" i="10"/>
  <c r="X922" i="10"/>
  <c r="X1018" i="10"/>
  <c r="X1030" i="10"/>
  <c r="X366" i="10"/>
  <c r="X476" i="10"/>
  <c r="X551" i="10"/>
  <c r="X564" i="10"/>
  <c r="X704" i="10"/>
  <c r="X850" i="10"/>
  <c r="X954" i="10"/>
  <c r="X980" i="10"/>
  <c r="X994" i="10"/>
  <c r="X1019" i="10"/>
  <c r="X127" i="10"/>
  <c r="X235" i="10"/>
  <c r="X286" i="10"/>
  <c r="X299" i="10"/>
  <c r="X348" i="10"/>
  <c r="X382" i="10"/>
  <c r="X430" i="10"/>
  <c r="X522" i="10"/>
  <c r="X538" i="10"/>
  <c r="X691" i="10"/>
  <c r="X706" i="10"/>
  <c r="X823" i="10"/>
  <c r="X955" i="10"/>
  <c r="X995" i="10"/>
  <c r="X1007" i="10"/>
  <c r="X1032" i="10"/>
  <c r="X1044" i="10"/>
  <c r="X111" i="10"/>
  <c r="X202" i="10"/>
  <c r="X270" i="10"/>
  <c r="X318" i="10"/>
  <c r="X336" i="10"/>
  <c r="X396" i="10"/>
  <c r="X462" i="10"/>
  <c r="X539" i="10"/>
  <c r="X838" i="10"/>
  <c r="X970" i="10"/>
  <c r="X1033" i="10"/>
  <c r="X1060" i="10"/>
  <c r="X288" i="10"/>
  <c r="X432" i="10"/>
  <c r="X479" i="10"/>
  <c r="X540" i="10"/>
  <c r="X570" i="10"/>
  <c r="X583" i="10"/>
  <c r="X153" i="10"/>
  <c r="X191" i="10"/>
  <c r="X356" i="10"/>
  <c r="X403" i="10"/>
  <c r="X499" i="10"/>
  <c r="X528" i="10"/>
  <c r="X587" i="10"/>
  <c r="X635" i="10"/>
  <c r="X776" i="10"/>
  <c r="X798" i="10"/>
  <c r="X899" i="10"/>
  <c r="X915" i="10"/>
  <c r="X930" i="10"/>
  <c r="X1000" i="10"/>
  <c r="X1064" i="10"/>
  <c r="Z407" i="10"/>
  <c r="Z108" i="10"/>
  <c r="Z636" i="10"/>
  <c r="Z409" i="10"/>
  <c r="Z86" i="10"/>
  <c r="Z279" i="10"/>
  <c r="Z340" i="10"/>
  <c r="Z416" i="10"/>
  <c r="Z1040" i="10"/>
  <c r="Z453" i="10"/>
  <c r="Z805" i="10"/>
  <c r="Z795" i="10"/>
  <c r="Z762" i="10"/>
  <c r="Z1051" i="10"/>
  <c r="Z569" i="10"/>
  <c r="Z687" i="10"/>
  <c r="Z928" i="10"/>
  <c r="Z154" i="10"/>
  <c r="Z739" i="10"/>
  <c r="Z603" i="10"/>
  <c r="Z777" i="10"/>
  <c r="V1070" i="10"/>
  <c r="V1058" i="10"/>
  <c r="V1046" i="10"/>
  <c r="V1010" i="10"/>
  <c r="V962" i="10"/>
  <c r="V950" i="10"/>
  <c r="V938" i="10"/>
  <c r="V878" i="10"/>
  <c r="V842" i="10"/>
  <c r="V830" i="10"/>
  <c r="V782" i="10"/>
  <c r="V722" i="10"/>
  <c r="V710" i="10"/>
  <c r="V686" i="10"/>
  <c r="V650" i="10"/>
  <c r="V638" i="10"/>
  <c r="V587" i="10"/>
  <c r="V575" i="10"/>
  <c r="V562" i="10"/>
  <c r="V448" i="10"/>
  <c r="V422" i="10"/>
  <c r="V410" i="10"/>
  <c r="V373" i="10"/>
  <c r="V360" i="10"/>
  <c r="V348" i="10"/>
  <c r="V336" i="10"/>
  <c r="V311" i="10"/>
  <c r="V286" i="10"/>
  <c r="V260" i="10"/>
  <c r="V248" i="10"/>
  <c r="V235" i="10"/>
  <c r="V173" i="10"/>
  <c r="V161" i="10"/>
  <c r="V149" i="10"/>
  <c r="V124" i="10"/>
  <c r="V111" i="10"/>
  <c r="V86" i="10"/>
  <c r="W1074" i="10"/>
  <c r="W739" i="10"/>
  <c r="W603" i="10"/>
  <c r="W415" i="10"/>
  <c r="X1063" i="10"/>
  <c r="X840" i="10"/>
  <c r="X774" i="10"/>
  <c r="X114" i="10"/>
  <c r="Z1003" i="10"/>
  <c r="X124" i="10"/>
  <c r="X77" i="10"/>
  <c r="X113" i="10"/>
  <c r="X115" i="10"/>
  <c r="X180" i="10"/>
  <c r="X205" i="10"/>
  <c r="X217" i="10"/>
  <c r="X313" i="10"/>
  <c r="X325" i="10"/>
  <c r="X397" i="10"/>
  <c r="X781" i="10"/>
  <c r="X793" i="10"/>
  <c r="X913" i="10"/>
  <c r="X326" i="10"/>
  <c r="X530" i="10"/>
  <c r="X578" i="10"/>
  <c r="X602" i="10"/>
  <c r="X638" i="10"/>
  <c r="X842" i="10"/>
  <c r="X1010" i="10"/>
  <c r="X117" i="10"/>
  <c r="X207" i="10"/>
  <c r="X255" i="10"/>
  <c r="X519" i="10"/>
  <c r="X543" i="10"/>
  <c r="X567" i="10"/>
  <c r="X651" i="10"/>
  <c r="X759" i="10"/>
  <c r="X783" i="10"/>
  <c r="X244" i="10"/>
  <c r="X256" i="10"/>
  <c r="X292" i="10"/>
  <c r="X400" i="10"/>
  <c r="X424" i="10"/>
  <c r="X448" i="10"/>
  <c r="X472" i="10"/>
  <c r="X484" i="10"/>
  <c r="X592" i="10"/>
  <c r="X760" i="10"/>
  <c r="X796" i="10"/>
  <c r="X106" i="10"/>
  <c r="X761" i="10"/>
  <c r="X797" i="10"/>
  <c r="X989" i="10"/>
  <c r="X163" i="10"/>
  <c r="X225" i="10"/>
  <c r="X249" i="10"/>
  <c r="X369" i="10"/>
  <c r="X489" i="10"/>
  <c r="X501" i="10"/>
  <c r="X813" i="10"/>
  <c r="X945" i="10"/>
  <c r="X138" i="10"/>
  <c r="X502" i="10"/>
  <c r="X607" i="10"/>
  <c r="X888" i="10"/>
  <c r="X903" i="10"/>
  <c r="X988" i="10"/>
  <c r="X310" i="10"/>
  <c r="X548" i="10"/>
  <c r="X934" i="10"/>
  <c r="X990" i="10"/>
  <c r="X360" i="10"/>
  <c r="X562" i="10"/>
  <c r="X834" i="10"/>
  <c r="X876" i="10"/>
  <c r="X936" i="10"/>
  <c r="X690" i="10"/>
  <c r="X836" i="10"/>
  <c r="X968" i="10"/>
  <c r="X335" i="10"/>
  <c r="X367" i="10"/>
  <c r="X492" i="10"/>
  <c r="X552" i="10"/>
  <c r="X908" i="10"/>
  <c r="X924" i="10"/>
  <c r="X1059" i="10"/>
  <c r="X186" i="10"/>
  <c r="X824" i="10"/>
  <c r="X996" i="10"/>
  <c r="X166" i="10"/>
  <c r="X599" i="10"/>
  <c r="X99" i="10"/>
  <c r="X558" i="10"/>
  <c r="X1025" i="10"/>
  <c r="X1037" i="10"/>
  <c r="Z167" i="10"/>
  <c r="Z347" i="10"/>
  <c r="Z96" i="10"/>
  <c r="Z384" i="10"/>
  <c r="Z408" i="10"/>
  <c r="Z420" i="10"/>
  <c r="Z480" i="10"/>
  <c r="Z516" i="10"/>
  <c r="Z612" i="10"/>
  <c r="Z672" i="10"/>
  <c r="Z649" i="10"/>
  <c r="Z446" i="10"/>
  <c r="Z566" i="10"/>
  <c r="Z399" i="10"/>
  <c r="Z160" i="10"/>
  <c r="Z161" i="10"/>
  <c r="Z233" i="10"/>
  <c r="Z281" i="10"/>
  <c r="Z425" i="10"/>
  <c r="Z114" i="10"/>
  <c r="Z234" i="10"/>
  <c r="Z306" i="10"/>
  <c r="Z498" i="10"/>
  <c r="Z740" i="10"/>
  <c r="Z415" i="10"/>
  <c r="Z755" i="10"/>
  <c r="Z919" i="10"/>
  <c r="Z619" i="10"/>
  <c r="Z882" i="10"/>
  <c r="Z129" i="10"/>
  <c r="Z531" i="10"/>
  <c r="Z546" i="10"/>
  <c r="Z758" i="10"/>
  <c r="Z473" i="10"/>
  <c r="Z547" i="10"/>
  <c r="Z859" i="10"/>
  <c r="Z1074" i="10"/>
  <c r="Z165" i="10"/>
  <c r="Z187" i="10"/>
  <c r="Z533" i="10"/>
  <c r="Z609" i="10"/>
  <c r="Z684" i="10"/>
  <c r="Z722" i="10"/>
  <c r="Z861" i="10"/>
  <c r="Z710" i="10"/>
  <c r="Z405" i="10"/>
  <c r="Z914" i="10"/>
  <c r="Z1013" i="10"/>
  <c r="Z370" i="10"/>
  <c r="Z447" i="10"/>
  <c r="Z478" i="10"/>
  <c r="Z902" i="10"/>
  <c r="Z1027" i="10"/>
  <c r="Z879" i="10"/>
  <c r="Z616" i="10"/>
  <c r="Z991" i="10"/>
  <c r="Z1069" i="10"/>
  <c r="Z496" i="10"/>
  <c r="Z700" i="10"/>
  <c r="Z1055" i="10"/>
  <c r="Z742" i="10"/>
  <c r="Z853" i="10"/>
  <c r="Z214" i="10"/>
  <c r="Z892" i="10"/>
  <c r="Z510" i="10"/>
  <c r="V1033" i="10"/>
  <c r="V1009" i="10"/>
  <c r="V997" i="10"/>
  <c r="V949" i="10"/>
  <c r="V937" i="10"/>
  <c r="V913" i="10"/>
  <c r="V901" i="10"/>
  <c r="V877" i="10"/>
  <c r="V805" i="10"/>
  <c r="V793" i="10"/>
  <c r="V781" i="10"/>
  <c r="V745" i="10"/>
  <c r="V661" i="10"/>
  <c r="V637" i="10"/>
  <c r="V599" i="10"/>
  <c r="V548" i="10"/>
  <c r="V535" i="10"/>
  <c r="V484" i="10"/>
  <c r="V472" i="10"/>
  <c r="V459" i="10"/>
  <c r="V434" i="10"/>
  <c r="V421" i="10"/>
  <c r="V409" i="10"/>
  <c r="V397" i="10"/>
  <c r="V372" i="10"/>
  <c r="V335" i="10"/>
  <c r="V310" i="10"/>
  <c r="V259" i="10"/>
  <c r="V247" i="10"/>
  <c r="V233" i="10"/>
  <c r="V209" i="10"/>
  <c r="V197" i="10"/>
  <c r="V160" i="10"/>
  <c r="W882" i="10"/>
  <c r="W795" i="10"/>
  <c r="W619" i="10"/>
  <c r="X1062" i="10"/>
  <c r="X680" i="10"/>
  <c r="X606" i="10"/>
  <c r="X240" i="10"/>
  <c r="Y661" i="10"/>
  <c r="Y462" i="10"/>
  <c r="V102" i="10"/>
  <c r="V246" i="10"/>
  <c r="V270" i="10"/>
  <c r="V282" i="10"/>
  <c r="V318" i="10"/>
  <c r="V366" i="10"/>
  <c r="V378" i="10"/>
  <c r="V426" i="10"/>
  <c r="V462" i="10"/>
  <c r="V522" i="10"/>
  <c r="V570" i="10"/>
  <c r="V594" i="10"/>
  <c r="V618" i="10"/>
  <c r="X154" i="10"/>
  <c r="X409" i="10"/>
  <c r="X805" i="10"/>
  <c r="X279" i="10"/>
  <c r="X603" i="10"/>
  <c r="X687" i="10"/>
  <c r="X795" i="10"/>
  <c r="X340" i="10"/>
  <c r="X569" i="10"/>
  <c r="X86" i="10"/>
  <c r="X453" i="10"/>
  <c r="X777" i="10"/>
  <c r="X407" i="10"/>
  <c r="X1040" i="10"/>
  <c r="X108" i="10"/>
  <c r="X739" i="10"/>
  <c r="X416" i="10"/>
  <c r="V1068" i="10"/>
  <c r="V1044" i="10"/>
  <c r="V1032" i="10"/>
  <c r="V996" i="10"/>
  <c r="V960" i="10"/>
  <c r="V936" i="10"/>
  <c r="V924" i="10"/>
  <c r="V912" i="10"/>
  <c r="V900" i="10"/>
  <c r="V888" i="10"/>
  <c r="V876" i="10"/>
  <c r="V840" i="10"/>
  <c r="V804" i="10"/>
  <c r="V636" i="10"/>
  <c r="V611" i="10"/>
  <c r="V585" i="10"/>
  <c r="V495" i="10"/>
  <c r="V396" i="10"/>
  <c r="V322" i="10"/>
  <c r="V309" i="10"/>
  <c r="V232" i="10"/>
  <c r="V220" i="10"/>
  <c r="V208" i="10"/>
  <c r="V183" i="10"/>
  <c r="V159" i="10"/>
  <c r="W114" i="10"/>
  <c r="X963" i="10"/>
  <c r="X895" i="10"/>
  <c r="X498" i="10"/>
  <c r="X480" i="10"/>
  <c r="X151" i="10"/>
  <c r="Y1046" i="10"/>
  <c r="Z954" i="10"/>
  <c r="Z938" i="10"/>
  <c r="V138" i="10"/>
  <c r="V186" i="10"/>
  <c r="V438" i="10"/>
  <c r="V558" i="10"/>
  <c r="V606" i="10"/>
  <c r="X161" i="10"/>
  <c r="X167" i="10"/>
  <c r="X649" i="10"/>
  <c r="X853" i="10"/>
  <c r="X129" i="10"/>
  <c r="X446" i="10"/>
  <c r="X566" i="10"/>
  <c r="X710" i="10"/>
  <c r="X722" i="10"/>
  <c r="X758" i="10"/>
  <c r="X902" i="10"/>
  <c r="X914" i="10"/>
  <c r="X399" i="10"/>
  <c r="X447" i="10"/>
  <c r="X531" i="10"/>
  <c r="X496" i="10"/>
  <c r="X616" i="10"/>
  <c r="X700" i="10"/>
  <c r="X233" i="10"/>
  <c r="X281" i="10"/>
  <c r="X425" i="10"/>
  <c r="X473" i="10"/>
  <c r="X533" i="10"/>
  <c r="X187" i="10"/>
  <c r="X405" i="10"/>
  <c r="X609" i="10"/>
  <c r="X861" i="10"/>
  <c r="X516" i="10"/>
  <c r="X547" i="10"/>
  <c r="X684" i="10"/>
  <c r="X859" i="10"/>
  <c r="X1027" i="10"/>
  <c r="X672" i="10"/>
  <c r="X919" i="10"/>
  <c r="X214" i="10"/>
  <c r="X408" i="10"/>
  <c r="X991" i="10"/>
  <c r="X1055" i="10"/>
  <c r="X160" i="10"/>
  <c r="X1069" i="10"/>
  <c r="X234" i="10"/>
  <c r="X347" i="10"/>
  <c r="X612" i="10"/>
  <c r="X879" i="10"/>
  <c r="X892" i="10"/>
  <c r="X755" i="10"/>
  <c r="X165" i="10"/>
  <c r="X415" i="10"/>
  <c r="X478" i="10"/>
  <c r="X510" i="10"/>
  <c r="X740" i="10"/>
  <c r="X96" i="10"/>
  <c r="X370" i="10"/>
  <c r="X384" i="10"/>
  <c r="X306" i="10"/>
  <c r="X1013" i="10"/>
  <c r="AA76" i="10"/>
  <c r="AA208" i="10"/>
  <c r="AA220" i="10"/>
  <c r="AA232" i="10"/>
  <c r="AA280" i="10"/>
  <c r="AA304" i="10"/>
  <c r="AA316" i="10"/>
  <c r="AA328" i="10"/>
  <c r="AA364" i="10"/>
  <c r="AA604" i="10"/>
  <c r="AA628" i="10"/>
  <c r="AA652" i="10"/>
  <c r="AA664" i="10"/>
  <c r="AA676" i="10"/>
  <c r="AA724" i="10"/>
  <c r="AA736" i="10"/>
  <c r="AA784" i="10"/>
  <c r="AA808" i="10"/>
  <c r="AA856" i="10"/>
  <c r="AA904" i="10"/>
  <c r="AA916" i="10"/>
  <c r="AA964" i="10"/>
  <c r="AA976" i="10"/>
  <c r="AA1000" i="10"/>
  <c r="AA1060" i="10"/>
  <c r="AA137" i="10"/>
  <c r="AA149" i="10"/>
  <c r="AA173" i="10"/>
  <c r="AA197" i="10"/>
  <c r="AA209" i="10"/>
  <c r="AA269" i="10"/>
  <c r="AA317" i="10"/>
  <c r="AA329" i="10"/>
  <c r="AA365" i="10"/>
  <c r="AA413" i="10"/>
  <c r="AA437" i="10"/>
  <c r="AA593" i="10"/>
  <c r="AA617" i="10"/>
  <c r="AA725" i="10"/>
  <c r="AA737" i="10"/>
  <c r="AA821" i="10"/>
  <c r="AA869" i="10"/>
  <c r="AA917" i="10"/>
  <c r="AA929" i="10"/>
  <c r="AA102" i="10"/>
  <c r="AA246" i="10"/>
  <c r="AA270" i="10"/>
  <c r="AA282" i="10"/>
  <c r="AA318" i="10"/>
  <c r="AA366" i="10"/>
  <c r="AA378" i="10"/>
  <c r="AA426" i="10"/>
  <c r="AA462" i="10"/>
  <c r="AA522" i="10"/>
  <c r="AA570" i="10"/>
  <c r="AA594" i="10"/>
  <c r="AA618" i="10"/>
  <c r="AA642" i="10"/>
  <c r="AA654" i="10"/>
  <c r="AA774" i="10"/>
  <c r="AA798" i="10"/>
  <c r="AA846" i="10"/>
  <c r="AA906" i="10"/>
  <c r="AA930" i="10"/>
  <c r="AA942" i="10"/>
  <c r="AA954" i="10"/>
  <c r="AA978" i="10"/>
  <c r="AA1062" i="10"/>
  <c r="AA79" i="10"/>
  <c r="AA91" i="10"/>
  <c r="AA127" i="10"/>
  <c r="AA175" i="10"/>
  <c r="AA211" i="10"/>
  <c r="AA223" i="10"/>
  <c r="AA235" i="10"/>
  <c r="AA247" i="10"/>
  <c r="AA259" i="10"/>
  <c r="AA283" i="10"/>
  <c r="AA295" i="10"/>
  <c r="AA343" i="10"/>
  <c r="AA403" i="10"/>
  <c r="AA427" i="10"/>
  <c r="AA499" i="10"/>
  <c r="AA535" i="10"/>
  <c r="AA583" i="10"/>
  <c r="AA691" i="10"/>
  <c r="AA727" i="10"/>
  <c r="AA811" i="10"/>
  <c r="AA823" i="10"/>
  <c r="AA835" i="10"/>
  <c r="AA847" i="10"/>
  <c r="AA895" i="10"/>
  <c r="AA931" i="10"/>
  <c r="AA955" i="10"/>
  <c r="AA1003" i="10"/>
  <c r="AA1039" i="10"/>
  <c r="AA1063" i="10"/>
  <c r="AA80" i="10"/>
  <c r="AA104" i="10"/>
  <c r="AA128" i="10"/>
  <c r="AA176" i="10"/>
  <c r="AA224" i="10"/>
  <c r="AA236" i="10"/>
  <c r="AA248" i="10"/>
  <c r="AA260" i="10"/>
  <c r="AA308" i="10"/>
  <c r="AA356" i="10"/>
  <c r="AA380" i="10"/>
  <c r="AA404" i="10"/>
  <c r="AA476" i="10"/>
  <c r="AA656" i="10"/>
  <c r="AA668" i="10"/>
  <c r="AA680" i="10"/>
  <c r="AA704" i="10"/>
  <c r="AA716" i="10"/>
  <c r="AA728" i="10"/>
  <c r="AA776" i="10"/>
  <c r="AA848" i="10"/>
  <c r="AA860" i="10"/>
  <c r="AA884" i="10"/>
  <c r="AA920" i="10"/>
  <c r="AA980" i="10"/>
  <c r="AA1016" i="10"/>
  <c r="AA1052" i="10"/>
  <c r="AA1064" i="10"/>
  <c r="AA141" i="10"/>
  <c r="AA153" i="10"/>
  <c r="AA177" i="10"/>
  <c r="AA309" i="10"/>
  <c r="AA321" i="10"/>
  <c r="AA525" i="10"/>
  <c r="AA585" i="10"/>
  <c r="AA621" i="10"/>
  <c r="AA657" i="10"/>
  <c r="AA705" i="10"/>
  <c r="AA717" i="10"/>
  <c r="AA741" i="10"/>
  <c r="AA753" i="10"/>
  <c r="AA789" i="10"/>
  <c r="AA801" i="10"/>
  <c r="AA825" i="10"/>
  <c r="AA849" i="10"/>
  <c r="AA885" i="10"/>
  <c r="AA897" i="10"/>
  <c r="AA921" i="10"/>
  <c r="AA933" i="10"/>
  <c r="AA957" i="10"/>
  <c r="AA993" i="10"/>
  <c r="AA1053" i="10"/>
  <c r="AA82" i="10"/>
  <c r="AA142" i="10"/>
  <c r="AA202" i="10"/>
  <c r="AA250" i="10"/>
  <c r="AA286" i="10"/>
  <c r="AA322" i="10"/>
  <c r="AA382" i="10"/>
  <c r="AA430" i="10"/>
  <c r="AA538" i="10"/>
  <c r="AA706" i="10"/>
  <c r="AA718" i="10"/>
  <c r="AA802" i="10"/>
  <c r="AA838" i="10"/>
  <c r="AA850" i="10"/>
  <c r="AA862" i="10"/>
  <c r="AA910" i="10"/>
  <c r="AA922" i="10"/>
  <c r="AA970" i="10"/>
  <c r="AA994" i="10"/>
  <c r="AA1018" i="10"/>
  <c r="AA1030" i="10"/>
  <c r="AA1066" i="10"/>
  <c r="AA107" i="10"/>
  <c r="AA179" i="10"/>
  <c r="AA191" i="10"/>
  <c r="AA215" i="10"/>
  <c r="AA227" i="10"/>
  <c r="AA251" i="10"/>
  <c r="AA263" i="10"/>
  <c r="AA275" i="10"/>
  <c r="AA299" i="10"/>
  <c r="AA311" i="10"/>
  <c r="AA479" i="10"/>
  <c r="AA539" i="10"/>
  <c r="AA551" i="10"/>
  <c r="AA563" i="10"/>
  <c r="AA575" i="10"/>
  <c r="AA587" i="10"/>
  <c r="AA611" i="10"/>
  <c r="AA623" i="10"/>
  <c r="AA635" i="10"/>
  <c r="AA647" i="10"/>
  <c r="AA659" i="10"/>
  <c r="AA695" i="10"/>
  <c r="AA767" i="10"/>
  <c r="AA779" i="10"/>
  <c r="AA803" i="10"/>
  <c r="AA875" i="10"/>
  <c r="AA887" i="10"/>
  <c r="AA899" i="10"/>
  <c r="AA935" i="10"/>
  <c r="AA971" i="10"/>
  <c r="AA995" i="10"/>
  <c r="AA1007" i="10"/>
  <c r="AA1019" i="10"/>
  <c r="AA120" i="10"/>
  <c r="AA144" i="10"/>
  <c r="AA168" i="10"/>
  <c r="AA204" i="10"/>
  <c r="AA240" i="10"/>
  <c r="AA264" i="10"/>
  <c r="AA276" i="10"/>
  <c r="AA288" i="10"/>
  <c r="AA336" i="10"/>
  <c r="AA348" i="10"/>
  <c r="AA372" i="10"/>
  <c r="AA396" i="10"/>
  <c r="AA432" i="10"/>
  <c r="AA468" i="10"/>
  <c r="AA528" i="10"/>
  <c r="AA540" i="10"/>
  <c r="AA564" i="10"/>
  <c r="AA576" i="10"/>
  <c r="AA588" i="10"/>
  <c r="AA169" i="10"/>
  <c r="AA241" i="10"/>
  <c r="AA277" i="10"/>
  <c r="AA349" i="10"/>
  <c r="AA361" i="10"/>
  <c r="AA373" i="10"/>
  <c r="AA421" i="10"/>
  <c r="AA469" i="10"/>
  <c r="AA541" i="10"/>
  <c r="AA637" i="10"/>
  <c r="AA661" i="10"/>
  <c r="AA745" i="10"/>
  <c r="AA877" i="10"/>
  <c r="AA901" i="10"/>
  <c r="AA937" i="10"/>
  <c r="AA949" i="10"/>
  <c r="AA997" i="10"/>
  <c r="AA1009" i="10"/>
  <c r="AA1033" i="10"/>
  <c r="AA195" i="10"/>
  <c r="AA350" i="10"/>
  <c r="AA410" i="10"/>
  <c r="AA878" i="10"/>
  <c r="AA351" i="10"/>
  <c r="AA434" i="10"/>
  <c r="AA819" i="10"/>
  <c r="AA1058" i="10"/>
  <c r="AA135" i="10"/>
  <c r="AA243" i="10"/>
  <c r="AA375" i="10"/>
  <c r="AA723" i="10"/>
  <c r="AA782" i="10"/>
  <c r="AA804" i="10"/>
  <c r="AA840" i="10"/>
  <c r="AA900" i="10"/>
  <c r="AA962" i="10"/>
  <c r="AA183" i="10"/>
  <c r="AA506" i="10"/>
  <c r="AA747" i="10"/>
  <c r="AA963" i="10"/>
  <c r="AA1044" i="10"/>
  <c r="AA507" i="10"/>
  <c r="AA159" i="10"/>
  <c r="AA470" i="10"/>
  <c r="AA663" i="10"/>
  <c r="AA711" i="10"/>
  <c r="AA950" i="10"/>
  <c r="AA1046" i="10"/>
  <c r="AA1068" i="10"/>
  <c r="AA278" i="10"/>
  <c r="AA422" i="10"/>
  <c r="AA627" i="10"/>
  <c r="AA1070" i="10"/>
  <c r="AA146" i="10"/>
  <c r="AA170" i="10"/>
  <c r="AA830" i="10"/>
  <c r="AA938" i="10"/>
  <c r="AA1011" i="10"/>
  <c r="AA1032" i="10"/>
  <c r="AA459" i="10"/>
  <c r="AA482" i="10"/>
  <c r="AA650" i="10"/>
  <c r="AA686" i="10"/>
  <c r="AA912" i="10"/>
  <c r="AA194" i="10"/>
  <c r="AA915" i="10"/>
  <c r="AA891" i="10"/>
  <c r="AA362" i="10"/>
  <c r="AA387" i="10"/>
  <c r="AA591" i="10"/>
  <c r="AA555" i="10"/>
  <c r="AA975" i="10"/>
  <c r="AA495" i="10"/>
  <c r="AA327" i="10"/>
  <c r="V1019" i="10"/>
  <c r="V1007" i="10"/>
  <c r="V995" i="10"/>
  <c r="V971" i="10"/>
  <c r="V935" i="10"/>
  <c r="V899" i="10"/>
  <c r="V887" i="10"/>
  <c r="V875" i="10"/>
  <c r="V803" i="10"/>
  <c r="V791" i="10"/>
  <c r="V779" i="10"/>
  <c r="V767" i="10"/>
  <c r="V695" i="10"/>
  <c r="V659" i="10"/>
  <c r="V647" i="10"/>
  <c r="V635" i="10"/>
  <c r="V623" i="10"/>
  <c r="V507" i="10"/>
  <c r="V482" i="10"/>
  <c r="V470" i="10"/>
  <c r="V432" i="10"/>
  <c r="V407" i="10"/>
  <c r="V321" i="10"/>
  <c r="V308" i="10"/>
  <c r="V295" i="10"/>
  <c r="V283" i="10"/>
  <c r="V269" i="10"/>
  <c r="V244" i="10"/>
  <c r="V207" i="10"/>
  <c r="V195" i="10"/>
  <c r="V170" i="10"/>
  <c r="V146" i="10"/>
  <c r="W991" i="10"/>
  <c r="W777" i="10"/>
  <c r="X1038" i="10"/>
  <c r="X856" i="10"/>
  <c r="X791" i="10"/>
  <c r="X695" i="10"/>
  <c r="X262" i="10"/>
  <c r="X177" i="10"/>
  <c r="Y479" i="10"/>
  <c r="C28" i="10"/>
  <c r="I17" i="13"/>
  <c r="F19" i="10" s="1"/>
  <c r="C15" i="13"/>
  <c r="D18" i="10" s="1"/>
  <c r="C16" i="13"/>
  <c r="E18" i="10" s="1"/>
  <c r="J17" i="13"/>
  <c r="K17" i="13" s="1"/>
  <c r="F32" i="10" s="1"/>
  <c r="J16" i="13"/>
  <c r="K16" i="13" s="1"/>
  <c r="E32" i="10" s="1"/>
  <c r="J15" i="13"/>
  <c r="K15" i="13" s="1"/>
  <c r="D32" i="10" s="1"/>
  <c r="J14" i="13"/>
  <c r="K14" i="13" s="1"/>
  <c r="C32" i="10" s="1"/>
  <c r="H17" i="13"/>
  <c r="H16" i="13"/>
  <c r="I16" i="13" s="1"/>
  <c r="E19" i="10" s="1"/>
  <c r="H15" i="13"/>
  <c r="I15" i="13" s="1"/>
  <c r="D19" i="10" s="1"/>
  <c r="H14" i="13"/>
  <c r="I14" i="13" s="1"/>
  <c r="C19" i="10" s="1"/>
  <c r="B14" i="13"/>
  <c r="C14" i="13" s="1"/>
  <c r="C18" i="10" s="1"/>
  <c r="D17" i="13"/>
  <c r="E17" i="13" s="1"/>
  <c r="F31" i="10" s="1"/>
  <c r="D16" i="13"/>
  <c r="E16" i="13" s="1"/>
  <c r="E31" i="10" s="1"/>
  <c r="D15" i="13"/>
  <c r="E15" i="13" s="1"/>
  <c r="D31" i="10" s="1"/>
  <c r="D14" i="13"/>
  <c r="E14" i="13" s="1"/>
  <c r="C31" i="10" s="1"/>
  <c r="B17" i="13"/>
  <c r="C17" i="13" s="1"/>
  <c r="F18" i="10" s="1"/>
  <c r="B16" i="13"/>
  <c r="B15" i="13"/>
  <c r="B5" i="12"/>
  <c r="N79" i="12"/>
  <c r="J79" i="12"/>
  <c r="F79" i="12"/>
  <c r="B79" i="12"/>
  <c r="N42" i="12"/>
  <c r="B42" i="12"/>
  <c r="J5" i="12"/>
  <c r="AB8" i="1"/>
  <c r="AC7" i="1"/>
  <c r="AB16" i="1"/>
  <c r="U21" i="1"/>
  <c r="T9" i="1"/>
  <c r="U10" i="1"/>
  <c r="AH36" i="1"/>
  <c r="AH13" i="1"/>
  <c r="AE6" i="1"/>
  <c r="AH7" i="1"/>
  <c r="AH6" i="1"/>
  <c r="J42" i="12"/>
  <c r="F42" i="12"/>
  <c r="N5" i="12"/>
  <c r="F5" i="12"/>
  <c r="F28" i="10"/>
  <c r="E28" i="10"/>
  <c r="D28" i="10"/>
  <c r="K7" i="13"/>
  <c r="I7" i="13"/>
  <c r="K6" i="13"/>
  <c r="I6" i="13"/>
  <c r="K5" i="13"/>
  <c r="I5" i="13"/>
  <c r="K4" i="13"/>
  <c r="I4" i="13"/>
  <c r="B22" i="9"/>
  <c r="C22" i="9" s="1"/>
  <c r="C25" i="9" s="1"/>
  <c r="E24" i="9"/>
  <c r="O75" i="10" l="1"/>
  <c r="O76" i="10"/>
  <c r="N866" i="10"/>
  <c r="N235" i="10"/>
  <c r="N1070" i="10"/>
  <c r="N656" i="10"/>
  <c r="N594" i="10"/>
  <c r="N820" i="10"/>
  <c r="N1044" i="10"/>
  <c r="N693" i="10"/>
  <c r="N843" i="10"/>
  <c r="N1000" i="10"/>
  <c r="N918" i="10"/>
  <c r="N454" i="10"/>
  <c r="N331" i="10"/>
  <c r="N1002" i="10"/>
  <c r="N803" i="10"/>
  <c r="N553" i="10"/>
  <c r="N1039" i="10"/>
  <c r="N699" i="10"/>
  <c r="N306" i="10"/>
  <c r="N345" i="10"/>
  <c r="N450" i="10"/>
  <c r="N1043" i="10"/>
  <c r="N379" i="10"/>
  <c r="N704" i="10"/>
  <c r="N825" i="10"/>
  <c r="N1010" i="10"/>
  <c r="N199" i="10"/>
  <c r="N534" i="10"/>
  <c r="N599" i="10"/>
  <c r="N598" i="10"/>
  <c r="N555" i="10"/>
  <c r="N892" i="10"/>
  <c r="N652" i="10"/>
  <c r="N862" i="10"/>
  <c r="N861" i="10"/>
  <c r="N495" i="10"/>
  <c r="N334" i="10"/>
  <c r="N530" i="10"/>
  <c r="N829" i="10"/>
  <c r="N242" i="10"/>
  <c r="N870" i="10"/>
  <c r="N376" i="10"/>
  <c r="N415" i="10"/>
  <c r="N995" i="10"/>
  <c r="N445" i="10"/>
  <c r="N183" i="10"/>
  <c r="N456" i="10"/>
  <c r="N275" i="10"/>
  <c r="N613" i="10"/>
  <c r="N844" i="10"/>
  <c r="N607" i="10"/>
  <c r="N573" i="10"/>
  <c r="N1064" i="10"/>
  <c r="N813" i="10"/>
  <c r="N412" i="10"/>
  <c r="N847" i="10"/>
  <c r="N343" i="10"/>
  <c r="N708" i="10"/>
  <c r="N452" i="10"/>
  <c r="N459" i="10"/>
  <c r="N649" i="10"/>
  <c r="N236" i="10"/>
  <c r="N320" i="10"/>
  <c r="N173" i="10"/>
  <c r="N625" i="10"/>
  <c r="N938" i="10"/>
  <c r="N1072" i="10"/>
  <c r="N747" i="10"/>
  <c r="N389" i="10"/>
  <c r="N557" i="10"/>
  <c r="N654" i="10"/>
  <c r="N225" i="10"/>
  <c r="N472" i="10"/>
  <c r="N363" i="10"/>
  <c r="N988" i="10"/>
  <c r="N324" i="10"/>
  <c r="N221" i="10"/>
  <c r="N528" i="10"/>
  <c r="N1036" i="10"/>
  <c r="N905" i="10"/>
  <c r="N818" i="10"/>
  <c r="N288" i="10"/>
  <c r="N237" i="10"/>
  <c r="N434" i="10"/>
  <c r="N340" i="10"/>
  <c r="N190" i="10"/>
  <c r="N510" i="10"/>
  <c r="N946" i="10"/>
  <c r="N993" i="10"/>
  <c r="N764" i="10"/>
  <c r="N871" i="10"/>
  <c r="N1021" i="10"/>
  <c r="N960" i="10"/>
  <c r="N279" i="10"/>
  <c r="N935" i="10"/>
  <c r="N707" i="10"/>
  <c r="N641" i="10"/>
  <c r="N409" i="10"/>
  <c r="N914" i="10"/>
  <c r="N448" i="10"/>
  <c r="N639" i="10"/>
  <c r="N799" i="10"/>
  <c r="N318" i="10"/>
  <c r="N287" i="10"/>
  <c r="N1053" i="10"/>
  <c r="N1035" i="10"/>
  <c r="N796" i="10"/>
  <c r="N936" i="10"/>
  <c r="N868" i="10"/>
  <c r="N181" i="10"/>
  <c r="N917" i="10"/>
  <c r="N506" i="10"/>
  <c r="N945" i="10"/>
  <c r="N834" i="10"/>
  <c r="N855" i="10"/>
  <c r="N1067" i="10"/>
  <c r="N166" i="10"/>
  <c r="N186" i="10"/>
  <c r="N354" i="10"/>
  <c r="N314" i="10"/>
  <c r="N540" i="10"/>
  <c r="N265" i="10"/>
  <c r="N388" i="10"/>
  <c r="N886" i="10"/>
  <c r="N1062" i="10"/>
  <c r="N216" i="10"/>
  <c r="N939" i="10"/>
  <c r="N756" i="10"/>
  <c r="N296" i="10"/>
  <c r="N191" i="10"/>
  <c r="N313" i="10"/>
  <c r="N261" i="10"/>
  <c r="N264" i="10"/>
  <c r="N742" i="10"/>
  <c r="N692" i="10"/>
  <c r="N396" i="10"/>
  <c r="N694" i="10"/>
  <c r="N422" i="10"/>
  <c r="N260" i="10"/>
  <c r="N928" i="10"/>
  <c r="N560" i="10"/>
  <c r="N419" i="10"/>
  <c r="N904" i="10"/>
  <c r="N746" i="10"/>
  <c r="N315" i="10"/>
  <c r="N426" i="10"/>
  <c r="N948" i="10"/>
  <c r="N736" i="10"/>
  <c r="N932" i="10"/>
  <c r="N218" i="10"/>
  <c r="N744" i="10"/>
  <c r="N290" i="10"/>
  <c r="N361" i="10"/>
  <c r="N959" i="10"/>
  <c r="N539" i="10"/>
  <c r="N170" i="10"/>
  <c r="N730" i="10"/>
  <c r="N300" i="10"/>
  <c r="N955" i="10"/>
  <c r="N999" i="10"/>
  <c r="N785" i="10"/>
  <c r="N846" i="10"/>
  <c r="N521" i="10"/>
  <c r="N687" i="10"/>
  <c r="N411" i="10"/>
  <c r="N979" i="10"/>
  <c r="N527" i="10"/>
  <c r="N289" i="10"/>
  <c r="N262" i="10"/>
  <c r="N953" i="10"/>
  <c r="N201" i="10"/>
  <c r="N357" i="10"/>
  <c r="N786" i="10"/>
  <c r="N417" i="10"/>
  <c r="N592" i="10"/>
  <c r="N211" i="10"/>
  <c r="N631" i="10"/>
  <c r="N270" i="10"/>
  <c r="N421" i="10"/>
  <c r="N675" i="10"/>
  <c r="N585" i="10"/>
  <c r="N588" i="10"/>
  <c r="N1054" i="10"/>
  <c r="N227" i="10"/>
  <c r="N811" i="10"/>
  <c r="N431" i="10"/>
  <c r="N383" i="10"/>
  <c r="N873" i="10"/>
  <c r="N400" i="10"/>
  <c r="N657" i="10"/>
  <c r="N949" i="10"/>
  <c r="N719" i="10"/>
  <c r="N930" i="10"/>
  <c r="N479" i="10"/>
  <c r="N185" i="10"/>
  <c r="N277" i="10"/>
  <c r="N537" i="10"/>
  <c r="N478" i="10"/>
  <c r="N194" i="10"/>
  <c r="N837" i="10"/>
  <c r="N348" i="10"/>
  <c r="N1042" i="10"/>
  <c r="N276" i="10"/>
  <c r="N690" i="10"/>
  <c r="N996" i="10"/>
  <c r="N1048" i="10"/>
  <c r="N473" i="10"/>
  <c r="N781" i="10"/>
  <c r="N346" i="10"/>
  <c r="N1057" i="10"/>
  <c r="N175" i="10"/>
  <c r="N1029" i="10"/>
  <c r="N240" i="10"/>
  <c r="N683" i="10"/>
  <c r="N554" i="10"/>
  <c r="N294" i="10"/>
  <c r="N804" i="10"/>
  <c r="N643" i="10"/>
  <c r="N965" i="10"/>
  <c r="N414" i="10"/>
  <c r="N877" i="10"/>
  <c r="N836" i="10"/>
  <c r="N795" i="10"/>
  <c r="N964" i="10"/>
  <c r="N763" i="10"/>
  <c r="N800" i="10"/>
  <c r="N985" i="10"/>
  <c r="N399" i="10"/>
  <c r="N1050" i="10"/>
  <c r="N1060" i="10"/>
  <c r="N327" i="10"/>
  <c r="N498" i="10"/>
  <c r="N167" i="10"/>
  <c r="N551" i="10"/>
  <c r="N569" i="10"/>
  <c r="N1041" i="10"/>
  <c r="N254" i="10"/>
  <c r="N808" i="10"/>
  <c r="N241" i="10"/>
  <c r="N603" i="10"/>
  <c r="N179" i="10"/>
  <c r="N609" i="10"/>
  <c r="N878" i="10"/>
  <c r="N854" i="10"/>
  <c r="N635" i="10"/>
  <c r="N666" i="10"/>
  <c r="N413" i="10"/>
  <c r="N529" i="10"/>
  <c r="N893" i="10"/>
  <c r="N549" i="10"/>
  <c r="N715" i="10"/>
  <c r="N727" i="10"/>
  <c r="N311" i="10"/>
  <c r="N511" i="10"/>
  <c r="N248" i="10"/>
  <c r="N423" i="10"/>
  <c r="N617" i="10"/>
  <c r="N1069" i="10"/>
  <c r="N927" i="10"/>
  <c r="N447" i="10"/>
  <c r="N274" i="10"/>
  <c r="N941" i="10"/>
  <c r="N929" i="10"/>
  <c r="N464" i="10"/>
  <c r="N172" i="10"/>
  <c r="N660" i="10"/>
  <c r="N882" i="10"/>
  <c r="N597" i="10"/>
  <c r="N809" i="10"/>
  <c r="N223" i="10"/>
  <c r="N372" i="10"/>
  <c r="N771" i="10"/>
  <c r="N234" i="10"/>
  <c r="N1049" i="10"/>
  <c r="N864" i="10"/>
  <c r="N977" i="10"/>
  <c r="N487" i="10"/>
  <c r="N439" i="10"/>
  <c r="N1028" i="10"/>
  <c r="N670" i="10"/>
  <c r="N1018" i="10"/>
  <c r="N350" i="10"/>
  <c r="N887" i="10"/>
  <c r="N644" i="10"/>
  <c r="N814" i="10"/>
  <c r="N698" i="10"/>
  <c r="N440" i="10"/>
  <c r="N775" i="10"/>
  <c r="N767" i="10"/>
  <c r="N645" i="10"/>
  <c r="N1024" i="10"/>
  <c r="N586" i="10"/>
  <c r="N891" i="10"/>
  <c r="N925" i="10"/>
  <c r="N503" i="10"/>
  <c r="N407" i="10"/>
  <c r="N922" i="10"/>
  <c r="N748" i="10"/>
  <c r="N978" i="10"/>
  <c r="N335" i="10"/>
  <c r="N782" i="10"/>
  <c r="N817" i="10"/>
  <c r="N773" i="10"/>
  <c r="N889" i="10"/>
  <c r="N778" i="10"/>
  <c r="N792" i="10"/>
  <c r="N341" i="10"/>
  <c r="N651" i="10"/>
  <c r="N601" i="10"/>
  <c r="N226" i="10"/>
  <c r="N655" i="10"/>
  <c r="N272" i="10"/>
  <c r="N471" i="10"/>
  <c r="N728" i="10"/>
  <c r="N441" i="10"/>
  <c r="N309" i="10"/>
  <c r="N286" i="10"/>
  <c r="N364" i="10"/>
  <c r="N508" i="10"/>
  <c r="N875" i="10"/>
  <c r="N436" i="10"/>
  <c r="N610" i="10"/>
  <c r="N433" i="10"/>
  <c r="N740" i="10"/>
  <c r="N1013" i="10"/>
  <c r="N832" i="10"/>
  <c r="N668" i="10"/>
  <c r="N674" i="10"/>
  <c r="N355" i="10"/>
  <c r="N926" i="10"/>
  <c r="N975" i="10"/>
  <c r="N382" i="10"/>
  <c r="N1047" i="10"/>
  <c r="N428" i="10"/>
  <c r="N266" i="10"/>
  <c r="N420" i="10"/>
  <c r="N519" i="10"/>
  <c r="N595" i="10"/>
  <c r="N991" i="10"/>
  <c r="N231" i="10"/>
  <c r="N894" i="10"/>
  <c r="N794" i="10"/>
  <c r="N828" i="10"/>
  <c r="N212" i="10"/>
  <c r="N480" i="10"/>
  <c r="N605" i="10"/>
  <c r="N458" i="10"/>
  <c r="N827" i="10"/>
  <c r="N538" i="10"/>
  <c r="N385" i="10"/>
  <c r="N952" i="10"/>
  <c r="N305" i="10"/>
  <c r="N787" i="10"/>
  <c r="N475" i="10"/>
  <c r="N902" i="10"/>
  <c r="N840" i="10"/>
  <c r="N725" i="10"/>
  <c r="N611" i="10"/>
  <c r="N923" i="10"/>
  <c r="N217" i="10"/>
  <c r="N806" i="10"/>
  <c r="N515" i="10"/>
  <c r="N373" i="10"/>
  <c r="N616" i="10"/>
  <c r="N650" i="10"/>
  <c r="N798" i="10"/>
  <c r="N790" i="10"/>
  <c r="N468" i="10"/>
  <c r="N581" i="10"/>
  <c r="N446" i="10"/>
  <c r="N637" i="10"/>
  <c r="N377" i="10"/>
  <c r="N485" i="10"/>
  <c r="N463" i="10"/>
  <c r="N1017" i="10"/>
  <c r="N974" i="10"/>
  <c r="N1025" i="10"/>
  <c r="N533" i="10"/>
  <c r="N325" i="10"/>
  <c r="N501" i="10"/>
  <c r="N972" i="10"/>
  <c r="N901" i="10"/>
  <c r="N830" i="10"/>
  <c r="N460" i="10"/>
  <c r="N206" i="10"/>
  <c r="N784" i="10"/>
  <c r="N696" i="10"/>
  <c r="N497" i="10"/>
  <c r="N697" i="10"/>
  <c r="N915" i="10"/>
  <c r="N768" i="10"/>
  <c r="N658" i="10"/>
  <c r="N269" i="10"/>
  <c r="N584" i="10"/>
  <c r="N176" i="10"/>
  <c r="N195" i="10"/>
  <c r="N307" i="10"/>
  <c r="N453" i="10"/>
  <c r="N219" i="10"/>
  <c r="N1026" i="10"/>
  <c r="N966" i="10"/>
  <c r="N512" i="10"/>
  <c r="N627" i="10"/>
  <c r="N366" i="10"/>
  <c r="N263" i="10"/>
  <c r="N474" i="10"/>
  <c r="N648" i="10"/>
  <c r="N634" i="10"/>
  <c r="N222" i="10"/>
  <c r="N196" i="10"/>
  <c r="N1003" i="10"/>
  <c r="N532" i="10"/>
  <c r="N702" i="10"/>
  <c r="N724" i="10"/>
  <c r="N776" i="10"/>
  <c r="N461" i="10"/>
  <c r="N321" i="10"/>
  <c r="N793" i="10"/>
  <c r="N310" i="10"/>
  <c r="N232" i="10"/>
  <c r="N401" i="10"/>
  <c r="N308" i="10"/>
  <c r="N368" i="10"/>
  <c r="N726" i="10"/>
  <c r="N860" i="10"/>
  <c r="N789" i="10"/>
  <c r="N762" i="10"/>
  <c r="N215" i="10"/>
  <c r="N705" i="10"/>
  <c r="N912" i="10"/>
  <c r="N193" i="10"/>
  <c r="N165" i="10"/>
  <c r="N381" i="10"/>
  <c r="N204" i="10"/>
  <c r="N580" i="10"/>
  <c r="N507" i="10"/>
  <c r="N951" i="10"/>
  <c r="N757" i="10"/>
  <c r="N632" i="10"/>
  <c r="N365" i="10"/>
  <c r="N494" i="10"/>
  <c r="N906" i="10"/>
  <c r="N899" i="10"/>
  <c r="N546" i="10"/>
  <c r="N1012" i="10"/>
  <c r="N620" i="10"/>
  <c r="N1051" i="10"/>
  <c r="N1046" i="10"/>
  <c r="N416" i="10"/>
  <c r="N1009" i="10"/>
  <c r="N897" i="10"/>
  <c r="N251" i="10"/>
  <c r="N709" i="10"/>
  <c r="N695" i="10"/>
  <c r="N1052" i="10"/>
  <c r="N772" i="10"/>
  <c r="N432" i="10"/>
  <c r="N239" i="10"/>
  <c r="N769" i="10"/>
  <c r="N944" i="10"/>
  <c r="N280" i="10"/>
  <c r="N374" i="10"/>
  <c r="N496" i="10"/>
  <c r="N449" i="10"/>
  <c r="N477" i="10"/>
  <c r="N504" i="10"/>
  <c r="N884" i="10"/>
  <c r="N1016" i="10"/>
  <c r="N316" i="10"/>
  <c r="N968" i="10"/>
  <c r="N950" i="10"/>
  <c r="N600" i="10"/>
  <c r="N802" i="10"/>
  <c r="N483" i="10"/>
  <c r="N1045" i="10"/>
  <c r="N713" i="10"/>
  <c r="N984" i="10"/>
  <c r="N614" i="10"/>
  <c r="N973" i="10"/>
  <c r="N982" i="10"/>
  <c r="N405" i="10"/>
  <c r="N556" i="10"/>
  <c r="N780" i="10"/>
  <c r="N518" i="10"/>
  <c r="N188" i="10"/>
  <c r="N526" i="10"/>
  <c r="N395" i="10"/>
  <c r="N371" i="10"/>
  <c r="N424" i="10"/>
  <c r="N872" i="10"/>
  <c r="N636" i="10"/>
  <c r="N491" i="10"/>
  <c r="N514" i="10"/>
  <c r="N338" i="10"/>
  <c r="N524" i="10"/>
  <c r="N499" i="10"/>
  <c r="N957" i="10"/>
  <c r="N734" i="10"/>
  <c r="N438" i="10"/>
  <c r="N386" i="10"/>
  <c r="N187" i="10"/>
  <c r="N220" i="10"/>
  <c r="N352" i="10"/>
  <c r="N612" i="10"/>
  <c r="N278" i="10"/>
  <c r="N961" i="10"/>
  <c r="N243" i="10"/>
  <c r="N896" i="10"/>
  <c r="N1074" i="10"/>
  <c r="N520" i="10"/>
  <c r="N392" i="10"/>
  <c r="N816" i="10"/>
  <c r="N826" i="10"/>
  <c r="N835" i="10"/>
  <c r="N224" i="10"/>
  <c r="N909" i="10"/>
  <c r="N942" i="10"/>
  <c r="N688" i="10"/>
  <c r="N203" i="10"/>
  <c r="N578" i="10"/>
  <c r="N570" i="10"/>
  <c r="N304" i="10"/>
  <c r="N898" i="10"/>
  <c r="N669" i="10"/>
  <c r="N367" i="10"/>
  <c r="N390" i="10"/>
  <c r="N360" i="10"/>
  <c r="N628" i="10"/>
  <c r="N710" i="10"/>
  <c r="N336" i="10"/>
  <c r="N831" i="10"/>
  <c r="N714" i="10"/>
  <c r="N531" i="10"/>
  <c r="N359" i="10"/>
  <c r="N646" i="10"/>
  <c r="N387" i="10"/>
  <c r="N661" i="10"/>
  <c r="N1037" i="10"/>
  <c r="N842" i="10"/>
  <c r="N192" i="10"/>
  <c r="N624" i="10"/>
  <c r="N760" i="10"/>
  <c r="N737" i="10"/>
  <c r="N859" i="10"/>
  <c r="N703" i="10"/>
  <c r="N920" i="10"/>
  <c r="N268" i="10"/>
  <c r="N358" i="10"/>
  <c r="N410" i="10"/>
  <c r="N994" i="10"/>
  <c r="N178" i="10"/>
  <c r="N720" i="10"/>
  <c r="N500" i="10"/>
  <c r="N732" i="10"/>
  <c r="N824" i="10"/>
  <c r="N749" i="10"/>
  <c r="N398" i="10"/>
  <c r="N244" i="10"/>
  <c r="N998" i="10"/>
  <c r="N493" i="10"/>
  <c r="N353" i="10"/>
  <c r="N663" i="10"/>
  <c r="N302" i="10"/>
  <c r="N255" i="10"/>
  <c r="N429" i="10"/>
  <c r="N462" i="10"/>
  <c r="N791" i="10"/>
  <c r="N841" i="10"/>
  <c r="N169" i="10"/>
  <c r="N667" i="10"/>
  <c r="N284" i="10"/>
  <c r="N883" i="10"/>
  <c r="N330" i="10"/>
  <c r="N351" i="10"/>
  <c r="N729" i="10"/>
  <c r="N812" i="10"/>
  <c r="N1030" i="10"/>
  <c r="N292" i="10"/>
  <c r="N207" i="10"/>
  <c r="N322" i="10"/>
  <c r="N375" i="10"/>
  <c r="N653" i="10"/>
  <c r="N259" i="10"/>
  <c r="N1033" i="10"/>
  <c r="N981" i="10"/>
  <c r="N394" i="10"/>
  <c r="N329" i="10"/>
  <c r="N758" i="10"/>
  <c r="N425" i="10"/>
  <c r="N579" i="10"/>
  <c r="N443" i="10"/>
  <c r="N718" i="10"/>
  <c r="N273" i="10"/>
  <c r="N783" i="10"/>
  <c r="N774" i="10"/>
  <c r="N1068" i="10"/>
  <c r="N1022" i="10"/>
  <c r="N805" i="10"/>
  <c r="N731" i="10"/>
  <c r="N863" i="10"/>
  <c r="N299" i="10"/>
  <c r="N801" i="10"/>
  <c r="N347" i="10"/>
  <c r="N312" i="10"/>
  <c r="N838" i="10"/>
  <c r="N406" i="10"/>
  <c r="N200" i="10"/>
  <c r="N576" i="10"/>
  <c r="N303" i="10"/>
  <c r="N547" i="10"/>
  <c r="N384" i="10"/>
  <c r="N565" i="10"/>
  <c r="N755" i="10"/>
  <c r="N751" i="10"/>
  <c r="N876" i="10"/>
  <c r="N618" i="10"/>
  <c r="N779" i="10"/>
  <c r="N717" i="10"/>
  <c r="N558" i="10"/>
  <c r="N397" i="10"/>
  <c r="N850" i="10"/>
  <c r="N1031" i="10"/>
  <c r="N230" i="10"/>
  <c r="N962" i="10"/>
  <c r="N848" i="10"/>
  <c r="N337" i="10"/>
  <c r="N205" i="10"/>
  <c r="N671" i="10"/>
  <c r="N184" i="10"/>
  <c r="N819" i="10"/>
  <c r="N986" i="10"/>
  <c r="N1040" i="10"/>
  <c r="N252" i="10"/>
  <c r="N777" i="10"/>
  <c r="N691" i="10"/>
  <c r="N596" i="10"/>
  <c r="N250" i="10"/>
  <c r="N815" i="10"/>
  <c r="N258" i="10"/>
  <c r="N228" i="10"/>
  <c r="N665" i="10"/>
  <c r="N492" i="10"/>
  <c r="N937" i="10"/>
  <c r="N924" i="10"/>
  <c r="N481" i="10"/>
  <c r="N750" i="10"/>
  <c r="N672" i="10"/>
  <c r="N174" i="10"/>
  <c r="N879" i="10"/>
  <c r="N469" i="10"/>
  <c r="N213" i="10"/>
  <c r="N947" i="10"/>
  <c r="N1008" i="10"/>
  <c r="N249" i="10"/>
  <c r="N987" i="10"/>
  <c r="N486" i="10"/>
  <c r="N168" i="10"/>
  <c r="N680" i="10"/>
  <c r="N958" i="10"/>
  <c r="N853" i="10"/>
  <c r="N956" i="10"/>
  <c r="N980" i="10"/>
  <c r="N849" i="10"/>
  <c r="N822" i="10"/>
  <c r="N1073" i="10"/>
  <c r="N970" i="10"/>
  <c r="N362" i="10"/>
  <c r="N833" i="10"/>
  <c r="N1001" i="10"/>
  <c r="N482" i="10"/>
  <c r="N685" i="10"/>
  <c r="N550" i="10"/>
  <c r="N992" i="10"/>
  <c r="N662" i="10"/>
  <c r="N940" i="10"/>
  <c r="N535" i="10"/>
  <c r="N983" i="10"/>
  <c r="N356" i="10"/>
  <c r="N378" i="10"/>
  <c r="N437" i="10"/>
  <c r="N238" i="10"/>
  <c r="N622" i="10"/>
  <c r="N177" i="10"/>
  <c r="N189" i="10"/>
  <c r="N821" i="10"/>
  <c r="N753" i="10"/>
  <c r="N890" i="10"/>
  <c r="N608" i="10"/>
  <c r="N271" i="10"/>
  <c r="N564" i="10"/>
  <c r="N754" i="10"/>
  <c r="N247" i="10"/>
  <c r="N1014" i="10"/>
  <c r="N867" i="10"/>
  <c r="N418" i="10"/>
  <c r="N681" i="10"/>
  <c r="N673" i="10"/>
  <c r="N880" i="10"/>
  <c r="N267" i="10"/>
  <c r="N517" i="10"/>
  <c r="N642" i="10"/>
  <c r="N317" i="10"/>
  <c r="N997" i="10"/>
  <c r="N543" i="10"/>
  <c r="N502" i="10"/>
  <c r="N430" i="10"/>
  <c r="N684" i="10"/>
  <c r="N752" i="10"/>
  <c r="N333" i="10"/>
  <c r="N738" i="10"/>
  <c r="N513" i="10"/>
  <c r="N619" i="10"/>
  <c r="N739" i="10"/>
  <c r="N593" i="10"/>
  <c r="N484" i="10"/>
  <c r="N852" i="10"/>
  <c r="N319" i="10"/>
  <c r="N888" i="10"/>
  <c r="N1056" i="10"/>
  <c r="N536" i="10"/>
  <c r="N559" i="10"/>
  <c r="N976" i="10"/>
  <c r="N1059" i="10"/>
  <c r="N733" i="10"/>
  <c r="N711" i="10"/>
  <c r="N281" i="10"/>
  <c r="N544" i="10"/>
  <c r="N467" i="10"/>
  <c r="N574" i="10"/>
  <c r="N293" i="10"/>
  <c r="N931" i="10"/>
  <c r="N349" i="10"/>
  <c r="N679" i="10"/>
  <c r="N990" i="10"/>
  <c r="N851" i="10"/>
  <c r="N548" i="10"/>
  <c r="N602" i="10"/>
  <c r="N561" i="10"/>
  <c r="N664" i="10"/>
  <c r="N1004" i="10"/>
  <c r="N856" i="10"/>
  <c r="N1019" i="10"/>
  <c r="N1063" i="10"/>
  <c r="N591" i="10"/>
  <c r="N562" i="10"/>
  <c r="N1015" i="10"/>
  <c r="N903" i="10"/>
  <c r="N701" i="10"/>
  <c r="N229" i="10"/>
  <c r="N682" i="10"/>
  <c r="N490" i="10"/>
  <c r="N676" i="10"/>
  <c r="N633" i="10"/>
  <c r="N921" i="10"/>
  <c r="N745" i="10"/>
  <c r="N214" i="10"/>
  <c r="N466" i="10"/>
  <c r="N457" i="10"/>
  <c r="N523" i="10"/>
  <c r="N589" i="10"/>
  <c r="N180" i="10"/>
  <c r="N182" i="10"/>
  <c r="N542" i="10"/>
  <c r="N630" i="10"/>
  <c r="N766" i="10"/>
  <c r="N1038" i="10"/>
  <c r="N587" i="10"/>
  <c r="N943" i="10"/>
  <c r="N444" i="10"/>
  <c r="N797" i="10"/>
  <c r="N971" i="10"/>
  <c r="N567" i="10"/>
  <c r="N575" i="10"/>
  <c r="N869" i="10"/>
  <c r="N545" i="10"/>
  <c r="N245" i="10"/>
  <c r="N1006" i="10"/>
  <c r="N913" i="10"/>
  <c r="N198" i="10"/>
  <c r="N716" i="10"/>
  <c r="N339" i="10"/>
  <c r="N489" i="10"/>
  <c r="N659" i="10"/>
  <c r="N552" i="10"/>
  <c r="N209" i="10"/>
  <c r="N291" i="10"/>
  <c r="N171" i="10"/>
  <c r="N788" i="10"/>
  <c r="N615" i="10"/>
  <c r="N765" i="10"/>
  <c r="N807" i="10"/>
  <c r="N916" i="10"/>
  <c r="N577" i="10"/>
  <c r="N590" i="10"/>
  <c r="N369" i="10"/>
  <c r="N881" i="10"/>
  <c r="N900" i="10"/>
  <c r="N1034" i="10"/>
  <c r="N907" i="10"/>
  <c r="N1023" i="10"/>
  <c r="N295" i="10"/>
  <c r="N572" i="10"/>
  <c r="N301" i="10"/>
  <c r="N1058" i="10"/>
  <c r="N402" i="10"/>
  <c r="N522" i="10"/>
  <c r="N404" i="10"/>
  <c r="N1005" i="10"/>
  <c r="N967" i="10"/>
  <c r="N1027" i="10"/>
  <c r="N282" i="10"/>
  <c r="N571" i="10"/>
  <c r="N525" i="10"/>
  <c r="N721" i="10"/>
  <c r="N256" i="10"/>
  <c r="N326" i="10"/>
  <c r="N686" i="10"/>
  <c r="N435" i="10"/>
  <c r="N465" i="10"/>
  <c r="N470" i="10"/>
  <c r="N706" i="10"/>
  <c r="N623" i="10"/>
  <c r="N505" i="10"/>
  <c r="N1061" i="10"/>
  <c r="N839" i="10"/>
  <c r="N566" i="10"/>
  <c r="N933" i="10"/>
  <c r="N629" i="10"/>
  <c r="N476" i="10"/>
  <c r="N689" i="10"/>
  <c r="N934" i="10"/>
  <c r="N583" i="10"/>
  <c r="N857" i="10"/>
  <c r="N1071" i="10"/>
  <c r="N257" i="10"/>
  <c r="N606" i="10"/>
  <c r="N208" i="10"/>
  <c r="N298" i="10"/>
  <c r="N246" i="10"/>
  <c r="N954" i="10"/>
  <c r="N509" i="10"/>
  <c r="N380" i="10"/>
  <c r="N678" i="10"/>
  <c r="N332" i="10"/>
  <c r="N700" i="10"/>
  <c r="N874" i="10"/>
  <c r="N516" i="10"/>
  <c r="N233" i="10"/>
  <c r="N1007" i="10"/>
  <c r="N770" i="10"/>
  <c r="N342" i="10"/>
  <c r="N455" i="10"/>
  <c r="N442" i="10"/>
  <c r="N197" i="10"/>
  <c r="N1065" i="10"/>
  <c r="N488" i="10"/>
  <c r="N810" i="10"/>
  <c r="N328" i="10"/>
  <c r="N908" i="10"/>
  <c r="N427" i="10"/>
  <c r="N582" i="10"/>
  <c r="N761" i="10"/>
  <c r="N403" i="10"/>
  <c r="N568" i="10"/>
  <c r="N1020" i="10"/>
  <c r="N722" i="10"/>
  <c r="N1032" i="10"/>
  <c r="N621" i="10"/>
  <c r="N895" i="10"/>
  <c r="N638" i="10"/>
  <c r="N285" i="10"/>
  <c r="N202" i="10"/>
  <c r="N741" i="10"/>
  <c r="N563" i="10"/>
  <c r="N963" i="10"/>
  <c r="N283" i="10"/>
  <c r="N370" i="10"/>
  <c r="N210" i="10"/>
  <c r="N1011" i="10"/>
  <c r="N344" i="10"/>
  <c r="N451" i="10"/>
  <c r="N408" i="10"/>
  <c r="N969" i="10"/>
  <c r="N911" i="10"/>
  <c r="N253" i="10"/>
  <c r="N391" i="10"/>
  <c r="N626" i="10"/>
  <c r="N1055" i="10"/>
  <c r="N823" i="10"/>
  <c r="N743" i="10"/>
  <c r="N1066" i="10"/>
  <c r="N759" i="10"/>
  <c r="N604" i="10"/>
  <c r="N393" i="10"/>
  <c r="N323" i="10"/>
  <c r="N297" i="10"/>
  <c r="N735" i="10"/>
  <c r="N712" i="10"/>
  <c r="N858" i="10"/>
  <c r="N640" i="10"/>
  <c r="N989" i="10"/>
  <c r="N723" i="10"/>
  <c r="N541" i="10"/>
  <c r="N647" i="10"/>
  <c r="N885" i="10"/>
  <c r="N919" i="10"/>
  <c r="N845" i="10"/>
  <c r="N865" i="10"/>
  <c r="N910" i="10"/>
  <c r="N677" i="10"/>
  <c r="N79" i="10"/>
  <c r="N77" i="10"/>
  <c r="N82" i="10"/>
  <c r="N81" i="10"/>
  <c r="N75" i="10"/>
  <c r="N80" i="10"/>
  <c r="N78" i="10"/>
  <c r="N76" i="10"/>
  <c r="M75" i="10"/>
  <c r="M76" i="10"/>
  <c r="N163" i="10"/>
  <c r="N132" i="10"/>
  <c r="N135" i="10"/>
  <c r="N146" i="10"/>
  <c r="N144" i="10"/>
  <c r="N137" i="10"/>
  <c r="N121" i="10"/>
  <c r="N159" i="10"/>
  <c r="N114" i="10"/>
  <c r="N128" i="10"/>
  <c r="N118" i="10"/>
  <c r="N153" i="10"/>
  <c r="N156" i="10"/>
  <c r="N125" i="10"/>
  <c r="N126" i="10"/>
  <c r="N148" i="10"/>
  <c r="N113" i="10"/>
  <c r="N164" i="10"/>
  <c r="N149" i="10"/>
  <c r="N134" i="10"/>
  <c r="N116" i="10"/>
  <c r="N124" i="10"/>
  <c r="N154" i="10"/>
  <c r="N136" i="10"/>
  <c r="N130" i="10"/>
  <c r="N115" i="10"/>
  <c r="N122" i="10"/>
  <c r="N160" i="10"/>
  <c r="N158" i="10"/>
  <c r="N150" i="10"/>
  <c r="N151" i="10"/>
  <c r="N147" i="10"/>
  <c r="N161" i="10"/>
  <c r="N123" i="10"/>
  <c r="N139" i="10"/>
  <c r="N112" i="10"/>
  <c r="N152" i="10"/>
  <c r="N131" i="10"/>
  <c r="N120" i="10"/>
  <c r="N141" i="10"/>
  <c r="N140" i="10"/>
  <c r="N117" i="10"/>
  <c r="N162" i="10"/>
  <c r="N157" i="10"/>
  <c r="N129" i="10"/>
  <c r="N133" i="10"/>
  <c r="N155" i="10"/>
  <c r="N127" i="10"/>
  <c r="N143" i="10"/>
  <c r="N119" i="10"/>
  <c r="N145" i="10"/>
  <c r="N138" i="10"/>
  <c r="N111" i="10"/>
  <c r="N142" i="10"/>
  <c r="H104" i="10"/>
  <c r="H85" i="10"/>
  <c r="H86" i="10"/>
  <c r="H101" i="10"/>
  <c r="H92" i="10"/>
  <c r="H96" i="10"/>
  <c r="H109" i="10"/>
  <c r="H83" i="10"/>
  <c r="H100" i="10"/>
  <c r="H84" i="10"/>
  <c r="H88" i="10"/>
  <c r="H99" i="10"/>
  <c r="H90" i="10"/>
  <c r="H102" i="10"/>
  <c r="H91" i="10"/>
  <c r="H97" i="10"/>
  <c r="H94" i="10"/>
  <c r="H87" i="10"/>
  <c r="H108" i="10"/>
  <c r="H93" i="10"/>
  <c r="H103" i="10"/>
  <c r="H107" i="10"/>
  <c r="H110" i="10"/>
  <c r="H98" i="10"/>
  <c r="H95" i="10"/>
  <c r="H89" i="10"/>
  <c r="H105" i="10"/>
  <c r="H106" i="10"/>
  <c r="H599" i="10"/>
  <c r="H598" i="10"/>
  <c r="H555" i="10"/>
  <c r="H892" i="10"/>
  <c r="H652" i="10"/>
  <c r="H844" i="10"/>
  <c r="H862" i="10"/>
  <c r="H861" i="10"/>
  <c r="H495" i="10"/>
  <c r="H625" i="10"/>
  <c r="H334" i="10"/>
  <c r="H530" i="10"/>
  <c r="H829" i="10"/>
  <c r="H242" i="10"/>
  <c r="H1064" i="10"/>
  <c r="H225" i="10"/>
  <c r="H412" i="10"/>
  <c r="H573" i="10"/>
  <c r="H654" i="10"/>
  <c r="H813" i="10"/>
  <c r="H472" i="10"/>
  <c r="H785" i="10"/>
  <c r="H343" i="10"/>
  <c r="H236" i="10"/>
  <c r="H639" i="10"/>
  <c r="H320" i="10"/>
  <c r="H173" i="10"/>
  <c r="H275" i="10"/>
  <c r="H866" i="10"/>
  <c r="H235" i="10"/>
  <c r="H1070" i="10"/>
  <c r="H656" i="10"/>
  <c r="H594" i="10"/>
  <c r="H820" i="10"/>
  <c r="H1044" i="10"/>
  <c r="H693" i="10"/>
  <c r="H1000" i="10"/>
  <c r="H918" i="10"/>
  <c r="H454" i="10"/>
  <c r="H331" i="10"/>
  <c r="H847" i="10"/>
  <c r="H708" i="10"/>
  <c r="H324" i="10"/>
  <c r="H201" i="10"/>
  <c r="H340" i="10"/>
  <c r="H534" i="10"/>
  <c r="H1072" i="10"/>
  <c r="H510" i="10"/>
  <c r="H877" i="10"/>
  <c r="H803" i="10"/>
  <c r="H1039" i="10"/>
  <c r="H306" i="10"/>
  <c r="H825" i="10"/>
  <c r="H450" i="10"/>
  <c r="H199" i="10"/>
  <c r="H843" i="10"/>
  <c r="H363" i="10"/>
  <c r="H379" i="10"/>
  <c r="H949" i="10"/>
  <c r="H799" i="10"/>
  <c r="H818" i="10"/>
  <c r="H928" i="10"/>
  <c r="H186" i="10"/>
  <c r="H1035" i="10"/>
  <c r="H445" i="10"/>
  <c r="H183" i="10"/>
  <c r="H607" i="10"/>
  <c r="H376" i="10"/>
  <c r="H796" i="10"/>
  <c r="H868" i="10"/>
  <c r="H411" i="10"/>
  <c r="H946" i="10"/>
  <c r="H704" i="10"/>
  <c r="H345" i="10"/>
  <c r="H1010" i="10"/>
  <c r="H1043" i="10"/>
  <c r="H870" i="10"/>
  <c r="H452" i="10"/>
  <c r="H995" i="10"/>
  <c r="H422" i="10"/>
  <c r="H181" i="10"/>
  <c r="H434" i="10"/>
  <c r="H917" i="10"/>
  <c r="H459" i="10"/>
  <c r="H649" i="10"/>
  <c r="H707" i="10"/>
  <c r="H979" i="10"/>
  <c r="H287" i="10"/>
  <c r="H456" i="10"/>
  <c r="H506" i="10"/>
  <c r="H945" i="10"/>
  <c r="H834" i="10"/>
  <c r="H855" i="10"/>
  <c r="H290" i="10"/>
  <c r="H294" i="10"/>
  <c r="H996" i="10"/>
  <c r="H262" i="10"/>
  <c r="H357" i="10"/>
  <c r="H747" i="10"/>
  <c r="H318" i="10"/>
  <c r="H557" i="10"/>
  <c r="H846" i="10"/>
  <c r="H521" i="10"/>
  <c r="H560" i="10"/>
  <c r="H687" i="10"/>
  <c r="H736" i="10"/>
  <c r="H1002" i="10"/>
  <c r="H699" i="10"/>
  <c r="H936" i="10"/>
  <c r="H216" i="10"/>
  <c r="H260" i="10"/>
  <c r="H549" i="10"/>
  <c r="H194" i="10"/>
  <c r="H756" i="10"/>
  <c r="H1053" i="10"/>
  <c r="H988" i="10"/>
  <c r="H261" i="10"/>
  <c r="H527" i="10"/>
  <c r="H939" i="10"/>
  <c r="H419" i="10"/>
  <c r="H744" i="10"/>
  <c r="H314" i="10"/>
  <c r="H313" i="10"/>
  <c r="H218" i="10"/>
  <c r="H389" i="10"/>
  <c r="H354" i="10"/>
  <c r="H886" i="10"/>
  <c r="H415" i="10"/>
  <c r="H960" i="10"/>
  <c r="H288" i="10"/>
  <c r="H237" i="10"/>
  <c r="H279" i="10"/>
  <c r="H289" i="10"/>
  <c r="H938" i="10"/>
  <c r="H935" i="10"/>
  <c r="H1067" i="10"/>
  <c r="H264" i="10"/>
  <c r="H464" i="10"/>
  <c r="H166" i="10"/>
  <c r="H190" i="10"/>
  <c r="H528" i="10"/>
  <c r="H764" i="10"/>
  <c r="H361" i="10"/>
  <c r="H953" i="10"/>
  <c r="H1029" i="10"/>
  <c r="H479" i="10"/>
  <c r="H657" i="10"/>
  <c r="H871" i="10"/>
  <c r="H786" i="10"/>
  <c r="H417" i="10"/>
  <c r="H480" i="10"/>
  <c r="H478" i="10"/>
  <c r="H553" i="10"/>
  <c r="H221" i="10"/>
  <c r="H388" i="10"/>
  <c r="H431" i="10"/>
  <c r="H771" i="10"/>
  <c r="H641" i="10"/>
  <c r="H1062" i="10"/>
  <c r="H837" i="10"/>
  <c r="H643" i="10"/>
  <c r="H763" i="10"/>
  <c r="H540" i="10"/>
  <c r="H914" i="10"/>
  <c r="H1048" i="10"/>
  <c r="H296" i="10"/>
  <c r="H742" i="10"/>
  <c r="H692" i="10"/>
  <c r="H613" i="10"/>
  <c r="H315" i="10"/>
  <c r="H719" i="10"/>
  <c r="H930" i="10"/>
  <c r="H690" i="10"/>
  <c r="H248" i="10"/>
  <c r="H792" i="10"/>
  <c r="H651" i="10"/>
  <c r="H905" i="10"/>
  <c r="H781" i="10"/>
  <c r="H346" i="10"/>
  <c r="H730" i="10"/>
  <c r="H348" i="10"/>
  <c r="H409" i="10"/>
  <c r="H635" i="10"/>
  <c r="H999" i="10"/>
  <c r="H1036" i="10"/>
  <c r="H448" i="10"/>
  <c r="H746" i="10"/>
  <c r="H955" i="10"/>
  <c r="H234" i="10"/>
  <c r="H396" i="10"/>
  <c r="H965" i="10"/>
  <c r="H414" i="10"/>
  <c r="H170" i="10"/>
  <c r="H172" i="10"/>
  <c r="H421" i="10"/>
  <c r="H675" i="10"/>
  <c r="H993" i="10"/>
  <c r="H904" i="10"/>
  <c r="H426" i="10"/>
  <c r="H804" i="10"/>
  <c r="H270" i="10"/>
  <c r="H811" i="10"/>
  <c r="H808" i="10"/>
  <c r="H341" i="10"/>
  <c r="H327" i="10"/>
  <c r="H265" i="10"/>
  <c r="H211" i="10"/>
  <c r="H631" i="10"/>
  <c r="H227" i="10"/>
  <c r="H254" i="10"/>
  <c r="H795" i="10"/>
  <c r="H423" i="10"/>
  <c r="H959" i="10"/>
  <c r="H873" i="10"/>
  <c r="H1021" i="10"/>
  <c r="H932" i="10"/>
  <c r="H400" i="10"/>
  <c r="H383" i="10"/>
  <c r="H588" i="10"/>
  <c r="H715" i="10"/>
  <c r="H617" i="10"/>
  <c r="H1069" i="10"/>
  <c r="H413" i="10"/>
  <c r="H529" i="10"/>
  <c r="H893" i="10"/>
  <c r="H554" i="10"/>
  <c r="H977" i="10"/>
  <c r="H887" i="10"/>
  <c r="H373" i="10"/>
  <c r="H948" i="10"/>
  <c r="H537" i="10"/>
  <c r="H1057" i="10"/>
  <c r="H787" i="10"/>
  <c r="H601" i="10"/>
  <c r="H420" i="10"/>
  <c r="H473" i="10"/>
  <c r="H277" i="10"/>
  <c r="H1028" i="10"/>
  <c r="H925" i="10"/>
  <c r="H539" i="10"/>
  <c r="H1049" i="10"/>
  <c r="H670" i="10"/>
  <c r="H300" i="10"/>
  <c r="H778" i="10"/>
  <c r="H364" i="10"/>
  <c r="H978" i="10"/>
  <c r="H809" i="10"/>
  <c r="H223" i="10"/>
  <c r="H1054" i="10"/>
  <c r="H927" i="10"/>
  <c r="H597" i="10"/>
  <c r="H964" i="10"/>
  <c r="H1042" i="10"/>
  <c r="H241" i="10"/>
  <c r="H335" i="10"/>
  <c r="H515" i="10"/>
  <c r="H503" i="10"/>
  <c r="H436" i="10"/>
  <c r="H668" i="10"/>
  <c r="H1041" i="10"/>
  <c r="H666" i="10"/>
  <c r="H864" i="10"/>
  <c r="H440" i="10"/>
  <c r="H727" i="10"/>
  <c r="H311" i="10"/>
  <c r="H511" i="10"/>
  <c r="H698" i="10"/>
  <c r="H226" i="10"/>
  <c r="H592" i="10"/>
  <c r="H276" i="10"/>
  <c r="H814" i="10"/>
  <c r="H878" i="10"/>
  <c r="H767" i="10"/>
  <c r="H372" i="10"/>
  <c r="H882" i="10"/>
  <c r="H683" i="10"/>
  <c r="H1050" i="10"/>
  <c r="H179" i="10"/>
  <c r="H775" i="10"/>
  <c r="H585" i="10"/>
  <c r="H569" i="10"/>
  <c r="H941" i="10"/>
  <c r="H175" i="10"/>
  <c r="H609" i="10"/>
  <c r="H782" i="10"/>
  <c r="H551" i="10"/>
  <c r="H605" i="10"/>
  <c r="H655" i="10"/>
  <c r="H272" i="10"/>
  <c r="H694" i="10"/>
  <c r="H610" i="10"/>
  <c r="H674" i="10"/>
  <c r="H355" i="10"/>
  <c r="H926" i="10"/>
  <c r="H975" i="10"/>
  <c r="H255" i="10"/>
  <c r="H191" i="10"/>
  <c r="H836" i="10"/>
  <c r="H240" i="10"/>
  <c r="H498" i="10"/>
  <c r="H616" i="10"/>
  <c r="H929" i="10"/>
  <c r="H433" i="10"/>
  <c r="H740" i="10"/>
  <c r="H1013" i="10"/>
  <c r="H832" i="10"/>
  <c r="H519" i="10"/>
  <c r="H263" i="10"/>
  <c r="H595" i="10"/>
  <c r="H800" i="10"/>
  <c r="H399" i="10"/>
  <c r="H1060" i="10"/>
  <c r="H458" i="10"/>
  <c r="H894" i="10"/>
  <c r="H428" i="10"/>
  <c r="H650" i="10"/>
  <c r="H401" i="10"/>
  <c r="H447" i="10"/>
  <c r="H508" i="10"/>
  <c r="H274" i="10"/>
  <c r="H854" i="10"/>
  <c r="H644" i="10"/>
  <c r="H923" i="10"/>
  <c r="H768" i="10"/>
  <c r="H827" i="10"/>
  <c r="H446" i="10"/>
  <c r="H405" i="10"/>
  <c r="H951" i="10"/>
  <c r="H660" i="10"/>
  <c r="H224" i="10"/>
  <c r="H645" i="10"/>
  <c r="H1024" i="10"/>
  <c r="H586" i="10"/>
  <c r="H891" i="10"/>
  <c r="H185" i="10"/>
  <c r="H407" i="10"/>
  <c r="H985" i="10"/>
  <c r="H266" i="10"/>
  <c r="H471" i="10"/>
  <c r="H167" i="10"/>
  <c r="H212" i="10"/>
  <c r="H538" i="10"/>
  <c r="H648" i="10"/>
  <c r="H627" i="10"/>
  <c r="H726" i="10"/>
  <c r="H901" i="10"/>
  <c r="H840" i="10"/>
  <c r="H533" i="10"/>
  <c r="H308" i="10"/>
  <c r="H377" i="10"/>
  <c r="H773" i="10"/>
  <c r="H889" i="10"/>
  <c r="H487" i="10"/>
  <c r="H611" i="10"/>
  <c r="H217" i="10"/>
  <c r="H806" i="10"/>
  <c r="H912" i="10"/>
  <c r="H1052" i="10"/>
  <c r="H502" i="10"/>
  <c r="H875" i="10"/>
  <c r="H350" i="10"/>
  <c r="H974" i="10"/>
  <c r="H798" i="10"/>
  <c r="H368" i="10"/>
  <c r="H724" i="10"/>
  <c r="H922" i="10"/>
  <c r="H439" i="10"/>
  <c r="H728" i="10"/>
  <c r="H1018" i="10"/>
  <c r="H309" i="10"/>
  <c r="H305" i="10"/>
  <c r="H793" i="10"/>
  <c r="H310" i="10"/>
  <c r="H232" i="10"/>
  <c r="H222" i="10"/>
  <c r="H828" i="10"/>
  <c r="H776" i="10"/>
  <c r="H461" i="10"/>
  <c r="H321" i="10"/>
  <c r="H352" i="10"/>
  <c r="H524" i="10"/>
  <c r="H688" i="10"/>
  <c r="H483" i="10"/>
  <c r="H658" i="10"/>
  <c r="H474" i="10"/>
  <c r="H702" i="10"/>
  <c r="H634" i="10"/>
  <c r="H942" i="10"/>
  <c r="H772" i="10"/>
  <c r="H518" i="10"/>
  <c r="H278" i="10"/>
  <c r="H769" i="10"/>
  <c r="H1009" i="10"/>
  <c r="H794" i="10"/>
  <c r="H991" i="10"/>
  <c r="H909" i="10"/>
  <c r="H612" i="10"/>
  <c r="H432" i="10"/>
  <c r="H188" i="10"/>
  <c r="H906" i="10"/>
  <c r="H382" i="10"/>
  <c r="H1047" i="10"/>
  <c r="H507" i="10"/>
  <c r="H757" i="10"/>
  <c r="H780" i="10"/>
  <c r="H860" i="10"/>
  <c r="H556" i="10"/>
  <c r="H725" i="10"/>
  <c r="H381" i="10"/>
  <c r="H204" i="10"/>
  <c r="H580" i="10"/>
  <c r="H961" i="10"/>
  <c r="H790" i="10"/>
  <c r="H468" i="10"/>
  <c r="H581" i="10"/>
  <c r="H957" i="10"/>
  <c r="H748" i="10"/>
  <c r="H176" i="10"/>
  <c r="H366" i="10"/>
  <c r="H802" i="10"/>
  <c r="H499" i="10"/>
  <c r="H203" i="10"/>
  <c r="H603" i="10"/>
  <c r="H817" i="10"/>
  <c r="H1025" i="10"/>
  <c r="H286" i="10"/>
  <c r="H325" i="10"/>
  <c r="H269" i="10"/>
  <c r="H584" i="10"/>
  <c r="H231" i="10"/>
  <c r="H195" i="10"/>
  <c r="H196" i="10"/>
  <c r="H1003" i="10"/>
  <c r="H532" i="10"/>
  <c r="H215" i="10"/>
  <c r="H637" i="10"/>
  <c r="H972" i="10"/>
  <c r="H219" i="10"/>
  <c r="H1045" i="10"/>
  <c r="H395" i="10"/>
  <c r="H371" i="10"/>
  <c r="H424" i="10"/>
  <c r="H842" i="10"/>
  <c r="H734" i="10"/>
  <c r="H438" i="10"/>
  <c r="H386" i="10"/>
  <c r="H187" i="10"/>
  <c r="H193" i="10"/>
  <c r="H830" i="10"/>
  <c r="H307" i="10"/>
  <c r="H206" i="10"/>
  <c r="H526" i="10"/>
  <c r="H192" i="10"/>
  <c r="H841" i="10"/>
  <c r="H330" i="10"/>
  <c r="H758" i="10"/>
  <c r="H410" i="10"/>
  <c r="H336" i="10"/>
  <c r="H1030" i="10"/>
  <c r="H890" i="10"/>
  <c r="H608" i="10"/>
  <c r="H247" i="10"/>
  <c r="H550" i="10"/>
  <c r="H1017" i="10"/>
  <c r="H791" i="10"/>
  <c r="H329" i="10"/>
  <c r="H512" i="10"/>
  <c r="H475" i="10"/>
  <c r="H1026" i="10"/>
  <c r="H243" i="10"/>
  <c r="H697" i="10"/>
  <c r="H896" i="10"/>
  <c r="H1074" i="10"/>
  <c r="H520" i="10"/>
  <c r="H902" i="10"/>
  <c r="H705" i="10"/>
  <c r="H784" i="10"/>
  <c r="H789" i="10"/>
  <c r="H632" i="10"/>
  <c r="H365" i="10"/>
  <c r="H998" i="10"/>
  <c r="H667" i="10"/>
  <c r="H661" i="10"/>
  <c r="H425" i="10"/>
  <c r="H831" i="10"/>
  <c r="H720" i="10"/>
  <c r="H441" i="10"/>
  <c r="H501" i="10"/>
  <c r="H463" i="10"/>
  <c r="H578" i="10"/>
  <c r="H899" i="10"/>
  <c r="H546" i="10"/>
  <c r="H1012" i="10"/>
  <c r="H897" i="10"/>
  <c r="H251" i="10"/>
  <c r="H709" i="10"/>
  <c r="H695" i="10"/>
  <c r="H291" i="10"/>
  <c r="H292" i="10"/>
  <c r="H485" i="10"/>
  <c r="H460" i="10"/>
  <c r="H453" i="10"/>
  <c r="H165" i="10"/>
  <c r="H696" i="10"/>
  <c r="H762" i="10"/>
  <c r="H239" i="10"/>
  <c r="H713" i="10"/>
  <c r="H984" i="10"/>
  <c r="H614" i="10"/>
  <c r="H973" i="10"/>
  <c r="H982" i="10"/>
  <c r="H710" i="10"/>
  <c r="H812" i="10"/>
  <c r="H178" i="10"/>
  <c r="H282" i="10"/>
  <c r="H606" i="10"/>
  <c r="H628" i="10"/>
  <c r="H244" i="10"/>
  <c r="H268" i="10"/>
  <c r="H429" i="10"/>
  <c r="H351" i="10"/>
  <c r="H819" i="10"/>
  <c r="H966" i="10"/>
  <c r="H944" i="10"/>
  <c r="H620" i="10"/>
  <c r="H416" i="10"/>
  <c r="H374" i="10"/>
  <c r="H994" i="10"/>
  <c r="H390" i="10"/>
  <c r="H493" i="10"/>
  <c r="H284" i="10"/>
  <c r="H879" i="10"/>
  <c r="H684" i="10"/>
  <c r="H304" i="10"/>
  <c r="H358" i="10"/>
  <c r="H1016" i="10"/>
  <c r="H514" i="10"/>
  <c r="H462" i="10"/>
  <c r="H312" i="10"/>
  <c r="H367" i="10"/>
  <c r="H826" i="10"/>
  <c r="H835" i="10"/>
  <c r="H986" i="10"/>
  <c r="H685" i="10"/>
  <c r="H838" i="10"/>
  <c r="H992" i="10"/>
  <c r="H881" i="10"/>
  <c r="H398" i="10"/>
  <c r="H169" i="10"/>
  <c r="H477" i="10"/>
  <c r="H884" i="10"/>
  <c r="H491" i="10"/>
  <c r="H316" i="10"/>
  <c r="H347" i="10"/>
  <c r="H228" i="10"/>
  <c r="H513" i="10"/>
  <c r="H271" i="10"/>
  <c r="H252" i="10"/>
  <c r="H673" i="10"/>
  <c r="H469" i="10"/>
  <c r="H822" i="10"/>
  <c r="H496" i="10"/>
  <c r="H816" i="10"/>
  <c r="H482" i="10"/>
  <c r="H375" i="10"/>
  <c r="H950" i="10"/>
  <c r="H564" i="10"/>
  <c r="H754" i="10"/>
  <c r="H717" i="10"/>
  <c r="H653" i="10"/>
  <c r="H259" i="10"/>
  <c r="H1033" i="10"/>
  <c r="H981" i="10"/>
  <c r="H394" i="10"/>
  <c r="H898" i="10"/>
  <c r="H561" i="10"/>
  <c r="H504" i="10"/>
  <c r="H210" i="10"/>
  <c r="H915" i="10"/>
  <c r="H1051" i="10"/>
  <c r="H1046" i="10"/>
  <c r="H280" i="10"/>
  <c r="H392" i="10"/>
  <c r="H729" i="10"/>
  <c r="H207" i="10"/>
  <c r="H322" i="10"/>
  <c r="H714" i="10"/>
  <c r="H600" i="10"/>
  <c r="H1014" i="10"/>
  <c r="H1040" i="10"/>
  <c r="H619" i="10"/>
  <c r="H174" i="10"/>
  <c r="H579" i="10"/>
  <c r="H531" i="10"/>
  <c r="H359" i="10"/>
  <c r="H385" i="10"/>
  <c r="H258" i="10"/>
  <c r="H883" i="10"/>
  <c r="H669" i="10"/>
  <c r="H636" i="10"/>
  <c r="H1037" i="10"/>
  <c r="H220" i="10"/>
  <c r="H353" i="10"/>
  <c r="H663" i="10"/>
  <c r="H302" i="10"/>
  <c r="H880" i="10"/>
  <c r="H952" i="10"/>
  <c r="H494" i="10"/>
  <c r="H360" i="10"/>
  <c r="H624" i="10"/>
  <c r="H387" i="10"/>
  <c r="H760" i="10"/>
  <c r="H449" i="10"/>
  <c r="H1073" i="10"/>
  <c r="H970" i="10"/>
  <c r="H362" i="10"/>
  <c r="H833" i="10"/>
  <c r="H1001" i="10"/>
  <c r="H823" i="10"/>
  <c r="H664" i="10"/>
  <c r="H171" i="10"/>
  <c r="H759" i="10"/>
  <c r="H408" i="10"/>
  <c r="H563" i="10"/>
  <c r="H980" i="10"/>
  <c r="H849" i="10"/>
  <c r="H983" i="10"/>
  <c r="H356" i="10"/>
  <c r="H378" i="10"/>
  <c r="H437" i="10"/>
  <c r="H238" i="10"/>
  <c r="H622" i="10"/>
  <c r="H177" i="10"/>
  <c r="H189" i="10"/>
  <c r="H821" i="10"/>
  <c r="H753" i="10"/>
  <c r="H969" i="10"/>
  <c r="H737" i="10"/>
  <c r="H956" i="10"/>
  <c r="H940" i="10"/>
  <c r="H535" i="10"/>
  <c r="H267" i="10"/>
  <c r="H517" i="10"/>
  <c r="H642" i="10"/>
  <c r="H317" i="10"/>
  <c r="H997" i="10"/>
  <c r="H543" i="10"/>
  <c r="H1023" i="10"/>
  <c r="H523" i="10"/>
  <c r="H589" i="10"/>
  <c r="H326" i="10"/>
  <c r="H500" i="10"/>
  <c r="H732" i="10"/>
  <c r="H824" i="10"/>
  <c r="H662" i="10"/>
  <c r="H752" i="10"/>
  <c r="H333" i="10"/>
  <c r="H738" i="10"/>
  <c r="H208" i="10"/>
  <c r="H1034" i="10"/>
  <c r="H418" i="10"/>
  <c r="H484" i="10"/>
  <c r="H852" i="10"/>
  <c r="H319" i="10"/>
  <c r="H888" i="10"/>
  <c r="H1056" i="10"/>
  <c r="H536" i="10"/>
  <c r="H559" i="10"/>
  <c r="H976" i="10"/>
  <c r="H859" i="10"/>
  <c r="H430" i="10"/>
  <c r="H749" i="10"/>
  <c r="H505" i="10"/>
  <c r="H900" i="10"/>
  <c r="H1061" i="10"/>
  <c r="H545" i="10"/>
  <c r="H245" i="10"/>
  <c r="H839" i="10"/>
  <c r="H788" i="10"/>
  <c r="H1006" i="10"/>
  <c r="H913" i="10"/>
  <c r="H198" i="10"/>
  <c r="H1004" i="10"/>
  <c r="H867" i="10"/>
  <c r="H681" i="10"/>
  <c r="H593" i="10"/>
  <c r="H623" i="10"/>
  <c r="H544" i="10"/>
  <c r="H718" i="10"/>
  <c r="H273" i="10"/>
  <c r="H783" i="10"/>
  <c r="H774" i="10"/>
  <c r="H1068" i="10"/>
  <c r="H338" i="10"/>
  <c r="H703" i="10"/>
  <c r="H920" i="10"/>
  <c r="H443" i="10"/>
  <c r="H303" i="10"/>
  <c r="H547" i="10"/>
  <c r="H384" i="10"/>
  <c r="H565" i="10"/>
  <c r="H755" i="10"/>
  <c r="H751" i="10"/>
  <c r="H876" i="10"/>
  <c r="H618" i="10"/>
  <c r="H779" i="10"/>
  <c r="H739" i="10"/>
  <c r="H646" i="10"/>
  <c r="H971" i="10"/>
  <c r="H576" i="10"/>
  <c r="H397" i="10"/>
  <c r="H850" i="10"/>
  <c r="H1031" i="10"/>
  <c r="H230" i="10"/>
  <c r="H962" i="10"/>
  <c r="H848" i="10"/>
  <c r="H570" i="10"/>
  <c r="H406" i="10"/>
  <c r="H691" i="10"/>
  <c r="H596" i="10"/>
  <c r="H250" i="10"/>
  <c r="H968" i="10"/>
  <c r="H558" i="10"/>
  <c r="H200" i="10"/>
  <c r="H777" i="10"/>
  <c r="H665" i="10"/>
  <c r="H492" i="10"/>
  <c r="H937" i="10"/>
  <c r="H924" i="10"/>
  <c r="H481" i="10"/>
  <c r="H750" i="10"/>
  <c r="H672" i="10"/>
  <c r="H525" i="10"/>
  <c r="H721" i="10"/>
  <c r="H256" i="10"/>
  <c r="H712" i="10"/>
  <c r="H903" i="10"/>
  <c r="H466" i="10"/>
  <c r="H987" i="10"/>
  <c r="H337" i="10"/>
  <c r="H680" i="10"/>
  <c r="H205" i="10"/>
  <c r="H671" i="10"/>
  <c r="H958" i="10"/>
  <c r="H184" i="10"/>
  <c r="H853" i="10"/>
  <c r="H572" i="10"/>
  <c r="H301" i="10"/>
  <c r="H1058" i="10"/>
  <c r="H402" i="10"/>
  <c r="H522" i="10"/>
  <c r="H249" i="10"/>
  <c r="H567" i="10"/>
  <c r="H805" i="10"/>
  <c r="H295" i="10"/>
  <c r="H686" i="10"/>
  <c r="H435" i="10"/>
  <c r="H465" i="10"/>
  <c r="H470" i="10"/>
  <c r="H706" i="10"/>
  <c r="H874" i="10"/>
  <c r="H908" i="10"/>
  <c r="H516" i="10"/>
  <c r="H741" i="10"/>
  <c r="H566" i="10"/>
  <c r="H933" i="10"/>
  <c r="H629" i="10"/>
  <c r="H476" i="10"/>
  <c r="H689" i="10"/>
  <c r="H934" i="10"/>
  <c r="H583" i="10"/>
  <c r="H857" i="10"/>
  <c r="H497" i="10"/>
  <c r="H872" i="10"/>
  <c r="H815" i="10"/>
  <c r="H989" i="10"/>
  <c r="H907" i="10"/>
  <c r="H486" i="10"/>
  <c r="H1059" i="10"/>
  <c r="H733" i="10"/>
  <c r="H246" i="10"/>
  <c r="H954" i="10"/>
  <c r="H509" i="10"/>
  <c r="H380" i="10"/>
  <c r="H678" i="10"/>
  <c r="H332" i="10"/>
  <c r="H571" i="10"/>
  <c r="H963" i="10"/>
  <c r="H604" i="10"/>
  <c r="H761" i="10"/>
  <c r="H403" i="10"/>
  <c r="H283" i="10"/>
  <c r="H1008" i="10"/>
  <c r="H488" i="10"/>
  <c r="H911" i="10"/>
  <c r="H931" i="10"/>
  <c r="H349" i="10"/>
  <c r="H679" i="10"/>
  <c r="H990" i="10"/>
  <c r="H851" i="10"/>
  <c r="H548" i="10"/>
  <c r="H602" i="10"/>
  <c r="H427" i="10"/>
  <c r="H919" i="10"/>
  <c r="H582" i="10"/>
  <c r="H640" i="10"/>
  <c r="H1066" i="10"/>
  <c r="H344" i="10"/>
  <c r="H574" i="10"/>
  <c r="H293" i="10"/>
  <c r="H856" i="10"/>
  <c r="H701" i="10"/>
  <c r="H229" i="10"/>
  <c r="H682" i="10"/>
  <c r="H490" i="10"/>
  <c r="H676" i="10"/>
  <c r="H633" i="10"/>
  <c r="H947" i="10"/>
  <c r="H298" i="10"/>
  <c r="H168" i="10"/>
  <c r="H180" i="10"/>
  <c r="H281" i="10"/>
  <c r="H1019" i="10"/>
  <c r="H1063" i="10"/>
  <c r="H591" i="10"/>
  <c r="H562" i="10"/>
  <c r="H1015" i="10"/>
  <c r="H182" i="10"/>
  <c r="H542" i="10"/>
  <c r="H630" i="10"/>
  <c r="H766" i="10"/>
  <c r="H1038" i="10"/>
  <c r="H587" i="10"/>
  <c r="H943" i="10"/>
  <c r="H444" i="10"/>
  <c r="H797" i="10"/>
  <c r="H285" i="10"/>
  <c r="H323" i="10"/>
  <c r="H770" i="10"/>
  <c r="H213" i="10"/>
  <c r="H731" i="10"/>
  <c r="H716" i="10"/>
  <c r="H339" i="10"/>
  <c r="H489" i="10"/>
  <c r="H659" i="10"/>
  <c r="H552" i="10"/>
  <c r="H209" i="10"/>
  <c r="H885" i="10"/>
  <c r="H722" i="10"/>
  <c r="H765" i="10"/>
  <c r="H1005" i="10"/>
  <c r="H370" i="10"/>
  <c r="H253" i="10"/>
  <c r="H391" i="10"/>
  <c r="H214" i="10"/>
  <c r="H467" i="10"/>
  <c r="H638" i="10"/>
  <c r="H1055" i="10"/>
  <c r="H1071" i="10"/>
  <c r="H916" i="10"/>
  <c r="H590" i="10"/>
  <c r="H1032" i="10"/>
  <c r="H869" i="10"/>
  <c r="H621" i="10"/>
  <c r="H895" i="10"/>
  <c r="H297" i="10"/>
  <c r="H735" i="10"/>
  <c r="H1027" i="10"/>
  <c r="H1020" i="10"/>
  <c r="H677" i="10"/>
  <c r="H1007" i="10"/>
  <c r="H442" i="10"/>
  <c r="H801" i="10"/>
  <c r="H921" i="10"/>
  <c r="H967" i="10"/>
  <c r="H393" i="10"/>
  <c r="H700" i="10"/>
  <c r="H1022" i="10"/>
  <c r="H1011" i="10"/>
  <c r="H615" i="10"/>
  <c r="H299" i="10"/>
  <c r="H711" i="10"/>
  <c r="H626" i="10"/>
  <c r="H807" i="10"/>
  <c r="H577" i="10"/>
  <c r="H404" i="10"/>
  <c r="H745" i="10"/>
  <c r="H451" i="10"/>
  <c r="H743" i="10"/>
  <c r="H575" i="10"/>
  <c r="H647" i="10"/>
  <c r="H845" i="10"/>
  <c r="H342" i="10"/>
  <c r="H455" i="10"/>
  <c r="H863" i="10"/>
  <c r="H858" i="10"/>
  <c r="H723" i="10"/>
  <c r="H541" i="10"/>
  <c r="H865" i="10"/>
  <c r="H910" i="10"/>
  <c r="H233" i="10"/>
  <c r="H568" i="10"/>
  <c r="H257" i="10"/>
  <c r="H197" i="10"/>
  <c r="H1065" i="10"/>
  <c r="H457" i="10"/>
  <c r="H369" i="10"/>
  <c r="H810" i="10"/>
  <c r="H328" i="10"/>
  <c r="H202" i="10"/>
  <c r="N104" i="10"/>
  <c r="N85" i="10"/>
  <c r="N86" i="10"/>
  <c r="N101" i="10"/>
  <c r="N109" i="10"/>
  <c r="N92" i="10"/>
  <c r="N88" i="10"/>
  <c r="N96" i="10"/>
  <c r="N100" i="10"/>
  <c r="N87" i="10"/>
  <c r="N91" i="10"/>
  <c r="N102" i="10"/>
  <c r="N84" i="10"/>
  <c r="N83" i="10"/>
  <c r="N97" i="10"/>
  <c r="N90" i="10"/>
  <c r="N99" i="10"/>
  <c r="N94" i="10"/>
  <c r="N93" i="10"/>
  <c r="N108" i="10"/>
  <c r="N107" i="10"/>
  <c r="N103" i="10"/>
  <c r="N95" i="10"/>
  <c r="N110" i="10"/>
  <c r="N98" i="10"/>
  <c r="N106" i="10"/>
  <c r="N105" i="10"/>
  <c r="N89" i="10"/>
  <c r="H163" i="10"/>
  <c r="H132" i="10"/>
  <c r="H146" i="10"/>
  <c r="H135" i="10"/>
  <c r="H159" i="10"/>
  <c r="H114" i="10"/>
  <c r="H137" i="10"/>
  <c r="H156" i="10"/>
  <c r="H153" i="10"/>
  <c r="H121" i="10"/>
  <c r="H128" i="10"/>
  <c r="H144" i="10"/>
  <c r="H118" i="10"/>
  <c r="H113" i="10"/>
  <c r="H124" i="10"/>
  <c r="H126" i="10"/>
  <c r="H125" i="10"/>
  <c r="H148" i="10"/>
  <c r="H164" i="10"/>
  <c r="H134" i="10"/>
  <c r="H116" i="10"/>
  <c r="H149" i="10"/>
  <c r="H136" i="10"/>
  <c r="H122" i="10"/>
  <c r="H123" i="10"/>
  <c r="H161" i="10"/>
  <c r="H158" i="10"/>
  <c r="H154" i="10"/>
  <c r="H151" i="10"/>
  <c r="H130" i="10"/>
  <c r="H139" i="10"/>
  <c r="H150" i="10"/>
  <c r="H160" i="10"/>
  <c r="H115" i="10"/>
  <c r="H147" i="10"/>
  <c r="H120" i="10"/>
  <c r="H141" i="10"/>
  <c r="H117" i="10"/>
  <c r="H162" i="10"/>
  <c r="H129" i="10"/>
  <c r="H127" i="10"/>
  <c r="H112" i="10"/>
  <c r="H152" i="10"/>
  <c r="H131" i="10"/>
  <c r="H140" i="10"/>
  <c r="H133" i="10"/>
  <c r="H157" i="10"/>
  <c r="H145" i="10"/>
  <c r="H138" i="10"/>
  <c r="H143" i="10"/>
  <c r="H142" i="10"/>
  <c r="H111" i="10"/>
  <c r="H119" i="10"/>
  <c r="H155" i="10"/>
  <c r="H75" i="10"/>
  <c r="H79" i="10"/>
  <c r="H77" i="10"/>
  <c r="H81" i="10"/>
  <c r="H82" i="10"/>
  <c r="H78" i="10"/>
  <c r="H80" i="10"/>
  <c r="H76" i="10"/>
  <c r="F115" i="12"/>
  <c r="J109" i="12"/>
  <c r="K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72" i="12"/>
  <c r="B35" i="12"/>
  <c r="C5" i="12" s="1"/>
  <c r="B6" i="12" s="1"/>
  <c r="B7" i="12" s="1"/>
  <c r="B109" i="12"/>
  <c r="C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C29" i="10" s="1"/>
  <c r="F35" i="12"/>
  <c r="G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J35" i="12"/>
  <c r="K5" i="12" s="1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B115" i="12"/>
  <c r="J145" i="12"/>
  <c r="B145" i="12"/>
  <c r="F109" i="12"/>
  <c r="G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145" i="12"/>
  <c r="J115" i="12"/>
  <c r="N115" i="12"/>
  <c r="N72" i="12"/>
  <c r="O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F17" i="10" s="1"/>
  <c r="N145" i="12"/>
  <c r="N35" i="12"/>
  <c r="O5" i="12" s="1"/>
  <c r="N6" i="12" s="1"/>
  <c r="N7" i="12" s="1"/>
  <c r="N8" i="12" s="1"/>
  <c r="N9" i="12" s="1"/>
  <c r="N10" i="12" s="1"/>
  <c r="F72" i="12"/>
  <c r="G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B72" i="12"/>
  <c r="C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C17" i="10" s="1"/>
  <c r="N109" i="12"/>
  <c r="O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D19" i="9"/>
  <c r="B19" i="9"/>
  <c r="G115" i="12" l="1"/>
  <c r="F116" i="12" s="1"/>
  <c r="F117" i="12" s="1"/>
  <c r="F118" i="12" s="1"/>
  <c r="F119" i="12" s="1"/>
  <c r="F120" i="12" s="1"/>
  <c r="F121" i="12" s="1"/>
  <c r="F122" i="12" s="1"/>
  <c r="F123" i="12" s="1"/>
  <c r="F124" i="12" s="1"/>
  <c r="C115" i="12"/>
  <c r="B116" i="12" s="1"/>
  <c r="B117" i="12" s="1"/>
  <c r="B118" i="12" s="1"/>
  <c r="B119" i="12" s="1"/>
  <c r="B120" i="12" s="1"/>
  <c r="B121" i="12" s="1"/>
  <c r="B122" i="12" s="1"/>
  <c r="B123" i="12" s="1"/>
  <c r="B124" i="12" s="1"/>
  <c r="O115" i="12"/>
  <c r="N116" i="12" s="1"/>
  <c r="N117" i="12" s="1"/>
  <c r="N118" i="12" s="1"/>
  <c r="N119" i="12" s="1"/>
  <c r="N120" i="12" s="1"/>
  <c r="N121" i="12" s="1"/>
  <c r="N122" i="12" s="1"/>
  <c r="N123" i="12" s="1"/>
  <c r="N124" i="12" s="1"/>
  <c r="J306" i="10"/>
  <c r="J345" i="10"/>
  <c r="J450" i="10"/>
  <c r="J1043" i="10"/>
  <c r="J379" i="10"/>
  <c r="J1053" i="10"/>
  <c r="J704" i="10"/>
  <c r="J825" i="10"/>
  <c r="J1010" i="10"/>
  <c r="J199" i="10"/>
  <c r="J534" i="10"/>
  <c r="J599" i="10"/>
  <c r="J598" i="10"/>
  <c r="J555" i="10"/>
  <c r="J892" i="10"/>
  <c r="J862" i="10"/>
  <c r="J861" i="10"/>
  <c r="J495" i="10"/>
  <c r="J334" i="10"/>
  <c r="J530" i="10"/>
  <c r="J829" i="10"/>
  <c r="J242" i="10"/>
  <c r="J870" i="10"/>
  <c r="J1064" i="10"/>
  <c r="J225" i="10"/>
  <c r="J412" i="10"/>
  <c r="J573" i="10"/>
  <c r="J799" i="10"/>
  <c r="J654" i="10"/>
  <c r="J813" i="10"/>
  <c r="J472" i="10"/>
  <c r="J785" i="10"/>
  <c r="J343" i="10"/>
  <c r="J236" i="10"/>
  <c r="J639" i="10"/>
  <c r="J320" i="10"/>
  <c r="J866" i="10"/>
  <c r="J235" i="10"/>
  <c r="J1070" i="10"/>
  <c r="J656" i="10"/>
  <c r="J186" i="10"/>
  <c r="J452" i="10"/>
  <c r="J995" i="10"/>
  <c r="J422" i="10"/>
  <c r="J181" i="10"/>
  <c r="J434" i="10"/>
  <c r="J459" i="10"/>
  <c r="J649" i="10"/>
  <c r="J707" i="10"/>
  <c r="J979" i="10"/>
  <c r="J708" i="10"/>
  <c r="J173" i="10"/>
  <c r="J847" i="10"/>
  <c r="J820" i="10"/>
  <c r="J693" i="10"/>
  <c r="J938" i="10"/>
  <c r="J1000" i="10"/>
  <c r="J454" i="10"/>
  <c r="J625" i="10"/>
  <c r="J935" i="10"/>
  <c r="J803" i="10"/>
  <c r="J1039" i="10"/>
  <c r="J843" i="10"/>
  <c r="J363" i="10"/>
  <c r="J1035" i="10"/>
  <c r="J324" i="10"/>
  <c r="J949" i="10"/>
  <c r="J318" i="10"/>
  <c r="J260" i="10"/>
  <c r="J834" i="10"/>
  <c r="J918" i="10"/>
  <c r="J331" i="10"/>
  <c r="J699" i="10"/>
  <c r="J275" i="10"/>
  <c r="J960" i="10"/>
  <c r="J415" i="10"/>
  <c r="J936" i="10"/>
  <c r="J288" i="10"/>
  <c r="J279" i="10"/>
  <c r="J540" i="10"/>
  <c r="J216" i="10"/>
  <c r="J388" i="10"/>
  <c r="J607" i="10"/>
  <c r="J289" i="10"/>
  <c r="J657" i="10"/>
  <c r="J383" i="10"/>
  <c r="J287" i="10"/>
  <c r="J456" i="10"/>
  <c r="J855" i="10"/>
  <c r="J1067" i="10"/>
  <c r="J264" i="10"/>
  <c r="J464" i="10"/>
  <c r="J1048" i="10"/>
  <c r="J917" i="10"/>
  <c r="J506" i="10"/>
  <c r="J945" i="10"/>
  <c r="J290" i="10"/>
  <c r="J294" i="10"/>
  <c r="J996" i="10"/>
  <c r="J262" i="10"/>
  <c r="J1002" i="10"/>
  <c r="J652" i="10"/>
  <c r="J796" i="10"/>
  <c r="J868" i="10"/>
  <c r="J747" i="10"/>
  <c r="J557" i="10"/>
  <c r="J846" i="10"/>
  <c r="J521" i="10"/>
  <c r="J560" i="10"/>
  <c r="J687" i="10"/>
  <c r="J261" i="10"/>
  <c r="J877" i="10"/>
  <c r="J549" i="10"/>
  <c r="J844" i="10"/>
  <c r="J988" i="10"/>
  <c r="J527" i="10"/>
  <c r="J594" i="10"/>
  <c r="J376" i="10"/>
  <c r="J928" i="10"/>
  <c r="J313" i="10"/>
  <c r="J218" i="10"/>
  <c r="J613" i="10"/>
  <c r="J340" i="10"/>
  <c r="J183" i="10"/>
  <c r="J641" i="10"/>
  <c r="J1044" i="10"/>
  <c r="J818" i="10"/>
  <c r="J237" i="10"/>
  <c r="J946" i="10"/>
  <c r="J914" i="10"/>
  <c r="J389" i="10"/>
  <c r="J448" i="10"/>
  <c r="J959" i="10"/>
  <c r="J539" i="10"/>
  <c r="J1021" i="10"/>
  <c r="J746" i="10"/>
  <c r="J315" i="10"/>
  <c r="J426" i="10"/>
  <c r="J170" i="10"/>
  <c r="J730" i="10"/>
  <c r="J300" i="10"/>
  <c r="J955" i="10"/>
  <c r="J166" i="10"/>
  <c r="J190" i="10"/>
  <c r="J744" i="10"/>
  <c r="J588" i="10"/>
  <c r="J804" i="10"/>
  <c r="J1042" i="10"/>
  <c r="J473" i="10"/>
  <c r="J364" i="10"/>
  <c r="J553" i="10"/>
  <c r="J221" i="10"/>
  <c r="J871" i="10"/>
  <c r="J411" i="10"/>
  <c r="J1036" i="10"/>
  <c r="J905" i="10"/>
  <c r="J357" i="10"/>
  <c r="J592" i="10"/>
  <c r="J400" i="10"/>
  <c r="J227" i="10"/>
  <c r="J185" i="10"/>
  <c r="J445" i="10"/>
  <c r="J201" i="10"/>
  <c r="J431" i="10"/>
  <c r="J771" i="10"/>
  <c r="J886" i="10"/>
  <c r="J1062" i="10"/>
  <c r="J837" i="10"/>
  <c r="J1072" i="10"/>
  <c r="J510" i="10"/>
  <c r="J354" i="10"/>
  <c r="J719" i="10"/>
  <c r="J635" i="10"/>
  <c r="J361" i="10"/>
  <c r="J873" i="10"/>
  <c r="J932" i="10"/>
  <c r="J277" i="10"/>
  <c r="J537" i="10"/>
  <c r="J660" i="10"/>
  <c r="J864" i="10"/>
  <c r="J692" i="10"/>
  <c r="J479" i="10"/>
  <c r="J978" i="10"/>
  <c r="J1028" i="10"/>
  <c r="J528" i="10"/>
  <c r="J786" i="10"/>
  <c r="J930" i="10"/>
  <c r="J417" i="10"/>
  <c r="J194" i="10"/>
  <c r="J348" i="10"/>
  <c r="J191" i="10"/>
  <c r="J314" i="10"/>
  <c r="J419" i="10"/>
  <c r="J736" i="10"/>
  <c r="J1029" i="10"/>
  <c r="J409" i="10"/>
  <c r="J742" i="10"/>
  <c r="J999" i="10"/>
  <c r="J893" i="10"/>
  <c r="J953" i="10"/>
  <c r="J172" i="10"/>
  <c r="J643" i="10"/>
  <c r="J763" i="10"/>
  <c r="J234" i="10"/>
  <c r="J396" i="10"/>
  <c r="J965" i="10"/>
  <c r="J414" i="10"/>
  <c r="J1041" i="10"/>
  <c r="J925" i="10"/>
  <c r="J985" i="10"/>
  <c r="J1050" i="10"/>
  <c r="J270" i="10"/>
  <c r="J421" i="10"/>
  <c r="J675" i="10"/>
  <c r="J585" i="10"/>
  <c r="J939" i="10"/>
  <c r="J948" i="10"/>
  <c r="J296" i="10"/>
  <c r="J631" i="10"/>
  <c r="J764" i="10"/>
  <c r="J756" i="10"/>
  <c r="J904" i="10"/>
  <c r="J781" i="10"/>
  <c r="J254" i="10"/>
  <c r="J346" i="10"/>
  <c r="J241" i="10"/>
  <c r="J440" i="10"/>
  <c r="J651" i="10"/>
  <c r="J335" i="10"/>
  <c r="J666" i="10"/>
  <c r="J727" i="10"/>
  <c r="J311" i="10"/>
  <c r="J511" i="10"/>
  <c r="J698" i="10"/>
  <c r="J478" i="10"/>
  <c r="J529" i="10"/>
  <c r="J248" i="10"/>
  <c r="J715" i="10"/>
  <c r="J617" i="10"/>
  <c r="J1069" i="10"/>
  <c r="J487" i="10"/>
  <c r="J1018" i="10"/>
  <c r="J413" i="10"/>
  <c r="J690" i="10"/>
  <c r="J811" i="10"/>
  <c r="J554" i="10"/>
  <c r="J423" i="10"/>
  <c r="J211" i="10"/>
  <c r="J814" i="10"/>
  <c r="J792" i="10"/>
  <c r="J341" i="10"/>
  <c r="J775" i="10"/>
  <c r="J782" i="10"/>
  <c r="J767" i="10"/>
  <c r="J1049" i="10"/>
  <c r="J670" i="10"/>
  <c r="J447" i="10"/>
  <c r="J683" i="10"/>
  <c r="J399" i="10"/>
  <c r="J179" i="10"/>
  <c r="J609" i="10"/>
  <c r="J878" i="10"/>
  <c r="J854" i="10"/>
  <c r="J350" i="10"/>
  <c r="J265" i="10"/>
  <c r="J694" i="10"/>
  <c r="J836" i="10"/>
  <c r="J800" i="10"/>
  <c r="J808" i="10"/>
  <c r="J175" i="10"/>
  <c r="J603" i="10"/>
  <c r="J266" i="10"/>
  <c r="J508" i="10"/>
  <c r="J875" i="10"/>
  <c r="J458" i="10"/>
  <c r="J439" i="10"/>
  <c r="J597" i="10"/>
  <c r="J887" i="10"/>
  <c r="J644" i="10"/>
  <c r="J1054" i="10"/>
  <c r="J276" i="10"/>
  <c r="J224" i="10"/>
  <c r="J1057" i="10"/>
  <c r="J327" i="10"/>
  <c r="J964" i="10"/>
  <c r="J372" i="10"/>
  <c r="J882" i="10"/>
  <c r="J569" i="10"/>
  <c r="J503" i="10"/>
  <c r="J941" i="10"/>
  <c r="J993" i="10"/>
  <c r="J420" i="10"/>
  <c r="J611" i="10"/>
  <c r="J475" i="10"/>
  <c r="J212" i="10"/>
  <c r="J794" i="10"/>
  <c r="J538" i="10"/>
  <c r="J795" i="10"/>
  <c r="J787" i="10"/>
  <c r="J809" i="10"/>
  <c r="J551" i="10"/>
  <c r="J515" i="10"/>
  <c r="J373" i="10"/>
  <c r="J605" i="10"/>
  <c r="J226" i="10"/>
  <c r="J655" i="10"/>
  <c r="J272" i="10"/>
  <c r="J471" i="10"/>
  <c r="J728" i="10"/>
  <c r="J441" i="10"/>
  <c r="J480" i="10"/>
  <c r="J927" i="10"/>
  <c r="J436" i="10"/>
  <c r="J610" i="10"/>
  <c r="J832" i="10"/>
  <c r="J668" i="10"/>
  <c r="J674" i="10"/>
  <c r="J355" i="10"/>
  <c r="J926" i="10"/>
  <c r="J975" i="10"/>
  <c r="J255" i="10"/>
  <c r="J977" i="10"/>
  <c r="J167" i="10"/>
  <c r="J223" i="10"/>
  <c r="J1047" i="10"/>
  <c r="J806" i="10"/>
  <c r="J658" i="10"/>
  <c r="J474" i="10"/>
  <c r="J325" i="10"/>
  <c r="J274" i="10"/>
  <c r="J382" i="10"/>
  <c r="J217" i="10"/>
  <c r="J519" i="10"/>
  <c r="J922" i="10"/>
  <c r="J1013" i="10"/>
  <c r="J894" i="10"/>
  <c r="J407" i="10"/>
  <c r="J1024" i="10"/>
  <c r="J263" i="10"/>
  <c r="J827" i="10"/>
  <c r="J385" i="10"/>
  <c r="J952" i="10"/>
  <c r="J305" i="10"/>
  <c r="J601" i="10"/>
  <c r="J725" i="10"/>
  <c r="J240" i="10"/>
  <c r="J840" i="10"/>
  <c r="J498" i="10"/>
  <c r="J740" i="10"/>
  <c r="J923" i="10"/>
  <c r="J902" i="10"/>
  <c r="J507" i="10"/>
  <c r="J705" i="10"/>
  <c r="J951" i="10"/>
  <c r="J222" i="10"/>
  <c r="J193" i="10"/>
  <c r="J780" i="10"/>
  <c r="J773" i="10"/>
  <c r="J889" i="10"/>
  <c r="J401" i="10"/>
  <c r="J702" i="10"/>
  <c r="J286" i="10"/>
  <c r="J215" i="10"/>
  <c r="J556" i="10"/>
  <c r="J634" i="10"/>
  <c r="J269" i="10"/>
  <c r="J637" i="10"/>
  <c r="J748" i="10"/>
  <c r="J778" i="10"/>
  <c r="J1060" i="10"/>
  <c r="J433" i="10"/>
  <c r="J817" i="10"/>
  <c r="J428" i="10"/>
  <c r="J446" i="10"/>
  <c r="J974" i="10"/>
  <c r="J1025" i="10"/>
  <c r="J533" i="10"/>
  <c r="J176" i="10"/>
  <c r="J195" i="10"/>
  <c r="J366" i="10"/>
  <c r="J802" i="10"/>
  <c r="J499" i="10"/>
  <c r="J203" i="10"/>
  <c r="J309" i="10"/>
  <c r="J798" i="10"/>
  <c r="J584" i="10"/>
  <c r="J231" i="10"/>
  <c r="J196" i="10"/>
  <c r="J1003" i="10"/>
  <c r="J532" i="10"/>
  <c r="J645" i="10"/>
  <c r="J768" i="10"/>
  <c r="J627" i="10"/>
  <c r="J724" i="10"/>
  <c r="J793" i="10"/>
  <c r="J310" i="10"/>
  <c r="J232" i="10"/>
  <c r="J494" i="10"/>
  <c r="J1045" i="10"/>
  <c r="J1046" i="10"/>
  <c r="J648" i="10"/>
  <c r="J828" i="10"/>
  <c r="J1052" i="10"/>
  <c r="J776" i="10"/>
  <c r="J461" i="10"/>
  <c r="J321" i="10"/>
  <c r="J352" i="10"/>
  <c r="J524" i="10"/>
  <c r="J688" i="10"/>
  <c r="J483" i="10"/>
  <c r="J578" i="10"/>
  <c r="J595" i="10"/>
  <c r="J909" i="10"/>
  <c r="J502" i="10"/>
  <c r="J942" i="10"/>
  <c r="J772" i="10"/>
  <c r="J616" i="10"/>
  <c r="J991" i="10"/>
  <c r="J612" i="10"/>
  <c r="J432" i="10"/>
  <c r="J188" i="10"/>
  <c r="J586" i="10"/>
  <c r="J891" i="10"/>
  <c r="J368" i="10"/>
  <c r="J757" i="10"/>
  <c r="J860" i="10"/>
  <c r="J789" i="10"/>
  <c r="J762" i="10"/>
  <c r="J485" i="10"/>
  <c r="J830" i="10"/>
  <c r="J460" i="10"/>
  <c r="J206" i="10"/>
  <c r="J784" i="10"/>
  <c r="J696" i="10"/>
  <c r="J497" i="10"/>
  <c r="J377" i="10"/>
  <c r="J501" i="10"/>
  <c r="J972" i="10"/>
  <c r="J901" i="10"/>
  <c r="J307" i="10"/>
  <c r="J453" i="10"/>
  <c r="J219" i="10"/>
  <c r="J1026" i="10"/>
  <c r="J239" i="10"/>
  <c r="J713" i="10"/>
  <c r="J984" i="10"/>
  <c r="J614" i="10"/>
  <c r="J606" i="10"/>
  <c r="J628" i="10"/>
  <c r="J244" i="10"/>
  <c r="J268" i="10"/>
  <c r="J429" i="10"/>
  <c r="J790" i="10"/>
  <c r="J580" i="10"/>
  <c r="J395" i="10"/>
  <c r="J371" i="10"/>
  <c r="J424" i="10"/>
  <c r="J872" i="10"/>
  <c r="J636" i="10"/>
  <c r="J491" i="10"/>
  <c r="J514" i="10"/>
  <c r="J338" i="10"/>
  <c r="J513" i="10"/>
  <c r="J754" i="10"/>
  <c r="J174" i="10"/>
  <c r="J842" i="10"/>
  <c r="J405" i="10"/>
  <c r="J912" i="10"/>
  <c r="J726" i="10"/>
  <c r="J518" i="10"/>
  <c r="J957" i="10"/>
  <c r="J526" i="10"/>
  <c r="J192" i="10"/>
  <c r="J841" i="10"/>
  <c r="J330" i="10"/>
  <c r="J758" i="10"/>
  <c r="J650" i="10"/>
  <c r="J308" i="10"/>
  <c r="J966" i="10"/>
  <c r="J243" i="10"/>
  <c r="J697" i="10"/>
  <c r="J896" i="10"/>
  <c r="J1074" i="10"/>
  <c r="J520" i="10"/>
  <c r="J392" i="10"/>
  <c r="J816" i="10"/>
  <c r="J826" i="10"/>
  <c r="J835" i="10"/>
  <c r="J929" i="10"/>
  <c r="J381" i="10"/>
  <c r="J961" i="10"/>
  <c r="J570" i="10"/>
  <c r="J304" i="10"/>
  <c r="J898" i="10"/>
  <c r="J669" i="10"/>
  <c r="J367" i="10"/>
  <c r="J390" i="10"/>
  <c r="J760" i="10"/>
  <c r="J278" i="10"/>
  <c r="J204" i="10"/>
  <c r="J769" i="10"/>
  <c r="J944" i="10"/>
  <c r="J915" i="10"/>
  <c r="J620" i="10"/>
  <c r="J1051" i="10"/>
  <c r="J280" i="10"/>
  <c r="J374" i="10"/>
  <c r="J496" i="10"/>
  <c r="J449" i="10"/>
  <c r="J477" i="10"/>
  <c r="J504" i="10"/>
  <c r="J884" i="10"/>
  <c r="J1016" i="10"/>
  <c r="J316" i="10"/>
  <c r="J968" i="10"/>
  <c r="J165" i="10"/>
  <c r="J258" i="10"/>
  <c r="J360" i="10"/>
  <c r="J398" i="10"/>
  <c r="J387" i="10"/>
  <c r="J358" i="10"/>
  <c r="J994" i="10"/>
  <c r="J1037" i="10"/>
  <c r="J624" i="10"/>
  <c r="J178" i="10"/>
  <c r="J720" i="10"/>
  <c r="J353" i="10"/>
  <c r="J663" i="10"/>
  <c r="J302" i="10"/>
  <c r="J416" i="10"/>
  <c r="J897" i="10"/>
  <c r="J410" i="10"/>
  <c r="J493" i="10"/>
  <c r="J899" i="10"/>
  <c r="J998" i="10"/>
  <c r="J462" i="10"/>
  <c r="J284" i="10"/>
  <c r="J879" i="10"/>
  <c r="J709" i="10"/>
  <c r="J386" i="10"/>
  <c r="J986" i="10"/>
  <c r="J608" i="10"/>
  <c r="J312" i="10"/>
  <c r="J739" i="10"/>
  <c r="J200" i="10"/>
  <c r="J662" i="10"/>
  <c r="J980" i="10"/>
  <c r="J169" i="10"/>
  <c r="J667" i="10"/>
  <c r="J685" i="10"/>
  <c r="J838" i="10"/>
  <c r="J992" i="10"/>
  <c r="J881" i="10"/>
  <c r="J956" i="10"/>
  <c r="J581" i="10"/>
  <c r="J791" i="10"/>
  <c r="J632" i="10"/>
  <c r="J187" i="10"/>
  <c r="J819" i="10"/>
  <c r="J347" i="10"/>
  <c r="J228" i="10"/>
  <c r="J271" i="10"/>
  <c r="J717" i="10"/>
  <c r="J247" i="10"/>
  <c r="J512" i="10"/>
  <c r="J734" i="10"/>
  <c r="J973" i="10"/>
  <c r="J561" i="10"/>
  <c r="J291" i="10"/>
  <c r="J482" i="10"/>
  <c r="J890" i="10"/>
  <c r="J282" i="10"/>
  <c r="J375" i="10"/>
  <c r="J950" i="10"/>
  <c r="J564" i="10"/>
  <c r="J653" i="10"/>
  <c r="J259" i="10"/>
  <c r="J1033" i="10"/>
  <c r="J546" i="10"/>
  <c r="J1012" i="10"/>
  <c r="J1009" i="10"/>
  <c r="J351" i="10"/>
  <c r="J812" i="10"/>
  <c r="J292" i="10"/>
  <c r="J329" i="10"/>
  <c r="J438" i="10"/>
  <c r="J336" i="10"/>
  <c r="J703" i="10"/>
  <c r="J920" i="10"/>
  <c r="J430" i="10"/>
  <c r="J544" i="10"/>
  <c r="J468" i="10"/>
  <c r="J251" i="10"/>
  <c r="J661" i="10"/>
  <c r="J220" i="10"/>
  <c r="J737" i="10"/>
  <c r="J859" i="10"/>
  <c r="J906" i="10"/>
  <c r="J982" i="10"/>
  <c r="J207" i="10"/>
  <c r="J558" i="10"/>
  <c r="J252" i="10"/>
  <c r="J777" i="10"/>
  <c r="J665" i="10"/>
  <c r="J492" i="10"/>
  <c r="J937" i="10"/>
  <c r="J924" i="10"/>
  <c r="J481" i="10"/>
  <c r="J750" i="10"/>
  <c r="J672" i="10"/>
  <c r="J525" i="10"/>
  <c r="J721" i="10"/>
  <c r="J256" i="10"/>
  <c r="J883" i="10"/>
  <c r="J1040" i="10"/>
  <c r="J469" i="10"/>
  <c r="J213" i="10"/>
  <c r="J947" i="10"/>
  <c r="J1008" i="10"/>
  <c r="J249" i="10"/>
  <c r="J987" i="10"/>
  <c r="J486" i="10"/>
  <c r="J168" i="10"/>
  <c r="J680" i="10"/>
  <c r="J958" i="10"/>
  <c r="J853" i="10"/>
  <c r="J1030" i="10"/>
  <c r="J981" i="10"/>
  <c r="J849" i="10"/>
  <c r="J822" i="10"/>
  <c r="J1073" i="10"/>
  <c r="J970" i="10"/>
  <c r="J362" i="10"/>
  <c r="J833" i="10"/>
  <c r="J1001" i="10"/>
  <c r="J823" i="10"/>
  <c r="J664" i="10"/>
  <c r="J171" i="10"/>
  <c r="J759" i="10"/>
  <c r="J408" i="10"/>
  <c r="J563" i="10"/>
  <c r="J467" i="10"/>
  <c r="J322" i="10"/>
  <c r="J359" i="10"/>
  <c r="J983" i="10"/>
  <c r="J356" i="10"/>
  <c r="J378" i="10"/>
  <c r="J437" i="10"/>
  <c r="J238" i="10"/>
  <c r="J622" i="10"/>
  <c r="J463" i="10"/>
  <c r="J714" i="10"/>
  <c r="J550" i="10"/>
  <c r="J500" i="10"/>
  <c r="J732" i="10"/>
  <c r="J673" i="10"/>
  <c r="J824" i="10"/>
  <c r="J940" i="10"/>
  <c r="J535" i="10"/>
  <c r="J267" i="10"/>
  <c r="J517" i="10"/>
  <c r="J642" i="10"/>
  <c r="J317" i="10"/>
  <c r="J997" i="10"/>
  <c r="J543" i="10"/>
  <c r="J1023" i="10"/>
  <c r="J365" i="10"/>
  <c r="J418" i="10"/>
  <c r="J880" i="10"/>
  <c r="J752" i="10"/>
  <c r="J333" i="10"/>
  <c r="J738" i="10"/>
  <c r="J208" i="10"/>
  <c r="J1034" i="10"/>
  <c r="J567" i="10"/>
  <c r="J571" i="10"/>
  <c r="J457" i="10"/>
  <c r="J640" i="10"/>
  <c r="J1066" i="10"/>
  <c r="J344" i="10"/>
  <c r="J295" i="10"/>
  <c r="J1017" i="10"/>
  <c r="J695" i="10"/>
  <c r="J831" i="10"/>
  <c r="J1014" i="10"/>
  <c r="J749" i="10"/>
  <c r="J484" i="10"/>
  <c r="J852" i="10"/>
  <c r="J319" i="10"/>
  <c r="J888" i="10"/>
  <c r="J1056" i="10"/>
  <c r="J729" i="10"/>
  <c r="J425" i="10"/>
  <c r="J531" i="10"/>
  <c r="J867" i="10"/>
  <c r="J681" i="10"/>
  <c r="J684" i="10"/>
  <c r="J505" i="10"/>
  <c r="J900" i="10"/>
  <c r="J1061" i="10"/>
  <c r="J545" i="10"/>
  <c r="J245" i="10"/>
  <c r="J839" i="10"/>
  <c r="J788" i="10"/>
  <c r="J1006" i="10"/>
  <c r="J913" i="10"/>
  <c r="J198" i="10"/>
  <c r="J210" i="10"/>
  <c r="J619" i="10"/>
  <c r="J593" i="10"/>
  <c r="J623" i="10"/>
  <c r="J718" i="10"/>
  <c r="J273" i="10"/>
  <c r="J783" i="10"/>
  <c r="J774" i="10"/>
  <c r="J1068" i="10"/>
  <c r="J1022" i="10"/>
  <c r="J805" i="10"/>
  <c r="J579" i="10"/>
  <c r="J971" i="10"/>
  <c r="J443" i="10"/>
  <c r="J303" i="10"/>
  <c r="J547" i="10"/>
  <c r="J646" i="10"/>
  <c r="J576" i="10"/>
  <c r="J397" i="10"/>
  <c r="J850" i="10"/>
  <c r="J1031" i="10"/>
  <c r="J230" i="10"/>
  <c r="J962" i="10"/>
  <c r="J848" i="10"/>
  <c r="J337" i="10"/>
  <c r="J205" i="10"/>
  <c r="J671" i="10"/>
  <c r="J184" i="10"/>
  <c r="J488" i="10"/>
  <c r="J562" i="10"/>
  <c r="J596" i="10"/>
  <c r="J559" i="10"/>
  <c r="J523" i="10"/>
  <c r="J589" i="10"/>
  <c r="J711" i="10"/>
  <c r="J716" i="10"/>
  <c r="J339" i="10"/>
  <c r="J489" i="10"/>
  <c r="J659" i="10"/>
  <c r="J552" i="10"/>
  <c r="J710" i="10"/>
  <c r="J565" i="10"/>
  <c r="J466" i="10"/>
  <c r="J615" i="10"/>
  <c r="J765" i="10"/>
  <c r="J807" i="10"/>
  <c r="J916" i="10"/>
  <c r="J577" i="10"/>
  <c r="J590" i="10"/>
  <c r="J369" i="10"/>
  <c r="J253" i="10"/>
  <c r="J691" i="10"/>
  <c r="J572" i="10"/>
  <c r="J301" i="10"/>
  <c r="J1058" i="10"/>
  <c r="J402" i="10"/>
  <c r="J522" i="10"/>
  <c r="J404" i="10"/>
  <c r="J1005" i="10"/>
  <c r="J189" i="10"/>
  <c r="J821" i="10"/>
  <c r="J753" i="10"/>
  <c r="J686" i="10"/>
  <c r="J600" i="10"/>
  <c r="J815" i="10"/>
  <c r="J755" i="10"/>
  <c r="J326" i="10"/>
  <c r="J566" i="10"/>
  <c r="J933" i="10"/>
  <c r="J629" i="10"/>
  <c r="J476" i="10"/>
  <c r="J689" i="10"/>
  <c r="J934" i="10"/>
  <c r="J583" i="10"/>
  <c r="J384" i="10"/>
  <c r="J907" i="10"/>
  <c r="J1059" i="10"/>
  <c r="J733" i="10"/>
  <c r="J989" i="10"/>
  <c r="J723" i="10"/>
  <c r="J621" i="10"/>
  <c r="J541" i="10"/>
  <c r="J895" i="10"/>
  <c r="J638" i="10"/>
  <c r="J406" i="10"/>
  <c r="J969" i="10"/>
  <c r="J246" i="10"/>
  <c r="J954" i="10"/>
  <c r="J509" i="10"/>
  <c r="J380" i="10"/>
  <c r="J678" i="10"/>
  <c r="J332" i="10"/>
  <c r="J700" i="10"/>
  <c r="J677" i="10"/>
  <c r="J202" i="10"/>
  <c r="J976" i="10"/>
  <c r="J876" i="10"/>
  <c r="J618" i="10"/>
  <c r="J779" i="10"/>
  <c r="J911" i="10"/>
  <c r="J712" i="10"/>
  <c r="J963" i="10"/>
  <c r="J604" i="10"/>
  <c r="J761" i="10"/>
  <c r="J394" i="10"/>
  <c r="J536" i="10"/>
  <c r="J751" i="10"/>
  <c r="J931" i="10"/>
  <c r="J349" i="10"/>
  <c r="J679" i="10"/>
  <c r="J990" i="10"/>
  <c r="J851" i="10"/>
  <c r="J548" i="10"/>
  <c r="J602" i="10"/>
  <c r="J427" i="10"/>
  <c r="J919" i="10"/>
  <c r="J582" i="10"/>
  <c r="J250" i="10"/>
  <c r="J858" i="10"/>
  <c r="J863" i="10"/>
  <c r="J743" i="10"/>
  <c r="J299" i="10"/>
  <c r="J1011" i="10"/>
  <c r="J801" i="10"/>
  <c r="J1032" i="10"/>
  <c r="J1004" i="10"/>
  <c r="J180" i="10"/>
  <c r="J281" i="10"/>
  <c r="J1019" i="10"/>
  <c r="J1063" i="10"/>
  <c r="J591" i="10"/>
  <c r="J182" i="10"/>
  <c r="J542" i="10"/>
  <c r="J630" i="10"/>
  <c r="J766" i="10"/>
  <c r="J1038" i="10"/>
  <c r="J587" i="10"/>
  <c r="J943" i="10"/>
  <c r="J444" i="10"/>
  <c r="J797" i="10"/>
  <c r="J285" i="10"/>
  <c r="J490" i="10"/>
  <c r="J810" i="10"/>
  <c r="J633" i="10"/>
  <c r="J328" i="10"/>
  <c r="J403" i="10"/>
  <c r="J908" i="10"/>
  <c r="J283" i="10"/>
  <c r="J298" i="10"/>
  <c r="J574" i="10"/>
  <c r="J741" i="10"/>
  <c r="J370" i="10"/>
  <c r="J845" i="10"/>
  <c r="J451" i="10"/>
  <c r="J177" i="10"/>
  <c r="J701" i="10"/>
  <c r="J869" i="10"/>
  <c r="J214" i="10"/>
  <c r="J1055" i="10"/>
  <c r="J1071" i="10"/>
  <c r="J874" i="10"/>
  <c r="J229" i="10"/>
  <c r="J465" i="10"/>
  <c r="J706" i="10"/>
  <c r="J921" i="10"/>
  <c r="J209" i="10"/>
  <c r="J391" i="10"/>
  <c r="J967" i="10"/>
  <c r="J393" i="10"/>
  <c r="J323" i="10"/>
  <c r="J297" i="10"/>
  <c r="J735" i="10"/>
  <c r="J1027" i="10"/>
  <c r="J1020" i="10"/>
  <c r="J1015" i="10"/>
  <c r="J856" i="10"/>
  <c r="J682" i="10"/>
  <c r="J626" i="10"/>
  <c r="J676" i="10"/>
  <c r="J745" i="10"/>
  <c r="J857" i="10"/>
  <c r="J293" i="10"/>
  <c r="J575" i="10"/>
  <c r="J647" i="10"/>
  <c r="J885" i="10"/>
  <c r="J722" i="10"/>
  <c r="J1007" i="10"/>
  <c r="J770" i="10"/>
  <c r="J342" i="10"/>
  <c r="J455" i="10"/>
  <c r="J568" i="10"/>
  <c r="J257" i="10"/>
  <c r="J197" i="10"/>
  <c r="J1065" i="10"/>
  <c r="J865" i="10"/>
  <c r="J516" i="10"/>
  <c r="J910" i="10"/>
  <c r="J233" i="10"/>
  <c r="J442" i="10"/>
  <c r="J435" i="10"/>
  <c r="J731" i="10"/>
  <c r="J903" i="10"/>
  <c r="J470" i="10"/>
  <c r="K75" i="10"/>
  <c r="K76" i="10"/>
  <c r="K115" i="12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B53" i="12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E29" i="10"/>
  <c r="N53" i="12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F29" i="10"/>
  <c r="D17" i="10"/>
  <c r="N125" i="12"/>
  <c r="F30" i="10" s="1"/>
  <c r="B125" i="12"/>
  <c r="C30" i="10" s="1"/>
  <c r="F125" i="12"/>
  <c r="D30" i="10" s="1"/>
  <c r="B90" i="12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F90" i="12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D29" i="10"/>
  <c r="F70" i="12"/>
  <c r="F71" i="12" s="1"/>
  <c r="N11" i="12"/>
  <c r="N12" i="12" s="1"/>
  <c r="N13" i="12" s="1"/>
  <c r="N14" i="12" s="1"/>
  <c r="N15" i="12" s="1"/>
  <c r="E16" i="10"/>
  <c r="D16" i="10"/>
  <c r="C19" i="9"/>
  <c r="I6" i="11"/>
  <c r="H6" i="11"/>
  <c r="G6" i="11"/>
  <c r="F6" i="11"/>
  <c r="H4" i="11"/>
  <c r="G4" i="11"/>
  <c r="F4" i="11"/>
  <c r="I4" i="11"/>
  <c r="F5" i="11"/>
  <c r="G5" i="11"/>
  <c r="H5" i="11"/>
  <c r="I5" i="11"/>
  <c r="F7" i="11"/>
  <c r="G7" i="11"/>
  <c r="H7" i="11"/>
  <c r="I7" i="11"/>
  <c r="F8" i="11"/>
  <c r="G8" i="11"/>
  <c r="H8" i="11"/>
  <c r="I8" i="11"/>
  <c r="G3" i="11"/>
  <c r="H3" i="11"/>
  <c r="I3" i="11"/>
  <c r="F3" i="11"/>
  <c r="T8" i="1"/>
  <c r="T7" i="1"/>
  <c r="T6" i="1"/>
  <c r="D4" i="9"/>
  <c r="F11" i="10"/>
  <c r="E11" i="10"/>
  <c r="D11" i="10"/>
  <c r="C11" i="10"/>
  <c r="B11" i="10"/>
  <c r="D6" i="10"/>
  <c r="C6" i="10"/>
  <c r="F4" i="10"/>
  <c r="E4" i="10"/>
  <c r="D4" i="10"/>
  <c r="C4" i="10"/>
  <c r="B4" i="10"/>
  <c r="D3" i="9"/>
  <c r="B3" i="9"/>
  <c r="D24" i="9"/>
  <c r="D23" i="9"/>
  <c r="D22" i="9"/>
  <c r="D21" i="9"/>
  <c r="D20" i="9"/>
  <c r="B24" i="9"/>
  <c r="C24" i="9" s="1"/>
  <c r="B23" i="9"/>
  <c r="C23" i="9" s="1"/>
  <c r="B21" i="9"/>
  <c r="B20" i="9"/>
  <c r="D8" i="9"/>
  <c r="D7" i="9"/>
  <c r="C7" i="9" s="1"/>
  <c r="D6" i="9"/>
  <c r="D5" i="9"/>
  <c r="B8" i="9"/>
  <c r="B7" i="9"/>
  <c r="B6" i="9"/>
  <c r="B5" i="9"/>
  <c r="B4" i="9"/>
  <c r="BZ36" i="1"/>
  <c r="BY36" i="1"/>
  <c r="BU8" i="1" s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X36" i="1"/>
  <c r="BW36" i="1"/>
  <c r="BR36" i="1"/>
  <c r="BQ36" i="1"/>
  <c r="BP36" i="1"/>
  <c r="BO36" i="1"/>
  <c r="BJ36" i="1"/>
  <c r="BI36" i="1"/>
  <c r="BH36" i="1"/>
  <c r="BG36" i="1"/>
  <c r="BA36" i="1"/>
  <c r="AZ36" i="1"/>
  <c r="AT36" i="1"/>
  <c r="AS36" i="1"/>
  <c r="AR36" i="1"/>
  <c r="AQ36" i="1"/>
  <c r="AK36" i="1"/>
  <c r="AJ36" i="1"/>
  <c r="AI36" i="1"/>
  <c r="BO6" i="1"/>
  <c r="AR6" i="1"/>
  <c r="AQ6" i="1"/>
  <c r="AK6" i="1"/>
  <c r="BP6" i="1"/>
  <c r="BG6" i="1"/>
  <c r="BZ6" i="1"/>
  <c r="BY6" i="1"/>
  <c r="BX6" i="1"/>
  <c r="BW6" i="1"/>
  <c r="BR6" i="1"/>
  <c r="BM9" i="1" s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R32" i="1" s="1"/>
  <c r="BR33" i="1" s="1"/>
  <c r="BR34" i="1" s="1"/>
  <c r="BR35" i="1" s="1"/>
  <c r="BQ6" i="1"/>
  <c r="BA6" i="1"/>
  <c r="AZ6" i="1"/>
  <c r="AY6" i="1"/>
  <c r="AT6" i="1"/>
  <c r="AS6" i="1"/>
  <c r="AJ6" i="1"/>
  <c r="AI6" i="1"/>
  <c r="BJ6" i="1"/>
  <c r="BI6" i="1"/>
  <c r="BH6" i="1"/>
  <c r="BB6" i="1"/>
  <c r="BZ4" i="1"/>
  <c r="BY4" i="1"/>
  <c r="BX4" i="1"/>
  <c r="BW4" i="1"/>
  <c r="BR4" i="1"/>
  <c r="BQ4" i="1"/>
  <c r="BP4" i="1"/>
  <c r="BO4" i="1"/>
  <c r="BJ4" i="1"/>
  <c r="BI4" i="1"/>
  <c r="BH4" i="1"/>
  <c r="BG4" i="1"/>
  <c r="BB4" i="1"/>
  <c r="BA4" i="1"/>
  <c r="AZ4" i="1"/>
  <c r="AY4" i="1"/>
  <c r="AT4" i="1"/>
  <c r="AS4" i="1"/>
  <c r="AR4" i="1"/>
  <c r="AQ4" i="1"/>
  <c r="AH4" i="1"/>
  <c r="AK4" i="1"/>
  <c r="AJ4" i="1"/>
  <c r="AI4" i="1"/>
  <c r="BB36" i="1"/>
  <c r="AY36" i="1"/>
  <c r="AW6" i="1" s="1"/>
  <c r="K321" i="10" l="1"/>
  <c r="K283" i="10"/>
  <c r="K345" i="10"/>
  <c r="K1051" i="10"/>
  <c r="K559" i="10"/>
  <c r="K714" i="10"/>
  <c r="K677" i="10"/>
  <c r="K435" i="10"/>
  <c r="K853" i="10"/>
  <c r="K243" i="10"/>
  <c r="K175" i="10"/>
  <c r="K972" i="10"/>
  <c r="K368" i="10"/>
  <c r="K931" i="10"/>
  <c r="K253" i="10"/>
  <c r="K958" i="10"/>
  <c r="K966" i="10"/>
  <c r="K965" i="10"/>
  <c r="K635" i="10"/>
  <c r="K738" i="10"/>
  <c r="K1007" i="10"/>
  <c r="K640" i="10"/>
  <c r="K721" i="10"/>
  <c r="K452" i="10"/>
  <c r="K688" i="10"/>
  <c r="K571" i="10"/>
  <c r="K369" i="10"/>
  <c r="K256" i="10"/>
  <c r="K713" i="10"/>
  <c r="K344" i="10"/>
  <c r="K590" i="10"/>
  <c r="K991" i="10"/>
  <c r="K646" i="10"/>
  <c r="K1006" i="10"/>
  <c r="K593" i="10"/>
  <c r="K556" i="10"/>
  <c r="K657" i="10"/>
  <c r="K402" i="10"/>
  <c r="K591" i="10"/>
  <c r="K513" i="10"/>
  <c r="K461" i="10"/>
  <c r="K411" i="10"/>
  <c r="K587" i="10"/>
  <c r="K918" i="10"/>
  <c r="K316" i="10"/>
  <c r="K776" i="10"/>
  <c r="K945" i="10"/>
  <c r="K989" i="10"/>
  <c r="K229" i="10"/>
  <c r="K839" i="10"/>
  <c r="K835" i="10"/>
  <c r="K975" i="10"/>
  <c r="K515" i="10"/>
  <c r="K701" i="10"/>
  <c r="K976" i="10"/>
  <c r="K535" i="10"/>
  <c r="K768" i="10"/>
  <c r="E30" i="10"/>
  <c r="L77" i="10" s="1"/>
  <c r="K563" i="10"/>
  <c r="K706" i="10"/>
  <c r="K443" i="10"/>
  <c r="K1001" i="10"/>
  <c r="K526" i="10"/>
  <c r="K695" i="10"/>
  <c r="K460" i="10"/>
  <c r="K507" i="10"/>
  <c r="K1050" i="10"/>
  <c r="K190" i="10"/>
  <c r="K230" i="10"/>
  <c r="K470" i="10"/>
  <c r="K971" i="10"/>
  <c r="K833" i="10"/>
  <c r="K252" i="10"/>
  <c r="K709" i="10"/>
  <c r="K830" i="10"/>
  <c r="K926" i="10"/>
  <c r="K1028" i="10"/>
  <c r="K936" i="10"/>
  <c r="K863" i="10"/>
  <c r="K910" i="10"/>
  <c r="K205" i="10"/>
  <c r="K208" i="10"/>
  <c r="K259" i="10"/>
  <c r="K410" i="10"/>
  <c r="K791" i="10"/>
  <c r="K627" i="10"/>
  <c r="K658" i="10"/>
  <c r="K537" i="10"/>
  <c r="K820" i="10"/>
  <c r="K207" i="10"/>
  <c r="K358" i="10"/>
  <c r="K468" i="10"/>
  <c r="K702" i="10"/>
  <c r="K806" i="10"/>
  <c r="K1054" i="10"/>
  <c r="K320" i="10"/>
  <c r="K299" i="10"/>
  <c r="K380" i="10"/>
  <c r="K339" i="10"/>
  <c r="K589" i="10"/>
  <c r="K691" i="10"/>
  <c r="K500" i="10"/>
  <c r="K737" i="10"/>
  <c r="K499" i="10"/>
  <c r="K487" i="10"/>
  <c r="K172" i="10"/>
  <c r="K242" i="10"/>
  <c r="K1066" i="10"/>
  <c r="K509" i="10"/>
  <c r="K716" i="10"/>
  <c r="K523" i="10"/>
  <c r="K394" i="10"/>
  <c r="K760" i="10"/>
  <c r="K819" i="10"/>
  <c r="K802" i="10"/>
  <c r="K809" i="10"/>
  <c r="K871" i="10"/>
  <c r="K199" i="10"/>
  <c r="K576" i="10"/>
  <c r="K550" i="10"/>
  <c r="K623" i="10"/>
  <c r="K280" i="10"/>
  <c r="K984" i="10"/>
  <c r="K269" i="10"/>
  <c r="K617" i="10"/>
  <c r="K730" i="10"/>
  <c r="K553" i="10"/>
  <c r="K286" i="10"/>
  <c r="K878" i="10"/>
  <c r="K948" i="10"/>
  <c r="J79" i="10"/>
  <c r="J77" i="10"/>
  <c r="J82" i="10"/>
  <c r="J81" i="10"/>
  <c r="J75" i="10"/>
  <c r="J78" i="10"/>
  <c r="J80" i="10"/>
  <c r="J76" i="10"/>
  <c r="K182" i="10"/>
  <c r="K903" i="10"/>
  <c r="K711" i="10"/>
  <c r="K177" i="10"/>
  <c r="K491" i="10"/>
  <c r="K524" i="10"/>
  <c r="K366" i="10"/>
  <c r="K354" i="10"/>
  <c r="K234" i="10"/>
  <c r="K419" i="10"/>
  <c r="K236" i="10"/>
  <c r="K851" i="10"/>
  <c r="K678" i="10"/>
  <c r="K467" i="10"/>
  <c r="K615" i="10"/>
  <c r="K544" i="10"/>
  <c r="K356" i="10"/>
  <c r="K425" i="10"/>
  <c r="K504" i="10"/>
  <c r="K580" i="10"/>
  <c r="K494" i="10"/>
  <c r="K887" i="10"/>
  <c r="K865" i="10"/>
  <c r="K990" i="10"/>
  <c r="K171" i="10"/>
  <c r="L1000" i="10"/>
  <c r="L918" i="10"/>
  <c r="L454" i="10"/>
  <c r="L331" i="10"/>
  <c r="L847" i="10"/>
  <c r="L708" i="10"/>
  <c r="L1002" i="10"/>
  <c r="L803" i="10"/>
  <c r="L553" i="10"/>
  <c r="L1039" i="10"/>
  <c r="L699" i="10"/>
  <c r="L306" i="10"/>
  <c r="L345" i="10"/>
  <c r="L450" i="10"/>
  <c r="L1043" i="10"/>
  <c r="L704" i="10"/>
  <c r="L825" i="10"/>
  <c r="L1010" i="10"/>
  <c r="L199" i="10"/>
  <c r="L599" i="10"/>
  <c r="L598" i="10"/>
  <c r="L555" i="10"/>
  <c r="L892" i="10"/>
  <c r="L652" i="10"/>
  <c r="L862" i="10"/>
  <c r="L861" i="10"/>
  <c r="L495" i="10"/>
  <c r="L625" i="10"/>
  <c r="L334" i="10"/>
  <c r="L530" i="10"/>
  <c r="L829" i="10"/>
  <c r="L242" i="10"/>
  <c r="L870" i="10"/>
  <c r="L1064" i="10"/>
  <c r="L225" i="10"/>
  <c r="L412" i="10"/>
  <c r="L654" i="10"/>
  <c r="L813" i="10"/>
  <c r="L472" i="10"/>
  <c r="L785" i="10"/>
  <c r="L343" i="10"/>
  <c r="L928" i="10"/>
  <c r="L288" i="10"/>
  <c r="L181" i="10"/>
  <c r="L166" i="10"/>
  <c r="L1053" i="10"/>
  <c r="L960" i="10"/>
  <c r="L415" i="10"/>
  <c r="L936" i="10"/>
  <c r="L279" i="10"/>
  <c r="L540" i="10"/>
  <c r="L216" i="10"/>
  <c r="L388" i="10"/>
  <c r="L573" i="10"/>
  <c r="L534" i="10"/>
  <c r="L236" i="10"/>
  <c r="L320" i="10"/>
  <c r="L173" i="10"/>
  <c r="L866" i="10"/>
  <c r="L1072" i="10"/>
  <c r="L820" i="10"/>
  <c r="L693" i="10"/>
  <c r="L938" i="10"/>
  <c r="L935" i="10"/>
  <c r="L843" i="10"/>
  <c r="L379" i="10"/>
  <c r="L799" i="10"/>
  <c r="L265" i="10"/>
  <c r="L744" i="10"/>
  <c r="L506" i="10"/>
  <c r="L235" i="10"/>
  <c r="L818" i="10"/>
  <c r="L445" i="10"/>
  <c r="L183" i="10"/>
  <c r="L456" i="10"/>
  <c r="L1044" i="10"/>
  <c r="L237" i="10"/>
  <c r="L995" i="10"/>
  <c r="L707" i="10"/>
  <c r="L946" i="10"/>
  <c r="L641" i="10"/>
  <c r="L409" i="10"/>
  <c r="L361" i="10"/>
  <c r="L607" i="10"/>
  <c r="L649" i="10"/>
  <c r="L914" i="10"/>
  <c r="L448" i="10"/>
  <c r="L315" i="10"/>
  <c r="L275" i="10"/>
  <c r="L287" i="10"/>
  <c r="L289" i="10"/>
  <c r="L657" i="10"/>
  <c r="L639" i="10"/>
  <c r="L1070" i="10"/>
  <c r="L917" i="10"/>
  <c r="L318" i="10"/>
  <c r="L945" i="10"/>
  <c r="L834" i="10"/>
  <c r="L855" i="10"/>
  <c r="L1067" i="10"/>
  <c r="L264" i="10"/>
  <c r="L464" i="10"/>
  <c r="L1048" i="10"/>
  <c r="L1035" i="10"/>
  <c r="L796" i="10"/>
  <c r="L868" i="10"/>
  <c r="L452" i="10"/>
  <c r="L459" i="10"/>
  <c r="L747" i="10"/>
  <c r="L290" i="10"/>
  <c r="L294" i="10"/>
  <c r="L260" i="10"/>
  <c r="L557" i="10"/>
  <c r="L846" i="10"/>
  <c r="L656" i="10"/>
  <c r="L844" i="10"/>
  <c r="L949" i="10"/>
  <c r="L528" i="10"/>
  <c r="L613" i="10"/>
  <c r="L324" i="10"/>
  <c r="L434" i="10"/>
  <c r="L340" i="10"/>
  <c r="L221" i="10"/>
  <c r="L190" i="10"/>
  <c r="L510" i="10"/>
  <c r="L993" i="10"/>
  <c r="L764" i="10"/>
  <c r="L186" i="10"/>
  <c r="L313" i="10"/>
  <c r="L261" i="10"/>
  <c r="L314" i="10"/>
  <c r="L194" i="10"/>
  <c r="L873" i="10"/>
  <c r="L348" i="10"/>
  <c r="L1054" i="10"/>
  <c r="L422" i="10"/>
  <c r="L560" i="10"/>
  <c r="L419" i="10"/>
  <c r="L904" i="10"/>
  <c r="L426" i="10"/>
  <c r="L948" i="10"/>
  <c r="L736" i="10"/>
  <c r="L932" i="10"/>
  <c r="L930" i="10"/>
  <c r="L631" i="10"/>
  <c r="L414" i="10"/>
  <c r="L413" i="10"/>
  <c r="L218" i="10"/>
  <c r="L363" i="10"/>
  <c r="L389" i="10"/>
  <c r="L521" i="10"/>
  <c r="L687" i="10"/>
  <c r="L588" i="10"/>
  <c r="L979" i="10"/>
  <c r="L527" i="10"/>
  <c r="L262" i="10"/>
  <c r="L953" i="10"/>
  <c r="L1029" i="10"/>
  <c r="L479" i="10"/>
  <c r="L276" i="10"/>
  <c r="L594" i="10"/>
  <c r="L411" i="10"/>
  <c r="L871" i="10"/>
  <c r="L357" i="10"/>
  <c r="L201" i="10"/>
  <c r="L877" i="10"/>
  <c r="L1036" i="10"/>
  <c r="L905" i="10"/>
  <c r="L592" i="10"/>
  <c r="L376" i="10"/>
  <c r="L996" i="10"/>
  <c r="L431" i="10"/>
  <c r="L771" i="10"/>
  <c r="L172" i="10"/>
  <c r="L211" i="10"/>
  <c r="L939" i="10"/>
  <c r="L1062" i="10"/>
  <c r="L1021" i="10"/>
  <c r="L296" i="10"/>
  <c r="L480" i="10"/>
  <c r="L836" i="10"/>
  <c r="L364" i="10"/>
  <c r="L529" i="10"/>
  <c r="L254" i="10"/>
  <c r="L795" i="10"/>
  <c r="L423" i="10"/>
  <c r="L756" i="10"/>
  <c r="L383" i="10"/>
  <c r="L400" i="10"/>
  <c r="L778" i="10"/>
  <c r="L694" i="10"/>
  <c r="L800" i="10"/>
  <c r="L882" i="10"/>
  <c r="L719" i="10"/>
  <c r="L730" i="10"/>
  <c r="L837" i="10"/>
  <c r="L988" i="10"/>
  <c r="L539" i="10"/>
  <c r="L1042" i="10"/>
  <c r="L191" i="10"/>
  <c r="L473" i="10"/>
  <c r="L240" i="10"/>
  <c r="L549" i="10"/>
  <c r="L746" i="10"/>
  <c r="L635" i="10"/>
  <c r="L955" i="10"/>
  <c r="L999" i="10"/>
  <c r="L1049" i="10"/>
  <c r="L927" i="10"/>
  <c r="L666" i="10"/>
  <c r="L170" i="10"/>
  <c r="L742" i="10"/>
  <c r="L643" i="10"/>
  <c r="L893" i="10"/>
  <c r="L670" i="10"/>
  <c r="L241" i="10"/>
  <c r="L354" i="10"/>
  <c r="L886" i="10"/>
  <c r="L270" i="10"/>
  <c r="L421" i="10"/>
  <c r="L959" i="10"/>
  <c r="L763" i="10"/>
  <c r="L1041" i="10"/>
  <c r="L683" i="10"/>
  <c r="L179" i="10"/>
  <c r="L609" i="10"/>
  <c r="L808" i="10"/>
  <c r="L175" i="10"/>
  <c r="L603" i="10"/>
  <c r="L266" i="10"/>
  <c r="L508" i="10"/>
  <c r="L875" i="10"/>
  <c r="L458" i="10"/>
  <c r="L692" i="10"/>
  <c r="L227" i="10"/>
  <c r="L781" i="10"/>
  <c r="L346" i="10"/>
  <c r="L864" i="10"/>
  <c r="L440" i="10"/>
  <c r="L651" i="10"/>
  <c r="L335" i="10"/>
  <c r="L515" i="10"/>
  <c r="L503" i="10"/>
  <c r="L786" i="10"/>
  <c r="L478" i="10"/>
  <c r="L715" i="10"/>
  <c r="L277" i="10"/>
  <c r="L537" i="10"/>
  <c r="L248" i="10"/>
  <c r="L396" i="10"/>
  <c r="L690" i="10"/>
  <c r="L811" i="10"/>
  <c r="L1028" i="10"/>
  <c r="L925" i="10"/>
  <c r="L554" i="10"/>
  <c r="L977" i="10"/>
  <c r="L887" i="10"/>
  <c r="L373" i="10"/>
  <c r="L300" i="10"/>
  <c r="L234" i="10"/>
  <c r="L1057" i="10"/>
  <c r="L787" i="10"/>
  <c r="L601" i="10"/>
  <c r="L804" i="10"/>
  <c r="L964" i="10"/>
  <c r="L605" i="10"/>
  <c r="L224" i="10"/>
  <c r="L740" i="10"/>
  <c r="L965" i="10"/>
  <c r="L985" i="10"/>
  <c r="L399" i="10"/>
  <c r="L1050" i="10"/>
  <c r="L1060" i="10"/>
  <c r="L327" i="10"/>
  <c r="L498" i="10"/>
  <c r="L167" i="10"/>
  <c r="L551" i="10"/>
  <c r="L569" i="10"/>
  <c r="L644" i="10"/>
  <c r="L417" i="10"/>
  <c r="L447" i="10"/>
  <c r="L311" i="10"/>
  <c r="L223" i="10"/>
  <c r="L854" i="10"/>
  <c r="L660" i="10"/>
  <c r="L597" i="10"/>
  <c r="L814" i="10"/>
  <c r="L274" i="10"/>
  <c r="L698" i="10"/>
  <c r="L675" i="10"/>
  <c r="L878" i="10"/>
  <c r="L511" i="10"/>
  <c r="L775" i="10"/>
  <c r="L767" i="10"/>
  <c r="L585" i="10"/>
  <c r="L372" i="10"/>
  <c r="L978" i="10"/>
  <c r="L617" i="10"/>
  <c r="L782" i="10"/>
  <c r="L817" i="10"/>
  <c r="L773" i="10"/>
  <c r="L889" i="10"/>
  <c r="L941" i="10"/>
  <c r="L902" i="10"/>
  <c r="L1069" i="10"/>
  <c r="L420" i="10"/>
  <c r="L611" i="10"/>
  <c r="L475" i="10"/>
  <c r="L212" i="10"/>
  <c r="L794" i="10"/>
  <c r="L538" i="10"/>
  <c r="L727" i="10"/>
  <c r="L439" i="10"/>
  <c r="L616" i="10"/>
  <c r="L929" i="10"/>
  <c r="L433" i="10"/>
  <c r="L519" i="10"/>
  <c r="L263" i="10"/>
  <c r="L595" i="10"/>
  <c r="L798" i="10"/>
  <c r="L556" i="10"/>
  <c r="L487" i="10"/>
  <c r="L1018" i="10"/>
  <c r="L350" i="10"/>
  <c r="L894" i="10"/>
  <c r="L428" i="10"/>
  <c r="L650" i="10"/>
  <c r="L185" i="10"/>
  <c r="L1013" i="10"/>
  <c r="L471" i="10"/>
  <c r="L922" i="10"/>
  <c r="L586" i="10"/>
  <c r="L446" i="10"/>
  <c r="L309" i="10"/>
  <c r="L584" i="10"/>
  <c r="L501" i="10"/>
  <c r="L461" i="10"/>
  <c r="L655" i="10"/>
  <c r="L610" i="10"/>
  <c r="L436" i="10"/>
  <c r="L674" i="10"/>
  <c r="L645" i="10"/>
  <c r="L768" i="10"/>
  <c r="L975" i="10"/>
  <c r="L658" i="10"/>
  <c r="L840" i="10"/>
  <c r="L405" i="10"/>
  <c r="L648" i="10"/>
  <c r="L627" i="10"/>
  <c r="L726" i="10"/>
  <c r="L901" i="10"/>
  <c r="L792" i="10"/>
  <c r="L809" i="10"/>
  <c r="L474" i="10"/>
  <c r="L1025" i="10"/>
  <c r="L533" i="10"/>
  <c r="L308" i="10"/>
  <c r="L377" i="10"/>
  <c r="L226" i="10"/>
  <c r="L382" i="10"/>
  <c r="L355" i="10"/>
  <c r="L1047" i="10"/>
  <c r="L441" i="10"/>
  <c r="L668" i="10"/>
  <c r="L974" i="10"/>
  <c r="L341" i="10"/>
  <c r="L748" i="10"/>
  <c r="L325" i="10"/>
  <c r="L972" i="10"/>
  <c r="L830" i="10"/>
  <c r="L460" i="10"/>
  <c r="L206" i="10"/>
  <c r="L784" i="10"/>
  <c r="L696" i="10"/>
  <c r="L827" i="10"/>
  <c r="L286" i="10"/>
  <c r="L269" i="10"/>
  <c r="L307" i="10"/>
  <c r="L453" i="10"/>
  <c r="L219" i="10"/>
  <c r="L1026" i="10"/>
  <c r="L966" i="10"/>
  <c r="L806" i="10"/>
  <c r="L176" i="10"/>
  <c r="L195" i="10"/>
  <c r="L366" i="10"/>
  <c r="L802" i="10"/>
  <c r="L499" i="10"/>
  <c r="L203" i="10"/>
  <c r="L526" i="10"/>
  <c r="L1051" i="10"/>
  <c r="L634" i="10"/>
  <c r="L222" i="10"/>
  <c r="L231" i="10"/>
  <c r="L305" i="10"/>
  <c r="L196" i="10"/>
  <c r="L1003" i="10"/>
  <c r="L532" i="10"/>
  <c r="L239" i="10"/>
  <c r="L842" i="10"/>
  <c r="L832" i="10"/>
  <c r="L702" i="10"/>
  <c r="L724" i="10"/>
  <c r="L321" i="10"/>
  <c r="L793" i="10"/>
  <c r="L828" i="10"/>
  <c r="L1052" i="10"/>
  <c r="L776" i="10"/>
  <c r="L352" i="10"/>
  <c r="L524" i="10"/>
  <c r="L688" i="10"/>
  <c r="L483" i="10"/>
  <c r="L407" i="10"/>
  <c r="L728" i="10"/>
  <c r="L507" i="10"/>
  <c r="L951" i="10"/>
  <c r="L909" i="10"/>
  <c r="L502" i="10"/>
  <c r="L942" i="10"/>
  <c r="L772" i="10"/>
  <c r="L518" i="10"/>
  <c r="L278" i="10"/>
  <c r="L215" i="10"/>
  <c r="L385" i="10"/>
  <c r="L165" i="10"/>
  <c r="L790" i="10"/>
  <c r="L468" i="10"/>
  <c r="L581" i="10"/>
  <c r="L957" i="10"/>
  <c r="L926" i="10"/>
  <c r="L637" i="10"/>
  <c r="L952" i="10"/>
  <c r="L485" i="10"/>
  <c r="L463" i="10"/>
  <c r="L1017" i="10"/>
  <c r="L923" i="10"/>
  <c r="L217" i="10"/>
  <c r="L204" i="10"/>
  <c r="L432" i="10"/>
  <c r="L762" i="10"/>
  <c r="L497" i="10"/>
  <c r="L769" i="10"/>
  <c r="L944" i="10"/>
  <c r="L915" i="10"/>
  <c r="L620" i="10"/>
  <c r="L280" i="10"/>
  <c r="L374" i="10"/>
  <c r="L496" i="10"/>
  <c r="L449" i="10"/>
  <c r="L310" i="10"/>
  <c r="L258" i="10"/>
  <c r="L360" i="10"/>
  <c r="L398" i="10"/>
  <c r="L387" i="10"/>
  <c r="L358" i="10"/>
  <c r="L725" i="10"/>
  <c r="L860" i="10"/>
  <c r="L1045" i="10"/>
  <c r="L713" i="10"/>
  <c r="L984" i="10"/>
  <c r="L614" i="10"/>
  <c r="L973" i="10"/>
  <c r="L982" i="10"/>
  <c r="L710" i="10"/>
  <c r="L812" i="10"/>
  <c r="L178" i="10"/>
  <c r="L282" i="10"/>
  <c r="L564" i="10"/>
  <c r="L1040" i="10"/>
  <c r="L401" i="10"/>
  <c r="L991" i="10"/>
  <c r="L193" i="10"/>
  <c r="L780" i="10"/>
  <c r="L580" i="10"/>
  <c r="L188" i="10"/>
  <c r="L395" i="10"/>
  <c r="L371" i="10"/>
  <c r="L424" i="10"/>
  <c r="L872" i="10"/>
  <c r="L636" i="10"/>
  <c r="L912" i="10"/>
  <c r="L192" i="10"/>
  <c r="L841" i="10"/>
  <c r="L330" i="10"/>
  <c r="L758" i="10"/>
  <c r="L410" i="10"/>
  <c r="L336" i="10"/>
  <c r="L1030" i="10"/>
  <c r="L890" i="10"/>
  <c r="L1024" i="10"/>
  <c r="L705" i="10"/>
  <c r="L791" i="10"/>
  <c r="L329" i="10"/>
  <c r="L512" i="10"/>
  <c r="L883" i="10"/>
  <c r="L624" i="10"/>
  <c r="L169" i="10"/>
  <c r="L561" i="10"/>
  <c r="L729" i="10"/>
  <c r="L482" i="10"/>
  <c r="L891" i="10"/>
  <c r="L255" i="10"/>
  <c r="L612" i="10"/>
  <c r="L789" i="10"/>
  <c r="L243" i="10"/>
  <c r="L697" i="10"/>
  <c r="L757" i="10"/>
  <c r="L632" i="10"/>
  <c r="L365" i="10"/>
  <c r="L998" i="10"/>
  <c r="L667" i="10"/>
  <c r="L661" i="10"/>
  <c r="L425" i="10"/>
  <c r="L831" i="10"/>
  <c r="L720" i="10"/>
  <c r="L368" i="10"/>
  <c r="L494" i="10"/>
  <c r="L906" i="10"/>
  <c r="L899" i="10"/>
  <c r="L546" i="10"/>
  <c r="L1012" i="10"/>
  <c r="L1046" i="10"/>
  <c r="L416" i="10"/>
  <c r="L1009" i="10"/>
  <c r="L897" i="10"/>
  <c r="L251" i="10"/>
  <c r="L709" i="10"/>
  <c r="L695" i="10"/>
  <c r="L291" i="10"/>
  <c r="L520" i="10"/>
  <c r="L1037" i="10"/>
  <c r="L737" i="10"/>
  <c r="L859" i="10"/>
  <c r="L703" i="10"/>
  <c r="L920" i="10"/>
  <c r="L430" i="10"/>
  <c r="L220" i="10"/>
  <c r="L760" i="10"/>
  <c r="L381" i="10"/>
  <c r="L268" i="10"/>
  <c r="L994" i="10"/>
  <c r="L390" i="10"/>
  <c r="L353" i="10"/>
  <c r="L663" i="10"/>
  <c r="L578" i="10"/>
  <c r="L304" i="10"/>
  <c r="L244" i="10"/>
  <c r="L1016" i="10"/>
  <c r="L493" i="10"/>
  <c r="L867" i="10"/>
  <c r="L681" i="10"/>
  <c r="L971" i="10"/>
  <c r="L940" i="10"/>
  <c r="L896" i="10"/>
  <c r="L386" i="10"/>
  <c r="L429" i="10"/>
  <c r="L367" i="10"/>
  <c r="L514" i="10"/>
  <c r="L826" i="10"/>
  <c r="L462" i="10"/>
  <c r="L284" i="10"/>
  <c r="L879" i="10"/>
  <c r="L684" i="10"/>
  <c r="L477" i="10"/>
  <c r="L884" i="10"/>
  <c r="L835" i="10"/>
  <c r="L986" i="10"/>
  <c r="L608" i="10"/>
  <c r="L312" i="10"/>
  <c r="L491" i="10"/>
  <c r="L816" i="10"/>
  <c r="L819" i="10"/>
  <c r="L316" i="10"/>
  <c r="L347" i="10"/>
  <c r="L228" i="10"/>
  <c r="L513" i="10"/>
  <c r="L685" i="10"/>
  <c r="L838" i="10"/>
  <c r="L992" i="10"/>
  <c r="L272" i="10"/>
  <c r="L606" i="10"/>
  <c r="L734" i="10"/>
  <c r="L898" i="10"/>
  <c r="L504" i="10"/>
  <c r="L187" i="10"/>
  <c r="L714" i="10"/>
  <c r="L600" i="10"/>
  <c r="L1014" i="10"/>
  <c r="L531" i="10"/>
  <c r="L359" i="10"/>
  <c r="L646" i="10"/>
  <c r="L443" i="10"/>
  <c r="L570" i="10"/>
  <c r="L628" i="10"/>
  <c r="L438" i="10"/>
  <c r="L338" i="10"/>
  <c r="L968" i="10"/>
  <c r="L717" i="10"/>
  <c r="L406" i="10"/>
  <c r="L576" i="10"/>
  <c r="L397" i="10"/>
  <c r="L850" i="10"/>
  <c r="L1031" i="10"/>
  <c r="L230" i="10"/>
  <c r="L962" i="10"/>
  <c r="L848" i="10"/>
  <c r="L337" i="10"/>
  <c r="L205" i="10"/>
  <c r="L671" i="10"/>
  <c r="L184" i="10"/>
  <c r="L961" i="10"/>
  <c r="L375" i="10"/>
  <c r="L558" i="10"/>
  <c r="L252" i="10"/>
  <c r="L394" i="10"/>
  <c r="L691" i="10"/>
  <c r="L596" i="10"/>
  <c r="L250" i="10"/>
  <c r="L815" i="10"/>
  <c r="L466" i="10"/>
  <c r="L907" i="10"/>
  <c r="L298" i="10"/>
  <c r="L858" i="10"/>
  <c r="L743" i="10"/>
  <c r="L1011" i="10"/>
  <c r="L1032" i="10"/>
  <c r="L207" i="10"/>
  <c r="L259" i="10"/>
  <c r="L777" i="10"/>
  <c r="L302" i="10"/>
  <c r="L665" i="10"/>
  <c r="L492" i="10"/>
  <c r="L937" i="10"/>
  <c r="L924" i="10"/>
  <c r="L481" i="10"/>
  <c r="L750" i="10"/>
  <c r="L672" i="10"/>
  <c r="L525" i="10"/>
  <c r="L721" i="10"/>
  <c r="L256" i="10"/>
  <c r="L351" i="10"/>
  <c r="L469" i="10"/>
  <c r="L213" i="10"/>
  <c r="L947" i="10"/>
  <c r="L1008" i="10"/>
  <c r="L249" i="10"/>
  <c r="L174" i="10"/>
  <c r="L981" i="10"/>
  <c r="L956" i="10"/>
  <c r="L980" i="10"/>
  <c r="L849" i="10"/>
  <c r="L822" i="10"/>
  <c r="L1073" i="10"/>
  <c r="L970" i="10"/>
  <c r="L362" i="10"/>
  <c r="L833" i="10"/>
  <c r="L1001" i="10"/>
  <c r="L823" i="10"/>
  <c r="L664" i="10"/>
  <c r="L171" i="10"/>
  <c r="L322" i="10"/>
  <c r="L500" i="10"/>
  <c r="L732" i="10"/>
  <c r="L824" i="10"/>
  <c r="L662" i="10"/>
  <c r="L535" i="10"/>
  <c r="L983" i="10"/>
  <c r="L356" i="10"/>
  <c r="L378" i="10"/>
  <c r="L437" i="10"/>
  <c r="L238" i="10"/>
  <c r="L622" i="10"/>
  <c r="L177" i="10"/>
  <c r="L189" i="10"/>
  <c r="L821" i="10"/>
  <c r="L753" i="10"/>
  <c r="L969" i="10"/>
  <c r="L271" i="10"/>
  <c r="L754" i="10"/>
  <c r="L247" i="10"/>
  <c r="L550" i="10"/>
  <c r="L673" i="10"/>
  <c r="L267" i="10"/>
  <c r="L517" i="10"/>
  <c r="L642" i="10"/>
  <c r="L317" i="10"/>
  <c r="L669" i="10"/>
  <c r="L950" i="10"/>
  <c r="L653" i="10"/>
  <c r="L418" i="10"/>
  <c r="L880" i="10"/>
  <c r="L752" i="10"/>
  <c r="L333" i="10"/>
  <c r="L738" i="10"/>
  <c r="L208" i="10"/>
  <c r="L1034" i="10"/>
  <c r="L567" i="10"/>
  <c r="L571" i="10"/>
  <c r="L457" i="10"/>
  <c r="L640" i="10"/>
  <c r="L1066" i="10"/>
  <c r="L344" i="10"/>
  <c r="L232" i="10"/>
  <c r="L1074" i="10"/>
  <c r="L749" i="10"/>
  <c r="L484" i="10"/>
  <c r="L852" i="10"/>
  <c r="L319" i="10"/>
  <c r="L888" i="10"/>
  <c r="L1056" i="10"/>
  <c r="L536" i="10"/>
  <c r="L559" i="10"/>
  <c r="L619" i="10"/>
  <c r="L739" i="10"/>
  <c r="L881" i="10"/>
  <c r="L593" i="10"/>
  <c r="L623" i="10"/>
  <c r="L544" i="10"/>
  <c r="L505" i="10"/>
  <c r="L900" i="10"/>
  <c r="L292" i="10"/>
  <c r="L210" i="10"/>
  <c r="L1033" i="10"/>
  <c r="L718" i="10"/>
  <c r="L273" i="10"/>
  <c r="L783" i="10"/>
  <c r="L774" i="10"/>
  <c r="L1068" i="10"/>
  <c r="L1022" i="10"/>
  <c r="L805" i="10"/>
  <c r="L731" i="10"/>
  <c r="L863" i="10"/>
  <c r="L299" i="10"/>
  <c r="L801" i="10"/>
  <c r="L574" i="10"/>
  <c r="L1063" i="10"/>
  <c r="L543" i="10"/>
  <c r="L1004" i="10"/>
  <c r="L180" i="10"/>
  <c r="L281" i="10"/>
  <c r="L1019" i="10"/>
  <c r="L182" i="10"/>
  <c r="L542" i="10"/>
  <c r="L630" i="10"/>
  <c r="L766" i="10"/>
  <c r="L1038" i="10"/>
  <c r="L587" i="10"/>
  <c r="L943" i="10"/>
  <c r="L987" i="10"/>
  <c r="L680" i="10"/>
  <c r="L523" i="10"/>
  <c r="L958" i="10"/>
  <c r="L589" i="10"/>
  <c r="L853" i="10"/>
  <c r="L575" i="10"/>
  <c r="L869" i="10"/>
  <c r="L626" i="10"/>
  <c r="L810" i="10"/>
  <c r="L328" i="10"/>
  <c r="L647" i="10"/>
  <c r="L865" i="10"/>
  <c r="L233" i="10"/>
  <c r="L200" i="10"/>
  <c r="L565" i="10"/>
  <c r="L711" i="10"/>
  <c r="L716" i="10"/>
  <c r="L339" i="10"/>
  <c r="L489" i="10"/>
  <c r="L659" i="10"/>
  <c r="L552" i="10"/>
  <c r="L209" i="10"/>
  <c r="L885" i="10"/>
  <c r="L545" i="10"/>
  <c r="L245" i="10"/>
  <c r="L1006" i="10"/>
  <c r="L913" i="10"/>
  <c r="L198" i="10"/>
  <c r="L615" i="10"/>
  <c r="L765" i="10"/>
  <c r="L547" i="10"/>
  <c r="L788" i="10"/>
  <c r="L295" i="10"/>
  <c r="L572" i="10"/>
  <c r="L301" i="10"/>
  <c r="L1058" i="10"/>
  <c r="L402" i="10"/>
  <c r="L522" i="10"/>
  <c r="L404" i="10"/>
  <c r="L392" i="10"/>
  <c r="L755" i="10"/>
  <c r="L486" i="10"/>
  <c r="L1023" i="10"/>
  <c r="L326" i="10"/>
  <c r="L686" i="10"/>
  <c r="L435" i="10"/>
  <c r="L465" i="10"/>
  <c r="L470" i="10"/>
  <c r="L706" i="10"/>
  <c r="L874" i="10"/>
  <c r="L908" i="10"/>
  <c r="L303" i="10"/>
  <c r="L384" i="10"/>
  <c r="L1059" i="10"/>
  <c r="L733" i="10"/>
  <c r="L566" i="10"/>
  <c r="L933" i="10"/>
  <c r="L629" i="10"/>
  <c r="L476" i="10"/>
  <c r="L689" i="10"/>
  <c r="L934" i="10"/>
  <c r="L583" i="10"/>
  <c r="L857" i="10"/>
  <c r="L1071" i="10"/>
  <c r="L1061" i="10"/>
  <c r="L839" i="10"/>
  <c r="L989" i="10"/>
  <c r="L723" i="10"/>
  <c r="L621" i="10"/>
  <c r="L541" i="10"/>
  <c r="L895" i="10"/>
  <c r="L579" i="10"/>
  <c r="L997" i="10"/>
  <c r="L976" i="10"/>
  <c r="L876" i="10"/>
  <c r="L618" i="10"/>
  <c r="L779" i="10"/>
  <c r="L246" i="10"/>
  <c r="L954" i="10"/>
  <c r="L509" i="10"/>
  <c r="L380" i="10"/>
  <c r="L678" i="10"/>
  <c r="L332" i="10"/>
  <c r="L700" i="10"/>
  <c r="L677" i="10"/>
  <c r="L202" i="10"/>
  <c r="L1065" i="10"/>
  <c r="L759" i="10"/>
  <c r="L408" i="10"/>
  <c r="L563" i="10"/>
  <c r="L293" i="10"/>
  <c r="L931" i="10"/>
  <c r="L349" i="10"/>
  <c r="L679" i="10"/>
  <c r="L990" i="10"/>
  <c r="L851" i="10"/>
  <c r="L548" i="10"/>
  <c r="L602" i="10"/>
  <c r="L427" i="10"/>
  <c r="L919" i="10"/>
  <c r="L488" i="10"/>
  <c r="L916" i="10"/>
  <c r="L590" i="10"/>
  <c r="L568" i="10"/>
  <c r="L257" i="10"/>
  <c r="L197" i="10"/>
  <c r="L638" i="10"/>
  <c r="L1005" i="10"/>
  <c r="L285" i="10"/>
  <c r="L562" i="10"/>
  <c r="L490" i="10"/>
  <c r="L761" i="10"/>
  <c r="L633" i="10"/>
  <c r="L403" i="10"/>
  <c r="L444" i="10"/>
  <c r="L369" i="10"/>
  <c r="L467" i="10"/>
  <c r="L963" i="10"/>
  <c r="L283" i="10"/>
  <c r="L797" i="10"/>
  <c r="L370" i="10"/>
  <c r="L1055" i="10"/>
  <c r="L701" i="10"/>
  <c r="L253" i="10"/>
  <c r="L214" i="10"/>
  <c r="L741" i="10"/>
  <c r="L391" i="10"/>
  <c r="L582" i="10"/>
  <c r="L911" i="10"/>
  <c r="L229" i="10"/>
  <c r="L921" i="10"/>
  <c r="L751" i="10"/>
  <c r="L1015" i="10"/>
  <c r="L807" i="10"/>
  <c r="L577" i="10"/>
  <c r="L967" i="10"/>
  <c r="L393" i="10"/>
  <c r="L323" i="10"/>
  <c r="L297" i="10"/>
  <c r="L735" i="10"/>
  <c r="L1027" i="10"/>
  <c r="L1020" i="10"/>
  <c r="L856" i="10"/>
  <c r="L682" i="10"/>
  <c r="L604" i="10"/>
  <c r="L676" i="10"/>
  <c r="L745" i="10"/>
  <c r="L168" i="10"/>
  <c r="L591" i="10"/>
  <c r="L845" i="10"/>
  <c r="L910" i="10"/>
  <c r="L1007" i="10"/>
  <c r="L770" i="10"/>
  <c r="L342" i="10"/>
  <c r="L455" i="10"/>
  <c r="L903" i="10"/>
  <c r="L722" i="10"/>
  <c r="L451" i="10"/>
  <c r="L516" i="10"/>
  <c r="L442" i="10"/>
  <c r="L712" i="10"/>
  <c r="K332" i="10"/>
  <c r="K1055" i="10"/>
  <c r="K797" i="10"/>
  <c r="K397" i="10"/>
  <c r="K908" i="10"/>
  <c r="K671" i="10"/>
  <c r="K664" i="10"/>
  <c r="K210" i="10"/>
  <c r="K733" i="10"/>
  <c r="K1014" i="10"/>
  <c r="K673" i="10"/>
  <c r="K322" i="10"/>
  <c r="K174" i="10"/>
  <c r="K469" i="10"/>
  <c r="K302" i="10"/>
  <c r="K250" i="10"/>
  <c r="K636" i="10"/>
  <c r="K365" i="10"/>
  <c r="K838" i="10"/>
  <c r="K608" i="10"/>
  <c r="K867" i="10"/>
  <c r="K824" i="10"/>
  <c r="K496" i="10"/>
  <c r="K292" i="10"/>
  <c r="K906" i="10"/>
  <c r="K896" i="10"/>
  <c r="K512" i="10"/>
  <c r="K619" i="10"/>
  <c r="K973" i="10"/>
  <c r="K784" i="10"/>
  <c r="K780" i="10"/>
  <c r="K372" i="10"/>
  <c r="K793" i="10"/>
  <c r="K798" i="10"/>
  <c r="K901" i="10"/>
  <c r="K705" i="10"/>
  <c r="K1025" i="10"/>
  <c r="K407" i="10"/>
  <c r="K433" i="10"/>
  <c r="K894" i="10"/>
  <c r="K605" i="10"/>
  <c r="K902" i="10"/>
  <c r="K350" i="10"/>
  <c r="K327" i="10"/>
  <c r="K787" i="10"/>
  <c r="K479" i="10"/>
  <c r="K266" i="10"/>
  <c r="K1041" i="10"/>
  <c r="K742" i="10"/>
  <c r="K1042" i="10"/>
  <c r="K694" i="10"/>
  <c r="K540" i="10"/>
  <c r="K417" i="10"/>
  <c r="K955" i="10"/>
  <c r="K932" i="10"/>
  <c r="K993" i="10"/>
  <c r="K260" i="10"/>
  <c r="K459" i="10"/>
  <c r="K426" i="10"/>
  <c r="K331" i="10"/>
  <c r="K1044" i="10"/>
  <c r="K938" i="10"/>
  <c r="K275" i="10"/>
  <c r="K1064" i="10"/>
  <c r="K598" i="10"/>
  <c r="K699" i="10"/>
  <c r="K197" i="10"/>
  <c r="K1031" i="10"/>
  <c r="K245" i="10"/>
  <c r="K362" i="10"/>
  <c r="K247" i="10"/>
  <c r="K789" i="10"/>
  <c r="K842" i="10"/>
  <c r="K364" i="10"/>
  <c r="K421" i="10"/>
  <c r="K315" i="10"/>
  <c r="K866" i="10"/>
  <c r="K1019" i="10"/>
  <c r="K516" i="10"/>
  <c r="K921" i="10"/>
  <c r="K629" i="10"/>
  <c r="K755" i="10"/>
  <c r="K564" i="10"/>
  <c r="K937" i="10"/>
  <c r="K898" i="10"/>
  <c r="K762" i="10"/>
  <c r="K606" i="10"/>
  <c r="K305" i="10"/>
  <c r="K272" i="10"/>
  <c r="K630" i="10"/>
  <c r="K393" i="10"/>
  <c r="K962" i="10"/>
  <c r="K933" i="10"/>
  <c r="K731" i="10"/>
  <c r="K342" i="10"/>
  <c r="K1058" i="10"/>
  <c r="K741" i="10"/>
  <c r="K490" i="10"/>
  <c r="K1068" i="10"/>
  <c r="K621" i="10"/>
  <c r="K295" i="10"/>
  <c r="K659" i="10"/>
  <c r="K547" i="10"/>
  <c r="K669" i="10"/>
  <c r="L75" i="10"/>
  <c r="L76" i="10"/>
  <c r="K770" i="10"/>
  <c r="K647" i="10"/>
  <c r="K1038" i="10"/>
  <c r="K801" i="10"/>
  <c r="K1063" i="10"/>
  <c r="K444" i="10"/>
  <c r="K682" i="10"/>
  <c r="K845" i="10"/>
  <c r="K850" i="10"/>
  <c r="K723" i="10"/>
  <c r="K874" i="10"/>
  <c r="K788" i="10"/>
  <c r="K913" i="10"/>
  <c r="K489" i="10"/>
  <c r="K774" i="10"/>
  <c r="K303" i="10"/>
  <c r="K282" i="10"/>
  <c r="K1059" i="10"/>
  <c r="K1034" i="10"/>
  <c r="K326" i="10"/>
  <c r="K992" i="10"/>
  <c r="K424" i="10"/>
  <c r="K1030" i="10"/>
  <c r="K1040" i="10"/>
  <c r="K777" i="10"/>
  <c r="K596" i="10"/>
  <c r="K912" i="10"/>
  <c r="K570" i="10"/>
  <c r="K685" i="10"/>
  <c r="K986" i="10"/>
  <c r="K493" i="10"/>
  <c r="K732" i="10"/>
  <c r="K374" i="10"/>
  <c r="K291" i="10"/>
  <c r="K581" i="10"/>
  <c r="K697" i="10"/>
  <c r="K329" i="10"/>
  <c r="K228" i="10"/>
  <c r="K614" i="10"/>
  <c r="K206" i="10"/>
  <c r="K725" i="10"/>
  <c r="K352" i="10"/>
  <c r="K724" i="10"/>
  <c r="K203" i="10"/>
  <c r="K501" i="10"/>
  <c r="K325" i="10"/>
  <c r="K474" i="10"/>
  <c r="K832" i="10"/>
  <c r="K439" i="10"/>
  <c r="K1018" i="10"/>
  <c r="K373" i="10"/>
  <c r="K941" i="10"/>
  <c r="K854" i="10"/>
  <c r="K1060" i="10"/>
  <c r="K1057" i="10"/>
  <c r="K503" i="10"/>
  <c r="K603" i="10"/>
  <c r="K414" i="10"/>
  <c r="K1049" i="10"/>
  <c r="K660" i="10"/>
  <c r="K778" i="10"/>
  <c r="K343" i="10"/>
  <c r="K786" i="10"/>
  <c r="K300" i="10"/>
  <c r="K736" i="10"/>
  <c r="K510" i="10"/>
  <c r="K216" i="10"/>
  <c r="K181" i="10"/>
  <c r="K383" i="10"/>
  <c r="K946" i="10"/>
  <c r="K594" i="10"/>
  <c r="K693" i="10"/>
  <c r="K173" i="10"/>
  <c r="K870" i="10"/>
  <c r="K599" i="10"/>
  <c r="K1039" i="10"/>
  <c r="K146" i="10"/>
  <c r="K159" i="10"/>
  <c r="K121" i="10"/>
  <c r="K163" i="10"/>
  <c r="K137" i="10"/>
  <c r="K144" i="10"/>
  <c r="K135" i="10"/>
  <c r="K114" i="10"/>
  <c r="K132" i="10"/>
  <c r="K128" i="10"/>
  <c r="K156" i="10"/>
  <c r="K124" i="10"/>
  <c r="K153" i="10"/>
  <c r="K118" i="10"/>
  <c r="K125" i="10"/>
  <c r="K149" i="10"/>
  <c r="K126" i="10"/>
  <c r="K116" i="10"/>
  <c r="K134" i="10"/>
  <c r="K150" i="10"/>
  <c r="K148" i="10"/>
  <c r="K113" i="10"/>
  <c r="K164" i="10"/>
  <c r="K158" i="10"/>
  <c r="K154" i="10"/>
  <c r="K115" i="10"/>
  <c r="K136" i="10"/>
  <c r="K122" i="10"/>
  <c r="K161" i="10"/>
  <c r="K160" i="10"/>
  <c r="K130" i="10"/>
  <c r="K151" i="10"/>
  <c r="K112" i="10"/>
  <c r="K123" i="10"/>
  <c r="K139" i="10"/>
  <c r="K147" i="10"/>
  <c r="K120" i="10"/>
  <c r="K141" i="10"/>
  <c r="K133" i="10"/>
  <c r="K117" i="10"/>
  <c r="K162" i="10"/>
  <c r="K129" i="10"/>
  <c r="K157" i="10"/>
  <c r="K127" i="10"/>
  <c r="K152" i="10"/>
  <c r="K131" i="10"/>
  <c r="K140" i="10"/>
  <c r="K145" i="10"/>
  <c r="K138" i="10"/>
  <c r="K143" i="10"/>
  <c r="K119" i="10"/>
  <c r="K155" i="10"/>
  <c r="K111" i="10"/>
  <c r="K142" i="10"/>
  <c r="K875" i="10"/>
  <c r="K554" i="10"/>
  <c r="K270" i="10"/>
  <c r="K609" i="10"/>
  <c r="K795" i="10"/>
  <c r="K811" i="10"/>
  <c r="K335" i="10"/>
  <c r="K808" i="10"/>
  <c r="K396" i="10"/>
  <c r="K1029" i="10"/>
  <c r="K277" i="10"/>
  <c r="K400" i="10"/>
  <c r="K771" i="10"/>
  <c r="K953" i="10"/>
  <c r="K170" i="10"/>
  <c r="K904" i="10"/>
  <c r="K221" i="10"/>
  <c r="K1053" i="10"/>
  <c r="K1035" i="10"/>
  <c r="K289" i="10"/>
  <c r="K868" i="10"/>
  <c r="K988" i="10"/>
  <c r="K847" i="10"/>
  <c r="K639" i="10"/>
  <c r="K829" i="10"/>
  <c r="K1010" i="10"/>
  <c r="K803" i="10"/>
  <c r="K620" i="10"/>
  <c r="K363" i="10"/>
  <c r="E163" i="10"/>
  <c r="E132" i="10"/>
  <c r="G163" i="10"/>
  <c r="G132" i="10"/>
  <c r="G146" i="10"/>
  <c r="G135" i="10"/>
  <c r="E137" i="10"/>
  <c r="G137" i="10"/>
  <c r="E159" i="10"/>
  <c r="G114" i="10"/>
  <c r="E156" i="10"/>
  <c r="E153" i="10"/>
  <c r="G156" i="10"/>
  <c r="E121" i="10"/>
  <c r="G153" i="10"/>
  <c r="G159" i="10"/>
  <c r="G121" i="10"/>
  <c r="E135" i="10"/>
  <c r="E114" i="10"/>
  <c r="E146" i="10"/>
  <c r="E128" i="10"/>
  <c r="G128" i="10"/>
  <c r="E144" i="10"/>
  <c r="G144" i="10"/>
  <c r="E124" i="10"/>
  <c r="G118" i="10"/>
  <c r="E125" i="10"/>
  <c r="E126" i="10"/>
  <c r="G124" i="10"/>
  <c r="G148" i="10"/>
  <c r="E118" i="10"/>
  <c r="E113" i="10"/>
  <c r="E148" i="10"/>
  <c r="G164" i="10"/>
  <c r="E149" i="10"/>
  <c r="G134" i="10"/>
  <c r="G126" i="10"/>
  <c r="G113" i="10"/>
  <c r="E150" i="10"/>
  <c r="E116" i="10"/>
  <c r="G149" i="10"/>
  <c r="G125" i="10"/>
  <c r="G116" i="10"/>
  <c r="E134" i="10"/>
  <c r="E161" i="10"/>
  <c r="G150" i="10"/>
  <c r="E164" i="10"/>
  <c r="G122" i="10"/>
  <c r="E130" i="10"/>
  <c r="G130" i="10"/>
  <c r="G161" i="10"/>
  <c r="G154" i="10"/>
  <c r="E122" i="10"/>
  <c r="G136" i="10"/>
  <c r="G151" i="10"/>
  <c r="G158" i="10"/>
  <c r="E139" i="10"/>
  <c r="G112" i="10"/>
  <c r="G141" i="10"/>
  <c r="E123" i="10"/>
  <c r="E136" i="10"/>
  <c r="G115" i="10"/>
  <c r="E154" i="10"/>
  <c r="G160" i="10"/>
  <c r="E151" i="10"/>
  <c r="E147" i="10"/>
  <c r="E158" i="10"/>
  <c r="G139" i="10"/>
  <c r="E120" i="10"/>
  <c r="G120" i="10"/>
  <c r="E141" i="10"/>
  <c r="G123" i="10"/>
  <c r="E112" i="10"/>
  <c r="E160" i="10"/>
  <c r="E115" i="10"/>
  <c r="G147" i="10"/>
  <c r="G117" i="10"/>
  <c r="G162" i="10"/>
  <c r="E157" i="10"/>
  <c r="G129" i="10"/>
  <c r="E127" i="10"/>
  <c r="G127" i="10"/>
  <c r="E152" i="10"/>
  <c r="E140" i="10"/>
  <c r="G152" i="10"/>
  <c r="G140" i="10"/>
  <c r="E133" i="10"/>
  <c r="E117" i="10"/>
  <c r="E162" i="10"/>
  <c r="G155" i="10"/>
  <c r="E145" i="10"/>
  <c r="E138" i="10"/>
  <c r="E143" i="10"/>
  <c r="G157" i="10"/>
  <c r="E131" i="10"/>
  <c r="G133" i="10"/>
  <c r="G145" i="10"/>
  <c r="G138" i="10"/>
  <c r="G143" i="10"/>
  <c r="G131" i="10"/>
  <c r="G142" i="10"/>
  <c r="E111" i="10"/>
  <c r="G111" i="10"/>
  <c r="E129" i="10"/>
  <c r="E119" i="10"/>
  <c r="E142" i="10"/>
  <c r="E155" i="10"/>
  <c r="G119" i="10"/>
  <c r="M121" i="10"/>
  <c r="M134" i="10"/>
  <c r="M151" i="10"/>
  <c r="M129" i="10"/>
  <c r="O163" i="10"/>
  <c r="O148" i="10"/>
  <c r="O130" i="10"/>
  <c r="O147" i="10"/>
  <c r="O129" i="10"/>
  <c r="M159" i="10"/>
  <c r="M149" i="10"/>
  <c r="M147" i="10"/>
  <c r="M127" i="10"/>
  <c r="O132" i="10"/>
  <c r="O118" i="10"/>
  <c r="O115" i="10"/>
  <c r="O120" i="10"/>
  <c r="O111" i="10"/>
  <c r="M114" i="10"/>
  <c r="M116" i="10"/>
  <c r="M161" i="10"/>
  <c r="M117" i="10"/>
  <c r="O146" i="10"/>
  <c r="O124" i="10"/>
  <c r="O122" i="10"/>
  <c r="O127" i="10"/>
  <c r="O140" i="10"/>
  <c r="M128" i="10"/>
  <c r="M124" i="10"/>
  <c r="M112" i="10"/>
  <c r="M133" i="10"/>
  <c r="O159" i="10"/>
  <c r="O125" i="10"/>
  <c r="O160" i="10"/>
  <c r="O152" i="10"/>
  <c r="O157" i="10"/>
  <c r="M153" i="10"/>
  <c r="M150" i="10"/>
  <c r="M130" i="10"/>
  <c r="M157" i="10"/>
  <c r="O135" i="10"/>
  <c r="O113" i="10"/>
  <c r="O150" i="10"/>
  <c r="O131" i="10"/>
  <c r="O155" i="10"/>
  <c r="M156" i="10"/>
  <c r="M158" i="10"/>
  <c r="M139" i="10"/>
  <c r="M145" i="10"/>
  <c r="O137" i="10"/>
  <c r="O126" i="10"/>
  <c r="O136" i="10"/>
  <c r="O133" i="10"/>
  <c r="O119" i="10"/>
  <c r="M163" i="10"/>
  <c r="M126" i="10"/>
  <c r="M154" i="10"/>
  <c r="M152" i="10"/>
  <c r="M143" i="10"/>
  <c r="O153" i="10"/>
  <c r="O134" i="10"/>
  <c r="O123" i="10"/>
  <c r="O145" i="10"/>
  <c r="M144" i="10"/>
  <c r="M113" i="10"/>
  <c r="M160" i="10"/>
  <c r="M123" i="10"/>
  <c r="M111" i="10"/>
  <c r="O128" i="10"/>
  <c r="O154" i="10"/>
  <c r="O158" i="10"/>
  <c r="O142" i="10"/>
  <c r="M132" i="10"/>
  <c r="M164" i="10"/>
  <c r="M120" i="10"/>
  <c r="M162" i="10"/>
  <c r="M142" i="10"/>
  <c r="O156" i="10"/>
  <c r="O161" i="10"/>
  <c r="O151" i="10"/>
  <c r="O162" i="10"/>
  <c r="M136" i="10"/>
  <c r="O149" i="10"/>
  <c r="M115" i="10"/>
  <c r="O116" i="10"/>
  <c r="M122" i="10"/>
  <c r="O164" i="10"/>
  <c r="M141" i="10"/>
  <c r="O112" i="10"/>
  <c r="M131" i="10"/>
  <c r="O139" i="10"/>
  <c r="M138" i="10"/>
  <c r="O143" i="10"/>
  <c r="M140" i="10"/>
  <c r="O141" i="10"/>
  <c r="M137" i="10"/>
  <c r="O117" i="10"/>
  <c r="M135" i="10"/>
  <c r="M118" i="10"/>
  <c r="M146" i="10"/>
  <c r="M119" i="10"/>
  <c r="O138" i="10"/>
  <c r="M155" i="10"/>
  <c r="O121" i="10"/>
  <c r="M148" i="10"/>
  <c r="O144" i="10"/>
  <c r="M125" i="10"/>
  <c r="O114" i="10"/>
  <c r="J104" i="10"/>
  <c r="J86" i="10"/>
  <c r="J85" i="10"/>
  <c r="J109" i="10"/>
  <c r="J101" i="10"/>
  <c r="J92" i="10"/>
  <c r="J100" i="10"/>
  <c r="J83" i="10"/>
  <c r="J96" i="10"/>
  <c r="J102" i="10"/>
  <c r="J84" i="10"/>
  <c r="J88" i="10"/>
  <c r="J99" i="10"/>
  <c r="J87" i="10"/>
  <c r="J91" i="10"/>
  <c r="J90" i="10"/>
  <c r="J108" i="10"/>
  <c r="J93" i="10"/>
  <c r="J97" i="10"/>
  <c r="J107" i="10"/>
  <c r="J95" i="10"/>
  <c r="J110" i="10"/>
  <c r="J94" i="10"/>
  <c r="J103" i="10"/>
  <c r="J106" i="10"/>
  <c r="J98" i="10"/>
  <c r="J105" i="10"/>
  <c r="J89" i="10"/>
  <c r="K679" i="10"/>
  <c r="K759" i="10"/>
  <c r="K857" i="10"/>
  <c r="K1020" i="10"/>
  <c r="K202" i="10"/>
  <c r="K766" i="10"/>
  <c r="K1015" i="10"/>
  <c r="K761" i="10"/>
  <c r="K246" i="10"/>
  <c r="K583" i="10"/>
  <c r="K848" i="10"/>
  <c r="K812" i="10"/>
  <c r="K1056" i="10"/>
  <c r="K622" i="10"/>
  <c r="K672" i="10"/>
  <c r="K558" i="10"/>
  <c r="K879" i="10"/>
  <c r="K661" i="10"/>
  <c r="K897" i="10"/>
  <c r="K961" i="10"/>
  <c r="K347" i="10"/>
  <c r="K405" i="10"/>
  <c r="K215" i="10"/>
  <c r="K463" i="10"/>
  <c r="K518" i="10"/>
  <c r="K828" i="10"/>
  <c r="K239" i="10"/>
  <c r="K195" i="10"/>
  <c r="K891" i="10"/>
  <c r="K923" i="10"/>
  <c r="K674" i="10"/>
  <c r="K446" i="10"/>
  <c r="K223" i="10"/>
  <c r="K309" i="10"/>
  <c r="K794" i="10"/>
  <c r="K423" i="10"/>
  <c r="K683" i="10"/>
  <c r="K782" i="10"/>
  <c r="K248" i="10"/>
  <c r="K440" i="10"/>
  <c r="K296" i="10"/>
  <c r="K763" i="10"/>
  <c r="K186" i="10"/>
  <c r="K719" i="10"/>
  <c r="K756" i="10"/>
  <c r="K415" i="10"/>
  <c r="K764" i="10"/>
  <c r="K746" i="10"/>
  <c r="K560" i="10"/>
  <c r="K549" i="10"/>
  <c r="K652" i="10"/>
  <c r="K464" i="10"/>
  <c r="K448" i="10"/>
  <c r="K237" i="10"/>
  <c r="K656" i="10"/>
  <c r="K534" i="10"/>
  <c r="K472" i="10"/>
  <c r="K334" i="10"/>
  <c r="K704" i="10"/>
  <c r="K577" i="10"/>
  <c r="K328" i="10"/>
  <c r="K779" i="10"/>
  <c r="K545" i="10"/>
  <c r="K752" i="10"/>
  <c r="K543" i="10"/>
  <c r="K970" i="10"/>
  <c r="K168" i="10"/>
  <c r="K1011" i="10"/>
  <c r="K353" i="10"/>
  <c r="K717" i="10"/>
  <c r="K667" i="10"/>
  <c r="K720" i="10"/>
  <c r="K915" i="10"/>
  <c r="K429" i="10"/>
  <c r="G104" i="10"/>
  <c r="E104" i="10"/>
  <c r="E86" i="10"/>
  <c r="G86" i="10"/>
  <c r="G85" i="10"/>
  <c r="E101" i="10"/>
  <c r="E85" i="10"/>
  <c r="E109" i="10"/>
  <c r="E96" i="10"/>
  <c r="G96" i="10"/>
  <c r="G92" i="10"/>
  <c r="E83" i="10"/>
  <c r="E92" i="10"/>
  <c r="G109" i="10"/>
  <c r="G101" i="10"/>
  <c r="E100" i="10"/>
  <c r="G83" i="10"/>
  <c r="G100" i="10"/>
  <c r="E88" i="10"/>
  <c r="E84" i="10"/>
  <c r="G84" i="10"/>
  <c r="G88" i="10"/>
  <c r="E99" i="10"/>
  <c r="G99" i="10"/>
  <c r="G90" i="10"/>
  <c r="G87" i="10"/>
  <c r="G91" i="10"/>
  <c r="E102" i="10"/>
  <c r="E90" i="10"/>
  <c r="G108" i="10"/>
  <c r="G102" i="10"/>
  <c r="E97" i="10"/>
  <c r="G97" i="10"/>
  <c r="G94" i="10"/>
  <c r="E91" i="10"/>
  <c r="E93" i="10"/>
  <c r="E108" i="10"/>
  <c r="E87" i="10"/>
  <c r="G93" i="10"/>
  <c r="E94" i="10"/>
  <c r="G103" i="10"/>
  <c r="E103" i="10"/>
  <c r="G107" i="10"/>
  <c r="E106" i="10"/>
  <c r="E98" i="10"/>
  <c r="G106" i="10"/>
  <c r="E89" i="10"/>
  <c r="E95" i="10"/>
  <c r="G89" i="10"/>
  <c r="E107" i="10"/>
  <c r="E110" i="10"/>
  <c r="G110" i="10"/>
  <c r="E105" i="10"/>
  <c r="G95" i="10"/>
  <c r="G98" i="10"/>
  <c r="G105" i="10"/>
  <c r="M104" i="10"/>
  <c r="M100" i="10"/>
  <c r="M103" i="10"/>
  <c r="O85" i="10"/>
  <c r="O99" i="10"/>
  <c r="M86" i="10"/>
  <c r="M91" i="10"/>
  <c r="M106" i="10"/>
  <c r="O101" i="10"/>
  <c r="O97" i="10"/>
  <c r="O98" i="10"/>
  <c r="O94" i="10"/>
  <c r="M85" i="10"/>
  <c r="M99" i="10"/>
  <c r="M105" i="10"/>
  <c r="O109" i="10"/>
  <c r="M96" i="10"/>
  <c r="M90" i="10"/>
  <c r="M98" i="10"/>
  <c r="M101" i="10"/>
  <c r="M97" i="10"/>
  <c r="O96" i="10"/>
  <c r="O93" i="10"/>
  <c r="M109" i="10"/>
  <c r="M94" i="10"/>
  <c r="O100" i="10"/>
  <c r="O108" i="10"/>
  <c r="M88" i="10"/>
  <c r="M108" i="10"/>
  <c r="M87" i="10"/>
  <c r="M95" i="10"/>
  <c r="O104" i="10"/>
  <c r="O87" i="10"/>
  <c r="O110" i="10"/>
  <c r="M102" i="10"/>
  <c r="M110" i="10"/>
  <c r="O86" i="10"/>
  <c r="O91" i="10"/>
  <c r="O106" i="10"/>
  <c r="O95" i="10"/>
  <c r="O105" i="10"/>
  <c r="M92" i="10"/>
  <c r="O92" i="10"/>
  <c r="M84" i="10"/>
  <c r="O102" i="10"/>
  <c r="O84" i="10"/>
  <c r="O90" i="10"/>
  <c r="M83" i="10"/>
  <c r="O83" i="10"/>
  <c r="M93" i="10"/>
  <c r="M89" i="10"/>
  <c r="M107" i="10"/>
  <c r="O88" i="10"/>
  <c r="O103" i="10"/>
  <c r="O107" i="10"/>
  <c r="O89" i="10"/>
  <c r="J163" i="10"/>
  <c r="J132" i="10"/>
  <c r="J137" i="10"/>
  <c r="J159" i="10"/>
  <c r="J135" i="10"/>
  <c r="J146" i="10"/>
  <c r="J128" i="10"/>
  <c r="J114" i="10"/>
  <c r="J144" i="10"/>
  <c r="J156" i="10"/>
  <c r="J153" i="10"/>
  <c r="J124" i="10"/>
  <c r="J121" i="10"/>
  <c r="J118" i="10"/>
  <c r="J164" i="10"/>
  <c r="J125" i="10"/>
  <c r="J113" i="10"/>
  <c r="J149" i="10"/>
  <c r="J150" i="10"/>
  <c r="J116" i="10"/>
  <c r="J126" i="10"/>
  <c r="J148" i="10"/>
  <c r="J161" i="10"/>
  <c r="J154" i="10"/>
  <c r="J136" i="10"/>
  <c r="J160" i="10"/>
  <c r="J130" i="10"/>
  <c r="J122" i="10"/>
  <c r="J134" i="10"/>
  <c r="J158" i="10"/>
  <c r="J123" i="10"/>
  <c r="J139" i="10"/>
  <c r="J115" i="10"/>
  <c r="J147" i="10"/>
  <c r="J151" i="10"/>
  <c r="J120" i="10"/>
  <c r="J112" i="10"/>
  <c r="J133" i="10"/>
  <c r="J162" i="10"/>
  <c r="J127" i="10"/>
  <c r="J152" i="10"/>
  <c r="J140" i="10"/>
  <c r="J129" i="10"/>
  <c r="J117" i="10"/>
  <c r="J111" i="10"/>
  <c r="J141" i="10"/>
  <c r="J157" i="10"/>
  <c r="J131" i="10"/>
  <c r="J145" i="10"/>
  <c r="J138" i="10"/>
  <c r="J143" i="10"/>
  <c r="J142" i="10"/>
  <c r="J155" i="10"/>
  <c r="J119" i="10"/>
  <c r="K442" i="10"/>
  <c r="K602" i="10"/>
  <c r="K281" i="10"/>
  <c r="K1027" i="10"/>
  <c r="K285" i="10"/>
  <c r="K180" i="10"/>
  <c r="K562" i="10"/>
  <c r="K604" i="10"/>
  <c r="K969" i="10"/>
  <c r="K934" i="10"/>
  <c r="K686" i="10"/>
  <c r="K916" i="10"/>
  <c r="K805" i="10"/>
  <c r="K810" i="10"/>
  <c r="K618" i="10"/>
  <c r="K783" i="10"/>
  <c r="K1061" i="10"/>
  <c r="K888" i="10"/>
  <c r="K880" i="10"/>
  <c r="K997" i="10"/>
  <c r="K238" i="10"/>
  <c r="K1073" i="10"/>
  <c r="K486" i="10"/>
  <c r="K750" i="10"/>
  <c r="K743" i="10"/>
  <c r="K600" i="10"/>
  <c r="K968" i="10"/>
  <c r="K754" i="10"/>
  <c r="K841" i="10"/>
  <c r="K284" i="10"/>
  <c r="K178" i="10"/>
  <c r="K387" i="10"/>
  <c r="K944" i="10"/>
  <c r="K1009" i="10"/>
  <c r="K381" i="10"/>
  <c r="K482" i="10"/>
  <c r="K386" i="10"/>
  <c r="K268" i="10"/>
  <c r="K398" i="10"/>
  <c r="K952" i="10"/>
  <c r="K772" i="10"/>
  <c r="K648" i="10"/>
  <c r="K532" i="10"/>
  <c r="K176" i="10"/>
  <c r="K748" i="10"/>
  <c r="K740" i="10"/>
  <c r="K929" i="10"/>
  <c r="K595" i="10"/>
  <c r="K447" i="10"/>
  <c r="K441" i="10"/>
  <c r="K212" i="10"/>
  <c r="K585" i="10"/>
  <c r="K1013" i="10"/>
  <c r="K775" i="10"/>
  <c r="K529" i="10"/>
  <c r="K864" i="10"/>
  <c r="K592" i="10"/>
  <c r="K804" i="10"/>
  <c r="K473" i="10"/>
  <c r="K873" i="10"/>
  <c r="K521" i="10"/>
  <c r="K445" i="10"/>
  <c r="K528" i="10"/>
  <c r="K1021" i="10"/>
  <c r="K422" i="10"/>
  <c r="K877" i="10"/>
  <c r="K357" i="10"/>
  <c r="K264" i="10"/>
  <c r="K914" i="10"/>
  <c r="K796" i="10"/>
  <c r="K785" i="10"/>
  <c r="K287" i="10"/>
  <c r="K813" i="10"/>
  <c r="K625" i="10"/>
  <c r="K379" i="10"/>
  <c r="K954" i="10"/>
  <c r="K536" i="10"/>
  <c r="K1032" i="10"/>
  <c r="K220" i="10"/>
  <c r="K1017" i="10"/>
  <c r="K217" i="10"/>
  <c r="K179" i="10"/>
  <c r="K185" i="10"/>
  <c r="K708" i="10"/>
  <c r="K1002" i="10"/>
  <c r="K735" i="10"/>
  <c r="K214" i="10"/>
  <c r="K963" i="10"/>
  <c r="K689" i="10"/>
  <c r="K807" i="10"/>
  <c r="K626" i="10"/>
  <c r="K876" i="10"/>
  <c r="K900" i="10"/>
  <c r="K319" i="10"/>
  <c r="K418" i="10"/>
  <c r="K317" i="10"/>
  <c r="K437" i="10"/>
  <c r="K822" i="10"/>
  <c r="K987" i="10"/>
  <c r="K481" i="10"/>
  <c r="K858" i="10"/>
  <c r="K375" i="10"/>
  <c r="K338" i="10"/>
  <c r="K271" i="10"/>
  <c r="K371" i="10"/>
  <c r="K462" i="10"/>
  <c r="K390" i="10"/>
  <c r="K1016" i="10"/>
  <c r="K769" i="10"/>
  <c r="K416" i="10"/>
  <c r="K826" i="10"/>
  <c r="K729" i="10"/>
  <c r="K438" i="10"/>
  <c r="K244" i="10"/>
  <c r="K360" i="10"/>
  <c r="K637" i="10"/>
  <c r="K942" i="10"/>
  <c r="K355" i="10"/>
  <c r="K1003" i="10"/>
  <c r="K974" i="10"/>
  <c r="K668" i="10"/>
  <c r="K485" i="10"/>
  <c r="K458" i="10"/>
  <c r="K586" i="10"/>
  <c r="K977" i="10"/>
  <c r="K728" i="10"/>
  <c r="K475" i="10"/>
  <c r="K224" i="10"/>
  <c r="K644" i="10"/>
  <c r="K341" i="10"/>
  <c r="K698" i="10"/>
  <c r="K346" i="10"/>
  <c r="K939" i="10"/>
  <c r="K1072" i="10"/>
  <c r="K191" i="10"/>
  <c r="K715" i="10"/>
  <c r="K643" i="10"/>
  <c r="K905" i="10"/>
  <c r="K527" i="10"/>
  <c r="K539" i="10"/>
  <c r="K409" i="10"/>
  <c r="K261" i="10"/>
  <c r="K262" i="10"/>
  <c r="K1067" i="10"/>
  <c r="K649" i="10"/>
  <c r="K376" i="10"/>
  <c r="K265" i="10"/>
  <c r="K218" i="10"/>
  <c r="K654" i="10"/>
  <c r="K495" i="10"/>
  <c r="K1043" i="10"/>
  <c r="K403" i="10"/>
  <c r="K579" i="10"/>
  <c r="K680" i="10"/>
  <c r="K684" i="10"/>
  <c r="K351" i="10"/>
  <c r="K645" i="10"/>
  <c r="K240" i="10"/>
  <c r="K588" i="10"/>
  <c r="K235" i="10"/>
  <c r="K825" i="10"/>
  <c r="K408" i="10"/>
  <c r="K700" i="10"/>
  <c r="K856" i="10"/>
  <c r="K370" i="10"/>
  <c r="K753" i="10"/>
  <c r="K567" i="10"/>
  <c r="K273" i="10"/>
  <c r="K1004" i="10"/>
  <c r="K233" i="10"/>
  <c r="K404" i="10"/>
  <c r="K1065" i="10"/>
  <c r="K297" i="10"/>
  <c r="K1005" i="10"/>
  <c r="K745" i="10"/>
  <c r="K574" i="10"/>
  <c r="K712" i="10"/>
  <c r="K391" i="10"/>
  <c r="K476" i="10"/>
  <c r="K821" i="10"/>
  <c r="K765" i="10"/>
  <c r="K722" i="10"/>
  <c r="K869" i="10"/>
  <c r="K751" i="10"/>
  <c r="K718" i="10"/>
  <c r="K505" i="10"/>
  <c r="K852" i="10"/>
  <c r="K653" i="10"/>
  <c r="K642" i="10"/>
  <c r="K378" i="10"/>
  <c r="K849" i="10"/>
  <c r="K249" i="10"/>
  <c r="K924" i="10"/>
  <c r="K298" i="10"/>
  <c r="K872" i="10"/>
  <c r="K831" i="10"/>
  <c r="K187" i="10"/>
  <c r="K662" i="10"/>
  <c r="K514" i="10"/>
  <c r="K994" i="10"/>
  <c r="K884" i="10"/>
  <c r="K497" i="10"/>
  <c r="K1046" i="10"/>
  <c r="K816" i="10"/>
  <c r="K561" i="10"/>
  <c r="K734" i="10"/>
  <c r="K628" i="10"/>
  <c r="K258" i="10"/>
  <c r="K436" i="10"/>
  <c r="K502" i="10"/>
  <c r="K1045" i="10"/>
  <c r="K196" i="10"/>
  <c r="K1026" i="10"/>
  <c r="K616" i="10"/>
  <c r="K757" i="10"/>
  <c r="K385" i="10"/>
  <c r="K922" i="10"/>
  <c r="K634" i="10"/>
  <c r="K471" i="10"/>
  <c r="K611" i="10"/>
  <c r="K767" i="10"/>
  <c r="K569" i="10"/>
  <c r="K792" i="10"/>
  <c r="K511" i="10"/>
  <c r="K254" i="10"/>
  <c r="K227" i="10"/>
  <c r="K399" i="10"/>
  <c r="K348" i="10"/>
  <c r="K597" i="10"/>
  <c r="K837" i="10"/>
  <c r="K1036" i="10"/>
  <c r="K744" i="10"/>
  <c r="K959" i="10"/>
  <c r="K641" i="10"/>
  <c r="K979" i="10"/>
  <c r="K996" i="10"/>
  <c r="K855" i="10"/>
  <c r="K279" i="10"/>
  <c r="K607" i="10"/>
  <c r="K843" i="10"/>
  <c r="K340" i="10"/>
  <c r="K799" i="10"/>
  <c r="K861" i="10"/>
  <c r="K450" i="10"/>
  <c r="K301" i="10"/>
  <c r="K293" i="10"/>
  <c r="K525" i="10"/>
  <c r="K304" i="10"/>
  <c r="K860" i="10"/>
  <c r="K255" i="10"/>
  <c r="K964" i="10"/>
  <c r="K314" i="10"/>
  <c r="K324" i="10"/>
  <c r="K530" i="10"/>
  <c r="K427" i="10"/>
  <c r="K548" i="10"/>
  <c r="K189" i="10"/>
  <c r="K920" i="10"/>
  <c r="K1008" i="10"/>
  <c r="K200" i="10"/>
  <c r="K169" i="10"/>
  <c r="K909" i="10"/>
  <c r="K193" i="10"/>
  <c r="K377" i="10"/>
  <c r="K827" i="10"/>
  <c r="K519" i="10"/>
  <c r="K551" i="10"/>
  <c r="K814" i="10"/>
  <c r="K311" i="10"/>
  <c r="K781" i="10"/>
  <c r="K211" i="10"/>
  <c r="K241" i="10"/>
  <c r="K687" i="10"/>
  <c r="K882" i="10"/>
  <c r="K1048" i="10"/>
  <c r="K388" i="10"/>
  <c r="K928" i="10"/>
  <c r="K389" i="10"/>
  <c r="K707" i="10"/>
  <c r="K949" i="10"/>
  <c r="K294" i="10"/>
  <c r="K834" i="10"/>
  <c r="K288" i="10"/>
  <c r="K844" i="10"/>
  <c r="K454" i="10"/>
  <c r="K917" i="10"/>
  <c r="K573" i="10"/>
  <c r="K862" i="10"/>
  <c r="I104" i="10"/>
  <c r="I85" i="10"/>
  <c r="I86" i="10"/>
  <c r="I96" i="10"/>
  <c r="I101" i="10"/>
  <c r="I109" i="10"/>
  <c r="I92" i="10"/>
  <c r="I83" i="10"/>
  <c r="I100" i="10"/>
  <c r="I84" i="10"/>
  <c r="I88" i="10"/>
  <c r="I99" i="10"/>
  <c r="I102" i="10"/>
  <c r="I87" i="10"/>
  <c r="I91" i="10"/>
  <c r="I90" i="10"/>
  <c r="I108" i="10"/>
  <c r="I93" i="10"/>
  <c r="I94" i="10"/>
  <c r="I97" i="10"/>
  <c r="I107" i="10"/>
  <c r="I103" i="10"/>
  <c r="I110" i="10"/>
  <c r="I106" i="10"/>
  <c r="I98" i="10"/>
  <c r="I89" i="10"/>
  <c r="I95" i="10"/>
  <c r="I105" i="10"/>
  <c r="G862" i="10"/>
  <c r="E1064" i="10"/>
  <c r="G861" i="10"/>
  <c r="E225" i="10"/>
  <c r="G495" i="10"/>
  <c r="E412" i="10"/>
  <c r="E573" i="10"/>
  <c r="G625" i="10"/>
  <c r="E799" i="10"/>
  <c r="G607" i="10"/>
  <c r="E818" i="10"/>
  <c r="G334" i="10"/>
  <c r="E654" i="10"/>
  <c r="G530" i="10"/>
  <c r="E813" i="10"/>
  <c r="G829" i="10"/>
  <c r="E472" i="10"/>
  <c r="G242" i="10"/>
  <c r="E785" i="10"/>
  <c r="G870" i="10"/>
  <c r="E343" i="10"/>
  <c r="G1064" i="10"/>
  <c r="E236" i="10"/>
  <c r="G225" i="10"/>
  <c r="E639" i="10"/>
  <c r="G412" i="10"/>
  <c r="E320" i="10"/>
  <c r="G573" i="10"/>
  <c r="E173" i="10"/>
  <c r="G654" i="10"/>
  <c r="G813" i="10"/>
  <c r="E866" i="10"/>
  <c r="G472" i="10"/>
  <c r="E235" i="10"/>
  <c r="G785" i="10"/>
  <c r="E1070" i="10"/>
  <c r="E594" i="10"/>
  <c r="G236" i="10"/>
  <c r="E820" i="10"/>
  <c r="G639" i="10"/>
  <c r="E1044" i="10"/>
  <c r="G320" i="10"/>
  <c r="E693" i="10"/>
  <c r="G173" i="10"/>
  <c r="E843" i="10"/>
  <c r="G275" i="10"/>
  <c r="E938" i="10"/>
  <c r="E1000" i="10"/>
  <c r="E918" i="10"/>
  <c r="G866" i="10"/>
  <c r="E454" i="10"/>
  <c r="G235" i="10"/>
  <c r="E331" i="10"/>
  <c r="G1070" i="10"/>
  <c r="E847" i="10"/>
  <c r="G656" i="10"/>
  <c r="E708" i="10"/>
  <c r="G594" i="10"/>
  <c r="E1002" i="10"/>
  <c r="G820" i="10"/>
  <c r="E803" i="10"/>
  <c r="G1044" i="10"/>
  <c r="E553" i="10"/>
  <c r="G693" i="10"/>
  <c r="E1039" i="10"/>
  <c r="G843" i="10"/>
  <c r="E699" i="10"/>
  <c r="G938" i="10"/>
  <c r="E166" i="10"/>
  <c r="G1000" i="10"/>
  <c r="E306" i="10"/>
  <c r="G918" i="10"/>
  <c r="E345" i="10"/>
  <c r="G454" i="10"/>
  <c r="E450" i="10"/>
  <c r="G331" i="10"/>
  <c r="E1043" i="10"/>
  <c r="G1002" i="10"/>
  <c r="E704" i="10"/>
  <c r="G803" i="10"/>
  <c r="E825" i="10"/>
  <c r="G553" i="10"/>
  <c r="E1010" i="10"/>
  <c r="G1039" i="10"/>
  <c r="E199" i="10"/>
  <c r="G699" i="10"/>
  <c r="E534" i="10"/>
  <c r="G166" i="10"/>
  <c r="E613" i="10"/>
  <c r="G949" i="10"/>
  <c r="E445" i="10"/>
  <c r="G868" i="10"/>
  <c r="E540" i="10"/>
  <c r="G218" i="10"/>
  <c r="E649" i="10"/>
  <c r="E861" i="10"/>
  <c r="G847" i="10"/>
  <c r="G747" i="10"/>
  <c r="E265" i="10"/>
  <c r="G389" i="10"/>
  <c r="E744" i="10"/>
  <c r="G557" i="10"/>
  <c r="E506" i="10"/>
  <c r="E599" i="10"/>
  <c r="E555" i="10"/>
  <c r="E625" i="10"/>
  <c r="G343" i="10"/>
  <c r="E379" i="10"/>
  <c r="G306" i="10"/>
  <c r="G599" i="10"/>
  <c r="G825" i="10"/>
  <c r="G450" i="10"/>
  <c r="G555" i="10"/>
  <c r="G199" i="10"/>
  <c r="E530" i="10"/>
  <c r="G379" i="10"/>
  <c r="E656" i="10"/>
  <c r="E376" i="10"/>
  <c r="E796" i="10"/>
  <c r="G318" i="10"/>
  <c r="E411" i="10"/>
  <c r="E652" i="10"/>
  <c r="G799" i="10"/>
  <c r="E844" i="10"/>
  <c r="E607" i="10"/>
  <c r="G818" i="10"/>
  <c r="G928" i="10"/>
  <c r="G186" i="10"/>
  <c r="G1035" i="10"/>
  <c r="G324" i="10"/>
  <c r="G445" i="10"/>
  <c r="E960" i="10"/>
  <c r="E415" i="10"/>
  <c r="E936" i="10"/>
  <c r="E288" i="10"/>
  <c r="E237" i="10"/>
  <c r="E201" i="10"/>
  <c r="E868" i="10"/>
  <c r="E279" i="10"/>
  <c r="E862" i="10"/>
  <c r="E495" i="10"/>
  <c r="E242" i="10"/>
  <c r="E1053" i="10"/>
  <c r="G376" i="10"/>
  <c r="G796" i="10"/>
  <c r="E313" i="10"/>
  <c r="G411" i="10"/>
  <c r="E287" i="10"/>
  <c r="E598" i="10"/>
  <c r="E892" i="10"/>
  <c r="G652" i="10"/>
  <c r="G613" i="10"/>
  <c r="G844" i="10"/>
  <c r="G960" i="10"/>
  <c r="G415" i="10"/>
  <c r="G936" i="10"/>
  <c r="G288" i="10"/>
  <c r="G237" i="10"/>
  <c r="G201" i="10"/>
  <c r="G279" i="10"/>
  <c r="G540" i="10"/>
  <c r="E452" i="10"/>
  <c r="E995" i="10"/>
  <c r="E422" i="10"/>
  <c r="E181" i="10"/>
  <c r="E434" i="10"/>
  <c r="E917" i="10"/>
  <c r="E340" i="10"/>
  <c r="E218" i="10"/>
  <c r="E459" i="10"/>
  <c r="G216" i="10"/>
  <c r="E707" i="10"/>
  <c r="G388" i="10"/>
  <c r="E979" i="10"/>
  <c r="G1067" i="10"/>
  <c r="E294" i="10"/>
  <c r="E334" i="10"/>
  <c r="E829" i="10"/>
  <c r="G221" i="10"/>
  <c r="E747" i="10"/>
  <c r="G190" i="10"/>
  <c r="E389" i="10"/>
  <c r="E275" i="10"/>
  <c r="E216" i="10"/>
  <c r="E988" i="10"/>
  <c r="E261" i="10"/>
  <c r="E877" i="10"/>
  <c r="G846" i="10"/>
  <c r="E527" i="10"/>
  <c r="G521" i="10"/>
  <c r="E939" i="10"/>
  <c r="G560" i="10"/>
  <c r="G687" i="10"/>
  <c r="E419" i="10"/>
  <c r="E1035" i="10"/>
  <c r="G452" i="10"/>
  <c r="G181" i="10"/>
  <c r="G917" i="10"/>
  <c r="G459" i="10"/>
  <c r="G260" i="10"/>
  <c r="G549" i="10"/>
  <c r="E314" i="10"/>
  <c r="G194" i="10"/>
  <c r="G756" i="10"/>
  <c r="E431" i="10"/>
  <c r="G959" i="10"/>
  <c r="E873" i="10"/>
  <c r="G932" i="10"/>
  <c r="E730" i="10"/>
  <c r="G345" i="10"/>
  <c r="G1053" i="10"/>
  <c r="E363" i="10"/>
  <c r="E354" i="10"/>
  <c r="G988" i="10"/>
  <c r="G261" i="10"/>
  <c r="G877" i="10"/>
  <c r="G527" i="10"/>
  <c r="E886" i="10"/>
  <c r="G939" i="10"/>
  <c r="E1062" i="10"/>
  <c r="E771" i="10"/>
  <c r="G1010" i="10"/>
  <c r="G892" i="10"/>
  <c r="G708" i="10"/>
  <c r="E949" i="10"/>
  <c r="E1072" i="10"/>
  <c r="G744" i="10"/>
  <c r="G979" i="10"/>
  <c r="G314" i="10"/>
  <c r="E528" i="10"/>
  <c r="E1036" i="10"/>
  <c r="G431" i="10"/>
  <c r="E905" i="10"/>
  <c r="G873" i="10"/>
  <c r="E928" i="10"/>
  <c r="G313" i="10"/>
  <c r="G363" i="10"/>
  <c r="G354" i="10"/>
  <c r="G886" i="10"/>
  <c r="G422" i="10"/>
  <c r="G1072" i="10"/>
  <c r="E510" i="10"/>
  <c r="E388" i="10"/>
  <c r="G528" i="10"/>
  <c r="E641" i="10"/>
  <c r="E186" i="10"/>
  <c r="E221" i="10"/>
  <c r="G704" i="10"/>
  <c r="G598" i="10"/>
  <c r="E870" i="10"/>
  <c r="G649" i="10"/>
  <c r="G935" i="10"/>
  <c r="E846" i="10"/>
  <c r="G264" i="10"/>
  <c r="E521" i="10"/>
  <c r="G534" i="10"/>
  <c r="E318" i="10"/>
  <c r="G287" i="10"/>
  <c r="E260" i="10"/>
  <c r="G456" i="10"/>
  <c r="E557" i="10"/>
  <c r="G506" i="10"/>
  <c r="G945" i="10"/>
  <c r="G834" i="10"/>
  <c r="G855" i="10"/>
  <c r="G290" i="10"/>
  <c r="G294" i="10"/>
  <c r="E549" i="10"/>
  <c r="G996" i="10"/>
  <c r="E194" i="10"/>
  <c r="G262" i="10"/>
  <c r="E756" i="10"/>
  <c r="G946" i="10"/>
  <c r="E855" i="10"/>
  <c r="G183" i="10"/>
  <c r="G657" i="10"/>
  <c r="G871" i="10"/>
  <c r="G786" i="10"/>
  <c r="E172" i="10"/>
  <c r="G417" i="10"/>
  <c r="E211" i="10"/>
  <c r="G480" i="10"/>
  <c r="E270" i="10"/>
  <c r="E945" i="10"/>
  <c r="G1036" i="10"/>
  <c r="G905" i="10"/>
  <c r="E357" i="10"/>
  <c r="G592" i="10"/>
  <c r="E837" i="10"/>
  <c r="G400" i="10"/>
  <c r="E643" i="10"/>
  <c r="G227" i="10"/>
  <c r="E763" i="10"/>
  <c r="G185" i="10"/>
  <c r="E935" i="10"/>
  <c r="G641" i="10"/>
  <c r="E289" i="10"/>
  <c r="G1062" i="10"/>
  <c r="E1048" i="10"/>
  <c r="G357" i="10"/>
  <c r="G914" i="10"/>
  <c r="G719" i="10"/>
  <c r="E742" i="10"/>
  <c r="G635" i="10"/>
  <c r="E692" i="10"/>
  <c r="G234" i="10"/>
  <c r="E396" i="10"/>
  <c r="G778" i="10"/>
  <c r="E694" i="10"/>
  <c r="E324" i="10"/>
  <c r="G510" i="10"/>
  <c r="E456" i="10"/>
  <c r="G289" i="10"/>
  <c r="E996" i="10"/>
  <c r="E383" i="10"/>
  <c r="G1048" i="10"/>
  <c r="E834" i="10"/>
  <c r="E993" i="10"/>
  <c r="E409" i="10"/>
  <c r="E464" i="10"/>
  <c r="E904" i="10"/>
  <c r="G742" i="10"/>
  <c r="E930" i="10"/>
  <c r="G707" i="10"/>
  <c r="E448" i="10"/>
  <c r="G383" i="10"/>
  <c r="E539" i="10"/>
  <c r="E1021" i="10"/>
  <c r="E746" i="10"/>
  <c r="E315" i="10"/>
  <c r="E426" i="10"/>
  <c r="E948" i="10"/>
  <c r="E736" i="10"/>
  <c r="E932" i="10"/>
  <c r="E170" i="10"/>
  <c r="G348" i="10"/>
  <c r="E300" i="10"/>
  <c r="G1054" i="10"/>
  <c r="E955" i="10"/>
  <c r="E264" i="10"/>
  <c r="E348" i="10"/>
  <c r="E191" i="10"/>
  <c r="E1042" i="10"/>
  <c r="G479" i="10"/>
  <c r="E473" i="10"/>
  <c r="G478" i="10"/>
  <c r="G781" i="10"/>
  <c r="E1049" i="10"/>
  <c r="G346" i="10"/>
  <c r="E927" i="10"/>
  <c r="G1057" i="10"/>
  <c r="E666" i="10"/>
  <c r="G175" i="10"/>
  <c r="E1067" i="10"/>
  <c r="E657" i="10"/>
  <c r="E262" i="10"/>
  <c r="G730" i="10"/>
  <c r="E999" i="10"/>
  <c r="G276" i="10"/>
  <c r="G240" i="10"/>
  <c r="E893" i="10"/>
  <c r="G683" i="10"/>
  <c r="E670" i="10"/>
  <c r="G539" i="10"/>
  <c r="G837" i="10"/>
  <c r="E1029" i="10"/>
  <c r="G409" i="10"/>
  <c r="G1043" i="10"/>
  <c r="G340" i="10"/>
  <c r="E946" i="10"/>
  <c r="E871" i="10"/>
  <c r="G448" i="10"/>
  <c r="G746" i="10"/>
  <c r="E953" i="10"/>
  <c r="E804" i="10"/>
  <c r="G1029" i="10"/>
  <c r="G955" i="10"/>
  <c r="G396" i="10"/>
  <c r="G965" i="10"/>
  <c r="G414" i="10"/>
  <c r="E290" i="10"/>
  <c r="E560" i="10"/>
  <c r="G170" i="10"/>
  <c r="G172" i="10"/>
  <c r="G643" i="10"/>
  <c r="E631" i="10"/>
  <c r="G763" i="10"/>
  <c r="G421" i="10"/>
  <c r="G434" i="10"/>
  <c r="E183" i="10"/>
  <c r="G993" i="10"/>
  <c r="G904" i="10"/>
  <c r="G426" i="10"/>
  <c r="G953" i="10"/>
  <c r="G804" i="10"/>
  <c r="E227" i="10"/>
  <c r="G270" i="10"/>
  <c r="E413" i="10"/>
  <c r="E836" i="10"/>
  <c r="E364" i="10"/>
  <c r="E529" i="10"/>
  <c r="E800" i="10"/>
  <c r="G811" i="10"/>
  <c r="E882" i="10"/>
  <c r="G265" i="10"/>
  <c r="G464" i="10"/>
  <c r="G771" i="10"/>
  <c r="E592" i="10"/>
  <c r="E296" i="10"/>
  <c r="G211" i="10"/>
  <c r="E1054" i="10"/>
  <c r="G631" i="10"/>
  <c r="E778" i="10"/>
  <c r="E537" i="10"/>
  <c r="E660" i="10"/>
  <c r="G254" i="10"/>
  <c r="G795" i="10"/>
  <c r="G423" i="10"/>
  <c r="E864" i="10"/>
  <c r="G498" i="10"/>
  <c r="G995" i="10"/>
  <c r="E764" i="10"/>
  <c r="E959" i="10"/>
  <c r="G948" i="10"/>
  <c r="E588" i="10"/>
  <c r="G300" i="10"/>
  <c r="E400" i="10"/>
  <c r="E480" i="10"/>
  <c r="E277" i="10"/>
  <c r="G694" i="10"/>
  <c r="G413" i="10"/>
  <c r="G836" i="10"/>
  <c r="G364" i="10"/>
  <c r="G529" i="10"/>
  <c r="G800" i="10"/>
  <c r="E978" i="10"/>
  <c r="G882" i="10"/>
  <c r="E1028" i="10"/>
  <c r="G597" i="10"/>
  <c r="E814" i="10"/>
  <c r="G715" i="10"/>
  <c r="E190" i="10"/>
  <c r="G764" i="10"/>
  <c r="G588" i="10"/>
  <c r="E719" i="10"/>
  <c r="E479" i="10"/>
  <c r="G361" i="10"/>
  <c r="G315" i="10"/>
  <c r="E786" i="10"/>
  <c r="G930" i="10"/>
  <c r="G692" i="10"/>
  <c r="E478" i="10"/>
  <c r="E690" i="10"/>
  <c r="G893" i="10"/>
  <c r="E925" i="10"/>
  <c r="E1057" i="10"/>
  <c r="G554" i="10"/>
  <c r="E423" i="10"/>
  <c r="G977" i="10"/>
  <c r="E775" i="10"/>
  <c r="G887" i="10"/>
  <c r="E782" i="10"/>
  <c r="E635" i="10"/>
  <c r="G537" i="10"/>
  <c r="E811" i="10"/>
  <c r="G248" i="10"/>
  <c r="E792" i="10"/>
  <c r="G787" i="10"/>
  <c r="E447" i="10"/>
  <c r="G601" i="10"/>
  <c r="E274" i="10"/>
  <c r="G420" i="10"/>
  <c r="E941" i="10"/>
  <c r="G473" i="10"/>
  <c r="G277" i="10"/>
  <c r="G690" i="10"/>
  <c r="G1028" i="10"/>
  <c r="G925" i="10"/>
  <c r="E341" i="10"/>
  <c r="G775" i="10"/>
  <c r="E809" i="10"/>
  <c r="G782" i="10"/>
  <c r="E223" i="10"/>
  <c r="G767" i="10"/>
  <c r="G611" i="10"/>
  <c r="E372" i="10"/>
  <c r="E914" i="10"/>
  <c r="E414" i="10"/>
  <c r="G1049" i="10"/>
  <c r="G670" i="10"/>
  <c r="G814" i="10"/>
  <c r="G792" i="10"/>
  <c r="E234" i="10"/>
  <c r="G978" i="10"/>
  <c r="E361" i="10"/>
  <c r="G419" i="10"/>
  <c r="E417" i="10"/>
  <c r="E240" i="10"/>
  <c r="E675" i="10"/>
  <c r="G927" i="10"/>
  <c r="E399" i="10"/>
  <c r="E1050" i="10"/>
  <c r="E1060" i="10"/>
  <c r="E327" i="10"/>
  <c r="E498" i="10"/>
  <c r="E179" i="10"/>
  <c r="G964" i="10"/>
  <c r="E609" i="10"/>
  <c r="E878" i="10"/>
  <c r="G605" i="10"/>
  <c r="E854" i="10"/>
  <c r="G736" i="10"/>
  <c r="E276" i="10"/>
  <c r="E185" i="10"/>
  <c r="G660" i="10"/>
  <c r="E683" i="10"/>
  <c r="E795" i="10"/>
  <c r="E985" i="10"/>
  <c r="G585" i="10"/>
  <c r="E603" i="10"/>
  <c r="E266" i="10"/>
  <c r="G167" i="10"/>
  <c r="E508" i="10"/>
  <c r="E421" i="10"/>
  <c r="G1041" i="10"/>
  <c r="G808" i="10"/>
  <c r="E554" i="10"/>
  <c r="G666" i="10"/>
  <c r="E715" i="10"/>
  <c r="G864" i="10"/>
  <c r="G440" i="10"/>
  <c r="G651" i="10"/>
  <c r="G727" i="10"/>
  <c r="E977" i="10"/>
  <c r="G311" i="10"/>
  <c r="E887" i="10"/>
  <c r="G511" i="10"/>
  <c r="E373" i="10"/>
  <c r="G698" i="10"/>
  <c r="G226" i="10"/>
  <c r="E272" i="10"/>
  <c r="G674" i="10"/>
  <c r="G296" i="10"/>
  <c r="E248" i="10"/>
  <c r="G617" i="10"/>
  <c r="E787" i="10"/>
  <c r="G1069" i="10"/>
  <c r="E601" i="10"/>
  <c r="G487" i="10"/>
  <c r="G1018" i="10"/>
  <c r="E420" i="10"/>
  <c r="G655" i="10"/>
  <c r="E687" i="10"/>
  <c r="G1042" i="10"/>
  <c r="G675" i="10"/>
  <c r="E808" i="10"/>
  <c r="E585" i="10"/>
  <c r="G1050" i="10"/>
  <c r="G327" i="10"/>
  <c r="G179" i="10"/>
  <c r="E781" i="10"/>
  <c r="E175" i="10"/>
  <c r="E551" i="10"/>
  <c r="G569" i="10"/>
  <c r="E503" i="10"/>
  <c r="E611" i="10"/>
  <c r="G941" i="10"/>
  <c r="E241" i="10"/>
  <c r="E617" i="10"/>
  <c r="G609" i="10"/>
  <c r="E605" i="10"/>
  <c r="E655" i="10"/>
  <c r="E610" i="10"/>
  <c r="E440" i="10"/>
  <c r="E335" i="10"/>
  <c r="G551" i="10"/>
  <c r="E515" i="10"/>
  <c r="G503" i="10"/>
  <c r="G241" i="10"/>
  <c r="E1069" i="10"/>
  <c r="E458" i="10"/>
  <c r="E436" i="10"/>
  <c r="G610" i="10"/>
  <c r="G191" i="10"/>
  <c r="G999" i="10"/>
  <c r="G809" i="10"/>
  <c r="G335" i="10"/>
  <c r="G515" i="10"/>
  <c r="G373" i="10"/>
  <c r="E439" i="10"/>
  <c r="G616" i="10"/>
  <c r="G929" i="10"/>
  <c r="G433" i="10"/>
  <c r="G740" i="10"/>
  <c r="G1013" i="10"/>
  <c r="G832" i="10"/>
  <c r="G668" i="10"/>
  <c r="G519" i="10"/>
  <c r="E1047" i="10"/>
  <c r="G263" i="10"/>
  <c r="E806" i="10"/>
  <c r="G595" i="10"/>
  <c r="E658" i="10"/>
  <c r="G798" i="10"/>
  <c r="G399" i="10"/>
  <c r="G1060" i="10"/>
  <c r="E167" i="10"/>
  <c r="E875" i="10"/>
  <c r="G458" i="10"/>
  <c r="E350" i="10"/>
  <c r="G436" i="10"/>
  <c r="E382" i="10"/>
  <c r="G894" i="10"/>
  <c r="E217" i="10"/>
  <c r="G428" i="10"/>
  <c r="G650" i="10"/>
  <c r="E1041" i="10"/>
  <c r="G603" i="10"/>
  <c r="G266" i="10"/>
  <c r="E487" i="10"/>
  <c r="E1018" i="10"/>
  <c r="E644" i="10"/>
  <c r="G439" i="10"/>
  <c r="E923" i="10"/>
  <c r="G1047" i="10"/>
  <c r="E768" i="10"/>
  <c r="G806" i="10"/>
  <c r="E827" i="10"/>
  <c r="G658" i="10"/>
  <c r="E446" i="10"/>
  <c r="G474" i="10"/>
  <c r="E405" i="10"/>
  <c r="E311" i="10"/>
  <c r="E767" i="10"/>
  <c r="E698" i="10"/>
  <c r="G224" i="10"/>
  <c r="G645" i="10"/>
  <c r="E817" i="10"/>
  <c r="G1024" i="10"/>
  <c r="G586" i="10"/>
  <c r="E773" i="10"/>
  <c r="G891" i="10"/>
  <c r="E889" i="10"/>
  <c r="G648" i="10"/>
  <c r="E308" i="10"/>
  <c r="G222" i="10"/>
  <c r="E637" i="10"/>
  <c r="E964" i="10"/>
  <c r="G878" i="10"/>
  <c r="E511" i="10"/>
  <c r="E569" i="10"/>
  <c r="G372" i="10"/>
  <c r="G407" i="10"/>
  <c r="G922" i="10"/>
  <c r="E902" i="10"/>
  <c r="G748" i="10"/>
  <c r="G974" i="10"/>
  <c r="E840" i="10"/>
  <c r="G985" i="10"/>
  <c r="G471" i="10"/>
  <c r="E651" i="10"/>
  <c r="G854" i="10"/>
  <c r="G644" i="10"/>
  <c r="E832" i="10"/>
  <c r="E645" i="10"/>
  <c r="E475" i="10"/>
  <c r="G212" i="10"/>
  <c r="G827" i="10"/>
  <c r="G223" i="10"/>
  <c r="E929" i="10"/>
  <c r="E975" i="10"/>
  <c r="G840" i="10"/>
  <c r="E474" i="10"/>
  <c r="G405" i="10"/>
  <c r="G533" i="10"/>
  <c r="G308" i="10"/>
  <c r="E702" i="10"/>
  <c r="E286" i="10"/>
  <c r="E215" i="10"/>
  <c r="E556" i="10"/>
  <c r="E634" i="10"/>
  <c r="E325" i="10"/>
  <c r="E705" i="10"/>
  <c r="E951" i="10"/>
  <c r="E222" i="10"/>
  <c r="E269" i="10"/>
  <c r="G377" i="10"/>
  <c r="G757" i="10"/>
  <c r="E909" i="10"/>
  <c r="G485" i="10"/>
  <c r="E460" i="10"/>
  <c r="G447" i="10"/>
  <c r="E674" i="10"/>
  <c r="G475" i="10"/>
  <c r="G768" i="10"/>
  <c r="G902" i="10"/>
  <c r="E401" i="10"/>
  <c r="G1025" i="10"/>
  <c r="G507" i="10"/>
  <c r="E912" i="10"/>
  <c r="G193" i="10"/>
  <c r="E1052" i="10"/>
  <c r="E346" i="10"/>
  <c r="G923" i="10"/>
  <c r="G217" i="10"/>
  <c r="E974" i="10"/>
  <c r="E798" i="10"/>
  <c r="G401" i="10"/>
  <c r="G875" i="10"/>
  <c r="G350" i="10"/>
  <c r="E355" i="10"/>
  <c r="G926" i="10"/>
  <c r="E748" i="10"/>
  <c r="E441" i="10"/>
  <c r="E650" i="10"/>
  <c r="G368" i="10"/>
  <c r="E828" i="10"/>
  <c r="G724" i="10"/>
  <c r="E176" i="10"/>
  <c r="G942" i="10"/>
  <c r="E776" i="10"/>
  <c r="E597" i="10"/>
  <c r="E224" i="10"/>
  <c r="E616" i="10"/>
  <c r="G382" i="10"/>
  <c r="E891" i="10"/>
  <c r="E255" i="10"/>
  <c r="G991" i="10"/>
  <c r="E584" i="10"/>
  <c r="G231" i="10"/>
  <c r="E501" i="10"/>
  <c r="G341" i="10"/>
  <c r="E727" i="10"/>
  <c r="E226" i="10"/>
  <c r="G272" i="10"/>
  <c r="E668" i="10"/>
  <c r="G508" i="10"/>
  <c r="E519" i="10"/>
  <c r="E407" i="10"/>
  <c r="E471" i="10"/>
  <c r="E894" i="10"/>
  <c r="G728" i="10"/>
  <c r="E595" i="10"/>
  <c r="E254" i="10"/>
  <c r="E1013" i="10"/>
  <c r="E1024" i="10"/>
  <c r="E212" i="10"/>
  <c r="G794" i="10"/>
  <c r="G446" i="10"/>
  <c r="E538" i="10"/>
  <c r="G309" i="10"/>
  <c r="E433" i="10"/>
  <c r="G975" i="10"/>
  <c r="G828" i="10"/>
  <c r="E502" i="10"/>
  <c r="E942" i="10"/>
  <c r="G776" i="10"/>
  <c r="G461" i="10"/>
  <c r="G321" i="10"/>
  <c r="G352" i="10"/>
  <c r="G524" i="10"/>
  <c r="E612" i="10"/>
  <c r="G688" i="10"/>
  <c r="E432" i="10"/>
  <c r="G483" i="10"/>
  <c r="E188" i="10"/>
  <c r="E965" i="10"/>
  <c r="E794" i="10"/>
  <c r="E648" i="10"/>
  <c r="G702" i="10"/>
  <c r="G634" i="10"/>
  <c r="E991" i="10"/>
  <c r="G627" i="10"/>
  <c r="E780" i="10"/>
  <c r="G772" i="10"/>
  <c r="E860" i="10"/>
  <c r="G518" i="10"/>
  <c r="E789" i="10"/>
  <c r="G278" i="10"/>
  <c r="E762" i="10"/>
  <c r="E507" i="10"/>
  <c r="E725" i="10"/>
  <c r="G1052" i="10"/>
  <c r="E757" i="10"/>
  <c r="G909" i="10"/>
  <c r="G502" i="10"/>
  <c r="E381" i="10"/>
  <c r="G612" i="10"/>
  <c r="E204" i="10"/>
  <c r="G432" i="10"/>
  <c r="E580" i="10"/>
  <c r="G188" i="10"/>
  <c r="E961" i="10"/>
  <c r="E329" i="10"/>
  <c r="G906" i="10"/>
  <c r="E546" i="10"/>
  <c r="G897" i="10"/>
  <c r="E374" i="10"/>
  <c r="G355" i="10"/>
  <c r="E263" i="10"/>
  <c r="E368" i="10"/>
  <c r="E726" i="10"/>
  <c r="G780" i="10"/>
  <c r="G860" i="10"/>
  <c r="E790" i="10"/>
  <c r="E468" i="10"/>
  <c r="G789" i="10"/>
  <c r="E581" i="10"/>
  <c r="G762" i="10"/>
  <c r="E957" i="10"/>
  <c r="G791" i="10"/>
  <c r="G899" i="10"/>
  <c r="E1012" i="10"/>
  <c r="G1021" i="10"/>
  <c r="E740" i="10"/>
  <c r="E728" i="10"/>
  <c r="E586" i="10"/>
  <c r="G773" i="10"/>
  <c r="G556" i="10"/>
  <c r="G951" i="10"/>
  <c r="G725" i="10"/>
  <c r="E165" i="10"/>
  <c r="G381" i="10"/>
  <c r="E463" i="10"/>
  <c r="E385" i="10"/>
  <c r="E193" i="10"/>
  <c r="E952" i="10"/>
  <c r="G726" i="10"/>
  <c r="E830" i="10"/>
  <c r="G790" i="10"/>
  <c r="E206" i="10"/>
  <c r="G468" i="10"/>
  <c r="E784" i="10"/>
  <c r="G581" i="10"/>
  <c r="E696" i="10"/>
  <c r="G957" i="10"/>
  <c r="E497" i="10"/>
  <c r="G889" i="10"/>
  <c r="G538" i="10"/>
  <c r="G255" i="10"/>
  <c r="G912" i="10"/>
  <c r="E972" i="10"/>
  <c r="G165" i="10"/>
  <c r="E485" i="10"/>
  <c r="E307" i="10"/>
  <c r="G463" i="10"/>
  <c r="E453" i="10"/>
  <c r="E219" i="10"/>
  <c r="G1017" i="10"/>
  <c r="E1026" i="10"/>
  <c r="E966" i="10"/>
  <c r="G817" i="10"/>
  <c r="E922" i="10"/>
  <c r="E309" i="10"/>
  <c r="G286" i="10"/>
  <c r="G325" i="10"/>
  <c r="G269" i="10"/>
  <c r="G584" i="10"/>
  <c r="E461" i="10"/>
  <c r="E321" i="10"/>
  <c r="G195" i="10"/>
  <c r="G196" i="10"/>
  <c r="E352" i="10"/>
  <c r="G1003" i="10"/>
  <c r="E524" i="10"/>
  <c r="E688" i="10"/>
  <c r="G532" i="10"/>
  <c r="E483" i="10"/>
  <c r="G239" i="10"/>
  <c r="E578" i="10"/>
  <c r="G274" i="10"/>
  <c r="E627" i="10"/>
  <c r="E724" i="10"/>
  <c r="G305" i="10"/>
  <c r="G793" i="10"/>
  <c r="E772" i="10"/>
  <c r="G310" i="10"/>
  <c r="G232" i="10"/>
  <c r="E518" i="10"/>
  <c r="E278" i="10"/>
  <c r="E533" i="10"/>
  <c r="E802" i="10"/>
  <c r="E512" i="10"/>
  <c r="G842" i="10"/>
  <c r="G734" i="10"/>
  <c r="E883" i="10"/>
  <c r="G438" i="10"/>
  <c r="E624" i="10"/>
  <c r="E169" i="10"/>
  <c r="G830" i="10"/>
  <c r="G307" i="10"/>
  <c r="G206" i="10"/>
  <c r="G580" i="10"/>
  <c r="E1017" i="10"/>
  <c r="E791" i="10"/>
  <c r="E243" i="10"/>
  <c r="E697" i="10"/>
  <c r="G526" i="10"/>
  <c r="G192" i="10"/>
  <c r="E896" i="10"/>
  <c r="G841" i="10"/>
  <c r="E1074" i="10"/>
  <c r="G330" i="10"/>
  <c r="E520" i="10"/>
  <c r="G758" i="10"/>
  <c r="G410" i="10"/>
  <c r="E392" i="10"/>
  <c r="G176" i="10"/>
  <c r="E901" i="10"/>
  <c r="E793" i="10"/>
  <c r="G802" i="10"/>
  <c r="E532" i="10"/>
  <c r="G329" i="10"/>
  <c r="G512" i="10"/>
  <c r="G883" i="10"/>
  <c r="E570" i="10"/>
  <c r="G624" i="10"/>
  <c r="E304" i="10"/>
  <c r="G169" i="10"/>
  <c r="E898" i="10"/>
  <c r="G561" i="10"/>
  <c r="E669" i="10"/>
  <c r="E367" i="10"/>
  <c r="G729" i="10"/>
  <c r="E390" i="10"/>
  <c r="G482" i="10"/>
  <c r="E760" i="10"/>
  <c r="G347" i="10"/>
  <c r="E493" i="10"/>
  <c r="G312" i="10"/>
  <c r="E838" i="10"/>
  <c r="E259" i="10"/>
  <c r="E359" i="10"/>
  <c r="E926" i="10"/>
  <c r="E232" i="10"/>
  <c r="G1026" i="10"/>
  <c r="G243" i="10"/>
  <c r="G697" i="10"/>
  <c r="G952" i="10"/>
  <c r="G901" i="10"/>
  <c r="E499" i="10"/>
  <c r="G966" i="10"/>
  <c r="G570" i="10"/>
  <c r="E251" i="10"/>
  <c r="G304" i="10"/>
  <c r="E709" i="10"/>
  <c r="G898" i="10"/>
  <c r="E695" i="10"/>
  <c r="G669" i="10"/>
  <c r="G441" i="10"/>
  <c r="G501" i="10"/>
  <c r="E305" i="10"/>
  <c r="E1003" i="10"/>
  <c r="G499" i="10"/>
  <c r="G961" i="10"/>
  <c r="E494" i="10"/>
  <c r="G578" i="10"/>
  <c r="E906" i="10"/>
  <c r="G546" i="10"/>
  <c r="G1012" i="10"/>
  <c r="E258" i="10"/>
  <c r="G251" i="10"/>
  <c r="E360" i="10"/>
  <c r="G709" i="10"/>
  <c r="E398" i="10"/>
  <c r="G695" i="10"/>
  <c r="E387" i="10"/>
  <c r="E358" i="10"/>
  <c r="E994" i="10"/>
  <c r="G291" i="10"/>
  <c r="E1037" i="10"/>
  <c r="G292" i="10"/>
  <c r="E462" i="10"/>
  <c r="G859" i="10"/>
  <c r="E322" i="10"/>
  <c r="G460" i="10"/>
  <c r="G366" i="10"/>
  <c r="G453" i="10"/>
  <c r="E769" i="10"/>
  <c r="G944" i="10"/>
  <c r="G915" i="10"/>
  <c r="G620" i="10"/>
  <c r="G1051" i="10"/>
  <c r="G1046" i="10"/>
  <c r="G416" i="10"/>
  <c r="G1009" i="10"/>
  <c r="G280" i="10"/>
  <c r="G374" i="10"/>
  <c r="E713" i="10"/>
  <c r="G496" i="10"/>
  <c r="E984" i="10"/>
  <c r="G449" i="10"/>
  <c r="E614" i="10"/>
  <c r="G477" i="10"/>
  <c r="E973" i="10"/>
  <c r="G504" i="10"/>
  <c r="E982" i="10"/>
  <c r="G884" i="10"/>
  <c r="E710" i="10"/>
  <c r="G1016" i="10"/>
  <c r="E812" i="10"/>
  <c r="G316" i="10"/>
  <c r="E178" i="10"/>
  <c r="G385" i="10"/>
  <c r="E203" i="10"/>
  <c r="G497" i="10"/>
  <c r="E239" i="10"/>
  <c r="G494" i="10"/>
  <c r="E428" i="10"/>
  <c r="E195" i="10"/>
  <c r="E196" i="10"/>
  <c r="G203" i="10"/>
  <c r="E842" i="10"/>
  <c r="G606" i="10"/>
  <c r="E734" i="10"/>
  <c r="G628" i="10"/>
  <c r="E438" i="10"/>
  <c r="G244" i="10"/>
  <c r="G268" i="10"/>
  <c r="E386" i="10"/>
  <c r="G429" i="10"/>
  <c r="E187" i="10"/>
  <c r="G351" i="10"/>
  <c r="G819" i="10"/>
  <c r="E220" i="10"/>
  <c r="G737" i="10"/>
  <c r="E207" i="10"/>
  <c r="G228" i="10"/>
  <c r="E986" i="10"/>
  <c r="E1025" i="10"/>
  <c r="G215" i="10"/>
  <c r="G637" i="10"/>
  <c r="G972" i="10"/>
  <c r="E310" i="10"/>
  <c r="G219" i="10"/>
  <c r="E526" i="10"/>
  <c r="G1045" i="10"/>
  <c r="G395" i="10"/>
  <c r="E192" i="10"/>
  <c r="G371" i="10"/>
  <c r="E841" i="10"/>
  <c r="G424" i="10"/>
  <c r="E330" i="10"/>
  <c r="G872" i="10"/>
  <c r="E758" i="10"/>
  <c r="G636" i="10"/>
  <c r="E410" i="10"/>
  <c r="G491" i="10"/>
  <c r="E336" i="10"/>
  <c r="G514" i="10"/>
  <c r="E1030" i="10"/>
  <c r="G713" i="10"/>
  <c r="G358" i="10"/>
  <c r="G462" i="10"/>
  <c r="E513" i="10"/>
  <c r="E271" i="10"/>
  <c r="G739" i="10"/>
  <c r="E252" i="10"/>
  <c r="G200" i="10"/>
  <c r="E673" i="10"/>
  <c r="E366" i="10"/>
  <c r="G696" i="10"/>
  <c r="E244" i="10"/>
  <c r="G998" i="10"/>
  <c r="E477" i="10"/>
  <c r="E667" i="10"/>
  <c r="E429" i="10"/>
  <c r="G367" i="10"/>
  <c r="E884" i="10"/>
  <c r="E491" i="10"/>
  <c r="E816" i="10"/>
  <c r="G826" i="10"/>
  <c r="E316" i="10"/>
  <c r="E347" i="10"/>
  <c r="G835" i="10"/>
  <c r="E228" i="10"/>
  <c r="G986" i="10"/>
  <c r="G608" i="10"/>
  <c r="G685" i="10"/>
  <c r="G838" i="10"/>
  <c r="E375" i="10"/>
  <c r="E950" i="10"/>
  <c r="E564" i="10"/>
  <c r="E754" i="10"/>
  <c r="E717" i="10"/>
  <c r="E247" i="10"/>
  <c r="E653" i="10"/>
  <c r="G896" i="10"/>
  <c r="E632" i="10"/>
  <c r="E496" i="10"/>
  <c r="G398" i="10"/>
  <c r="G386" i="10"/>
  <c r="E819" i="10"/>
  <c r="E482" i="10"/>
  <c r="E890" i="10"/>
  <c r="E282" i="10"/>
  <c r="G513" i="10"/>
  <c r="G271" i="10"/>
  <c r="E210" i="10"/>
  <c r="G252" i="10"/>
  <c r="E418" i="10"/>
  <c r="G673" i="10"/>
  <c r="E777" i="10"/>
  <c r="G769" i="10"/>
  <c r="E371" i="10"/>
  <c r="E561" i="10"/>
  <c r="G667" i="10"/>
  <c r="E504" i="10"/>
  <c r="G816" i="10"/>
  <c r="E291" i="10"/>
  <c r="G375" i="10"/>
  <c r="G950" i="10"/>
  <c r="G564" i="10"/>
  <c r="G754" i="10"/>
  <c r="G717" i="10"/>
  <c r="G247" i="10"/>
  <c r="G653" i="10"/>
  <c r="G259" i="10"/>
  <c r="E714" i="10"/>
  <c r="E600" i="10"/>
  <c r="E1014" i="10"/>
  <c r="E1040" i="10"/>
  <c r="E619" i="10"/>
  <c r="E174" i="10"/>
  <c r="E579" i="10"/>
  <c r="E550" i="10"/>
  <c r="E531" i="10"/>
  <c r="G1033" i="10"/>
  <c r="G981" i="10"/>
  <c r="E646" i="10"/>
  <c r="G394" i="10"/>
  <c r="E443" i="10"/>
  <c r="G1073" i="10"/>
  <c r="E356" i="10"/>
  <c r="E377" i="10"/>
  <c r="E915" i="10"/>
  <c r="E1051" i="10"/>
  <c r="E1046" i="10"/>
  <c r="E1009" i="10"/>
  <c r="E280" i="10"/>
  <c r="G632" i="10"/>
  <c r="G984" i="10"/>
  <c r="G187" i="10"/>
  <c r="E351" i="10"/>
  <c r="E729" i="10"/>
  <c r="E292" i="10"/>
  <c r="G890" i="10"/>
  <c r="G282" i="10"/>
  <c r="G210" i="10"/>
  <c r="E558" i="10"/>
  <c r="G418" i="10"/>
  <c r="E406" i="10"/>
  <c r="G777" i="10"/>
  <c r="E593" i="10"/>
  <c r="G576" i="10"/>
  <c r="E623" i="10"/>
  <c r="E1045" i="10"/>
  <c r="E606" i="10"/>
  <c r="G973" i="10"/>
  <c r="G392" i="10"/>
  <c r="E338" i="10"/>
  <c r="G207" i="10"/>
  <c r="E968" i="10"/>
  <c r="G322" i="10"/>
  <c r="G714" i="10"/>
  <c r="G600" i="10"/>
  <c r="G1014" i="10"/>
  <c r="G1040" i="10"/>
  <c r="G619" i="10"/>
  <c r="G174" i="10"/>
  <c r="G579" i="10"/>
  <c r="G550" i="10"/>
  <c r="G531" i="10"/>
  <c r="G359" i="10"/>
  <c r="E703" i="10"/>
  <c r="G258" i="10"/>
  <c r="G1074" i="10"/>
  <c r="E365" i="10"/>
  <c r="E449" i="10"/>
  <c r="E872" i="10"/>
  <c r="E425" i="10"/>
  <c r="G812" i="10"/>
  <c r="G1030" i="10"/>
  <c r="E831" i="10"/>
  <c r="G558" i="10"/>
  <c r="E500" i="10"/>
  <c r="G406" i="10"/>
  <c r="E732" i="10"/>
  <c r="G705" i="10"/>
  <c r="G204" i="10"/>
  <c r="G784" i="10"/>
  <c r="E424" i="10"/>
  <c r="G982" i="10"/>
  <c r="E944" i="10"/>
  <c r="E620" i="10"/>
  <c r="E416" i="10"/>
  <c r="E897" i="10"/>
  <c r="G360" i="10"/>
  <c r="G520" i="10"/>
  <c r="G387" i="10"/>
  <c r="G661" i="10"/>
  <c r="G760" i="10"/>
  <c r="G178" i="10"/>
  <c r="G720" i="10"/>
  <c r="G867" i="10"/>
  <c r="E739" i="10"/>
  <c r="G681" i="10"/>
  <c r="E200" i="10"/>
  <c r="G971" i="10"/>
  <c r="E662" i="10"/>
  <c r="G940" i="10"/>
  <c r="E980" i="10"/>
  <c r="E899" i="10"/>
  <c r="E395" i="10"/>
  <c r="E998" i="10"/>
  <c r="E268" i="10"/>
  <c r="G994" i="10"/>
  <c r="G390" i="10"/>
  <c r="E1016" i="10"/>
  <c r="E514" i="10"/>
  <c r="E826" i="10"/>
  <c r="E835" i="10"/>
  <c r="G493" i="10"/>
  <c r="E608" i="10"/>
  <c r="E312" i="10"/>
  <c r="E685" i="10"/>
  <c r="E737" i="10"/>
  <c r="E879" i="10"/>
  <c r="E824" i="10"/>
  <c r="G469" i="10"/>
  <c r="E940" i="10"/>
  <c r="G980" i="10"/>
  <c r="G849" i="10"/>
  <c r="G822" i="10"/>
  <c r="G983" i="10"/>
  <c r="G356" i="10"/>
  <c r="E752" i="10"/>
  <c r="G378" i="10"/>
  <c r="E333" i="10"/>
  <c r="G437" i="10"/>
  <c r="E738" i="10"/>
  <c r="G238" i="10"/>
  <c r="E208" i="10"/>
  <c r="G622" i="10"/>
  <c r="E1034" i="10"/>
  <c r="E567" i="10"/>
  <c r="E571" i="10"/>
  <c r="G177" i="10"/>
  <c r="E457" i="10"/>
  <c r="G189" i="10"/>
  <c r="E640" i="10"/>
  <c r="G821" i="10"/>
  <c r="E1066" i="10"/>
  <c r="G753" i="10"/>
  <c r="E344" i="10"/>
  <c r="E231" i="10"/>
  <c r="G284" i="10"/>
  <c r="G956" i="10"/>
  <c r="E880" i="10"/>
  <c r="G535" i="10"/>
  <c r="G267" i="10"/>
  <c r="E484" i="10"/>
  <c r="G517" i="10"/>
  <c r="E852" i="10"/>
  <c r="G642" i="10"/>
  <c r="E319" i="10"/>
  <c r="G317" i="10"/>
  <c r="E888" i="10"/>
  <c r="E1056" i="10"/>
  <c r="G997" i="10"/>
  <c r="E536" i="10"/>
  <c r="G543" i="10"/>
  <c r="E559" i="10"/>
  <c r="G1023" i="10"/>
  <c r="E976" i="10"/>
  <c r="G523" i="10"/>
  <c r="E1059" i="10"/>
  <c r="G589" i="10"/>
  <c r="E733" i="10"/>
  <c r="G326" i="10"/>
  <c r="E711" i="10"/>
  <c r="G336" i="10"/>
  <c r="G500" i="10"/>
  <c r="E992" i="10"/>
  <c r="G732" i="10"/>
  <c r="G879" i="10"/>
  <c r="E430" i="10"/>
  <c r="G824" i="10"/>
  <c r="G662" i="10"/>
  <c r="E749" i="10"/>
  <c r="G752" i="10"/>
  <c r="G333" i="10"/>
  <c r="E505" i="10"/>
  <c r="G738" i="10"/>
  <c r="E900" i="10"/>
  <c r="G208" i="10"/>
  <c r="E1061" i="10"/>
  <c r="G1034" i="10"/>
  <c r="E545" i="10"/>
  <c r="G567" i="10"/>
  <c r="E245" i="10"/>
  <c r="G571" i="10"/>
  <c r="E839" i="10"/>
  <c r="G457" i="10"/>
  <c r="E788" i="10"/>
  <c r="G640" i="10"/>
  <c r="E1006" i="10"/>
  <c r="G1066" i="10"/>
  <c r="E913" i="10"/>
  <c r="G344" i="10"/>
  <c r="E198" i="10"/>
  <c r="G295" i="10"/>
  <c r="E1004" i="10"/>
  <c r="E628" i="10"/>
  <c r="E859" i="10"/>
  <c r="E684" i="10"/>
  <c r="E544" i="10"/>
  <c r="G880" i="10"/>
  <c r="G484" i="10"/>
  <c r="E718" i="10"/>
  <c r="G852" i="10"/>
  <c r="E273" i="10"/>
  <c r="G319" i="10"/>
  <c r="E783" i="10"/>
  <c r="G888" i="10"/>
  <c r="E774" i="10"/>
  <c r="G1056" i="10"/>
  <c r="E1068" i="10"/>
  <c r="G365" i="10"/>
  <c r="E867" i="10"/>
  <c r="G992" i="10"/>
  <c r="E920" i="10"/>
  <c r="E681" i="10"/>
  <c r="G430" i="10"/>
  <c r="G749" i="10"/>
  <c r="E303" i="10"/>
  <c r="G505" i="10"/>
  <c r="E547" i="10"/>
  <c r="G900" i="10"/>
  <c r="G1061" i="10"/>
  <c r="E384" i="10"/>
  <c r="G545" i="10"/>
  <c r="E565" i="10"/>
  <c r="G245" i="10"/>
  <c r="E755" i="10"/>
  <c r="G839" i="10"/>
  <c r="E751" i="10"/>
  <c r="G788" i="10"/>
  <c r="E876" i="10"/>
  <c r="G831" i="10"/>
  <c r="E881" i="10"/>
  <c r="G593" i="10"/>
  <c r="G684" i="10"/>
  <c r="G623" i="10"/>
  <c r="G544" i="10"/>
  <c r="G718" i="10"/>
  <c r="E397" i="10"/>
  <c r="G273" i="10"/>
  <c r="E850" i="10"/>
  <c r="G783" i="10"/>
  <c r="E1031" i="10"/>
  <c r="G774" i="10"/>
  <c r="E230" i="10"/>
  <c r="G1068" i="10"/>
  <c r="G1022" i="10"/>
  <c r="E962" i="10"/>
  <c r="G805" i="10"/>
  <c r="E848" i="10"/>
  <c r="G731" i="10"/>
  <c r="E337" i="10"/>
  <c r="G863" i="10"/>
  <c r="E205" i="10"/>
  <c r="G299" i="10"/>
  <c r="E671" i="10"/>
  <c r="G801" i="10"/>
  <c r="E184" i="10"/>
  <c r="G574" i="10"/>
  <c r="E488" i="10"/>
  <c r="E661" i="10"/>
  <c r="G425" i="10"/>
  <c r="G1037" i="10"/>
  <c r="G338" i="10"/>
  <c r="G703" i="10"/>
  <c r="E1033" i="10"/>
  <c r="G920" i="10"/>
  <c r="E971" i="10"/>
  <c r="E576" i="10"/>
  <c r="G443" i="10"/>
  <c r="G303" i="10"/>
  <c r="E691" i="10"/>
  <c r="G547" i="10"/>
  <c r="E596" i="10"/>
  <c r="E250" i="10"/>
  <c r="G384" i="10"/>
  <c r="E815" i="10"/>
  <c r="G565" i="10"/>
  <c r="E466" i="10"/>
  <c r="E636" i="10"/>
  <c r="G881" i="10"/>
  <c r="G646" i="10"/>
  <c r="G397" i="10"/>
  <c r="E665" i="10"/>
  <c r="G850" i="10"/>
  <c r="E492" i="10"/>
  <c r="G1031" i="10"/>
  <c r="E937" i="10"/>
  <c r="G230" i="10"/>
  <c r="E924" i="10"/>
  <c r="E481" i="10"/>
  <c r="G962" i="10"/>
  <c r="E750" i="10"/>
  <c r="G848" i="10"/>
  <c r="E672" i="10"/>
  <c r="G337" i="10"/>
  <c r="E525" i="10"/>
  <c r="G205" i="10"/>
  <c r="G671" i="10"/>
  <c r="E721" i="10"/>
  <c r="G184" i="10"/>
  <c r="E256" i="10"/>
  <c r="G614" i="10"/>
  <c r="E353" i="10"/>
  <c r="E663" i="10"/>
  <c r="E394" i="10"/>
  <c r="G691" i="10"/>
  <c r="E213" i="10"/>
  <c r="G596" i="10"/>
  <c r="E947" i="10"/>
  <c r="G250" i="10"/>
  <c r="E1008" i="10"/>
  <c r="G815" i="10"/>
  <c r="E249" i="10"/>
  <c r="G466" i="10"/>
  <c r="E987" i="10"/>
  <c r="G907" i="10"/>
  <c r="E486" i="10"/>
  <c r="G298" i="10"/>
  <c r="E168" i="10"/>
  <c r="G968" i="10"/>
  <c r="E302" i="10"/>
  <c r="G665" i="10"/>
  <c r="E970" i="10"/>
  <c r="G492" i="10"/>
  <c r="E362" i="10"/>
  <c r="G937" i="10"/>
  <c r="E833" i="10"/>
  <c r="G710" i="10"/>
  <c r="G220" i="10"/>
  <c r="G353" i="10"/>
  <c r="G663" i="10"/>
  <c r="E469" i="10"/>
  <c r="E849" i="10"/>
  <c r="E822" i="10"/>
  <c r="E1073" i="10"/>
  <c r="E983" i="10"/>
  <c r="G213" i="10"/>
  <c r="E378" i="10"/>
  <c r="G947" i="10"/>
  <c r="E437" i="10"/>
  <c r="G1008" i="10"/>
  <c r="E238" i="10"/>
  <c r="G249" i="10"/>
  <c r="E622" i="10"/>
  <c r="G987" i="10"/>
  <c r="G486" i="10"/>
  <c r="G168" i="10"/>
  <c r="E177" i="10"/>
  <c r="G680" i="10"/>
  <c r="E189" i="10"/>
  <c r="E821" i="10"/>
  <c r="G958" i="10"/>
  <c r="E753" i="10"/>
  <c r="G853" i="10"/>
  <c r="E969" i="10"/>
  <c r="G963" i="10"/>
  <c r="E349" i="10"/>
  <c r="G701" i="10"/>
  <c r="E542" i="10"/>
  <c r="E981" i="10"/>
  <c r="E956" i="10"/>
  <c r="E535" i="10"/>
  <c r="G362" i="10"/>
  <c r="G1006" i="10"/>
  <c r="G913" i="10"/>
  <c r="G198" i="10"/>
  <c r="G686" i="10"/>
  <c r="E989" i="10"/>
  <c r="G435" i="10"/>
  <c r="E723" i="10"/>
  <c r="G465" i="10"/>
  <c r="E621" i="10"/>
  <c r="G470" i="10"/>
  <c r="E541" i="10"/>
  <c r="G706" i="10"/>
  <c r="E895" i="10"/>
  <c r="G874" i="10"/>
  <c r="E171" i="10"/>
  <c r="E326" i="10"/>
  <c r="G566" i="10"/>
  <c r="E246" i="10"/>
  <c r="G933" i="10"/>
  <c r="E954" i="10"/>
  <c r="G629" i="10"/>
  <c r="E509" i="10"/>
  <c r="G476" i="10"/>
  <c r="E380" i="10"/>
  <c r="G689" i="10"/>
  <c r="G934" i="10"/>
  <c r="E678" i="10"/>
  <c r="G583" i="10"/>
  <c r="E332" i="10"/>
  <c r="G857" i="10"/>
  <c r="E700" i="10"/>
  <c r="E677" i="10"/>
  <c r="G970" i="10"/>
  <c r="E907" i="10"/>
  <c r="G672" i="10"/>
  <c r="E1023" i="10"/>
  <c r="G989" i="10"/>
  <c r="G723" i="10"/>
  <c r="G621" i="10"/>
  <c r="G541" i="10"/>
  <c r="E604" i="10"/>
  <c r="G895" i="10"/>
  <c r="E761" i="10"/>
  <c r="E403" i="10"/>
  <c r="G638" i="10"/>
  <c r="E283" i="10"/>
  <c r="G391" i="10"/>
  <c r="E910" i="10"/>
  <c r="G755" i="10"/>
  <c r="G171" i="10"/>
  <c r="G1059" i="10"/>
  <c r="E618" i="10"/>
  <c r="G733" i="10"/>
  <c r="E779" i="10"/>
  <c r="E911" i="10"/>
  <c r="E712" i="10"/>
  <c r="E963" i="10"/>
  <c r="E931" i="10"/>
  <c r="G246" i="10"/>
  <c r="E679" i="10"/>
  <c r="E720" i="10"/>
  <c r="E317" i="10"/>
  <c r="E1001" i="10"/>
  <c r="G525" i="10"/>
  <c r="G721" i="10"/>
  <c r="G256" i="10"/>
  <c r="E293" i="10"/>
  <c r="E856" i="10"/>
  <c r="E229" i="10"/>
  <c r="E682" i="10"/>
  <c r="E490" i="10"/>
  <c r="G604" i="10"/>
  <c r="E676" i="10"/>
  <c r="G761" i="10"/>
  <c r="E633" i="10"/>
  <c r="G403" i="10"/>
  <c r="E921" i="10"/>
  <c r="G283" i="10"/>
  <c r="E745" i="10"/>
  <c r="E284" i="10"/>
  <c r="E823" i="10"/>
  <c r="E997" i="10"/>
  <c r="G876" i="10"/>
  <c r="G618" i="10"/>
  <c r="G779" i="10"/>
  <c r="G969" i="10"/>
  <c r="E574" i="10"/>
  <c r="G488" i="10"/>
  <c r="G911" i="10"/>
  <c r="G712" i="10"/>
  <c r="G931" i="10"/>
  <c r="G349" i="10"/>
  <c r="E180" i="10"/>
  <c r="E281" i="10"/>
  <c r="E1019" i="10"/>
  <c r="E1063" i="10"/>
  <c r="E591" i="10"/>
  <c r="E562" i="10"/>
  <c r="E1015" i="10"/>
  <c r="E903" i="10"/>
  <c r="E701" i="10"/>
  <c r="E182" i="10"/>
  <c r="G679" i="10"/>
  <c r="E630" i="10"/>
  <c r="G990" i="10"/>
  <c r="E766" i="10"/>
  <c r="G851" i="10"/>
  <c r="E1038" i="10"/>
  <c r="G548" i="10"/>
  <c r="E587" i="10"/>
  <c r="G602" i="10"/>
  <c r="E943" i="10"/>
  <c r="E444" i="10"/>
  <c r="G427" i="10"/>
  <c r="E797" i="10"/>
  <c r="E642" i="10"/>
  <c r="G1001" i="10"/>
  <c r="G481" i="10"/>
  <c r="E298" i="10"/>
  <c r="G976" i="10"/>
  <c r="E858" i="10"/>
  <c r="E759" i="10"/>
  <c r="E743" i="10"/>
  <c r="E408" i="10"/>
  <c r="E1011" i="10"/>
  <c r="E563" i="10"/>
  <c r="E1032" i="10"/>
  <c r="E467" i="10"/>
  <c r="G293" i="10"/>
  <c r="G856" i="10"/>
  <c r="E575" i="10"/>
  <c r="G229" i="10"/>
  <c r="E869" i="10"/>
  <c r="G682" i="10"/>
  <c r="E626" i="10"/>
  <c r="G490" i="10"/>
  <c r="E810" i="10"/>
  <c r="G676" i="10"/>
  <c r="G633" i="10"/>
  <c r="E328" i="10"/>
  <c r="G921" i="10"/>
  <c r="E647" i="10"/>
  <c r="G745" i="10"/>
  <c r="E865" i="10"/>
  <c r="G214" i="10"/>
  <c r="E233" i="10"/>
  <c r="G393" i="10"/>
  <c r="E1055" i="10"/>
  <c r="G1007" i="10"/>
  <c r="E451" i="10"/>
  <c r="G823" i="10"/>
  <c r="G536" i="10"/>
  <c r="E1022" i="10"/>
  <c r="G751" i="10"/>
  <c r="E863" i="10"/>
  <c r="E299" i="10"/>
  <c r="E801" i="10"/>
  <c r="G180" i="10"/>
  <c r="G281" i="10"/>
  <c r="G1019" i="10"/>
  <c r="G1063" i="10"/>
  <c r="G591" i="10"/>
  <c r="G562" i="10"/>
  <c r="G1015" i="10"/>
  <c r="G903" i="10"/>
  <c r="G182" i="10"/>
  <c r="G542" i="10"/>
  <c r="E716" i="10"/>
  <c r="G630" i="10"/>
  <c r="G766" i="10"/>
  <c r="E339" i="10"/>
  <c r="G1038" i="10"/>
  <c r="E489" i="10"/>
  <c r="G587" i="10"/>
  <c r="E659" i="10"/>
  <c r="G943" i="10"/>
  <c r="E552" i="10"/>
  <c r="E517" i="10"/>
  <c r="G924" i="10"/>
  <c r="E731" i="10"/>
  <c r="G858" i="10"/>
  <c r="G759" i="10"/>
  <c r="G743" i="10"/>
  <c r="G408" i="10"/>
  <c r="G1011" i="10"/>
  <c r="G563" i="10"/>
  <c r="G1032" i="10"/>
  <c r="G467" i="10"/>
  <c r="G1004" i="10"/>
  <c r="G575" i="10"/>
  <c r="E615" i="10"/>
  <c r="G869" i="10"/>
  <c r="E765" i="10"/>
  <c r="G626" i="10"/>
  <c r="E807" i="10"/>
  <c r="G810" i="10"/>
  <c r="E916" i="10"/>
  <c r="E577" i="10"/>
  <c r="G328" i="10"/>
  <c r="E590" i="10"/>
  <c r="G647" i="10"/>
  <c r="E369" i="10"/>
  <c r="G865" i="10"/>
  <c r="E253" i="10"/>
  <c r="G233" i="10"/>
  <c r="G1055" i="10"/>
  <c r="E735" i="10"/>
  <c r="G451" i="10"/>
  <c r="E455" i="10"/>
  <c r="E267" i="10"/>
  <c r="G833" i="10"/>
  <c r="G750" i="10"/>
  <c r="E680" i="10"/>
  <c r="E958" i="10"/>
  <c r="E853" i="10"/>
  <c r="G711" i="10"/>
  <c r="G615" i="10"/>
  <c r="E686" i="10"/>
  <c r="G765" i="10"/>
  <c r="E435" i="10"/>
  <c r="G807" i="10"/>
  <c r="E465" i="10"/>
  <c r="G916" i="10"/>
  <c r="E470" i="10"/>
  <c r="G577" i="10"/>
  <c r="E706" i="10"/>
  <c r="G590" i="10"/>
  <c r="E874" i="10"/>
  <c r="G369" i="10"/>
  <c r="E908" i="10"/>
  <c r="G253" i="10"/>
  <c r="E516" i="10"/>
  <c r="E741" i="10"/>
  <c r="E295" i="10"/>
  <c r="E209" i="10"/>
  <c r="G797" i="10"/>
  <c r="E391" i="10"/>
  <c r="E214" i="10"/>
  <c r="E967" i="10"/>
  <c r="G741" i="10"/>
  <c r="E323" i="10"/>
  <c r="G1071" i="10"/>
  <c r="E805" i="10"/>
  <c r="E933" i="10"/>
  <c r="G954" i="10"/>
  <c r="E476" i="10"/>
  <c r="G380" i="10"/>
  <c r="E393" i="10"/>
  <c r="G297" i="10"/>
  <c r="G735" i="10"/>
  <c r="G1027" i="10"/>
  <c r="G1020" i="10"/>
  <c r="E548" i="10"/>
  <c r="G402" i="10"/>
  <c r="E664" i="10"/>
  <c r="E523" i="10"/>
  <c r="G209" i="10"/>
  <c r="E404" i="10"/>
  <c r="G967" i="10"/>
  <c r="G323" i="10"/>
  <c r="G568" i="10"/>
  <c r="G257" i="10"/>
  <c r="G197" i="10"/>
  <c r="G1065" i="10"/>
  <c r="E566" i="10"/>
  <c r="E1058" i="10"/>
  <c r="E522" i="10"/>
  <c r="E934" i="10"/>
  <c r="E885" i="10"/>
  <c r="E857" i="10"/>
  <c r="E919" i="10"/>
  <c r="E845" i="10"/>
  <c r="E342" i="10"/>
  <c r="G845" i="10"/>
  <c r="G716" i="10"/>
  <c r="E638" i="10"/>
  <c r="G1005" i="10"/>
  <c r="G285" i="10"/>
  <c r="E1020" i="10"/>
  <c r="G664" i="10"/>
  <c r="G404" i="10"/>
  <c r="E583" i="10"/>
  <c r="E722" i="10"/>
  <c r="E770" i="10"/>
  <c r="E442" i="10"/>
  <c r="G919" i="10"/>
  <c r="G910" i="10"/>
  <c r="E1027" i="10"/>
  <c r="G302" i="10"/>
  <c r="E851" i="10"/>
  <c r="G489" i="10"/>
  <c r="G1058" i="10"/>
  <c r="E602" i="10"/>
  <c r="G552" i="10"/>
  <c r="G522" i="10"/>
  <c r="G678" i="10"/>
  <c r="G885" i="10"/>
  <c r="E1007" i="10"/>
  <c r="G342" i="10"/>
  <c r="G455" i="10"/>
  <c r="E568" i="10"/>
  <c r="E257" i="10"/>
  <c r="E197" i="10"/>
  <c r="E1065" i="10"/>
  <c r="G370" i="10"/>
  <c r="G722" i="10"/>
  <c r="G677" i="10"/>
  <c r="E582" i="10"/>
  <c r="G770" i="10"/>
  <c r="G442" i="10"/>
  <c r="E572" i="10"/>
  <c r="E629" i="10"/>
  <c r="G509" i="10"/>
  <c r="E689" i="10"/>
  <c r="G332" i="10"/>
  <c r="G559" i="10"/>
  <c r="E427" i="10"/>
  <c r="G516" i="10"/>
  <c r="E202" i="10"/>
  <c r="G582" i="10"/>
  <c r="G444" i="10"/>
  <c r="G700" i="10"/>
  <c r="E1071" i="10"/>
  <c r="G202" i="10"/>
  <c r="G572" i="10"/>
  <c r="E301" i="10"/>
  <c r="E402" i="10"/>
  <c r="E1005" i="10"/>
  <c r="E285" i="10"/>
  <c r="E370" i="10"/>
  <c r="E990" i="10"/>
  <c r="G301" i="10"/>
  <c r="G659" i="10"/>
  <c r="G908" i="10"/>
  <c r="E297" i="10"/>
  <c r="E543" i="10"/>
  <c r="E589" i="10"/>
  <c r="G339" i="10"/>
  <c r="M594" i="10"/>
  <c r="M803" i="10"/>
  <c r="M534" i="10"/>
  <c r="M829" i="10"/>
  <c r="M613" i="10"/>
  <c r="M1053" i="10"/>
  <c r="M846" i="10"/>
  <c r="M190" i="10"/>
  <c r="M746" i="10"/>
  <c r="M917" i="10"/>
  <c r="M242" i="10"/>
  <c r="M742" i="10"/>
  <c r="M363" i="10"/>
  <c r="M473" i="10"/>
  <c r="M300" i="10"/>
  <c r="M836" i="10"/>
  <c r="M1048" i="10"/>
  <c r="M464" i="10"/>
  <c r="M234" i="10"/>
  <c r="M1072" i="10"/>
  <c r="M508" i="10"/>
  <c r="M537" i="10"/>
  <c r="M185" i="10"/>
  <c r="M605" i="10"/>
  <c r="M511" i="10"/>
  <c r="M782" i="10"/>
  <c r="M610" i="10"/>
  <c r="M439" i="10"/>
  <c r="M828" i="10"/>
  <c r="M725" i="10"/>
  <c r="M272" i="10"/>
  <c r="M212" i="10"/>
  <c r="M497" i="10"/>
  <c r="M366" i="10"/>
  <c r="M655" i="10"/>
  <c r="M483" i="10"/>
  <c r="M790" i="10"/>
  <c r="M1009" i="10"/>
  <c r="M374" i="10"/>
  <c r="M462" i="10"/>
  <c r="M244" i="10"/>
  <c r="M308" i="10"/>
  <c r="M942" i="10"/>
  <c r="M757" i="10"/>
  <c r="M593" i="10"/>
  <c r="M500" i="10"/>
  <c r="M984" i="10"/>
  <c r="M973" i="10"/>
  <c r="M872" i="10"/>
  <c r="M831" i="10"/>
  <c r="M876" i="10"/>
  <c r="M337" i="10"/>
  <c r="M466" i="10"/>
  <c r="M937" i="10"/>
  <c r="M359" i="10"/>
  <c r="M664" i="10"/>
  <c r="M535" i="10"/>
  <c r="M247" i="10"/>
  <c r="M950" i="10"/>
  <c r="M614" i="10"/>
  <c r="M544" i="10"/>
  <c r="M1019" i="10"/>
  <c r="M701" i="10"/>
  <c r="M281" i="10"/>
  <c r="M888" i="10"/>
  <c r="M805" i="10"/>
  <c r="M189" i="10"/>
  <c r="M256" i="10"/>
  <c r="M292" i="10"/>
  <c r="M723" i="10"/>
  <c r="M1066" i="10"/>
  <c r="M679" i="10"/>
  <c r="M954" i="10"/>
  <c r="M1071" i="10"/>
  <c r="M552" i="10"/>
  <c r="M919" i="10"/>
  <c r="O320" i="10"/>
  <c r="O454" i="10"/>
  <c r="O379" i="10"/>
  <c r="O625" i="10"/>
  <c r="O318" i="10"/>
  <c r="O917" i="10"/>
  <c r="O510" i="10"/>
  <c r="O1062" i="10"/>
  <c r="O764" i="10"/>
  <c r="O287" i="10"/>
  <c r="O314" i="10"/>
  <c r="O191" i="10"/>
  <c r="O419" i="10"/>
  <c r="O290" i="10"/>
  <c r="O262" i="10"/>
  <c r="O270" i="10"/>
  <c r="O478" i="10"/>
  <c r="O996" i="10"/>
  <c r="O660" i="10"/>
  <c r="O800" i="10"/>
  <c r="O241" i="10"/>
  <c r="O515" i="10"/>
  <c r="O767" i="10"/>
  <c r="O875" i="10"/>
  <c r="O350" i="10"/>
  <c r="O827" i="10"/>
  <c r="O373" i="10"/>
  <c r="O655" i="10"/>
  <c r="O891" i="10"/>
  <c r="O972" i="10"/>
  <c r="O401" i="10"/>
  <c r="O952" i="10"/>
  <c r="O243" i="10"/>
  <c r="O696" i="10"/>
  <c r="O305" i="10"/>
  <c r="O1003" i="10"/>
  <c r="O789" i="10"/>
  <c r="O998" i="10"/>
  <c r="O1046" i="10"/>
  <c r="O725" i="10"/>
  <c r="O889" i="10"/>
  <c r="O737" i="10"/>
  <c r="O524" i="10"/>
  <c r="O278" i="10"/>
  <c r="O600" i="10"/>
  <c r="O338" i="10"/>
  <c r="O703" i="10"/>
  <c r="O1026" i="10"/>
  <c r="O841" i="10"/>
  <c r="O717" i="10"/>
  <c r="O881" i="10"/>
  <c r="O198" i="10"/>
  <c r="O731" i="10"/>
  <c r="O755" i="10"/>
  <c r="O973" i="10"/>
  <c r="O835" i="10"/>
  <c r="O734" i="10"/>
  <c r="O1073" i="10"/>
  <c r="O992" i="10"/>
  <c r="O653" i="10"/>
  <c r="O738" i="10"/>
  <c r="O743" i="10"/>
  <c r="O574" i="10"/>
  <c r="O319" i="10"/>
  <c r="O701" i="10"/>
  <c r="O523" i="10"/>
  <c r="O575" i="10"/>
  <c r="O484" i="10"/>
  <c r="O369" i="10"/>
  <c r="O435" i="10"/>
  <c r="O168" i="10"/>
  <c r="O722" i="10"/>
  <c r="O246" i="10"/>
  <c r="O177" i="10"/>
  <c r="O1071" i="10"/>
  <c r="O885" i="10"/>
  <c r="M820" i="10"/>
  <c r="M553" i="10"/>
  <c r="M599" i="10"/>
  <c r="M1064" i="10"/>
  <c r="M844" i="10"/>
  <c r="M813" i="10"/>
  <c r="M639" i="10"/>
  <c r="M510" i="10"/>
  <c r="M654" i="10"/>
  <c r="M506" i="10"/>
  <c r="M540" i="10"/>
  <c r="M692" i="10"/>
  <c r="M744" i="10"/>
  <c r="M979" i="10"/>
  <c r="M227" i="10"/>
  <c r="M364" i="10"/>
  <c r="M419" i="10"/>
  <c r="M771" i="10"/>
  <c r="M396" i="10"/>
  <c r="M930" i="10"/>
  <c r="M875" i="10"/>
  <c r="M248" i="10"/>
  <c r="M660" i="10"/>
  <c r="M224" i="10"/>
  <c r="M775" i="10"/>
  <c r="M817" i="10"/>
  <c r="M740" i="10"/>
  <c r="M616" i="10"/>
  <c r="M176" i="10"/>
  <c r="M165" i="10"/>
  <c r="M650" i="10"/>
  <c r="M1025" i="10"/>
  <c r="M286" i="10"/>
  <c r="M802" i="10"/>
  <c r="M702" i="10"/>
  <c r="M923" i="10"/>
  <c r="M468" i="10"/>
  <c r="M897" i="10"/>
  <c r="M496" i="10"/>
  <c r="M322" i="10"/>
  <c r="M268" i="10"/>
  <c r="M192" i="10"/>
  <c r="M578" i="10"/>
  <c r="M632" i="10"/>
  <c r="M780" i="10"/>
  <c r="M732" i="10"/>
  <c r="M169" i="10"/>
  <c r="M561" i="10"/>
  <c r="M210" i="10"/>
  <c r="M392" i="10"/>
  <c r="M618" i="10"/>
  <c r="M205" i="10"/>
  <c r="M907" i="10"/>
  <c r="M924" i="10"/>
  <c r="M981" i="10"/>
  <c r="M171" i="10"/>
  <c r="M983" i="10"/>
  <c r="M673" i="10"/>
  <c r="M653" i="10"/>
  <c r="M513" i="10"/>
  <c r="M505" i="10"/>
  <c r="M273" i="10"/>
  <c r="M229" i="10"/>
  <c r="M182" i="10"/>
  <c r="M680" i="10"/>
  <c r="M711" i="10"/>
  <c r="M821" i="10"/>
  <c r="M326" i="10"/>
  <c r="M1059" i="10"/>
  <c r="M621" i="10"/>
  <c r="M344" i="10"/>
  <c r="M427" i="10"/>
  <c r="M990" i="10"/>
  <c r="M342" i="10"/>
  <c r="M678" i="10"/>
  <c r="M451" i="10"/>
  <c r="O173" i="10"/>
  <c r="O331" i="10"/>
  <c r="O704" i="10"/>
  <c r="O607" i="10"/>
  <c r="O260" i="10"/>
  <c r="O340" i="10"/>
  <c r="O877" i="10"/>
  <c r="O771" i="10"/>
  <c r="O654" i="10"/>
  <c r="O796" i="10"/>
  <c r="O1067" i="10"/>
  <c r="O421" i="10"/>
  <c r="O904" i="10"/>
  <c r="O959" i="10"/>
  <c r="O953" i="10"/>
  <c r="O675" i="10"/>
  <c r="O978" i="10"/>
  <c r="O1048" i="10"/>
  <c r="O882" i="10"/>
  <c r="O399" i="10"/>
  <c r="O175" i="10"/>
  <c r="O396" i="10"/>
  <c r="O611" i="10"/>
  <c r="O436" i="10"/>
  <c r="O179" i="10"/>
  <c r="O446" i="10"/>
  <c r="O458" i="10"/>
  <c r="O272" i="10"/>
  <c r="O255" i="10"/>
  <c r="O321" i="10"/>
  <c r="O894" i="10"/>
  <c r="O790" i="10"/>
  <c r="O944" i="10"/>
  <c r="O497" i="10"/>
  <c r="O366" i="10"/>
  <c r="O532" i="10"/>
  <c r="O909" i="10"/>
  <c r="O667" i="10"/>
  <c r="O416" i="10"/>
  <c r="O1052" i="10"/>
  <c r="O902" i="10"/>
  <c r="O556" i="10"/>
  <c r="O966" i="10"/>
  <c r="O961" i="10"/>
  <c r="O1014" i="10"/>
  <c r="O968" i="10"/>
  <c r="O920" i="10"/>
  <c r="O386" i="10"/>
  <c r="O884" i="10"/>
  <c r="O247" i="10"/>
  <c r="O971" i="10"/>
  <c r="O353" i="10"/>
  <c r="O863" i="10"/>
  <c r="O751" i="10"/>
  <c r="O986" i="10"/>
  <c r="O228" i="10"/>
  <c r="O359" i="10"/>
  <c r="O970" i="10"/>
  <c r="O662" i="10"/>
  <c r="O681" i="10"/>
  <c r="O208" i="10"/>
  <c r="O1011" i="10"/>
  <c r="O293" i="10"/>
  <c r="O987" i="10"/>
  <c r="O229" i="10"/>
  <c r="O205" i="10"/>
  <c r="O869" i="10"/>
  <c r="O317" i="10"/>
  <c r="O253" i="10"/>
  <c r="O465" i="10"/>
  <c r="O976" i="10"/>
  <c r="O677" i="10"/>
  <c r="O444" i="10"/>
  <c r="O933" i="10"/>
  <c r="O1038" i="10"/>
  <c r="O509" i="10"/>
  <c r="M1044" i="10"/>
  <c r="M1039" i="10"/>
  <c r="M598" i="10"/>
  <c r="M225" i="10"/>
  <c r="M607" i="10"/>
  <c r="M343" i="10"/>
  <c r="M928" i="10"/>
  <c r="M993" i="10"/>
  <c r="M649" i="10"/>
  <c r="M945" i="10"/>
  <c r="M265" i="10"/>
  <c r="M472" i="10"/>
  <c r="M959" i="10"/>
  <c r="M527" i="10"/>
  <c r="M811" i="10"/>
  <c r="M529" i="10"/>
  <c r="M736" i="10"/>
  <c r="M953" i="10"/>
  <c r="M948" i="10"/>
  <c r="M631" i="10"/>
  <c r="M458" i="10"/>
  <c r="M423" i="10"/>
  <c r="M675" i="10"/>
  <c r="M670" i="10"/>
  <c r="M767" i="10"/>
  <c r="M773" i="10"/>
  <c r="M1013" i="10"/>
  <c r="M929" i="10"/>
  <c r="M776" i="10"/>
  <c r="M195" i="10"/>
  <c r="M226" i="10"/>
  <c r="M533" i="10"/>
  <c r="M269" i="10"/>
  <c r="M499" i="10"/>
  <c r="M724" i="10"/>
  <c r="M217" i="10"/>
  <c r="M581" i="10"/>
  <c r="M251" i="10"/>
  <c r="M449" i="10"/>
  <c r="M1014" i="10"/>
  <c r="M429" i="10"/>
  <c r="M841" i="10"/>
  <c r="M570" i="10"/>
  <c r="M365" i="10"/>
  <c r="M713" i="10"/>
  <c r="M518" i="10"/>
  <c r="M514" i="10"/>
  <c r="M491" i="10"/>
  <c r="M1040" i="10"/>
  <c r="M347" i="10"/>
  <c r="M779" i="10"/>
  <c r="M671" i="10"/>
  <c r="M298" i="10"/>
  <c r="M351" i="10"/>
  <c r="M956" i="10"/>
  <c r="M759" i="10"/>
  <c r="M356" i="10"/>
  <c r="M267" i="10"/>
  <c r="M430" i="10"/>
  <c r="M531" i="10"/>
  <c r="M900" i="10"/>
  <c r="M750" i="10"/>
  <c r="M682" i="10"/>
  <c r="M542" i="10"/>
  <c r="M958" i="10"/>
  <c r="M716" i="10"/>
  <c r="M753" i="10"/>
  <c r="M686" i="10"/>
  <c r="M733" i="10"/>
  <c r="M541" i="10"/>
  <c r="M488" i="10"/>
  <c r="M582" i="10"/>
  <c r="M380" i="10"/>
  <c r="M214" i="10"/>
  <c r="M583" i="10"/>
  <c r="M536" i="10"/>
  <c r="O275" i="10"/>
  <c r="O847" i="10"/>
  <c r="O825" i="10"/>
  <c r="O960" i="10"/>
  <c r="O870" i="10"/>
  <c r="O218" i="10"/>
  <c r="O892" i="10"/>
  <c r="O183" i="10"/>
  <c r="O279" i="10"/>
  <c r="O936" i="10"/>
  <c r="O844" i="10"/>
  <c r="O537" i="10"/>
  <c r="O1021" i="10"/>
  <c r="O846" i="10"/>
  <c r="O1029" i="10"/>
  <c r="O264" i="10"/>
  <c r="O988" i="10"/>
  <c r="O473" i="10"/>
  <c r="O597" i="10"/>
  <c r="O1050" i="10"/>
  <c r="O603" i="10"/>
  <c r="O811" i="10"/>
  <c r="O616" i="10"/>
  <c r="O1049" i="10"/>
  <c r="O887" i="10"/>
  <c r="O617" i="10"/>
  <c r="O420" i="10"/>
  <c r="O471" i="10"/>
  <c r="O368" i="10"/>
  <c r="O480" i="10"/>
  <c r="O926" i="10"/>
  <c r="O468" i="10"/>
  <c r="O1025" i="10"/>
  <c r="O697" i="10"/>
  <c r="O802" i="10"/>
  <c r="O650" i="10"/>
  <c r="O461" i="10"/>
  <c r="O310" i="10"/>
  <c r="O1009" i="10"/>
  <c r="O772" i="10"/>
  <c r="O502" i="10"/>
  <c r="O518" i="10"/>
  <c r="O512" i="10"/>
  <c r="O896" i="10"/>
  <c r="O1040" i="10"/>
  <c r="O374" i="10"/>
  <c r="O430" i="10"/>
  <c r="O367" i="10"/>
  <c r="O449" i="10"/>
  <c r="O252" i="10"/>
  <c r="O623" i="10"/>
  <c r="O663" i="10"/>
  <c r="O299" i="10"/>
  <c r="O876" i="10"/>
  <c r="O259" i="10"/>
  <c r="O665" i="10"/>
  <c r="O879" i="10"/>
  <c r="O362" i="10"/>
  <c r="O940" i="10"/>
  <c r="O880" i="10"/>
  <c r="O1034" i="10"/>
  <c r="O1032" i="10"/>
  <c r="O931" i="10"/>
  <c r="O559" i="10"/>
  <c r="O682" i="10"/>
  <c r="O671" i="10"/>
  <c r="O626" i="10"/>
  <c r="O486" i="10"/>
  <c r="O735" i="10"/>
  <c r="O470" i="10"/>
  <c r="O969" i="10"/>
  <c r="O451" i="10"/>
  <c r="O582" i="10"/>
  <c r="O476" i="10"/>
  <c r="O943" i="10"/>
  <c r="O857" i="10"/>
  <c r="M693" i="10"/>
  <c r="M306" i="10"/>
  <c r="M555" i="10"/>
  <c r="M412" i="10"/>
  <c r="M376" i="10"/>
  <c r="M708" i="10"/>
  <c r="M186" i="10"/>
  <c r="M764" i="10"/>
  <c r="M914" i="10"/>
  <c r="M834" i="10"/>
  <c r="M389" i="10"/>
  <c r="M314" i="10"/>
  <c r="M539" i="10"/>
  <c r="M262" i="10"/>
  <c r="M808" i="10"/>
  <c r="M254" i="10"/>
  <c r="M781" i="10"/>
  <c r="M172" i="10"/>
  <c r="M694" i="10"/>
  <c r="M421" i="10"/>
  <c r="M479" i="10"/>
  <c r="M617" i="10"/>
  <c r="M882" i="10"/>
  <c r="M1018" i="10"/>
  <c r="M270" i="10"/>
  <c r="M787" i="10"/>
  <c r="M832" i="10"/>
  <c r="M519" i="10"/>
  <c r="M471" i="10"/>
  <c r="M611" i="10"/>
  <c r="M382" i="10"/>
  <c r="M325" i="10"/>
  <c r="M307" i="10"/>
  <c r="M203" i="10"/>
  <c r="M461" i="10"/>
  <c r="M428" i="10"/>
  <c r="M368" i="10"/>
  <c r="M709" i="10"/>
  <c r="M477" i="10"/>
  <c r="M860" i="10"/>
  <c r="M401" i="10"/>
  <c r="M330" i="10"/>
  <c r="M304" i="10"/>
  <c r="M998" i="10"/>
  <c r="M624" i="10"/>
  <c r="M353" i="10"/>
  <c r="M826" i="10"/>
  <c r="M816" i="10"/>
  <c r="M619" i="10"/>
  <c r="M838" i="10"/>
  <c r="M982" i="10"/>
  <c r="M184" i="10"/>
  <c r="M858" i="10"/>
  <c r="M879" i="10"/>
  <c r="M980" i="10"/>
  <c r="M408" i="10"/>
  <c r="M378" i="10"/>
  <c r="M517" i="10"/>
  <c r="M684" i="10"/>
  <c r="M749" i="10"/>
  <c r="M1061" i="10"/>
  <c r="M863" i="10"/>
  <c r="M490" i="10"/>
  <c r="M630" i="10"/>
  <c r="M853" i="10"/>
  <c r="M443" i="10"/>
  <c r="M295" i="10"/>
  <c r="M435" i="10"/>
  <c r="M566" i="10"/>
  <c r="M895" i="10"/>
  <c r="M911" i="10"/>
  <c r="M442" i="10"/>
  <c r="M548" i="10"/>
  <c r="M1007" i="10"/>
  <c r="M393" i="10"/>
  <c r="M931" i="10"/>
  <c r="O866" i="10"/>
  <c r="O1002" i="10"/>
  <c r="O1010" i="10"/>
  <c r="O452" i="10"/>
  <c r="O376" i="10"/>
  <c r="O1064" i="10"/>
  <c r="O785" i="10"/>
  <c r="O528" i="10"/>
  <c r="O649" i="10"/>
  <c r="O868" i="10"/>
  <c r="O216" i="10"/>
  <c r="O472" i="10"/>
  <c r="O746" i="10"/>
  <c r="O521" i="10"/>
  <c r="O357" i="10"/>
  <c r="O834" i="10"/>
  <c r="O448" i="10"/>
  <c r="O781" i="10"/>
  <c r="O809" i="10"/>
  <c r="O1060" i="10"/>
  <c r="O431" i="10"/>
  <c r="O554" i="10"/>
  <c r="O804" i="10"/>
  <c r="O977" i="10"/>
  <c r="O878" i="10"/>
  <c r="O645" i="10"/>
  <c r="O475" i="10"/>
  <c r="O728" i="10"/>
  <c r="O724" i="10"/>
  <c r="O674" i="10"/>
  <c r="O215" i="10"/>
  <c r="O581" i="10"/>
  <c r="O533" i="10"/>
  <c r="O658" i="10"/>
  <c r="O499" i="10"/>
  <c r="O405" i="10"/>
  <c r="O688" i="10"/>
  <c r="O762" i="10"/>
  <c r="O897" i="10"/>
  <c r="O239" i="10"/>
  <c r="O232" i="10"/>
  <c r="O526" i="10"/>
  <c r="O791" i="10"/>
  <c r="O1074" i="10"/>
  <c r="O619" i="10"/>
  <c r="O713" i="10"/>
  <c r="O544" i="10"/>
  <c r="O1016" i="10"/>
  <c r="O614" i="10"/>
  <c r="O673" i="10"/>
  <c r="O505" i="10"/>
  <c r="O646" i="10"/>
  <c r="O801" i="10"/>
  <c r="O618" i="10"/>
  <c r="O284" i="10"/>
  <c r="O492" i="10"/>
  <c r="O981" i="10"/>
  <c r="O833" i="10"/>
  <c r="O535" i="10"/>
  <c r="O267" i="10"/>
  <c r="O567" i="10"/>
  <c r="O488" i="10"/>
  <c r="O349" i="10"/>
  <c r="O1004" i="10"/>
  <c r="O490" i="10"/>
  <c r="O958" i="10"/>
  <c r="O810" i="10"/>
  <c r="O189" i="10"/>
  <c r="O1023" i="10"/>
  <c r="O706" i="10"/>
  <c r="O989" i="10"/>
  <c r="O342" i="10"/>
  <c r="O442" i="10"/>
  <c r="O797" i="10"/>
  <c r="O522" i="10"/>
  <c r="O393" i="10"/>
  <c r="M843" i="10"/>
  <c r="M345" i="10"/>
  <c r="M892" i="10"/>
  <c r="M573" i="10"/>
  <c r="M796" i="10"/>
  <c r="M236" i="10"/>
  <c r="M1035" i="10"/>
  <c r="M871" i="10"/>
  <c r="M287" i="10"/>
  <c r="M855" i="10"/>
  <c r="M388" i="10"/>
  <c r="M194" i="10"/>
  <c r="M1021" i="10"/>
  <c r="M357" i="10"/>
  <c r="M341" i="10"/>
  <c r="M756" i="10"/>
  <c r="M560" i="10"/>
  <c r="M635" i="10"/>
  <c r="M800" i="10"/>
  <c r="M1041" i="10"/>
  <c r="M893" i="10"/>
  <c r="M1069" i="10"/>
  <c r="M597" i="10"/>
  <c r="M350" i="10"/>
  <c r="M569" i="10"/>
  <c r="M551" i="10"/>
  <c r="M668" i="10"/>
  <c r="M263" i="10"/>
  <c r="M586" i="10"/>
  <c r="M645" i="10"/>
  <c r="M1047" i="10"/>
  <c r="M501" i="10"/>
  <c r="M453" i="10"/>
  <c r="M526" i="10"/>
  <c r="M321" i="10"/>
  <c r="M705" i="10"/>
  <c r="M494" i="10"/>
  <c r="M772" i="10"/>
  <c r="M504" i="10"/>
  <c r="M1045" i="10"/>
  <c r="M726" i="10"/>
  <c r="M758" i="10"/>
  <c r="M898" i="10"/>
  <c r="M667" i="10"/>
  <c r="M520" i="10"/>
  <c r="M663" i="10"/>
  <c r="M991" i="10"/>
  <c r="M291" i="10"/>
  <c r="M174" i="10"/>
  <c r="M200" i="10"/>
  <c r="M717" i="10"/>
  <c r="M883" i="10"/>
  <c r="M743" i="10"/>
  <c r="M469" i="10"/>
  <c r="M849" i="10"/>
  <c r="M563" i="10"/>
  <c r="M437" i="10"/>
  <c r="M642" i="10"/>
  <c r="M752" i="10"/>
  <c r="M484" i="10"/>
  <c r="M545" i="10"/>
  <c r="M299" i="10"/>
  <c r="M676" i="10"/>
  <c r="M766" i="10"/>
  <c r="M575" i="10"/>
  <c r="M672" i="10"/>
  <c r="M572" i="10"/>
  <c r="M465" i="10"/>
  <c r="M933" i="10"/>
  <c r="M638" i="10"/>
  <c r="M712" i="10"/>
  <c r="M1065" i="10"/>
  <c r="M202" i="10"/>
  <c r="M455" i="10"/>
  <c r="M735" i="10"/>
  <c r="M332" i="10"/>
  <c r="O235" i="10"/>
  <c r="O803" i="10"/>
  <c r="O199" i="10"/>
  <c r="O334" i="10"/>
  <c r="O573" i="10"/>
  <c r="O813" i="10"/>
  <c r="O652" i="10"/>
  <c r="O1036" i="10"/>
  <c r="O935" i="10"/>
  <c r="O459" i="10"/>
  <c r="O383" i="10"/>
  <c r="O261" i="10"/>
  <c r="O315" i="10"/>
  <c r="O871" i="10"/>
  <c r="O763" i="10"/>
  <c r="O786" i="10"/>
  <c r="O837" i="10"/>
  <c r="O346" i="10"/>
  <c r="O506" i="10"/>
  <c r="O327" i="10"/>
  <c r="O742" i="10"/>
  <c r="O715" i="10"/>
  <c r="O240" i="10"/>
  <c r="O223" i="10"/>
  <c r="O423" i="10"/>
  <c r="O1024" i="10"/>
  <c r="O212" i="10"/>
  <c r="O441" i="10"/>
  <c r="O942" i="10"/>
  <c r="O975" i="10"/>
  <c r="O705" i="10"/>
  <c r="O957" i="10"/>
  <c r="O286" i="10"/>
  <c r="O798" i="10"/>
  <c r="O203" i="10"/>
  <c r="O757" i="10"/>
  <c r="O578" i="10"/>
  <c r="O494" i="10"/>
  <c r="O251" i="10"/>
  <c r="O769" i="10"/>
  <c r="O842" i="10"/>
  <c r="O395" i="10"/>
  <c r="O329" i="10"/>
  <c r="O520" i="10"/>
  <c r="O174" i="10"/>
  <c r="O661" i="10"/>
  <c r="O453" i="10"/>
  <c r="O493" i="10"/>
  <c r="O669" i="10"/>
  <c r="O469" i="10"/>
  <c r="O900" i="10"/>
  <c r="O443" i="10"/>
  <c r="O312" i="10"/>
  <c r="O779" i="10"/>
  <c r="O691" i="10"/>
  <c r="O937" i="10"/>
  <c r="O213" i="10"/>
  <c r="O1001" i="10"/>
  <c r="O983" i="10"/>
  <c r="O517" i="10"/>
  <c r="O571" i="10"/>
  <c r="O911" i="10"/>
  <c r="O679" i="10"/>
  <c r="O856" i="10"/>
  <c r="O676" i="10"/>
  <c r="O589" i="10"/>
  <c r="O328" i="10"/>
  <c r="O821" i="10"/>
  <c r="O572" i="10"/>
  <c r="O874" i="10"/>
  <c r="O723" i="10"/>
  <c r="O455" i="10"/>
  <c r="O257" i="10"/>
  <c r="O1005" i="10"/>
  <c r="O934" i="10"/>
  <c r="O323" i="10"/>
  <c r="M938" i="10"/>
  <c r="M450" i="10"/>
  <c r="M652" i="10"/>
  <c r="M799" i="10"/>
  <c r="M288" i="10"/>
  <c r="M320" i="10"/>
  <c r="M324" i="10"/>
  <c r="M960" i="10"/>
  <c r="M456" i="10"/>
  <c r="M1067" i="10"/>
  <c r="M886" i="10"/>
  <c r="M448" i="10"/>
  <c r="M170" i="10"/>
  <c r="M786" i="10"/>
  <c r="M939" i="10"/>
  <c r="M315" i="10"/>
  <c r="M1029" i="10"/>
  <c r="M955" i="10"/>
  <c r="M985" i="10"/>
  <c r="M241" i="10"/>
  <c r="M346" i="10"/>
  <c r="M487" i="10"/>
  <c r="M585" i="10"/>
  <c r="M447" i="10"/>
  <c r="M503" i="10"/>
  <c r="M515" i="10"/>
  <c r="M674" i="10"/>
  <c r="M595" i="10"/>
  <c r="M446" i="10"/>
  <c r="M768" i="10"/>
  <c r="M441" i="10"/>
  <c r="M972" i="10"/>
  <c r="M219" i="10"/>
  <c r="M601" i="10"/>
  <c r="M793" i="10"/>
  <c r="M912" i="10"/>
  <c r="M906" i="10"/>
  <c r="M432" i="10"/>
  <c r="M258" i="10"/>
  <c r="M715" i="10"/>
  <c r="M957" i="10"/>
  <c r="M410" i="10"/>
  <c r="M669" i="10"/>
  <c r="M661" i="10"/>
  <c r="M737" i="10"/>
  <c r="M302" i="10"/>
  <c r="M371" i="10"/>
  <c r="M819" i="10"/>
  <c r="M579" i="10"/>
  <c r="M646" i="10"/>
  <c r="M600" i="10"/>
  <c r="M375" i="10"/>
  <c r="M1011" i="10"/>
  <c r="M213" i="10"/>
  <c r="M822" i="10"/>
  <c r="M467" i="10"/>
  <c r="M238" i="10"/>
  <c r="M317" i="10"/>
  <c r="M333" i="10"/>
  <c r="M852" i="10"/>
  <c r="M245" i="10"/>
  <c r="M801" i="10"/>
  <c r="M633" i="10"/>
  <c r="M1038" i="10"/>
  <c r="M869" i="10"/>
  <c r="M615" i="10"/>
  <c r="M301" i="10"/>
  <c r="M470" i="10"/>
  <c r="M629" i="10"/>
  <c r="M391" i="10"/>
  <c r="M963" i="10"/>
  <c r="M568" i="10"/>
  <c r="M967" i="10"/>
  <c r="M1022" i="10"/>
  <c r="M293" i="10"/>
  <c r="M845" i="10"/>
  <c r="O1070" i="10"/>
  <c r="O553" i="10"/>
  <c r="O534" i="10"/>
  <c r="O829" i="10"/>
  <c r="O166" i="10"/>
  <c r="O412" i="10"/>
  <c r="O656" i="10"/>
  <c r="O905" i="10"/>
  <c r="O707" i="10"/>
  <c r="O445" i="10"/>
  <c r="O719" i="10"/>
  <c r="O843" i="10"/>
  <c r="O426" i="10"/>
  <c r="O687" i="10"/>
  <c r="O234" i="10"/>
  <c r="O692" i="10"/>
  <c r="O348" i="10"/>
  <c r="O1057" i="10"/>
  <c r="O170" i="10"/>
  <c r="O498" i="10"/>
  <c r="O955" i="10"/>
  <c r="O727" i="10"/>
  <c r="O927" i="10"/>
  <c r="O487" i="10"/>
  <c r="O511" i="10"/>
  <c r="O586" i="10"/>
  <c r="O794" i="10"/>
  <c r="O668" i="10"/>
  <c r="O1013" i="10"/>
  <c r="O385" i="10"/>
  <c r="O912" i="10"/>
  <c r="O840" i="10"/>
  <c r="O325" i="10"/>
  <c r="O269" i="10"/>
  <c r="O773" i="10"/>
  <c r="O780" i="10"/>
  <c r="O570" i="10"/>
  <c r="O906" i="10"/>
  <c r="O709" i="10"/>
  <c r="O793" i="10"/>
  <c r="O606" i="10"/>
  <c r="O371" i="10"/>
  <c r="O883" i="10"/>
  <c r="O392" i="10"/>
  <c r="O579" i="10"/>
  <c r="O1037" i="10"/>
  <c r="O410" i="10"/>
  <c r="O496" i="10"/>
  <c r="O982" i="10"/>
  <c r="O330" i="10"/>
  <c r="O1061" i="10"/>
  <c r="O718" i="10"/>
  <c r="O838" i="10"/>
  <c r="O316" i="10"/>
  <c r="O596" i="10"/>
  <c r="O924" i="10"/>
  <c r="O947" i="10"/>
  <c r="O823" i="10"/>
  <c r="O356" i="10"/>
  <c r="O642" i="10"/>
  <c r="O457" i="10"/>
  <c r="O712" i="10"/>
  <c r="O990" i="10"/>
  <c r="O281" i="10"/>
  <c r="O633" i="10"/>
  <c r="O184" i="10"/>
  <c r="O647" i="10"/>
  <c r="O753" i="10"/>
  <c r="O301" i="10"/>
  <c r="O908" i="10"/>
  <c r="O621" i="10"/>
  <c r="O962" i="10"/>
  <c r="O197" i="10"/>
  <c r="O285" i="10"/>
  <c r="O404" i="10"/>
  <c r="O297" i="10"/>
  <c r="M1000" i="10"/>
  <c r="M1043" i="10"/>
  <c r="M862" i="10"/>
  <c r="M818" i="10"/>
  <c r="M237" i="10"/>
  <c r="M173" i="10"/>
  <c r="M949" i="10"/>
  <c r="M279" i="10"/>
  <c r="M289" i="10"/>
  <c r="M452" i="10"/>
  <c r="M528" i="10"/>
  <c r="M873" i="10"/>
  <c r="M730" i="10"/>
  <c r="M445" i="10"/>
  <c r="M1062" i="10"/>
  <c r="M417" i="10"/>
  <c r="M191" i="10"/>
  <c r="M999" i="10"/>
  <c r="M399" i="10"/>
  <c r="M179" i="10"/>
  <c r="M864" i="10"/>
  <c r="M426" i="10"/>
  <c r="M809" i="10"/>
  <c r="M311" i="10"/>
  <c r="M407" i="10"/>
  <c r="M941" i="10"/>
  <c r="M355" i="10"/>
  <c r="M778" i="10"/>
  <c r="M309" i="10"/>
  <c r="M658" i="10"/>
  <c r="M637" i="10"/>
  <c r="M901" i="10"/>
  <c r="M1026" i="10"/>
  <c r="M474" i="10"/>
  <c r="M310" i="10"/>
  <c r="M193" i="10"/>
  <c r="M899" i="10"/>
  <c r="M762" i="10"/>
  <c r="M360" i="10"/>
  <c r="M889" i="10"/>
  <c r="M734" i="10"/>
  <c r="M336" i="10"/>
  <c r="M367" i="10"/>
  <c r="M425" i="10"/>
  <c r="M859" i="10"/>
  <c r="M880" i="10"/>
  <c r="M884" i="10"/>
  <c r="M482" i="10"/>
  <c r="M550" i="10"/>
  <c r="M303" i="10"/>
  <c r="M397" i="10"/>
  <c r="M252" i="10"/>
  <c r="M1032" i="10"/>
  <c r="M947" i="10"/>
  <c r="M1073" i="10"/>
  <c r="M685" i="10"/>
  <c r="M622" i="10"/>
  <c r="M997" i="10"/>
  <c r="M738" i="10"/>
  <c r="M319" i="10"/>
  <c r="M839" i="10"/>
  <c r="M856" i="10"/>
  <c r="M243" i="10"/>
  <c r="M587" i="10"/>
  <c r="M626" i="10"/>
  <c r="M765" i="10"/>
  <c r="M1058" i="10"/>
  <c r="M706" i="10"/>
  <c r="M476" i="10"/>
  <c r="M370" i="10"/>
  <c r="M604" i="10"/>
  <c r="M257" i="10"/>
  <c r="M323" i="10"/>
  <c r="M209" i="10"/>
  <c r="M509" i="10"/>
  <c r="M233" i="10"/>
  <c r="O594" i="10"/>
  <c r="O1039" i="10"/>
  <c r="O599" i="10"/>
  <c r="O818" i="10"/>
  <c r="O1053" i="10"/>
  <c r="O343" i="10"/>
  <c r="O265" i="10"/>
  <c r="O539" i="10"/>
  <c r="O641" i="10"/>
  <c r="O415" i="10"/>
  <c r="O635" i="10"/>
  <c r="O945" i="10"/>
  <c r="M918" i="10"/>
  <c r="M379" i="10"/>
  <c r="M861" i="10"/>
  <c r="M936" i="10"/>
  <c r="M201" i="10"/>
  <c r="M221" i="10"/>
  <c r="M318" i="10"/>
  <c r="M995" i="10"/>
  <c r="M657" i="10"/>
  <c r="M459" i="10"/>
  <c r="M1036" i="10"/>
  <c r="M348" i="10"/>
  <c r="M521" i="10"/>
  <c r="M415" i="10"/>
  <c r="M431" i="10"/>
  <c r="M478" i="10"/>
  <c r="M240" i="10"/>
  <c r="M1049" i="10"/>
  <c r="M1050" i="10"/>
  <c r="M609" i="10"/>
  <c r="M440" i="10"/>
  <c r="M690" i="10"/>
  <c r="M223" i="10"/>
  <c r="M644" i="10"/>
  <c r="M922" i="10"/>
  <c r="M902" i="10"/>
  <c r="M926" i="10"/>
  <c r="M420" i="10"/>
  <c r="M584" i="10"/>
  <c r="M405" i="10"/>
  <c r="M377" i="10"/>
  <c r="M830" i="10"/>
  <c r="M966" i="10"/>
  <c r="M634" i="10"/>
  <c r="M232" i="10"/>
  <c r="M381" i="10"/>
  <c r="M546" i="10"/>
  <c r="M239" i="10"/>
  <c r="M398" i="10"/>
  <c r="M502" i="10"/>
  <c r="M438" i="10"/>
  <c r="M1030" i="10"/>
  <c r="M390" i="10"/>
  <c r="M636" i="10"/>
  <c r="M188" i="10"/>
  <c r="M1016" i="10"/>
  <c r="M835" i="10"/>
  <c r="M316" i="10"/>
  <c r="M418" i="10"/>
  <c r="M547" i="10"/>
  <c r="M850" i="10"/>
  <c r="M394" i="10"/>
  <c r="M228" i="10"/>
  <c r="M1008" i="10"/>
  <c r="M970" i="10"/>
  <c r="M714" i="10"/>
  <c r="M556" i="10"/>
  <c r="M543" i="10"/>
  <c r="M208" i="10"/>
  <c r="M282" i="10"/>
  <c r="M788" i="10"/>
  <c r="M1063" i="10"/>
  <c r="M774" i="10"/>
  <c r="M943" i="10"/>
  <c r="M810" i="10"/>
  <c r="M807" i="10"/>
  <c r="M402" i="10"/>
  <c r="M874" i="10"/>
  <c r="M689" i="10"/>
  <c r="M197" i="10"/>
  <c r="M761" i="10"/>
  <c r="M700" i="10"/>
  <c r="M297" i="10"/>
  <c r="M253" i="10"/>
  <c r="M851" i="10"/>
  <c r="M770" i="10"/>
  <c r="O820" i="10"/>
  <c r="O699" i="10"/>
  <c r="O598" i="10"/>
  <c r="O928" i="10"/>
  <c r="O313" i="10"/>
  <c r="O708" i="10"/>
  <c r="O744" i="10"/>
  <c r="O288" i="10"/>
  <c r="O409" i="10"/>
  <c r="O201" i="10"/>
  <c r="O557" i="10"/>
  <c r="O194" i="10"/>
  <c r="O736" i="10"/>
  <c r="O225" i="10"/>
  <c r="O925" i="10"/>
  <c r="O730" i="10"/>
  <c r="O276" i="10"/>
  <c r="O464" i="10"/>
  <c r="O836" i="10"/>
  <c r="O551" i="10"/>
  <c r="O529" i="10"/>
  <c r="O643" i="10"/>
  <c r="O447" i="10"/>
  <c r="O439" i="10"/>
  <c r="O224" i="10"/>
  <c r="O407" i="10"/>
  <c r="O702" i="10"/>
  <c r="O382" i="10"/>
  <c r="O595" i="10"/>
  <c r="O1069" i="10"/>
  <c r="O165" i="10"/>
  <c r="O637" i="10"/>
  <c r="O901" i="10"/>
  <c r="O176" i="10"/>
  <c r="O648" i="10"/>
  <c r="O432" i="10"/>
  <c r="O507" i="10"/>
  <c r="O546" i="10"/>
  <c r="O291" i="10"/>
  <c r="O258" i="10"/>
  <c r="O244" i="10"/>
  <c r="O872" i="10"/>
  <c r="O169" i="10"/>
  <c r="O352" i="10"/>
  <c r="O418" i="10"/>
  <c r="O558" i="10"/>
  <c r="O178" i="10"/>
  <c r="O477" i="10"/>
  <c r="O282" i="10"/>
  <c r="O1030" i="10"/>
  <c r="O245" i="10"/>
  <c r="O783" i="10"/>
  <c r="O576" i="10"/>
  <c r="O394" i="10"/>
  <c r="O815" i="10"/>
  <c r="O750" i="10"/>
  <c r="O249" i="10"/>
  <c r="O171" i="10"/>
  <c r="O437" i="10"/>
  <c r="O531" i="10"/>
  <c r="O1066" i="10"/>
  <c r="O604" i="10"/>
  <c r="O548" i="10"/>
  <c r="O1063" i="10"/>
  <c r="O745" i="10"/>
  <c r="O182" i="10"/>
  <c r="O339" i="10"/>
  <c r="O765" i="10"/>
  <c r="O402" i="10"/>
  <c r="O741" i="10"/>
  <c r="O895" i="10"/>
  <c r="O587" i="10"/>
  <c r="O954" i="10"/>
  <c r="O845" i="10"/>
  <c r="O583" i="10"/>
  <c r="O689" i="10"/>
  <c r="M847" i="10"/>
  <c r="M1010" i="10"/>
  <c r="M334" i="10"/>
  <c r="M870" i="10"/>
  <c r="M946" i="10"/>
  <c r="M935" i="10"/>
  <c r="M340" i="10"/>
  <c r="M409" i="10"/>
  <c r="M699" i="10"/>
  <c r="M294" i="10"/>
  <c r="M557" i="10"/>
  <c r="M656" i="10"/>
  <c r="M804" i="10"/>
  <c r="M592" i="10"/>
  <c r="M480" i="10"/>
  <c r="M988" i="10"/>
  <c r="M603" i="10"/>
  <c r="M904" i="10"/>
  <c r="M498" i="10"/>
  <c r="M175" i="10"/>
  <c r="M414" i="10"/>
  <c r="M977" i="10"/>
  <c r="M795" i="10"/>
  <c r="M698" i="10"/>
  <c r="M978" i="10"/>
  <c r="M643" i="10"/>
  <c r="M215" i="10"/>
  <c r="M894" i="10"/>
  <c r="M538" i="10"/>
  <c r="M792" i="10"/>
  <c r="M463" i="10"/>
  <c r="M784" i="10"/>
  <c r="M806" i="10"/>
  <c r="M305" i="10"/>
  <c r="M524" i="10"/>
  <c r="M961" i="10"/>
  <c r="M1046" i="10"/>
  <c r="M915" i="10"/>
  <c r="M994" i="10"/>
  <c r="M606" i="10"/>
  <c r="M220" i="10"/>
  <c r="M329" i="10"/>
  <c r="M507" i="10"/>
  <c r="M558" i="10"/>
  <c r="M178" i="10"/>
  <c r="M971" i="10"/>
  <c r="M312" i="10"/>
  <c r="M424" i="10"/>
  <c r="M612" i="10"/>
  <c r="M755" i="10"/>
  <c r="M962" i="10"/>
  <c r="M250" i="10"/>
  <c r="M665" i="10"/>
  <c r="M486" i="10"/>
  <c r="M1001" i="10"/>
  <c r="M662" i="10"/>
  <c r="M564" i="10"/>
  <c r="M589" i="10"/>
  <c r="M571" i="10"/>
  <c r="M881" i="10"/>
  <c r="M198" i="10"/>
  <c r="M1015" i="10"/>
  <c r="M731" i="10"/>
  <c r="M285" i="10"/>
  <c r="M865" i="10"/>
  <c r="M590" i="10"/>
  <c r="M525" i="10"/>
  <c r="M741" i="10"/>
  <c r="M969" i="10"/>
  <c r="M177" i="10"/>
  <c r="M910" i="10"/>
  <c r="M659" i="10"/>
  <c r="M574" i="10"/>
  <c r="M1055" i="10"/>
  <c r="M885" i="10"/>
  <c r="O236" i="10"/>
  <c r="O1000" i="10"/>
  <c r="O450" i="10"/>
  <c r="O861" i="10"/>
  <c r="O324" i="10"/>
  <c r="O181" i="10"/>
  <c r="O938" i="10"/>
  <c r="O388" i="10"/>
  <c r="O946" i="10"/>
  <c r="O799" i="10"/>
  <c r="O389" i="10"/>
  <c r="O756" i="10"/>
  <c r="O363" i="10"/>
  <c r="O631" i="10"/>
  <c r="O289" i="10"/>
  <c r="O300" i="10"/>
  <c r="O185" i="10"/>
  <c r="O792" i="10"/>
  <c r="O400" i="10"/>
  <c r="O964" i="10"/>
  <c r="O254" i="10"/>
  <c r="O440" i="10"/>
  <c r="O775" i="10"/>
  <c r="O364" i="10"/>
  <c r="O670" i="10"/>
  <c r="O923" i="10"/>
  <c r="O974" i="10"/>
  <c r="O601" i="10"/>
  <c r="O644" i="10"/>
  <c r="O263" i="10"/>
  <c r="O217" i="10"/>
  <c r="O580" i="10"/>
  <c r="O463" i="10"/>
  <c r="O206" i="10"/>
  <c r="O627" i="10"/>
  <c r="O828" i="10"/>
  <c r="O726" i="10"/>
  <c r="O632" i="10"/>
  <c r="O620" i="10"/>
  <c r="O375" i="10"/>
  <c r="O387" i="10"/>
  <c r="O351" i="10"/>
  <c r="O514" i="10"/>
  <c r="O482" i="10"/>
  <c r="O425" i="10"/>
  <c r="O336" i="10"/>
  <c r="O390" i="10"/>
  <c r="O732" i="10"/>
  <c r="O867" i="10"/>
  <c r="O564" i="10"/>
  <c r="O187" i="10"/>
  <c r="O1006" i="10"/>
  <c r="O1022" i="10"/>
  <c r="O384" i="10"/>
  <c r="O1031" i="10"/>
  <c r="O298" i="10"/>
  <c r="O721" i="10"/>
  <c r="O849" i="10"/>
  <c r="O563" i="10"/>
  <c r="O280" i="10"/>
  <c r="O752" i="10"/>
  <c r="O180" i="10"/>
  <c r="O543" i="10"/>
  <c r="O919" i="10"/>
  <c r="O1015" i="10"/>
  <c r="O337" i="10"/>
  <c r="O852" i="10"/>
  <c r="O552" i="10"/>
  <c r="O577" i="10"/>
  <c r="O326" i="10"/>
  <c r="O739" i="10"/>
  <c r="O865" i="10"/>
  <c r="O770" i="10"/>
  <c r="O700" i="10"/>
  <c r="O283" i="10"/>
  <c r="O1027" i="10"/>
  <c r="M1002" i="10"/>
  <c r="M199" i="10"/>
  <c r="M530" i="10"/>
  <c r="M275" i="10"/>
  <c r="M166" i="10"/>
  <c r="M354" i="10"/>
  <c r="M183" i="10"/>
  <c r="M361" i="10"/>
  <c r="M181" i="10"/>
  <c r="M785" i="10"/>
  <c r="M264" i="10"/>
  <c r="M218" i="10"/>
  <c r="M1042" i="10"/>
  <c r="M400" i="10"/>
  <c r="M413" i="10"/>
  <c r="M996" i="10"/>
  <c r="M549" i="10"/>
  <c r="M763" i="10"/>
  <c r="M167" i="10"/>
  <c r="M266" i="10"/>
  <c r="M277" i="10"/>
  <c r="M887" i="10"/>
  <c r="M964" i="10"/>
  <c r="M1057" i="10"/>
  <c r="M335" i="10"/>
  <c r="M436" i="10"/>
  <c r="M727" i="10"/>
  <c r="M794" i="10"/>
  <c r="M475" i="10"/>
  <c r="M373" i="10"/>
  <c r="M1017" i="10"/>
  <c r="M696" i="10"/>
  <c r="M798" i="10"/>
  <c r="M196" i="10"/>
  <c r="M688" i="10"/>
  <c r="M385" i="10"/>
  <c r="M416" i="10"/>
  <c r="M280" i="10"/>
  <c r="M1037" i="10"/>
  <c r="M628" i="10"/>
  <c r="M207" i="10"/>
  <c r="M909" i="10"/>
  <c r="M951" i="10"/>
  <c r="M406" i="10"/>
  <c r="M720" i="10"/>
  <c r="M896" i="10"/>
  <c r="M739" i="10"/>
  <c r="M695" i="10"/>
  <c r="M710" i="10"/>
  <c r="M751" i="10"/>
  <c r="M848" i="10"/>
  <c r="M815" i="10"/>
  <c r="M492" i="10"/>
  <c r="M168" i="10"/>
  <c r="M823" i="10"/>
  <c r="M940" i="10"/>
  <c r="M754" i="10"/>
  <c r="M729" i="10"/>
  <c r="M1074" i="10"/>
  <c r="M623" i="10"/>
  <c r="M1004" i="10"/>
  <c r="M903" i="10"/>
  <c r="M180" i="10"/>
  <c r="M718" i="10"/>
  <c r="M812" i="10"/>
  <c r="M369" i="10"/>
  <c r="M721" i="10"/>
  <c r="M1020" i="10"/>
  <c r="M989" i="10"/>
  <c r="M640" i="10"/>
  <c r="M1068" i="10"/>
  <c r="M349" i="10"/>
  <c r="M1005" i="10"/>
  <c r="M489" i="10"/>
  <c r="M857" i="10"/>
  <c r="O639" i="10"/>
  <c r="O918" i="10"/>
  <c r="O1043" i="10"/>
  <c r="O495" i="10"/>
  <c r="O949" i="10"/>
  <c r="O434" i="10"/>
  <c r="O1072" i="10"/>
  <c r="O886" i="10"/>
  <c r="O993" i="10"/>
  <c r="O747" i="10"/>
  <c r="O354" i="10"/>
  <c r="O296" i="10"/>
  <c r="O560" i="10"/>
  <c r="O414" i="10"/>
  <c r="O914" i="10"/>
  <c r="O211" i="10"/>
  <c r="O277" i="10"/>
  <c r="O651" i="10"/>
  <c r="O965" i="10"/>
  <c r="O605" i="10"/>
  <c r="O808" i="10"/>
  <c r="O335" i="10"/>
  <c r="O782" i="10"/>
  <c r="O508" i="10"/>
  <c r="O1018" i="10"/>
  <c r="O768" i="10"/>
  <c r="O266" i="10"/>
  <c r="O226" i="10"/>
  <c r="O428" i="10"/>
  <c r="O929" i="10"/>
  <c r="O806" i="10"/>
  <c r="O610" i="10"/>
  <c r="O1017" i="10"/>
  <c r="O784" i="10"/>
  <c r="O231" i="10"/>
  <c r="O196" i="10"/>
  <c r="O860" i="10"/>
  <c r="O365" i="10"/>
  <c r="O1051" i="10"/>
  <c r="O714" i="10"/>
  <c r="O358" i="10"/>
  <c r="O819" i="10"/>
  <c r="O776" i="10"/>
  <c r="O347" i="10"/>
  <c r="O210" i="10"/>
  <c r="O831" i="10"/>
  <c r="O760" i="10"/>
  <c r="O824" i="10"/>
  <c r="O1045" i="10"/>
  <c r="O754" i="10"/>
  <c r="O1033" i="10"/>
  <c r="O913" i="10"/>
  <c r="O805" i="10"/>
  <c r="O565" i="10"/>
  <c r="O230" i="10"/>
  <c r="O504" i="10"/>
  <c r="O256" i="10"/>
  <c r="O822" i="10"/>
  <c r="O685" i="10"/>
  <c r="O608" i="10"/>
  <c r="O333" i="10"/>
  <c r="O858" i="10"/>
  <c r="O467" i="10"/>
  <c r="O513" i="10"/>
  <c r="O903" i="10"/>
  <c r="O680" i="10"/>
  <c r="O711" i="10"/>
  <c r="O209" i="10"/>
  <c r="O590" i="10"/>
  <c r="O686" i="10"/>
  <c r="O536" i="10"/>
  <c r="O910" i="10"/>
  <c r="O997" i="10"/>
  <c r="O370" i="10"/>
  <c r="O214" i="10"/>
  <c r="O332" i="10"/>
  <c r="M454" i="10"/>
  <c r="M260" i="10"/>
  <c r="M687" i="10"/>
  <c r="M1060" i="10"/>
  <c r="M748" i="10"/>
  <c r="M952" i="10"/>
  <c r="M1012" i="10"/>
  <c r="M760" i="10"/>
  <c r="M777" i="10"/>
  <c r="M362" i="10"/>
  <c r="M1006" i="10"/>
  <c r="M522" i="10"/>
  <c r="M1027" i="10"/>
  <c r="O555" i="10"/>
  <c r="O361" i="10"/>
  <c r="O411" i="10"/>
  <c r="O172" i="10"/>
  <c r="O999" i="10"/>
  <c r="O922" i="10"/>
  <c r="O740" i="10"/>
  <c r="O195" i="10"/>
  <c r="O1012" i="10"/>
  <c r="O636" i="10"/>
  <c r="O406" i="10"/>
  <c r="O207" i="10"/>
  <c r="O397" i="10"/>
  <c r="O759" i="10"/>
  <c r="O761" i="10"/>
  <c r="O542" i="10"/>
  <c r="O1020" i="10"/>
  <c r="O1056" i="10"/>
  <c r="M331" i="10"/>
  <c r="M434" i="10"/>
  <c r="M588" i="10"/>
  <c r="M327" i="10"/>
  <c r="M974" i="10"/>
  <c r="M485" i="10"/>
  <c r="M1051" i="10"/>
  <c r="M493" i="10"/>
  <c r="M576" i="10"/>
  <c r="M833" i="10"/>
  <c r="M913" i="10"/>
  <c r="M404" i="10"/>
  <c r="M976" i="10"/>
  <c r="O862" i="10"/>
  <c r="O456" i="10"/>
  <c r="O979" i="10"/>
  <c r="O294" i="10"/>
  <c r="O814" i="10"/>
  <c r="O748" i="10"/>
  <c r="O355" i="10"/>
  <c r="O307" i="10"/>
  <c r="O915" i="10"/>
  <c r="O491" i="10"/>
  <c r="O192" i="10"/>
  <c r="O322" i="10"/>
  <c r="O850" i="10"/>
  <c r="O408" i="10"/>
  <c r="O593" i="10"/>
  <c r="O630" i="10"/>
  <c r="O568" i="10"/>
  <c r="O566" i="10"/>
  <c r="M704" i="10"/>
  <c r="M707" i="10"/>
  <c r="M877" i="10"/>
  <c r="M878" i="10"/>
  <c r="M840" i="10"/>
  <c r="M460" i="10"/>
  <c r="M769" i="10"/>
  <c r="M338" i="10"/>
  <c r="M384" i="10"/>
  <c r="M992" i="10"/>
  <c r="M591" i="10"/>
  <c r="M908" i="10"/>
  <c r="M934" i="10"/>
  <c r="O186" i="10"/>
  <c r="O527" i="10"/>
  <c r="O1041" i="10"/>
  <c r="O694" i="10"/>
  <c r="O585" i="10"/>
  <c r="O538" i="10"/>
  <c r="O193" i="10"/>
  <c r="O474" i="10"/>
  <c r="O695" i="10"/>
  <c r="O624" i="10"/>
  <c r="O994" i="10"/>
  <c r="O545" i="10"/>
  <c r="O250" i="10"/>
  <c r="O378" i="10"/>
  <c r="O851" i="10"/>
  <c r="O716" i="10"/>
  <c r="O541" i="10"/>
  <c r="O678" i="10"/>
  <c r="M825" i="10"/>
  <c r="M641" i="10"/>
  <c r="M905" i="10"/>
  <c r="M854" i="10"/>
  <c r="M719" i="10"/>
  <c r="M206" i="10"/>
  <c r="M944" i="10"/>
  <c r="M968" i="10"/>
  <c r="M565" i="10"/>
  <c r="M824" i="10"/>
  <c r="M562" i="10"/>
  <c r="M516" i="10"/>
  <c r="M921" i="10"/>
  <c r="O1035" i="10"/>
  <c r="O242" i="10"/>
  <c r="O985" i="10"/>
  <c r="O683" i="10"/>
  <c r="O274" i="10"/>
  <c r="O666" i="10"/>
  <c r="O381" i="10"/>
  <c r="O634" i="10"/>
  <c r="O292" i="10"/>
  <c r="O561" i="10"/>
  <c r="O720" i="10"/>
  <c r="O839" i="10"/>
  <c r="O466" i="10"/>
  <c r="O238" i="10"/>
  <c r="O602" i="10"/>
  <c r="O489" i="10"/>
  <c r="O638" i="10"/>
  <c r="O967" i="10"/>
  <c r="M495" i="10"/>
  <c r="M383" i="10"/>
  <c r="M932" i="10"/>
  <c r="M651" i="10"/>
  <c r="M975" i="10"/>
  <c r="M512" i="10"/>
  <c r="M387" i="10"/>
  <c r="M697" i="10"/>
  <c r="M1031" i="10"/>
  <c r="M890" i="10"/>
  <c r="M559" i="10"/>
  <c r="M1033" i="10"/>
  <c r="M602" i="10"/>
  <c r="O995" i="10"/>
  <c r="O855" i="10"/>
  <c r="O592" i="10"/>
  <c r="O795" i="10"/>
  <c r="O941" i="10"/>
  <c r="O341" i="10"/>
  <c r="O204" i="10"/>
  <c r="O222" i="10"/>
  <c r="O859" i="10"/>
  <c r="O729" i="10"/>
  <c r="O500" i="10"/>
  <c r="O788" i="10"/>
  <c r="O907" i="10"/>
  <c r="O622" i="10"/>
  <c r="O427" i="10"/>
  <c r="O659" i="10"/>
  <c r="O391" i="10"/>
  <c r="O1055" i="10"/>
  <c r="M867" i="10"/>
  <c r="O817" i="10"/>
  <c r="O188" i="10"/>
  <c r="O826" i="10"/>
  <c r="O672" i="10"/>
  <c r="O591" i="10"/>
  <c r="O233" i="10"/>
  <c r="M372" i="10"/>
  <c r="O628" i="10"/>
  <c r="O1008" i="10"/>
  <c r="O1058" i="10"/>
  <c r="M261" i="10"/>
  <c r="M827" i="10"/>
  <c r="M608" i="10"/>
  <c r="M647" i="10"/>
  <c r="O540" i="10"/>
  <c r="O893" i="10"/>
  <c r="O991" i="10"/>
  <c r="O268" i="10"/>
  <c r="O303" i="10"/>
  <c r="O344" i="10"/>
  <c r="O380" i="10"/>
  <c r="M625" i="10"/>
  <c r="M235" i="10"/>
  <c r="M296" i="10"/>
  <c r="M211" i="10"/>
  <c r="M255" i="10"/>
  <c r="M620" i="10"/>
  <c r="M358" i="10"/>
  <c r="M395" i="10"/>
  <c r="M230" i="10"/>
  <c r="M271" i="10"/>
  <c r="M457" i="10"/>
  <c r="M481" i="10"/>
  <c r="M745" i="10"/>
  <c r="O422" i="10"/>
  <c r="O939" i="10"/>
  <c r="O778" i="10"/>
  <c r="O167" i="10"/>
  <c r="O854" i="10"/>
  <c r="O433" i="10"/>
  <c r="O309" i="10"/>
  <c r="O612" i="10"/>
  <c r="O483" i="10"/>
  <c r="O816" i="10"/>
  <c r="O984" i="10"/>
  <c r="O273" i="10"/>
  <c r="O481" i="10"/>
  <c r="O898" i="10"/>
  <c r="O1019" i="10"/>
  <c r="O615" i="10"/>
  <c r="O766" i="10"/>
  <c r="O629" i="10"/>
  <c r="M728" i="10"/>
  <c r="M722" i="10"/>
  <c r="O530" i="10"/>
  <c r="O417" i="10"/>
  <c r="O569" i="10"/>
  <c r="O1054" i="10"/>
  <c r="O377" i="10"/>
  <c r="O360" i="10"/>
  <c r="O438" i="10"/>
  <c r="O774" i="10"/>
  <c r="O684" i="10"/>
  <c r="O807" i="10"/>
  <c r="M313" i="10"/>
  <c r="O1042" i="10"/>
  <c r="O698" i="10"/>
  <c r="O501" i="10"/>
  <c r="O550" i="10"/>
  <c r="O200" i="10"/>
  <c r="O921" i="10"/>
  <c r="M554" i="10"/>
  <c r="M433" i="10"/>
  <c r="M187" i="10"/>
  <c r="M567" i="10"/>
  <c r="O693" i="10"/>
  <c r="O932" i="10"/>
  <c r="O609" i="10"/>
  <c r="O951" i="10"/>
  <c r="O271" i="10"/>
  <c r="O888" i="10"/>
  <c r="M422" i="10"/>
  <c r="M216" i="10"/>
  <c r="M837" i="10"/>
  <c r="M1028" i="10"/>
  <c r="M222" i="10"/>
  <c r="M532" i="10"/>
  <c r="M691" i="10"/>
  <c r="M1023" i="10"/>
  <c r="M444" i="10"/>
  <c r="M783" i="10"/>
  <c r="O657" i="10"/>
  <c r="M1070" i="10"/>
  <c r="M290" i="10"/>
  <c r="M276" i="10"/>
  <c r="M925" i="10"/>
  <c r="M891" i="10"/>
  <c r="M231" i="10"/>
  <c r="M842" i="10"/>
  <c r="M681" i="10"/>
  <c r="M596" i="10"/>
  <c r="M523" i="10"/>
  <c r="M797" i="10"/>
  <c r="M1056" i="10"/>
  <c r="M677" i="10"/>
  <c r="O221" i="10"/>
  <c r="O873" i="10"/>
  <c r="O479" i="10"/>
  <c r="O227" i="10"/>
  <c r="O1028" i="10"/>
  <c r="O1047" i="10"/>
  <c r="O485" i="10"/>
  <c r="O308" i="10"/>
  <c r="O398" i="10"/>
  <c r="O758" i="10"/>
  <c r="O462" i="10"/>
  <c r="O1068" i="10"/>
  <c r="O525" i="10"/>
  <c r="O749" i="10"/>
  <c r="O562" i="10"/>
  <c r="O916" i="10"/>
  <c r="O1007" i="10"/>
  <c r="M868" i="10"/>
  <c r="M683" i="10"/>
  <c r="M1024" i="10"/>
  <c r="M1052" i="10"/>
  <c r="M386" i="10"/>
  <c r="M986" i="10"/>
  <c r="M259" i="10"/>
  <c r="M1034" i="10"/>
  <c r="M328" i="10"/>
  <c r="M403" i="10"/>
  <c r="O1044" i="10"/>
  <c r="O613" i="10"/>
  <c r="O948" i="10"/>
  <c r="O413" i="10"/>
  <c r="O519" i="10"/>
  <c r="O304" i="10"/>
  <c r="O890" i="10"/>
  <c r="O640" i="10"/>
  <c r="O1065" i="10"/>
  <c r="M411" i="10"/>
  <c r="M352" i="10"/>
  <c r="M284" i="10"/>
  <c r="M283" i="10"/>
  <c r="O690" i="10"/>
  <c r="O830" i="10"/>
  <c r="O777" i="10"/>
  <c r="O956" i="10"/>
  <c r="O1059" i="10"/>
  <c r="M866" i="10"/>
  <c r="M1054" i="10"/>
  <c r="M927" i="10"/>
  <c r="M814" i="10"/>
  <c r="M648" i="10"/>
  <c r="M204" i="10"/>
  <c r="M1003" i="10"/>
  <c r="M789" i="10"/>
  <c r="M249" i="10"/>
  <c r="M703" i="10"/>
  <c r="M916" i="10"/>
  <c r="M246" i="10"/>
  <c r="O306" i="10"/>
  <c r="O237" i="10"/>
  <c r="O930" i="10"/>
  <c r="O248" i="10"/>
  <c r="O864" i="10"/>
  <c r="O372" i="10"/>
  <c r="O832" i="10"/>
  <c r="O460" i="10"/>
  <c r="O219" i="10"/>
  <c r="O429" i="10"/>
  <c r="O710" i="10"/>
  <c r="O950" i="10"/>
  <c r="O547" i="10"/>
  <c r="O980" i="10"/>
  <c r="O295" i="10"/>
  <c r="O848" i="10"/>
  <c r="O733" i="10"/>
  <c r="O403" i="10"/>
  <c r="M747" i="10"/>
  <c r="M965" i="10"/>
  <c r="M666" i="10"/>
  <c r="M274" i="10"/>
  <c r="M627" i="10"/>
  <c r="M580" i="10"/>
  <c r="M791" i="10"/>
  <c r="M278" i="10"/>
  <c r="M987" i="10"/>
  <c r="M920" i="10"/>
  <c r="M577" i="10"/>
  <c r="M339" i="10"/>
  <c r="O345" i="10"/>
  <c r="O190" i="10"/>
  <c r="O588" i="10"/>
  <c r="O549" i="10"/>
  <c r="O311" i="10"/>
  <c r="O503" i="10"/>
  <c r="O787" i="10"/>
  <c r="O899" i="10"/>
  <c r="O424" i="10"/>
  <c r="O220" i="10"/>
  <c r="O812" i="10"/>
  <c r="O302" i="10"/>
  <c r="O963" i="10"/>
  <c r="O853" i="10"/>
  <c r="O202" i="10"/>
  <c r="O584" i="10"/>
  <c r="O664" i="10"/>
  <c r="O516" i="10"/>
  <c r="K542" i="10"/>
  <c r="K337" i="10"/>
  <c r="K1023" i="10"/>
  <c r="K406" i="10"/>
  <c r="K578" i="10"/>
  <c r="K1052" i="10"/>
  <c r="K1047" i="10"/>
  <c r="K651" i="10"/>
  <c r="K361" i="10"/>
  <c r="K201" i="10"/>
  <c r="E79" i="10"/>
  <c r="E77" i="10"/>
  <c r="G77" i="10"/>
  <c r="G79" i="10"/>
  <c r="E81" i="10"/>
  <c r="G81" i="10"/>
  <c r="G82" i="10"/>
  <c r="E78" i="10"/>
  <c r="E82" i="10"/>
  <c r="G78" i="10"/>
  <c r="E80" i="10"/>
  <c r="G80" i="10"/>
  <c r="O82" i="10"/>
  <c r="M79" i="10"/>
  <c r="O78" i="10"/>
  <c r="O80" i="10"/>
  <c r="M82" i="10"/>
  <c r="M78" i="10"/>
  <c r="M80" i="10"/>
  <c r="O81" i="10"/>
  <c r="M77" i="10"/>
  <c r="M81" i="10"/>
  <c r="O77" i="10"/>
  <c r="O79" i="10"/>
  <c r="L163" i="10"/>
  <c r="L132" i="10"/>
  <c r="L135" i="10"/>
  <c r="L144" i="10"/>
  <c r="L146" i="10"/>
  <c r="L137" i="10"/>
  <c r="L114" i="10"/>
  <c r="L121" i="10"/>
  <c r="L159" i="10"/>
  <c r="L128" i="10"/>
  <c r="L153" i="10"/>
  <c r="L156" i="10"/>
  <c r="L118" i="10"/>
  <c r="L148" i="10"/>
  <c r="L125" i="10"/>
  <c r="L124" i="10"/>
  <c r="L126" i="10"/>
  <c r="L134" i="10"/>
  <c r="L149" i="10"/>
  <c r="L150" i="10"/>
  <c r="L164" i="10"/>
  <c r="L158" i="10"/>
  <c r="L154" i="10"/>
  <c r="L113" i="10"/>
  <c r="L122" i="10"/>
  <c r="L116" i="10"/>
  <c r="L160" i="10"/>
  <c r="L130" i="10"/>
  <c r="L112" i="10"/>
  <c r="L161" i="10"/>
  <c r="L123" i="10"/>
  <c r="L115" i="10"/>
  <c r="L139" i="10"/>
  <c r="L136" i="10"/>
  <c r="L151" i="10"/>
  <c r="L147" i="10"/>
  <c r="L140" i="10"/>
  <c r="L120" i="10"/>
  <c r="L141" i="10"/>
  <c r="L133" i="10"/>
  <c r="L117" i="10"/>
  <c r="L162" i="10"/>
  <c r="L127" i="10"/>
  <c r="L129" i="10"/>
  <c r="L152" i="10"/>
  <c r="L157" i="10"/>
  <c r="L155" i="10"/>
  <c r="L131" i="10"/>
  <c r="L142" i="10"/>
  <c r="L119" i="10"/>
  <c r="L143" i="10"/>
  <c r="L145" i="10"/>
  <c r="L138" i="10"/>
  <c r="L111" i="10"/>
  <c r="K323" i="10"/>
  <c r="K638" i="10"/>
  <c r="K885" i="10"/>
  <c r="K484" i="10"/>
  <c r="K980" i="10"/>
  <c r="K330" i="10"/>
  <c r="K192" i="10"/>
  <c r="K1012" i="10"/>
  <c r="K165" i="10"/>
  <c r="K219" i="10"/>
  <c r="K401" i="10"/>
  <c r="K522" i="10"/>
  <c r="K633" i="10"/>
  <c r="K488" i="10"/>
  <c r="K184" i="10"/>
  <c r="K209" i="10"/>
  <c r="K565" i="10"/>
  <c r="K1033" i="10"/>
  <c r="K881" i="10"/>
  <c r="K749" i="10"/>
  <c r="K950" i="10"/>
  <c r="K267" i="10"/>
  <c r="K983" i="10"/>
  <c r="K956" i="10"/>
  <c r="K947" i="10"/>
  <c r="K492" i="10"/>
  <c r="K466" i="10"/>
  <c r="K1037" i="10"/>
  <c r="K710" i="10"/>
  <c r="K632" i="10"/>
  <c r="K739" i="10"/>
  <c r="K998" i="10"/>
  <c r="K395" i="10"/>
  <c r="K477" i="10"/>
  <c r="K204" i="10"/>
  <c r="K546" i="10"/>
  <c r="K520" i="10"/>
  <c r="K624" i="10"/>
  <c r="K790" i="10"/>
  <c r="K483" i="10"/>
  <c r="K538" i="10"/>
  <c r="K432" i="10"/>
  <c r="K773" i="10"/>
  <c r="K232" i="10"/>
  <c r="K231" i="10"/>
  <c r="K453" i="10"/>
  <c r="K222" i="10"/>
  <c r="K308" i="10"/>
  <c r="K263" i="10"/>
  <c r="K927" i="10"/>
  <c r="K650" i="10"/>
  <c r="K655" i="10"/>
  <c r="K1069" i="10"/>
  <c r="K675" i="10"/>
  <c r="K167" i="10"/>
  <c r="K978" i="10"/>
  <c r="K727" i="10"/>
  <c r="K692" i="10"/>
  <c r="K985" i="10"/>
  <c r="K670" i="10"/>
  <c r="K194" i="10"/>
  <c r="K800" i="10"/>
  <c r="K1062" i="10"/>
  <c r="K478" i="10"/>
  <c r="K836" i="10"/>
  <c r="K631" i="10"/>
  <c r="K183" i="10"/>
  <c r="K846" i="10"/>
  <c r="K290" i="10"/>
  <c r="K456" i="10"/>
  <c r="K960" i="10"/>
  <c r="K613" i="10"/>
  <c r="K1000" i="10"/>
  <c r="K313" i="10"/>
  <c r="K412" i="10"/>
  <c r="K892" i="10"/>
  <c r="K306" i="10"/>
  <c r="K257" i="10"/>
  <c r="K465" i="10"/>
  <c r="K333" i="10"/>
  <c r="K663" i="10"/>
  <c r="K251" i="10"/>
  <c r="K278" i="10"/>
  <c r="K610" i="10"/>
  <c r="K690" i="10"/>
  <c r="K431" i="10"/>
  <c r="K935" i="10"/>
  <c r="K582" i="10"/>
  <c r="K568" i="10"/>
  <c r="K911" i="10"/>
  <c r="K575" i="10"/>
  <c r="K517" i="10"/>
  <c r="K907" i="10"/>
  <c r="K367" i="10"/>
  <c r="K392" i="10"/>
  <c r="K188" i="10"/>
  <c r="K420" i="10"/>
  <c r="K919" i="10"/>
  <c r="K895" i="10"/>
  <c r="K455" i="10"/>
  <c r="K451" i="10"/>
  <c r="K943" i="10"/>
  <c r="K1071" i="10"/>
  <c r="K967" i="10"/>
  <c r="K349" i="10"/>
  <c r="K676" i="10"/>
  <c r="K1022" i="10"/>
  <c r="K823" i="10"/>
  <c r="K541" i="10"/>
  <c r="K566" i="10"/>
  <c r="K572" i="10"/>
  <c r="K198" i="10"/>
  <c r="K552" i="10"/>
  <c r="K457" i="10"/>
  <c r="K384" i="10"/>
  <c r="K703" i="10"/>
  <c r="K531" i="10"/>
  <c r="K430" i="10"/>
  <c r="K890" i="10"/>
  <c r="K940" i="10"/>
  <c r="K359" i="10"/>
  <c r="K981" i="10"/>
  <c r="K213" i="10"/>
  <c r="K665" i="10"/>
  <c r="K815" i="10"/>
  <c r="K336" i="10"/>
  <c r="K758" i="10"/>
  <c r="K726" i="10"/>
  <c r="K312" i="10"/>
  <c r="K681" i="10"/>
  <c r="K957" i="10"/>
  <c r="K449" i="10"/>
  <c r="K859" i="10"/>
  <c r="K899" i="10"/>
  <c r="K1074" i="10"/>
  <c r="K883" i="10"/>
  <c r="K889" i="10"/>
  <c r="K982" i="10"/>
  <c r="K696" i="10"/>
  <c r="K612" i="10"/>
  <c r="K382" i="10"/>
  <c r="K310" i="10"/>
  <c r="K584" i="10"/>
  <c r="K307" i="10"/>
  <c r="K951" i="10"/>
  <c r="K533" i="10"/>
  <c r="K1024" i="10"/>
  <c r="K817" i="10"/>
  <c r="K428" i="10"/>
  <c r="K226" i="10"/>
  <c r="K840" i="10"/>
  <c r="K274" i="10"/>
  <c r="K498" i="10"/>
  <c r="K601" i="10"/>
  <c r="K666" i="10"/>
  <c r="K508" i="10"/>
  <c r="K925" i="10"/>
  <c r="K893" i="10"/>
  <c r="K276" i="10"/>
  <c r="K413" i="10"/>
  <c r="K886" i="10"/>
  <c r="K480" i="10"/>
  <c r="K999" i="10"/>
  <c r="K930" i="10"/>
  <c r="K995" i="10"/>
  <c r="K557" i="10"/>
  <c r="K506" i="10"/>
  <c r="K318" i="10"/>
  <c r="K818" i="10"/>
  <c r="K1070" i="10"/>
  <c r="K747" i="10"/>
  <c r="K434" i="10"/>
  <c r="K225" i="10"/>
  <c r="K555" i="10"/>
  <c r="K166" i="10"/>
  <c r="F126" i="12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B126" i="12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N126" i="12"/>
  <c r="N127" i="12" s="1"/>
  <c r="N128" i="12" s="1"/>
  <c r="N129" i="12" s="1"/>
  <c r="N130" i="12" s="1"/>
  <c r="N131" i="12" s="1"/>
  <c r="N132" i="12" s="1"/>
  <c r="N133" i="12" s="1"/>
  <c r="N134" i="12" s="1"/>
  <c r="N135" i="12" s="1"/>
  <c r="N16" i="12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F16" i="10"/>
  <c r="C20" i="9"/>
  <c r="C21" i="9"/>
  <c r="AN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BE8" i="1"/>
  <c r="BI7" i="1" s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E9" i="1"/>
  <c r="C4" i="9"/>
  <c r="BE6" i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AW7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C3" i="9"/>
  <c r="B11" i="9"/>
  <c r="AB37" i="1"/>
  <c r="AN9" i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N8" i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BU6" i="1"/>
  <c r="BW7" i="1" s="1"/>
  <c r="BW8" i="1" s="1"/>
  <c r="BW9" i="1" s="1"/>
  <c r="BW10" i="1" s="1"/>
  <c r="BW11" i="1" s="1"/>
  <c r="BW12" i="1" s="1"/>
  <c r="BW13" i="1" s="1"/>
  <c r="BW14" i="1" s="1"/>
  <c r="BW15" i="1" s="1"/>
  <c r="BW16" i="1" s="1"/>
  <c r="BW17" i="1" s="1"/>
  <c r="BW18" i="1" s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AW9" i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U9" i="1"/>
  <c r="BZ7" i="1" s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BZ32" i="1" s="1"/>
  <c r="BZ33" i="1" s="1"/>
  <c r="BZ34" i="1" s="1"/>
  <c r="BZ35" i="1" s="1"/>
  <c r="BU7" i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X32" i="1" s="1"/>
  <c r="BX33" i="1" s="1"/>
  <c r="BX34" i="1" s="1"/>
  <c r="BX35" i="1" s="1"/>
  <c r="AE9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N7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BE7" i="1"/>
  <c r="BH7" i="1" s="1"/>
  <c r="BH8" i="1" s="1"/>
  <c r="BH9" i="1" s="1"/>
  <c r="BH10" i="1" s="1"/>
  <c r="BH11" i="1" s="1"/>
  <c r="BH12" i="1" s="1"/>
  <c r="BH13" i="1" s="1"/>
  <c r="BH14" i="1" s="1"/>
  <c r="BH15" i="1" s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H32" i="1" s="1"/>
  <c r="BH33" i="1" s="1"/>
  <c r="BH34" i="1" s="1"/>
  <c r="BH35" i="1" s="1"/>
  <c r="BM6" i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O20" i="1" s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BO32" i="1" s="1"/>
  <c r="BO33" i="1" s="1"/>
  <c r="BO34" i="1" s="1"/>
  <c r="BO35" i="1" s="1"/>
  <c r="C6" i="9"/>
  <c r="AE7" i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W8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AH8" i="1"/>
  <c r="AH9" i="1" s="1"/>
  <c r="AH10" i="1" s="1"/>
  <c r="AH11" i="1" s="1"/>
  <c r="AH12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BM8" i="1"/>
  <c r="BQ7" i="1" s="1"/>
  <c r="BQ8" i="1" s="1"/>
  <c r="BQ9" i="1" s="1"/>
  <c r="BQ10" i="1" s="1"/>
  <c r="BQ11" i="1" s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Q32" i="1" s="1"/>
  <c r="BQ33" i="1" s="1"/>
  <c r="BQ34" i="1" s="1"/>
  <c r="BQ35" i="1" s="1"/>
  <c r="AE8" i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BJ7" i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AY7" i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D12" i="9"/>
  <c r="BM7" i="1"/>
  <c r="BP7" i="1" s="1"/>
  <c r="BP8" i="1" s="1"/>
  <c r="BP9" i="1" s="1"/>
  <c r="BP10" i="1" s="1"/>
  <c r="BP11" i="1" s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BP35" i="1" s="1"/>
  <c r="C5" i="9"/>
  <c r="C8" i="9"/>
  <c r="D27" i="9"/>
  <c r="E22" i="9" s="1"/>
  <c r="L96" i="10" l="1"/>
  <c r="L94" i="10"/>
  <c r="L97" i="10"/>
  <c r="L109" i="10"/>
  <c r="L110" i="10"/>
  <c r="L108" i="10"/>
  <c r="L88" i="10"/>
  <c r="L103" i="10"/>
  <c r="L93" i="10"/>
  <c r="L92" i="10"/>
  <c r="L80" i="10"/>
  <c r="L106" i="10"/>
  <c r="L98" i="10"/>
  <c r="L91" i="10"/>
  <c r="L85" i="10"/>
  <c r="L105" i="10"/>
  <c r="L78" i="10"/>
  <c r="L101" i="10"/>
  <c r="L95" i="10"/>
  <c r="L102" i="10"/>
  <c r="L82" i="10"/>
  <c r="L90" i="10"/>
  <c r="L99" i="10"/>
  <c r="L89" i="10"/>
  <c r="L100" i="10"/>
  <c r="L79" i="10"/>
  <c r="L86" i="10"/>
  <c r="L87" i="10"/>
  <c r="L107" i="10"/>
  <c r="L83" i="10"/>
  <c r="L81" i="10"/>
  <c r="L104" i="10"/>
  <c r="L84" i="10"/>
  <c r="I79" i="10"/>
  <c r="I77" i="10"/>
  <c r="I81" i="10"/>
  <c r="I82" i="10"/>
  <c r="I78" i="10"/>
  <c r="I75" i="10"/>
  <c r="I80" i="10"/>
  <c r="I76" i="10"/>
  <c r="N136" i="12"/>
  <c r="N137" i="12" s="1"/>
  <c r="N138" i="12" s="1"/>
  <c r="N139" i="12" s="1"/>
  <c r="N140" i="12" s="1"/>
  <c r="N141" i="12" s="1"/>
  <c r="N142" i="12" s="1"/>
  <c r="N143" i="12" s="1"/>
  <c r="N144" i="12" s="1"/>
  <c r="C10" i="9"/>
  <c r="AB7" i="1" s="1"/>
  <c r="E20" i="9"/>
  <c r="E21" i="9"/>
  <c r="E23" i="9"/>
  <c r="E4" i="9"/>
  <c r="E6" i="9"/>
  <c r="E3" i="9"/>
  <c r="E7" i="9"/>
  <c r="E8" i="9"/>
  <c r="E5" i="9"/>
  <c r="E19" i="9"/>
  <c r="AB9" i="1" l="1"/>
  <c r="B8" i="12"/>
  <c r="B9" i="12" s="1"/>
  <c r="B10" i="12" s="1"/>
  <c r="B11" i="12" s="1"/>
  <c r="B12" i="12" s="1"/>
  <c r="B13" i="12" s="1"/>
  <c r="B14" i="12" s="1"/>
  <c r="AB10" i="1" l="1"/>
  <c r="AB11" i="1" s="1"/>
  <c r="AB12" i="1" s="1"/>
  <c r="AB13" i="1" s="1"/>
  <c r="AB14" i="1" s="1"/>
  <c r="AB15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B15" i="12"/>
  <c r="B16" i="12" l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C16" i="10"/>
  <c r="K42" i="12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I704" i="10" l="1"/>
  <c r="I825" i="10"/>
  <c r="I1010" i="10"/>
  <c r="I199" i="10"/>
  <c r="I534" i="10"/>
  <c r="I613" i="10"/>
  <c r="I599" i="10"/>
  <c r="I598" i="10"/>
  <c r="I555" i="10"/>
  <c r="I892" i="10"/>
  <c r="I652" i="10"/>
  <c r="I862" i="10"/>
  <c r="I861" i="10"/>
  <c r="I495" i="10"/>
  <c r="I334" i="10"/>
  <c r="I530" i="10"/>
  <c r="I829" i="10"/>
  <c r="I242" i="10"/>
  <c r="I1064" i="10"/>
  <c r="I225" i="10"/>
  <c r="I412" i="10"/>
  <c r="I573" i="10"/>
  <c r="I799" i="10"/>
  <c r="I654" i="10"/>
  <c r="I813" i="10"/>
  <c r="I472" i="10"/>
  <c r="I785" i="10"/>
  <c r="I343" i="10"/>
  <c r="I236" i="10"/>
  <c r="I639" i="10"/>
  <c r="I320" i="10"/>
  <c r="I173" i="10"/>
  <c r="I275" i="10"/>
  <c r="I866" i="10"/>
  <c r="I235" i="10"/>
  <c r="I594" i="10"/>
  <c r="I820" i="10"/>
  <c r="I1044" i="10"/>
  <c r="I693" i="10"/>
  <c r="I843" i="10"/>
  <c r="I938" i="10"/>
  <c r="I1035" i="10"/>
  <c r="I237" i="10"/>
  <c r="I917" i="10"/>
  <c r="I708" i="10"/>
  <c r="I221" i="10"/>
  <c r="I190" i="10"/>
  <c r="I261" i="10"/>
  <c r="I847" i="10"/>
  <c r="I1000" i="10"/>
  <c r="I454" i="10"/>
  <c r="I625" i="10"/>
  <c r="I803" i="10"/>
  <c r="I1039" i="10"/>
  <c r="I265" i="10"/>
  <c r="I306" i="10"/>
  <c r="I450" i="10"/>
  <c r="I379" i="10"/>
  <c r="I656" i="10"/>
  <c r="I324" i="10"/>
  <c r="I949" i="10"/>
  <c r="I318" i="10"/>
  <c r="I818" i="10"/>
  <c r="I928" i="10"/>
  <c r="I186" i="10"/>
  <c r="I445" i="10"/>
  <c r="I183" i="10"/>
  <c r="I456" i="10"/>
  <c r="I855" i="10"/>
  <c r="I1002" i="10"/>
  <c r="I553" i="10"/>
  <c r="I166" i="10"/>
  <c r="I1053" i="10"/>
  <c r="I313" i="10"/>
  <c r="I340" i="10"/>
  <c r="I218" i="10"/>
  <c r="I287" i="10"/>
  <c r="I870" i="10"/>
  <c r="I935" i="10"/>
  <c r="I1067" i="10"/>
  <c r="I264" i="10"/>
  <c r="I464" i="10"/>
  <c r="I1048" i="10"/>
  <c r="I506" i="10"/>
  <c r="I945" i="10"/>
  <c r="I834" i="10"/>
  <c r="I290" i="10"/>
  <c r="I294" i="10"/>
  <c r="I996" i="10"/>
  <c r="I262" i="10"/>
  <c r="I357" i="10"/>
  <c r="I948" i="10"/>
  <c r="I1070" i="10"/>
  <c r="I796" i="10"/>
  <c r="I868" i="10"/>
  <c r="I452" i="10"/>
  <c r="I181" i="10"/>
  <c r="I459" i="10"/>
  <c r="I747" i="10"/>
  <c r="I557" i="10"/>
  <c r="I846" i="10"/>
  <c r="I521" i="10"/>
  <c r="I560" i="10"/>
  <c r="I345" i="10"/>
  <c r="I699" i="10"/>
  <c r="I936" i="10"/>
  <c r="I216" i="10"/>
  <c r="I260" i="10"/>
  <c r="I877" i="10"/>
  <c r="I549" i="10"/>
  <c r="I194" i="10"/>
  <c r="I756" i="10"/>
  <c r="I959" i="10"/>
  <c r="I844" i="10"/>
  <c r="I988" i="10"/>
  <c r="I979" i="10"/>
  <c r="I527" i="10"/>
  <c r="I376" i="10"/>
  <c r="I363" i="10"/>
  <c r="I411" i="10"/>
  <c r="I744" i="10"/>
  <c r="I314" i="10"/>
  <c r="I918" i="10"/>
  <c r="I201" i="10"/>
  <c r="I422" i="10"/>
  <c r="I1072" i="10"/>
  <c r="I995" i="10"/>
  <c r="I434" i="10"/>
  <c r="I707" i="10"/>
  <c r="I946" i="10"/>
  <c r="I331" i="10"/>
  <c r="I607" i="10"/>
  <c r="I960" i="10"/>
  <c r="I288" i="10"/>
  <c r="I279" i="10"/>
  <c r="I649" i="10"/>
  <c r="I289" i="10"/>
  <c r="I657" i="10"/>
  <c r="I389" i="10"/>
  <c r="I588" i="10"/>
  <c r="I804" i="10"/>
  <c r="I1042" i="10"/>
  <c r="I528" i="10"/>
  <c r="I764" i="10"/>
  <c r="I361" i="10"/>
  <c r="I687" i="10"/>
  <c r="I953" i="10"/>
  <c r="I1029" i="10"/>
  <c r="I479" i="10"/>
  <c r="I276" i="10"/>
  <c r="I529" i="10"/>
  <c r="I1036" i="10"/>
  <c r="I905" i="10"/>
  <c r="I388" i="10"/>
  <c r="I431" i="10"/>
  <c r="I771" i="10"/>
  <c r="I172" i="10"/>
  <c r="I211" i="10"/>
  <c r="I270" i="10"/>
  <c r="I277" i="10"/>
  <c r="I415" i="10"/>
  <c r="I886" i="10"/>
  <c r="I641" i="10"/>
  <c r="I1062" i="10"/>
  <c r="I540" i="10"/>
  <c r="I510" i="10"/>
  <c r="I354" i="10"/>
  <c r="I914" i="10"/>
  <c r="I719" i="10"/>
  <c r="I939" i="10"/>
  <c r="I296" i="10"/>
  <c r="I191" i="10"/>
  <c r="I383" i="10"/>
  <c r="I692" i="10"/>
  <c r="I185" i="10"/>
  <c r="I978" i="10"/>
  <c r="I1028" i="10"/>
  <c r="I814" i="10"/>
  <c r="I440" i="10"/>
  <c r="I315" i="10"/>
  <c r="I786" i="10"/>
  <c r="I930" i="10"/>
  <c r="I417" i="10"/>
  <c r="I478" i="10"/>
  <c r="I690" i="10"/>
  <c r="I248" i="10"/>
  <c r="I419" i="10"/>
  <c r="I539" i="10"/>
  <c r="I736" i="10"/>
  <c r="I473" i="10"/>
  <c r="I1043" i="10"/>
  <c r="I409" i="10"/>
  <c r="I742" i="10"/>
  <c r="I635" i="10"/>
  <c r="I999" i="10"/>
  <c r="I871" i="10"/>
  <c r="I448" i="10"/>
  <c r="I746" i="10"/>
  <c r="I643" i="10"/>
  <c r="I955" i="10"/>
  <c r="I763" i="10"/>
  <c r="I234" i="10"/>
  <c r="I396" i="10"/>
  <c r="I965" i="10"/>
  <c r="I414" i="10"/>
  <c r="I1041" i="10"/>
  <c r="I170" i="10"/>
  <c r="I421" i="10"/>
  <c r="I675" i="10"/>
  <c r="I585" i="10"/>
  <c r="I1060" i="10"/>
  <c r="I993" i="10"/>
  <c r="I904" i="10"/>
  <c r="I426" i="10"/>
  <c r="I811" i="10"/>
  <c r="I808" i="10"/>
  <c r="I341" i="10"/>
  <c r="I592" i="10"/>
  <c r="I300" i="10"/>
  <c r="I1054" i="10"/>
  <c r="I480" i="10"/>
  <c r="I873" i="10"/>
  <c r="I1021" i="10"/>
  <c r="I932" i="10"/>
  <c r="I631" i="10"/>
  <c r="I666" i="10"/>
  <c r="I864" i="10"/>
  <c r="I727" i="10"/>
  <c r="I311" i="10"/>
  <c r="I227" i="10"/>
  <c r="I715" i="10"/>
  <c r="I617" i="10"/>
  <c r="I1069" i="10"/>
  <c r="I487" i="10"/>
  <c r="I1018" i="10"/>
  <c r="I413" i="10"/>
  <c r="I893" i="10"/>
  <c r="I554" i="10"/>
  <c r="I423" i="10"/>
  <c r="I977" i="10"/>
  <c r="I887" i="10"/>
  <c r="I373" i="10"/>
  <c r="I837" i="10"/>
  <c r="I537" i="10"/>
  <c r="I1057" i="10"/>
  <c r="I925" i="10"/>
  <c r="I730" i="10"/>
  <c r="I1049" i="10"/>
  <c r="I670" i="10"/>
  <c r="I447" i="10"/>
  <c r="I274" i="10"/>
  <c r="I778" i="10"/>
  <c r="I364" i="10"/>
  <c r="I809" i="10"/>
  <c r="I694" i="10"/>
  <c r="I836" i="10"/>
  <c r="I800" i="10"/>
  <c r="I985" i="10"/>
  <c r="I175" i="10"/>
  <c r="I603" i="10"/>
  <c r="I266" i="10"/>
  <c r="I508" i="10"/>
  <c r="I875" i="10"/>
  <c r="I458" i="10"/>
  <c r="I439" i="10"/>
  <c r="I832" i="10"/>
  <c r="I400" i="10"/>
  <c r="I781" i="10"/>
  <c r="I254" i="10"/>
  <c r="I346" i="10"/>
  <c r="I241" i="10"/>
  <c r="I651" i="10"/>
  <c r="I335" i="10"/>
  <c r="I515" i="10"/>
  <c r="I503" i="10"/>
  <c r="I436" i="10"/>
  <c r="I660" i="10"/>
  <c r="I698" i="10"/>
  <c r="I224" i="10"/>
  <c r="I327" i="10"/>
  <c r="I964" i="10"/>
  <c r="I878" i="10"/>
  <c r="I511" i="10"/>
  <c r="I767" i="10"/>
  <c r="I372" i="10"/>
  <c r="I882" i="10"/>
  <c r="I683" i="10"/>
  <c r="I1050" i="10"/>
  <c r="I179" i="10"/>
  <c r="I775" i="10"/>
  <c r="I569" i="10"/>
  <c r="I609" i="10"/>
  <c r="I782" i="10"/>
  <c r="I420" i="10"/>
  <c r="I611" i="10"/>
  <c r="I795" i="10"/>
  <c r="I787" i="10"/>
  <c r="I551" i="10"/>
  <c r="I605" i="10"/>
  <c r="I226" i="10"/>
  <c r="I655" i="10"/>
  <c r="I272" i="10"/>
  <c r="I471" i="10"/>
  <c r="I728" i="10"/>
  <c r="I441" i="10"/>
  <c r="I309" i="10"/>
  <c r="I927" i="10"/>
  <c r="I610" i="10"/>
  <c r="I668" i="10"/>
  <c r="I674" i="10"/>
  <c r="I355" i="10"/>
  <c r="I926" i="10"/>
  <c r="I975" i="10"/>
  <c r="I240" i="10"/>
  <c r="I792" i="10"/>
  <c r="I498" i="10"/>
  <c r="I601" i="10"/>
  <c r="I616" i="10"/>
  <c r="I929" i="10"/>
  <c r="I433" i="10"/>
  <c r="I740" i="10"/>
  <c r="I1013" i="10"/>
  <c r="I519" i="10"/>
  <c r="I263" i="10"/>
  <c r="I595" i="10"/>
  <c r="I798" i="10"/>
  <c r="I350" i="10"/>
  <c r="I382" i="10"/>
  <c r="I217" i="10"/>
  <c r="I1025" i="10"/>
  <c r="I705" i="10"/>
  <c r="I597" i="10"/>
  <c r="I854" i="10"/>
  <c r="I644" i="10"/>
  <c r="I923" i="10"/>
  <c r="I768" i="10"/>
  <c r="I827" i="10"/>
  <c r="I446" i="10"/>
  <c r="I941" i="10"/>
  <c r="I894" i="10"/>
  <c r="I407" i="10"/>
  <c r="I1024" i="10"/>
  <c r="I794" i="10"/>
  <c r="I348" i="10"/>
  <c r="I725" i="10"/>
  <c r="I165" i="10"/>
  <c r="I195" i="10"/>
  <c r="I167" i="10"/>
  <c r="I223" i="10"/>
  <c r="I645" i="10"/>
  <c r="I212" i="10"/>
  <c r="I538" i="10"/>
  <c r="I405" i="10"/>
  <c r="I648" i="10"/>
  <c r="I627" i="10"/>
  <c r="I475" i="10"/>
  <c r="I902" i="10"/>
  <c r="I658" i="10"/>
  <c r="I773" i="10"/>
  <c r="I889" i="10"/>
  <c r="I401" i="10"/>
  <c r="I702" i="10"/>
  <c r="I286" i="10"/>
  <c r="I215" i="10"/>
  <c r="I556" i="10"/>
  <c r="I634" i="10"/>
  <c r="I325" i="10"/>
  <c r="I269" i="10"/>
  <c r="I637" i="10"/>
  <c r="I909" i="10"/>
  <c r="I806" i="10"/>
  <c r="I912" i="10"/>
  <c r="I1052" i="10"/>
  <c r="I817" i="10"/>
  <c r="I428" i="10"/>
  <c r="I922" i="10"/>
  <c r="I586" i="10"/>
  <c r="I584" i="10"/>
  <c r="I231" i="10"/>
  <c r="I196" i="10"/>
  <c r="I1003" i="10"/>
  <c r="I532" i="10"/>
  <c r="I840" i="10"/>
  <c r="I724" i="10"/>
  <c r="I305" i="10"/>
  <c r="I793" i="10"/>
  <c r="I310" i="10"/>
  <c r="I232" i="10"/>
  <c r="I222" i="10"/>
  <c r="I828" i="10"/>
  <c r="I776" i="10"/>
  <c r="I461" i="10"/>
  <c r="I321" i="10"/>
  <c r="I352" i="10"/>
  <c r="I524" i="10"/>
  <c r="I688" i="10"/>
  <c r="I483" i="10"/>
  <c r="I578" i="10"/>
  <c r="I416" i="10"/>
  <c r="I474" i="10"/>
  <c r="I502" i="10"/>
  <c r="I942" i="10"/>
  <c r="I772" i="10"/>
  <c r="I518" i="10"/>
  <c r="I278" i="10"/>
  <c r="I769" i="10"/>
  <c r="I991" i="10"/>
  <c r="I1047" i="10"/>
  <c r="I891" i="10"/>
  <c r="I507" i="10"/>
  <c r="I951" i="10"/>
  <c r="I368" i="10"/>
  <c r="I757" i="10"/>
  <c r="I780" i="10"/>
  <c r="I860" i="10"/>
  <c r="I789" i="10"/>
  <c r="I762" i="10"/>
  <c r="I399" i="10"/>
  <c r="I726" i="10"/>
  <c r="I381" i="10"/>
  <c r="I204" i="10"/>
  <c r="I580" i="10"/>
  <c r="I961" i="10"/>
  <c r="I377" i="10"/>
  <c r="I501" i="10"/>
  <c r="I972" i="10"/>
  <c r="I901" i="10"/>
  <c r="I307" i="10"/>
  <c r="I453" i="10"/>
  <c r="I219" i="10"/>
  <c r="I1026" i="10"/>
  <c r="I966" i="10"/>
  <c r="I748" i="10"/>
  <c r="I974" i="10"/>
  <c r="I533" i="10"/>
  <c r="I176" i="10"/>
  <c r="I366" i="10"/>
  <c r="I802" i="10"/>
  <c r="I499" i="10"/>
  <c r="I203" i="10"/>
  <c r="I606" i="10"/>
  <c r="I628" i="10"/>
  <c r="I244" i="10"/>
  <c r="I790" i="10"/>
  <c r="I1045" i="10"/>
  <c r="I395" i="10"/>
  <c r="I371" i="10"/>
  <c r="I424" i="10"/>
  <c r="I872" i="10"/>
  <c r="I636" i="10"/>
  <c r="I842" i="10"/>
  <c r="I734" i="10"/>
  <c r="I438" i="10"/>
  <c r="I386" i="10"/>
  <c r="I187" i="10"/>
  <c r="I220" i="10"/>
  <c r="I207" i="10"/>
  <c r="I986" i="10"/>
  <c r="I717" i="10"/>
  <c r="I579" i="10"/>
  <c r="I193" i="10"/>
  <c r="I830" i="10"/>
  <c r="I206" i="10"/>
  <c r="I188" i="10"/>
  <c r="I957" i="10"/>
  <c r="I526" i="10"/>
  <c r="I468" i="10"/>
  <c r="I1017" i="10"/>
  <c r="I791" i="10"/>
  <c r="I329" i="10"/>
  <c r="I512" i="10"/>
  <c r="I883" i="10"/>
  <c r="I624" i="10"/>
  <c r="I169" i="10"/>
  <c r="I561" i="10"/>
  <c r="I650" i="10"/>
  <c r="I308" i="10"/>
  <c r="I952" i="10"/>
  <c r="I570" i="10"/>
  <c r="I304" i="10"/>
  <c r="I898" i="10"/>
  <c r="I669" i="10"/>
  <c r="I367" i="10"/>
  <c r="I390" i="10"/>
  <c r="I760" i="10"/>
  <c r="I493" i="10"/>
  <c r="I255" i="10"/>
  <c r="I612" i="10"/>
  <c r="I784" i="10"/>
  <c r="I632" i="10"/>
  <c r="I365" i="10"/>
  <c r="I998" i="10"/>
  <c r="I667" i="10"/>
  <c r="I661" i="10"/>
  <c r="I425" i="10"/>
  <c r="I831" i="10"/>
  <c r="I463" i="10"/>
  <c r="I581" i="10"/>
  <c r="I385" i="10"/>
  <c r="I497" i="10"/>
  <c r="I494" i="10"/>
  <c r="I258" i="10"/>
  <c r="I360" i="10"/>
  <c r="I398" i="10"/>
  <c r="I387" i="10"/>
  <c r="I358" i="10"/>
  <c r="I994" i="10"/>
  <c r="I1037" i="10"/>
  <c r="I462" i="10"/>
  <c r="I322" i="10"/>
  <c r="I432" i="10"/>
  <c r="I696" i="10"/>
  <c r="I239" i="10"/>
  <c r="I713" i="10"/>
  <c r="I984" i="10"/>
  <c r="I614" i="10"/>
  <c r="I973" i="10"/>
  <c r="I982" i="10"/>
  <c r="I710" i="10"/>
  <c r="I812" i="10"/>
  <c r="I485" i="10"/>
  <c r="I897" i="10"/>
  <c r="I192" i="10"/>
  <c r="I410" i="10"/>
  <c r="I867" i="10"/>
  <c r="I681" i="10"/>
  <c r="I971" i="10"/>
  <c r="I697" i="10"/>
  <c r="I899" i="10"/>
  <c r="I944" i="10"/>
  <c r="I620" i="10"/>
  <c r="I374" i="10"/>
  <c r="I268" i="10"/>
  <c r="I709" i="10"/>
  <c r="I1016" i="10"/>
  <c r="I514" i="10"/>
  <c r="I608" i="10"/>
  <c r="I312" i="10"/>
  <c r="I739" i="10"/>
  <c r="I200" i="10"/>
  <c r="I896" i="10"/>
  <c r="I429" i="10"/>
  <c r="I826" i="10"/>
  <c r="I835" i="10"/>
  <c r="I685" i="10"/>
  <c r="I838" i="10"/>
  <c r="I992" i="10"/>
  <c r="I881" i="10"/>
  <c r="I956" i="10"/>
  <c r="I849" i="10"/>
  <c r="I841" i="10"/>
  <c r="I477" i="10"/>
  <c r="I884" i="10"/>
  <c r="I491" i="10"/>
  <c r="I819" i="10"/>
  <c r="I316" i="10"/>
  <c r="I347" i="10"/>
  <c r="I228" i="10"/>
  <c r="I513" i="10"/>
  <c r="I271" i="10"/>
  <c r="I247" i="10"/>
  <c r="I252" i="10"/>
  <c r="I673" i="10"/>
  <c r="I469" i="10"/>
  <c r="I496" i="10"/>
  <c r="I816" i="10"/>
  <c r="I291" i="10"/>
  <c r="I482" i="10"/>
  <c r="I890" i="10"/>
  <c r="I282" i="10"/>
  <c r="I375" i="10"/>
  <c r="I950" i="10"/>
  <c r="I564" i="10"/>
  <c r="I754" i="10"/>
  <c r="I653" i="10"/>
  <c r="I259" i="10"/>
  <c r="I546" i="10"/>
  <c r="I1012" i="10"/>
  <c r="I1009" i="10"/>
  <c r="I504" i="10"/>
  <c r="I351" i="10"/>
  <c r="I292" i="10"/>
  <c r="I210" i="10"/>
  <c r="I550" i="10"/>
  <c r="I418" i="10"/>
  <c r="I460" i="10"/>
  <c r="I906" i="10"/>
  <c r="I915" i="10"/>
  <c r="I1051" i="10"/>
  <c r="I1046" i="10"/>
  <c r="I280" i="10"/>
  <c r="I1074" i="10"/>
  <c r="I392" i="10"/>
  <c r="I729" i="10"/>
  <c r="I1030" i="10"/>
  <c r="I251" i="10"/>
  <c r="I737" i="10"/>
  <c r="I859" i="10"/>
  <c r="I500" i="10"/>
  <c r="I732" i="10"/>
  <c r="I824" i="10"/>
  <c r="I749" i="10"/>
  <c r="I520" i="10"/>
  <c r="I178" i="10"/>
  <c r="I720" i="10"/>
  <c r="I1040" i="10"/>
  <c r="I302" i="10"/>
  <c r="I213" i="10"/>
  <c r="I947" i="10"/>
  <c r="I1008" i="10"/>
  <c r="I249" i="10"/>
  <c r="I987" i="10"/>
  <c r="I486" i="10"/>
  <c r="I168" i="10"/>
  <c r="I680" i="10"/>
  <c r="I958" i="10"/>
  <c r="I853" i="10"/>
  <c r="I449" i="10"/>
  <c r="I981" i="10"/>
  <c r="I822" i="10"/>
  <c r="I1073" i="10"/>
  <c r="I970" i="10"/>
  <c r="I362" i="10"/>
  <c r="I833" i="10"/>
  <c r="I1001" i="10"/>
  <c r="I823" i="10"/>
  <c r="I664" i="10"/>
  <c r="I171" i="10"/>
  <c r="I759" i="10"/>
  <c r="I408" i="10"/>
  <c r="I563" i="10"/>
  <c r="I467" i="10"/>
  <c r="I174" i="10"/>
  <c r="I359" i="10"/>
  <c r="I284" i="10"/>
  <c r="I980" i="10"/>
  <c r="I983" i="10"/>
  <c r="I356" i="10"/>
  <c r="I378" i="10"/>
  <c r="I437" i="10"/>
  <c r="I238" i="10"/>
  <c r="I622" i="10"/>
  <c r="I177" i="10"/>
  <c r="I189" i="10"/>
  <c r="I821" i="10"/>
  <c r="I753" i="10"/>
  <c r="I969" i="10"/>
  <c r="I336" i="10"/>
  <c r="I714" i="10"/>
  <c r="I879" i="10"/>
  <c r="I940" i="10"/>
  <c r="I535" i="10"/>
  <c r="I267" i="10"/>
  <c r="I517" i="10"/>
  <c r="I642" i="10"/>
  <c r="I317" i="10"/>
  <c r="I662" i="10"/>
  <c r="I880" i="10"/>
  <c r="I752" i="10"/>
  <c r="I333" i="10"/>
  <c r="I738" i="10"/>
  <c r="I208" i="10"/>
  <c r="I1034" i="10"/>
  <c r="I567" i="10"/>
  <c r="I571" i="10"/>
  <c r="I457" i="10"/>
  <c r="I695" i="10"/>
  <c r="I1014" i="10"/>
  <c r="I484" i="10"/>
  <c r="I852" i="10"/>
  <c r="I319" i="10"/>
  <c r="I888" i="10"/>
  <c r="I1056" i="10"/>
  <c r="I536" i="10"/>
  <c r="I559" i="10"/>
  <c r="I976" i="10"/>
  <c r="I1059" i="10"/>
  <c r="I733" i="10"/>
  <c r="I711" i="10"/>
  <c r="I531" i="10"/>
  <c r="I430" i="10"/>
  <c r="I684" i="10"/>
  <c r="I505" i="10"/>
  <c r="I900" i="10"/>
  <c r="I1061" i="10"/>
  <c r="I545" i="10"/>
  <c r="I758" i="10"/>
  <c r="I619" i="10"/>
  <c r="I593" i="10"/>
  <c r="I623" i="10"/>
  <c r="I544" i="10"/>
  <c r="I718" i="10"/>
  <c r="I273" i="10"/>
  <c r="I783" i="10"/>
  <c r="I774" i="10"/>
  <c r="I1068" i="10"/>
  <c r="I1022" i="10"/>
  <c r="I805" i="10"/>
  <c r="I731" i="10"/>
  <c r="I863" i="10"/>
  <c r="I299" i="10"/>
  <c r="I801" i="10"/>
  <c r="I338" i="10"/>
  <c r="I703" i="10"/>
  <c r="I1033" i="10"/>
  <c r="I920" i="10"/>
  <c r="I443" i="10"/>
  <c r="I303" i="10"/>
  <c r="I547" i="10"/>
  <c r="I384" i="10"/>
  <c r="I565" i="10"/>
  <c r="I755" i="10"/>
  <c r="I751" i="10"/>
  <c r="I646" i="10"/>
  <c r="I576" i="10"/>
  <c r="I397" i="10"/>
  <c r="I850" i="10"/>
  <c r="I1031" i="10"/>
  <c r="I243" i="10"/>
  <c r="I600" i="10"/>
  <c r="I406" i="10"/>
  <c r="I394" i="10"/>
  <c r="I691" i="10"/>
  <c r="I596" i="10"/>
  <c r="I250" i="10"/>
  <c r="I815" i="10"/>
  <c r="I466" i="10"/>
  <c r="I907" i="10"/>
  <c r="I298" i="10"/>
  <c r="I858" i="10"/>
  <c r="I743" i="10"/>
  <c r="I1011" i="10"/>
  <c r="I1032" i="10"/>
  <c r="I911" i="10"/>
  <c r="I1015" i="10"/>
  <c r="I968" i="10"/>
  <c r="I615" i="10"/>
  <c r="I765" i="10"/>
  <c r="I807" i="10"/>
  <c r="I916" i="10"/>
  <c r="I577" i="10"/>
  <c r="I590" i="10"/>
  <c r="I558" i="10"/>
  <c r="I848" i="10"/>
  <c r="I337" i="10"/>
  <c r="I1006" i="10"/>
  <c r="I205" i="10"/>
  <c r="I913" i="10"/>
  <c r="I671" i="10"/>
  <c r="I198" i="10"/>
  <c r="I184" i="10"/>
  <c r="I572" i="10"/>
  <c r="I301" i="10"/>
  <c r="I1058" i="10"/>
  <c r="I402" i="10"/>
  <c r="I522" i="10"/>
  <c r="I404" i="10"/>
  <c r="I1005" i="10"/>
  <c r="I967" i="10"/>
  <c r="I937" i="10"/>
  <c r="I245" i="10"/>
  <c r="I788" i="10"/>
  <c r="I295" i="10"/>
  <c r="I686" i="10"/>
  <c r="I435" i="10"/>
  <c r="I465" i="10"/>
  <c r="I470" i="10"/>
  <c r="I706" i="10"/>
  <c r="I874" i="10"/>
  <c r="I908" i="10"/>
  <c r="I516" i="10"/>
  <c r="I672" i="10"/>
  <c r="I326" i="10"/>
  <c r="I566" i="10"/>
  <c r="I663" i="10"/>
  <c r="I492" i="10"/>
  <c r="I1023" i="10"/>
  <c r="I989" i="10"/>
  <c r="I723" i="10"/>
  <c r="I621" i="10"/>
  <c r="I541" i="10"/>
  <c r="I895" i="10"/>
  <c r="I638" i="10"/>
  <c r="I777" i="10"/>
  <c r="I525" i="10"/>
  <c r="I721" i="10"/>
  <c r="I256" i="10"/>
  <c r="I246" i="10"/>
  <c r="I954" i="10"/>
  <c r="I509" i="10"/>
  <c r="I380" i="10"/>
  <c r="I678" i="10"/>
  <c r="I332" i="10"/>
  <c r="I665" i="10"/>
  <c r="I839" i="10"/>
  <c r="I876" i="10"/>
  <c r="I618" i="10"/>
  <c r="I779" i="10"/>
  <c r="I712" i="10"/>
  <c r="I963" i="10"/>
  <c r="I604" i="10"/>
  <c r="I761" i="10"/>
  <c r="I403" i="10"/>
  <c r="I283" i="10"/>
  <c r="I910" i="10"/>
  <c r="I845" i="10"/>
  <c r="I481" i="10"/>
  <c r="I997" i="10"/>
  <c r="I488" i="10"/>
  <c r="I931" i="10"/>
  <c r="I349" i="10"/>
  <c r="I679" i="10"/>
  <c r="I990" i="10"/>
  <c r="I851" i="10"/>
  <c r="I548" i="10"/>
  <c r="I602" i="10"/>
  <c r="I330" i="10"/>
  <c r="I640" i="10"/>
  <c r="I1066" i="10"/>
  <c r="I344" i="10"/>
  <c r="I574" i="10"/>
  <c r="I293" i="10"/>
  <c r="I856" i="10"/>
  <c r="I903" i="10"/>
  <c r="I701" i="10"/>
  <c r="I229" i="10"/>
  <c r="I682" i="10"/>
  <c r="I490" i="10"/>
  <c r="I676" i="10"/>
  <c r="I633" i="10"/>
  <c r="I921" i="10"/>
  <c r="I745" i="10"/>
  <c r="I214" i="10"/>
  <c r="I393" i="10"/>
  <c r="I1007" i="10"/>
  <c r="I230" i="10"/>
  <c r="I575" i="10"/>
  <c r="I869" i="10"/>
  <c r="I626" i="10"/>
  <c r="I810" i="10"/>
  <c r="I328" i="10"/>
  <c r="I647" i="10"/>
  <c r="I865" i="10"/>
  <c r="I233" i="10"/>
  <c r="I962" i="10"/>
  <c r="I543" i="10"/>
  <c r="I589" i="10"/>
  <c r="I562" i="10"/>
  <c r="I716" i="10"/>
  <c r="I339" i="10"/>
  <c r="I659" i="10"/>
  <c r="I700" i="10"/>
  <c r="I285" i="10"/>
  <c r="I202" i="10"/>
  <c r="I542" i="10"/>
  <c r="I797" i="10"/>
  <c r="I741" i="10"/>
  <c r="I370" i="10"/>
  <c r="I1063" i="10"/>
  <c r="I1055" i="10"/>
  <c r="I1071" i="10"/>
  <c r="I722" i="10"/>
  <c r="I770" i="10"/>
  <c r="I342" i="10"/>
  <c r="I455" i="10"/>
  <c r="I353" i="10"/>
  <c r="I933" i="10"/>
  <c r="I476" i="10"/>
  <c r="I209" i="10"/>
  <c r="I253" i="10"/>
  <c r="I391" i="10"/>
  <c r="I323" i="10"/>
  <c r="I297" i="10"/>
  <c r="I735" i="10"/>
  <c r="I1027" i="10"/>
  <c r="I1020" i="10"/>
  <c r="I523" i="10"/>
  <c r="I281" i="10"/>
  <c r="I1038" i="10"/>
  <c r="I943" i="10"/>
  <c r="I934" i="10"/>
  <c r="I857" i="10"/>
  <c r="I489" i="10"/>
  <c r="I552" i="10"/>
  <c r="I583" i="10"/>
  <c r="I885" i="10"/>
  <c r="I919" i="10"/>
  <c r="I451" i="10"/>
  <c r="I591" i="10"/>
  <c r="I750" i="10"/>
  <c r="I182" i="10"/>
  <c r="I677" i="10"/>
  <c r="I442" i="10"/>
  <c r="I369" i="10"/>
  <c r="I427" i="10"/>
  <c r="I180" i="10"/>
  <c r="I1004" i="10"/>
  <c r="I1019" i="10"/>
  <c r="I630" i="10"/>
  <c r="I629" i="10"/>
  <c r="I689" i="10"/>
  <c r="I582" i="10"/>
  <c r="I568" i="10"/>
  <c r="I257" i="10"/>
  <c r="I197" i="10"/>
  <c r="I1065" i="10"/>
  <c r="I766" i="10"/>
  <c r="I587" i="10"/>
  <c r="I444" i="10"/>
  <c r="I924" i="10"/>
  <c r="I156" i="10"/>
  <c r="I116" i="10"/>
  <c r="I115" i="10"/>
  <c r="I131" i="10"/>
  <c r="I153" i="10"/>
  <c r="I161" i="10"/>
  <c r="I139" i="10"/>
  <c r="I145" i="10"/>
  <c r="I118" i="10"/>
  <c r="I149" i="10"/>
  <c r="I120" i="10"/>
  <c r="I138" i="10"/>
  <c r="I163" i="10"/>
  <c r="I113" i="10"/>
  <c r="I154" i="10"/>
  <c r="I141" i="10"/>
  <c r="I143" i="10"/>
  <c r="I132" i="10"/>
  <c r="I125" i="10"/>
  <c r="I136" i="10"/>
  <c r="I112" i="10"/>
  <c r="I119" i="10"/>
  <c r="I146" i="10"/>
  <c r="I124" i="10"/>
  <c r="I160" i="10"/>
  <c r="I117" i="10"/>
  <c r="I129" i="10"/>
  <c r="I135" i="10"/>
  <c r="I128" i="10"/>
  <c r="I122" i="10"/>
  <c r="I162" i="10"/>
  <c r="I111" i="10"/>
  <c r="I121" i="10"/>
  <c r="I148" i="10"/>
  <c r="I123" i="10"/>
  <c r="I157" i="10"/>
  <c r="I142" i="10"/>
  <c r="I114" i="10"/>
  <c r="I126" i="10"/>
  <c r="I130" i="10"/>
  <c r="I127" i="10"/>
  <c r="I155" i="10"/>
  <c r="I164" i="10"/>
  <c r="I137" i="10"/>
  <c r="I158" i="10"/>
  <c r="I152" i="10"/>
  <c r="I159" i="10"/>
  <c r="I134" i="10"/>
  <c r="I151" i="10"/>
  <c r="I133" i="10"/>
  <c r="I144" i="10"/>
  <c r="I150" i="10"/>
  <c r="I147" i="10"/>
  <c r="I140" i="10"/>
  <c r="J53" i="12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E17" i="10"/>
  <c r="K104" i="10" l="1"/>
  <c r="K86" i="10"/>
  <c r="K85" i="10"/>
  <c r="K101" i="10"/>
  <c r="K96" i="10"/>
  <c r="K92" i="10"/>
  <c r="K109" i="10"/>
  <c r="K84" i="10"/>
  <c r="K100" i="10"/>
  <c r="K102" i="10"/>
  <c r="K83" i="10"/>
  <c r="K88" i="10"/>
  <c r="K99" i="10"/>
  <c r="K87" i="10"/>
  <c r="K91" i="10"/>
  <c r="K93" i="10"/>
  <c r="K90" i="10"/>
  <c r="K97" i="10"/>
  <c r="K94" i="10"/>
  <c r="K108" i="10"/>
  <c r="K107" i="10"/>
  <c r="K103" i="10"/>
  <c r="K89" i="10"/>
  <c r="K95" i="10"/>
  <c r="K106" i="10"/>
  <c r="K105" i="10"/>
  <c r="K98" i="10"/>
  <c r="K110" i="10"/>
  <c r="K78" i="10"/>
  <c r="K82" i="10"/>
  <c r="K81" i="10"/>
  <c r="K79" i="10"/>
  <c r="K80" i="10"/>
  <c r="K77" i="10"/>
  <c r="Q1074" i="10" l="1"/>
  <c r="P1065" i="10"/>
  <c r="Q1073" i="10"/>
  <c r="P197" i="10"/>
  <c r="Q1072" i="10"/>
  <c r="P257" i="10"/>
  <c r="Q1071" i="10"/>
  <c r="P568" i="10"/>
  <c r="Q1070" i="10"/>
  <c r="P442" i="10"/>
  <c r="Q1069" i="10"/>
  <c r="P455" i="10"/>
  <c r="Q1068" i="10"/>
  <c r="P342" i="10"/>
  <c r="Q1067" i="10"/>
  <c r="P451" i="10"/>
  <c r="Q1066" i="10"/>
  <c r="P770" i="10"/>
  <c r="Q1065" i="10"/>
  <c r="P1007" i="10"/>
  <c r="Q1064" i="10"/>
  <c r="P582" i="10"/>
  <c r="Q1063" i="10"/>
  <c r="P119" i="10"/>
  <c r="Q1062" i="10"/>
  <c r="P202" i="10"/>
  <c r="Q1061" i="10"/>
  <c r="P370" i="10"/>
  <c r="Q1060" i="10"/>
  <c r="P1071" i="10"/>
  <c r="Q1059" i="10"/>
  <c r="P1020" i="10"/>
  <c r="Q1058" i="10"/>
  <c r="P1027" i="10"/>
  <c r="Q1057" i="10"/>
  <c r="P735" i="10"/>
  <c r="Q1056" i="10"/>
  <c r="P297" i="10"/>
  <c r="Q1055" i="10"/>
  <c r="P1055" i="10"/>
  <c r="Q1054" i="10"/>
  <c r="P323" i="10"/>
  <c r="Q1053" i="10"/>
  <c r="P393" i="10"/>
  <c r="Q1052" i="10"/>
  <c r="P76" i="10"/>
  <c r="Q1051" i="10"/>
  <c r="P845" i="10"/>
  <c r="Q1050" i="10"/>
  <c r="P677" i="10"/>
  <c r="Q1049" i="10"/>
  <c r="P105" i="10"/>
  <c r="Q1048" i="10"/>
  <c r="P155" i="10"/>
  <c r="Q1047" i="10"/>
  <c r="P741" i="10"/>
  <c r="Q1046" i="10"/>
  <c r="P967" i="10"/>
  <c r="Q1045" i="10"/>
  <c r="P111" i="10"/>
  <c r="Q1044" i="10"/>
  <c r="P722" i="10"/>
  <c r="Q1043" i="10"/>
  <c r="P233" i="10"/>
  <c r="Q1042" i="10"/>
  <c r="P285" i="10"/>
  <c r="Q1041" i="10"/>
  <c r="P214" i="10"/>
  <c r="Q1040" i="10"/>
  <c r="P919" i="10"/>
  <c r="Q1039" i="10"/>
  <c r="P910" i="10"/>
  <c r="Q1038" i="10"/>
  <c r="P700" i="10"/>
  <c r="Q1037" i="10"/>
  <c r="P391" i="10"/>
  <c r="Q1036" i="10"/>
  <c r="P857" i="10"/>
  <c r="Q1035" i="10"/>
  <c r="P516" i="10"/>
  <c r="Q1034" i="10"/>
  <c r="P1005" i="10"/>
  <c r="Q1033" i="10"/>
  <c r="P253" i="10"/>
  <c r="Q1032" i="10"/>
  <c r="P885" i="10"/>
  <c r="Q1031" i="10"/>
  <c r="P865" i="10"/>
  <c r="Q1030" i="10"/>
  <c r="P797" i="10"/>
  <c r="Q1029" i="10"/>
  <c r="P745" i="10"/>
  <c r="Q1028" i="10"/>
  <c r="P427" i="10"/>
  <c r="Q1027" i="10"/>
  <c r="P283" i="10"/>
  <c r="Q1026" i="10"/>
  <c r="P332" i="10"/>
  <c r="Q1025" i="10"/>
  <c r="P638" i="10"/>
  <c r="Q1024" i="10"/>
  <c r="P583" i="10"/>
  <c r="Q1023" i="10"/>
  <c r="P908" i="10"/>
  <c r="Q1022" i="10"/>
  <c r="P404" i="10"/>
  <c r="Q1021" i="10"/>
  <c r="P369" i="10"/>
  <c r="Q1020" i="10"/>
  <c r="P209" i="10"/>
  <c r="Q1019" i="10"/>
  <c r="P647" i="10"/>
  <c r="Q1018" i="10"/>
  <c r="P444" i="10"/>
  <c r="Q1017" i="10"/>
  <c r="P921" i="10"/>
  <c r="Q1016" i="10"/>
  <c r="P142" i="10"/>
  <c r="Q1015" i="10"/>
  <c r="P403" i="10"/>
  <c r="Q1014" i="10"/>
  <c r="P678" i="10"/>
  <c r="Q1013" i="10"/>
  <c r="P106" i="10"/>
  <c r="Q1012" i="10"/>
  <c r="P934" i="10"/>
  <c r="Q1011" i="10"/>
  <c r="P874" i="10"/>
  <c r="Q1010" i="10"/>
  <c r="P522" i="10"/>
  <c r="Q1009" i="10"/>
  <c r="P590" i="10"/>
  <c r="Q1008" i="10"/>
  <c r="P552" i="10"/>
  <c r="Q1007" i="10"/>
  <c r="P328" i="10"/>
  <c r="Q1006" i="10"/>
  <c r="P943" i="10"/>
  <c r="Q1005" i="10"/>
  <c r="P633" i="10"/>
  <c r="Q1004" i="10"/>
  <c r="P602" i="10"/>
  <c r="Q1003" i="10"/>
  <c r="P761" i="10"/>
  <c r="Q1002" i="10"/>
  <c r="P98" i="10"/>
  <c r="Q1001" i="10"/>
  <c r="P895" i="10"/>
  <c r="Q1000" i="10"/>
  <c r="P689" i="10"/>
  <c r="Q999" i="10"/>
  <c r="P706" i="10"/>
  <c r="Q998" i="10"/>
  <c r="P402" i="10"/>
  <c r="Q997" i="10"/>
  <c r="P577" i="10"/>
  <c r="Q996" i="10"/>
  <c r="P659" i="10"/>
  <c r="Q995" i="10"/>
  <c r="P89" i="10"/>
  <c r="Q994" i="10"/>
  <c r="P587" i="10"/>
  <c r="Q993" i="10"/>
  <c r="P676" i="10"/>
  <c r="Q992" i="10"/>
  <c r="P548" i="10"/>
  <c r="Q991" i="10"/>
  <c r="P604" i="10"/>
  <c r="Q990" i="10"/>
  <c r="P380" i="10"/>
  <c r="Q989" i="10"/>
  <c r="P541" i="10"/>
  <c r="Q988" i="10"/>
  <c r="P476" i="10"/>
  <c r="Q987" i="10"/>
  <c r="P470" i="10"/>
  <c r="Q986" i="10"/>
  <c r="P1058" i="10"/>
  <c r="Q985" i="10"/>
  <c r="P916" i="10"/>
  <c r="Q984" i="10"/>
  <c r="P489" i="10"/>
  <c r="Q983" i="10"/>
  <c r="P810" i="10"/>
  <c r="Q982" i="10"/>
  <c r="P1038" i="10"/>
  <c r="Q981" i="10"/>
  <c r="P490" i="10"/>
  <c r="Q980" i="10"/>
  <c r="P851" i="10"/>
  <c r="Q979" i="10"/>
  <c r="P143" i="10"/>
  <c r="Q978" i="10"/>
  <c r="P509" i="10"/>
  <c r="Q977" i="10"/>
  <c r="P621" i="10"/>
  <c r="Q976" i="10"/>
  <c r="P629" i="10"/>
  <c r="Q975" i="10"/>
  <c r="P465" i="10"/>
  <c r="Q974" i="10"/>
  <c r="P301" i="10"/>
  <c r="Q973" i="10"/>
  <c r="P807" i="10"/>
  <c r="Q972" i="10"/>
  <c r="P339" i="10"/>
  <c r="Q971" i="10"/>
  <c r="P626" i="10"/>
  <c r="Q970" i="10"/>
  <c r="P766" i="10"/>
  <c r="Q969" i="10"/>
  <c r="P682" i="10"/>
  <c r="Q968" i="10"/>
  <c r="P990" i="10"/>
  <c r="Q967" i="10"/>
  <c r="P138" i="10"/>
  <c r="Q966" i="10"/>
  <c r="P954" i="10"/>
  <c r="Q965" i="10"/>
  <c r="P723" i="10"/>
  <c r="Q964" i="10"/>
  <c r="P933" i="10"/>
  <c r="Q963" i="10"/>
  <c r="P435" i="10"/>
  <c r="Q962" i="10"/>
  <c r="P110" i="10"/>
  <c r="Q961" i="10"/>
  <c r="P765" i="10"/>
  <c r="Q960" i="10"/>
  <c r="P95" i="10"/>
  <c r="Q959" i="10"/>
  <c r="P869" i="10"/>
  <c r="Q958" i="10"/>
  <c r="P630" i="10"/>
  <c r="Q957" i="10"/>
  <c r="P229" i="10"/>
  <c r="Q956" i="10"/>
  <c r="P679" i="10"/>
  <c r="Q955" i="10"/>
  <c r="P145" i="10"/>
  <c r="Q954" i="10"/>
  <c r="P246" i="10"/>
  <c r="Q953" i="10"/>
  <c r="P989" i="10"/>
  <c r="Q952" i="10"/>
  <c r="P566" i="10"/>
  <c r="Q951" i="10"/>
  <c r="P686" i="10"/>
  <c r="Q950" i="10"/>
  <c r="P572" i="10"/>
  <c r="Q949" i="10"/>
  <c r="P615" i="10"/>
  <c r="Q948" i="10"/>
  <c r="P716" i="10"/>
  <c r="Q947" i="10"/>
  <c r="P575" i="10"/>
  <c r="Q946" i="10"/>
  <c r="P542" i="10"/>
  <c r="Q945" i="10"/>
  <c r="P182" i="10"/>
  <c r="Q944" i="10"/>
  <c r="P701" i="10"/>
  <c r="Q943" i="10"/>
  <c r="P903" i="10"/>
  <c r="Q942" i="10"/>
  <c r="P1015" i="10"/>
  <c r="Q941" i="10"/>
  <c r="P562" i="10"/>
  <c r="Q940" i="10"/>
  <c r="P591" i="10"/>
  <c r="Q939" i="10"/>
  <c r="P1063" i="10"/>
  <c r="Q938" i="10"/>
  <c r="P1019" i="10"/>
  <c r="Q937" i="10"/>
  <c r="P281" i="10"/>
  <c r="Q936" i="10"/>
  <c r="P180" i="10"/>
  <c r="Q935" i="10"/>
  <c r="P856" i="10"/>
  <c r="Q934" i="10"/>
  <c r="P349" i="10"/>
  <c r="Q933" i="10"/>
  <c r="P931" i="10"/>
  <c r="Q932" i="10"/>
  <c r="P963" i="10"/>
  <c r="Q931" i="10"/>
  <c r="P712" i="10"/>
  <c r="Q930" i="10"/>
  <c r="P911" i="10"/>
  <c r="Q929" i="10"/>
  <c r="P488" i="10"/>
  <c r="Q928" i="10"/>
  <c r="P293" i="10"/>
  <c r="Q927" i="10"/>
  <c r="P574" i="10"/>
  <c r="Q926" i="10"/>
  <c r="P1004" i="10"/>
  <c r="Q925" i="10"/>
  <c r="P711" i="10"/>
  <c r="Q924" i="10"/>
  <c r="P295" i="10"/>
  <c r="Q923" i="10"/>
  <c r="P326" i="10"/>
  <c r="Q922" i="10"/>
  <c r="P969" i="10"/>
  <c r="Q921" i="10"/>
  <c r="P467" i="10"/>
  <c r="Q920" i="10"/>
  <c r="P853" i="10"/>
  <c r="Q919" i="10"/>
  <c r="P256" i="10"/>
  <c r="Q918" i="10"/>
  <c r="P1032" i="10"/>
  <c r="Q917" i="10"/>
  <c r="P184" i="10"/>
  <c r="Q916" i="10"/>
  <c r="P779" i="10"/>
  <c r="Q915" i="10"/>
  <c r="P801" i="10"/>
  <c r="Q914" i="10"/>
  <c r="P198" i="10"/>
  <c r="Q913" i="10"/>
  <c r="P733" i="10"/>
  <c r="Q912" i="10"/>
  <c r="P344" i="10"/>
  <c r="Q911" i="10"/>
  <c r="P589" i="10"/>
  <c r="Q910" i="10"/>
  <c r="P753" i="10"/>
  <c r="Q909" i="10"/>
  <c r="P563" i="10"/>
  <c r="Q908" i="10"/>
  <c r="P958" i="10"/>
  <c r="Q907" i="10"/>
  <c r="P721" i="10"/>
  <c r="Q906" i="10"/>
  <c r="P1011" i="10"/>
  <c r="Q905" i="10"/>
  <c r="P671" i="10"/>
  <c r="Q904" i="10"/>
  <c r="P618" i="10"/>
  <c r="Q903" i="10"/>
  <c r="P299" i="10"/>
  <c r="Q902" i="10"/>
  <c r="P913" i="10"/>
  <c r="Q901" i="10"/>
  <c r="P1059" i="10"/>
  <c r="Q900" i="10"/>
  <c r="P1066" i="10"/>
  <c r="Q899" i="10"/>
  <c r="P129" i="10"/>
  <c r="Q898" i="10"/>
  <c r="P821" i="10"/>
  <c r="Q897" i="10"/>
  <c r="P408" i="10"/>
  <c r="Q896" i="10"/>
  <c r="P107" i="10"/>
  <c r="Q895" i="10"/>
  <c r="P133" i="10"/>
  <c r="Q894" i="10"/>
  <c r="P743" i="10"/>
  <c r="Q893" i="10"/>
  <c r="P205" i="10"/>
  <c r="Q892" i="10"/>
  <c r="P131" i="10"/>
  <c r="Q891" i="10"/>
  <c r="P863" i="10"/>
  <c r="Q890" i="10"/>
  <c r="P1006" i="10"/>
  <c r="Q889" i="10"/>
  <c r="P157" i="10"/>
  <c r="Q888" i="10"/>
  <c r="P640" i="10"/>
  <c r="Q887" i="10"/>
  <c r="P523" i="10"/>
  <c r="Q886" i="10"/>
  <c r="P189" i="10"/>
  <c r="Q885" i="10"/>
  <c r="P759" i="10"/>
  <c r="Q884" i="10"/>
  <c r="P680" i="10"/>
  <c r="Q883" i="10"/>
  <c r="P525" i="10"/>
  <c r="Q882" i="10"/>
  <c r="P858" i="10"/>
  <c r="Q881" i="10"/>
  <c r="P337" i="10"/>
  <c r="Q880" i="10"/>
  <c r="P876" i="10"/>
  <c r="Q879" i="10"/>
  <c r="P731" i="10"/>
  <c r="Q878" i="10"/>
  <c r="P788" i="10"/>
  <c r="Q877" i="10"/>
  <c r="P976" i="10"/>
  <c r="Q876" i="10"/>
  <c r="P457" i="10"/>
  <c r="Q875" i="10"/>
  <c r="P1023" i="10"/>
  <c r="Q874" i="10"/>
  <c r="P177" i="10"/>
  <c r="Q873" i="10"/>
  <c r="P171" i="10"/>
  <c r="Q872" i="10"/>
  <c r="P168" i="10"/>
  <c r="Q871" i="10"/>
  <c r="P672" i="10"/>
  <c r="Q870" i="10"/>
  <c r="P298" i="10"/>
  <c r="Q869" i="10"/>
  <c r="P848" i="10"/>
  <c r="Q868" i="10"/>
  <c r="P751" i="10"/>
  <c r="Q867" i="10"/>
  <c r="P805" i="10"/>
  <c r="Q866" i="10"/>
  <c r="P839" i="10"/>
  <c r="Q865" i="10"/>
  <c r="P559" i="10"/>
  <c r="Q864" i="10"/>
  <c r="P571" i="10"/>
  <c r="Q863" i="10"/>
  <c r="P543" i="10"/>
  <c r="Q862" i="10"/>
  <c r="P103" i="10"/>
  <c r="Q861" i="10"/>
  <c r="P664" i="10"/>
  <c r="Q860" i="10"/>
  <c r="P486" i="10"/>
  <c r="Q859" i="10"/>
  <c r="P750" i="10"/>
  <c r="Q858" i="10"/>
  <c r="P907" i="10"/>
  <c r="Q857" i="10"/>
  <c r="P962" i="10"/>
  <c r="Q856" i="10"/>
  <c r="P755" i="10"/>
  <c r="Q855" i="10"/>
  <c r="P1022" i="10"/>
  <c r="Q854" i="10"/>
  <c r="P245" i="10"/>
  <c r="Q853" i="10"/>
  <c r="P536" i="10"/>
  <c r="Q852" i="10"/>
  <c r="P567" i="10"/>
  <c r="Q851" i="10"/>
  <c r="P997" i="10"/>
  <c r="Q850" i="10"/>
  <c r="P117" i="10"/>
  <c r="Q849" i="10"/>
  <c r="P823" i="10"/>
  <c r="Q848" i="10"/>
  <c r="P987" i="10"/>
  <c r="Q847" i="10"/>
  <c r="P481" i="10"/>
  <c r="Q846" i="10"/>
  <c r="P466" i="10"/>
  <c r="Q845" i="10"/>
  <c r="P140" i="10"/>
  <c r="Q844" i="10"/>
  <c r="P565" i="10"/>
  <c r="Q843" i="10"/>
  <c r="P1068" i="10"/>
  <c r="Q842" i="10"/>
  <c r="P545" i="10"/>
  <c r="Q841" i="10"/>
  <c r="P1056" i="10"/>
  <c r="Q840" i="10"/>
  <c r="P1034" i="10"/>
  <c r="Q839" i="10"/>
  <c r="P162" i="10"/>
  <c r="Q838" i="10"/>
  <c r="P622" i="10"/>
  <c r="Q837" i="10"/>
  <c r="P1001" i="10"/>
  <c r="Q836" i="10"/>
  <c r="P249" i="10"/>
  <c r="Q835" i="10"/>
  <c r="P924" i="10"/>
  <c r="Q834" i="10"/>
  <c r="P815" i="10"/>
  <c r="Q833" i="10"/>
  <c r="P230" i="10"/>
  <c r="Q832" i="10"/>
  <c r="P384" i="10"/>
  <c r="Q831" i="10"/>
  <c r="P774" i="10"/>
  <c r="Q830" i="10"/>
  <c r="P1061" i="10"/>
  <c r="Q829" i="10"/>
  <c r="P888" i="10"/>
  <c r="Q828" i="10"/>
  <c r="P208" i="10"/>
  <c r="Q827" i="10"/>
  <c r="P317" i="10"/>
  <c r="Q826" i="10"/>
  <c r="P238" i="10"/>
  <c r="Q825" i="10"/>
  <c r="P833" i="10"/>
  <c r="Q824" i="10"/>
  <c r="P1008" i="10"/>
  <c r="Q823" i="10"/>
  <c r="P937" i="10"/>
  <c r="Q822" i="10"/>
  <c r="P250" i="10"/>
  <c r="Q821" i="10"/>
  <c r="P1031" i="10"/>
  <c r="Q820" i="10"/>
  <c r="P152" i="10"/>
  <c r="Q819" i="10"/>
  <c r="P783" i="10"/>
  <c r="Q818" i="10"/>
  <c r="P900" i="10"/>
  <c r="Q817" i="10"/>
  <c r="P319" i="10"/>
  <c r="Q816" i="10"/>
  <c r="P738" i="10"/>
  <c r="Q815" i="10"/>
  <c r="P642" i="10"/>
  <c r="Q814" i="10"/>
  <c r="P437" i="10"/>
  <c r="Q813" i="10"/>
  <c r="P362" i="10"/>
  <c r="Q812" i="10"/>
  <c r="P947" i="10"/>
  <c r="Q811" i="10"/>
  <c r="P492" i="10"/>
  <c r="Q810" i="10"/>
  <c r="P596" i="10"/>
  <c r="Q809" i="10"/>
  <c r="P850" i="10"/>
  <c r="Q808" i="10"/>
  <c r="P547" i="10"/>
  <c r="Q807" i="10"/>
  <c r="P273" i="10"/>
  <c r="Q806" i="10"/>
  <c r="P505" i="10"/>
  <c r="Q805" i="10"/>
  <c r="P852" i="10"/>
  <c r="Q804" i="10"/>
  <c r="P333" i="10"/>
  <c r="Q803" i="10"/>
  <c r="P517" i="10"/>
  <c r="Q802" i="10"/>
  <c r="P378" i="10"/>
  <c r="Q801" i="10"/>
  <c r="P970" i="10"/>
  <c r="Q800" i="10"/>
  <c r="P213" i="10"/>
  <c r="Q799" i="10"/>
  <c r="P665" i="10"/>
  <c r="Q798" i="10"/>
  <c r="P691" i="10"/>
  <c r="Q797" i="10"/>
  <c r="P397" i="10"/>
  <c r="Q796" i="10"/>
  <c r="P303" i="10"/>
  <c r="Q795" i="10"/>
  <c r="P718" i="10"/>
  <c r="Q794" i="10"/>
  <c r="P127" i="10"/>
  <c r="Q793" i="10"/>
  <c r="P484" i="10"/>
  <c r="Q792" i="10"/>
  <c r="P752" i="10"/>
  <c r="Q791" i="10"/>
  <c r="P267" i="10"/>
  <c r="Q790" i="10"/>
  <c r="P356" i="10"/>
  <c r="Q789" i="10"/>
  <c r="P983" i="10"/>
  <c r="Q788" i="10"/>
  <c r="P1073" i="10"/>
  <c r="Q787" i="10"/>
  <c r="P822" i="10"/>
  <c r="Q786" i="10"/>
  <c r="P849" i="10"/>
  <c r="Q785" i="10"/>
  <c r="P980" i="10"/>
  <c r="Q784" i="10"/>
  <c r="P535" i="10"/>
  <c r="Q783" i="10"/>
  <c r="P940" i="10"/>
  <c r="Q782" i="10"/>
  <c r="P880" i="10"/>
  <c r="Q781" i="10"/>
  <c r="P749" i="10"/>
  <c r="Q780" i="10"/>
  <c r="P544" i="10"/>
  <c r="Q779" i="10"/>
  <c r="P623" i="10"/>
  <c r="Q778" i="10"/>
  <c r="P443" i="10"/>
  <c r="Q777" i="10"/>
  <c r="P576" i="10"/>
  <c r="Q776" i="10"/>
  <c r="P394" i="10"/>
  <c r="Q775" i="10"/>
  <c r="P469" i="10"/>
  <c r="Q774" i="10"/>
  <c r="P956" i="10"/>
  <c r="Q773" i="10"/>
  <c r="P662" i="10"/>
  <c r="Q772" i="10"/>
  <c r="P684" i="10"/>
  <c r="Q771" i="10"/>
  <c r="P971" i="10"/>
  <c r="Q770" i="10"/>
  <c r="P302" i="10"/>
  <c r="Q769" i="10"/>
  <c r="P824" i="10"/>
  <c r="Q768" i="10"/>
  <c r="P430" i="10"/>
  <c r="Q767" i="10"/>
  <c r="P593" i="10"/>
  <c r="Q766" i="10"/>
  <c r="P646" i="10"/>
  <c r="Q765" i="10"/>
  <c r="P777" i="10"/>
  <c r="Q764" i="10"/>
  <c r="P981" i="10"/>
  <c r="Q763" i="10"/>
  <c r="P673" i="10"/>
  <c r="Q762" i="10"/>
  <c r="P881" i="10"/>
  <c r="Q761" i="10"/>
  <c r="P200" i="10"/>
  <c r="Q760" i="10"/>
  <c r="P879" i="10"/>
  <c r="Q759" i="10"/>
  <c r="P681" i="10"/>
  <c r="Q758" i="10"/>
  <c r="P663" i="10"/>
  <c r="Q757" i="10"/>
  <c r="P732" i="10"/>
  <c r="Q756" i="10"/>
  <c r="P920" i="10"/>
  <c r="Q755" i="10"/>
  <c r="P406" i="10"/>
  <c r="Q754" i="10"/>
  <c r="P80" i="10"/>
  <c r="Q753" i="10"/>
  <c r="P418" i="10"/>
  <c r="Q752" i="10"/>
  <c r="P1033" i="10"/>
  <c r="Q751" i="10"/>
  <c r="P252" i="10"/>
  <c r="Q750" i="10"/>
  <c r="P992" i="10"/>
  <c r="Q749" i="10"/>
  <c r="P739" i="10"/>
  <c r="Q748" i="10"/>
  <c r="P284" i="10"/>
  <c r="Q747" i="10"/>
  <c r="P867" i="10"/>
  <c r="Q746" i="10"/>
  <c r="P353" i="10"/>
  <c r="Q745" i="10"/>
  <c r="P500" i="10"/>
  <c r="Q744" i="10"/>
  <c r="P703" i="10"/>
  <c r="Q743" i="10"/>
  <c r="P558" i="10"/>
  <c r="Q742" i="10"/>
  <c r="P359" i="10"/>
  <c r="Q741" i="10"/>
  <c r="P531" i="10"/>
  <c r="Q740" i="10"/>
  <c r="P141" i="10"/>
  <c r="Q739" i="10"/>
  <c r="P550" i="10"/>
  <c r="Q738" i="10"/>
  <c r="P579" i="10"/>
  <c r="Q737" i="10"/>
  <c r="P174" i="10"/>
  <c r="Q736" i="10"/>
  <c r="P619" i="10"/>
  <c r="Q735" i="10"/>
  <c r="P1040" i="10"/>
  <c r="Q734" i="10"/>
  <c r="P1014" i="10"/>
  <c r="Q733" i="10"/>
  <c r="P600" i="10"/>
  <c r="Q732" i="10"/>
  <c r="P714" i="10"/>
  <c r="Q731" i="10"/>
  <c r="P210" i="10"/>
  <c r="Q730" i="10"/>
  <c r="P259" i="10"/>
  <c r="Q729" i="10"/>
  <c r="P653" i="10"/>
  <c r="Q728" i="10"/>
  <c r="P108" i="10"/>
  <c r="Q727" i="10"/>
  <c r="P247" i="10"/>
  <c r="Q726" i="10"/>
  <c r="P717" i="10"/>
  <c r="Q725" i="10"/>
  <c r="P754" i="10"/>
  <c r="Q724" i="10"/>
  <c r="P93" i="10"/>
  <c r="Q723" i="10"/>
  <c r="P564" i="10"/>
  <c r="Q722" i="10"/>
  <c r="P120" i="10"/>
  <c r="Q721" i="10"/>
  <c r="P950" i="10"/>
  <c r="Q720" i="10"/>
  <c r="P375" i="10"/>
  <c r="Q719" i="10"/>
  <c r="P271" i="10"/>
  <c r="Q718" i="10"/>
  <c r="P838" i="10"/>
  <c r="Q717" i="10"/>
  <c r="P685" i="10"/>
  <c r="Q716" i="10"/>
  <c r="P312" i="10"/>
  <c r="Q715" i="10"/>
  <c r="P608" i="10"/>
  <c r="Q714" i="10"/>
  <c r="P986" i="10"/>
  <c r="Q713" i="10"/>
  <c r="P513" i="10"/>
  <c r="Q712" i="10"/>
  <c r="P228" i="10"/>
  <c r="Q711" i="10"/>
  <c r="P282" i="10"/>
  <c r="Q710" i="10"/>
  <c r="P322" i="10"/>
  <c r="Q709" i="10"/>
  <c r="P968" i="10"/>
  <c r="Q708" i="10"/>
  <c r="P859" i="10"/>
  <c r="Q707" i="10"/>
  <c r="P720" i="10"/>
  <c r="Q706" i="10"/>
  <c r="P493" i="10"/>
  <c r="Q705" i="10"/>
  <c r="P835" i="10"/>
  <c r="Q704" i="10"/>
  <c r="P347" i="10"/>
  <c r="Q703" i="10"/>
  <c r="P890" i="10"/>
  <c r="Q702" i="10"/>
  <c r="P207" i="10"/>
  <c r="Q701" i="10"/>
  <c r="P338" i="10"/>
  <c r="Q700" i="10"/>
  <c r="P737" i="10"/>
  <c r="Q699" i="10"/>
  <c r="P178" i="10"/>
  <c r="Q698" i="10"/>
  <c r="P462" i="10"/>
  <c r="Q697" i="10"/>
  <c r="P316" i="10"/>
  <c r="Q696" i="10"/>
  <c r="P292" i="10"/>
  <c r="Q695" i="10"/>
  <c r="P831" i="10"/>
  <c r="Q694" i="10"/>
  <c r="P760" i="10"/>
  <c r="Q693" i="10"/>
  <c r="P826" i="10"/>
  <c r="Q692" i="10"/>
  <c r="P482" i="10"/>
  <c r="Q691" i="10"/>
  <c r="P1030" i="10"/>
  <c r="Q690" i="10"/>
  <c r="P220" i="10"/>
  <c r="Q689" i="10"/>
  <c r="P514" i="10"/>
  <c r="Q688" i="10"/>
  <c r="P819" i="10"/>
  <c r="Q687" i="10"/>
  <c r="P812" i="10"/>
  <c r="Q686" i="10"/>
  <c r="P1037" i="10"/>
  <c r="Q685" i="10"/>
  <c r="P1016" i="10"/>
  <c r="Q684" i="10"/>
  <c r="P291" i="10"/>
  <c r="Q683" i="10"/>
  <c r="P425" i="10"/>
  <c r="Q682" i="10"/>
  <c r="P390" i="10"/>
  <c r="Q681" i="10"/>
  <c r="P816" i="10"/>
  <c r="Q680" i="10"/>
  <c r="P729" i="10"/>
  <c r="Q679" i="10"/>
  <c r="P336" i="10"/>
  <c r="Q678" i="10"/>
  <c r="P147" i="10"/>
  <c r="Q677" i="10"/>
  <c r="P491" i="10"/>
  <c r="Q676" i="10"/>
  <c r="P351" i="10"/>
  <c r="Q675" i="10"/>
  <c r="P710" i="10"/>
  <c r="Q674" i="10"/>
  <c r="P994" i="10"/>
  <c r="Q673" i="10"/>
  <c r="P884" i="10"/>
  <c r="Q672" i="10"/>
  <c r="P94" i="10"/>
  <c r="Q671" i="10"/>
  <c r="P661" i="10"/>
  <c r="Q670" i="10"/>
  <c r="P367" i="10"/>
  <c r="Q669" i="10"/>
  <c r="P392" i="10"/>
  <c r="Q668" i="10"/>
  <c r="P112" i="10"/>
  <c r="Q667" i="10"/>
  <c r="P410" i="10"/>
  <c r="Q666" i="10"/>
  <c r="P187" i="10"/>
  <c r="Q665" i="10"/>
  <c r="P636" i="10"/>
  <c r="Q664" i="10"/>
  <c r="P429" i="10"/>
  <c r="Q663" i="10"/>
  <c r="P982" i="10"/>
  <c r="Q662" i="10"/>
  <c r="P358" i="10"/>
  <c r="Q661" i="10"/>
  <c r="P504" i="10"/>
  <c r="Q660" i="10"/>
  <c r="P97" i="10"/>
  <c r="Q659" i="10"/>
  <c r="P667" i="10"/>
  <c r="Q658" i="10"/>
  <c r="P669" i="10"/>
  <c r="Q657" i="10"/>
  <c r="P139" i="10"/>
  <c r="Q656" i="10"/>
  <c r="P561" i="10"/>
  <c r="Q655" i="10"/>
  <c r="P758" i="10"/>
  <c r="Q654" i="10"/>
  <c r="P386" i="10"/>
  <c r="Q653" i="10"/>
  <c r="P872" i="10"/>
  <c r="Q652" i="10"/>
  <c r="P268" i="10"/>
  <c r="Q651" i="10"/>
  <c r="P973" i="10"/>
  <c r="Q650" i="10"/>
  <c r="P387" i="10"/>
  <c r="Q649" i="10"/>
  <c r="P477" i="10"/>
  <c r="Q648" i="10"/>
  <c r="P695" i="10"/>
  <c r="Q647" i="10"/>
  <c r="P998" i="10"/>
  <c r="Q646" i="10"/>
  <c r="P898" i="10"/>
  <c r="Q645" i="10"/>
  <c r="P520" i="10"/>
  <c r="Q644" i="10"/>
  <c r="P169" i="10"/>
  <c r="Q643" i="10"/>
  <c r="P330" i="10"/>
  <c r="Q642" i="10"/>
  <c r="P151" i="10"/>
  <c r="Q641" i="10"/>
  <c r="P424" i="10"/>
  <c r="Q640" i="10"/>
  <c r="P244" i="10"/>
  <c r="Q639" i="10"/>
  <c r="P614" i="10"/>
  <c r="Q638" i="10"/>
  <c r="P398" i="10"/>
  <c r="Q637" i="10"/>
  <c r="P449" i="10"/>
  <c r="Q636" i="10"/>
  <c r="P709" i="10"/>
  <c r="Q635" i="10"/>
  <c r="P365" i="10"/>
  <c r="Q634" i="10"/>
  <c r="P304" i="10"/>
  <c r="Q633" i="10"/>
  <c r="P1074" i="10"/>
  <c r="Q632" i="10"/>
  <c r="P624" i="10"/>
  <c r="Q631" i="10"/>
  <c r="P841" i="10"/>
  <c r="Q630" i="10"/>
  <c r="P438" i="10"/>
  <c r="Q629" i="10"/>
  <c r="P371" i="10"/>
  <c r="Q628" i="10"/>
  <c r="P628" i="10"/>
  <c r="Q627" i="10"/>
  <c r="P984" i="10"/>
  <c r="Q626" i="10"/>
  <c r="P360" i="10"/>
  <c r="Q625" i="10"/>
  <c r="P496" i="10"/>
  <c r="Q624" i="10"/>
  <c r="P251" i="10"/>
  <c r="Q623" i="10"/>
  <c r="P632" i="10"/>
  <c r="Q622" i="10"/>
  <c r="P570" i="10"/>
  <c r="Q621" i="10"/>
  <c r="P896" i="10"/>
  <c r="Q620" i="10"/>
  <c r="P883" i="10"/>
  <c r="Q619" i="10"/>
  <c r="P192" i="10"/>
  <c r="Q618" i="10"/>
  <c r="P734" i="10"/>
  <c r="Q617" i="10"/>
  <c r="P395" i="10"/>
  <c r="Q616" i="10"/>
  <c r="P606" i="10"/>
  <c r="Q615" i="10"/>
  <c r="P713" i="10"/>
  <c r="Q614" i="10"/>
  <c r="P258" i="10"/>
  <c r="Q613" i="10"/>
  <c r="P374" i="10"/>
  <c r="Q612" i="10"/>
  <c r="P280" i="10"/>
  <c r="Q611" i="10"/>
  <c r="P897" i="10"/>
  <c r="Q610" i="10"/>
  <c r="P1009" i="10"/>
  <c r="Q609" i="10"/>
  <c r="P416" i="10"/>
  <c r="Q608" i="10"/>
  <c r="P1046" i="10"/>
  <c r="Q607" i="10"/>
  <c r="P115" i="10"/>
  <c r="Q606" i="10"/>
  <c r="P1051" i="10"/>
  <c r="Q605" i="10"/>
  <c r="P620" i="10"/>
  <c r="Q604" i="10"/>
  <c r="P915" i="10"/>
  <c r="Q603" i="10"/>
  <c r="P944" i="10"/>
  <c r="Q602" i="10"/>
  <c r="P1012" i="10"/>
  <c r="Q601" i="10"/>
  <c r="P75" i="10"/>
  <c r="Q600" i="10"/>
  <c r="P546" i="10"/>
  <c r="Q599" i="10"/>
  <c r="P899" i="10"/>
  <c r="Q598" i="10"/>
  <c r="P906" i="10"/>
  <c r="Q597" i="10"/>
  <c r="P769" i="10"/>
  <c r="Q596" i="10"/>
  <c r="P160" i="10"/>
  <c r="Q595" i="10"/>
  <c r="P1045" i="10"/>
  <c r="Q594" i="10"/>
  <c r="P842" i="10"/>
  <c r="Q593" i="10"/>
  <c r="P526" i="10"/>
  <c r="Q592" i="10"/>
  <c r="P512" i="10"/>
  <c r="Q591" i="10"/>
  <c r="P697" i="10"/>
  <c r="Q590" i="10"/>
  <c r="P243" i="10"/>
  <c r="Q589" i="10"/>
  <c r="P78" i="10"/>
  <c r="Q588" i="10"/>
  <c r="P329" i="10"/>
  <c r="Q587" i="10"/>
  <c r="P791" i="10"/>
  <c r="Q586" i="10"/>
  <c r="P90" i="10"/>
  <c r="Q585" i="10"/>
  <c r="P123" i="10"/>
  <c r="Q584" i="10"/>
  <c r="P578" i="10"/>
  <c r="Q583" i="10"/>
  <c r="P494" i="10"/>
  <c r="Q582" i="10"/>
  <c r="P239" i="10"/>
  <c r="Q581" i="10"/>
  <c r="P158" i="10"/>
  <c r="Q580" i="10"/>
  <c r="P966" i="10"/>
  <c r="Q579" i="10"/>
  <c r="P497" i="10"/>
  <c r="Q578" i="10"/>
  <c r="P91" i="10"/>
  <c r="Q577" i="10"/>
  <c r="P957" i="10"/>
  <c r="Q576" i="10"/>
  <c r="P961" i="10"/>
  <c r="Q575" i="10"/>
  <c r="P762" i="10"/>
  <c r="Q574" i="10"/>
  <c r="P188" i="10"/>
  <c r="Q573" i="10"/>
  <c r="P278" i="10"/>
  <c r="Q572" i="10"/>
  <c r="P483" i="10"/>
  <c r="Q571" i="10"/>
  <c r="P136" i="10"/>
  <c r="Q570" i="10"/>
  <c r="P532" i="10"/>
  <c r="Q569" i="10"/>
  <c r="P203" i="10"/>
  <c r="Q568" i="10"/>
  <c r="P1026" i="10"/>
  <c r="Q567" i="10"/>
  <c r="P696" i="10"/>
  <c r="Q566" i="10"/>
  <c r="P1017" i="10"/>
  <c r="Q565" i="10"/>
  <c r="P581" i="10"/>
  <c r="Q564" i="10"/>
  <c r="P580" i="10"/>
  <c r="Q563" i="10"/>
  <c r="P789" i="10"/>
  <c r="Q562" i="10"/>
  <c r="P432" i="10"/>
  <c r="Q561" i="10"/>
  <c r="P518" i="10"/>
  <c r="Q560" i="10"/>
  <c r="P688" i="10"/>
  <c r="Q559" i="10"/>
  <c r="P232" i="10"/>
  <c r="Q558" i="10"/>
  <c r="P154" i="10"/>
  <c r="Q557" i="10"/>
  <c r="P499" i="10"/>
  <c r="Q556" i="10"/>
  <c r="P219" i="10"/>
  <c r="Q555" i="10"/>
  <c r="P784" i="10"/>
  <c r="Q554" i="10"/>
  <c r="P87" i="10"/>
  <c r="Q553" i="10"/>
  <c r="P468" i="10"/>
  <c r="Q552" i="10"/>
  <c r="P204" i="10"/>
  <c r="Q551" i="10"/>
  <c r="P130" i="10"/>
  <c r="Q550" i="10"/>
  <c r="P612" i="10"/>
  <c r="Q549" i="10"/>
  <c r="P122" i="10"/>
  <c r="Q548" i="10"/>
  <c r="P524" i="10"/>
  <c r="Q547" i="10"/>
  <c r="P310" i="10"/>
  <c r="Q546" i="10"/>
  <c r="P1003" i="10"/>
  <c r="Q545" i="10"/>
  <c r="P802" i="10"/>
  <c r="Q544" i="10"/>
  <c r="P453" i="10"/>
  <c r="Q543" i="10"/>
  <c r="P206" i="10"/>
  <c r="Q542" i="10"/>
  <c r="P463" i="10"/>
  <c r="Q541" i="10"/>
  <c r="P790" i="10"/>
  <c r="Q540" i="10"/>
  <c r="P381" i="10"/>
  <c r="Q539" i="10"/>
  <c r="P860" i="10"/>
  <c r="Q538" i="10"/>
  <c r="P99" i="10"/>
  <c r="Q537" i="10"/>
  <c r="P772" i="10"/>
  <c r="Q536" i="10"/>
  <c r="P352" i="10"/>
  <c r="Q535" i="10"/>
  <c r="P793" i="10"/>
  <c r="Q534" i="10"/>
  <c r="P196" i="10"/>
  <c r="Q533" i="10"/>
  <c r="P366" i="10"/>
  <c r="Q532" i="10"/>
  <c r="P307" i="10"/>
  <c r="Q531" i="10"/>
  <c r="P460" i="10"/>
  <c r="Q530" i="10"/>
  <c r="P830" i="10"/>
  <c r="Q529" i="10"/>
  <c r="P485" i="10"/>
  <c r="Q528" i="10"/>
  <c r="P901" i="10"/>
  <c r="Q527" i="10"/>
  <c r="P195" i="10"/>
  <c r="Q526" i="10"/>
  <c r="P305" i="10"/>
  <c r="Q525" i="10"/>
  <c r="P321" i="10"/>
  <c r="Q524" i="10"/>
  <c r="P461" i="10"/>
  <c r="Q523" i="10"/>
  <c r="P776" i="10"/>
  <c r="Q522" i="10"/>
  <c r="P82" i="10"/>
  <c r="Q521" i="10"/>
  <c r="P942" i="10"/>
  <c r="Q520" i="10"/>
  <c r="P502" i="10"/>
  <c r="Q519" i="10"/>
  <c r="P909" i="10"/>
  <c r="Q518" i="10"/>
  <c r="P780" i="10"/>
  <c r="Q517" i="10"/>
  <c r="P757" i="10"/>
  <c r="Q516" i="10"/>
  <c r="P726" i="10"/>
  <c r="Q515" i="10"/>
  <c r="P165" i="10"/>
  <c r="Q514" i="10"/>
  <c r="P952" i="10"/>
  <c r="Q513" i="10"/>
  <c r="P972" i="10"/>
  <c r="Q512" i="10"/>
  <c r="P501" i="10"/>
  <c r="Q511" i="10"/>
  <c r="P176" i="10"/>
  <c r="Q510" i="10"/>
  <c r="P231" i="10"/>
  <c r="Q509" i="10"/>
  <c r="P724" i="10"/>
  <c r="Q508" i="10"/>
  <c r="P1052" i="10"/>
  <c r="Q507" i="10"/>
  <c r="P161" i="10"/>
  <c r="Q506" i="10"/>
  <c r="P193" i="10"/>
  <c r="Q505" i="10"/>
  <c r="P377" i="10"/>
  <c r="Q504" i="10"/>
  <c r="P627" i="10"/>
  <c r="Q503" i="10"/>
  <c r="P725" i="10"/>
  <c r="Q502" i="10"/>
  <c r="P385" i="10"/>
  <c r="Q501" i="10"/>
  <c r="P102" i="10"/>
  <c r="Q500" i="10"/>
  <c r="P584" i="10"/>
  <c r="Q499" i="10"/>
  <c r="P828" i="10"/>
  <c r="Q498" i="10"/>
  <c r="P991" i="10"/>
  <c r="Q497" i="10"/>
  <c r="P368" i="10"/>
  <c r="Q496" i="10"/>
  <c r="P912" i="10"/>
  <c r="Q495" i="10"/>
  <c r="P637" i="10"/>
  <c r="Q494" i="10"/>
  <c r="P269" i="10"/>
  <c r="Q493" i="10"/>
  <c r="P222" i="10"/>
  <c r="Q492" i="10"/>
  <c r="P951" i="10"/>
  <c r="Q491" i="10"/>
  <c r="P705" i="10"/>
  <c r="Q490" i="10"/>
  <c r="P325" i="10"/>
  <c r="Q489" i="10"/>
  <c r="P634" i="10"/>
  <c r="Q488" i="10"/>
  <c r="P556" i="10"/>
  <c r="Q487" i="10"/>
  <c r="P215" i="10"/>
  <c r="Q486" i="10"/>
  <c r="P286" i="10"/>
  <c r="Q485" i="10"/>
  <c r="P702" i="10"/>
  <c r="Q484" i="10"/>
  <c r="P507" i="10"/>
  <c r="Q483" i="10"/>
  <c r="P308" i="10"/>
  <c r="Q482" i="10"/>
  <c r="P533" i="10"/>
  <c r="Q481" i="10"/>
  <c r="P648" i="10"/>
  <c r="Q480" i="10"/>
  <c r="P405" i="10"/>
  <c r="Q479" i="10"/>
  <c r="P1025" i="10"/>
  <c r="Q478" i="10"/>
  <c r="P474" i="10"/>
  <c r="Q477" i="10"/>
  <c r="P401" i="10"/>
  <c r="Q476" i="10"/>
  <c r="P798" i="10"/>
  <c r="Q475" i="10"/>
  <c r="P255" i="10"/>
  <c r="Q474" i="10"/>
  <c r="P309" i="10"/>
  <c r="Q473" i="10"/>
  <c r="P538" i="10"/>
  <c r="Q472" i="10"/>
  <c r="P840" i="10"/>
  <c r="Q471" i="10"/>
  <c r="P889" i="10"/>
  <c r="Q470" i="10"/>
  <c r="P974" i="10"/>
  <c r="Q469" i="10"/>
  <c r="P891" i="10"/>
  <c r="Q468" i="10"/>
  <c r="P446" i="10"/>
  <c r="Q467" i="10"/>
  <c r="P116" i="10"/>
  <c r="Q466" i="10"/>
  <c r="P658" i="10"/>
  <c r="Q465" i="10"/>
  <c r="P650" i="10"/>
  <c r="Q464" i="10"/>
  <c r="P595" i="10"/>
  <c r="Q463" i="10"/>
  <c r="P975" i="10"/>
  <c r="Q462" i="10"/>
  <c r="P441" i="10"/>
  <c r="Q461" i="10"/>
  <c r="P794" i="10"/>
  <c r="Q460" i="10"/>
  <c r="P81" i="10"/>
  <c r="Q459" i="10"/>
  <c r="P773" i="10"/>
  <c r="Q458" i="10"/>
  <c r="P748" i="10"/>
  <c r="Q457" i="10"/>
  <c r="P586" i="10"/>
  <c r="Q456" i="10"/>
  <c r="P827" i="10"/>
  <c r="Q455" i="10"/>
  <c r="P150" i="10"/>
  <c r="Q454" i="10"/>
  <c r="P806" i="10"/>
  <c r="Q453" i="10"/>
  <c r="P428" i="10"/>
  <c r="Q452" i="10"/>
  <c r="P263" i="10"/>
  <c r="Q451" i="10"/>
  <c r="P926" i="10"/>
  <c r="Q450" i="10"/>
  <c r="P728" i="10"/>
  <c r="Q449" i="10"/>
  <c r="P212" i="10"/>
  <c r="Q448" i="10"/>
  <c r="P902" i="10"/>
  <c r="Q447" i="10"/>
  <c r="P88" i="10"/>
  <c r="Q446" i="10"/>
  <c r="P922" i="10"/>
  <c r="Q445" i="10"/>
  <c r="P1024" i="10"/>
  <c r="Q444" i="10"/>
  <c r="P768" i="10"/>
  <c r="Q443" i="10"/>
  <c r="P217" i="10"/>
  <c r="Q442" i="10"/>
  <c r="P1047" i="10"/>
  <c r="Q441" i="10"/>
  <c r="P894" i="10"/>
  <c r="Q440" i="10"/>
  <c r="P134" i="10"/>
  <c r="Q439" i="10"/>
  <c r="P355" i="10"/>
  <c r="Q438" i="10"/>
  <c r="P471" i="10"/>
  <c r="Q437" i="10"/>
  <c r="P475" i="10"/>
  <c r="Q436" i="10"/>
  <c r="P84" i="10"/>
  <c r="Q435" i="10"/>
  <c r="P817" i="10"/>
  <c r="Q434" i="10"/>
  <c r="P407" i="10"/>
  <c r="Q433" i="10"/>
  <c r="P645" i="10"/>
  <c r="Q432" i="10"/>
  <c r="P923" i="10"/>
  <c r="Q431" i="10"/>
  <c r="P382" i="10"/>
  <c r="Q430" i="10"/>
  <c r="P149" i="10"/>
  <c r="Q429" i="10"/>
  <c r="P100" i="10"/>
  <c r="Q428" i="10"/>
  <c r="P83" i="10"/>
  <c r="Q427" i="10"/>
  <c r="P519" i="10"/>
  <c r="Q426" i="10"/>
  <c r="P674" i="10"/>
  <c r="Q425" i="10"/>
  <c r="P668" i="10"/>
  <c r="Q424" i="10"/>
  <c r="P832" i="10"/>
  <c r="Q423" i="10"/>
  <c r="P164" i="10"/>
  <c r="Q422" i="10"/>
  <c r="P1013" i="10"/>
  <c r="Q421" i="10"/>
  <c r="P740" i="10"/>
  <c r="Q420" i="10"/>
  <c r="P433" i="10"/>
  <c r="Q419" i="10"/>
  <c r="P929" i="10"/>
  <c r="Q418" i="10"/>
  <c r="P616" i="10"/>
  <c r="Q417" i="10"/>
  <c r="P610" i="10"/>
  <c r="Q416" i="10"/>
  <c r="P272" i="10"/>
  <c r="Q415" i="10"/>
  <c r="P655" i="10"/>
  <c r="Q414" i="10"/>
  <c r="P226" i="10"/>
  <c r="Q413" i="10"/>
  <c r="P436" i="10"/>
  <c r="Q412" i="10"/>
  <c r="P439" i="10"/>
  <c r="Q411" i="10"/>
  <c r="P350" i="10"/>
  <c r="Q410" i="10"/>
  <c r="P644" i="10"/>
  <c r="Q409" i="10"/>
  <c r="P224" i="10"/>
  <c r="Q408" i="10"/>
  <c r="P372" i="10"/>
  <c r="Q407" i="10"/>
  <c r="P941" i="10"/>
  <c r="Q406" i="10"/>
  <c r="P611" i="10"/>
  <c r="Q405" i="10"/>
  <c r="P420" i="10"/>
  <c r="Q404" i="10"/>
  <c r="P113" i="10"/>
  <c r="Q403" i="10"/>
  <c r="P1018" i="10"/>
  <c r="Q402" i="10"/>
  <c r="P698" i="10"/>
  <c r="Q401" i="10"/>
  <c r="P503" i="10"/>
  <c r="Q400" i="10"/>
  <c r="P458" i="10"/>
  <c r="Q399" i="10"/>
  <c r="P854" i="10"/>
  <c r="Q398" i="10"/>
  <c r="P569" i="10"/>
  <c r="Q397" i="10"/>
  <c r="P605" i="10"/>
  <c r="Q396" i="10"/>
  <c r="P126" i="10"/>
  <c r="Q395" i="10"/>
  <c r="P274" i="10"/>
  <c r="Q394" i="10"/>
  <c r="P767" i="10"/>
  <c r="Q393" i="10"/>
  <c r="P92" i="10"/>
  <c r="Q392" i="10"/>
  <c r="P373" i="10"/>
  <c r="Q391" i="10"/>
  <c r="P487" i="10"/>
  <c r="Q390" i="10"/>
  <c r="P511" i="10"/>
  <c r="Q389" i="10"/>
  <c r="P515" i="10"/>
  <c r="Q388" i="10"/>
  <c r="P875" i="10"/>
  <c r="Q387" i="10"/>
  <c r="P878" i="10"/>
  <c r="Q386" i="10"/>
  <c r="P551" i="10"/>
  <c r="Q385" i="10"/>
  <c r="P148" i="10"/>
  <c r="Q384" i="10"/>
  <c r="P223" i="10"/>
  <c r="Q383" i="10"/>
  <c r="P125" i="10"/>
  <c r="Q382" i="10"/>
  <c r="P782" i="10"/>
  <c r="Q381" i="10"/>
  <c r="P601" i="10"/>
  <c r="Q380" i="10"/>
  <c r="P887" i="10"/>
  <c r="Q379" i="10"/>
  <c r="P1069" i="10"/>
  <c r="Q378" i="10"/>
  <c r="P311" i="10"/>
  <c r="Q377" i="10"/>
  <c r="P335" i="10"/>
  <c r="Q376" i="10"/>
  <c r="P508" i="10"/>
  <c r="Q375" i="10"/>
  <c r="P609" i="10"/>
  <c r="Q374" i="10"/>
  <c r="P167" i="10"/>
  <c r="Q373" i="10"/>
  <c r="P964" i="10"/>
  <c r="Q372" i="10"/>
  <c r="P809" i="10"/>
  <c r="Q371" i="10"/>
  <c r="P447" i="10"/>
  <c r="Q370" i="10"/>
  <c r="P775" i="10"/>
  <c r="Q369" i="10"/>
  <c r="P787" i="10"/>
  <c r="Q368" i="10"/>
  <c r="P977" i="10"/>
  <c r="Q367" i="10"/>
  <c r="P617" i="10"/>
  <c r="Q366" i="10"/>
  <c r="P727" i="10"/>
  <c r="Q365" i="10"/>
  <c r="P77" i="10"/>
  <c r="Q364" i="10"/>
  <c r="P266" i="10"/>
  <c r="Q363" i="10"/>
  <c r="P179" i="10"/>
  <c r="Q362" i="10"/>
  <c r="P498" i="10"/>
  <c r="Q361" i="10"/>
  <c r="P327" i="10"/>
  <c r="Q360" i="10"/>
  <c r="P1060" i="10"/>
  <c r="Q359" i="10"/>
  <c r="P1050" i="10"/>
  <c r="Q358" i="10"/>
  <c r="P399" i="10"/>
  <c r="Q357" i="10"/>
  <c r="P109" i="10"/>
  <c r="Q356" i="10"/>
  <c r="P603" i="10"/>
  <c r="Q355" i="10"/>
  <c r="P175" i="10"/>
  <c r="Q354" i="10"/>
  <c r="P651" i="10"/>
  <c r="Q353" i="10"/>
  <c r="P440" i="10"/>
  <c r="Q352" i="10"/>
  <c r="P864" i="10"/>
  <c r="Q351" i="10"/>
  <c r="P715" i="10"/>
  <c r="Q350" i="10"/>
  <c r="P423" i="10"/>
  <c r="Q349" i="10"/>
  <c r="P341" i="10"/>
  <c r="Q348" i="10"/>
  <c r="P585" i="10"/>
  <c r="Q347" i="10"/>
  <c r="P985" i="10"/>
  <c r="Q346" i="10"/>
  <c r="P241" i="10"/>
  <c r="Q345" i="10"/>
  <c r="P666" i="10"/>
  <c r="Q344" i="10"/>
  <c r="P554" i="10"/>
  <c r="Q343" i="10"/>
  <c r="P1057" i="10"/>
  <c r="Q342" i="10"/>
  <c r="P792" i="10"/>
  <c r="Q341" i="10"/>
  <c r="P814" i="10"/>
  <c r="Q340" i="10"/>
  <c r="P79" i="10"/>
  <c r="Q339" i="10"/>
  <c r="P597" i="10"/>
  <c r="Q338" i="10"/>
  <c r="P795" i="10"/>
  <c r="Q337" i="10"/>
  <c r="P808" i="10"/>
  <c r="Q336" i="10"/>
  <c r="P118" i="10"/>
  <c r="Q335" i="10"/>
  <c r="P925" i="10"/>
  <c r="Q334" i="10"/>
  <c r="P670" i="10"/>
  <c r="Q333" i="10"/>
  <c r="P927" i="10"/>
  <c r="Q332" i="10"/>
  <c r="P683" i="10"/>
  <c r="Q331" i="10"/>
  <c r="P346" i="10"/>
  <c r="Q330" i="10"/>
  <c r="P248" i="10"/>
  <c r="Q329" i="10"/>
  <c r="P1028" i="10"/>
  <c r="Q328" i="10"/>
  <c r="P124" i="10"/>
  <c r="Q327" i="10"/>
  <c r="P882" i="10"/>
  <c r="Q326" i="10"/>
  <c r="P254" i="10"/>
  <c r="Q325" i="10"/>
  <c r="P811" i="10"/>
  <c r="Q324" i="10"/>
  <c r="P675" i="10"/>
  <c r="Q323" i="10"/>
  <c r="P1041" i="10"/>
  <c r="Q322" i="10"/>
  <c r="P893" i="10"/>
  <c r="Q321" i="10"/>
  <c r="P1049" i="10"/>
  <c r="Q320" i="10"/>
  <c r="P240" i="10"/>
  <c r="Q319" i="10"/>
  <c r="P781" i="10"/>
  <c r="Q318" i="10"/>
  <c r="P690" i="10"/>
  <c r="Q317" i="10"/>
  <c r="P978" i="10"/>
  <c r="Q316" i="10"/>
  <c r="P660" i="10"/>
  <c r="Q315" i="10"/>
  <c r="P800" i="10"/>
  <c r="Q314" i="10"/>
  <c r="P529" i="10"/>
  <c r="Q313" i="10"/>
  <c r="P364" i="10"/>
  <c r="Q312" i="10"/>
  <c r="P836" i="10"/>
  <c r="Q311" i="10"/>
  <c r="P413" i="10"/>
  <c r="Q310" i="10"/>
  <c r="P96" i="10"/>
  <c r="Q309" i="10"/>
  <c r="P694" i="10"/>
  <c r="Q308" i="10"/>
  <c r="P537" i="10"/>
  <c r="Q307" i="10"/>
  <c r="P778" i="10"/>
  <c r="Q306" i="10"/>
  <c r="P101" i="10"/>
  <c r="Q305" i="10"/>
  <c r="P277" i="10"/>
  <c r="Q304" i="10"/>
  <c r="P185" i="10"/>
  <c r="Q303" i="10"/>
  <c r="P478" i="10"/>
  <c r="Q302" i="10"/>
  <c r="P276" i="10"/>
  <c r="Q301" i="10"/>
  <c r="P473" i="10"/>
  <c r="Q300" i="10"/>
  <c r="P999" i="10"/>
  <c r="Q299" i="10"/>
  <c r="P414" i="10"/>
  <c r="Q298" i="10"/>
  <c r="P965" i="10"/>
  <c r="Q297" i="10"/>
  <c r="P396" i="10"/>
  <c r="Q296" i="10"/>
  <c r="P421" i="10"/>
  <c r="Q295" i="10"/>
  <c r="P234" i="10"/>
  <c r="Q294" i="10"/>
  <c r="P763" i="10"/>
  <c r="Q293" i="10"/>
  <c r="P270" i="10"/>
  <c r="Q292" i="10"/>
  <c r="P227" i="10"/>
  <c r="Q291" i="10"/>
  <c r="P480" i="10"/>
  <c r="Q290" i="10"/>
  <c r="P479" i="10"/>
  <c r="Q289" i="10"/>
  <c r="P1042" i="10"/>
  <c r="Q288" i="10"/>
  <c r="P955" i="10"/>
  <c r="Q287" i="10"/>
  <c r="P631" i="10"/>
  <c r="Q286" i="10"/>
  <c r="P1054" i="10"/>
  <c r="Q285" i="10"/>
  <c r="P692" i="10"/>
  <c r="Q284" i="10"/>
  <c r="P191" i="10"/>
  <c r="Q283" i="10"/>
  <c r="P635" i="10"/>
  <c r="Q282" i="10"/>
  <c r="P643" i="10"/>
  <c r="Q281" i="10"/>
  <c r="P211" i="10"/>
  <c r="Q280" i="10"/>
  <c r="P400" i="10"/>
  <c r="Q279" i="10"/>
  <c r="P417" i="10"/>
  <c r="Q278" i="10"/>
  <c r="P1029" i="10"/>
  <c r="Q277" i="10"/>
  <c r="P804" i="10"/>
  <c r="Q276" i="10"/>
  <c r="P300" i="10"/>
  <c r="Q275" i="10"/>
  <c r="P930" i="10"/>
  <c r="Q274" i="10"/>
  <c r="P348" i="10"/>
  <c r="Q273" i="10"/>
  <c r="P742" i="10"/>
  <c r="Q272" i="10"/>
  <c r="P296" i="10"/>
  <c r="Q271" i="10"/>
  <c r="P719" i="10"/>
  <c r="Q270" i="10"/>
  <c r="P837" i="10"/>
  <c r="Q269" i="10"/>
  <c r="P172" i="10"/>
  <c r="Q268" i="10"/>
  <c r="P592" i="10"/>
  <c r="Q267" i="10"/>
  <c r="P786" i="10"/>
  <c r="Q266" i="10"/>
  <c r="P953" i="10"/>
  <c r="Q265" i="10"/>
  <c r="P588" i="10"/>
  <c r="Q264" i="10"/>
  <c r="P730" i="10"/>
  <c r="Q263" i="10"/>
  <c r="P170" i="10"/>
  <c r="Q262" i="10"/>
  <c r="P932" i="10"/>
  <c r="Q261" i="10"/>
  <c r="P736" i="10"/>
  <c r="Q260" i="10"/>
  <c r="P948" i="10"/>
  <c r="Q259" i="10"/>
  <c r="P128" i="10"/>
  <c r="Q258" i="10"/>
  <c r="P426" i="10"/>
  <c r="Q257" i="10"/>
  <c r="P315" i="10"/>
  <c r="Q256" i="10"/>
  <c r="P746" i="10"/>
  <c r="Q255" i="10"/>
  <c r="P1021" i="10"/>
  <c r="Q254" i="10"/>
  <c r="P539" i="10"/>
  <c r="Q253" i="10"/>
  <c r="P904" i="10"/>
  <c r="Q252" i="10"/>
  <c r="P873" i="10"/>
  <c r="Q251" i="10"/>
  <c r="P419" i="10"/>
  <c r="Q250" i="10"/>
  <c r="P959" i="10"/>
  <c r="Q249" i="10"/>
  <c r="P687" i="10"/>
  <c r="Q248" i="10"/>
  <c r="P357" i="10"/>
  <c r="Q247" i="10"/>
  <c r="P1048" i="10"/>
  <c r="Q246" i="10"/>
  <c r="P383" i="10"/>
  <c r="Q245" i="10"/>
  <c r="P448" i="10"/>
  <c r="Q244" i="10"/>
  <c r="P361" i="10"/>
  <c r="Q243" i="10"/>
  <c r="P871" i="10"/>
  <c r="Q242" i="10"/>
  <c r="P905" i="10"/>
  <c r="Q241" i="10"/>
  <c r="P771" i="10"/>
  <c r="Q240" i="10"/>
  <c r="P431" i="10"/>
  <c r="Q239" i="10"/>
  <c r="P156" i="10"/>
  <c r="Q238" i="10"/>
  <c r="P756" i="10"/>
  <c r="Q237" i="10"/>
  <c r="P560" i="10"/>
  <c r="Q236" i="10"/>
  <c r="P262" i="10"/>
  <c r="Q235" i="10"/>
  <c r="P464" i="10"/>
  <c r="Q234" i="10"/>
  <c r="P657" i="10"/>
  <c r="Q233" i="10"/>
  <c r="P914" i="10"/>
  <c r="Q232" i="10"/>
  <c r="P409" i="10"/>
  <c r="Q231" i="10"/>
  <c r="P764" i="10"/>
  <c r="Q230" i="10"/>
  <c r="P1036" i="10"/>
  <c r="Q229" i="10"/>
  <c r="P1062" i="10"/>
  <c r="Q228" i="10"/>
  <c r="P153" i="10"/>
  <c r="Q227" i="10"/>
  <c r="P939" i="10"/>
  <c r="Q226" i="10"/>
  <c r="P194" i="10"/>
  <c r="Q225" i="10"/>
  <c r="P521" i="10"/>
  <c r="Q224" i="10"/>
  <c r="P996" i="10"/>
  <c r="Q223" i="10"/>
  <c r="P264" i="10"/>
  <c r="Q222" i="10"/>
  <c r="P289" i="10"/>
  <c r="Q221" i="10"/>
  <c r="P144" i="10"/>
  <c r="Q220" i="10"/>
  <c r="P641" i="10"/>
  <c r="Q219" i="10"/>
  <c r="P993" i="10"/>
  <c r="Q218" i="10"/>
  <c r="P528" i="10"/>
  <c r="Q217" i="10"/>
  <c r="P886" i="10"/>
  <c r="Q216" i="10"/>
  <c r="P314" i="10"/>
  <c r="Q215" i="10"/>
  <c r="P527" i="10"/>
  <c r="Q214" i="10"/>
  <c r="P549" i="10"/>
  <c r="Q213" i="10"/>
  <c r="P114" i="10"/>
  <c r="Q212" i="10"/>
  <c r="P294" i="10"/>
  <c r="Q211" i="10"/>
  <c r="P290" i="10"/>
  <c r="Q210" i="10"/>
  <c r="P1067" i="10"/>
  <c r="Q209" i="10"/>
  <c r="P85" i="10"/>
  <c r="Q208" i="10"/>
  <c r="P855" i="10"/>
  <c r="Q207" i="10"/>
  <c r="P834" i="10"/>
  <c r="Q206" i="10"/>
  <c r="P945" i="10"/>
  <c r="Q205" i="10"/>
  <c r="P506" i="10"/>
  <c r="Q204" i="10"/>
  <c r="P846" i="10"/>
  <c r="Q203" i="10"/>
  <c r="P557" i="10"/>
  <c r="Q202" i="10"/>
  <c r="P877" i="10"/>
  <c r="Q201" i="10"/>
  <c r="P261" i="10"/>
  <c r="Q200" i="10"/>
  <c r="P979" i="10"/>
  <c r="Q199" i="10"/>
  <c r="P121" i="10"/>
  <c r="Q198" i="10"/>
  <c r="P388" i="10"/>
  <c r="Q197" i="10"/>
  <c r="P946" i="10"/>
  <c r="Q196" i="10"/>
  <c r="P456" i="10"/>
  <c r="Q195" i="10"/>
  <c r="P260" i="10"/>
  <c r="Q194" i="10"/>
  <c r="P988" i="10"/>
  <c r="Q193" i="10"/>
  <c r="P744" i="10"/>
  <c r="Q192" i="10"/>
  <c r="P354" i="10"/>
  <c r="Q191" i="10"/>
  <c r="P389" i="10"/>
  <c r="Q190" i="10"/>
  <c r="P510" i="10"/>
  <c r="Q189" i="10"/>
  <c r="P190" i="10"/>
  <c r="Q188" i="10"/>
  <c r="P707" i="10"/>
  <c r="Q187" i="10"/>
  <c r="P287" i="10"/>
  <c r="Q186" i="10"/>
  <c r="P216" i="10"/>
  <c r="Q185" i="10"/>
  <c r="P411" i="10"/>
  <c r="Q184" i="10"/>
  <c r="P183" i="10"/>
  <c r="Q183" i="10"/>
  <c r="P318" i="10"/>
  <c r="Q182" i="10"/>
  <c r="P363" i="10"/>
  <c r="Q181" i="10"/>
  <c r="P265" i="10"/>
  <c r="Q180" i="10"/>
  <c r="P935" i="10"/>
  <c r="Q179" i="10"/>
  <c r="P747" i="10"/>
  <c r="Q178" i="10"/>
  <c r="P1072" i="10"/>
  <c r="Q177" i="10"/>
  <c r="P221" i="10"/>
  <c r="Q176" i="10"/>
  <c r="P649" i="10"/>
  <c r="Q175" i="10"/>
  <c r="P459" i="10"/>
  <c r="Q174" i="10"/>
  <c r="P218" i="10"/>
  <c r="Q173" i="10"/>
  <c r="P340" i="10"/>
  <c r="Q172" i="10"/>
  <c r="P917" i="10"/>
  <c r="Q171" i="10"/>
  <c r="P159" i="10"/>
  <c r="Q170" i="10"/>
  <c r="P434" i="10"/>
  <c r="Q169" i="10"/>
  <c r="P181" i="10"/>
  <c r="Q168" i="10"/>
  <c r="P422" i="10"/>
  <c r="Q167" i="10"/>
  <c r="P995" i="10"/>
  <c r="Q166" i="10"/>
  <c r="P452" i="10"/>
  <c r="Q165" i="10"/>
  <c r="P313" i="10"/>
  <c r="Q164" i="10"/>
  <c r="P540" i="10"/>
  <c r="Q163" i="10"/>
  <c r="P279" i="10"/>
  <c r="Q162" i="10"/>
  <c r="P868" i="10"/>
  <c r="Q161" i="10"/>
  <c r="P201" i="10"/>
  <c r="Q160" i="10"/>
  <c r="P237" i="10"/>
  <c r="Q159" i="10"/>
  <c r="P137" i="10"/>
  <c r="Q158" i="10"/>
  <c r="P86" i="10"/>
  <c r="Q157" i="10"/>
  <c r="P288" i="10"/>
  <c r="Q156" i="10"/>
  <c r="P936" i="10"/>
  <c r="Q155" i="10"/>
  <c r="P415" i="10"/>
  <c r="Q154" i="10"/>
  <c r="P960" i="10"/>
  <c r="Q153" i="10"/>
  <c r="P796" i="10"/>
  <c r="Q152" i="10"/>
  <c r="P445" i="10"/>
  <c r="Q151" i="10"/>
  <c r="P135" i="10"/>
  <c r="Q150" i="10"/>
  <c r="P949" i="10"/>
  <c r="Q149" i="10"/>
  <c r="P324" i="10"/>
  <c r="Q148" i="10"/>
  <c r="P1035" i="10"/>
  <c r="Q147" i="10"/>
  <c r="P186" i="10"/>
  <c r="Q146" i="10"/>
  <c r="P146" i="10"/>
  <c r="Q145" i="10"/>
  <c r="P928" i="10"/>
  <c r="Q144" i="10"/>
  <c r="P818" i="10"/>
  <c r="Q143" i="10"/>
  <c r="P376" i="10"/>
  <c r="Q142" i="10"/>
  <c r="P607" i="10"/>
  <c r="Q141" i="10"/>
  <c r="P844" i="10"/>
  <c r="Q140" i="10"/>
  <c r="P613" i="10"/>
  <c r="Q139" i="10"/>
  <c r="P1053" i="10"/>
  <c r="Q138" i="10"/>
  <c r="P166" i="10"/>
  <c r="Q137" i="10"/>
  <c r="P708" i="10"/>
  <c r="Q136" i="10"/>
  <c r="P938" i="10"/>
  <c r="Q135" i="10"/>
  <c r="P656" i="10"/>
  <c r="Q134" i="10"/>
  <c r="P275" i="10"/>
  <c r="Q133" i="10"/>
  <c r="P343" i="10"/>
  <c r="Q132" i="10"/>
  <c r="P799" i="10"/>
  <c r="Q131" i="10"/>
  <c r="P870" i="10"/>
  <c r="Q130" i="10"/>
  <c r="P625" i="10"/>
  <c r="Q129" i="10"/>
  <c r="P652" i="10"/>
  <c r="Q128" i="10"/>
  <c r="P534" i="10"/>
  <c r="Q127" i="10"/>
  <c r="P379" i="10"/>
  <c r="Q126" i="10"/>
  <c r="P699" i="10"/>
  <c r="Q125" i="10"/>
  <c r="P847" i="10"/>
  <c r="Q124" i="10"/>
  <c r="P843" i="10"/>
  <c r="Q123" i="10"/>
  <c r="P1070" i="10"/>
  <c r="Q122" i="10"/>
  <c r="P173" i="10"/>
  <c r="Q121" i="10"/>
  <c r="P785" i="10"/>
  <c r="Q120" i="10"/>
  <c r="P573" i="10"/>
  <c r="Q119" i="10"/>
  <c r="P242" i="10"/>
  <c r="Q118" i="10"/>
  <c r="P104" i="10"/>
  <c r="Q117" i="10"/>
  <c r="P892" i="10"/>
  <c r="Q116" i="10"/>
  <c r="P199" i="10"/>
  <c r="Q115" i="10"/>
  <c r="P1043" i="10"/>
  <c r="Q114" i="10"/>
  <c r="P1039" i="10"/>
  <c r="Q113" i="10"/>
  <c r="P331" i="10"/>
  <c r="Q112" i="10"/>
  <c r="P693" i="10"/>
  <c r="Q111" i="10"/>
  <c r="P235" i="10"/>
  <c r="Q110" i="10"/>
  <c r="P320" i="10"/>
  <c r="Q109" i="10"/>
  <c r="P472" i="10"/>
  <c r="Q108" i="10"/>
  <c r="P412" i="10"/>
  <c r="Q107" i="10"/>
  <c r="P829" i="10"/>
  <c r="Q106" i="10"/>
  <c r="P495" i="10"/>
  <c r="Q105" i="10"/>
  <c r="P555" i="10"/>
  <c r="Q104" i="10"/>
  <c r="P1010" i="10"/>
  <c r="Q103" i="10"/>
  <c r="P450" i="10"/>
  <c r="Q102" i="10"/>
  <c r="P553" i="10"/>
  <c r="Q101" i="10"/>
  <c r="P454" i="10"/>
  <c r="Q100" i="10"/>
  <c r="P1044" i="10"/>
  <c r="Q99" i="10"/>
  <c r="P866" i="10"/>
  <c r="Q98" i="10"/>
  <c r="P639" i="10"/>
  <c r="Q97" i="10"/>
  <c r="P813" i="10"/>
  <c r="Q96" i="10"/>
  <c r="P225" i="10"/>
  <c r="Q95" i="10"/>
  <c r="P530" i="10"/>
  <c r="Q94" i="10"/>
  <c r="P861" i="10"/>
  <c r="Q93" i="10"/>
  <c r="P598" i="10"/>
  <c r="Q92" i="10"/>
  <c r="P825" i="10"/>
  <c r="Q91" i="10"/>
  <c r="P345" i="10"/>
  <c r="Q90" i="10"/>
  <c r="P803" i="10"/>
  <c r="Q89" i="10"/>
  <c r="P918" i="10"/>
  <c r="Q88" i="10"/>
  <c r="P820" i="10"/>
  <c r="Q87" i="10"/>
  <c r="P132" i="10"/>
  <c r="Q86" i="10"/>
  <c r="P236" i="10"/>
  <c r="Q85" i="10"/>
  <c r="P654" i="10"/>
  <c r="Q84" i="10"/>
  <c r="P1064" i="10"/>
  <c r="Q83" i="10"/>
  <c r="P334" i="10"/>
  <c r="Q82" i="10"/>
  <c r="P862" i="10"/>
  <c r="Q81" i="10"/>
  <c r="P599" i="10"/>
  <c r="Q80" i="10"/>
  <c r="P704" i="10"/>
  <c r="Q79" i="10"/>
  <c r="P306" i="10"/>
  <c r="Q78" i="10"/>
  <c r="P1002" i="10"/>
  <c r="Q77" i="10"/>
  <c r="P1000" i="10"/>
  <c r="P594" i="10"/>
  <c r="Q75" i="10"/>
  <c r="P16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tc={795D82E4-25DA-44E4-960B-1AE4178D6EF0}</author>
  </authors>
  <commentList>
    <comment ref="D75" authorId="0" shapeId="0" xr:uid="{795D82E4-25DA-44E4-960B-1AE4178D6EF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return period is capped at 200 year.</t>
        </r>
      </text>
    </comment>
  </commentList>
</comments>
</file>

<file path=xl/sharedStrings.xml><?xml version="1.0" encoding="utf-8"?>
<sst xmlns="http://schemas.openxmlformats.org/spreadsheetml/2006/main" count="728" uniqueCount="157">
  <si>
    <t>sector</t>
  </si>
  <si>
    <t>AAL</t>
  </si>
  <si>
    <t>%AAL per sector</t>
  </si>
  <si>
    <t>total asset value</t>
  </si>
  <si>
    <t>housing</t>
  </si>
  <si>
    <t>services</t>
  </si>
  <si>
    <t>productive</t>
  </si>
  <si>
    <t>roads</t>
  </si>
  <si>
    <t>schools</t>
  </si>
  <si>
    <t>health centers</t>
  </si>
  <si>
    <t>asset value (all sectors)</t>
  </si>
  <si>
    <t xml:space="preserve">Base year 2020 (no climate change) </t>
  </si>
  <si>
    <t>Housing</t>
  </si>
  <si>
    <t>Services</t>
  </si>
  <si>
    <t xml:space="preserve">Productive Sector </t>
  </si>
  <si>
    <t>Roads</t>
  </si>
  <si>
    <t>Schools</t>
  </si>
  <si>
    <t>Health Centers</t>
  </si>
  <si>
    <t>RP</t>
  </si>
  <si>
    <t>Services Sector</t>
  </si>
  <si>
    <t>Industrial Sector</t>
  </si>
  <si>
    <t>Agriculture</t>
  </si>
  <si>
    <t>US$ million</t>
  </si>
  <si>
    <t xml:space="preserve">% of total asset value </t>
  </si>
  <si>
    <t>km</t>
  </si>
  <si>
    <t>% of asset</t>
  </si>
  <si>
    <t>Number</t>
  </si>
  <si>
    <t>CGE interpolation</t>
  </si>
  <si>
    <t>weighted average (%of damage of total capital in the dataset)</t>
  </si>
  <si>
    <t>Year 2050 (SSP585, no adaptation, no socio-economic projections)</t>
  </si>
  <si>
    <t>weighted average</t>
  </si>
  <si>
    <t>Year 2050 (SSP585, no adaptation, with socio-economic projections)</t>
  </si>
  <si>
    <t>Year 2050 (SSP126, no adaptation, no socio-economic projections)</t>
  </si>
  <si>
    <t>Year 2050 (SSP126,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</si>
  <si>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</si>
  <si>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</si>
  <si>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with adaptation, no socio-economic projections)</t>
  </si>
  <si>
    <t>Year 2050 (SSP126, with adaptation, with socio-economic projections)</t>
  </si>
  <si>
    <t>Risk curves corresponding to flood and drought</t>
  </si>
  <si>
    <t>Return Period</t>
  </si>
  <si>
    <t>Exceedance Probability (1/return period)</t>
  </si>
  <si>
    <t>Probable Maximum Losses (US$million)</t>
  </si>
  <si>
    <t>Probable Maximum Losses (% value)</t>
  </si>
  <si>
    <t>Flood</t>
  </si>
  <si>
    <t>% of innundated asset (2020, 1m)</t>
  </si>
  <si>
    <t>% of innundated asset (2020, 2m)</t>
  </si>
  <si>
    <t>% of innundated asset (2030, 1m, SSP585)</t>
  </si>
  <si>
    <t>% of innundated asset (2030, 2m, SSP585)</t>
  </si>
  <si>
    <t>% of innundated asset (2050, 1m,SSP585)</t>
  </si>
  <si>
    <t>% of innundated asset (2050, 2m,SSP585)</t>
  </si>
  <si>
    <t>Innundation duration</t>
  </si>
  <si>
    <t>Productive</t>
  </si>
  <si>
    <t>% of innundated asset (2030, 1m,SSP585)</t>
  </si>
  <si>
    <t>% of innundated asset (2030, 2m,SSP585)</t>
  </si>
  <si>
    <t>Health centers</t>
  </si>
  <si>
    <t>Probable Maximum Losses</t>
  </si>
  <si>
    <t>Agriculture flood</t>
  </si>
  <si>
    <t>Agriculture - drought</t>
  </si>
  <si>
    <t>Rice (production loss%,2020)</t>
  </si>
  <si>
    <t>Rice (production loss%, 2030 SSP585)</t>
  </si>
  <si>
    <t>Rice (production loss% 2050 SSP585)</t>
  </si>
  <si>
    <t>Maize  (production loss% 2020)</t>
  </si>
  <si>
    <t>Maize  (production loss% 2030 SSP585)</t>
  </si>
  <si>
    <t>Simlution results</t>
  </si>
  <si>
    <t>Drought</t>
  </si>
  <si>
    <t>Percentile of EP</t>
  </si>
  <si>
    <t>Exceedance Probability</t>
  </si>
  <si>
    <t>% of innundated (2020, 1m cut off)</t>
  </si>
  <si>
    <t>% of innundated (2020, 2m cut off)</t>
  </si>
  <si>
    <t>% of innundated (2030, 1m cut off)</t>
  </si>
  <si>
    <t>% of innundated (2030, 2m cut off)</t>
  </si>
  <si>
    <t>% of innundated (2050, 1m cut off)</t>
  </si>
  <si>
    <t>% of innundated (2050, 2m cut off)</t>
  </si>
  <si>
    <t>Event ID</t>
  </si>
  <si>
    <t xml:space="preserve">Services </t>
  </si>
  <si>
    <t>Production</t>
  </si>
  <si>
    <t>Innundation Duration</t>
  </si>
  <si>
    <t>exceedance probability</t>
  </si>
  <si>
    <t>return period</t>
  </si>
  <si>
    <t>baseline</t>
  </si>
  <si>
    <t>risk-informed planning</t>
  </si>
  <si>
    <t>10 yr</t>
  </si>
  <si>
    <t>25 yr</t>
  </si>
  <si>
    <t>100 yr</t>
  </si>
  <si>
    <t>200 yr</t>
  </si>
  <si>
    <t>Service</t>
  </si>
  <si>
    <t>Industrial</t>
  </si>
  <si>
    <t xml:space="preserve">Road </t>
  </si>
  <si>
    <t>School</t>
  </si>
  <si>
    <t xml:space="preserve">Hospitals </t>
  </si>
  <si>
    <t>Services - 2020/2050 - 1 m</t>
  </si>
  <si>
    <t>interpolation</t>
  </si>
  <si>
    <t>Services - 2020/2050 - 2 m</t>
  </si>
  <si>
    <t>Production - 2020/2050 - 1 m</t>
  </si>
  <si>
    <t>Production - 2020/2050 - 2 m</t>
  </si>
  <si>
    <t>2020 - 1m cutoff</t>
  </si>
  <si>
    <t>2020 - 2m cutoff</t>
  </si>
  <si>
    <t>production</t>
  </si>
  <si>
    <t>duration (days)</t>
  </si>
  <si>
    <t>%</t>
  </si>
  <si>
    <t>total asset</t>
  </si>
  <si>
    <t>2050 - 1m cutoff</t>
  </si>
  <si>
    <t>2050 - 2m cutoff</t>
  </si>
  <si>
    <t>GIS output</t>
  </si>
  <si>
    <t>Value</t>
  </si>
  <si>
    <t>COUNT</t>
  </si>
  <si>
    <t>AREA</t>
  </si>
  <si>
    <t>SUM</t>
  </si>
  <si>
    <t>10:</t>
  </si>
  <si>
    <t>25:</t>
  </si>
  <si>
    <t>100:</t>
  </si>
  <si>
    <t>200:</t>
  </si>
  <si>
    <t xml:space="preserve"> 2050 - 1m cutoff</t>
  </si>
  <si>
    <t xml:space="preserve">Baseline period (1981 - 2016) </t>
  </si>
  <si>
    <t>Rice</t>
  </si>
  <si>
    <t>Maize</t>
  </si>
  <si>
    <t>Yield Reduction (% below expected yield)*</t>
  </si>
  <si>
    <t>Production Loss (tonnes)**</t>
  </si>
  <si>
    <t>*Yield (t/ha) reduction in percentage points (i.e. 4 means 4%)</t>
  </si>
  <si>
    <t>**Production (annual) based on average yield (in last 6 years) and harvested area (MapSPAM)</t>
  </si>
  <si>
    <t>Year 2050 (SSP126)</t>
  </si>
  <si>
    <t>Year 2050 (SSP585)</t>
  </si>
  <si>
    <t>Base year</t>
  </si>
  <si>
    <t>no adaptation</t>
  </si>
  <si>
    <t>with adaptation</t>
  </si>
  <si>
    <t>SSP126</t>
  </si>
  <si>
    <t>SSP585</t>
  </si>
  <si>
    <t>no socio-economic projections</t>
  </si>
  <si>
    <t>with socio-economic projections</t>
  </si>
  <si>
    <t xml:space="preserve">Number 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</si>
  <si>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</si>
  <si>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</si>
  <si>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</si>
  <si>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</si>
  <si>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</si>
  <si>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</si>
  <si>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</si>
  <si>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</si>
  <si>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</si>
  <si>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</si>
  <si>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</si>
  <si>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</si>
  <si>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</si>
  <si>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</si>
  <si>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</si>
  <si>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</si>
  <si>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</si>
  <si>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</si>
  <si>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</si>
  <si>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</si>
  <si>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</si>
  <si>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</si>
  <si>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</si>
  <si>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</si>
  <si>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</si>
  <si>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</si>
  <si>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  AAL [million$]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</si>
</sst>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"/>
    <numFmt numFmtId="166" formatCode="0.00000"/>
    <numFmt numFmtId="167" formatCode="0.000000"/>
    <numFmt numFmtId="168" formatCode="0.0%"/>
    <numFmt numFmtId="169" formatCode="0.0"/>
    <numFmt numFmtId="170" formatCode="0.00000000000"/>
  </numFmts>
  <fonts count="3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u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rgb="FFFF0000"/>
      <name val="Calibri"/>
      <family val="2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i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0" borderId="0" xfId="0" applyNumberFormat="1"/>
    <xf numFmtId="2" fontId="1" fillId="4" borderId="0" xfId="0" applyNumberFormat="1" applyFont="1" applyFill="1"/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4" fillId="0" borderId="0" xfId="0" applyNumberFormat="1" applyFont="1"/>
    <xf numFmtId="2" fontId="0" fillId="0" borderId="3" xfId="0" applyNumberFormat="1" applyBorder="1"/>
    <xf numFmtId="2" fontId="5" fillId="0" borderId="0" xfId="0" applyNumberFormat="1" applyFont="1"/>
    <xf numFmtId="0" fontId="6" fillId="0" borderId="0" xfId="0" applyFont="1"/>
    <xf numFmtId="2" fontId="7" fillId="0" borderId="0" xfId="0" applyNumberFormat="1" applyFont="1"/>
    <xf numFmtId="0" fontId="8" fillId="0" borderId="0" xfId="0" applyFont="1"/>
    <xf numFmtId="166" fontId="1" fillId="5" borderId="0" xfId="0" applyNumberFormat="1" applyFont="1" applyFill="1"/>
    <xf numFmtId="0" fontId="9" fillId="0" borderId="0" xfId="0" applyFont="1"/>
    <xf numFmtId="2" fontId="9" fillId="0" borderId="0" xfId="0" applyNumberFormat="1" applyFont="1"/>
    <xf numFmtId="167" fontId="1" fillId="5" borderId="0" xfId="0" applyNumberFormat="1" applyFont="1" applyFill="1"/>
    <xf numFmtId="2" fontId="10" fillId="0" borderId="0" xfId="0" applyNumberFormat="1" applyFont="1"/>
    <xf numFmtId="0" fontId="10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1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2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164" fontId="9" fillId="0" borderId="0" xfId="0" applyNumberFormat="1" applyFont="1"/>
    <xf numFmtId="2" fontId="13" fillId="0" borderId="0" xfId="0" applyNumberFormat="1" applyFont="1"/>
    <xf numFmtId="0" fontId="15" fillId="0" borderId="0" xfId="0" applyFont="1"/>
    <xf numFmtId="0" fontId="0" fillId="7" borderId="0" xfId="0" applyFill="1"/>
    <xf numFmtId="0" fontId="0" fillId="8" borderId="0" xfId="0" applyFill="1"/>
    <xf numFmtId="2" fontId="0" fillId="8" borderId="0" xfId="0" applyNumberFormat="1" applyFill="1"/>
    <xf numFmtId="2" fontId="1" fillId="7" borderId="0" xfId="0" applyNumberFormat="1" applyFont="1" applyFill="1" applyAlignment="1">
      <alignment vertical="center"/>
    </xf>
    <xf numFmtId="2" fontId="1" fillId="7" borderId="0" xfId="0" applyNumberFormat="1" applyFont="1" applyFill="1"/>
    <xf numFmtId="0" fontId="16" fillId="7" borderId="0" xfId="0" applyFont="1" applyFill="1"/>
    <xf numFmtId="0" fontId="16" fillId="8" borderId="0" xfId="0" applyFont="1" applyFill="1"/>
    <xf numFmtId="2" fontId="16" fillId="8" borderId="0" xfId="0" applyNumberFormat="1" applyFont="1" applyFill="1"/>
    <xf numFmtId="0" fontId="16" fillId="0" borderId="0" xfId="0" applyFont="1"/>
    <xf numFmtId="0" fontId="17" fillId="0" borderId="0" xfId="0" applyFont="1"/>
    <xf numFmtId="2" fontId="1" fillId="8" borderId="0" xfId="0" applyNumberFormat="1" applyFont="1" applyFill="1"/>
    <xf numFmtId="0" fontId="0" fillId="0" borderId="3" xfId="0" applyBorder="1" applyAlignment="1">
      <alignment horizontal="center"/>
    </xf>
    <xf numFmtId="168" fontId="0" fillId="0" borderId="0" xfId="1" applyNumberFormat="1" applyFont="1"/>
    <xf numFmtId="0" fontId="0" fillId="9" borderId="0" xfId="0" applyFill="1"/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3" fillId="4" borderId="0" xfId="0" applyNumberFormat="1" applyFont="1" applyFill="1"/>
    <xf numFmtId="169" fontId="1" fillId="0" borderId="0" xfId="0" applyNumberFormat="1" applyFont="1"/>
    <xf numFmtId="169" fontId="1" fillId="0" borderId="0" xfId="0" applyNumberFormat="1" applyFont="1" applyAlignment="1">
      <alignment vertical="center"/>
    </xf>
    <xf numFmtId="43" fontId="0" fillId="0" borderId="0" xfId="2" applyFont="1"/>
    <xf numFmtId="43" fontId="1" fillId="0" borderId="0" xfId="2" applyFont="1" applyAlignment="1">
      <alignment vertical="center"/>
    </xf>
    <xf numFmtId="43" fontId="1" fillId="0" borderId="0" xfId="2" applyFont="1"/>
    <xf numFmtId="0" fontId="0" fillId="5" borderId="0" xfId="0" applyFill="1"/>
    <xf numFmtId="0" fontId="0" fillId="0" borderId="7" xfId="0" applyBorder="1"/>
    <xf numFmtId="0" fontId="6" fillId="0" borderId="10" xfId="0" applyFont="1" applyBorder="1"/>
    <xf numFmtId="2" fontId="9" fillId="0" borderId="3" xfId="0" applyNumberFormat="1" applyFont="1" applyBorder="1"/>
    <xf numFmtId="2" fontId="1" fillId="4" borderId="3" xfId="0" applyNumberFormat="1" applyFont="1" applyFill="1" applyBorder="1"/>
    <xf numFmtId="2" fontId="1" fillId="9" borderId="0" xfId="0" applyNumberFormat="1" applyFont="1" applyFill="1"/>
    <xf numFmtId="169" fontId="1" fillId="2" borderId="0" xfId="0" applyNumberFormat="1" applyFont="1" applyFill="1" applyAlignment="1">
      <alignment vertical="center"/>
    </xf>
    <xf numFmtId="2" fontId="1" fillId="2" borderId="0" xfId="0" applyNumberFormat="1" applyFont="1" applyFill="1"/>
    <xf numFmtId="169" fontId="1" fillId="2" borderId="0" xfId="0" applyNumberFormat="1" applyFont="1" applyFill="1"/>
    <xf numFmtId="169" fontId="1" fillId="2" borderId="3" xfId="0" applyNumberFormat="1" applyFont="1" applyFill="1" applyBorder="1"/>
    <xf numFmtId="2" fontId="1" fillId="2" borderId="3" xfId="0" applyNumberFormat="1" applyFont="1" applyFill="1" applyBorder="1"/>
    <xf numFmtId="2" fontId="0" fillId="2" borderId="3" xfId="0" applyNumberFormat="1" applyFill="1" applyBorder="1"/>
    <xf numFmtId="1" fontId="1" fillId="2" borderId="0" xfId="0" applyNumberFormat="1" applyFont="1" applyFill="1"/>
    <xf numFmtId="1" fontId="0" fillId="2" borderId="0" xfId="0" applyNumberFormat="1" applyFill="1"/>
    <xf numFmtId="1" fontId="1" fillId="2" borderId="3" xfId="0" applyNumberFormat="1" applyFont="1" applyFill="1" applyBorder="1"/>
    <xf numFmtId="2" fontId="0" fillId="2" borderId="0" xfId="0" applyNumberFormat="1" applyFill="1"/>
    <xf numFmtId="169" fontId="0" fillId="2" borderId="0" xfId="0" applyNumberFormat="1" applyFill="1"/>
    <xf numFmtId="169" fontId="0" fillId="2" borderId="3" xfId="0" applyNumberFormat="1" applyFill="1" applyBorder="1"/>
    <xf numFmtId="2" fontId="1" fillId="9" borderId="3" xfId="0" applyNumberFormat="1" applyFont="1" applyFill="1" applyBorder="1"/>
    <xf numFmtId="2" fontId="1" fillId="9" borderId="0" xfId="0" applyNumberFormat="1" applyFont="1" applyFill="1" applyAlignment="1">
      <alignment vertical="center"/>
    </xf>
    <xf numFmtId="2" fontId="0" fillId="2" borderId="2" xfId="0" applyNumberFormat="1" applyFill="1" applyBorder="1"/>
    <xf numFmtId="1" fontId="0" fillId="2" borderId="2" xfId="0" applyNumberFormat="1" applyFill="1" applyBorder="1"/>
    <xf numFmtId="1" fontId="18" fillId="2" borderId="0" xfId="0" applyNumberFormat="1" applyFont="1" applyFill="1"/>
    <xf numFmtId="2" fontId="0" fillId="2" borderId="12" xfId="0" applyNumberFormat="1" applyFill="1" applyBorder="1"/>
    <xf numFmtId="2" fontId="0" fillId="2" borderId="7" xfId="0" applyNumberFormat="1" applyFill="1" applyBorder="1"/>
    <xf numFmtId="2" fontId="0" fillId="2" borderId="6" xfId="0" applyNumberFormat="1" applyFill="1" applyBorder="1"/>
    <xf numFmtId="1" fontId="18" fillId="10" borderId="0" xfId="0" applyNumberFormat="1" applyFont="1" applyFill="1"/>
    <xf numFmtId="2" fontId="0" fillId="10" borderId="0" xfId="0" applyNumberFormat="1" applyFill="1"/>
    <xf numFmtId="1" fontId="0" fillId="10" borderId="2" xfId="0" applyNumberFormat="1" applyFill="1" applyBorder="1"/>
    <xf numFmtId="2" fontId="0" fillId="10" borderId="2" xfId="0" applyNumberFormat="1" applyFill="1" applyBorder="1"/>
    <xf numFmtId="169" fontId="0" fillId="2" borderId="2" xfId="0" applyNumberFormat="1" applyFill="1" applyBorder="1"/>
    <xf numFmtId="169" fontId="0" fillId="10" borderId="0" xfId="0" applyNumberFormat="1" applyFill="1"/>
    <xf numFmtId="169" fontId="0" fillId="10" borderId="3" xfId="0" applyNumberFormat="1" applyFill="1" applyBorder="1"/>
    <xf numFmtId="169" fontId="0" fillId="10" borderId="2" xfId="0" applyNumberFormat="1" applyFill="1" applyBorder="1"/>
    <xf numFmtId="0" fontId="1" fillId="0" borderId="10" xfId="0" applyFont="1" applyBorder="1"/>
    <xf numFmtId="2" fontId="1" fillId="0" borderId="8" xfId="0" applyNumberFormat="1" applyFont="1" applyBorder="1"/>
    <xf numFmtId="0" fontId="1" fillId="9" borderId="9" xfId="0" applyFont="1" applyFill="1" applyBorder="1"/>
    <xf numFmtId="164" fontId="1" fillId="0" borderId="7" xfId="0" applyNumberFormat="1" applyFont="1" applyBorder="1"/>
    <xf numFmtId="2" fontId="1" fillId="6" borderId="0" xfId="0" applyNumberFormat="1" applyFont="1" applyFill="1"/>
    <xf numFmtId="2" fontId="19" fillId="8" borderId="0" xfId="0" applyNumberFormat="1" applyFont="1" applyFill="1"/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5" fillId="8" borderId="0" xfId="0" applyFont="1" applyFill="1"/>
    <xf numFmtId="1" fontId="26" fillId="0" borderId="0" xfId="0" applyNumberFormat="1" applyFont="1"/>
    <xf numFmtId="170" fontId="26" fillId="0" borderId="0" xfId="0" applyNumberFormat="1" applyFont="1"/>
    <xf numFmtId="49" fontId="27" fillId="0" borderId="0" xfId="0" applyNumberFormat="1" applyFont="1"/>
    <xf numFmtId="0" fontId="28" fillId="0" borderId="0" xfId="0" applyFont="1"/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27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25" fillId="3" borderId="0" xfId="0" applyNumberFormat="1" applyFont="1" applyFill="1"/>
    <xf numFmtId="0" fontId="25" fillId="3" borderId="0" xfId="0" applyFont="1" applyFill="1"/>
    <xf numFmtId="0" fontId="0" fillId="3" borderId="0" xfId="0" applyFill="1"/>
    <xf numFmtId="164" fontId="0" fillId="3" borderId="0" xfId="0" applyNumberFormat="1" applyFill="1" applyAlignment="1">
      <alignment horizontal="left"/>
    </xf>
    <xf numFmtId="165" fontId="1" fillId="0" borderId="7" xfId="0" applyNumberFormat="1" applyFont="1" applyBorder="1"/>
    <xf numFmtId="0" fontId="28" fillId="3" borderId="0" xfId="0" applyFont="1" applyFill="1"/>
    <xf numFmtId="0" fontId="28" fillId="8" borderId="0" xfId="0" applyFont="1" applyFill="1"/>
    <xf numFmtId="0" fontId="29" fillId="0" borderId="0" xfId="0" applyFont="1" applyAlignment="1">
      <alignment vertical="center"/>
    </xf>
    <xf numFmtId="0" fontId="20" fillId="0" borderId="9" xfId="0" applyFont="1" applyBorder="1"/>
    <xf numFmtId="0" fontId="22" fillId="0" borderId="9" xfId="0" applyFont="1" applyBorder="1" applyAlignment="1">
      <alignment horizontal="right" vertical="center"/>
    </xf>
    <xf numFmtId="0" fontId="22" fillId="0" borderId="9" xfId="0" applyFont="1" applyBorder="1" applyAlignment="1">
      <alignment vertical="center"/>
    </xf>
    <xf numFmtId="10" fontId="19" fillId="0" borderId="0" xfId="0" applyNumberFormat="1" applyFont="1"/>
    <xf numFmtId="9" fontId="23" fillId="0" borderId="0" xfId="0" applyNumberFormat="1" applyFont="1" applyAlignment="1">
      <alignment horizontal="right" vertical="center"/>
    </xf>
    <xf numFmtId="4" fontId="22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8" fillId="0" borderId="2" xfId="0" applyFont="1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28" fillId="0" borderId="3" xfId="0" applyFont="1" applyBorder="1"/>
    <xf numFmtId="0" fontId="0" fillId="0" borderId="1" xfId="0" applyBorder="1" applyAlignment="1">
      <alignment horizontal="center"/>
    </xf>
    <xf numFmtId="0" fontId="30" fillId="8" borderId="1" xfId="0" applyFont="1" applyFill="1" applyBorder="1"/>
    <xf numFmtId="0" fontId="4" fillId="8" borderId="1" xfId="0" applyFont="1" applyFill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164" fontId="1" fillId="0" borderId="0" xfId="0" applyNumberFormat="1" applyFont="1"/>
    <xf numFmtId="0" fontId="1" fillId="0" borderId="7" xfId="0" applyFont="1" applyBorder="1"/>
    <xf numFmtId="164" fontId="1" fillId="4" borderId="0" xfId="0" applyNumberFormat="1" applyFont="1" applyFill="1"/>
    <xf numFmtId="0" fontId="30" fillId="12" borderId="0" xfId="0" applyFont="1" applyFill="1"/>
    <xf numFmtId="0" fontId="4" fillId="12" borderId="0" xfId="0" applyFont="1" applyFill="1"/>
    <xf numFmtId="0" fontId="4" fillId="0" borderId="0" xfId="0" applyFont="1"/>
    <xf numFmtId="0" fontId="1" fillId="13" borderId="1" xfId="0" applyFont="1" applyFill="1" applyBorder="1"/>
    <xf numFmtId="0" fontId="31" fillId="13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4" fillId="13" borderId="1" xfId="0" applyFont="1" applyFill="1" applyBorder="1"/>
    <xf numFmtId="1" fontId="1" fillId="8" borderId="1" xfId="0" applyNumberFormat="1" applyFont="1" applyFill="1" applyBorder="1"/>
    <xf numFmtId="1" fontId="1" fillId="12" borderId="1" xfId="0" applyNumberFormat="1" applyFont="1" applyFill="1" applyBorder="1"/>
    <xf numFmtId="0" fontId="4" fillId="13" borderId="0" xfId="0" applyFont="1" applyFill="1"/>
    <xf numFmtId="1" fontId="1" fillId="8" borderId="0" xfId="0" applyNumberFormat="1" applyFont="1" applyFill="1"/>
    <xf numFmtId="1" fontId="1" fillId="12" borderId="0" xfId="0" applyNumberFormat="1" applyFont="1" applyFill="1"/>
    <xf numFmtId="0" fontId="32" fillId="0" borderId="1" xfId="0" applyFont="1" applyBorder="1"/>
    <xf numFmtId="0" fontId="32" fillId="0" borderId="0" xfId="0" applyFont="1"/>
    <xf numFmtId="0" fontId="4" fillId="13" borderId="3" xfId="0" applyFont="1" applyFill="1" applyBorder="1"/>
    <xf numFmtId="1" fontId="1" fillId="8" borderId="3" xfId="0" applyNumberFormat="1" applyFont="1" applyFill="1" applyBorder="1"/>
    <xf numFmtId="1" fontId="1" fillId="12" borderId="3" xfId="0" applyNumberFormat="1" applyFont="1" applyFill="1" applyBorder="1"/>
    <xf numFmtId="0" fontId="33" fillId="0" borderId="0" xfId="0" applyFont="1"/>
    <xf numFmtId="0" fontId="16" fillId="2" borderId="0" xfId="0" applyFont="1" applyFill="1"/>
    <xf numFmtId="1" fontId="1" fillId="7" borderId="0" xfId="0" applyNumberFormat="1" applyFont="1" applyFill="1"/>
    <xf numFmtId="164" fontId="1" fillId="6" borderId="0" xfId="0" applyNumberFormat="1" applyFont="1" applyFill="1"/>
    <xf numFmtId="2" fontId="16" fillId="7" borderId="0" xfId="0" applyNumberFormat="1" applyFont="1" applyFill="1"/>
    <xf numFmtId="9" fontId="19" fillId="8" borderId="0" xfId="1" applyFont="1" applyFill="1"/>
    <xf numFmtId="9" fontId="1" fillId="8" borderId="1" xfId="1" applyFont="1" applyFill="1" applyBorder="1"/>
    <xf numFmtId="9" fontId="1" fillId="8" borderId="0" xfId="1" applyFont="1" applyFill="1"/>
    <xf numFmtId="9" fontId="1" fillId="12" borderId="1" xfId="1" applyFont="1" applyFill="1" applyBorder="1"/>
    <xf numFmtId="9" fontId="1" fillId="12" borderId="0" xfId="1" applyFont="1" applyFill="1"/>
    <xf numFmtId="9" fontId="1" fillId="8" borderId="3" xfId="1" applyFont="1" applyFill="1" applyBorder="1"/>
    <xf numFmtId="9" fontId="1" fillId="12" borderId="3" xfId="1" applyFont="1" applyFill="1" applyBorder="1"/>
    <xf numFmtId="9" fontId="19" fillId="7" borderId="0" xfId="1" applyFont="1" applyFill="1"/>
    <xf numFmtId="0" fontId="6" fillId="2" borderId="0" xfId="0" applyFont="1" applyFill="1"/>
    <xf numFmtId="2" fontId="4" fillId="4" borderId="0" xfId="0" applyNumberFormat="1" applyFont="1" applyFill="1"/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0" xfId="0" applyFill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0.1111111111111111"/>
          <c:w val="0.89019685039370078"/>
          <c:h val="0.6755861767279091"/>
        </c:manualLayout>
      </c:layout>
      <c:barChart>
        <c:barDir val="col"/>
        <c:grouping val="clustered"/>
        <c:varyColors val="0"/>
        <c:ser>
          <c:idx val="0"/>
          <c:order val="0"/>
          <c:tx>
            <c:v>10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PML)'!$B$6,'Flood (national AAL PML)'!$D$6,'Flood (national AAL PML)'!$F$6,'Flood (national AAL PML)'!$J$6,'Flood (national AAL PML)'!$N$6,'Flood (national AAL PML)'!$R$6,'Flood (national AAL PML)'!$T$6)</c:f>
              <c:numCache>
                <c:formatCode>0.0</c:formatCode>
                <c:ptCount val="7"/>
                <c:pt idx="0">
                  <c:v>92.689411276849498</c:v>
                </c:pt>
                <c:pt idx="1">
                  <c:v>298.13221510010902</c:v>
                </c:pt>
                <c:pt idx="2">
                  <c:v>357.43199441973098</c:v>
                </c:pt>
                <c:pt idx="3">
                  <c:v>112.593225356541</c:v>
                </c:pt>
                <c:pt idx="4">
                  <c:v>14.263540259444</c:v>
                </c:pt>
                <c:pt idx="5">
                  <c:v>5.5796796168612799</c:v>
                </c:pt>
                <c:pt idx="6" formatCode="0.0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AD-45BA-A8D9-2840E6EACD79}"/>
            </c:ext>
          </c:extLst>
        </c:ser>
        <c:ser>
          <c:idx val="1"/>
          <c:order val="1"/>
          <c:tx>
            <c:v>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PML)'!$B$7,'Flood (national AAL PML)'!$D$7,'Flood (national AAL PML)'!$F$7,'Flood (national AAL PML)'!$J$7,'Flood (national AAL PML)'!$N$7,'Flood (national AAL PML)'!$R$7,'Flood (national AAL PML)'!$T$7)</c:f>
              <c:numCache>
                <c:formatCode>0.0</c:formatCode>
                <c:ptCount val="7"/>
                <c:pt idx="0">
                  <c:v>107.724089770874</c:v>
                </c:pt>
                <c:pt idx="1">
                  <c:v>344.05970870607399</c:v>
                </c:pt>
                <c:pt idx="2">
                  <c:v>412.41639746037998</c:v>
                </c:pt>
                <c:pt idx="3">
                  <c:v>137.58200802482301</c:v>
                </c:pt>
                <c:pt idx="4">
                  <c:v>16.740495362852698</c:v>
                </c:pt>
                <c:pt idx="5">
                  <c:v>6.38000802737265</c:v>
                </c:pt>
                <c:pt idx="6" formatCode="0.00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AD-45BA-A8D9-2840E6EACD79}"/>
            </c:ext>
          </c:extLst>
        </c:ser>
        <c:ser>
          <c:idx val="2"/>
          <c:order val="2"/>
          <c:tx>
            <c:v>100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PML)'!$B$8,'Flood (national AAL PML)'!$D$8,'Flood (national AAL PML)'!$F$8,'Flood (national AAL PML)'!$J$8,'Flood (national AAL PML)'!$N$8,'Flood (national AAL PML)'!$R$8,'Flood (national AAL PML)'!$T$8)</c:f>
              <c:numCache>
                <c:formatCode>0.0</c:formatCode>
                <c:ptCount val="7"/>
                <c:pt idx="0">
                  <c:v>148.578348790343</c:v>
                </c:pt>
                <c:pt idx="1">
                  <c:v>471.64262625479699</c:v>
                </c:pt>
                <c:pt idx="2">
                  <c:v>565.35040780021097</c:v>
                </c:pt>
                <c:pt idx="3">
                  <c:v>172.23987479344899</c:v>
                </c:pt>
                <c:pt idx="4">
                  <c:v>21.1765211595519</c:v>
                </c:pt>
                <c:pt idx="5">
                  <c:v>7.93635101199476</c:v>
                </c:pt>
                <c:pt idx="6" formatCode="0.0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8AD-45BA-A8D9-2840E6EACD79}"/>
            </c:ext>
          </c:extLst>
        </c:ser>
        <c:ser>
          <c:idx val="3"/>
          <c:order val="3"/>
          <c:tx>
            <c:v>200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Housing</c:v>
              </c:pt>
              <c:pt idx="1">
                <c:v>Service</c:v>
              </c:pt>
              <c:pt idx="2">
                <c:v>Industrial</c:v>
              </c:pt>
              <c:pt idx="3">
                <c:v>Road</c:v>
              </c:pt>
              <c:pt idx="4">
                <c:v>Schools</c:v>
              </c:pt>
              <c:pt idx="5">
                <c:v>Health</c:v>
              </c:pt>
              <c:pt idx="6">
                <c:v>Agriculture</c:v>
              </c:pt>
            </c:strLit>
          </c:cat>
          <c:val>
            <c:numRef>
              <c:f>('Flood (national AAL PML)'!$B$9,'Flood (national AAL PML)'!$D$9,'Flood (national AAL PML)'!$F$9,'Flood (national AAL PML)'!$J$9,'Flood (national AAL PML)'!$N$9,'Flood (national AAL PML)'!$R$9,'Flood (national AAL PML)'!$T$9)</c:f>
              <c:numCache>
                <c:formatCode>0.0</c:formatCode>
                <c:ptCount val="7"/>
                <c:pt idx="0">
                  <c:v>154.26320486480299</c:v>
                </c:pt>
                <c:pt idx="1">
                  <c:v>490.57679011763298</c:v>
                </c:pt>
                <c:pt idx="2">
                  <c:v>588.07132005685003</c:v>
                </c:pt>
                <c:pt idx="3">
                  <c:v>178.02599997997001</c:v>
                </c:pt>
                <c:pt idx="4">
                  <c:v>22.024287970326</c:v>
                </c:pt>
                <c:pt idx="5">
                  <c:v>8.2474320175743205</c:v>
                </c:pt>
                <c:pt idx="6" formatCode="0.0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8AD-45BA-A8D9-2840E6EAC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46831"/>
        <c:axId val="106143087"/>
      </c:barChart>
      <c:catAx>
        <c:axId val="1061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3087"/>
        <c:crossesAt val="0"/>
        <c:auto val="1"/>
        <c:lblAlgn val="ctr"/>
        <c:lblOffset val="100"/>
        <c:noMultiLvlLbl val="0"/>
      </c:catAx>
      <c:valAx>
        <c:axId val="1061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46831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 Housing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Sheet1!$B$3:$I$3</c:f>
              <c:numCache>
                <c:formatCode>_(* #,##0.00_);_(* \(#,##0.00\);_(* "-"??_);_(@_)</c:formatCode>
                <c:ptCount val="8"/>
                <c:pt idx="0">
                  <c:v>92.689411276849498</c:v>
                </c:pt>
                <c:pt idx="1">
                  <c:v>107.724089770874</c:v>
                </c:pt>
                <c:pt idx="2">
                  <c:v>148.578348790343</c:v>
                </c:pt>
                <c:pt idx="3">
                  <c:v>154.26320486480299</c:v>
                </c:pt>
                <c:pt idx="4">
                  <c:v>64.88258789379465</c:v>
                </c:pt>
                <c:pt idx="5">
                  <c:v>75.40686283961179</c:v>
                </c:pt>
                <c:pt idx="6">
                  <c:v>104.0048441532401</c:v>
                </c:pt>
                <c:pt idx="7">
                  <c:v>107.98424340536208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1C8-B54D-DE645FDBE23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Sheet1!$B$4:$I$4</c:f>
              <c:numCache>
                <c:formatCode>0.0</c:formatCode>
                <c:ptCount val="8"/>
                <c:pt idx="0">
                  <c:v>298.13221510010902</c:v>
                </c:pt>
                <c:pt idx="1">
                  <c:v>344.05970870607399</c:v>
                </c:pt>
                <c:pt idx="2">
                  <c:v>471.64262625479699</c:v>
                </c:pt>
                <c:pt idx="3">
                  <c:v>490.57679011763298</c:v>
                </c:pt>
                <c:pt idx="4" formatCode="_(* #,##0.00_);_(* \(#,##0.00\);_(* &quot;-&quot;??_);_(@_)">
                  <c:v>178.8793290600654</c:v>
                </c:pt>
                <c:pt idx="5" formatCode="_(* #,##0.00_);_(* \(#,##0.00\);_(* &quot;-&quot;??_);_(@_)">
                  <c:v>206.4358252236444</c:v>
                </c:pt>
                <c:pt idx="6" formatCode="_(* #,##0.00_);_(* \(#,##0.00\);_(* &quot;-&quot;??_);_(@_)">
                  <c:v>330.14983837835786</c:v>
                </c:pt>
                <c:pt idx="7" formatCode="_(* #,##0.00_);_(* \(#,##0.00\);_(* &quot;-&quot;??_);_(@_)">
                  <c:v>343.40375308234309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6-41C8-B54D-DE645FDBE231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Sheet1!$B$5:$I$5</c:f>
              <c:numCache>
                <c:formatCode>0.0</c:formatCode>
                <c:ptCount val="8"/>
                <c:pt idx="0">
                  <c:v>357.43199441973098</c:v>
                </c:pt>
                <c:pt idx="1">
                  <c:v>412.41639746037998</c:v>
                </c:pt>
                <c:pt idx="2">
                  <c:v>565.35040780021097</c:v>
                </c:pt>
                <c:pt idx="3">
                  <c:v>588.07132005685003</c:v>
                </c:pt>
                <c:pt idx="4" formatCode="_(* #,##0.00_);_(* \(#,##0.00\);_(* &quot;-&quot;??_);_(@_)">
                  <c:v>250.20239609381167</c:v>
                </c:pt>
                <c:pt idx="5" formatCode="_(* #,##0.00_);_(* \(#,##0.00\);_(* &quot;-&quot;??_);_(@_)">
                  <c:v>288.69147822226597</c:v>
                </c:pt>
                <c:pt idx="6" formatCode="_(* #,##0.00_);_(* \(#,##0.00\);_(* &quot;-&quot;??_);_(@_)">
                  <c:v>395.74528546014767</c:v>
                </c:pt>
                <c:pt idx="7" formatCode="_(* #,##0.00_);_(* \(#,##0.00\);_(* &quot;-&quot;??_);_(@_)">
                  <c:v>411.649924039795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6-41C8-B54D-DE645FDBE231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Road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Sheet1!$B$6:$I$6</c:f>
              <c:numCache>
                <c:formatCode>0.0</c:formatCode>
                <c:ptCount val="8"/>
                <c:pt idx="0">
                  <c:v>162.67653292743401</c:v>
                </c:pt>
                <c:pt idx="1">
                  <c:v>220.98389066196901</c:v>
                </c:pt>
                <c:pt idx="2">
                  <c:v>258.93895755801299</c:v>
                </c:pt>
                <c:pt idx="3">
                  <c:v>267.76727252096498</c:v>
                </c:pt>
                <c:pt idx="4" formatCode="_(* #,##0.00_);_(* \(#,##0.00\);_(* &quot;-&quot;??_);_(@_)">
                  <c:v>130.1412263419472</c:v>
                </c:pt>
                <c:pt idx="5" formatCode="_(* #,##0.00_);_(* \(#,##0.00\);_(* &quot;-&quot;??_);_(@_)">
                  <c:v>176.78711252957521</c:v>
                </c:pt>
                <c:pt idx="6" formatCode="_(* #,##0.00_);_(* \(#,##0.00\);_(* &quot;-&quot;??_);_(@_)">
                  <c:v>233.04506180221171</c:v>
                </c:pt>
                <c:pt idx="7" formatCode="_(* #,##0.00_);_(* \(#,##0.00\);_(* &quot;-&quot;??_);_(@_)">
                  <c:v>240.99054526886849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26-41C8-B54D-DE645FDBE231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School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Sheet1!$B$7:$I$7</c:f>
              <c:numCache>
                <c:formatCode>0.0</c:formatCode>
                <c:ptCount val="8"/>
                <c:pt idx="0">
                  <c:v>14.263540259444</c:v>
                </c:pt>
                <c:pt idx="1">
                  <c:v>16.740495362852698</c:v>
                </c:pt>
                <c:pt idx="2">
                  <c:v>21.1765211595519</c:v>
                </c:pt>
                <c:pt idx="3">
                  <c:v>22.024287970326</c:v>
                </c:pt>
                <c:pt idx="4" formatCode="_(* #,##0.00_);_(* \(#,##0.00\);_(* &quot;-&quot;??_);_(@_)">
                  <c:v>9.9844781816107986</c:v>
                </c:pt>
                <c:pt idx="5" formatCode="_(* #,##0.00_);_(* \(#,##0.00\);_(* &quot;-&quot;??_);_(@_)">
                  <c:v>11.718346753996888</c:v>
                </c:pt>
                <c:pt idx="6" formatCode="_(* #,##0.00_);_(* \(#,##0.00\);_(* &quot;-&quot;??_);_(@_)">
                  <c:v>14.823564811686328</c:v>
                </c:pt>
                <c:pt idx="7" formatCode="_(* #,##0.00_);_(* \(#,##0.00\);_(* &quot;-&quot;??_);_(@_)">
                  <c:v>15.417001579228199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26-41C8-B54D-DE645FDBE231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Hospitals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Sheet1!$B$1:$I$2</c:f>
              <c:multiLvlStrCache>
                <c:ptCount val="8"/>
                <c:lvl>
                  <c:pt idx="0">
                    <c:v>10 yr</c:v>
                  </c:pt>
                  <c:pt idx="1">
                    <c:v>25 yr</c:v>
                  </c:pt>
                  <c:pt idx="2">
                    <c:v>100 yr</c:v>
                  </c:pt>
                  <c:pt idx="3">
                    <c:v>200 yr</c:v>
                  </c:pt>
                  <c:pt idx="4">
                    <c:v>10 yr</c:v>
                  </c:pt>
                  <c:pt idx="5">
                    <c:v>25 yr</c:v>
                  </c:pt>
                  <c:pt idx="6">
                    <c:v>100 yr</c:v>
                  </c:pt>
                  <c:pt idx="7">
                    <c:v>200 yr</c:v>
                  </c:pt>
                </c:lvl>
                <c:lvl>
                  <c:pt idx="0">
                    <c:v>baseline</c:v>
                  </c:pt>
                  <c:pt idx="4">
                    <c:v>risk-informed planning</c:v>
                  </c:pt>
                </c:lvl>
              </c:multiLvlStrCache>
            </c:multiLvlStrRef>
          </c:cat>
          <c:val>
            <c:numRef>
              <c:f>Sheet1!$B$8:$I$8</c:f>
              <c:numCache>
                <c:formatCode>0.0</c:formatCode>
                <c:ptCount val="8"/>
                <c:pt idx="0">
                  <c:v>5.5796796168612799</c:v>
                </c:pt>
                <c:pt idx="1">
                  <c:v>6.38000802737265</c:v>
                </c:pt>
                <c:pt idx="2">
                  <c:v>7.93635101199476</c:v>
                </c:pt>
                <c:pt idx="3">
                  <c:v>8.2474320175743205</c:v>
                </c:pt>
                <c:pt idx="4" formatCode="_(* #,##0.00_);_(* \(#,##0.00\);_(* &quot;-&quot;??_);_(@_)">
                  <c:v>3.9057757318028958</c:v>
                </c:pt>
                <c:pt idx="5" formatCode="_(* #,##0.00_);_(* \(#,##0.00\);_(* &quot;-&quot;??_);_(@_)">
                  <c:v>4.466005619160855</c:v>
                </c:pt>
                <c:pt idx="6" formatCode="_(* #,##0.00_);_(* \(#,##0.00\);_(* &quot;-&quot;??_);_(@_)">
                  <c:v>5.5554457083963316</c:v>
                </c:pt>
                <c:pt idx="7" formatCode="_(* #,##0.00_);_(* \(#,##0.00\);_(* &quot;-&quot;??_);_(@_)">
                  <c:v>5.773202412302024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26-41C8-B54D-DE645FDB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70159"/>
        <c:axId val="96672239"/>
      </c:barChart>
      <c:catAx>
        <c:axId val="966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72239"/>
        <c:crosses val="autoZero"/>
        <c:auto val="1"/>
        <c:lblAlgn val="ctr"/>
        <c:lblOffset val="100"/>
        <c:noMultiLvlLbl val="0"/>
      </c:catAx>
      <c:valAx>
        <c:axId val="966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280648</xdr:colOff>
      <xdr:row>38</xdr:row>
      <xdr:rowOff>162228</xdr:rowOff>
    </xdr:from>
    <xdr:to>
      <xdr:col>25</xdr:col>
      <xdr:colOff>565809</xdr:colOff>
      <xdr:row>53</xdr:row>
      <xdr:rowOff>18928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0A003-3E46-65AC-6821-5ECC04B9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9</xdr:row>
      <xdr:rowOff>76206</xdr:rowOff>
    </xdr:from>
    <xdr:to>
      <xdr:col>14</xdr:col>
      <xdr:colOff>612775</xdr:colOff>
      <xdr:row>24</xdr:row>
      <xdr:rowOff>50806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02B70-52EE-F628-635E-1D27A293C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b563660/AppData/Local/Microsoft/Windows/INetCache/Content.Outlook/ZF1KWWIX/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 refreshError="1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nko Mochizuki" id="{70C8C8DE-2264-4837-A8F0-9492789B03DE}" userId="S::jmochizuki@worldbank.org::9724fba5-68cf-4d6d-9883-e1cecfea6c7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" dT="2023-05-03T17:55:04.35" personId="{70C8C8DE-2264-4837-A8F0-9492789B03DE}" id="{795D82E4-25DA-44E4-960B-1AE4178D6EF0}">
    <text>return period is capped at 200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10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11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12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13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27"/>
  <sheetViews>
    <sheetView zoomScale="116" workbookViewId="0">
      <selection activeCell="C25" sqref="C25"/>
    </sheetView>
  </sheetViews>
  <sheetFormatPr baseColWidth="10" defaultColWidth="10.83203125" defaultRowHeight="15"/>
  <cols>
    <col min="1" max="1" width="21.1640625" customWidth="1"/>
    <col min="3" max="4" width="15.1640625" customWidth="1"/>
  </cols>
  <sheetData>
    <row r="1" spans="1:15">
      <c r="A1" s="39">
        <v>2020</v>
      </c>
    </row>
    <row r="2" spans="1:15">
      <c r="A2" s="40" t="s">
        <v>0</v>
      </c>
      <c r="B2" s="41" t="s">
        <v>1</v>
      </c>
      <c r="C2" s="41" t="s">
        <v>2</v>
      </c>
      <c r="D2" s="41" t="s">
        <v>3</v>
      </c>
      <c r="E2" s="42"/>
    </row>
    <row r="3" spans="1:15">
      <c r="A3" s="43" t="s">
        <v>4</v>
      </c>
      <c r="B3" s="32">
        <f>'Flood (national AAL PML)'!B10</f>
        <v>56.327998339077297</v>
      </c>
      <c r="C3" s="15">
        <f>(B3/D3)*100</f>
        <v>0.94947124831238316</v>
      </c>
      <c r="D3" s="32">
        <f>('Flood (national AAL PML)'!B10*100)/'Flood (national AAL PML)'!C10</f>
        <v>5932.56493434596</v>
      </c>
      <c r="E3" s="44">
        <f>D3/$D$12</f>
        <v>0.11179621080381069</v>
      </c>
    </row>
    <row r="4" spans="1:15">
      <c r="A4" s="43" t="s">
        <v>5</v>
      </c>
      <c r="B4" s="32">
        <f>'Flood (national AAL PML)'!D10</f>
        <v>180.32301130247399</v>
      </c>
      <c r="C4" s="15">
        <f>(B4/D4)*100</f>
        <v>0.92626481422880202</v>
      </c>
      <c r="D4" s="63">
        <f>('Flood (national AAL PML)'!D10*100)/'Flood (national AAL PML)'!E10</f>
        <v>19467.760032816204</v>
      </c>
      <c r="E4" s="44">
        <f t="shared" ref="E4:E8" si="0">D4/$D$12</f>
        <v>0.36686017407185151</v>
      </c>
    </row>
    <row r="5" spans="1:15">
      <c r="A5" s="43" t="s">
        <v>6</v>
      </c>
      <c r="B5" s="32">
        <f>'Flood (national AAL PML)'!F10</f>
        <v>216.188258158633</v>
      </c>
      <c r="C5" s="15">
        <f t="shared" ref="C5:C7" si="1">(B5/D5)*100</f>
        <v>0.92611724198221701</v>
      </c>
      <c r="D5" s="32">
        <f>('Flood (national AAL PML)'!F10*100)/'Flood (national AAL PML)'!G10</f>
        <v>23343.508614083679</v>
      </c>
      <c r="E5" s="44">
        <f t="shared" si="0"/>
        <v>0.43989671226554894</v>
      </c>
    </row>
    <row r="6" spans="1:15">
      <c r="A6" s="43" t="s">
        <v>7</v>
      </c>
      <c r="B6" s="32">
        <f>'Flood (national AAL PML)'!J10</f>
        <v>70.478122905387806</v>
      </c>
      <c r="C6" s="15">
        <f t="shared" si="1"/>
        <v>1.94836103888409</v>
      </c>
      <c r="D6" s="36">
        <f>('Flood (national AAL PML)'!J10*100)/'Flood (national AAL PML)'!K10</f>
        <v>3617.3030305386142</v>
      </c>
      <c r="E6" s="44">
        <f t="shared" si="0"/>
        <v>6.8166261409482856E-2</v>
      </c>
    </row>
    <row r="7" spans="1:15" ht="16">
      <c r="A7" s="43" t="s">
        <v>8</v>
      </c>
      <c r="B7" s="32">
        <f>'Flood (national AAL PML)'!N10</f>
        <v>8.0799589540424606</v>
      </c>
      <c r="C7" s="15">
        <f t="shared" si="1"/>
        <v>1.3337887641001769</v>
      </c>
      <c r="D7" s="35">
        <f>('Flood (national AAL PML)'!N10*100)/'Flood (national AAL PML)'!O10</f>
        <v>605.79</v>
      </c>
      <c r="E7" s="44">
        <f t="shared" si="0"/>
        <v>1.1415808725624489E-2</v>
      </c>
      <c r="O7" s="33"/>
    </row>
    <row r="8" spans="1:15">
      <c r="A8" s="43" t="s">
        <v>9</v>
      </c>
      <c r="B8" s="32">
        <f>'Flood (national AAL PML)'!R10</f>
        <v>3.10134829387008</v>
      </c>
      <c r="C8" s="15">
        <f>(B8/D8)*100</f>
        <v>3.1339729523035604</v>
      </c>
      <c r="D8" s="36">
        <f>('Flood (national AAL PML)'!R10*100)/'Flood (national AAL PML)'!S10</f>
        <v>98.958999999999989</v>
      </c>
      <c r="E8" s="44">
        <f t="shared" si="0"/>
        <v>1.8648327236815954E-3</v>
      </c>
    </row>
    <row r="9" spans="1:15">
      <c r="A9" s="43"/>
      <c r="B9" s="32"/>
      <c r="C9" s="15"/>
      <c r="D9" s="36"/>
      <c r="E9" s="44"/>
    </row>
    <row r="10" spans="1:15">
      <c r="A10" s="47"/>
      <c r="B10" s="45"/>
      <c r="C10" s="59">
        <f>SUMPRODUCT(C3:C8,D3:D8)/SUM(D3:D8)</f>
        <v>1.0072359893580809</v>
      </c>
      <c r="D10" s="45"/>
      <c r="E10" s="46"/>
      <c r="F10" s="17"/>
    </row>
    <row r="11" spans="1:15">
      <c r="B11" s="17">
        <f>SUM(B3:B8,'Flood (national AAL PML)'!T10)</f>
        <v>594.39869795348454</v>
      </c>
    </row>
    <row r="12" spans="1:15">
      <c r="A12" s="31" t="s">
        <v>10</v>
      </c>
      <c r="C12" s="32"/>
      <c r="D12" s="32">
        <f>SUM(D3:D8)</f>
        <v>53065.885611784455</v>
      </c>
    </row>
    <row r="17" spans="1:5">
      <c r="A17" s="39">
        <v>2050</v>
      </c>
    </row>
    <row r="18" spans="1:5">
      <c r="A18" s="40" t="s">
        <v>0</v>
      </c>
      <c r="B18" s="41" t="s">
        <v>1</v>
      </c>
      <c r="C18" s="41" t="s">
        <v>2</v>
      </c>
      <c r="D18" s="41" t="s">
        <v>3</v>
      </c>
      <c r="E18" s="42"/>
    </row>
    <row r="19" spans="1:5">
      <c r="A19" s="43" t="s">
        <v>4</v>
      </c>
      <c r="B19" s="36">
        <f>'Flood (national AAL PML)'!B21</f>
        <v>151.218749904216</v>
      </c>
      <c r="C19" s="17">
        <f>(B19/D19)*100</f>
        <v>2.5489494215770798</v>
      </c>
      <c r="D19" s="36">
        <f>('Flood (national AAL PML)'!B21*100)/'Flood (national AAL PML)'!C21</f>
        <v>5932.5912324558522</v>
      </c>
      <c r="E19" s="44">
        <f>D19/$D$27</f>
        <v>0.11179535615399691</v>
      </c>
    </row>
    <row r="20" spans="1:5">
      <c r="A20" s="43" t="s">
        <v>5</v>
      </c>
      <c r="B20" s="36">
        <f>'Flood (national AAL PML)'!D21</f>
        <v>479.48056345039799</v>
      </c>
      <c r="C20" s="17">
        <f t="shared" ref="C20:C24" si="2">(B20/D20)*100</f>
        <v>2.4629357904606803</v>
      </c>
      <c r="D20" s="36">
        <f>('Flood (national AAL PML)'!D21*100)/'Flood (national AAL PML)'!E21</f>
        <v>19467.846677428544</v>
      </c>
      <c r="E20" s="44">
        <f t="shared" ref="E20:E23" si="3">D20/$D$27</f>
        <v>0.36685737607335234</v>
      </c>
    </row>
    <row r="21" spans="1:5">
      <c r="A21" s="43" t="s">
        <v>6</v>
      </c>
      <c r="B21" s="36">
        <f>'Flood (national AAL PML)'!F21</f>
        <v>574.9641833938</v>
      </c>
      <c r="C21" s="17">
        <f t="shared" si="2"/>
        <v>2.4630471456307901</v>
      </c>
      <c r="D21" s="36">
        <f>('Flood (national AAL PML)'!F21*100)/'Flood (national AAL PML)'!G21</f>
        <v>23343.612582233003</v>
      </c>
      <c r="E21" s="44">
        <f t="shared" si="3"/>
        <v>0.43989335861782425</v>
      </c>
    </row>
    <row r="22" spans="1:5">
      <c r="A22" s="43" t="s">
        <v>7</v>
      </c>
      <c r="B22" s="36">
        <f>'Flood (national AAL PML)'!J21</f>
        <v>148.34601294145699</v>
      </c>
      <c r="C22" s="17">
        <f>(B22/D22)*100</f>
        <v>4.1010114908556199</v>
      </c>
      <c r="D22" s="36">
        <f>('Flood (national AAL PML)'!J21*100)/'Flood (national AAL PML)'!K21</f>
        <v>3617.3030305386105</v>
      </c>
      <c r="E22" s="44">
        <f t="shared" si="3"/>
        <v>6.8165438131592301E-2</v>
      </c>
    </row>
    <row r="23" spans="1:5">
      <c r="A23" s="43" t="s">
        <v>8</v>
      </c>
      <c r="B23" s="36">
        <f>'Flood (national AAL PML)'!N21</f>
        <v>18.424418307195701</v>
      </c>
      <c r="C23" s="17">
        <f>(B23/D23)*100</f>
        <v>3.0392597840359499</v>
      </c>
      <c r="D23" s="36">
        <f>('Flood (national AAL PML)'!N21*100)/'Flood (national AAL PML)'!O21</f>
        <v>606.21400000000028</v>
      </c>
      <c r="E23" s="44">
        <f t="shared" si="3"/>
        <v>1.142366082206616E-2</v>
      </c>
    </row>
    <row r="24" spans="1:5">
      <c r="A24" s="43" t="s">
        <v>9</v>
      </c>
      <c r="B24" s="36">
        <f>'Flood (national AAL PML)'!R21</f>
        <v>8.0079496248658693</v>
      </c>
      <c r="C24" s="17">
        <f t="shared" si="2"/>
        <v>8.0921893156417006</v>
      </c>
      <c r="D24" s="36">
        <f>('Flood (national AAL PML)'!R21*100)/'Flood (national AAL PML)'!S21</f>
        <v>98.958999999999975</v>
      </c>
      <c r="E24" s="44">
        <f>D24/$D$27</f>
        <v>1.8648102011679774E-3</v>
      </c>
    </row>
    <row r="25" spans="1:5">
      <c r="A25" s="43"/>
      <c r="C25" s="88">
        <f>SUMPRODUCT(C19:C24,D19:D24)/SUM(D19:D24)</f>
        <v>2.6013420664202926</v>
      </c>
      <c r="E25" s="89"/>
    </row>
    <row r="26" spans="1:5">
      <c r="A26" s="43"/>
      <c r="E26" s="89"/>
    </row>
    <row r="27" spans="1:5">
      <c r="A27" s="90" t="s">
        <v>10</v>
      </c>
      <c r="B27" s="45"/>
      <c r="C27" s="91"/>
      <c r="D27" s="91">
        <f>SUM(D19:D24)</f>
        <v>53066.526522656015</v>
      </c>
      <c r="E27" s="4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Z98"/>
  <sheetViews>
    <sheetView tabSelected="1" topLeftCell="A64" zoomScale="87" zoomScaleNormal="400" workbookViewId="0">
      <selection activeCell="E29" sqref="E29"/>
    </sheetView>
  </sheetViews>
  <sheetFormatPr baseColWidth="10" defaultColWidth="8.83203125" defaultRowHeight="15"/>
  <cols>
    <col min="1" max="1" width="14.5" style="17" customWidth="1"/>
    <col min="2" max="2" width="9.83203125" style="17" customWidth="1"/>
    <col min="3" max="3" width="10.5" style="17" customWidth="1"/>
    <col min="4" max="4" width="13.5" style="17" customWidth="1"/>
    <col min="5" max="5" width="11.5" style="17" customWidth="1"/>
    <col min="6" max="6" width="12.5" style="17" customWidth="1"/>
    <col min="7" max="7" width="8.83203125" style="17" customWidth="1"/>
    <col min="8" max="9" width="9" style="17" customWidth="1"/>
    <col min="10" max="10" width="11.1640625" style="17" customWidth="1"/>
    <col min="11" max="11" width="9" style="17" customWidth="1"/>
    <col min="12" max="15" width="8.83203125" style="17" customWidth="1"/>
    <col min="16" max="16" width="10.5" style="17" customWidth="1"/>
    <col min="17" max="19" width="8.83203125" style="17" customWidth="1"/>
    <col min="20" max="20" width="9.83203125" style="17" bestFit="1" customWidth="1"/>
    <col min="21" max="21" width="16.5" style="17" customWidth="1"/>
    <col min="22" max="47" width="8.83203125" style="17"/>
    <col min="50" max="56" width="8.83203125" style="17"/>
    <col min="57" max="57" width="9.1640625" style="17" bestFit="1" customWidth="1"/>
    <col min="58" max="75" width="8.83203125" style="17"/>
    <col min="77" max="16384" width="8.83203125" style="17"/>
  </cols>
  <sheetData>
    <row r="2" spans="1:78">
      <c r="A2" s="38" t="s">
        <v>11</v>
      </c>
      <c r="B2" s="15"/>
      <c r="AF2" s="29"/>
      <c r="AG2" s="29"/>
      <c r="AH2" s="16" t="s">
        <v>12</v>
      </c>
      <c r="AI2" s="29"/>
      <c r="AJ2" s="29"/>
      <c r="AK2" s="29"/>
      <c r="AO2" s="29"/>
      <c r="AP2" s="29" t="s">
        <v>13</v>
      </c>
      <c r="AQ2" s="29"/>
      <c r="AR2" s="29"/>
      <c r="AS2" s="29"/>
      <c r="AT2" s="29"/>
      <c r="AX2" s="29" t="s">
        <v>14</v>
      </c>
      <c r="AY2" s="29"/>
      <c r="AZ2" s="29"/>
      <c r="BA2" s="29"/>
      <c r="BB2" s="29"/>
      <c r="BF2" s="29" t="s">
        <v>15</v>
      </c>
      <c r="BG2" s="29"/>
      <c r="BH2" s="29"/>
      <c r="BI2" s="29"/>
      <c r="BJ2" s="29"/>
      <c r="BN2" s="29" t="s">
        <v>16</v>
      </c>
      <c r="BO2" s="29"/>
      <c r="BP2" s="29"/>
      <c r="BQ2" s="29"/>
      <c r="BR2" s="29"/>
      <c r="BV2" s="29" t="s">
        <v>17</v>
      </c>
      <c r="BW2" s="29"/>
      <c r="BX2" s="29"/>
      <c r="BY2" s="29"/>
      <c r="BZ2" s="29"/>
    </row>
    <row r="3" spans="1:78" s="15" customFormat="1"/>
    <row r="4" spans="1:78" s="15" customFormat="1">
      <c r="A4" s="20" t="s">
        <v>18</v>
      </c>
      <c r="B4" s="205" t="s">
        <v>12</v>
      </c>
      <c r="C4" s="205"/>
      <c r="D4" s="205" t="s">
        <v>19</v>
      </c>
      <c r="E4" s="205"/>
      <c r="F4" s="205" t="s">
        <v>20</v>
      </c>
      <c r="G4" s="205"/>
      <c r="H4" s="205" t="s">
        <v>15</v>
      </c>
      <c r="I4" s="205"/>
      <c r="J4" s="205"/>
      <c r="K4" s="205"/>
      <c r="L4" s="205" t="s">
        <v>16</v>
      </c>
      <c r="M4" s="205"/>
      <c r="N4" s="205"/>
      <c r="O4" s="205"/>
      <c r="P4" s="205" t="s">
        <v>17</v>
      </c>
      <c r="Q4" s="205"/>
      <c r="R4" s="205"/>
      <c r="S4" s="205"/>
      <c r="T4" s="80" t="s">
        <v>21</v>
      </c>
      <c r="AG4" s="15">
        <v>1</v>
      </c>
      <c r="AH4" s="15">
        <f>1/AH5</f>
        <v>0.1</v>
      </c>
      <c r="AI4" s="15">
        <f>1/AI5</f>
        <v>0.04</v>
      </c>
      <c r="AJ4" s="15">
        <f>1/AJ5</f>
        <v>0.01</v>
      </c>
      <c r="AK4" s="15">
        <f>1/AK5</f>
        <v>5.0000000000000001E-3</v>
      </c>
      <c r="AP4" s="15">
        <v>1</v>
      </c>
      <c r="AQ4" s="15">
        <f>1/AQ5</f>
        <v>0.1</v>
      </c>
      <c r="AR4" s="15">
        <f>1/AR5</f>
        <v>0.04</v>
      </c>
      <c r="AS4" s="15">
        <f>1/AS5</f>
        <v>0.01</v>
      </c>
      <c r="AT4" s="15">
        <f>1/AT5</f>
        <v>5.0000000000000001E-3</v>
      </c>
      <c r="AX4" s="15">
        <v>1</v>
      </c>
      <c r="AY4" s="15">
        <f>1/AY5</f>
        <v>0.1</v>
      </c>
      <c r="AZ4" s="15">
        <f>1/AZ5</f>
        <v>0.04</v>
      </c>
      <c r="BA4" s="15">
        <f>1/BA5</f>
        <v>0.01</v>
      </c>
      <c r="BB4" s="15">
        <f>1/BB5</f>
        <v>5.0000000000000001E-3</v>
      </c>
      <c r="BF4" s="15">
        <v>1</v>
      </c>
      <c r="BG4" s="15">
        <f>1/BG5</f>
        <v>0.1</v>
      </c>
      <c r="BH4" s="15">
        <f>1/BH5</f>
        <v>0.04</v>
      </c>
      <c r="BI4" s="15">
        <f>1/BI5</f>
        <v>0.01</v>
      </c>
      <c r="BJ4" s="15">
        <f>1/BJ5</f>
        <v>5.0000000000000001E-3</v>
      </c>
      <c r="BN4" s="15">
        <v>1</v>
      </c>
      <c r="BO4" s="15">
        <f>1/BO5</f>
        <v>0.1</v>
      </c>
      <c r="BP4" s="15">
        <f>1/BP5</f>
        <v>0.04</v>
      </c>
      <c r="BQ4" s="15">
        <f>1/BQ5</f>
        <v>0.01</v>
      </c>
      <c r="BR4" s="15">
        <f>1/BR5</f>
        <v>5.0000000000000001E-3</v>
      </c>
      <c r="BV4" s="15">
        <v>1</v>
      </c>
      <c r="BW4" s="15">
        <f>1/BW5</f>
        <v>0.1</v>
      </c>
      <c r="BX4" s="15">
        <f>1/BX5</f>
        <v>0.04</v>
      </c>
      <c r="BY4" s="15">
        <f>1/BY5</f>
        <v>0.01</v>
      </c>
      <c r="BZ4" s="15">
        <f>1/BZ5</f>
        <v>5.0000000000000001E-3</v>
      </c>
    </row>
    <row r="5" spans="1:78" s="24" customFormat="1" ht="26">
      <c r="A5" s="21"/>
      <c r="B5" s="22" t="s">
        <v>22</v>
      </c>
      <c r="C5" s="23" t="s">
        <v>23</v>
      </c>
      <c r="D5" s="22" t="s">
        <v>22</v>
      </c>
      <c r="E5" s="23" t="s">
        <v>23</v>
      </c>
      <c r="F5" s="22" t="s">
        <v>22</v>
      </c>
      <c r="G5" s="23" t="s">
        <v>23</v>
      </c>
      <c r="H5" s="22" t="s">
        <v>24</v>
      </c>
      <c r="I5" s="22" t="s">
        <v>25</v>
      </c>
      <c r="J5" s="22" t="s">
        <v>22</v>
      </c>
      <c r="K5" s="23" t="s">
        <v>23</v>
      </c>
      <c r="L5" s="22" t="s">
        <v>26</v>
      </c>
      <c r="M5" s="22" t="s">
        <v>25</v>
      </c>
      <c r="N5" s="22" t="s">
        <v>22</v>
      </c>
      <c r="O5" s="23" t="s">
        <v>23</v>
      </c>
      <c r="P5" s="22" t="s">
        <v>26</v>
      </c>
      <c r="Q5" s="22" t="s">
        <v>25</v>
      </c>
      <c r="R5" s="22" t="s">
        <v>22</v>
      </c>
      <c r="S5" s="23" t="s">
        <v>23</v>
      </c>
      <c r="T5" s="23" t="s">
        <v>22</v>
      </c>
      <c r="AA5" s="48"/>
      <c r="AB5" s="49" t="s">
        <v>27</v>
      </c>
      <c r="AC5" s="50"/>
      <c r="AF5" s="24" t="s">
        <v>18</v>
      </c>
      <c r="AG5" s="24">
        <v>1</v>
      </c>
      <c r="AH5" s="57">
        <v>10</v>
      </c>
      <c r="AI5" s="57">
        <v>25</v>
      </c>
      <c r="AJ5" s="57">
        <v>100</v>
      </c>
      <c r="AK5" s="57">
        <v>200</v>
      </c>
      <c r="AO5" s="24" t="s">
        <v>18</v>
      </c>
      <c r="AP5" s="24">
        <v>1</v>
      </c>
      <c r="AQ5" s="57">
        <v>10</v>
      </c>
      <c r="AR5" s="57">
        <v>25</v>
      </c>
      <c r="AS5" s="57">
        <v>100</v>
      </c>
      <c r="AT5" s="57">
        <v>200</v>
      </c>
      <c r="AX5" s="24">
        <v>1</v>
      </c>
      <c r="AY5" s="57">
        <v>10</v>
      </c>
      <c r="AZ5" s="57">
        <v>25</v>
      </c>
      <c r="BA5" s="57">
        <v>100</v>
      </c>
      <c r="BB5" s="57">
        <v>200</v>
      </c>
      <c r="BC5" s="57"/>
      <c r="BD5" s="57"/>
      <c r="BF5" s="24">
        <v>1</v>
      </c>
      <c r="BG5" s="57">
        <v>10</v>
      </c>
      <c r="BH5" s="57">
        <v>25</v>
      </c>
      <c r="BI5" s="57">
        <v>100</v>
      </c>
      <c r="BJ5" s="57">
        <v>200</v>
      </c>
      <c r="BN5" s="24">
        <v>1</v>
      </c>
      <c r="BO5" s="57">
        <v>10</v>
      </c>
      <c r="BP5" s="57">
        <v>25</v>
      </c>
      <c r="BQ5" s="57">
        <v>100</v>
      </c>
      <c r="BR5" s="57">
        <v>200</v>
      </c>
      <c r="BV5" s="24">
        <v>1</v>
      </c>
      <c r="BW5" s="57">
        <v>10</v>
      </c>
      <c r="BX5" s="57">
        <v>25</v>
      </c>
      <c r="BY5" s="57">
        <v>100</v>
      </c>
      <c r="BZ5" s="57">
        <v>200</v>
      </c>
    </row>
    <row r="6" spans="1:78" s="15" customFormat="1">
      <c r="A6" s="15">
        <v>10</v>
      </c>
      <c r="B6" s="94">
        <v>92.689411276849498</v>
      </c>
      <c r="C6" s="95">
        <v>1.5623834261001326</v>
      </c>
      <c r="D6" s="94">
        <v>298.13221510010902</v>
      </c>
      <c r="E6" s="95">
        <v>1.5314150914001237</v>
      </c>
      <c r="F6" s="96">
        <v>357.43199441973098</v>
      </c>
      <c r="G6" s="95">
        <v>1.5311836807774646</v>
      </c>
      <c r="H6" s="100">
        <v>1385.6158934738501</v>
      </c>
      <c r="I6" s="95">
        <v>3.2014436883354001</v>
      </c>
      <c r="J6" s="96">
        <v>112.593225356541</v>
      </c>
      <c r="K6" s="95">
        <v>3.1126290610984699</v>
      </c>
      <c r="L6" s="101">
        <v>269.156802985002</v>
      </c>
      <c r="M6" s="95">
        <v>2.353180652080801</v>
      </c>
      <c r="N6" s="96">
        <v>14.263540259444</v>
      </c>
      <c r="O6" s="95">
        <v>2.3545354428835075</v>
      </c>
      <c r="P6" s="101">
        <v>83.906000381335602</v>
      </c>
      <c r="Q6" s="95">
        <v>5.6808395654255648</v>
      </c>
      <c r="R6" s="96">
        <v>5.5796796168612799</v>
      </c>
      <c r="S6" s="95">
        <v>5.6383751016696619</v>
      </c>
      <c r="T6" s="15">
        <f>MINDSET!C58</f>
        <v>144</v>
      </c>
      <c r="AA6" s="51"/>
      <c r="AC6" s="52"/>
      <c r="AE6" s="60">
        <f>(AH36-AH6)/30</f>
        <v>9.1746034252940228E-2</v>
      </c>
      <c r="AF6" s="1">
        <v>2020</v>
      </c>
      <c r="AG6" s="15">
        <v>0</v>
      </c>
      <c r="AH6" s="15">
        <f>C6</f>
        <v>1.5623834261001326</v>
      </c>
      <c r="AI6" s="15">
        <f>C7</f>
        <v>1.8158097039480634</v>
      </c>
      <c r="AJ6" s="15">
        <f>C8</f>
        <v>2.5044538144060473</v>
      </c>
      <c r="AK6" s="15">
        <f>C9</f>
        <v>2.6002784052427712</v>
      </c>
      <c r="AN6" s="60">
        <f>($AQ36-$AQ6)/30</f>
        <v>8.7612605057101861E-2</v>
      </c>
      <c r="AO6" s="1">
        <v>2020</v>
      </c>
      <c r="AP6" s="15">
        <v>0</v>
      </c>
      <c r="AQ6" s="15">
        <f>E6</f>
        <v>1.5314150914001237</v>
      </c>
      <c r="AR6" s="15">
        <f>E7</f>
        <v>1.7673307464551811</v>
      </c>
      <c r="AS6" s="15">
        <f>E8</f>
        <v>2.4226856374835295</v>
      </c>
      <c r="AT6" s="15">
        <f>E9</f>
        <v>2.5199447152147076</v>
      </c>
      <c r="AW6" s="60">
        <f>(AY36-AY6)/30</f>
        <v>8.7659767071087191E-2</v>
      </c>
      <c r="AX6" s="15">
        <v>0</v>
      </c>
      <c r="AY6" s="15">
        <f>G6</f>
        <v>1.5311836807774646</v>
      </c>
      <c r="AZ6" s="15">
        <f>G7</f>
        <v>1.7667284052216539</v>
      </c>
      <c r="BA6" s="15">
        <f>G8</f>
        <v>2.421874179869953</v>
      </c>
      <c r="BB6" s="15">
        <f>G9</f>
        <v>2.5192070728478795</v>
      </c>
      <c r="BE6" s="60">
        <f>(BG36-BG6)/30</f>
        <v>0.11759469455229002</v>
      </c>
      <c r="BF6" s="15">
        <v>0</v>
      </c>
      <c r="BG6" s="15">
        <f>K6</f>
        <v>3.1126290610984699</v>
      </c>
      <c r="BH6" s="15">
        <f>K7</f>
        <v>3.8034415934552599</v>
      </c>
      <c r="BI6" s="15">
        <f>K8</f>
        <v>4.7615550408505101</v>
      </c>
      <c r="BJ6" s="15">
        <f>K9</f>
        <v>4.9215119241326599</v>
      </c>
      <c r="BM6" s="62">
        <f>(BO36-BO6)/30</f>
        <v>9.1013243825823098E-2</v>
      </c>
      <c r="BN6" s="15">
        <v>0</v>
      </c>
      <c r="BO6" s="15">
        <f>O6</f>
        <v>2.3545354428835075</v>
      </c>
      <c r="BP6" s="15">
        <f>O7</f>
        <v>2.7634155999360668</v>
      </c>
      <c r="BQ6" s="15">
        <f>O8</f>
        <v>3.4956868154891794</v>
      </c>
      <c r="BR6" s="15">
        <f>O9</f>
        <v>3.6356308242668254</v>
      </c>
      <c r="BU6" s="60">
        <f>(BW36-BW6)/30</f>
        <v>0.1841349570890346</v>
      </c>
      <c r="BV6" s="15">
        <v>0</v>
      </c>
      <c r="BW6" s="15">
        <f>S6</f>
        <v>5.6383751016696619</v>
      </c>
      <c r="BX6" s="15">
        <f>S7</f>
        <v>6.4471225733613418</v>
      </c>
      <c r="BY6" s="15">
        <f>S8</f>
        <v>8.0198375205840406</v>
      </c>
      <c r="BZ6" s="15">
        <f>S9</f>
        <v>8.3341909453150507</v>
      </c>
    </row>
    <row r="7" spans="1:78" s="15" customFormat="1">
      <c r="A7" s="15">
        <v>25</v>
      </c>
      <c r="B7" s="96">
        <v>107.724089770874</v>
      </c>
      <c r="C7" s="95">
        <v>1.8158097039480634</v>
      </c>
      <c r="D7" s="96">
        <v>344.05970870607399</v>
      </c>
      <c r="E7" s="95">
        <v>1.7673307464551811</v>
      </c>
      <c r="F7" s="96">
        <v>412.41639746037998</v>
      </c>
      <c r="G7" s="95">
        <v>1.7667284052216539</v>
      </c>
      <c r="H7" s="100">
        <v>1740.7414699439</v>
      </c>
      <c r="I7" s="95">
        <v>4.0219557369567296</v>
      </c>
      <c r="J7" s="96">
        <v>137.58200802482301</v>
      </c>
      <c r="K7" s="95">
        <v>3.8034415934552599</v>
      </c>
      <c r="L7" s="101">
        <v>315.733003157307</v>
      </c>
      <c r="M7" s="95">
        <v>2.7603864587979281</v>
      </c>
      <c r="N7" s="96">
        <v>16.740495362852698</v>
      </c>
      <c r="O7" s="95">
        <v>2.7634155999360668</v>
      </c>
      <c r="P7" s="101">
        <v>95.926001310348497</v>
      </c>
      <c r="Q7" s="95">
        <v>6.4946514089606291</v>
      </c>
      <c r="R7" s="96">
        <v>6.38000802737265</v>
      </c>
      <c r="S7" s="95">
        <v>6.4471225733613418</v>
      </c>
      <c r="T7" s="15">
        <f>MINDSET!D58</f>
        <v>242</v>
      </c>
      <c r="AA7" s="53">
        <v>2020</v>
      </c>
      <c r="AB7" s="58">
        <f>U10</f>
        <v>1.0072359893580809</v>
      </c>
      <c r="AC7" s="52">
        <f>(AB37-AB7)/30</f>
        <v>5.3136869235407058E-2</v>
      </c>
      <c r="AE7" s="60">
        <f>(AI36-AI6)/30</f>
        <v>0.16349108195009956</v>
      </c>
      <c r="AF7" s="1">
        <v>2021</v>
      </c>
      <c r="AG7" s="15">
        <v>0</v>
      </c>
      <c r="AH7" s="15">
        <f>AH6+$AE$6</f>
        <v>1.6541294603530727</v>
      </c>
      <c r="AI7" s="15">
        <f>AI6+$AE$7</f>
        <v>1.9793007858981631</v>
      </c>
      <c r="AJ7" s="15">
        <f>AJ6+$AE$8</f>
        <v>2.750965053077544</v>
      </c>
      <c r="AK7" s="15">
        <f>AK6+$AE$9</f>
        <v>2.8782745504751688</v>
      </c>
      <c r="AN7" s="60">
        <f>(AR36-AR6)/30</f>
        <v>0.15437555557809463</v>
      </c>
      <c r="AO7" s="1">
        <v>2021</v>
      </c>
      <c r="AQ7" s="15">
        <f>AQ6+$AN$6</f>
        <v>1.6190276964572254</v>
      </c>
      <c r="AR7" s="15">
        <f>AR6+$AN$7</f>
        <v>1.9217063020332756</v>
      </c>
      <c r="AS7" s="15">
        <f>AS6+$AN$8</f>
        <v>2.6552861436081745</v>
      </c>
      <c r="AT7" s="15">
        <f>AT6+$AN$9</f>
        <v>2.7832632686786041</v>
      </c>
      <c r="AW7" s="60">
        <f>(AZ36-AZ6)/30</f>
        <v>0.15449479914702285</v>
      </c>
      <c r="AY7" s="15">
        <f>AY6+$AW$6</f>
        <v>1.6188434478485518</v>
      </c>
      <c r="AZ7" s="15">
        <f>AZ6+$AW$7</f>
        <v>1.9212232043686768</v>
      </c>
      <c r="BA7" s="15">
        <f>BA6+$AW$8</f>
        <v>2.6546964968980054</v>
      </c>
      <c r="BB7" s="15">
        <f>BB6+$AW$9</f>
        <v>2.7827845601648669</v>
      </c>
      <c r="BE7" s="60">
        <f>(BH36-BH6)/30</f>
        <v>0.15203533573781033</v>
      </c>
      <c r="BG7" s="15">
        <f>BG6+$BE$6</f>
        <v>3.2302237556507598</v>
      </c>
      <c r="BH7" s="15">
        <f t="shared" ref="BH7:BH35" si="0">BH6+$BE$7</f>
        <v>3.95547692919307</v>
      </c>
      <c r="BI7" s="15">
        <f t="shared" ref="BI7:BI35" si="1">BI6+$BE$8</f>
        <v>4.9518502189175502</v>
      </c>
      <c r="BJ7" s="15">
        <f t="shared" ref="BJ7:BJ35" si="2">BJ6+$BE$9</f>
        <v>5.1218224238755017</v>
      </c>
      <c r="BM7" s="62">
        <f>(BP36-BP6)/30</f>
        <v>0.11840313642795344</v>
      </c>
      <c r="BO7" s="15">
        <f t="shared" ref="BO7:BO35" si="3">BO6+$BM$6</f>
        <v>2.4455486867093308</v>
      </c>
      <c r="BP7" s="15">
        <f>BP6+$BM$7</f>
        <v>2.8818187363640204</v>
      </c>
      <c r="BQ7" s="15">
        <f>BQ6+$BM$8</f>
        <v>3.6356787598114089</v>
      </c>
      <c r="BR7" s="15">
        <f>BR6+$BM$9</f>
        <v>3.7767011245608297</v>
      </c>
      <c r="BU7" s="60">
        <f>(BX36-BX6)/30</f>
        <v>0.21767772404065863</v>
      </c>
      <c r="BW7" s="15">
        <f t="shared" ref="BW7:BW35" si="4">BW6+$BU$6</f>
        <v>5.8225100587586969</v>
      </c>
      <c r="BX7" s="15">
        <f>BX6+$BU$7</f>
        <v>6.6648002974020004</v>
      </c>
      <c r="BY7" s="15">
        <f t="shared" ref="BY7:BY35" si="5">BY6+$BU$8</f>
        <v>8.2987113688538354</v>
      </c>
      <c r="BZ7" s="15">
        <f>BZ6+$BU$9</f>
        <v>8.6255503101704019</v>
      </c>
    </row>
    <row r="8" spans="1:78" s="15" customFormat="1">
      <c r="A8" s="15">
        <v>100</v>
      </c>
      <c r="B8" s="96">
        <v>148.578348790343</v>
      </c>
      <c r="C8" s="95">
        <v>2.5044538144060473</v>
      </c>
      <c r="D8" s="96">
        <v>471.64262625479699</v>
      </c>
      <c r="E8" s="95">
        <v>2.4226856374835295</v>
      </c>
      <c r="F8" s="96">
        <v>565.35040780021097</v>
      </c>
      <c r="G8" s="95">
        <v>2.421874179869953</v>
      </c>
      <c r="H8" s="100">
        <v>2124.2692558108802</v>
      </c>
      <c r="I8" s="95">
        <v>4.9080906428481601</v>
      </c>
      <c r="J8" s="96">
        <v>172.23987479344899</v>
      </c>
      <c r="K8" s="95">
        <v>4.7615550408505101</v>
      </c>
      <c r="L8" s="101">
        <v>399.57640090258701</v>
      </c>
      <c r="M8" s="95">
        <v>3.4934114434567847</v>
      </c>
      <c r="N8" s="96">
        <v>21.1765211595519</v>
      </c>
      <c r="O8" s="95">
        <v>3.4956868154891794</v>
      </c>
      <c r="P8" s="101">
        <v>119.198998584412</v>
      </c>
      <c r="Q8" s="95">
        <v>8.0703451986737988</v>
      </c>
      <c r="R8" s="96">
        <v>7.93635101199476</v>
      </c>
      <c r="S8" s="95">
        <v>8.0198375205840406</v>
      </c>
      <c r="T8" s="15">
        <f>MINDSET!E58</f>
        <v>330</v>
      </c>
      <c r="AA8" s="53">
        <v>2021</v>
      </c>
      <c r="AB8" s="15">
        <f>AB7+$AC$7</f>
        <v>1.060372858593488</v>
      </c>
      <c r="AC8" s="52"/>
      <c r="AE8" s="60">
        <f>(AJ36-AJ6)/30</f>
        <v>0.24651123867149674</v>
      </c>
      <c r="AF8" s="1">
        <v>2022</v>
      </c>
      <c r="AH8" s="15">
        <f>AH7+$AE$6</f>
        <v>1.7458754946060129</v>
      </c>
      <c r="AI8" s="15">
        <f>AI7+$AE$7</f>
        <v>2.1427918678482625</v>
      </c>
      <c r="AJ8" s="15">
        <f t="shared" ref="AJ8:AJ34" si="6">AJ7+$AE$8</f>
        <v>2.9974762917490407</v>
      </c>
      <c r="AK8" s="15">
        <f t="shared" ref="AK8:AK34" si="7">AK7+$AE$9</f>
        <v>3.1562706957075664</v>
      </c>
      <c r="AN8" s="60">
        <f>(AS36-AS6)/30</f>
        <v>0.23260050612464503</v>
      </c>
      <c r="AO8" s="1">
        <v>2022</v>
      </c>
      <c r="AQ8" s="15">
        <f t="shared" ref="AQ8:AQ34" si="8">AQ7+$AN$6</f>
        <v>1.7066403015143272</v>
      </c>
      <c r="AR8" s="15">
        <f t="shared" ref="AR8:AR34" si="9">AR7+$AN$7</f>
        <v>2.0760818576113702</v>
      </c>
      <c r="AS8" s="15">
        <f t="shared" ref="AS8:AS35" si="10">AS7+$AN$8</f>
        <v>2.8878866497328195</v>
      </c>
      <c r="AT8" s="15">
        <f t="shared" ref="AT8:AT34" si="11">AT7+$AN$9</f>
        <v>3.0465818221425005</v>
      </c>
      <c r="AW8" s="60">
        <f>(BA36-BA6)/30</f>
        <v>0.23282231702805223</v>
      </c>
      <c r="AY8" s="15">
        <f t="shared" ref="AY8:AY35" si="12">AY7+$AW$6</f>
        <v>1.7065032149196391</v>
      </c>
      <c r="AZ8" s="15">
        <f t="shared" ref="AZ8:AZ34" si="13">AZ7+$AW$7</f>
        <v>2.0757180035156995</v>
      </c>
      <c r="BA8" s="15">
        <f t="shared" ref="BA8:BA35" si="14">BA7+$AW$8</f>
        <v>2.8875188139260577</v>
      </c>
      <c r="BB8" s="15">
        <f t="shared" ref="BB8:BB35" si="15">BB7+$AW$9</f>
        <v>3.0463620474818542</v>
      </c>
      <c r="BE8" s="62">
        <f>(BI36-BI6)/30</f>
        <v>0.19029517806703969</v>
      </c>
      <c r="BG8" s="15">
        <f t="shared" ref="BG8:BG35" si="16">BG7+$BE$6</f>
        <v>3.3478184502030497</v>
      </c>
      <c r="BH8" s="15">
        <f t="shared" si="0"/>
        <v>4.1075122649308806</v>
      </c>
      <c r="BI8" s="15">
        <f t="shared" si="1"/>
        <v>5.1421453969845903</v>
      </c>
      <c r="BJ8" s="15">
        <f t="shared" si="2"/>
        <v>5.3221329236183426</v>
      </c>
      <c r="BM8" s="62">
        <f>(BQ36-BQ6)/30</f>
        <v>0.13999194432222936</v>
      </c>
      <c r="BO8" s="15">
        <f t="shared" si="3"/>
        <v>2.5365619305351537</v>
      </c>
      <c r="BP8" s="15">
        <f t="shared" ref="BP8:BP35" si="17">BP7+$BM$7</f>
        <v>3.0002218727919741</v>
      </c>
      <c r="BQ8" s="15">
        <f t="shared" ref="BQ8:BQ35" si="18">BQ7+$BM$8</f>
        <v>3.7756707041336384</v>
      </c>
      <c r="BR8" s="15">
        <f t="shared" ref="BR8:BR35" si="19">BR7+$BM$9</f>
        <v>3.9177714248548341</v>
      </c>
      <c r="BU8" s="60">
        <f>(BY36-BY6)/30</f>
        <v>0.27887384826979539</v>
      </c>
      <c r="BW8" s="15">
        <f t="shared" si="4"/>
        <v>6.0066450158477318</v>
      </c>
      <c r="BX8" s="15">
        <f>BX7+$BU$7</f>
        <v>6.8824780214426591</v>
      </c>
      <c r="BY8" s="15">
        <f t="shared" si="5"/>
        <v>8.5775852171236302</v>
      </c>
      <c r="BZ8" s="15">
        <f>BZ7+$BU$9</f>
        <v>8.916909675025753</v>
      </c>
    </row>
    <row r="9" spans="1:78" s="15" customFormat="1">
      <c r="A9" s="15">
        <v>200</v>
      </c>
      <c r="B9" s="96">
        <v>154.26320486480299</v>
      </c>
      <c r="C9" s="95">
        <v>2.6002784052427712</v>
      </c>
      <c r="D9" s="96">
        <v>490.57679011763298</v>
      </c>
      <c r="E9" s="95">
        <v>2.5199447152147076</v>
      </c>
      <c r="F9" s="96">
        <v>588.07132005685003</v>
      </c>
      <c r="G9" s="95">
        <v>2.5192070728478795</v>
      </c>
      <c r="H9" s="100">
        <v>2178.8822877644602</v>
      </c>
      <c r="I9" s="95">
        <v>5.03427319262412</v>
      </c>
      <c r="J9" s="96">
        <v>178.02599997997001</v>
      </c>
      <c r="K9" s="95">
        <v>4.9215119241326599</v>
      </c>
      <c r="L9" s="101">
        <v>419.12480154493801</v>
      </c>
      <c r="M9" s="95">
        <v>3.6643189503841409</v>
      </c>
      <c r="N9" s="96">
        <v>22.024287970326</v>
      </c>
      <c r="O9" s="95">
        <v>3.6356308242668254</v>
      </c>
      <c r="P9" s="101">
        <v>122.71500038541799</v>
      </c>
      <c r="Q9" s="95">
        <v>8.3083954221677718</v>
      </c>
      <c r="R9" s="96">
        <v>8.2474320175743205</v>
      </c>
      <c r="S9" s="95">
        <v>8.3341909453150507</v>
      </c>
      <c r="T9" s="15">
        <f>MINDSET!F58</f>
        <v>540</v>
      </c>
      <c r="U9" s="15" t="s">
        <v>28</v>
      </c>
      <c r="AA9" s="53">
        <v>2022</v>
      </c>
      <c r="AB9" s="15">
        <f t="shared" ref="AB9:AB36" si="20">AB8+$AC$7</f>
        <v>1.113509727828895</v>
      </c>
      <c r="AC9" s="52"/>
      <c r="AE9" s="60">
        <f>(AK36-AK6)/30</f>
        <v>0.27799614523239763</v>
      </c>
      <c r="AF9" s="1">
        <v>2023</v>
      </c>
      <c r="AH9" s="15">
        <f t="shared" ref="AH9:AH33" si="21">AH8+$AE$6</f>
        <v>1.837621528858953</v>
      </c>
      <c r="AI9" s="15">
        <f t="shared" ref="AI9:AI35" si="22">AI8+$AE$7</f>
        <v>2.3062829497983621</v>
      </c>
      <c r="AJ9" s="15">
        <f t="shared" si="6"/>
        <v>3.2439875304205374</v>
      </c>
      <c r="AK9" s="15">
        <f t="shared" si="7"/>
        <v>3.4342668409399639</v>
      </c>
      <c r="AN9" s="60">
        <f>(AT36-AT6)/30</f>
        <v>0.26331855346389638</v>
      </c>
      <c r="AO9" s="1">
        <v>2023</v>
      </c>
      <c r="AQ9" s="15">
        <f>AQ8+$AN$6</f>
        <v>1.794252906571429</v>
      </c>
      <c r="AR9" s="15">
        <f t="shared" si="9"/>
        <v>2.2304574131894648</v>
      </c>
      <c r="AS9" s="15">
        <f t="shared" si="10"/>
        <v>3.1204871558574645</v>
      </c>
      <c r="AT9" s="15">
        <f t="shared" si="11"/>
        <v>3.3099003756063969</v>
      </c>
      <c r="AW9" s="60">
        <f>(BB36-BB6)/30</f>
        <v>0.26357748731698732</v>
      </c>
      <c r="AY9" s="15">
        <f t="shared" si="12"/>
        <v>1.7941629819907263</v>
      </c>
      <c r="AZ9" s="15">
        <f t="shared" si="13"/>
        <v>2.2302128026627224</v>
      </c>
      <c r="BA9" s="15">
        <f t="shared" si="14"/>
        <v>3.12034113095411</v>
      </c>
      <c r="BB9" s="15">
        <f t="shared" si="15"/>
        <v>3.3099395347988416</v>
      </c>
      <c r="BE9" s="61">
        <f>(BJ36-BJ6)/30</f>
        <v>0.20031049974284132</v>
      </c>
      <c r="BG9" s="15">
        <f t="shared" si="16"/>
        <v>3.4654131447553396</v>
      </c>
      <c r="BH9" s="15">
        <f t="shared" si="0"/>
        <v>4.2595476006686912</v>
      </c>
      <c r="BI9" s="15">
        <f t="shared" si="1"/>
        <v>5.3324405750516304</v>
      </c>
      <c r="BJ9" s="15">
        <f t="shared" si="2"/>
        <v>5.5224434233611834</v>
      </c>
      <c r="BM9" s="62">
        <f>(BR36-BR6)/30</f>
        <v>0.14107030029400416</v>
      </c>
      <c r="BO9" s="15">
        <f t="shared" si="3"/>
        <v>2.6275751743609765</v>
      </c>
      <c r="BP9" s="15">
        <f t="shared" si="17"/>
        <v>3.1186250092199277</v>
      </c>
      <c r="BQ9" s="15">
        <f t="shared" si="18"/>
        <v>3.9156626484558679</v>
      </c>
      <c r="BR9" s="15">
        <f t="shared" si="19"/>
        <v>4.058841725148838</v>
      </c>
      <c r="BU9" s="60">
        <f>(BZ36-BZ6)/30</f>
        <v>0.29135936485535169</v>
      </c>
      <c r="BW9" s="15">
        <f t="shared" si="4"/>
        <v>6.1907799729367667</v>
      </c>
      <c r="BX9" s="15">
        <f t="shared" ref="BX9:BX35" si="23">BX8+$BU$7</f>
        <v>7.1001557454833177</v>
      </c>
      <c r="BY9" s="15">
        <f t="shared" si="5"/>
        <v>8.856459065393425</v>
      </c>
      <c r="BZ9" s="15">
        <f t="shared" ref="BZ9:BZ35" si="24">BZ8+$BU$9</f>
        <v>9.2082690398811042</v>
      </c>
    </row>
    <row r="10" spans="1:78" s="15" customFormat="1">
      <c r="A10" s="16" t="s">
        <v>1</v>
      </c>
      <c r="B10" s="97">
        <v>56.327998339077297</v>
      </c>
      <c r="C10" s="98">
        <v>0.94947124831238305</v>
      </c>
      <c r="D10" s="97">
        <v>180.32301130247399</v>
      </c>
      <c r="E10" s="98">
        <v>0.92626481422880191</v>
      </c>
      <c r="F10" s="97">
        <v>216.188258158633</v>
      </c>
      <c r="G10" s="98">
        <v>0.9261172419822169</v>
      </c>
      <c r="H10" s="102">
        <v>905.13020926676302</v>
      </c>
      <c r="I10" s="99">
        <v>2.0912890861218099</v>
      </c>
      <c r="J10" s="97">
        <v>70.478122905387806</v>
      </c>
      <c r="K10" s="98">
        <v>1.94836103888409</v>
      </c>
      <c r="L10" s="102">
        <v>152.44232511018899</v>
      </c>
      <c r="M10" s="98">
        <v>1.3327708087968964</v>
      </c>
      <c r="N10" s="97">
        <v>8.0799589540424606</v>
      </c>
      <c r="O10" s="98">
        <v>1.3337887641001769</v>
      </c>
      <c r="P10" s="102">
        <v>46.613182130500803</v>
      </c>
      <c r="Q10" s="98">
        <v>3.1559365017265266</v>
      </c>
      <c r="R10" s="97">
        <v>3.10134829387008</v>
      </c>
      <c r="S10" s="98">
        <v>3.1339729523035604</v>
      </c>
      <c r="T10" s="92">
        <v>59.9</v>
      </c>
      <c r="U10" s="34">
        <f>'CGE-Flood Weighted Av Calcs'!C10</f>
        <v>1.0072359893580809</v>
      </c>
      <c r="AA10" s="53">
        <v>2023</v>
      </c>
      <c r="AB10" s="15">
        <f>AB9+$AC$7</f>
        <v>1.1666465970643021</v>
      </c>
      <c r="AC10" s="52"/>
      <c r="AF10" s="1">
        <v>2024</v>
      </c>
      <c r="AH10" s="15">
        <f t="shared" si="21"/>
        <v>1.9293675631118932</v>
      </c>
      <c r="AI10" s="15">
        <f t="shared" si="22"/>
        <v>2.4697740317484618</v>
      </c>
      <c r="AJ10" s="15">
        <f>AJ9+$AE$8</f>
        <v>3.4904987690920342</v>
      </c>
      <c r="AK10" s="15">
        <f t="shared" si="7"/>
        <v>3.7122629861723615</v>
      </c>
      <c r="AO10" s="1">
        <v>2024</v>
      </c>
      <c r="AQ10" s="15">
        <f t="shared" si="8"/>
        <v>1.8818655116285308</v>
      </c>
      <c r="AR10" s="15">
        <f t="shared" si="9"/>
        <v>2.3848329687675593</v>
      </c>
      <c r="AS10" s="15">
        <f t="shared" si="10"/>
        <v>3.3530876619821095</v>
      </c>
      <c r="AT10" s="15">
        <f t="shared" si="11"/>
        <v>3.5732189290702934</v>
      </c>
      <c r="AY10" s="15">
        <f t="shared" si="12"/>
        <v>1.8818227490618136</v>
      </c>
      <c r="AZ10" s="15">
        <f t="shared" si="13"/>
        <v>2.3847076018097453</v>
      </c>
      <c r="BA10" s="15">
        <f t="shared" si="14"/>
        <v>3.3531634479821624</v>
      </c>
      <c r="BB10" s="15">
        <f t="shared" si="15"/>
        <v>3.573517022115829</v>
      </c>
      <c r="BE10" s="60"/>
      <c r="BG10" s="15">
        <f t="shared" si="16"/>
        <v>3.5830078393076294</v>
      </c>
      <c r="BH10" s="15">
        <f t="shared" si="0"/>
        <v>4.4115829364065018</v>
      </c>
      <c r="BI10" s="15">
        <f t="shared" si="1"/>
        <v>5.5227357531186705</v>
      </c>
      <c r="BJ10" s="15">
        <f t="shared" si="2"/>
        <v>5.7227539231040243</v>
      </c>
      <c r="BM10" s="60"/>
      <c r="BO10" s="15">
        <f t="shared" si="3"/>
        <v>2.7185884181867994</v>
      </c>
      <c r="BP10" s="15">
        <f t="shared" si="17"/>
        <v>3.2370281456478813</v>
      </c>
      <c r="BQ10" s="15">
        <f t="shared" si="18"/>
        <v>4.0556545927780974</v>
      </c>
      <c r="BR10" s="15">
        <f t="shared" si="19"/>
        <v>4.1999120254428419</v>
      </c>
      <c r="BW10" s="15">
        <f t="shared" si="4"/>
        <v>6.3749149300258017</v>
      </c>
      <c r="BX10" s="15">
        <f t="shared" si="23"/>
        <v>7.3178334695239764</v>
      </c>
      <c r="BY10" s="15">
        <f t="shared" si="5"/>
        <v>9.1353329136632198</v>
      </c>
      <c r="BZ10" s="15">
        <f t="shared" si="24"/>
        <v>9.4996284047364554</v>
      </c>
    </row>
    <row r="11" spans="1:78" s="15" customFormat="1">
      <c r="B11" s="204">
        <f>(B10+D10+F10)/(B10/C10+D10/E10+F10/G10)</f>
        <v>0.92901857430929247</v>
      </c>
      <c r="D11" s="28"/>
      <c r="F11" s="28"/>
      <c r="J11" s="28"/>
      <c r="N11" s="28"/>
      <c r="R11" s="28"/>
      <c r="U11" s="30"/>
      <c r="AA11" s="53">
        <v>2024</v>
      </c>
      <c r="AB11" s="15">
        <f t="shared" si="20"/>
        <v>1.2197834662997091</v>
      </c>
      <c r="AC11" s="52"/>
      <c r="AF11" s="1">
        <v>2025</v>
      </c>
      <c r="AH11" s="15">
        <f t="shared" si="21"/>
        <v>2.0211135973648333</v>
      </c>
      <c r="AI11" s="15">
        <f t="shared" si="22"/>
        <v>2.6332651136985614</v>
      </c>
      <c r="AJ11" s="15">
        <f t="shared" si="6"/>
        <v>3.7370100077635309</v>
      </c>
      <c r="AK11" s="15">
        <f t="shared" si="7"/>
        <v>3.9902591314047591</v>
      </c>
      <c r="AO11" s="1">
        <v>2025</v>
      </c>
      <c r="AQ11" s="15">
        <f t="shared" si="8"/>
        <v>1.9694781166856326</v>
      </c>
      <c r="AR11" s="15">
        <f t="shared" si="9"/>
        <v>2.5392085243456539</v>
      </c>
      <c r="AS11" s="15">
        <f t="shared" si="10"/>
        <v>3.5856881681067545</v>
      </c>
      <c r="AT11" s="15">
        <f t="shared" si="11"/>
        <v>3.8365374825341898</v>
      </c>
      <c r="AY11" s="15">
        <f t="shared" si="12"/>
        <v>1.9694825161329008</v>
      </c>
      <c r="AZ11" s="15">
        <f t="shared" si="13"/>
        <v>2.5392024009567682</v>
      </c>
      <c r="BA11" s="15">
        <f t="shared" si="14"/>
        <v>3.5859857650102147</v>
      </c>
      <c r="BB11" s="15">
        <f t="shared" si="15"/>
        <v>3.8370945094328164</v>
      </c>
      <c r="BG11" s="15">
        <f t="shared" si="16"/>
        <v>3.7006025338599193</v>
      </c>
      <c r="BH11" s="15">
        <f t="shared" si="0"/>
        <v>4.5636182721443124</v>
      </c>
      <c r="BI11" s="15">
        <f t="shared" si="1"/>
        <v>5.7130309311857106</v>
      </c>
      <c r="BJ11" s="15">
        <f t="shared" si="2"/>
        <v>5.9230644228468652</v>
      </c>
      <c r="BO11" s="15">
        <f t="shared" si="3"/>
        <v>2.8096016620126223</v>
      </c>
      <c r="BP11" s="15">
        <f t="shared" si="17"/>
        <v>3.355431282075835</v>
      </c>
      <c r="BQ11" s="15">
        <f t="shared" si="18"/>
        <v>4.1956465371003269</v>
      </c>
      <c r="BR11" s="15">
        <f t="shared" si="19"/>
        <v>4.3409823257368458</v>
      </c>
      <c r="BW11" s="15">
        <f t="shared" si="4"/>
        <v>6.5590498871148366</v>
      </c>
      <c r="BX11" s="15">
        <f t="shared" si="23"/>
        <v>7.5355111935646351</v>
      </c>
      <c r="BY11" s="15">
        <f t="shared" si="5"/>
        <v>9.4142067619330145</v>
      </c>
      <c r="BZ11" s="15">
        <f t="shared" si="24"/>
        <v>9.7909877695918066</v>
      </c>
    </row>
    <row r="12" spans="1:78" s="15" customFormat="1">
      <c r="AA12" s="53">
        <v>2025</v>
      </c>
      <c r="AB12" s="15">
        <f t="shared" si="20"/>
        <v>1.2729203355351162</v>
      </c>
      <c r="AC12" s="52"/>
      <c r="AF12" s="1">
        <v>2026</v>
      </c>
      <c r="AH12" s="15">
        <f t="shared" si="21"/>
        <v>2.1128596316177735</v>
      </c>
      <c r="AI12" s="15">
        <f>AI11+$AE$7</f>
        <v>2.7967561956486611</v>
      </c>
      <c r="AJ12" s="15">
        <f t="shared" si="6"/>
        <v>3.9835212464350276</v>
      </c>
      <c r="AK12" s="15">
        <f t="shared" si="7"/>
        <v>4.2682552766371566</v>
      </c>
      <c r="AO12" s="1">
        <v>2026</v>
      </c>
      <c r="AQ12" s="15">
        <f t="shared" si="8"/>
        <v>2.0570907217427346</v>
      </c>
      <c r="AR12" s="15">
        <f t="shared" si="9"/>
        <v>2.6935840799237485</v>
      </c>
      <c r="AS12" s="15">
        <f t="shared" si="10"/>
        <v>3.8182886742313995</v>
      </c>
      <c r="AT12" s="15">
        <f t="shared" si="11"/>
        <v>4.0998560359980862</v>
      </c>
      <c r="AY12" s="15">
        <f t="shared" si="12"/>
        <v>2.0571422832039881</v>
      </c>
      <c r="AZ12" s="15">
        <f t="shared" si="13"/>
        <v>2.6936972001037911</v>
      </c>
      <c r="BA12" s="15">
        <f t="shared" si="14"/>
        <v>3.818808082038267</v>
      </c>
      <c r="BB12" s="15">
        <f t="shared" si="15"/>
        <v>4.1006719967498038</v>
      </c>
      <c r="BG12" s="15">
        <f t="shared" si="16"/>
        <v>3.8181972284122092</v>
      </c>
      <c r="BH12" s="15">
        <f t="shared" si="0"/>
        <v>4.715653607882123</v>
      </c>
      <c r="BI12" s="15">
        <f t="shared" si="1"/>
        <v>5.9033261092527507</v>
      </c>
      <c r="BJ12" s="15">
        <f t="shared" si="2"/>
        <v>6.1233749225897061</v>
      </c>
      <c r="BO12" s="15">
        <f t="shared" si="3"/>
        <v>2.9006149058384452</v>
      </c>
      <c r="BP12" s="15">
        <f t="shared" si="17"/>
        <v>3.4738344185037886</v>
      </c>
      <c r="BQ12" s="15">
        <f t="shared" si="18"/>
        <v>4.3356384814225564</v>
      </c>
      <c r="BR12" s="15">
        <f t="shared" si="19"/>
        <v>4.4820526260308498</v>
      </c>
      <c r="BW12" s="15">
        <f t="shared" si="4"/>
        <v>6.7431848442038715</v>
      </c>
      <c r="BX12" s="15">
        <f t="shared" si="23"/>
        <v>7.7531889176052937</v>
      </c>
      <c r="BY12" s="15">
        <f t="shared" si="5"/>
        <v>9.6930806102028093</v>
      </c>
      <c r="BZ12" s="15">
        <f t="shared" si="24"/>
        <v>10.082347134447158</v>
      </c>
    </row>
    <row r="13" spans="1:78" s="15" customFormat="1">
      <c r="A13" s="38" t="s">
        <v>29</v>
      </c>
      <c r="AA13" s="53">
        <v>2026</v>
      </c>
      <c r="AB13" s="15">
        <f t="shared" si="20"/>
        <v>1.3260572047705232</v>
      </c>
      <c r="AC13" s="52"/>
      <c r="AF13" s="1">
        <v>2027</v>
      </c>
      <c r="AH13" s="15">
        <f>AH12+$AE$6</f>
        <v>2.2046056658707136</v>
      </c>
      <c r="AI13" s="15">
        <f t="shared" si="22"/>
        <v>2.9602472775987607</v>
      </c>
      <c r="AJ13" s="15">
        <f t="shared" si="6"/>
        <v>4.2300324851065243</v>
      </c>
      <c r="AK13" s="15">
        <f>AK12+$AE$9</f>
        <v>4.5462514218695542</v>
      </c>
      <c r="AO13" s="1">
        <v>2027</v>
      </c>
      <c r="AQ13" s="15">
        <f t="shared" si="8"/>
        <v>2.1447033267998363</v>
      </c>
      <c r="AR13" s="15">
        <f t="shared" si="9"/>
        <v>2.8479596355018431</v>
      </c>
      <c r="AS13" s="15">
        <f t="shared" si="10"/>
        <v>4.0508891803560445</v>
      </c>
      <c r="AT13" s="15">
        <f t="shared" si="11"/>
        <v>4.3631745894619822</v>
      </c>
      <c r="AY13" s="15">
        <f t="shared" si="12"/>
        <v>2.1448020502750751</v>
      </c>
      <c r="AZ13" s="15">
        <f t="shared" si="13"/>
        <v>2.848191999250814</v>
      </c>
      <c r="BA13" s="15">
        <f t="shared" si="14"/>
        <v>4.0516303990663189</v>
      </c>
      <c r="BB13" s="15">
        <f t="shared" si="15"/>
        <v>4.3642494840667911</v>
      </c>
      <c r="BG13" s="15">
        <f t="shared" si="16"/>
        <v>3.9357919229644991</v>
      </c>
      <c r="BH13" s="15">
        <f t="shared" si="0"/>
        <v>4.8676889436199335</v>
      </c>
      <c r="BI13" s="15">
        <f t="shared" si="1"/>
        <v>6.0936212873197908</v>
      </c>
      <c r="BJ13" s="15">
        <f t="shared" si="2"/>
        <v>6.3236854223325469</v>
      </c>
      <c r="BO13" s="15">
        <f t="shared" si="3"/>
        <v>2.991628149664268</v>
      </c>
      <c r="BP13" s="15">
        <f t="shared" si="17"/>
        <v>3.5922375549317422</v>
      </c>
      <c r="BQ13" s="15">
        <f t="shared" si="18"/>
        <v>4.4756304257447859</v>
      </c>
      <c r="BR13" s="15">
        <f t="shared" si="19"/>
        <v>4.6231229263248537</v>
      </c>
      <c r="BW13" s="15">
        <f t="shared" si="4"/>
        <v>6.9273198012929065</v>
      </c>
      <c r="BX13" s="15">
        <f t="shared" si="23"/>
        <v>7.9708666416459524</v>
      </c>
      <c r="BY13" s="15">
        <f t="shared" si="5"/>
        <v>9.9719544584726041</v>
      </c>
      <c r="BZ13" s="15">
        <f t="shared" si="24"/>
        <v>10.373706499302509</v>
      </c>
    </row>
    <row r="14" spans="1:78" s="15" customFormat="1">
      <c r="AA14" s="53">
        <v>2027</v>
      </c>
      <c r="AB14" s="15">
        <f t="shared" si="20"/>
        <v>1.3791940740059303</v>
      </c>
      <c r="AC14" s="52"/>
      <c r="AF14" s="1">
        <v>2028</v>
      </c>
      <c r="AH14" s="15">
        <f t="shared" si="21"/>
        <v>2.2963517001236537</v>
      </c>
      <c r="AI14" s="15">
        <f t="shared" si="22"/>
        <v>3.1237383595488604</v>
      </c>
      <c r="AJ14" s="15">
        <f t="shared" si="6"/>
        <v>4.476543723778021</v>
      </c>
      <c r="AK14" s="15">
        <f t="shared" si="7"/>
        <v>4.8242475671019518</v>
      </c>
      <c r="AO14" s="1">
        <v>2028</v>
      </c>
      <c r="AQ14" s="15">
        <f t="shared" si="8"/>
        <v>2.2323159318569381</v>
      </c>
      <c r="AR14" s="15">
        <f t="shared" si="9"/>
        <v>3.0023351910799376</v>
      </c>
      <c r="AS14" s="15">
        <f t="shared" si="10"/>
        <v>4.2834896864806895</v>
      </c>
      <c r="AT14" s="15">
        <f t="shared" si="11"/>
        <v>4.6264931429258782</v>
      </c>
      <c r="AY14" s="15">
        <f t="shared" si="12"/>
        <v>2.2324618173461621</v>
      </c>
      <c r="AZ14" s="15">
        <f t="shared" si="13"/>
        <v>3.0026867983978369</v>
      </c>
      <c r="BA14" s="15">
        <f t="shared" si="14"/>
        <v>4.2844527160943713</v>
      </c>
      <c r="BB14" s="15">
        <f t="shared" si="15"/>
        <v>4.6278269713837785</v>
      </c>
      <c r="BG14" s="15">
        <f t="shared" si="16"/>
        <v>4.0533866175167894</v>
      </c>
      <c r="BH14" s="15">
        <f t="shared" si="0"/>
        <v>5.0197242793577441</v>
      </c>
      <c r="BI14" s="15">
        <f t="shared" si="1"/>
        <v>6.2839164653868309</v>
      </c>
      <c r="BJ14" s="15">
        <f t="shared" si="2"/>
        <v>6.5239959220753878</v>
      </c>
      <c r="BO14" s="15">
        <f t="shared" si="3"/>
        <v>3.0826413934900909</v>
      </c>
      <c r="BP14" s="15">
        <f t="shared" si="17"/>
        <v>3.7106406913596959</v>
      </c>
      <c r="BQ14" s="15">
        <f t="shared" si="18"/>
        <v>4.6156223700670154</v>
      </c>
      <c r="BR14" s="15">
        <f t="shared" si="19"/>
        <v>4.7641932266188576</v>
      </c>
      <c r="BW14" s="15">
        <f t="shared" si="4"/>
        <v>7.1114547583819414</v>
      </c>
      <c r="BX14" s="15">
        <f t="shared" si="23"/>
        <v>8.1885443656866101</v>
      </c>
      <c r="BY14" s="15">
        <f t="shared" si="5"/>
        <v>10.250828306742399</v>
      </c>
      <c r="BZ14" s="15">
        <f t="shared" si="24"/>
        <v>10.66506586415786</v>
      </c>
    </row>
    <row r="15" spans="1:78" s="15" customFormat="1">
      <c r="A15" s="20" t="s">
        <v>18</v>
      </c>
      <c r="B15" s="205" t="s">
        <v>12</v>
      </c>
      <c r="C15" s="205"/>
      <c r="D15" s="205" t="s">
        <v>19</v>
      </c>
      <c r="E15" s="205"/>
      <c r="F15" s="205" t="s">
        <v>14</v>
      </c>
      <c r="G15" s="205"/>
      <c r="H15" s="205" t="s">
        <v>15</v>
      </c>
      <c r="I15" s="205"/>
      <c r="J15" s="205"/>
      <c r="K15" s="205"/>
      <c r="L15" s="205" t="s">
        <v>16</v>
      </c>
      <c r="M15" s="205"/>
      <c r="N15" s="205"/>
      <c r="O15" s="205"/>
      <c r="P15" s="205" t="s">
        <v>17</v>
      </c>
      <c r="Q15" s="205"/>
      <c r="R15" s="205"/>
      <c r="S15" s="205"/>
      <c r="T15" s="81"/>
      <c r="AA15" s="53">
        <v>2028</v>
      </c>
      <c r="AB15" s="15">
        <f t="shared" si="20"/>
        <v>1.4323309432413374</v>
      </c>
      <c r="AC15" s="52"/>
      <c r="AF15" s="1">
        <v>2029</v>
      </c>
      <c r="AH15" s="15">
        <f>AH14+$AE$6</f>
        <v>2.3880977343765939</v>
      </c>
      <c r="AI15" s="15">
        <f t="shared" si="22"/>
        <v>3.28722944149896</v>
      </c>
      <c r="AJ15" s="15">
        <f t="shared" si="6"/>
        <v>4.7230549624495177</v>
      </c>
      <c r="AK15" s="15">
        <f t="shared" si="7"/>
        <v>5.1022437123343494</v>
      </c>
      <c r="AO15" s="1">
        <v>2029</v>
      </c>
      <c r="AQ15" s="15">
        <f t="shared" si="8"/>
        <v>2.3199285369140399</v>
      </c>
      <c r="AR15" s="15">
        <f t="shared" si="9"/>
        <v>3.1567107466580322</v>
      </c>
      <c r="AS15" s="15">
        <f t="shared" si="10"/>
        <v>4.5160901926053345</v>
      </c>
      <c r="AT15" s="15">
        <f t="shared" si="11"/>
        <v>4.8898116963897742</v>
      </c>
      <c r="AY15" s="15">
        <f t="shared" si="12"/>
        <v>2.3201215844172491</v>
      </c>
      <c r="AZ15" s="15">
        <f t="shared" si="13"/>
        <v>3.1571815975448598</v>
      </c>
      <c r="BA15" s="15">
        <f t="shared" si="14"/>
        <v>4.5172750331224236</v>
      </c>
      <c r="BB15" s="15">
        <f t="shared" si="15"/>
        <v>4.8914044587007659</v>
      </c>
      <c r="BG15" s="15">
        <f t="shared" si="16"/>
        <v>4.1709813120690793</v>
      </c>
      <c r="BH15" s="15">
        <f t="shared" si="0"/>
        <v>5.1717596150955547</v>
      </c>
      <c r="BI15" s="15">
        <f t="shared" si="1"/>
        <v>6.474211643453871</v>
      </c>
      <c r="BJ15" s="15">
        <f t="shared" si="2"/>
        <v>6.7243064218182287</v>
      </c>
      <c r="BO15" s="15">
        <f t="shared" si="3"/>
        <v>3.1736546373159138</v>
      </c>
      <c r="BP15" s="15">
        <f t="shared" si="17"/>
        <v>3.8290438277876495</v>
      </c>
      <c r="BQ15" s="15">
        <f t="shared" si="18"/>
        <v>4.7556143143892449</v>
      </c>
      <c r="BR15" s="15">
        <f t="shared" si="19"/>
        <v>4.9052635269128615</v>
      </c>
      <c r="BW15" s="15">
        <f t="shared" si="4"/>
        <v>7.2955897154709763</v>
      </c>
      <c r="BX15" s="15">
        <f t="shared" si="23"/>
        <v>8.4062220897272688</v>
      </c>
      <c r="BY15" s="15">
        <f t="shared" si="5"/>
        <v>10.529702155012194</v>
      </c>
      <c r="BZ15" s="15">
        <f t="shared" si="24"/>
        <v>10.956425229013211</v>
      </c>
    </row>
    <row r="16" spans="1:78" s="24" customFormat="1" ht="26">
      <c r="B16" s="26" t="s">
        <v>22</v>
      </c>
      <c r="C16" s="27" t="s">
        <v>23</v>
      </c>
      <c r="D16" s="26" t="s">
        <v>22</v>
      </c>
      <c r="E16" s="27" t="s">
        <v>23</v>
      </c>
      <c r="F16" s="26" t="s">
        <v>22</v>
      </c>
      <c r="G16" s="27" t="s">
        <v>23</v>
      </c>
      <c r="H16" s="26" t="s">
        <v>24</v>
      </c>
      <c r="I16" s="26" t="s">
        <v>25</v>
      </c>
      <c r="J16" s="26" t="s">
        <v>22</v>
      </c>
      <c r="K16" s="27" t="s">
        <v>23</v>
      </c>
      <c r="L16" s="26" t="s">
        <v>26</v>
      </c>
      <c r="M16" s="26" t="s">
        <v>25</v>
      </c>
      <c r="N16" s="26" t="s">
        <v>22</v>
      </c>
      <c r="O16" s="27" t="s">
        <v>23</v>
      </c>
      <c r="P16" s="26" t="s">
        <v>26</v>
      </c>
      <c r="Q16" s="26" t="s">
        <v>25</v>
      </c>
      <c r="R16" s="26" t="s">
        <v>22</v>
      </c>
      <c r="S16" s="27" t="s">
        <v>23</v>
      </c>
      <c r="T16" s="27"/>
      <c r="AA16" s="53">
        <v>2029</v>
      </c>
      <c r="AB16" s="15">
        <f>AB15+$AC$7</f>
        <v>1.4854678124767444</v>
      </c>
      <c r="AC16" s="54"/>
      <c r="AF16" s="1">
        <v>2030</v>
      </c>
      <c r="AG16" s="15"/>
      <c r="AH16" s="15">
        <f>AH15+$AE$6</f>
        <v>2.479843768629534</v>
      </c>
      <c r="AI16" s="15">
        <f t="shared" si="22"/>
        <v>3.4507205234490597</v>
      </c>
      <c r="AJ16" s="15">
        <f t="shared" si="6"/>
        <v>4.9695662011210144</v>
      </c>
      <c r="AK16" s="15">
        <f t="shared" si="7"/>
        <v>5.3802398575667469</v>
      </c>
      <c r="AO16" s="1">
        <v>2030</v>
      </c>
      <c r="AQ16" s="15">
        <f>AQ15+$AN$6</f>
        <v>2.4075411419711417</v>
      </c>
      <c r="AR16" s="15">
        <f>AR15+$AN$7</f>
        <v>3.3110863022361268</v>
      </c>
      <c r="AS16" s="15">
        <f>AS15+$AN$8</f>
        <v>4.7486906987299795</v>
      </c>
      <c r="AT16" s="15">
        <f>AT15+$AN$9</f>
        <v>5.1531302498536702</v>
      </c>
      <c r="AY16" s="15">
        <f>AY15+$AW$6</f>
        <v>2.4077813514883362</v>
      </c>
      <c r="AZ16" s="15">
        <f t="shared" si="13"/>
        <v>3.3116763966918827</v>
      </c>
      <c r="BA16" s="15">
        <f t="shared" si="14"/>
        <v>4.750097350150476</v>
      </c>
      <c r="BB16" s="15">
        <f t="shared" si="15"/>
        <v>5.1549819460177533</v>
      </c>
      <c r="BC16" s="15"/>
      <c r="BD16" s="15"/>
      <c r="BG16" s="15">
        <f t="shared" si="16"/>
        <v>4.2885760066213692</v>
      </c>
      <c r="BH16" s="15">
        <f t="shared" si="0"/>
        <v>5.3237949508333653</v>
      </c>
      <c r="BI16" s="15">
        <f t="shared" si="1"/>
        <v>6.6645068215209111</v>
      </c>
      <c r="BJ16" s="15">
        <f t="shared" si="2"/>
        <v>6.9246169215610696</v>
      </c>
      <c r="BO16" s="15">
        <f t="shared" si="3"/>
        <v>3.2646678811417367</v>
      </c>
      <c r="BP16" s="15">
        <f t="shared" si="17"/>
        <v>3.9474469642156031</v>
      </c>
      <c r="BQ16" s="15">
        <f t="shared" si="18"/>
        <v>4.8956062587114744</v>
      </c>
      <c r="BR16" s="15">
        <f>BR15+$BM$9</f>
        <v>5.0463338272068654</v>
      </c>
      <c r="BW16" s="15">
        <f t="shared" si="4"/>
        <v>7.4797246725600113</v>
      </c>
      <c r="BX16" s="15">
        <f t="shared" si="23"/>
        <v>8.6238998137679275</v>
      </c>
      <c r="BY16" s="15">
        <f t="shared" si="5"/>
        <v>10.808576003281988</v>
      </c>
      <c r="BZ16" s="15">
        <f t="shared" si="24"/>
        <v>11.247784593868563</v>
      </c>
    </row>
    <row r="17" spans="1:78" s="15" customFormat="1">
      <c r="A17" s="15">
        <v>10</v>
      </c>
      <c r="B17" s="94">
        <v>255.977337680636</v>
      </c>
      <c r="C17" s="95">
        <v>4.3147644536883396</v>
      </c>
      <c r="D17" s="94">
        <v>809.82217066730595</v>
      </c>
      <c r="E17" s="95">
        <v>4.1597932431131799</v>
      </c>
      <c r="F17" s="96">
        <v>971.32227882994005</v>
      </c>
      <c r="G17" s="95">
        <v>4.1609766929100802</v>
      </c>
      <c r="H17" s="100">
        <v>3140.9922894053202</v>
      </c>
      <c r="I17" s="95">
        <v>7.2572131911798099</v>
      </c>
      <c r="J17" s="96">
        <v>240.20591885031899</v>
      </c>
      <c r="K17" s="95">
        <v>6.6404698976671703</v>
      </c>
      <c r="L17" s="101">
        <v>581.61459984211297</v>
      </c>
      <c r="M17" s="95">
        <v>5.0849326791581797</v>
      </c>
      <c r="N17" s="96">
        <v>30.825574267510099</v>
      </c>
      <c r="O17" s="95">
        <v>5.0849327576582004</v>
      </c>
      <c r="P17" s="101">
        <v>164.86899805185399</v>
      </c>
      <c r="Q17" s="95">
        <v>11.1624237001932</v>
      </c>
      <c r="R17" s="96">
        <v>11.046222982433401</v>
      </c>
      <c r="S17" s="95">
        <v>11.1624238143407</v>
      </c>
      <c r="T17" s="64"/>
      <c r="AA17" s="53">
        <v>2030</v>
      </c>
      <c r="AB17" s="15">
        <f t="shared" si="20"/>
        <v>1.5386046817121515</v>
      </c>
      <c r="AC17" s="52"/>
      <c r="AF17" s="1">
        <v>2031</v>
      </c>
      <c r="AH17" s="15">
        <f t="shared" si="21"/>
        <v>2.5715898028824742</v>
      </c>
      <c r="AI17" s="15">
        <f t="shared" si="22"/>
        <v>3.6142116053991593</v>
      </c>
      <c r="AJ17" s="15">
        <f t="shared" si="6"/>
        <v>5.2160774397925112</v>
      </c>
      <c r="AK17" s="15">
        <f t="shared" si="7"/>
        <v>5.6582360027991445</v>
      </c>
      <c r="AO17" s="1">
        <v>2031</v>
      </c>
      <c r="AQ17" s="15">
        <f t="shared" si="8"/>
        <v>2.4951537470282434</v>
      </c>
      <c r="AR17" s="15">
        <f t="shared" si="9"/>
        <v>3.4654618578142213</v>
      </c>
      <c r="AS17" s="15">
        <f t="shared" si="10"/>
        <v>4.9812912048546245</v>
      </c>
      <c r="AT17" s="15">
        <f t="shared" si="11"/>
        <v>5.4164488033175662</v>
      </c>
      <c r="AY17" s="15">
        <f t="shared" si="12"/>
        <v>2.4954411185594232</v>
      </c>
      <c r="AZ17" s="15">
        <f t="shared" si="13"/>
        <v>3.4661711958389056</v>
      </c>
      <c r="BA17" s="15">
        <f t="shared" si="14"/>
        <v>4.9829196671785283</v>
      </c>
      <c r="BB17" s="15">
        <f t="shared" si="15"/>
        <v>5.4185594333347407</v>
      </c>
      <c r="BG17" s="15">
        <f t="shared" si="16"/>
        <v>4.4061707011736591</v>
      </c>
      <c r="BH17" s="15">
        <f t="shared" si="0"/>
        <v>5.4758302865711759</v>
      </c>
      <c r="BI17" s="15">
        <f t="shared" si="1"/>
        <v>6.8548019995879512</v>
      </c>
      <c r="BJ17" s="15">
        <f t="shared" si="2"/>
        <v>7.1249274213039104</v>
      </c>
      <c r="BO17" s="15">
        <f t="shared" si="3"/>
        <v>3.3556811249675595</v>
      </c>
      <c r="BP17" s="15">
        <f t="shared" si="17"/>
        <v>4.0658501006435568</v>
      </c>
      <c r="BQ17" s="15">
        <f t="shared" si="18"/>
        <v>5.0355982030337039</v>
      </c>
      <c r="BR17" s="15">
        <f t="shared" si="19"/>
        <v>5.1874041275008693</v>
      </c>
      <c r="BW17" s="15">
        <f t="shared" si="4"/>
        <v>7.6638596296490462</v>
      </c>
      <c r="BX17" s="15">
        <f t="shared" si="23"/>
        <v>8.8415775378085861</v>
      </c>
      <c r="BY17" s="15">
        <f t="shared" si="5"/>
        <v>11.087449851551783</v>
      </c>
      <c r="BZ17" s="15">
        <f t="shared" si="24"/>
        <v>11.539143958723914</v>
      </c>
    </row>
    <row r="18" spans="1:78" s="15" customFormat="1">
      <c r="A18" s="15">
        <v>25</v>
      </c>
      <c r="B18" s="96">
        <v>398.70229510307001</v>
      </c>
      <c r="C18" s="95">
        <v>6.72054216245105</v>
      </c>
      <c r="D18" s="96">
        <v>1245.66913402411</v>
      </c>
      <c r="E18" s="95">
        <v>6.3985974137980204</v>
      </c>
      <c r="F18" s="96">
        <v>1494.3582554726099</v>
      </c>
      <c r="G18" s="95">
        <v>6.4015723796323396</v>
      </c>
      <c r="H18" s="100">
        <v>3811.0608425464002</v>
      </c>
      <c r="I18" s="95">
        <v>8.8053960247552894</v>
      </c>
      <c r="J18" s="96">
        <v>302.56937223882397</v>
      </c>
      <c r="K18" s="95">
        <v>8.3645016655895699</v>
      </c>
      <c r="L18" s="101">
        <v>722.36801587371201</v>
      </c>
      <c r="M18" s="95">
        <v>6.3155098432742802</v>
      </c>
      <c r="N18" s="96">
        <v>38.285503928956999</v>
      </c>
      <c r="O18" s="95">
        <v>6.3155096927746701</v>
      </c>
      <c r="P18" s="101">
        <v>191.67700109048701</v>
      </c>
      <c r="Q18" s="95">
        <v>12.9774543730865</v>
      </c>
      <c r="R18" s="96">
        <v>12.8423589953745</v>
      </c>
      <c r="S18" s="95">
        <v>12.977454294581101</v>
      </c>
      <c r="T18" s="64"/>
      <c r="AA18" s="53">
        <v>2031</v>
      </c>
      <c r="AB18" s="15">
        <f t="shared" si="20"/>
        <v>1.5917415509475585</v>
      </c>
      <c r="AC18" s="52"/>
      <c r="AF18" s="1">
        <v>2032</v>
      </c>
      <c r="AH18" s="15">
        <f>AH17+$AE$6</f>
        <v>2.6633358371354143</v>
      </c>
      <c r="AI18" s="15">
        <f t="shared" si="22"/>
        <v>3.777702687349259</v>
      </c>
      <c r="AJ18" s="15">
        <f t="shared" si="6"/>
        <v>5.4625886784640079</v>
      </c>
      <c r="AK18" s="15">
        <f t="shared" si="7"/>
        <v>5.9362321480315421</v>
      </c>
      <c r="AO18" s="1">
        <v>2032</v>
      </c>
      <c r="AQ18" s="15">
        <f t="shared" si="8"/>
        <v>2.5827663520853452</v>
      </c>
      <c r="AR18" s="15">
        <f t="shared" si="9"/>
        <v>3.6198374133923159</v>
      </c>
      <c r="AS18" s="15">
        <f t="shared" si="10"/>
        <v>5.2138917109792695</v>
      </c>
      <c r="AT18" s="15">
        <f t="shared" si="11"/>
        <v>5.6797673567814622</v>
      </c>
      <c r="AY18" s="15">
        <f t="shared" si="12"/>
        <v>2.5831008856305102</v>
      </c>
      <c r="AZ18" s="15">
        <f t="shared" si="13"/>
        <v>3.6206659949859286</v>
      </c>
      <c r="BA18" s="15">
        <f t="shared" si="14"/>
        <v>5.2157419842065806</v>
      </c>
      <c r="BB18" s="15">
        <f t="shared" si="15"/>
        <v>5.682136920651728</v>
      </c>
      <c r="BG18" s="15">
        <f t="shared" si="16"/>
        <v>4.5237653957259489</v>
      </c>
      <c r="BH18" s="15">
        <f t="shared" si="0"/>
        <v>5.6278656223089865</v>
      </c>
      <c r="BI18" s="15">
        <f t="shared" si="1"/>
        <v>7.0450971776549913</v>
      </c>
      <c r="BJ18" s="15">
        <f t="shared" si="2"/>
        <v>7.3252379210467513</v>
      </c>
      <c r="BO18" s="15">
        <f t="shared" si="3"/>
        <v>3.4466943687933824</v>
      </c>
      <c r="BP18" s="15">
        <f t="shared" si="17"/>
        <v>4.18425323707151</v>
      </c>
      <c r="BQ18" s="15">
        <f t="shared" si="18"/>
        <v>5.1755901473559334</v>
      </c>
      <c r="BR18" s="15">
        <f t="shared" si="19"/>
        <v>5.3284744277948732</v>
      </c>
      <c r="BW18" s="15">
        <f t="shared" si="4"/>
        <v>7.8479945867380811</v>
      </c>
      <c r="BX18" s="15">
        <f t="shared" si="23"/>
        <v>9.0592552618492448</v>
      </c>
      <c r="BY18" s="15">
        <f t="shared" si="5"/>
        <v>11.366323699821578</v>
      </c>
      <c r="BZ18" s="15">
        <f t="shared" si="24"/>
        <v>11.830503323579265</v>
      </c>
    </row>
    <row r="19" spans="1:78" s="15" customFormat="1">
      <c r="A19" s="15">
        <v>100</v>
      </c>
      <c r="B19" s="96">
        <v>587.31413138766595</v>
      </c>
      <c r="C19" s="95">
        <v>9.8997909745509496</v>
      </c>
      <c r="D19" s="96">
        <v>1830.1140224794301</v>
      </c>
      <c r="E19" s="95">
        <v>9.4007008212228804</v>
      </c>
      <c r="F19" s="96">
        <v>2195.8271165381798</v>
      </c>
      <c r="G19" s="95">
        <v>9.4065436907115192</v>
      </c>
      <c r="H19" s="100">
        <v>4628.7882245252804</v>
      </c>
      <c r="I19" s="95">
        <v>10.6947422556592</v>
      </c>
      <c r="J19" s="96">
        <v>378.74647208908601</v>
      </c>
      <c r="K19" s="95">
        <v>10.470410382861701</v>
      </c>
      <c r="L19" s="101">
        <v>880.20500773983099</v>
      </c>
      <c r="M19" s="95">
        <v>7.6954450755361998</v>
      </c>
      <c r="N19" s="96">
        <v>46.6508658322564</v>
      </c>
      <c r="O19" s="95">
        <v>7.6954451451560599</v>
      </c>
      <c r="P19" s="101">
        <v>242.022000605008</v>
      </c>
      <c r="Q19" s="95">
        <v>16.386052850711401</v>
      </c>
      <c r="R19" s="96">
        <v>16.215474157273999</v>
      </c>
      <c r="S19" s="95">
        <v>16.386052968677902</v>
      </c>
      <c r="T19" s="64"/>
      <c r="AA19" s="53">
        <v>2032</v>
      </c>
      <c r="AB19" s="15">
        <f t="shared" si="20"/>
        <v>1.6448784201829656</v>
      </c>
      <c r="AC19" s="52"/>
      <c r="AF19" s="1">
        <v>2033</v>
      </c>
      <c r="AH19" s="15">
        <f t="shared" si="21"/>
        <v>2.7550818713883545</v>
      </c>
      <c r="AI19" s="15">
        <f t="shared" si="22"/>
        <v>3.9411937692993586</v>
      </c>
      <c r="AJ19" s="15">
        <f t="shared" si="6"/>
        <v>5.7090999171355046</v>
      </c>
      <c r="AK19" s="15">
        <f t="shared" si="7"/>
        <v>6.2142282932639397</v>
      </c>
      <c r="AO19" s="1">
        <v>2033</v>
      </c>
      <c r="AQ19" s="15">
        <f t="shared" si="8"/>
        <v>2.670378957142447</v>
      </c>
      <c r="AR19" s="15">
        <f t="shared" si="9"/>
        <v>3.7742129689704105</v>
      </c>
      <c r="AS19" s="15">
        <f t="shared" si="10"/>
        <v>5.4464922171039145</v>
      </c>
      <c r="AT19" s="15">
        <f t="shared" si="11"/>
        <v>5.9430859102453581</v>
      </c>
      <c r="AY19" s="15">
        <f t="shared" si="12"/>
        <v>2.6707606527015972</v>
      </c>
      <c r="AZ19" s="15">
        <f t="shared" si="13"/>
        <v>3.7751607941329515</v>
      </c>
      <c r="BA19" s="15">
        <f t="shared" si="14"/>
        <v>5.448564301234633</v>
      </c>
      <c r="BB19" s="15">
        <f t="shared" si="15"/>
        <v>5.9457144079687154</v>
      </c>
      <c r="BG19" s="15">
        <f t="shared" si="16"/>
        <v>4.6413600902782388</v>
      </c>
      <c r="BH19" s="15">
        <f t="shared" si="0"/>
        <v>5.779900958046797</v>
      </c>
      <c r="BI19" s="15">
        <f t="shared" si="1"/>
        <v>7.2353923557220314</v>
      </c>
      <c r="BJ19" s="15">
        <f t="shared" si="2"/>
        <v>7.5255484207895922</v>
      </c>
      <c r="BO19" s="15">
        <f t="shared" si="3"/>
        <v>3.5377076126192053</v>
      </c>
      <c r="BP19" s="15">
        <f t="shared" si="17"/>
        <v>4.3026563734994632</v>
      </c>
      <c r="BQ19" s="15">
        <f t="shared" si="18"/>
        <v>5.3155820916781629</v>
      </c>
      <c r="BR19" s="15">
        <f t="shared" si="19"/>
        <v>5.4695447280888772</v>
      </c>
      <c r="BW19" s="15">
        <f t="shared" si="4"/>
        <v>8.0321295438271161</v>
      </c>
      <c r="BX19" s="15">
        <f t="shared" si="23"/>
        <v>9.2769329858899034</v>
      </c>
      <c r="BY19" s="15">
        <f t="shared" si="5"/>
        <v>11.645197548091373</v>
      </c>
      <c r="BZ19" s="15">
        <f t="shared" si="24"/>
        <v>12.121862688434616</v>
      </c>
    </row>
    <row r="20" spans="1:78" s="15" customFormat="1">
      <c r="A20" s="15">
        <v>200</v>
      </c>
      <c r="B20" s="96">
        <v>649.03513684754898</v>
      </c>
      <c r="C20" s="95">
        <v>10.940162762214699</v>
      </c>
      <c r="D20" s="96">
        <v>2028.45254136118</v>
      </c>
      <c r="E20" s="95">
        <v>10.4195013191316</v>
      </c>
      <c r="F20" s="96">
        <v>2433.9291640276701</v>
      </c>
      <c r="G20" s="95">
        <v>10.4265316923575</v>
      </c>
      <c r="H20" s="100">
        <v>4773.8521818962599</v>
      </c>
      <c r="I20" s="95">
        <v>11.029910243351599</v>
      </c>
      <c r="J20" s="96">
        <v>395.40113331051498</v>
      </c>
      <c r="K20" s="95">
        <v>10.930826916417899</v>
      </c>
      <c r="L20" s="101">
        <v>899.91207359444002</v>
      </c>
      <c r="M20" s="95">
        <v>7.8677397586504698</v>
      </c>
      <c r="N20" s="96">
        <v>47.695340351749699</v>
      </c>
      <c r="O20" s="95">
        <v>7.8677398330869499</v>
      </c>
      <c r="P20" s="101">
        <v>252.197333094897</v>
      </c>
      <c r="Q20" s="95">
        <v>17.074971773520399</v>
      </c>
      <c r="R20" s="96">
        <v>16.897221433590602</v>
      </c>
      <c r="S20" s="95">
        <v>17.074971890975601</v>
      </c>
      <c r="T20" s="64"/>
      <c r="U20" s="15" t="s">
        <v>30</v>
      </c>
      <c r="AA20" s="53">
        <v>2033</v>
      </c>
      <c r="AB20" s="15">
        <f t="shared" si="20"/>
        <v>1.6980152894183727</v>
      </c>
      <c r="AC20" s="52"/>
      <c r="AF20" s="1">
        <v>2034</v>
      </c>
      <c r="AH20" s="15">
        <f t="shared" si="21"/>
        <v>2.8468279056412946</v>
      </c>
      <c r="AI20" s="15">
        <f t="shared" si="22"/>
        <v>4.1046848512494583</v>
      </c>
      <c r="AJ20" s="15">
        <f t="shared" si="6"/>
        <v>5.9556111558070013</v>
      </c>
      <c r="AK20" s="15">
        <f t="shared" si="7"/>
        <v>6.4922244384963372</v>
      </c>
      <c r="AO20" s="1">
        <v>2034</v>
      </c>
      <c r="AQ20" s="15">
        <f t="shared" si="8"/>
        <v>2.7579915621995488</v>
      </c>
      <c r="AR20" s="15">
        <f t="shared" si="9"/>
        <v>3.928588524548505</v>
      </c>
      <c r="AS20" s="15">
        <f t="shared" si="10"/>
        <v>5.6790927232285595</v>
      </c>
      <c r="AT20" s="15">
        <f t="shared" si="11"/>
        <v>6.2064044637092541</v>
      </c>
      <c r="AY20" s="15">
        <f t="shared" si="12"/>
        <v>2.7584204197726843</v>
      </c>
      <c r="AZ20" s="15">
        <f t="shared" si="13"/>
        <v>3.9296555932799744</v>
      </c>
      <c r="BA20" s="15">
        <f t="shared" si="14"/>
        <v>5.6813866182626853</v>
      </c>
      <c r="BB20" s="15">
        <f t="shared" si="15"/>
        <v>6.2092918952857028</v>
      </c>
      <c r="BG20" s="15">
        <f t="shared" si="16"/>
        <v>4.7589547848305287</v>
      </c>
      <c r="BH20" s="15">
        <f t="shared" si="0"/>
        <v>5.9319362937846076</v>
      </c>
      <c r="BI20" s="15">
        <f t="shared" si="1"/>
        <v>7.4256875337890715</v>
      </c>
      <c r="BJ20" s="15">
        <f t="shared" si="2"/>
        <v>7.7258589205324331</v>
      </c>
      <c r="BO20" s="15">
        <f t="shared" si="3"/>
        <v>3.6287208564450282</v>
      </c>
      <c r="BP20" s="15">
        <f t="shared" si="17"/>
        <v>4.4210595099274164</v>
      </c>
      <c r="BQ20" s="15">
        <f t="shared" si="18"/>
        <v>5.4555740360003924</v>
      </c>
      <c r="BR20" s="15">
        <f t="shared" si="19"/>
        <v>5.6106150283828811</v>
      </c>
      <c r="BW20" s="15">
        <f t="shared" si="4"/>
        <v>8.2162645009161501</v>
      </c>
      <c r="BX20" s="15">
        <f t="shared" si="23"/>
        <v>9.4946107099305621</v>
      </c>
      <c r="BY20" s="15">
        <f t="shared" si="5"/>
        <v>11.924071396361168</v>
      </c>
      <c r="BZ20" s="15">
        <f t="shared" si="24"/>
        <v>12.413222053289967</v>
      </c>
    </row>
    <row r="21" spans="1:78" s="15" customFormat="1">
      <c r="A21" s="16" t="s">
        <v>1</v>
      </c>
      <c r="B21" s="97">
        <v>151.218749904216</v>
      </c>
      <c r="C21" s="98">
        <v>2.5489494215770798</v>
      </c>
      <c r="D21" s="97">
        <v>479.48056345039799</v>
      </c>
      <c r="E21" s="98">
        <v>2.4629357904606799</v>
      </c>
      <c r="F21" s="97">
        <v>574.9641833938</v>
      </c>
      <c r="G21" s="98">
        <v>2.4630471456307901</v>
      </c>
      <c r="H21" s="102">
        <v>1930.68040719284</v>
      </c>
      <c r="I21" s="99">
        <v>4.4608066585496298</v>
      </c>
      <c r="J21" s="97">
        <v>148.34601294145699</v>
      </c>
      <c r="K21" s="98">
        <v>4.1010114908556199</v>
      </c>
      <c r="L21" s="102">
        <v>347.630533926873</v>
      </c>
      <c r="M21" s="98">
        <v>3.0392597825395402</v>
      </c>
      <c r="N21" s="97">
        <v>18.424418307195701</v>
      </c>
      <c r="O21" s="98">
        <v>3.0392597840359499</v>
      </c>
      <c r="P21" s="102">
        <v>119.521635976954</v>
      </c>
      <c r="Q21" s="98">
        <v>8.09218930108017</v>
      </c>
      <c r="R21" s="97">
        <v>8.0079496248658693</v>
      </c>
      <c r="S21" s="98">
        <v>8.0921893156417006</v>
      </c>
      <c r="T21" s="82"/>
      <c r="U21" s="37">
        <f>'CGE-Flood Weighted Av Calcs'!C25</f>
        <v>2.6013420664202926</v>
      </c>
      <c r="AA21" s="53">
        <v>2034</v>
      </c>
      <c r="AB21" s="15">
        <f t="shared" si="20"/>
        <v>1.7511521586537797</v>
      </c>
      <c r="AC21" s="52"/>
      <c r="AF21" s="19">
        <v>2035</v>
      </c>
      <c r="AG21" s="18"/>
      <c r="AH21" s="18">
        <f>AH20+$AE$6</f>
        <v>2.9385739398942348</v>
      </c>
      <c r="AI21" s="18">
        <f t="shared" si="22"/>
        <v>4.2681759331995579</v>
      </c>
      <c r="AJ21" s="18">
        <f t="shared" si="6"/>
        <v>6.202122394478498</v>
      </c>
      <c r="AK21" s="18">
        <f t="shared" si="7"/>
        <v>6.7702205837287348</v>
      </c>
      <c r="AO21" s="19">
        <v>2035</v>
      </c>
      <c r="AP21" s="18"/>
      <c r="AQ21" s="18">
        <f t="shared" si="8"/>
        <v>2.8456041672566506</v>
      </c>
      <c r="AR21" s="18">
        <f t="shared" si="9"/>
        <v>4.0829640801266001</v>
      </c>
      <c r="AS21" s="18">
        <f t="shared" si="10"/>
        <v>5.9116932293532045</v>
      </c>
      <c r="AT21" s="18">
        <f t="shared" si="11"/>
        <v>6.4697230171731501</v>
      </c>
      <c r="AY21" s="18">
        <f t="shared" si="12"/>
        <v>2.8460801868437713</v>
      </c>
      <c r="AZ21" s="18">
        <f t="shared" si="13"/>
        <v>4.0841503924269968</v>
      </c>
      <c r="BA21" s="18">
        <f t="shared" si="14"/>
        <v>5.9142089352907377</v>
      </c>
      <c r="BB21" s="18">
        <f t="shared" si="15"/>
        <v>6.4728693826026902</v>
      </c>
      <c r="BG21" s="18">
        <f t="shared" si="16"/>
        <v>4.8765494793828186</v>
      </c>
      <c r="BH21" s="18">
        <f t="shared" si="0"/>
        <v>6.0839716295224182</v>
      </c>
      <c r="BI21" s="18">
        <f t="shared" si="1"/>
        <v>7.6159827118561116</v>
      </c>
      <c r="BJ21" s="18">
        <f t="shared" si="2"/>
        <v>7.9261694202752739</v>
      </c>
      <c r="BO21" s="18">
        <f t="shared" si="3"/>
        <v>3.7197341002708511</v>
      </c>
      <c r="BP21" s="18">
        <f t="shared" si="17"/>
        <v>4.5394626463553696</v>
      </c>
      <c r="BQ21" s="18">
        <f t="shared" si="18"/>
        <v>5.5955659803226219</v>
      </c>
      <c r="BR21" s="18">
        <f t="shared" si="19"/>
        <v>5.751685328676885</v>
      </c>
      <c r="BW21" s="18">
        <f t="shared" si="4"/>
        <v>8.4003994580051842</v>
      </c>
      <c r="BX21" s="18">
        <f t="shared" si="23"/>
        <v>9.7122884339712208</v>
      </c>
      <c r="BY21" s="18">
        <f t="shared" si="5"/>
        <v>12.202945244630962</v>
      </c>
      <c r="BZ21" s="18">
        <f t="shared" si="24"/>
        <v>12.704581418145318</v>
      </c>
    </row>
    <row r="22" spans="1:78" s="15" customFormat="1">
      <c r="B22" s="204">
        <f>(B21+D21+F21)/(B21/C21+D21/E21+F21/G21)</f>
        <v>2.4734577544871588</v>
      </c>
      <c r="D22" s="28"/>
      <c r="F22" s="28"/>
      <c r="J22" s="28"/>
      <c r="N22" s="28"/>
      <c r="R22" s="28"/>
      <c r="U22" s="30"/>
      <c r="AA22" s="53">
        <v>2035</v>
      </c>
      <c r="AB22" s="15">
        <f t="shared" si="20"/>
        <v>1.8042890278891868</v>
      </c>
      <c r="AC22" s="52"/>
      <c r="AF22" s="1">
        <v>2036</v>
      </c>
      <c r="AH22" s="15">
        <f>AH21+$AE$6</f>
        <v>3.0303199741471749</v>
      </c>
      <c r="AI22" s="15">
        <f t="shared" si="22"/>
        <v>4.4316670151496576</v>
      </c>
      <c r="AJ22" s="15">
        <f t="shared" si="6"/>
        <v>6.4486336331499947</v>
      </c>
      <c r="AK22" s="15">
        <f t="shared" si="7"/>
        <v>7.0482167289611324</v>
      </c>
      <c r="AO22" s="1">
        <v>2036</v>
      </c>
      <c r="AQ22" s="15">
        <f t="shared" si="8"/>
        <v>2.9332167723137523</v>
      </c>
      <c r="AR22" s="15">
        <f t="shared" si="9"/>
        <v>4.2373396357046946</v>
      </c>
      <c r="AS22" s="15">
        <f t="shared" si="10"/>
        <v>6.1442937354778495</v>
      </c>
      <c r="AT22" s="15">
        <f t="shared" si="11"/>
        <v>6.7330415706370461</v>
      </c>
      <c r="AY22" s="15">
        <f t="shared" si="12"/>
        <v>2.9337399539148583</v>
      </c>
      <c r="AZ22" s="15">
        <f t="shared" si="13"/>
        <v>4.2386451915740198</v>
      </c>
      <c r="BA22" s="15">
        <f t="shared" si="14"/>
        <v>6.14703125231879</v>
      </c>
      <c r="BB22" s="15">
        <f t="shared" si="15"/>
        <v>6.7364468699196776</v>
      </c>
      <c r="BG22" s="15">
        <f t="shared" si="16"/>
        <v>4.9941441739351085</v>
      </c>
      <c r="BH22" s="15">
        <f t="shared" si="0"/>
        <v>6.2360069652602288</v>
      </c>
      <c r="BI22" s="15">
        <f t="shared" si="1"/>
        <v>7.8062778899231517</v>
      </c>
      <c r="BJ22" s="15">
        <f t="shared" si="2"/>
        <v>8.1264799200181148</v>
      </c>
      <c r="BO22" s="15">
        <f t="shared" si="3"/>
        <v>3.8107473440966739</v>
      </c>
      <c r="BP22" s="15">
        <f t="shared" si="17"/>
        <v>4.6578657827833228</v>
      </c>
      <c r="BQ22" s="15">
        <f t="shared" si="18"/>
        <v>5.7355579246448514</v>
      </c>
      <c r="BR22" s="15">
        <f t="shared" si="19"/>
        <v>5.8927556289708889</v>
      </c>
      <c r="BW22" s="15">
        <f t="shared" si="4"/>
        <v>8.5845344150942182</v>
      </c>
      <c r="BX22" s="15">
        <f t="shared" si="23"/>
        <v>9.9299661580118794</v>
      </c>
      <c r="BY22" s="15">
        <f t="shared" si="5"/>
        <v>12.481819092900757</v>
      </c>
      <c r="BZ22" s="15">
        <f t="shared" si="24"/>
        <v>12.99594078300067</v>
      </c>
    </row>
    <row r="23" spans="1:78" s="15" customFormat="1">
      <c r="AA23" s="53">
        <v>2036</v>
      </c>
      <c r="AB23" s="15">
        <f t="shared" si="20"/>
        <v>1.8574258971245938</v>
      </c>
      <c r="AC23" s="52"/>
      <c r="AF23" s="1">
        <v>2037</v>
      </c>
      <c r="AH23" s="15">
        <f t="shared" si="21"/>
        <v>3.1220660084001151</v>
      </c>
      <c r="AI23" s="15">
        <f t="shared" si="22"/>
        <v>4.5951580970997572</v>
      </c>
      <c r="AJ23" s="15">
        <f t="shared" si="6"/>
        <v>6.6951448718214914</v>
      </c>
      <c r="AK23" s="15">
        <f t="shared" si="7"/>
        <v>7.32621287419353</v>
      </c>
      <c r="AO23" s="1">
        <v>2037</v>
      </c>
      <c r="AQ23" s="15">
        <f t="shared" si="8"/>
        <v>3.0208293773708541</v>
      </c>
      <c r="AR23" s="15">
        <f t="shared" si="9"/>
        <v>4.3917151912827892</v>
      </c>
      <c r="AS23" s="15">
        <f t="shared" si="10"/>
        <v>6.3768942416024945</v>
      </c>
      <c r="AT23" s="15">
        <f t="shared" si="11"/>
        <v>6.9963601241009421</v>
      </c>
      <c r="AY23" s="15">
        <f t="shared" si="12"/>
        <v>3.0213997209859453</v>
      </c>
      <c r="AZ23" s="15">
        <f t="shared" si="13"/>
        <v>4.3931399907210427</v>
      </c>
      <c r="BA23" s="15">
        <f t="shared" si="14"/>
        <v>6.3798535693468423</v>
      </c>
      <c r="BB23" s="15">
        <f t="shared" si="15"/>
        <v>7.0000243572366649</v>
      </c>
      <c r="BG23" s="15">
        <f t="shared" si="16"/>
        <v>5.1117388684873983</v>
      </c>
      <c r="BH23" s="15">
        <f t="shared" si="0"/>
        <v>6.3880423009980394</v>
      </c>
      <c r="BI23" s="15">
        <f t="shared" si="1"/>
        <v>7.9965730679901919</v>
      </c>
      <c r="BJ23" s="15">
        <f t="shared" si="2"/>
        <v>8.3267904197609557</v>
      </c>
      <c r="BO23" s="15">
        <f t="shared" si="3"/>
        <v>3.9017605879224968</v>
      </c>
      <c r="BP23" s="15">
        <f t="shared" si="17"/>
        <v>4.7762689192112759</v>
      </c>
      <c r="BQ23" s="15">
        <f t="shared" si="18"/>
        <v>5.8755498689670809</v>
      </c>
      <c r="BR23" s="15">
        <f t="shared" si="19"/>
        <v>6.0338259292648928</v>
      </c>
      <c r="BW23" s="15">
        <f t="shared" si="4"/>
        <v>8.7686693721832523</v>
      </c>
      <c r="BX23" s="15">
        <f t="shared" si="23"/>
        <v>10.147643882052538</v>
      </c>
      <c r="BY23" s="15">
        <f t="shared" si="5"/>
        <v>12.760692941170552</v>
      </c>
      <c r="BZ23" s="15">
        <f t="shared" si="24"/>
        <v>13.287300147856021</v>
      </c>
    </row>
    <row r="24" spans="1:78" s="15" customFormat="1">
      <c r="A24" s="15" t="s">
        <v>31</v>
      </c>
      <c r="AA24" s="53">
        <v>2037</v>
      </c>
      <c r="AB24" s="15">
        <f t="shared" si="20"/>
        <v>1.9105627663600009</v>
      </c>
      <c r="AC24" s="52"/>
      <c r="AF24" s="1">
        <v>2038</v>
      </c>
      <c r="AH24" s="15">
        <f t="shared" si="21"/>
        <v>3.2138120426530552</v>
      </c>
      <c r="AI24" s="15">
        <f t="shared" si="22"/>
        <v>4.7586491790498568</v>
      </c>
      <c r="AJ24" s="15">
        <f t="shared" si="6"/>
        <v>6.9416561104929881</v>
      </c>
      <c r="AK24" s="15">
        <f t="shared" si="7"/>
        <v>7.6042090194259275</v>
      </c>
      <c r="AO24" s="1">
        <v>2038</v>
      </c>
      <c r="AQ24" s="15">
        <f t="shared" si="8"/>
        <v>3.1084419824279559</v>
      </c>
      <c r="AR24" s="15">
        <f t="shared" si="9"/>
        <v>4.5460907468608838</v>
      </c>
      <c r="AS24" s="15">
        <f t="shared" si="10"/>
        <v>6.6094947477271395</v>
      </c>
      <c r="AT24" s="15">
        <f t="shared" si="11"/>
        <v>7.2596786775648381</v>
      </c>
      <c r="AY24" s="15">
        <f t="shared" si="12"/>
        <v>3.1090594880570324</v>
      </c>
      <c r="AZ24" s="15">
        <f t="shared" si="13"/>
        <v>4.5476347898680656</v>
      </c>
      <c r="BA24" s="15">
        <f t="shared" si="14"/>
        <v>6.6126758863748947</v>
      </c>
      <c r="BB24" s="15">
        <f t="shared" si="15"/>
        <v>7.2636018445536523</v>
      </c>
      <c r="BG24" s="15">
        <f t="shared" si="16"/>
        <v>5.2293335630396882</v>
      </c>
      <c r="BH24" s="15">
        <f t="shared" si="0"/>
        <v>6.54007763673585</v>
      </c>
      <c r="BI24" s="15">
        <f t="shared" si="1"/>
        <v>8.186868246057232</v>
      </c>
      <c r="BJ24" s="15">
        <f t="shared" si="2"/>
        <v>8.5271009195037966</v>
      </c>
      <c r="BO24" s="15">
        <f t="shared" si="3"/>
        <v>3.9927738317483197</v>
      </c>
      <c r="BP24" s="15">
        <f t="shared" si="17"/>
        <v>4.8946720556392291</v>
      </c>
      <c r="BQ24" s="15">
        <f t="shared" si="18"/>
        <v>6.0155418132893104</v>
      </c>
      <c r="BR24" s="15">
        <f t="shared" si="19"/>
        <v>6.1748962295588967</v>
      </c>
      <c r="BW24" s="15">
        <f t="shared" si="4"/>
        <v>8.9528043292722863</v>
      </c>
      <c r="BX24" s="15">
        <f t="shared" si="23"/>
        <v>10.365321606093197</v>
      </c>
      <c r="BY24" s="15">
        <f t="shared" si="5"/>
        <v>13.039566789440347</v>
      </c>
      <c r="BZ24" s="15">
        <f t="shared" si="24"/>
        <v>13.578659512711372</v>
      </c>
    </row>
    <row r="25" spans="1:78" s="15" customFormat="1">
      <c r="AA25" s="53">
        <v>2038</v>
      </c>
      <c r="AB25" s="15">
        <f t="shared" si="20"/>
        <v>1.9636996355954079</v>
      </c>
      <c r="AC25" s="52"/>
      <c r="AF25" s="1">
        <v>2039</v>
      </c>
      <c r="AH25" s="15">
        <f t="shared" si="21"/>
        <v>3.3055580769059953</v>
      </c>
      <c r="AI25" s="15">
        <f t="shared" si="22"/>
        <v>4.9221402609999565</v>
      </c>
      <c r="AJ25" s="15">
        <f t="shared" si="6"/>
        <v>7.1881673491644849</v>
      </c>
      <c r="AK25" s="15">
        <f t="shared" si="7"/>
        <v>7.8822051646583251</v>
      </c>
      <c r="AO25" s="1">
        <v>2039</v>
      </c>
      <c r="AQ25" s="15">
        <f t="shared" si="8"/>
        <v>3.1960545874850577</v>
      </c>
      <c r="AR25" s="15">
        <f t="shared" si="9"/>
        <v>4.7004663024389783</v>
      </c>
      <c r="AS25" s="15">
        <f t="shared" si="10"/>
        <v>6.8420952538517845</v>
      </c>
      <c r="AT25" s="15">
        <f t="shared" si="11"/>
        <v>7.5229972310287341</v>
      </c>
      <c r="AY25" s="15">
        <f t="shared" si="12"/>
        <v>3.1967192551281194</v>
      </c>
      <c r="AZ25" s="15">
        <f t="shared" si="13"/>
        <v>4.7021295890150885</v>
      </c>
      <c r="BA25" s="15">
        <f t="shared" si="14"/>
        <v>6.845498203402947</v>
      </c>
      <c r="BB25" s="15">
        <f t="shared" si="15"/>
        <v>7.5271793318706397</v>
      </c>
      <c r="BG25" s="15">
        <f t="shared" si="16"/>
        <v>5.3469282575919781</v>
      </c>
      <c r="BH25" s="15">
        <f t="shared" si="0"/>
        <v>6.6921129724736605</v>
      </c>
      <c r="BI25" s="15">
        <f t="shared" si="1"/>
        <v>8.3771634241242712</v>
      </c>
      <c r="BJ25" s="15">
        <f t="shared" si="2"/>
        <v>8.7274114192466374</v>
      </c>
      <c r="BO25" s="15">
        <f t="shared" si="3"/>
        <v>4.0837870755741426</v>
      </c>
      <c r="BP25" s="15">
        <f t="shared" si="17"/>
        <v>5.0130751920671823</v>
      </c>
      <c r="BQ25" s="15">
        <f t="shared" si="18"/>
        <v>6.1555337576115399</v>
      </c>
      <c r="BR25" s="15">
        <f t="shared" si="19"/>
        <v>6.3159665298529006</v>
      </c>
      <c r="BW25" s="15">
        <f t="shared" si="4"/>
        <v>9.1369392863613204</v>
      </c>
      <c r="BX25" s="15">
        <f t="shared" si="23"/>
        <v>10.582999330133855</v>
      </c>
      <c r="BY25" s="15">
        <f t="shared" si="5"/>
        <v>13.318440637710141</v>
      </c>
      <c r="BZ25" s="15">
        <f t="shared" si="24"/>
        <v>13.870018877566723</v>
      </c>
    </row>
    <row r="26" spans="1:78" s="15" customFormat="1">
      <c r="A26" s="20" t="s">
        <v>18</v>
      </c>
      <c r="B26" s="205" t="s">
        <v>12</v>
      </c>
      <c r="C26" s="205"/>
      <c r="D26" s="205" t="s">
        <v>19</v>
      </c>
      <c r="E26" s="205"/>
      <c r="F26" s="205" t="s">
        <v>14</v>
      </c>
      <c r="G26" s="205"/>
      <c r="H26" s="205" t="s">
        <v>15</v>
      </c>
      <c r="I26" s="205"/>
      <c r="J26" s="205"/>
      <c r="K26" s="205"/>
      <c r="L26" s="205" t="s">
        <v>16</v>
      </c>
      <c r="M26" s="205"/>
      <c r="N26" s="205"/>
      <c r="O26" s="205"/>
      <c r="P26" s="205" t="s">
        <v>17</v>
      </c>
      <c r="Q26" s="205"/>
      <c r="R26" s="205"/>
      <c r="S26" s="205"/>
      <c r="T26" s="81"/>
      <c r="AA26" s="53">
        <v>2039</v>
      </c>
      <c r="AB26" s="15">
        <f t="shared" si="20"/>
        <v>2.016836504830815</v>
      </c>
      <c r="AC26" s="52"/>
      <c r="AF26" s="1">
        <v>2040</v>
      </c>
      <c r="AH26" s="15">
        <f t="shared" si="21"/>
        <v>3.3973041111589355</v>
      </c>
      <c r="AI26" s="15">
        <f t="shared" si="22"/>
        <v>5.0856313429500561</v>
      </c>
      <c r="AJ26" s="15">
        <f>AJ25+$AE$8</f>
        <v>7.4346785878359816</v>
      </c>
      <c r="AK26" s="15">
        <f t="shared" si="7"/>
        <v>8.1602013098907236</v>
      </c>
      <c r="AO26" s="1">
        <v>2040</v>
      </c>
      <c r="AQ26" s="15">
        <f t="shared" si="8"/>
        <v>3.2836671925421594</v>
      </c>
      <c r="AR26" s="15">
        <f t="shared" si="9"/>
        <v>4.8548418580170729</v>
      </c>
      <c r="AS26" s="15">
        <f t="shared" si="10"/>
        <v>7.0746957599764295</v>
      </c>
      <c r="AT26" s="15">
        <f t="shared" si="11"/>
        <v>7.7863157844926301</v>
      </c>
      <c r="AY26" s="15">
        <f t="shared" si="12"/>
        <v>3.2843790221992064</v>
      </c>
      <c r="AZ26" s="15">
        <f t="shared" si="13"/>
        <v>4.8566243881621114</v>
      </c>
      <c r="BA26" s="15">
        <f t="shared" si="14"/>
        <v>7.0783205204309994</v>
      </c>
      <c r="BB26" s="15">
        <f t="shared" si="15"/>
        <v>7.7907568191876271</v>
      </c>
      <c r="BG26" s="15">
        <f t="shared" si="16"/>
        <v>5.464522952144268</v>
      </c>
      <c r="BH26" s="15">
        <f t="shared" si="0"/>
        <v>6.8441483082114711</v>
      </c>
      <c r="BI26" s="15">
        <f t="shared" si="1"/>
        <v>8.5674586021913104</v>
      </c>
      <c r="BJ26" s="15">
        <f t="shared" si="2"/>
        <v>8.9277219189894783</v>
      </c>
      <c r="BO26" s="15">
        <f t="shared" si="3"/>
        <v>4.1748003193999654</v>
      </c>
      <c r="BP26" s="15">
        <f t="shared" si="17"/>
        <v>5.1314783284951355</v>
      </c>
      <c r="BQ26" s="15">
        <f t="shared" si="18"/>
        <v>6.2955257019337694</v>
      </c>
      <c r="BR26" s="15">
        <f t="shared" si="19"/>
        <v>6.4570368301469045</v>
      </c>
      <c r="BW26" s="15">
        <f t="shared" si="4"/>
        <v>9.3210742434503544</v>
      </c>
      <c r="BX26" s="15">
        <f t="shared" si="23"/>
        <v>10.800677054174514</v>
      </c>
      <c r="BY26" s="15">
        <f t="shared" si="5"/>
        <v>13.597314485979936</v>
      </c>
      <c r="BZ26" s="15">
        <f t="shared" si="24"/>
        <v>14.161378242422074</v>
      </c>
    </row>
    <row r="27" spans="1:78" s="24" customFormat="1" ht="26">
      <c r="A27" s="21"/>
      <c r="B27" s="22" t="s">
        <v>22</v>
      </c>
      <c r="C27" s="23" t="s">
        <v>23</v>
      </c>
      <c r="D27" s="22" t="s">
        <v>22</v>
      </c>
      <c r="E27" s="23" t="s">
        <v>23</v>
      </c>
      <c r="F27" s="22" t="s">
        <v>22</v>
      </c>
      <c r="G27" s="23" t="s">
        <v>23</v>
      </c>
      <c r="H27" s="22" t="s">
        <v>24</v>
      </c>
      <c r="I27" s="22" t="s">
        <v>25</v>
      </c>
      <c r="J27" s="22" t="s">
        <v>22</v>
      </c>
      <c r="K27" s="23" t="s">
        <v>23</v>
      </c>
      <c r="L27" s="22" t="s">
        <v>26</v>
      </c>
      <c r="M27" s="22" t="s">
        <v>25</v>
      </c>
      <c r="N27" s="22" t="s">
        <v>22</v>
      </c>
      <c r="O27" s="23" t="s">
        <v>23</v>
      </c>
      <c r="P27" s="22" t="s">
        <v>26</v>
      </c>
      <c r="Q27" s="22" t="s">
        <v>25</v>
      </c>
      <c r="R27" s="22" t="s">
        <v>22</v>
      </c>
      <c r="S27" s="23" t="s">
        <v>23</v>
      </c>
      <c r="T27" s="27"/>
      <c r="AA27" s="53">
        <v>2040</v>
      </c>
      <c r="AB27" s="15">
        <f t="shared" si="20"/>
        <v>2.0699733740662221</v>
      </c>
      <c r="AC27" s="54"/>
      <c r="AF27" s="1">
        <v>2041</v>
      </c>
      <c r="AG27" s="15"/>
      <c r="AH27" s="15">
        <f t="shared" si="21"/>
        <v>3.4890501454118756</v>
      </c>
      <c r="AI27" s="15">
        <f t="shared" si="22"/>
        <v>5.2491224249001558</v>
      </c>
      <c r="AJ27" s="15">
        <f>AJ26+$AE$8</f>
        <v>7.6811898265074783</v>
      </c>
      <c r="AK27" s="15">
        <f t="shared" si="7"/>
        <v>8.438197455123122</v>
      </c>
      <c r="AL27" s="15"/>
      <c r="AM27" s="15"/>
      <c r="AO27" s="1">
        <v>2041</v>
      </c>
      <c r="AQ27" s="15">
        <f t="shared" si="8"/>
        <v>3.3712797975992612</v>
      </c>
      <c r="AR27" s="15">
        <f t="shared" si="9"/>
        <v>5.0092174135951675</v>
      </c>
      <c r="AS27" s="15">
        <f t="shared" si="10"/>
        <v>7.3072962661010745</v>
      </c>
      <c r="AT27" s="15">
        <f t="shared" si="11"/>
        <v>8.0496343379565261</v>
      </c>
      <c r="AY27" s="15">
        <f>AY26+$AW$6</f>
        <v>3.3720387892702934</v>
      </c>
      <c r="AZ27" s="15">
        <f>AZ26+$AW$7</f>
        <v>5.0111191873091343</v>
      </c>
      <c r="BA27" s="15">
        <f>BA26+$AW$8</f>
        <v>7.3111428374590517</v>
      </c>
      <c r="BB27" s="15">
        <f>BB26+$AW$9</f>
        <v>8.0543343065046145</v>
      </c>
      <c r="BC27" s="15"/>
      <c r="BD27" s="15"/>
      <c r="BG27" s="15">
        <f>BG26+$BE$6</f>
        <v>5.5821176466965579</v>
      </c>
      <c r="BH27" s="15">
        <f t="shared" si="0"/>
        <v>6.9961836439492817</v>
      </c>
      <c r="BI27" s="15">
        <f t="shared" si="1"/>
        <v>8.7577537802583496</v>
      </c>
      <c r="BJ27" s="15">
        <f t="shared" si="2"/>
        <v>9.1280324187323192</v>
      </c>
      <c r="BO27" s="15">
        <f t="shared" si="3"/>
        <v>4.2658135632257883</v>
      </c>
      <c r="BP27" s="15">
        <f>BP26+$BM$7</f>
        <v>5.2498814649230887</v>
      </c>
      <c r="BQ27" s="15">
        <f>BQ26+$BM$8</f>
        <v>6.4355176462559989</v>
      </c>
      <c r="BR27" s="15">
        <f t="shared" si="19"/>
        <v>6.5981071304409085</v>
      </c>
      <c r="BW27" s="15">
        <f t="shared" si="4"/>
        <v>9.5052092005393884</v>
      </c>
      <c r="BX27" s="15">
        <f t="shared" si="23"/>
        <v>11.018354778215173</v>
      </c>
      <c r="BY27" s="15">
        <f t="shared" si="5"/>
        <v>13.876188334249731</v>
      </c>
      <c r="BZ27" s="15">
        <f t="shared" si="24"/>
        <v>14.452737607277426</v>
      </c>
    </row>
    <row r="28" spans="1:78" s="15" customFormat="1">
      <c r="A28" s="15">
        <v>10</v>
      </c>
      <c r="B28" s="94">
        <v>1462.8131907151701</v>
      </c>
      <c r="C28" s="95">
        <v>13.453486897310301</v>
      </c>
      <c r="D28" s="94">
        <v>4894.3245325472599</v>
      </c>
      <c r="E28" s="95">
        <v>13.3499271222781</v>
      </c>
      <c r="F28" s="96">
        <v>5872.4237576175801</v>
      </c>
      <c r="G28" s="95">
        <v>13.3608958365155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AA28" s="53">
        <v>2041</v>
      </c>
      <c r="AB28" s="15">
        <f t="shared" si="20"/>
        <v>2.1231102433016291</v>
      </c>
      <c r="AC28" s="52"/>
      <c r="AF28" s="1">
        <v>2042</v>
      </c>
      <c r="AH28" s="15">
        <f t="shared" si="21"/>
        <v>3.5807961796648158</v>
      </c>
      <c r="AI28" s="15">
        <f>AI27+$AE$7</f>
        <v>5.4126135068502554</v>
      </c>
      <c r="AJ28" s="15">
        <f t="shared" si="6"/>
        <v>7.927701065178975</v>
      </c>
      <c r="AK28" s="15">
        <f t="shared" si="7"/>
        <v>8.7161936003555205</v>
      </c>
      <c r="AO28" s="1">
        <v>2042</v>
      </c>
      <c r="AQ28" s="15">
        <f t="shared" si="8"/>
        <v>3.458892402656363</v>
      </c>
      <c r="AR28" s="15">
        <f t="shared" si="9"/>
        <v>5.163592969173262</v>
      </c>
      <c r="AS28" s="15">
        <f t="shared" si="10"/>
        <v>7.5398967722257195</v>
      </c>
      <c r="AT28" s="15">
        <f t="shared" si="11"/>
        <v>8.3129528914204229</v>
      </c>
      <c r="AY28" s="15">
        <f t="shared" si="12"/>
        <v>3.4596985563413805</v>
      </c>
      <c r="AZ28" s="15">
        <f t="shared" si="13"/>
        <v>5.1656139864561572</v>
      </c>
      <c r="BA28" s="15">
        <f t="shared" si="14"/>
        <v>7.543965154487104</v>
      </c>
      <c r="BB28" s="15">
        <f t="shared" si="15"/>
        <v>8.317911793821601</v>
      </c>
      <c r="BG28" s="15">
        <f t="shared" si="16"/>
        <v>5.6997123412488477</v>
      </c>
      <c r="BH28" s="15">
        <f t="shared" si="0"/>
        <v>7.1482189796870923</v>
      </c>
      <c r="BI28" s="15">
        <f t="shared" si="1"/>
        <v>8.9480489583253888</v>
      </c>
      <c r="BJ28" s="15">
        <f t="shared" si="2"/>
        <v>9.3283429184751601</v>
      </c>
      <c r="BO28" s="15">
        <f t="shared" si="3"/>
        <v>4.3568268070516112</v>
      </c>
      <c r="BP28" s="15">
        <f t="shared" si="17"/>
        <v>5.3682846013510419</v>
      </c>
      <c r="BQ28" s="15">
        <f t="shared" si="18"/>
        <v>6.5755095905782284</v>
      </c>
      <c r="BR28" s="15">
        <f t="shared" si="19"/>
        <v>6.7391774307349124</v>
      </c>
      <c r="BW28" s="15">
        <f t="shared" si="4"/>
        <v>9.6893441576284225</v>
      </c>
      <c r="BX28" s="15">
        <f t="shared" si="23"/>
        <v>11.236032502255831</v>
      </c>
      <c r="BY28" s="15">
        <f t="shared" si="5"/>
        <v>14.155062182519526</v>
      </c>
      <c r="BZ28" s="15">
        <f t="shared" si="24"/>
        <v>14.744096972132777</v>
      </c>
    </row>
    <row r="29" spans="1:78" s="15" customFormat="1">
      <c r="A29" s="15">
        <v>25</v>
      </c>
      <c r="B29" s="96">
        <v>1677.4659332276999</v>
      </c>
      <c r="C29" s="95">
        <v>15.427647287162999</v>
      </c>
      <c r="D29" s="96">
        <v>5623.1095868379298</v>
      </c>
      <c r="E29" s="95">
        <v>15.337786181865701</v>
      </c>
      <c r="F29" s="96">
        <v>6746.8151904803099</v>
      </c>
      <c r="G29" s="95">
        <v>15.350304867099499</v>
      </c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AA29" s="53">
        <v>2042</v>
      </c>
      <c r="AB29" s="15">
        <f t="shared" si="20"/>
        <v>2.1762471125370362</v>
      </c>
      <c r="AC29" s="52"/>
      <c r="AF29" s="1">
        <v>2043</v>
      </c>
      <c r="AH29" s="15">
        <f t="shared" si="21"/>
        <v>3.6725422139177559</v>
      </c>
      <c r="AI29" s="15">
        <f t="shared" si="22"/>
        <v>5.5761045888003551</v>
      </c>
      <c r="AJ29" s="15">
        <f t="shared" si="6"/>
        <v>8.1742123038504726</v>
      </c>
      <c r="AK29" s="15">
        <f t="shared" si="7"/>
        <v>8.9941897455879189</v>
      </c>
      <c r="AO29" s="1">
        <v>2043</v>
      </c>
      <c r="AQ29" s="15">
        <f t="shared" si="8"/>
        <v>3.5465050077134648</v>
      </c>
      <c r="AR29" s="15">
        <f t="shared" si="9"/>
        <v>5.3179685247513566</v>
      </c>
      <c r="AS29" s="15">
        <f t="shared" si="10"/>
        <v>7.7724972783503645</v>
      </c>
      <c r="AT29" s="15">
        <f t="shared" si="11"/>
        <v>8.5762714448843198</v>
      </c>
      <c r="AY29" s="15">
        <f t="shared" si="12"/>
        <v>3.5473583234124675</v>
      </c>
      <c r="AZ29" s="15">
        <f t="shared" si="13"/>
        <v>5.3201087856031801</v>
      </c>
      <c r="BA29" s="15">
        <f t="shared" si="14"/>
        <v>7.7767874715151564</v>
      </c>
      <c r="BB29" s="15">
        <f t="shared" si="15"/>
        <v>8.5814892811385874</v>
      </c>
      <c r="BG29" s="15">
        <f t="shared" si="16"/>
        <v>5.8173070358011376</v>
      </c>
      <c r="BH29" s="15">
        <f t="shared" si="0"/>
        <v>7.3002543154249029</v>
      </c>
      <c r="BI29" s="15">
        <f t="shared" si="1"/>
        <v>9.138344136392428</v>
      </c>
      <c r="BJ29" s="15">
        <f t="shared" si="2"/>
        <v>9.5286534182180009</v>
      </c>
      <c r="BO29" s="15">
        <f t="shared" si="3"/>
        <v>4.4478400508774341</v>
      </c>
      <c r="BP29" s="15">
        <f t="shared" si="17"/>
        <v>5.4866877377789951</v>
      </c>
      <c r="BQ29" s="15">
        <f t="shared" si="18"/>
        <v>6.7155015349004579</v>
      </c>
      <c r="BR29" s="15">
        <f t="shared" si="19"/>
        <v>6.8802477310289163</v>
      </c>
      <c r="BW29" s="15">
        <f t="shared" si="4"/>
        <v>9.8734791147174565</v>
      </c>
      <c r="BX29" s="15">
        <f t="shared" si="23"/>
        <v>11.45371022629649</v>
      </c>
      <c r="BY29" s="15">
        <f t="shared" si="5"/>
        <v>14.433936030789321</v>
      </c>
      <c r="BZ29" s="15">
        <f t="shared" si="24"/>
        <v>15.035456336988128</v>
      </c>
    </row>
    <row r="30" spans="1:78" s="15" customFormat="1">
      <c r="A30" s="15">
        <v>100</v>
      </c>
      <c r="B30" s="96">
        <v>2143.3480454259302</v>
      </c>
      <c r="C30" s="95">
        <v>19.712363156511898</v>
      </c>
      <c r="D30" s="96">
        <v>7125.3363972999496</v>
      </c>
      <c r="E30" s="95">
        <v>19.4353114496401</v>
      </c>
      <c r="F30" s="96">
        <v>8538.0276849703896</v>
      </c>
      <c r="G30" s="95">
        <v>19.425658511138302</v>
      </c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AA30" s="53">
        <v>2043</v>
      </c>
      <c r="AB30" s="15">
        <f t="shared" si="20"/>
        <v>2.2293839817724432</v>
      </c>
      <c r="AC30" s="52"/>
      <c r="AF30" s="1">
        <v>2044</v>
      </c>
      <c r="AH30" s="15">
        <f t="shared" si="21"/>
        <v>3.7642882481706961</v>
      </c>
      <c r="AI30" s="15">
        <f t="shared" si="22"/>
        <v>5.7395956707504547</v>
      </c>
      <c r="AJ30" s="15">
        <f t="shared" si="6"/>
        <v>8.4207235425219693</v>
      </c>
      <c r="AK30" s="15">
        <f t="shared" si="7"/>
        <v>9.2721858908203174</v>
      </c>
      <c r="AO30" s="1">
        <v>2044</v>
      </c>
      <c r="AQ30" s="15">
        <f>AQ29+$AN$6</f>
        <v>3.6341176127705666</v>
      </c>
      <c r="AR30" s="15">
        <f t="shared" si="9"/>
        <v>5.4723440803294512</v>
      </c>
      <c r="AS30" s="15">
        <f t="shared" si="10"/>
        <v>8.0050977844750104</v>
      </c>
      <c r="AT30" s="15">
        <f t="shared" si="11"/>
        <v>8.8395899983482167</v>
      </c>
      <c r="AY30" s="15">
        <f t="shared" si="12"/>
        <v>3.6350180904835545</v>
      </c>
      <c r="AZ30" s="15">
        <f t="shared" si="13"/>
        <v>5.474603584750203</v>
      </c>
      <c r="BA30" s="15">
        <f t="shared" si="14"/>
        <v>8.0096097885432087</v>
      </c>
      <c r="BB30" s="15">
        <f t="shared" si="15"/>
        <v>8.8450667684555739</v>
      </c>
      <c r="BG30" s="15">
        <f t="shared" si="16"/>
        <v>5.9349017303534275</v>
      </c>
      <c r="BH30" s="15">
        <f t="shared" si="0"/>
        <v>7.4522896511627135</v>
      </c>
      <c r="BI30" s="15">
        <f t="shared" si="1"/>
        <v>9.3286393144594673</v>
      </c>
      <c r="BJ30" s="15">
        <f t="shared" si="2"/>
        <v>9.7289639179608418</v>
      </c>
      <c r="BO30" s="15">
        <f t="shared" si="3"/>
        <v>4.5388532947032569</v>
      </c>
      <c r="BP30" s="15">
        <f t="shared" si="17"/>
        <v>5.6050908742069483</v>
      </c>
      <c r="BQ30" s="15">
        <f t="shared" si="18"/>
        <v>6.8554934792226874</v>
      </c>
      <c r="BR30" s="15">
        <f t="shared" si="19"/>
        <v>7.0213180313229202</v>
      </c>
      <c r="BW30" s="15">
        <f t="shared" si="4"/>
        <v>10.057614071806491</v>
      </c>
      <c r="BX30" s="15">
        <f t="shared" si="23"/>
        <v>11.671387950337149</v>
      </c>
      <c r="BY30" s="15">
        <f t="shared" si="5"/>
        <v>14.712809879059115</v>
      </c>
      <c r="BZ30" s="15">
        <f t="shared" si="24"/>
        <v>15.326815701843479</v>
      </c>
    </row>
    <row r="31" spans="1:78" s="15" customFormat="1">
      <c r="A31" s="15">
        <v>200</v>
      </c>
      <c r="B31" s="96">
        <v>2210.5223764256002</v>
      </c>
      <c r="C31" s="95">
        <v>20.330165202375198</v>
      </c>
      <c r="D31" s="96">
        <v>7396.5671302158898</v>
      </c>
      <c r="E31" s="95">
        <v>20.175129680668899</v>
      </c>
      <c r="F31" s="96">
        <v>8870.6763218703909</v>
      </c>
      <c r="G31" s="95">
        <v>20.1824982712142</v>
      </c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AA31" s="53">
        <v>2044</v>
      </c>
      <c r="AB31" s="15">
        <f t="shared" si="20"/>
        <v>2.2825208510078503</v>
      </c>
      <c r="AC31" s="52"/>
      <c r="AF31" s="1">
        <v>2045</v>
      </c>
      <c r="AH31" s="15">
        <f t="shared" si="21"/>
        <v>3.8560342824236362</v>
      </c>
      <c r="AI31" s="15">
        <f t="shared" si="22"/>
        <v>5.9030867527005544</v>
      </c>
      <c r="AJ31" s="15">
        <f t="shared" si="6"/>
        <v>8.667234781193466</v>
      </c>
      <c r="AK31" s="15">
        <f t="shared" si="7"/>
        <v>9.5501820360527159</v>
      </c>
      <c r="AO31" s="1">
        <v>2045</v>
      </c>
      <c r="AQ31" s="15">
        <f t="shared" si="8"/>
        <v>3.7217302178276683</v>
      </c>
      <c r="AR31" s="15">
        <f t="shared" si="9"/>
        <v>5.6267196359075458</v>
      </c>
      <c r="AS31" s="15">
        <f t="shared" si="10"/>
        <v>8.2376982905996563</v>
      </c>
      <c r="AT31" s="15">
        <f t="shared" si="11"/>
        <v>9.1029085518121136</v>
      </c>
      <c r="AY31" s="15">
        <f t="shared" si="12"/>
        <v>3.7226778575546415</v>
      </c>
      <c r="AZ31" s="15">
        <f t="shared" si="13"/>
        <v>5.6290983838972259</v>
      </c>
      <c r="BA31" s="15">
        <f t="shared" si="14"/>
        <v>8.242432105571261</v>
      </c>
      <c r="BB31" s="15">
        <f t="shared" si="15"/>
        <v>9.1086442557725604</v>
      </c>
      <c r="BG31" s="15">
        <f t="shared" si="16"/>
        <v>6.0524964249057174</v>
      </c>
      <c r="BH31" s="15">
        <f t="shared" si="0"/>
        <v>7.6043249869005241</v>
      </c>
      <c r="BI31" s="15">
        <f t="shared" si="1"/>
        <v>9.5189344925265065</v>
      </c>
      <c r="BJ31" s="15">
        <f t="shared" si="2"/>
        <v>9.9292744177036827</v>
      </c>
      <c r="BO31" s="15">
        <f t="shared" si="3"/>
        <v>4.6298665385290798</v>
      </c>
      <c r="BP31" s="15">
        <f t="shared" si="17"/>
        <v>5.7234940106349015</v>
      </c>
      <c r="BQ31" s="15">
        <f t="shared" si="18"/>
        <v>6.9954854235449169</v>
      </c>
      <c r="BR31" s="15">
        <f t="shared" si="19"/>
        <v>7.1623883316169241</v>
      </c>
      <c r="BW31" s="15">
        <f t="shared" si="4"/>
        <v>10.241749028895525</v>
      </c>
      <c r="BX31" s="15">
        <f t="shared" si="23"/>
        <v>11.889065674377807</v>
      </c>
      <c r="BY31" s="15">
        <f t="shared" si="5"/>
        <v>14.99168372732891</v>
      </c>
      <c r="BZ31" s="15">
        <f t="shared" si="24"/>
        <v>15.61817506669883</v>
      </c>
    </row>
    <row r="32" spans="1:78" s="15" customFormat="1">
      <c r="A32" s="16" t="s">
        <v>1</v>
      </c>
      <c r="B32" s="97">
        <v>1256.35289811542</v>
      </c>
      <c r="C32" s="98">
        <v>11.554672435603401</v>
      </c>
      <c r="D32" s="97">
        <v>4190.7359482094098</v>
      </c>
      <c r="E32" s="98">
        <v>11.4307948165811</v>
      </c>
      <c r="F32" s="97">
        <v>5027.0315509493503</v>
      </c>
      <c r="G32" s="98">
        <v>11.437465634523599</v>
      </c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AA32" s="53">
        <v>2045</v>
      </c>
      <c r="AB32" s="15">
        <f t="shared" si="20"/>
        <v>2.3356577202432574</v>
      </c>
      <c r="AC32" s="52"/>
      <c r="AF32" s="1">
        <v>2046</v>
      </c>
      <c r="AH32" s="15">
        <f t="shared" si="21"/>
        <v>3.9477803166765764</v>
      </c>
      <c r="AI32" s="15">
        <f t="shared" si="22"/>
        <v>6.066577834650654</v>
      </c>
      <c r="AJ32" s="15">
        <f t="shared" si="6"/>
        <v>8.9137460198649627</v>
      </c>
      <c r="AK32" s="15">
        <f t="shared" si="7"/>
        <v>9.8281781812851143</v>
      </c>
      <c r="AO32" s="1">
        <v>2046</v>
      </c>
      <c r="AQ32" s="15">
        <f t="shared" si="8"/>
        <v>3.8093428228847701</v>
      </c>
      <c r="AR32" s="15">
        <f t="shared" si="9"/>
        <v>5.7810951914856403</v>
      </c>
      <c r="AS32" s="15">
        <f t="shared" si="10"/>
        <v>8.4702987967243022</v>
      </c>
      <c r="AT32" s="15">
        <f t="shared" si="11"/>
        <v>9.3662271052760104</v>
      </c>
      <c r="AY32" s="15">
        <f t="shared" si="12"/>
        <v>3.8103376246257286</v>
      </c>
      <c r="AZ32" s="15">
        <f t="shared" si="13"/>
        <v>5.7835931830442489</v>
      </c>
      <c r="BA32" s="15">
        <f t="shared" si="14"/>
        <v>8.4752544225993134</v>
      </c>
      <c r="BB32" s="15">
        <f t="shared" si="15"/>
        <v>9.3722217430895469</v>
      </c>
      <c r="BG32" s="15">
        <f t="shared" si="16"/>
        <v>6.1700911194580073</v>
      </c>
      <c r="BH32" s="15">
        <f t="shared" si="0"/>
        <v>7.7563603226383346</v>
      </c>
      <c r="BI32" s="15">
        <f t="shared" si="1"/>
        <v>9.7092296705935457</v>
      </c>
      <c r="BJ32" s="15">
        <f t="shared" si="2"/>
        <v>10.129584917446524</v>
      </c>
      <c r="BO32" s="15">
        <f t="shared" si="3"/>
        <v>4.7208797823549027</v>
      </c>
      <c r="BP32" s="15">
        <f t="shared" si="17"/>
        <v>5.8418971470628547</v>
      </c>
      <c r="BQ32" s="15">
        <f t="shared" si="18"/>
        <v>7.1354773678671464</v>
      </c>
      <c r="BR32" s="15">
        <f t="shared" si="19"/>
        <v>7.303458631910928</v>
      </c>
      <c r="BW32" s="15">
        <f t="shared" si="4"/>
        <v>10.425883985984559</v>
      </c>
      <c r="BX32" s="15">
        <f t="shared" si="23"/>
        <v>12.106743398418466</v>
      </c>
      <c r="BY32" s="15">
        <f t="shared" si="5"/>
        <v>15.270557575598705</v>
      </c>
      <c r="BZ32" s="15">
        <f t="shared" si="24"/>
        <v>15.909534431554182</v>
      </c>
    </row>
    <row r="33" spans="1:78" s="15" customFormat="1">
      <c r="B33" s="204">
        <f>(B32+D32+F32)/(B32/C32+D32/E32+F32/G32)</f>
        <v>11.448722273447304</v>
      </c>
      <c r="AA33" s="53">
        <v>2046</v>
      </c>
      <c r="AB33" s="15">
        <f t="shared" si="20"/>
        <v>2.3887945894786644</v>
      </c>
      <c r="AC33" s="52"/>
      <c r="AF33" s="1">
        <v>2047</v>
      </c>
      <c r="AH33" s="15">
        <f t="shared" si="21"/>
        <v>4.039526350929517</v>
      </c>
      <c r="AI33" s="15">
        <f t="shared" si="22"/>
        <v>6.2300689166007537</v>
      </c>
      <c r="AJ33" s="15">
        <f t="shared" si="6"/>
        <v>9.1602572585364594</v>
      </c>
      <c r="AK33" s="15">
        <f t="shared" si="7"/>
        <v>10.106174326517513</v>
      </c>
      <c r="AO33" s="1">
        <v>2047</v>
      </c>
      <c r="AQ33" s="15">
        <f t="shared" si="8"/>
        <v>3.8969554279418719</v>
      </c>
      <c r="AR33" s="15">
        <f t="shared" si="9"/>
        <v>5.9354707470637349</v>
      </c>
      <c r="AS33" s="15">
        <f t="shared" si="10"/>
        <v>8.7028993028489481</v>
      </c>
      <c r="AT33" s="15">
        <f>AT32+$AN$9</f>
        <v>9.6295456587399073</v>
      </c>
      <c r="AY33" s="15">
        <f t="shared" si="12"/>
        <v>3.8979973916968156</v>
      </c>
      <c r="AZ33" s="15">
        <f t="shared" si="13"/>
        <v>5.9380879821912718</v>
      </c>
      <c r="BA33" s="15">
        <f t="shared" si="14"/>
        <v>8.7080767396273657</v>
      </c>
      <c r="BB33" s="15">
        <f t="shared" si="15"/>
        <v>9.6357992304065334</v>
      </c>
      <c r="BG33" s="15">
        <f t="shared" si="16"/>
        <v>6.2876858140102971</v>
      </c>
      <c r="BH33" s="15">
        <f t="shared" si="0"/>
        <v>7.9083956583761452</v>
      </c>
      <c r="BI33" s="15">
        <f t="shared" si="1"/>
        <v>9.8995248486605849</v>
      </c>
      <c r="BJ33" s="15">
        <f t="shared" si="2"/>
        <v>10.329895417189364</v>
      </c>
      <c r="BO33" s="15">
        <f t="shared" si="3"/>
        <v>4.8118930261807256</v>
      </c>
      <c r="BP33" s="15">
        <f t="shared" si="17"/>
        <v>5.9603002834908079</v>
      </c>
      <c r="BQ33" s="15">
        <f t="shared" si="18"/>
        <v>7.2754693121893759</v>
      </c>
      <c r="BR33" s="15">
        <f t="shared" si="19"/>
        <v>7.4445289322049319</v>
      </c>
      <c r="BW33" s="15">
        <f t="shared" si="4"/>
        <v>10.610018943073593</v>
      </c>
      <c r="BX33" s="15">
        <f t="shared" si="23"/>
        <v>12.324421122459125</v>
      </c>
      <c r="BY33" s="15">
        <f t="shared" si="5"/>
        <v>15.5494314238685</v>
      </c>
      <c r="BZ33" s="15">
        <f t="shared" si="24"/>
        <v>16.200893796409535</v>
      </c>
    </row>
    <row r="34" spans="1:78" s="15" customFormat="1">
      <c r="AA34" s="53">
        <v>2047</v>
      </c>
      <c r="AB34" s="15">
        <f t="shared" si="20"/>
        <v>2.4419314587140715</v>
      </c>
      <c r="AC34" s="52"/>
      <c r="AF34" s="1">
        <v>2048</v>
      </c>
      <c r="AH34" s="15">
        <f>AH33+$AE$6</f>
        <v>4.1312723851824575</v>
      </c>
      <c r="AI34" s="15">
        <f t="shared" si="22"/>
        <v>6.3935599985508533</v>
      </c>
      <c r="AJ34" s="15">
        <f t="shared" si="6"/>
        <v>9.4067684972079562</v>
      </c>
      <c r="AK34" s="15">
        <f t="shared" si="7"/>
        <v>10.384170471749911</v>
      </c>
      <c r="AO34" s="1">
        <v>2048</v>
      </c>
      <c r="AQ34" s="15">
        <f t="shared" si="8"/>
        <v>3.9845680329989737</v>
      </c>
      <c r="AR34" s="15">
        <f t="shared" si="9"/>
        <v>6.0898463026418295</v>
      </c>
      <c r="AS34" s="15">
        <f t="shared" si="10"/>
        <v>8.935499808973594</v>
      </c>
      <c r="AT34" s="15">
        <f t="shared" si="11"/>
        <v>9.8928642122038042</v>
      </c>
      <c r="AY34" s="15">
        <f t="shared" si="12"/>
        <v>3.9856571587679026</v>
      </c>
      <c r="AZ34" s="15">
        <f t="shared" si="13"/>
        <v>6.0925827813382947</v>
      </c>
      <c r="BA34" s="15">
        <f>BA33+$AW$8</f>
        <v>8.9408990566554181</v>
      </c>
      <c r="BB34" s="15">
        <f>BB33+$AW$9</f>
        <v>9.8993767177235199</v>
      </c>
      <c r="BG34" s="15">
        <f t="shared" si="16"/>
        <v>6.405280508562587</v>
      </c>
      <c r="BH34" s="15">
        <f t="shared" si="0"/>
        <v>8.0604309941139558</v>
      </c>
      <c r="BI34" s="15">
        <f t="shared" si="1"/>
        <v>10.089820026727624</v>
      </c>
      <c r="BJ34" s="15">
        <f t="shared" si="2"/>
        <v>10.530205916932205</v>
      </c>
      <c r="BO34" s="15">
        <f t="shared" si="3"/>
        <v>4.9029062700065484</v>
      </c>
      <c r="BP34" s="15">
        <f t="shared" si="17"/>
        <v>6.0787034199187611</v>
      </c>
      <c r="BQ34" s="15">
        <f t="shared" si="18"/>
        <v>7.4154612565116054</v>
      </c>
      <c r="BR34" s="15">
        <f t="shared" si="19"/>
        <v>7.5855992324989359</v>
      </c>
      <c r="BW34" s="15">
        <f t="shared" si="4"/>
        <v>10.794153900162627</v>
      </c>
      <c r="BX34" s="15">
        <f t="shared" si="23"/>
        <v>12.542098846499783</v>
      </c>
      <c r="BY34" s="15">
        <f t="shared" si="5"/>
        <v>15.828305272138294</v>
      </c>
      <c r="BZ34" s="15">
        <f t="shared" si="24"/>
        <v>16.492253161264887</v>
      </c>
    </row>
    <row r="35" spans="1:78" s="15" customFormat="1">
      <c r="A35" s="15" t="s">
        <v>32</v>
      </c>
      <c r="AA35" s="53">
        <v>2048</v>
      </c>
      <c r="AB35" s="15">
        <f t="shared" si="20"/>
        <v>2.4950683279494785</v>
      </c>
      <c r="AC35" s="52"/>
      <c r="AF35" s="1">
        <v>2049</v>
      </c>
      <c r="AH35" s="15">
        <f>AH34+$AE$6</f>
        <v>4.2230184194353981</v>
      </c>
      <c r="AI35" s="15">
        <f t="shared" si="22"/>
        <v>6.557051080500953</v>
      </c>
      <c r="AJ35" s="15">
        <f>AJ34+$AE$8</f>
        <v>9.6532797358794529</v>
      </c>
      <c r="AK35" s="15">
        <f>AK34+$AE$9</f>
        <v>10.66216661698231</v>
      </c>
      <c r="AO35" s="1">
        <v>2049</v>
      </c>
      <c r="AQ35" s="15">
        <f>AQ34+$AN$6</f>
        <v>4.0721806380560759</v>
      </c>
      <c r="AR35" s="15">
        <f>AR34+$AN$7</f>
        <v>6.244221858219924</v>
      </c>
      <c r="AS35" s="15">
        <f t="shared" si="10"/>
        <v>9.1681003150982399</v>
      </c>
      <c r="AT35" s="15">
        <f>AT34+$AN$9</f>
        <v>10.156182765667701</v>
      </c>
      <c r="AY35" s="15">
        <f t="shared" si="12"/>
        <v>4.0733169258389896</v>
      </c>
      <c r="AZ35" s="15">
        <f>AZ34+$AW$7</f>
        <v>6.2470775804853176</v>
      </c>
      <c r="BA35" s="15">
        <f t="shared" si="14"/>
        <v>9.1737213736834704</v>
      </c>
      <c r="BB35" s="15">
        <f t="shared" si="15"/>
        <v>10.162954205040506</v>
      </c>
      <c r="BG35" s="15">
        <f t="shared" si="16"/>
        <v>6.5228752031148769</v>
      </c>
      <c r="BH35" s="15">
        <f t="shared" si="0"/>
        <v>8.2124663298517664</v>
      </c>
      <c r="BI35" s="15">
        <f t="shared" si="1"/>
        <v>10.280115204794663</v>
      </c>
      <c r="BJ35" s="15">
        <f t="shared" si="2"/>
        <v>10.730516416675046</v>
      </c>
      <c r="BO35" s="15">
        <f t="shared" si="3"/>
        <v>4.9939195138323713</v>
      </c>
      <c r="BP35" s="15">
        <f t="shared" si="17"/>
        <v>6.1971065563467143</v>
      </c>
      <c r="BQ35" s="15">
        <f t="shared" si="18"/>
        <v>7.5554532008338349</v>
      </c>
      <c r="BR35" s="15">
        <f t="shared" si="19"/>
        <v>7.7266695327929398</v>
      </c>
      <c r="BW35" s="15">
        <f t="shared" si="4"/>
        <v>10.978288857251661</v>
      </c>
      <c r="BX35" s="15">
        <f t="shared" si="23"/>
        <v>12.759776570540442</v>
      </c>
      <c r="BY35" s="15">
        <f t="shared" si="5"/>
        <v>16.107179120408091</v>
      </c>
      <c r="BZ35" s="15">
        <f t="shared" si="24"/>
        <v>16.78361252612024</v>
      </c>
    </row>
    <row r="36" spans="1:78" s="15" customFormat="1">
      <c r="AA36" s="53">
        <v>2049</v>
      </c>
      <c r="AB36" s="15">
        <f t="shared" si="20"/>
        <v>2.5482051971848856</v>
      </c>
      <c r="AC36" s="52"/>
      <c r="AF36" s="1">
        <v>2050</v>
      </c>
      <c r="AH36" s="25">
        <f>C17</f>
        <v>4.3147644536883396</v>
      </c>
      <c r="AI36" s="25">
        <f>C18</f>
        <v>6.72054216245105</v>
      </c>
      <c r="AJ36" s="25">
        <f>C19</f>
        <v>9.8997909745509496</v>
      </c>
      <c r="AK36" s="25">
        <f>C20</f>
        <v>10.940162762214699</v>
      </c>
      <c r="AO36" s="1">
        <v>2050</v>
      </c>
      <c r="AQ36" s="25">
        <f>E17</f>
        <v>4.1597932431131799</v>
      </c>
      <c r="AR36" s="25">
        <f>E18</f>
        <v>6.3985974137980204</v>
      </c>
      <c r="AS36" s="25">
        <f>E19</f>
        <v>9.4007008212228804</v>
      </c>
      <c r="AT36" s="25">
        <f>E20</f>
        <v>10.4195013191316</v>
      </c>
      <c r="AY36" s="25">
        <f>G17</f>
        <v>4.1609766929100802</v>
      </c>
      <c r="AZ36" s="25">
        <f>G18</f>
        <v>6.4015723796323396</v>
      </c>
      <c r="BA36" s="25">
        <f>G19</f>
        <v>9.4065436907115192</v>
      </c>
      <c r="BB36" s="25">
        <f>G20</f>
        <v>10.4265316923575</v>
      </c>
      <c r="BG36" s="25">
        <f>K17</f>
        <v>6.6404698976671703</v>
      </c>
      <c r="BH36" s="25">
        <f>K18</f>
        <v>8.3645016655895699</v>
      </c>
      <c r="BI36" s="25">
        <f>K19</f>
        <v>10.470410382861701</v>
      </c>
      <c r="BJ36" s="25">
        <f>K20</f>
        <v>10.930826916417899</v>
      </c>
      <c r="BO36" s="25">
        <f>O17</f>
        <v>5.0849327576582004</v>
      </c>
      <c r="BP36" s="25">
        <f>O18</f>
        <v>6.3155096927746701</v>
      </c>
      <c r="BQ36" s="25">
        <f>O19</f>
        <v>7.6954451451560599</v>
      </c>
      <c r="BR36" s="25">
        <f>O20</f>
        <v>7.8677398330869499</v>
      </c>
      <c r="BW36" s="25">
        <f>S17</f>
        <v>11.1624238143407</v>
      </c>
      <c r="BX36" s="25">
        <f>S18</f>
        <v>12.977454294581101</v>
      </c>
      <c r="BY36" s="25">
        <f>S19</f>
        <v>16.386052968677902</v>
      </c>
      <c r="BZ36" s="25">
        <f>S20</f>
        <v>17.074971890975601</v>
      </c>
    </row>
    <row r="37" spans="1:78" s="15" customFormat="1">
      <c r="A37" s="20" t="s">
        <v>18</v>
      </c>
      <c r="B37" s="205" t="s">
        <v>12</v>
      </c>
      <c r="C37" s="205"/>
      <c r="D37" s="205" t="s">
        <v>19</v>
      </c>
      <c r="E37" s="205"/>
      <c r="F37" s="205" t="s">
        <v>14</v>
      </c>
      <c r="G37" s="205"/>
      <c r="H37" s="205" t="s">
        <v>15</v>
      </c>
      <c r="I37" s="205"/>
      <c r="J37" s="205"/>
      <c r="K37" s="205"/>
      <c r="L37" s="205" t="s">
        <v>16</v>
      </c>
      <c r="M37" s="205"/>
      <c r="N37" s="205"/>
      <c r="O37" s="205"/>
      <c r="P37" s="205" t="s">
        <v>17</v>
      </c>
      <c r="Q37" s="205"/>
      <c r="R37" s="205"/>
      <c r="S37" s="205"/>
      <c r="T37" s="81"/>
      <c r="AA37" s="53">
        <v>2050</v>
      </c>
      <c r="AB37" s="37">
        <f>U21</f>
        <v>2.6013420664202926</v>
      </c>
      <c r="AC37" s="52"/>
    </row>
    <row r="38" spans="1:78" s="24" customFormat="1" ht="26">
      <c r="A38" s="21"/>
      <c r="B38" s="22" t="s">
        <v>22</v>
      </c>
      <c r="C38" s="23" t="s">
        <v>23</v>
      </c>
      <c r="D38" s="22" t="s">
        <v>22</v>
      </c>
      <c r="E38" s="23" t="s">
        <v>23</v>
      </c>
      <c r="F38" s="22" t="s">
        <v>22</v>
      </c>
      <c r="G38" s="23" t="s">
        <v>23</v>
      </c>
      <c r="H38" s="22" t="s">
        <v>24</v>
      </c>
      <c r="I38" s="22" t="s">
        <v>25</v>
      </c>
      <c r="J38" s="22" t="s">
        <v>22</v>
      </c>
      <c r="K38" s="23" t="s">
        <v>23</v>
      </c>
      <c r="L38" s="22" t="s">
        <v>26</v>
      </c>
      <c r="M38" s="22" t="s">
        <v>25</v>
      </c>
      <c r="N38" s="22" t="s">
        <v>22</v>
      </c>
      <c r="O38" s="23" t="s">
        <v>23</v>
      </c>
      <c r="P38" s="22" t="s">
        <v>26</v>
      </c>
      <c r="Q38" s="22" t="s">
        <v>25</v>
      </c>
      <c r="R38" s="22" t="s">
        <v>22</v>
      </c>
      <c r="S38" s="23" t="s">
        <v>23</v>
      </c>
      <c r="T38" s="27"/>
      <c r="AA38" s="55"/>
      <c r="AB38" s="21"/>
      <c r="AC38" s="56"/>
      <c r="BC38" s="15"/>
      <c r="BD38" s="15"/>
    </row>
    <row r="39" spans="1:78" s="15" customFormat="1">
      <c r="A39" s="15">
        <v>10</v>
      </c>
      <c r="B39" s="104">
        <v>92.110700944911997</v>
      </c>
      <c r="C39" s="103">
        <v>1.55262173535563</v>
      </c>
      <c r="D39" s="104">
        <v>296.13614468877398</v>
      </c>
      <c r="E39" s="95">
        <v>1.5211551107607699</v>
      </c>
      <c r="F39" s="104">
        <v>355.221430531799</v>
      </c>
      <c r="G39" s="103">
        <v>1.52170718769622</v>
      </c>
      <c r="H39" s="100">
        <v>1432.6083640209399</v>
      </c>
      <c r="I39" s="95">
        <v>3.3100190510609999</v>
      </c>
      <c r="J39" s="96">
        <v>112.358748951461</v>
      </c>
      <c r="K39" s="95">
        <v>3.1061469830668602</v>
      </c>
      <c r="L39" s="100">
        <v>249.365601749159</v>
      </c>
      <c r="M39" s="95">
        <v>2.1801503912323801</v>
      </c>
      <c r="N39" s="96">
        <v>13.216376912954701</v>
      </c>
      <c r="O39" s="95">
        <v>2.1801503945726601</v>
      </c>
      <c r="P39" s="100">
        <v>84.761001334059998</v>
      </c>
      <c r="Q39" s="95">
        <v>5.7387272399498999</v>
      </c>
      <c r="R39" s="104">
        <v>5.6789870237698796</v>
      </c>
      <c r="S39" s="95">
        <v>5.7387271736475496</v>
      </c>
    </row>
    <row r="40" spans="1:78" s="15" customFormat="1">
      <c r="A40" s="15">
        <v>25</v>
      </c>
      <c r="B40" s="104">
        <v>127.690911253213</v>
      </c>
      <c r="C40" s="103">
        <v>2.1523632128005898</v>
      </c>
      <c r="D40" s="104">
        <v>410.16143981770102</v>
      </c>
      <c r="E40" s="95">
        <v>2.10686598581677</v>
      </c>
      <c r="F40" s="104">
        <v>492.00771259834897</v>
      </c>
      <c r="G40" s="103">
        <v>2.10767596859802</v>
      </c>
      <c r="H40" s="100">
        <v>1975.88465173845</v>
      </c>
      <c r="I40" s="95">
        <v>4.5652503532763902</v>
      </c>
      <c r="J40" s="96">
        <v>153.68206164531901</v>
      </c>
      <c r="K40" s="95">
        <v>4.24852605236216</v>
      </c>
      <c r="L40" s="100">
        <v>347.23500062816299</v>
      </c>
      <c r="M40" s="95">
        <v>3.0358017190781901</v>
      </c>
      <c r="N40" s="96">
        <v>18.403454907973401</v>
      </c>
      <c r="O40" s="95">
        <v>3.0358016984057401</v>
      </c>
      <c r="P40" s="100">
        <v>105.512000793358</v>
      </c>
      <c r="Q40" s="95">
        <v>7.1436696542558096</v>
      </c>
      <c r="R40" s="104">
        <v>7.0693040783808101</v>
      </c>
      <c r="S40" s="95">
        <v>7.1436696797469796</v>
      </c>
    </row>
    <row r="41" spans="1:78" s="15" customFormat="1">
      <c r="A41" s="15">
        <v>100</v>
      </c>
      <c r="B41" s="104">
        <v>173.01309367337899</v>
      </c>
      <c r="C41" s="103">
        <v>2.9163157698589401</v>
      </c>
      <c r="D41" s="104">
        <v>555.85570391011197</v>
      </c>
      <c r="E41" s="95">
        <v>2.8552500598568198</v>
      </c>
      <c r="F41" s="104">
        <v>666.55344450003201</v>
      </c>
      <c r="G41" s="103">
        <v>2.8553997036746201</v>
      </c>
      <c r="H41" s="100">
        <v>2447.7031556663601</v>
      </c>
      <c r="I41" s="95">
        <v>5.65537957202611</v>
      </c>
      <c r="J41" s="96">
        <v>182.64105101441999</v>
      </c>
      <c r="K41" s="95">
        <v>5.0490945732911001</v>
      </c>
      <c r="L41" s="100">
        <v>422.40040257165703</v>
      </c>
      <c r="M41" s="95">
        <v>3.69295683311468</v>
      </c>
      <c r="N41" s="96">
        <v>22.387221395205401</v>
      </c>
      <c r="O41" s="95">
        <v>3.6929568428319701</v>
      </c>
      <c r="P41" s="100">
        <v>126.276997980895</v>
      </c>
      <c r="Q41" s="95">
        <v>8.5495597820510891</v>
      </c>
      <c r="R41" s="104">
        <v>8.4605589836428408</v>
      </c>
      <c r="S41" s="95">
        <v>8.5495599022250008</v>
      </c>
    </row>
    <row r="42" spans="1:78" s="15" customFormat="1">
      <c r="A42" s="15">
        <v>200</v>
      </c>
      <c r="B42" s="104">
        <v>197.68943017938901</v>
      </c>
      <c r="C42" s="103">
        <v>3.33226110536447</v>
      </c>
      <c r="D42" s="104">
        <v>624.93367705369894</v>
      </c>
      <c r="E42" s="95">
        <v>3.21008115282859</v>
      </c>
      <c r="F42" s="104">
        <v>749.42884943958597</v>
      </c>
      <c r="G42" s="103">
        <v>3.2104236085976798</v>
      </c>
      <c r="H42" s="100">
        <v>2686.5775411118898</v>
      </c>
      <c r="I42" s="95">
        <v>6.2072950755877301</v>
      </c>
      <c r="J42" s="96">
        <v>197.00295504042899</v>
      </c>
      <c r="K42" s="95">
        <v>5.4461280511269496</v>
      </c>
      <c r="L42" s="100">
        <v>442.81040016100002</v>
      </c>
      <c r="M42" s="95">
        <v>3.8713970988022401</v>
      </c>
      <c r="N42" s="96">
        <v>23.468951345797301</v>
      </c>
      <c r="O42" s="95">
        <v>3.8713971214451202</v>
      </c>
      <c r="P42" s="100">
        <v>132.65033145396399</v>
      </c>
      <c r="Q42" s="95">
        <v>8.9810650950550794</v>
      </c>
      <c r="R42" s="104">
        <v>8.8875723009211196</v>
      </c>
      <c r="S42" s="95">
        <v>8.9810651895442692</v>
      </c>
    </row>
    <row r="43" spans="1:78" s="15" customFormat="1">
      <c r="A43" s="16" t="s">
        <v>1</v>
      </c>
      <c r="B43" s="105">
        <v>50.0061253098634</v>
      </c>
      <c r="C43" s="99">
        <v>0.84290528961933697</v>
      </c>
      <c r="D43" s="105">
        <v>159.109760014106</v>
      </c>
      <c r="E43" s="99">
        <v>0.81729511563588197</v>
      </c>
      <c r="F43" s="105">
        <v>190.75308979106501</v>
      </c>
      <c r="G43" s="98">
        <v>0.81715325388945304</v>
      </c>
      <c r="H43" s="102">
        <v>753.007955585486</v>
      </c>
      <c r="I43" s="99">
        <v>1.73981301602398</v>
      </c>
      <c r="J43" s="97">
        <v>56.560510297506703</v>
      </c>
      <c r="K43" s="98">
        <v>1.5636099552623</v>
      </c>
      <c r="L43" s="102">
        <v>124.16847502485</v>
      </c>
      <c r="M43" s="98">
        <v>1.0855785541602601</v>
      </c>
      <c r="N43" s="97">
        <v>6.5809291729872701</v>
      </c>
      <c r="O43" s="98">
        <v>1.0855785536109801</v>
      </c>
      <c r="P43" s="102">
        <v>42.665523669085097</v>
      </c>
      <c r="Q43" s="98">
        <v>2.88866104733142</v>
      </c>
      <c r="R43" s="97">
        <v>2.85859009202286</v>
      </c>
      <c r="S43" s="98">
        <v>2.8886610535907402</v>
      </c>
    </row>
    <row r="44" spans="1:78" s="15" customFormat="1">
      <c r="B44" s="204">
        <f>(B43+D43+F43)/(B43/C43+D43/E43+F43/G43)</f>
        <v>0.82034416729421855</v>
      </c>
    </row>
    <row r="45" spans="1:78" s="15" customFormat="1"/>
    <row r="46" spans="1:78" s="15" customFormat="1">
      <c r="A46" s="15" t="s">
        <v>33</v>
      </c>
    </row>
    <row r="47" spans="1:78" s="15" customFormat="1"/>
    <row r="48" spans="1:78" s="15" customFormat="1">
      <c r="A48" s="20" t="s">
        <v>18</v>
      </c>
      <c r="B48" s="205" t="s">
        <v>12</v>
      </c>
      <c r="C48" s="205"/>
      <c r="D48" s="205" t="s">
        <v>19</v>
      </c>
      <c r="E48" s="205"/>
      <c r="F48" s="205" t="s">
        <v>14</v>
      </c>
      <c r="G48" s="205"/>
      <c r="H48" s="205" t="s">
        <v>15</v>
      </c>
      <c r="I48" s="205"/>
      <c r="J48" s="205"/>
      <c r="K48" s="205"/>
      <c r="L48" s="205" t="s">
        <v>16</v>
      </c>
      <c r="M48" s="205"/>
      <c r="N48" s="205"/>
      <c r="O48" s="205"/>
      <c r="P48" s="205" t="s">
        <v>17</v>
      </c>
      <c r="Q48" s="205"/>
      <c r="R48" s="205"/>
      <c r="S48" s="205"/>
      <c r="T48" s="81"/>
    </row>
    <row r="49" spans="1:20" s="24" customFormat="1" ht="26">
      <c r="A49" s="21"/>
      <c r="B49" s="22" t="s">
        <v>22</v>
      </c>
      <c r="C49" s="23" t="s">
        <v>23</v>
      </c>
      <c r="D49" s="22" t="s">
        <v>22</v>
      </c>
      <c r="E49" s="23" t="s">
        <v>23</v>
      </c>
      <c r="F49" s="22" t="s">
        <v>22</v>
      </c>
      <c r="G49" s="23" t="s">
        <v>23</v>
      </c>
      <c r="H49" s="22" t="s">
        <v>24</v>
      </c>
      <c r="I49" s="22" t="s">
        <v>25</v>
      </c>
      <c r="J49" s="22" t="s">
        <v>22</v>
      </c>
      <c r="K49" s="23" t="s">
        <v>23</v>
      </c>
      <c r="L49" s="22" t="s">
        <v>26</v>
      </c>
      <c r="M49" s="22" t="s">
        <v>25</v>
      </c>
      <c r="N49" s="22" t="s">
        <v>22</v>
      </c>
      <c r="O49" s="23" t="s">
        <v>23</v>
      </c>
      <c r="P49" s="22" t="s">
        <v>26</v>
      </c>
      <c r="Q49" s="22" t="s">
        <v>25</v>
      </c>
      <c r="R49" s="22" t="s">
        <v>22</v>
      </c>
      <c r="S49" s="23" t="s">
        <v>23</v>
      </c>
      <c r="T49" s="27"/>
    </row>
    <row r="50" spans="1:20" s="15" customFormat="1">
      <c r="A50" s="15">
        <v>10</v>
      </c>
      <c r="B50" s="94">
        <v>943.81881648035699</v>
      </c>
      <c r="C50" s="95">
        <v>8.6802977725033301</v>
      </c>
      <c r="D50" s="94">
        <v>3135.8716643242301</v>
      </c>
      <c r="E50" s="95">
        <v>8.5535108890209699</v>
      </c>
      <c r="F50" s="96">
        <v>3762.7042118375698</v>
      </c>
      <c r="G50" s="95">
        <v>8.5608772651610199</v>
      </c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</row>
    <row r="51" spans="1:20" s="15" customFormat="1">
      <c r="A51" s="15">
        <v>25</v>
      </c>
      <c r="B51" s="96">
        <v>1241.91184000053</v>
      </c>
      <c r="C51" s="95">
        <v>11.4218580835281</v>
      </c>
      <c r="D51" s="96">
        <v>4157.1924606183602</v>
      </c>
      <c r="E51" s="95">
        <v>11.339300451671299</v>
      </c>
      <c r="F51" s="96">
        <v>4988.1875322004398</v>
      </c>
      <c r="G51" s="95">
        <v>11.349088005490501</v>
      </c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</row>
    <row r="52" spans="1:20" s="15" customFormat="1">
      <c r="A52" s="15">
        <v>100</v>
      </c>
      <c r="B52" s="96">
        <v>1382.5573317977</v>
      </c>
      <c r="C52" s="95">
        <v>12.7153740930016</v>
      </c>
      <c r="D52" s="96">
        <v>4610.7650599812396</v>
      </c>
      <c r="E52" s="95">
        <v>12.5764805989807</v>
      </c>
      <c r="F52" s="96">
        <v>5530.43069261442</v>
      </c>
      <c r="G52" s="95">
        <v>12.58279570156</v>
      </c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</row>
    <row r="53" spans="1:20" s="15" customFormat="1">
      <c r="A53" s="15">
        <v>200</v>
      </c>
      <c r="B53" s="96">
        <v>1410.0363313963701</v>
      </c>
      <c r="C53" s="95">
        <v>12.968098339267801</v>
      </c>
      <c r="D53" s="96">
        <v>4703.0830657444003</v>
      </c>
      <c r="E53" s="95">
        <v>12.8282903514433</v>
      </c>
      <c r="F53" s="96">
        <v>5640.0916580759904</v>
      </c>
      <c r="G53" s="95">
        <v>12.8322955328627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</row>
    <row r="54" spans="1:20" s="15" customFormat="1">
      <c r="A54" s="16" t="s">
        <v>1</v>
      </c>
      <c r="B54" s="97">
        <v>392.61409517304497</v>
      </c>
      <c r="C54" s="98">
        <v>3.61087021817701</v>
      </c>
      <c r="D54" s="97">
        <v>1299.37693434927</v>
      </c>
      <c r="E54" s="98">
        <v>3.5442250023628699</v>
      </c>
      <c r="F54" s="97">
        <v>1557.83882138336</v>
      </c>
      <c r="G54" s="98">
        <v>3.5443835597837201</v>
      </c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</row>
    <row r="55" spans="1:20" s="15" customFormat="1">
      <c r="B55" s="204">
        <f>(B54+D54+F54)/(B54/C54+D54/E54+F54/G54)</f>
        <v>3.5522218561341368</v>
      </c>
    </row>
    <row r="56" spans="1:20" s="15" customFormat="1"/>
    <row r="57" spans="1:20" s="15" customFormat="1">
      <c r="A57" s="15" t="s">
        <v>34</v>
      </c>
    </row>
    <row r="58" spans="1:20" s="15" customFormat="1"/>
    <row r="59" spans="1:20" s="15" customFormat="1">
      <c r="A59" s="20" t="s">
        <v>18</v>
      </c>
      <c r="B59" s="205" t="s">
        <v>12</v>
      </c>
      <c r="C59" s="205"/>
      <c r="D59" s="205" t="s">
        <v>19</v>
      </c>
      <c r="E59" s="205"/>
      <c r="F59" s="205" t="s">
        <v>14</v>
      </c>
      <c r="G59" s="205"/>
      <c r="H59" s="205" t="s">
        <v>15</v>
      </c>
      <c r="I59" s="205"/>
      <c r="J59" s="205"/>
      <c r="K59" s="205"/>
      <c r="L59" s="205" t="s">
        <v>16</v>
      </c>
      <c r="M59" s="205"/>
      <c r="N59" s="205"/>
      <c r="O59" s="205"/>
      <c r="P59" s="205" t="s">
        <v>17</v>
      </c>
      <c r="Q59" s="205"/>
      <c r="R59" s="205"/>
      <c r="S59" s="205"/>
      <c r="T59" s="81"/>
    </row>
    <row r="60" spans="1:20" s="24" customFormat="1" ht="26">
      <c r="A60" s="21"/>
      <c r="B60" s="22" t="s">
        <v>22</v>
      </c>
      <c r="C60" s="23" t="s">
        <v>23</v>
      </c>
      <c r="D60" s="22" t="s">
        <v>22</v>
      </c>
      <c r="E60" s="23" t="s">
        <v>23</v>
      </c>
      <c r="F60" s="22" t="s">
        <v>22</v>
      </c>
      <c r="G60" s="23" t="s">
        <v>23</v>
      </c>
      <c r="H60" s="22" t="s">
        <v>24</v>
      </c>
      <c r="I60" s="22" t="s">
        <v>25</v>
      </c>
      <c r="J60" s="22" t="s">
        <v>22</v>
      </c>
      <c r="K60" s="23" t="s">
        <v>23</v>
      </c>
      <c r="L60" s="22" t="s">
        <v>26</v>
      </c>
      <c r="M60" s="22" t="s">
        <v>25</v>
      </c>
      <c r="N60" s="22" t="s">
        <v>22</v>
      </c>
      <c r="O60" s="23" t="s">
        <v>23</v>
      </c>
      <c r="P60" s="22" t="s">
        <v>26</v>
      </c>
      <c r="Q60" s="22" t="s">
        <v>25</v>
      </c>
      <c r="R60" s="22" t="s">
        <v>22</v>
      </c>
      <c r="S60" s="23" t="s">
        <v>23</v>
      </c>
      <c r="T60" s="27"/>
    </row>
    <row r="61" spans="1:20" s="15" customFormat="1">
      <c r="A61" s="15">
        <v>10</v>
      </c>
      <c r="B61" s="94">
        <v>368.34552094743799</v>
      </c>
      <c r="C61" s="95">
        <v>5.14322861516718</v>
      </c>
      <c r="D61" s="94">
        <v>1253.7722010678399</v>
      </c>
      <c r="E61" s="95">
        <v>5.0994873510126499</v>
      </c>
      <c r="F61" s="96">
        <v>1503.9836909763901</v>
      </c>
      <c r="G61" s="95">
        <v>5.10086605394679</v>
      </c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</row>
    <row r="62" spans="1:20" s="15" customFormat="1">
      <c r="A62" s="15">
        <v>25</v>
      </c>
      <c r="B62" s="96">
        <v>517.48496867165204</v>
      </c>
      <c r="C62" s="95">
        <v>7.2256708645324501</v>
      </c>
      <c r="D62" s="96">
        <v>1757.2109355948101</v>
      </c>
      <c r="E62" s="95">
        <v>7.1471316172865196</v>
      </c>
      <c r="F62" s="96">
        <v>2107.9579881715699</v>
      </c>
      <c r="G62" s="95">
        <v>7.1492871960797704</v>
      </c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</row>
    <row r="63" spans="1:20" s="15" customFormat="1">
      <c r="A63" s="15">
        <v>100</v>
      </c>
      <c r="B63" s="96">
        <v>735.66815005106196</v>
      </c>
      <c r="C63" s="95">
        <v>10.272174535684499</v>
      </c>
      <c r="D63" s="96">
        <v>2494.45994372429</v>
      </c>
      <c r="E63" s="95">
        <v>10.145756078971701</v>
      </c>
      <c r="F63" s="96">
        <v>2992.2502416303701</v>
      </c>
      <c r="G63" s="95">
        <v>10.148426325379599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</row>
    <row r="64" spans="1:20" s="15" customFormat="1">
      <c r="A64" s="15">
        <v>200</v>
      </c>
      <c r="B64" s="96">
        <v>821.42797421008595</v>
      </c>
      <c r="C64" s="95">
        <v>11.469643641625799</v>
      </c>
      <c r="D64" s="96">
        <v>2774.78617485623</v>
      </c>
      <c r="E64" s="95">
        <v>11.285931358497599</v>
      </c>
      <c r="F64" s="96">
        <v>3328.78625231346</v>
      </c>
      <c r="G64" s="95">
        <v>11.289811782631199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</row>
    <row r="65" spans="1:20" s="15" customFormat="1">
      <c r="A65" s="16" t="s">
        <v>1</v>
      </c>
      <c r="B65" s="97">
        <v>214.57434176980399</v>
      </c>
      <c r="C65" s="98">
        <v>2.9961132466942599</v>
      </c>
      <c r="D65" s="97">
        <v>730.44208924806196</v>
      </c>
      <c r="E65" s="98">
        <v>2.9709385736860798</v>
      </c>
      <c r="F65" s="97">
        <v>876.13413269445596</v>
      </c>
      <c r="G65" s="98">
        <v>2.9714702911864301</v>
      </c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</row>
    <row r="66" spans="1:20" s="15" customFormat="1">
      <c r="B66" s="204">
        <f>(B65+D65+F65)/(B65/C65+D65/E65+F65/G65)</f>
        <v>2.974139020065433</v>
      </c>
    </row>
    <row r="67" spans="1:20" s="15" customFormat="1"/>
    <row r="68" spans="1:20" s="15" customFormat="1">
      <c r="A68" s="15" t="s">
        <v>35</v>
      </c>
    </row>
    <row r="69" spans="1:20" s="15" customFormat="1"/>
    <row r="70" spans="1:20" s="15" customFormat="1">
      <c r="A70" s="20" t="s">
        <v>18</v>
      </c>
      <c r="B70" s="205" t="s">
        <v>12</v>
      </c>
      <c r="C70" s="205"/>
      <c r="D70" s="205" t="s">
        <v>19</v>
      </c>
      <c r="E70" s="205"/>
      <c r="F70" s="205" t="s">
        <v>14</v>
      </c>
      <c r="G70" s="205"/>
      <c r="H70" s="205" t="s">
        <v>15</v>
      </c>
      <c r="I70" s="205"/>
      <c r="J70" s="205"/>
      <c r="K70" s="205"/>
      <c r="L70" s="205" t="s">
        <v>16</v>
      </c>
      <c r="M70" s="205"/>
      <c r="N70" s="205"/>
      <c r="O70" s="205"/>
      <c r="P70" s="205" t="s">
        <v>17</v>
      </c>
      <c r="Q70" s="205"/>
      <c r="R70" s="205"/>
      <c r="S70" s="205"/>
      <c r="T70" s="81"/>
    </row>
    <row r="71" spans="1:20" s="24" customFormat="1" ht="26">
      <c r="A71" s="21"/>
      <c r="B71" s="22" t="s">
        <v>22</v>
      </c>
      <c r="C71" s="23" t="s">
        <v>23</v>
      </c>
      <c r="D71" s="22" t="s">
        <v>22</v>
      </c>
      <c r="E71" s="23" t="s">
        <v>23</v>
      </c>
      <c r="F71" s="22" t="s">
        <v>22</v>
      </c>
      <c r="G71" s="23" t="s">
        <v>23</v>
      </c>
      <c r="H71" s="22" t="s">
        <v>24</v>
      </c>
      <c r="I71" s="22" t="s">
        <v>25</v>
      </c>
      <c r="J71" s="22" t="s">
        <v>22</v>
      </c>
      <c r="K71" s="23" t="s">
        <v>23</v>
      </c>
      <c r="L71" s="22" t="s">
        <v>26</v>
      </c>
      <c r="M71" s="22" t="s">
        <v>25</v>
      </c>
      <c r="N71" s="22" t="s">
        <v>22</v>
      </c>
      <c r="O71" s="23" t="s">
        <v>23</v>
      </c>
      <c r="P71" s="22" t="s">
        <v>26</v>
      </c>
      <c r="Q71" s="22" t="s">
        <v>25</v>
      </c>
      <c r="R71" s="22" t="s">
        <v>22</v>
      </c>
      <c r="S71" s="23" t="s">
        <v>23</v>
      </c>
      <c r="T71" s="27"/>
    </row>
    <row r="72" spans="1:20" s="15" customFormat="1">
      <c r="A72" s="15">
        <v>10</v>
      </c>
      <c r="B72" s="107"/>
      <c r="C72" s="107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</row>
    <row r="73" spans="1:20" s="15" customFormat="1">
      <c r="A73" s="15">
        <v>25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</row>
    <row r="74" spans="1:20" s="15" customFormat="1">
      <c r="A74" s="15">
        <v>100</v>
      </c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</row>
    <row r="75" spans="1:20" s="15" customFormat="1">
      <c r="A75" s="15">
        <v>200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</row>
    <row r="76" spans="1:20" s="15" customFormat="1">
      <c r="A76" s="16" t="s">
        <v>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20" s="15" customFormat="1"/>
    <row r="78" spans="1:20" s="15" customFormat="1"/>
    <row r="79" spans="1:20" s="15" customFormat="1">
      <c r="A79" s="15" t="s">
        <v>36</v>
      </c>
    </row>
    <row r="80" spans="1:20" s="15" customFormat="1"/>
    <row r="81" spans="1:20" s="15" customFormat="1">
      <c r="A81" s="20" t="s">
        <v>18</v>
      </c>
      <c r="B81" s="205" t="s">
        <v>12</v>
      </c>
      <c r="C81" s="205"/>
      <c r="D81" s="205" t="s">
        <v>19</v>
      </c>
      <c r="E81" s="205"/>
      <c r="F81" s="205" t="s">
        <v>14</v>
      </c>
      <c r="G81" s="205"/>
      <c r="H81" s="205" t="s">
        <v>15</v>
      </c>
      <c r="I81" s="205"/>
      <c r="J81" s="205"/>
      <c r="K81" s="205"/>
      <c r="L81" s="205" t="s">
        <v>16</v>
      </c>
      <c r="M81" s="205"/>
      <c r="N81" s="205"/>
      <c r="O81" s="205"/>
      <c r="P81" s="205" t="s">
        <v>17</v>
      </c>
      <c r="Q81" s="205"/>
      <c r="R81" s="205"/>
      <c r="S81" s="205"/>
      <c r="T81" s="81"/>
    </row>
    <row r="82" spans="1:20" s="24" customFormat="1" ht="26">
      <c r="A82" s="21"/>
      <c r="B82" s="22" t="s">
        <v>22</v>
      </c>
      <c r="C82" s="23" t="s">
        <v>23</v>
      </c>
      <c r="D82" s="22" t="s">
        <v>22</v>
      </c>
      <c r="E82" s="23" t="s">
        <v>23</v>
      </c>
      <c r="F82" s="22" t="s">
        <v>22</v>
      </c>
      <c r="G82" s="23" t="s">
        <v>23</v>
      </c>
      <c r="H82" s="22" t="s">
        <v>24</v>
      </c>
      <c r="I82" s="22" t="s">
        <v>25</v>
      </c>
      <c r="J82" s="22" t="s">
        <v>22</v>
      </c>
      <c r="K82" s="23" t="s">
        <v>23</v>
      </c>
      <c r="L82" s="22" t="s">
        <v>26</v>
      </c>
      <c r="M82" s="22" t="s">
        <v>25</v>
      </c>
      <c r="N82" s="22" t="s">
        <v>22</v>
      </c>
      <c r="O82" s="23" t="s">
        <v>23</v>
      </c>
      <c r="P82" s="22" t="s">
        <v>26</v>
      </c>
      <c r="Q82" s="22" t="s">
        <v>25</v>
      </c>
      <c r="R82" s="22" t="s">
        <v>22</v>
      </c>
      <c r="S82" s="23" t="s">
        <v>23</v>
      </c>
      <c r="T82" s="27"/>
    </row>
    <row r="83" spans="1:20" s="15" customFormat="1">
      <c r="A83" s="15">
        <v>10</v>
      </c>
      <c r="B83" s="94">
        <v>142.93827734334801</v>
      </c>
      <c r="C83" s="95">
        <v>1.9958549688457199</v>
      </c>
      <c r="D83" s="94">
        <v>486.618167487346</v>
      </c>
      <c r="E83" s="95">
        <v>1.9792297099594101</v>
      </c>
      <c r="F83" s="96">
        <v>583.70350090711702</v>
      </c>
      <c r="G83" s="95">
        <v>1.9796713163917901</v>
      </c>
    </row>
    <row r="84" spans="1:20" s="15" customFormat="1">
      <c r="A84" s="15">
        <v>25</v>
      </c>
      <c r="B84" s="96">
        <v>195.40409929273201</v>
      </c>
      <c r="C84" s="95">
        <v>2.7284381045772501</v>
      </c>
      <c r="D84" s="96">
        <v>667.103228289144</v>
      </c>
      <c r="E84" s="95">
        <v>2.7133194304218899</v>
      </c>
      <c r="F84" s="96">
        <v>800.03152494709605</v>
      </c>
      <c r="G84" s="95">
        <v>2.7133629654192801</v>
      </c>
    </row>
    <row r="85" spans="1:20" s="15" customFormat="1">
      <c r="A85" s="15">
        <v>100</v>
      </c>
      <c r="B85" s="96">
        <v>258.493209536027</v>
      </c>
      <c r="C85" s="95">
        <v>3.6093547946299398</v>
      </c>
      <c r="D85" s="96">
        <v>878.70238848682504</v>
      </c>
      <c r="E85" s="95">
        <v>3.5739600156844702</v>
      </c>
      <c r="F85" s="96">
        <v>1053.9998044533399</v>
      </c>
      <c r="G85" s="95">
        <v>3.5747141778593901</v>
      </c>
    </row>
    <row r="86" spans="1:20" s="15" customFormat="1">
      <c r="A86" s="15">
        <v>200</v>
      </c>
      <c r="B86" s="96">
        <v>287.579192605223</v>
      </c>
      <c r="C86" s="95">
        <v>4.0154839638865001</v>
      </c>
      <c r="D86" s="96">
        <v>982.04985628435497</v>
      </c>
      <c r="E86" s="95">
        <v>3.9943067934674099</v>
      </c>
      <c r="F86" s="96">
        <v>1177.8486735759</v>
      </c>
      <c r="G86" s="95">
        <v>3.9947562940852999</v>
      </c>
    </row>
    <row r="87" spans="1:20" s="15" customFormat="1">
      <c r="A87" s="16" t="s">
        <v>1</v>
      </c>
      <c r="B87" s="97">
        <v>72.916592366206501</v>
      </c>
      <c r="C87" s="98">
        <v>1.0181383593690301</v>
      </c>
      <c r="D87" s="97">
        <v>248.94747773440201</v>
      </c>
      <c r="E87" s="98">
        <v>1.0125479833512401</v>
      </c>
      <c r="F87" s="97">
        <v>298.58326462308202</v>
      </c>
      <c r="G87" s="98">
        <v>1.0126660600978501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 spans="1:20" s="15" customFormat="1">
      <c r="B88" s="204">
        <f>(B87+D87+F87)/(B87/C87+D87/E87+F87/G87)</f>
        <v>1.0132586864953017</v>
      </c>
    </row>
    <row r="89" spans="1:20" s="15" customFormat="1"/>
    <row r="90" spans="1:20" s="15" customFormat="1">
      <c r="A90" s="15" t="s">
        <v>37</v>
      </c>
    </row>
    <row r="91" spans="1:20" s="15" customFormat="1"/>
    <row r="92" spans="1:20" s="15" customFormat="1">
      <c r="A92" s="20" t="s">
        <v>18</v>
      </c>
      <c r="B92" s="205" t="s">
        <v>12</v>
      </c>
      <c r="C92" s="205"/>
      <c r="D92" s="205" t="s">
        <v>19</v>
      </c>
      <c r="E92" s="205"/>
      <c r="F92" s="205" t="s">
        <v>14</v>
      </c>
      <c r="G92" s="205"/>
      <c r="H92" s="205" t="s">
        <v>15</v>
      </c>
      <c r="I92" s="205"/>
      <c r="J92" s="205"/>
      <c r="K92" s="205"/>
      <c r="L92" s="205" t="s">
        <v>16</v>
      </c>
      <c r="M92" s="205"/>
      <c r="N92" s="205"/>
      <c r="O92" s="205"/>
      <c r="P92" s="205" t="s">
        <v>17</v>
      </c>
      <c r="Q92" s="205"/>
      <c r="R92" s="205"/>
      <c r="S92" s="205"/>
      <c r="T92" s="81"/>
    </row>
    <row r="93" spans="1:20" s="24" customFormat="1" ht="26">
      <c r="A93" s="21"/>
      <c r="B93" s="22" t="s">
        <v>22</v>
      </c>
      <c r="C93" s="23" t="s">
        <v>23</v>
      </c>
      <c r="D93" s="22" t="s">
        <v>22</v>
      </c>
      <c r="E93" s="23" t="s">
        <v>23</v>
      </c>
      <c r="F93" s="22" t="s">
        <v>22</v>
      </c>
      <c r="G93" s="23" t="s">
        <v>23</v>
      </c>
      <c r="H93" s="22" t="s">
        <v>24</v>
      </c>
      <c r="I93" s="22" t="s">
        <v>25</v>
      </c>
      <c r="J93" s="22" t="s">
        <v>22</v>
      </c>
      <c r="K93" s="23" t="s">
        <v>23</v>
      </c>
      <c r="L93" s="22" t="s">
        <v>26</v>
      </c>
      <c r="M93" s="22" t="s">
        <v>25</v>
      </c>
      <c r="N93" s="22" t="s">
        <v>22</v>
      </c>
      <c r="O93" s="23" t="s">
        <v>23</v>
      </c>
      <c r="P93" s="22" t="s">
        <v>26</v>
      </c>
      <c r="Q93" s="22" t="s">
        <v>25</v>
      </c>
      <c r="R93" s="22" t="s">
        <v>22</v>
      </c>
      <c r="S93" s="23" t="s">
        <v>23</v>
      </c>
      <c r="T93" s="27"/>
    </row>
    <row r="94" spans="1:20" s="15" customFormat="1">
      <c r="A94" s="15">
        <v>10</v>
      </c>
      <c r="B94" s="107"/>
      <c r="C94" s="107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</row>
    <row r="95" spans="1:20" s="15" customFormat="1">
      <c r="A95" s="15">
        <v>25</v>
      </c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</row>
    <row r="96" spans="1:20" s="15" customFormat="1">
      <c r="A96" s="15">
        <v>100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</row>
    <row r="97" spans="1:19" s="15" customFormat="1">
      <c r="A97" s="15">
        <v>200</v>
      </c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</row>
    <row r="98" spans="1:19" s="15" customFormat="1">
      <c r="A98" s="16" t="s">
        <v>1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</row>
  </sheetData>
  <mergeCells count="54">
    <mergeCell ref="P92:S92"/>
    <mergeCell ref="B92:C92"/>
    <mergeCell ref="D92:E92"/>
    <mergeCell ref="F92:G92"/>
    <mergeCell ref="H92:K92"/>
    <mergeCell ref="L92:O92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7FF-A1A7-42AF-8720-D9FDD64B5BE1}">
  <dimension ref="A1:AJ1075"/>
  <sheetViews>
    <sheetView topLeftCell="A32" zoomScale="70" zoomScaleNormal="70" workbookViewId="0">
      <selection activeCell="A68" sqref="A68"/>
    </sheetView>
  </sheetViews>
  <sheetFormatPr baseColWidth="10" defaultColWidth="8.83203125" defaultRowHeight="15"/>
  <cols>
    <col min="1" max="1" width="69.5" bestFit="1" customWidth="1"/>
    <col min="2" max="2" width="13.5" bestFit="1" customWidth="1"/>
    <col min="3" max="3" width="19.1640625" bestFit="1" customWidth="1"/>
    <col min="4" max="4" width="14.6640625" bestFit="1" customWidth="1"/>
    <col min="5" max="5" width="14.83203125" bestFit="1" customWidth="1"/>
    <col min="6" max="6" width="18.83203125" customWidth="1"/>
    <col min="7" max="7" width="19.1640625" customWidth="1"/>
    <col min="8" max="8" width="17.5" customWidth="1"/>
    <col min="9" max="9" width="15.1640625" customWidth="1"/>
    <col min="10" max="10" width="16.5" customWidth="1"/>
    <col min="11" max="11" width="15.5" customWidth="1"/>
    <col min="12" max="12" width="18.5" customWidth="1"/>
    <col min="13" max="13" width="15.5" customWidth="1"/>
    <col min="14" max="14" width="17" customWidth="1"/>
    <col min="15" max="15" width="16.6640625" customWidth="1"/>
    <col min="16" max="16" width="13.5" bestFit="1" customWidth="1"/>
    <col min="17" max="17" width="19.1640625" bestFit="1" customWidth="1"/>
    <col min="19" max="19" width="17.5" customWidth="1"/>
    <col min="20" max="21" width="22.5" customWidth="1"/>
    <col min="22" max="22" width="24.83203125" bestFit="1" customWidth="1"/>
    <col min="23" max="23" width="31.83203125" bestFit="1" customWidth="1"/>
    <col min="24" max="24" width="31.5" bestFit="1" customWidth="1"/>
    <col min="25" max="25" width="27.1640625" bestFit="1" customWidth="1"/>
    <col min="26" max="27" width="33.5" bestFit="1" customWidth="1"/>
    <col min="28" max="31" width="13.1640625" customWidth="1"/>
    <col min="32" max="32" width="22.5" customWidth="1"/>
  </cols>
  <sheetData>
    <row r="1" spans="1:6" ht="19">
      <c r="A1" s="135" t="s">
        <v>38</v>
      </c>
    </row>
    <row r="2" spans="1:6" hidden="1">
      <c r="A2" s="65" t="s">
        <v>12</v>
      </c>
    </row>
    <row r="3" spans="1:6" hidden="1">
      <c r="A3" s="66" t="s">
        <v>39</v>
      </c>
      <c r="B3" s="66">
        <v>1</v>
      </c>
      <c r="C3" s="66">
        <v>10</v>
      </c>
      <c r="D3" s="66">
        <v>25</v>
      </c>
      <c r="E3" s="66">
        <v>100</v>
      </c>
      <c r="F3" s="66">
        <v>200</v>
      </c>
    </row>
    <row r="4" spans="1:6" hidden="1">
      <c r="A4" s="66" t="s">
        <v>40</v>
      </c>
      <c r="B4" s="66">
        <f>1/B3</f>
        <v>1</v>
      </c>
      <c r="C4" s="66">
        <f>1/C3</f>
        <v>0.1</v>
      </c>
      <c r="D4" s="66">
        <f t="shared" ref="D4:F4" si="0">1/D3</f>
        <v>0.04</v>
      </c>
      <c r="E4" s="66">
        <f>1/E3</f>
        <v>0.01</v>
      </c>
      <c r="F4" s="66">
        <f t="shared" si="0"/>
        <v>5.0000000000000001E-3</v>
      </c>
    </row>
    <row r="5" spans="1:6" hidden="1">
      <c r="A5" s="66" t="s">
        <v>41</v>
      </c>
      <c r="B5" s="66">
        <v>0</v>
      </c>
      <c r="C5" s="66">
        <v>92.69</v>
      </c>
      <c r="D5" s="66">
        <v>107.72</v>
      </c>
      <c r="E5" s="66">
        <v>148.58000000000001</v>
      </c>
      <c r="F5" s="66">
        <v>154.26</v>
      </c>
    </row>
    <row r="6" spans="1:6" hidden="1">
      <c r="A6" s="67" t="s">
        <v>42</v>
      </c>
      <c r="B6" s="67">
        <v>0</v>
      </c>
      <c r="C6" s="68">
        <f>'[1]Flood (national AAL PML)'!$C$6</f>
        <v>1.5623834261001326</v>
      </c>
      <c r="D6" s="68">
        <f>'[1]Flood (national AAL PML)'!$C$7</f>
        <v>1.8158097039480634</v>
      </c>
      <c r="E6" s="68">
        <v>2.5</v>
      </c>
      <c r="F6" s="68">
        <v>2.6</v>
      </c>
    </row>
    <row r="7" spans="1:6" hidden="1"/>
    <row r="8" spans="1:6">
      <c r="A8" s="203" t="s">
        <v>43</v>
      </c>
    </row>
    <row r="9" spans="1:6">
      <c r="A9" s="65" t="s">
        <v>13</v>
      </c>
    </row>
    <row r="10" spans="1:6">
      <c r="A10" s="66" t="s">
        <v>39</v>
      </c>
      <c r="B10" s="66">
        <v>1</v>
      </c>
      <c r="C10" s="66">
        <v>10</v>
      </c>
      <c r="D10" s="66">
        <v>25</v>
      </c>
      <c r="E10" s="66">
        <v>100</v>
      </c>
      <c r="F10" s="66">
        <v>200</v>
      </c>
    </row>
    <row r="11" spans="1:6">
      <c r="A11" s="66" t="s">
        <v>40</v>
      </c>
      <c r="B11" s="66">
        <f>1/B10</f>
        <v>1</v>
      </c>
      <c r="C11" s="66">
        <f>1/C10</f>
        <v>0.1</v>
      </c>
      <c r="D11" s="66">
        <f>1/D10</f>
        <v>0.04</v>
      </c>
      <c r="E11" s="66">
        <f>1/E10</f>
        <v>0.01</v>
      </c>
      <c r="F11" s="66">
        <f>1/F10</f>
        <v>5.0000000000000001E-3</v>
      </c>
    </row>
    <row r="12" spans="1:6">
      <c r="A12" s="66" t="s">
        <v>41</v>
      </c>
      <c r="B12" s="66">
        <v>0</v>
      </c>
      <c r="C12" s="69">
        <v>298.13221510010902</v>
      </c>
      <c r="D12" s="70">
        <v>344.05970870607399</v>
      </c>
      <c r="E12" s="70">
        <v>471.64262625479699</v>
      </c>
      <c r="F12" s="70">
        <v>490.57679011763298</v>
      </c>
    </row>
    <row r="13" spans="1:6">
      <c r="A13" s="67" t="s">
        <v>42</v>
      </c>
      <c r="B13" s="67">
        <v>0</v>
      </c>
      <c r="C13" s="68">
        <v>1.5314150914001201</v>
      </c>
      <c r="D13" s="68">
        <v>1.7673307464551811</v>
      </c>
      <c r="E13" s="68">
        <v>2.42</v>
      </c>
      <c r="F13" s="68">
        <v>2.52</v>
      </c>
    </row>
    <row r="14" spans="1:6">
      <c r="A14" s="67" t="s">
        <v>44</v>
      </c>
      <c r="B14" s="67">
        <v>0</v>
      </c>
      <c r="C14" s="127">
        <v>0.25</v>
      </c>
      <c r="D14" s="127">
        <v>0.28999999999999998</v>
      </c>
      <c r="E14" s="127">
        <v>0.33</v>
      </c>
      <c r="F14" s="127">
        <v>0.34</v>
      </c>
    </row>
    <row r="15" spans="1:6">
      <c r="A15" s="67" t="s">
        <v>45</v>
      </c>
      <c r="B15" s="67">
        <v>0</v>
      </c>
      <c r="C15" s="127">
        <v>0.09</v>
      </c>
      <c r="D15" s="127">
        <v>0.16</v>
      </c>
      <c r="E15" s="127">
        <v>0.18</v>
      </c>
      <c r="F15" s="127">
        <v>0.19</v>
      </c>
    </row>
    <row r="16" spans="1:6">
      <c r="A16" s="67" t="s">
        <v>46</v>
      </c>
      <c r="B16" s="67">
        <v>0</v>
      </c>
      <c r="C16" s="127">
        <f>Interpolation!B15</f>
        <v>0.32051115635252014</v>
      </c>
      <c r="D16" s="127">
        <f>Interpolation!F15</f>
        <v>0.3615840292731845</v>
      </c>
      <c r="E16" s="127">
        <f>Interpolation!J15</f>
        <v>0.39891606751881054</v>
      </c>
      <c r="F16" s="127">
        <f>Interpolation!N15</f>
        <v>0.41198980211899078</v>
      </c>
    </row>
    <row r="17" spans="1:6">
      <c r="A17" s="67" t="s">
        <v>47</v>
      </c>
      <c r="B17" s="67">
        <v>0</v>
      </c>
      <c r="C17" s="127">
        <f>Interpolation!B52</f>
        <v>0.21351988119023463</v>
      </c>
      <c r="D17" s="127">
        <f>Interpolation!F52</f>
        <v>0.27467409422467376</v>
      </c>
      <c r="E17" s="127">
        <f>Interpolation!J52</f>
        <v>0.2988615672647153</v>
      </c>
      <c r="F17" s="127">
        <f>Interpolation!N52</f>
        <v>0.31192852313260494</v>
      </c>
    </row>
    <row r="18" spans="1:6">
      <c r="A18" s="67" t="s">
        <v>48</v>
      </c>
      <c r="B18" s="67">
        <v>0</v>
      </c>
      <c r="C18" s="127">
        <f>Inundation!C14</f>
        <v>0.46153346905755982</v>
      </c>
      <c r="D18" s="127">
        <f>Inundation!C15</f>
        <v>0.50475208781955405</v>
      </c>
      <c r="E18" s="127">
        <f>Inundation!C16</f>
        <v>0.53674820255643185</v>
      </c>
      <c r="F18" s="127">
        <f>Inundation!C17</f>
        <v>0.55596940635697178</v>
      </c>
    </row>
    <row r="19" spans="1:6">
      <c r="A19" s="67" t="s">
        <v>49</v>
      </c>
      <c r="B19" s="67">
        <v>0</v>
      </c>
      <c r="C19" s="127">
        <f>Inundation!I14</f>
        <v>0.46055964357070356</v>
      </c>
      <c r="D19" s="127">
        <f>Inundation!I15</f>
        <v>0.50402228267402105</v>
      </c>
      <c r="E19" s="127">
        <f>Inundation!I16</f>
        <v>0.53658470179414586</v>
      </c>
      <c r="F19" s="127">
        <f>Inundation!I17</f>
        <v>0.55578556939781465</v>
      </c>
    </row>
    <row r="20" spans="1:6">
      <c r="A20" s="79" t="s">
        <v>50</v>
      </c>
      <c r="B20" s="79">
        <v>0</v>
      </c>
      <c r="C20" s="79">
        <v>7</v>
      </c>
      <c r="D20" s="79">
        <v>8</v>
      </c>
      <c r="E20" s="79">
        <v>14</v>
      </c>
      <c r="F20" s="79">
        <v>21</v>
      </c>
    </row>
    <row r="22" spans="1:6">
      <c r="A22" s="65" t="s">
        <v>51</v>
      </c>
    </row>
    <row r="23" spans="1:6">
      <c r="A23" s="71" t="s">
        <v>39</v>
      </c>
      <c r="B23" s="71">
        <v>1</v>
      </c>
      <c r="C23" s="71">
        <v>10</v>
      </c>
      <c r="D23" s="71">
        <v>25</v>
      </c>
      <c r="E23" s="71">
        <v>100</v>
      </c>
      <c r="F23" s="71">
        <v>200</v>
      </c>
    </row>
    <row r="24" spans="1:6">
      <c r="A24" s="71" t="s">
        <v>40</v>
      </c>
      <c r="B24" s="71">
        <v>1</v>
      </c>
      <c r="C24" s="71">
        <v>0.1</v>
      </c>
      <c r="D24" s="71">
        <v>0.04</v>
      </c>
      <c r="E24" s="71">
        <v>0.01</v>
      </c>
      <c r="F24" s="71">
        <v>5.0000000000000001E-3</v>
      </c>
    </row>
    <row r="25" spans="1:6">
      <c r="A25" s="66" t="s">
        <v>41</v>
      </c>
      <c r="B25" s="71">
        <v>0</v>
      </c>
      <c r="C25" s="70">
        <v>357.43199441973098</v>
      </c>
      <c r="D25" s="70">
        <v>412.41639746037998</v>
      </c>
      <c r="E25" s="70">
        <v>565.35040780021097</v>
      </c>
      <c r="F25" s="70">
        <v>588.07132005685003</v>
      </c>
    </row>
    <row r="26" spans="1:6">
      <c r="A26" s="72" t="s">
        <v>42</v>
      </c>
      <c r="B26" s="67">
        <v>0</v>
      </c>
      <c r="C26" s="73">
        <v>1.5311836807774646</v>
      </c>
      <c r="D26" s="73">
        <v>1.7667284052216539</v>
      </c>
      <c r="E26" s="73">
        <v>2.421874179869953</v>
      </c>
      <c r="F26" s="73">
        <v>2.5192070728478795</v>
      </c>
    </row>
    <row r="27" spans="1:6">
      <c r="A27" s="67" t="s">
        <v>44</v>
      </c>
      <c r="B27" s="67">
        <v>0</v>
      </c>
      <c r="C27" s="195">
        <f>Inundation!E4</f>
        <v>0.28999999999999998</v>
      </c>
      <c r="D27" s="195">
        <v>0.35</v>
      </c>
      <c r="E27" s="195">
        <v>0.39</v>
      </c>
      <c r="F27" s="195">
        <v>0.4</v>
      </c>
    </row>
    <row r="28" spans="1:6">
      <c r="A28" s="67" t="s">
        <v>45</v>
      </c>
      <c r="B28" s="67">
        <v>0</v>
      </c>
      <c r="C28" s="195">
        <f>Inundation!K4</f>
        <v>8.721061194393645E-2</v>
      </c>
      <c r="D28" s="195">
        <f>Inundation!K5</f>
        <v>0.15629635836318961</v>
      </c>
      <c r="E28" s="195">
        <f>Inundation!K6</f>
        <v>0.1764963671233932</v>
      </c>
      <c r="F28" s="195">
        <f>Inundation!K7</f>
        <v>0.19014795477128335</v>
      </c>
    </row>
    <row r="29" spans="1:6">
      <c r="A29" s="67" t="s">
        <v>52</v>
      </c>
      <c r="B29" s="67">
        <v>0</v>
      </c>
      <c r="C29" s="195">
        <f>Interpolation!B89</f>
        <v>0.34723763764175436</v>
      </c>
      <c r="D29" s="195">
        <f>Interpolation!F89</f>
        <v>0.40164563940898368</v>
      </c>
      <c r="E29" s="195">
        <f>Interpolation!J89</f>
        <v>0.4389827076233751</v>
      </c>
      <c r="F29" s="195">
        <f>Interpolation!N89</f>
        <v>0.45205741172171654</v>
      </c>
    </row>
    <row r="30" spans="1:6">
      <c r="A30" s="67" t="s">
        <v>53</v>
      </c>
      <c r="B30" s="67">
        <v>0</v>
      </c>
      <c r="C30" s="195">
        <f>Interpolation!B125</f>
        <v>0.21172198348975516</v>
      </c>
      <c r="D30" s="195">
        <f>Interpolation!F125</f>
        <v>0.2722700619505436</v>
      </c>
      <c r="E30" s="195">
        <f>Interpolation!J125</f>
        <v>0.29659243845958616</v>
      </c>
      <c r="F30" s="195">
        <f>Interpolation!N125</f>
        <v>0.31209473991366338</v>
      </c>
    </row>
    <row r="31" spans="1:6">
      <c r="A31" s="67" t="s">
        <v>48</v>
      </c>
      <c r="B31" s="67">
        <v>0</v>
      </c>
      <c r="C31" s="195">
        <f>Inundation!E14</f>
        <v>0.46171291292526279</v>
      </c>
      <c r="D31" s="195">
        <f>Inundation!E15</f>
        <v>0.50493691822695053</v>
      </c>
      <c r="E31" s="195">
        <f>Inundation!E16</f>
        <v>0.53694812287012539</v>
      </c>
      <c r="F31" s="195">
        <f>Inundation!E17</f>
        <v>0.5561722351651488</v>
      </c>
    </row>
    <row r="32" spans="1:6">
      <c r="A32" s="67" t="s">
        <v>49</v>
      </c>
      <c r="B32" s="67">
        <v>0</v>
      </c>
      <c r="C32" s="195">
        <f>Inundation!K14</f>
        <v>0.46074472658139248</v>
      </c>
      <c r="D32" s="195">
        <f>Inundation!K15</f>
        <v>0.50421746912525156</v>
      </c>
      <c r="E32" s="195">
        <f>Inundation!K16</f>
        <v>0.53678458113197203</v>
      </c>
      <c r="F32" s="195">
        <f>Inundation!K17</f>
        <v>0.55598831019842343</v>
      </c>
    </row>
    <row r="33" spans="1:36">
      <c r="A33" s="74"/>
      <c r="B33" s="74"/>
      <c r="C33" s="74"/>
      <c r="D33" s="74"/>
      <c r="E33" s="74"/>
      <c r="F33" s="74"/>
    </row>
    <row r="34" spans="1:36" hidden="1">
      <c r="A34" s="75" t="s">
        <v>15</v>
      </c>
    </row>
    <row r="35" spans="1:36" hidden="1">
      <c r="A35" s="71" t="s">
        <v>39</v>
      </c>
      <c r="B35" s="71">
        <v>1</v>
      </c>
      <c r="C35" s="71">
        <v>10</v>
      </c>
      <c r="D35" s="71">
        <v>25</v>
      </c>
      <c r="E35" s="71">
        <v>100</v>
      </c>
      <c r="F35" s="71">
        <v>200</v>
      </c>
    </row>
    <row r="36" spans="1:36" hidden="1">
      <c r="A36" s="71" t="s">
        <v>40</v>
      </c>
      <c r="B36" s="71">
        <v>1</v>
      </c>
      <c r="C36" s="71">
        <v>0.1</v>
      </c>
      <c r="D36" s="71">
        <v>0.04</v>
      </c>
      <c r="E36" s="71">
        <v>0.01</v>
      </c>
      <c r="F36" s="71">
        <v>5.0000000000000001E-3</v>
      </c>
      <c r="AI36" s="78"/>
      <c r="AJ36" s="78"/>
    </row>
    <row r="37" spans="1:36" hidden="1">
      <c r="A37" s="66" t="s">
        <v>41</v>
      </c>
      <c r="B37" s="71">
        <v>0</v>
      </c>
      <c r="C37" s="70">
        <v>19.126417432657799</v>
      </c>
      <c r="D37" s="70">
        <v>26.511667626625101</v>
      </c>
      <c r="E37" s="70">
        <v>30.602298933558</v>
      </c>
      <c r="F37" s="70">
        <v>31.846409312708399</v>
      </c>
    </row>
    <row r="38" spans="1:36" hidden="1">
      <c r="A38" s="72" t="s">
        <v>42</v>
      </c>
      <c r="B38" s="67">
        <v>0</v>
      </c>
      <c r="C38" s="76">
        <v>4.9440017308329729</v>
      </c>
      <c r="D38" s="76">
        <v>6.8530204935033172</v>
      </c>
      <c r="E38" s="76">
        <v>7.9104107932226855</v>
      </c>
      <c r="F38" s="76">
        <v>8.232001801550485</v>
      </c>
    </row>
    <row r="39" spans="1:36" hidden="1"/>
    <row r="40" spans="1:36" hidden="1">
      <c r="A40" s="74"/>
      <c r="B40" s="74"/>
      <c r="C40" s="74"/>
      <c r="D40" s="74"/>
      <c r="E40" s="74"/>
      <c r="F40" s="74"/>
    </row>
    <row r="41" spans="1:36" hidden="1">
      <c r="A41" s="75" t="s">
        <v>16</v>
      </c>
      <c r="B41" s="74"/>
      <c r="C41" s="74"/>
      <c r="D41" s="74"/>
      <c r="E41" s="74"/>
      <c r="F41" s="74"/>
    </row>
    <row r="42" spans="1:36" hidden="1">
      <c r="A42" s="71" t="s">
        <v>39</v>
      </c>
      <c r="B42" s="71">
        <v>1</v>
      </c>
      <c r="C42" s="71">
        <v>10</v>
      </c>
      <c r="D42" s="71">
        <v>25</v>
      </c>
      <c r="E42" s="71">
        <v>100</v>
      </c>
      <c r="F42" s="71">
        <v>200</v>
      </c>
    </row>
    <row r="43" spans="1:36" hidden="1">
      <c r="A43" s="71" t="s">
        <v>40</v>
      </c>
      <c r="B43" s="71">
        <v>1</v>
      </c>
      <c r="C43" s="71">
        <v>0.1</v>
      </c>
      <c r="D43" s="71">
        <v>0.04</v>
      </c>
      <c r="E43" s="71">
        <v>0.01</v>
      </c>
      <c r="F43" s="71">
        <v>5.0000000000000001E-3</v>
      </c>
    </row>
    <row r="44" spans="1:36" hidden="1">
      <c r="A44" s="66" t="s">
        <v>41</v>
      </c>
      <c r="B44" s="71">
        <v>0</v>
      </c>
      <c r="C44" s="70">
        <v>14.263540259444</v>
      </c>
      <c r="D44" s="70">
        <v>16.740495362852698</v>
      </c>
      <c r="E44" s="70">
        <v>21.1765211595519</v>
      </c>
      <c r="F44" s="70">
        <v>22.024287970326</v>
      </c>
    </row>
    <row r="45" spans="1:36" hidden="1">
      <c r="A45" s="72" t="s">
        <v>42</v>
      </c>
      <c r="B45" s="67">
        <v>0</v>
      </c>
      <c r="C45" s="76">
        <v>2.3545354428835075</v>
      </c>
      <c r="D45" s="76">
        <v>2.7634155999360668</v>
      </c>
      <c r="E45" s="76">
        <v>3.4956868154891794</v>
      </c>
      <c r="F45" s="76">
        <v>3.6356308242668254</v>
      </c>
    </row>
    <row r="46" spans="1:36" hidden="1"/>
    <row r="47" spans="1:36" hidden="1">
      <c r="A47" s="74"/>
      <c r="B47" s="74"/>
      <c r="C47" s="74"/>
      <c r="D47" s="74"/>
      <c r="E47" s="74"/>
      <c r="F47" s="74"/>
    </row>
    <row r="48" spans="1:36" hidden="1">
      <c r="A48" s="75" t="s">
        <v>54</v>
      </c>
      <c r="B48" s="74"/>
      <c r="C48" s="74"/>
      <c r="D48" s="74"/>
      <c r="E48" s="74"/>
      <c r="F48" s="74"/>
    </row>
    <row r="49" spans="1:6" hidden="1">
      <c r="A49" s="71" t="s">
        <v>39</v>
      </c>
      <c r="B49" s="71">
        <v>1</v>
      </c>
      <c r="C49" s="71">
        <v>10</v>
      </c>
      <c r="D49" s="71">
        <v>25</v>
      </c>
      <c r="E49" s="71">
        <v>100</v>
      </c>
      <c r="F49" s="71">
        <v>200</v>
      </c>
    </row>
    <row r="50" spans="1:6" hidden="1">
      <c r="A50" s="71" t="s">
        <v>40</v>
      </c>
      <c r="B50" s="71">
        <v>1</v>
      </c>
      <c r="C50" s="71">
        <v>0.1</v>
      </c>
      <c r="D50" s="71">
        <v>0.04</v>
      </c>
      <c r="E50" s="71">
        <v>0.01</v>
      </c>
      <c r="F50" s="71">
        <v>5.0000000000000001E-3</v>
      </c>
    </row>
    <row r="51" spans="1:6" hidden="1">
      <c r="A51" s="66" t="s">
        <v>41</v>
      </c>
      <c r="B51" s="71">
        <v>0</v>
      </c>
      <c r="C51" s="70">
        <v>5.5796796168612799</v>
      </c>
      <c r="D51" s="70">
        <v>6.38000802737265</v>
      </c>
      <c r="E51" s="70">
        <v>7.93635101199476</v>
      </c>
      <c r="F51" s="70">
        <v>8.2474320175743205</v>
      </c>
    </row>
    <row r="52" spans="1:6" hidden="1">
      <c r="A52" s="72" t="s">
        <v>55</v>
      </c>
      <c r="B52" s="67">
        <v>0</v>
      </c>
      <c r="C52" s="76">
        <v>5.6383751016696619</v>
      </c>
      <c r="D52" s="76">
        <v>6.4471225733613418</v>
      </c>
      <c r="E52" s="76">
        <v>8.0198375205840406</v>
      </c>
      <c r="F52" s="76">
        <v>8.3341909453150507</v>
      </c>
    </row>
    <row r="53" spans="1:6" hidden="1"/>
    <row r="54" spans="1:6" hidden="1">
      <c r="A54" s="74"/>
      <c r="B54" s="74"/>
      <c r="C54" s="74"/>
      <c r="D54" s="74"/>
      <c r="E54" s="74"/>
      <c r="F54" s="74"/>
    </row>
    <row r="55" spans="1:6" hidden="1">
      <c r="A55" s="75" t="s">
        <v>56</v>
      </c>
      <c r="B55" s="74"/>
      <c r="C55" s="74"/>
      <c r="D55" s="74"/>
      <c r="E55" s="74"/>
      <c r="F55" s="74"/>
    </row>
    <row r="56" spans="1:6" hidden="1">
      <c r="A56" s="71" t="s">
        <v>39</v>
      </c>
      <c r="B56" s="71">
        <v>1</v>
      </c>
      <c r="C56" s="71">
        <v>10</v>
      </c>
      <c r="D56" s="71">
        <v>25</v>
      </c>
      <c r="E56" s="71">
        <v>100</v>
      </c>
      <c r="F56" s="71">
        <v>200</v>
      </c>
    </row>
    <row r="57" spans="1:6" hidden="1">
      <c r="A57" s="71" t="s">
        <v>40</v>
      </c>
      <c r="B57" s="71">
        <v>1</v>
      </c>
      <c r="C57" s="71">
        <v>0.1</v>
      </c>
      <c r="D57" s="71">
        <v>0.04</v>
      </c>
      <c r="E57" s="71">
        <v>0.01</v>
      </c>
      <c r="F57" s="71">
        <v>5.0000000000000001E-3</v>
      </c>
    </row>
    <row r="58" spans="1:6" hidden="1">
      <c r="A58" s="66" t="s">
        <v>41</v>
      </c>
      <c r="B58" s="71">
        <v>0</v>
      </c>
      <c r="C58" s="70">
        <v>144</v>
      </c>
      <c r="D58" s="70">
        <v>242</v>
      </c>
      <c r="E58" s="70">
        <v>330</v>
      </c>
      <c r="F58" s="70">
        <v>540</v>
      </c>
    </row>
    <row r="59" spans="1:6" s="4" customFormat="1">
      <c r="B59" s="191"/>
      <c r="C59" s="95"/>
      <c r="D59" s="95"/>
      <c r="E59" s="95"/>
      <c r="F59" s="95"/>
    </row>
    <row r="60" spans="1:6" s="4" customFormat="1">
      <c r="A60" s="75" t="s">
        <v>57</v>
      </c>
      <c r="B60" s="191"/>
      <c r="C60" s="95"/>
      <c r="D60" s="95"/>
      <c r="E60" s="95"/>
      <c r="F60" s="95"/>
    </row>
    <row r="61" spans="1:6" s="4" customFormat="1">
      <c r="A61" s="74" t="s">
        <v>39</v>
      </c>
      <c r="B61" s="71">
        <v>2</v>
      </c>
      <c r="C61" s="192">
        <v>5</v>
      </c>
      <c r="D61" s="192">
        <v>10</v>
      </c>
      <c r="E61" s="192">
        <v>15</v>
      </c>
      <c r="F61" s="192">
        <v>20</v>
      </c>
    </row>
    <row r="62" spans="1:6" s="4" customFormat="1">
      <c r="A62" s="71" t="s">
        <v>40</v>
      </c>
      <c r="B62" s="71">
        <f>1/B61</f>
        <v>0.5</v>
      </c>
      <c r="C62" s="71">
        <f t="shared" ref="C62:F62" si="1">1/C61</f>
        <v>0.2</v>
      </c>
      <c r="D62" s="71">
        <f t="shared" si="1"/>
        <v>0.1</v>
      </c>
      <c r="E62" s="194">
        <f t="shared" si="1"/>
        <v>6.6666666666666666E-2</v>
      </c>
      <c r="F62" s="71">
        <f t="shared" si="1"/>
        <v>0.05</v>
      </c>
    </row>
    <row r="63" spans="1:6">
      <c r="A63" s="66" t="s">
        <v>58</v>
      </c>
      <c r="B63" s="202">
        <f>'Drought interpolation'!B26/100</f>
        <v>5.7878480519593094E-2</v>
      </c>
      <c r="C63" s="202">
        <f>'Drought interpolation'!F26/100</f>
        <v>7.750404885661806E-2</v>
      </c>
      <c r="D63" s="202">
        <f>'Drought interpolation'!J26/100</f>
        <v>9.1102274927745142E-2</v>
      </c>
      <c r="E63" s="202">
        <f>'Drought interpolation'!N26/100</f>
        <v>9.8293713948772676E-2</v>
      </c>
      <c r="F63" s="202">
        <f>'Drought interpolation'!R26/100</f>
        <v>0.10304197639427203</v>
      </c>
    </row>
    <row r="64" spans="1:6">
      <c r="A64" s="66" t="s">
        <v>59</v>
      </c>
      <c r="B64" s="202">
        <f>'Drought interpolation'!B36/100</f>
        <v>6.2982157083755028E-2</v>
      </c>
      <c r="C64" s="202">
        <f>'Drought interpolation'!F36/100</f>
        <v>8.1825664662837111E-2</v>
      </c>
      <c r="D64" s="202">
        <f>'Drought interpolation'!J36/100</f>
        <v>9.46313182334661E-2</v>
      </c>
      <c r="E64" s="202">
        <f>'Drought interpolation'!N36/100</f>
        <v>0.10135188198413612</v>
      </c>
      <c r="F64" s="202">
        <f>'Drought interpolation'!R36/100</f>
        <v>0.1057753682453844</v>
      </c>
    </row>
    <row r="65" spans="1:32">
      <c r="A65" s="66" t="s">
        <v>60</v>
      </c>
      <c r="B65" s="202">
        <f>'Drought interpolation'!B56/100</f>
        <v>7.3189510212078687E-2</v>
      </c>
      <c r="C65" s="202">
        <f>'Drought interpolation'!F56/100</f>
        <v>9.0468896275275337E-2</v>
      </c>
      <c r="D65" s="202">
        <f>'Drought interpolation'!J56/100</f>
        <v>0.10168940484490778</v>
      </c>
      <c r="E65" s="202">
        <f>'Drought interpolation'!N56/100</f>
        <v>0.10746821805486313</v>
      </c>
      <c r="F65" s="202">
        <f>'Drought interpolation'!R56/100</f>
        <v>0.11124215194760896</v>
      </c>
    </row>
    <row r="66" spans="1:32">
      <c r="A66" s="66" t="s">
        <v>61</v>
      </c>
      <c r="B66" s="202">
        <f>'Drought interpolation'!B84/100</f>
        <v>8.0834260430022051E-2</v>
      </c>
      <c r="C66" s="202">
        <f>'Drought interpolation'!F84/100</f>
        <v>0.109880928851743</v>
      </c>
      <c r="D66" s="202">
        <f>'Drought interpolation'!J84/100</f>
        <v>0.1299940274430561</v>
      </c>
      <c r="E66" s="202">
        <f>'Drought interpolation'!N84/100</f>
        <v>0.14062048239278233</v>
      </c>
      <c r="F66" s="202">
        <f>'Drought interpolation'!R84/100</f>
        <v>0.14763297309330198</v>
      </c>
    </row>
    <row r="67" spans="1:32">
      <c r="A67" s="66" t="s">
        <v>62</v>
      </c>
      <c r="B67" s="202">
        <f>'Drought interpolation'!B94/100</f>
        <v>8.5351703691245048E-2</v>
      </c>
      <c r="C67" s="202">
        <f>'Drought interpolation'!F94/100</f>
        <v>0.11361695907562129</v>
      </c>
      <c r="D67" s="202">
        <f>'Drought interpolation'!J94/100</f>
        <v>0.13290197428888798</v>
      </c>
      <c r="E67" s="202">
        <f>'Drought interpolation'!N94/100</f>
        <v>0.14303238425887244</v>
      </c>
      <c r="F67" s="202">
        <f>'Drought interpolation'!R94/100</f>
        <v>0.14970192057754048</v>
      </c>
    </row>
    <row r="68" spans="1:32">
      <c r="A68" s="66" t="s">
        <v>62</v>
      </c>
      <c r="B68" s="202">
        <f>'Drought interpolation'!B114/100</f>
        <v>9.438659021369096E-2</v>
      </c>
      <c r="C68" s="202">
        <f>'Drought interpolation'!F114/100</f>
        <v>0.12108901952337803</v>
      </c>
      <c r="D68" s="202">
        <f>'Drought interpolation'!J114/100</f>
        <v>0.13871786798055155</v>
      </c>
      <c r="E68" s="202">
        <f>'Drought interpolation'!N114/100</f>
        <v>0.14785618799105252</v>
      </c>
      <c r="F68" s="202">
        <f>'Drought interpolation'!R114/100</f>
        <v>0.15383981554601778</v>
      </c>
    </row>
    <row r="70" spans="1:32">
      <c r="A70" s="31" t="s">
        <v>63</v>
      </c>
    </row>
    <row r="72" spans="1:32">
      <c r="A72" t="s">
        <v>43</v>
      </c>
      <c r="T72" s="45" t="s">
        <v>64</v>
      </c>
    </row>
    <row r="73" spans="1:32">
      <c r="A73" s="41"/>
      <c r="B73" s="41" t="s">
        <v>65</v>
      </c>
      <c r="C73" s="41" t="s">
        <v>66</v>
      </c>
      <c r="D73" s="41" t="s">
        <v>39</v>
      </c>
      <c r="E73" s="206" t="s">
        <v>67</v>
      </c>
      <c r="F73" s="206"/>
      <c r="G73" s="206" t="s">
        <v>68</v>
      </c>
      <c r="H73" s="206"/>
      <c r="I73" s="206" t="s">
        <v>69</v>
      </c>
      <c r="J73" s="206"/>
      <c r="K73" s="206" t="s">
        <v>70</v>
      </c>
      <c r="L73" s="206"/>
      <c r="M73" s="206" t="s">
        <v>71</v>
      </c>
      <c r="N73" s="206"/>
      <c r="O73" s="206" t="s">
        <v>72</v>
      </c>
      <c r="P73" s="206"/>
      <c r="Q73" s="164"/>
      <c r="T73" s="164"/>
      <c r="U73" s="164"/>
      <c r="V73" s="41"/>
      <c r="W73" s="41"/>
      <c r="X73" s="41"/>
      <c r="Y73" s="41"/>
      <c r="Z73" s="41"/>
      <c r="AA73" s="41"/>
    </row>
    <row r="74" spans="1:32">
      <c r="A74" s="45" t="s">
        <v>73</v>
      </c>
      <c r="B74" s="45"/>
      <c r="C74" s="45"/>
      <c r="D74" s="45"/>
      <c r="E74" s="77" t="s">
        <v>74</v>
      </c>
      <c r="F74" s="77" t="s">
        <v>75</v>
      </c>
      <c r="G74" s="77" t="s">
        <v>74</v>
      </c>
      <c r="H74" s="77" t="s">
        <v>75</v>
      </c>
      <c r="I74" s="77" t="s">
        <v>74</v>
      </c>
      <c r="J74" s="77" t="s">
        <v>75</v>
      </c>
      <c r="K74" s="77" t="s">
        <v>74</v>
      </c>
      <c r="L74" s="77" t="s">
        <v>75</v>
      </c>
      <c r="M74" s="77" t="s">
        <v>74</v>
      </c>
      <c r="N74" s="77" t="s">
        <v>75</v>
      </c>
      <c r="O74" s="77" t="s">
        <v>74</v>
      </c>
      <c r="P74" s="77" t="s">
        <v>75</v>
      </c>
      <c r="Q74" s="77" t="s">
        <v>76</v>
      </c>
      <c r="T74" s="77" t="s">
        <v>77</v>
      </c>
      <c r="U74" s="77" t="s">
        <v>78</v>
      </c>
      <c r="V74" s="7" t="s">
        <v>58</v>
      </c>
      <c r="W74" s="7" t="s">
        <v>59</v>
      </c>
      <c r="X74" s="7" t="s">
        <v>60</v>
      </c>
      <c r="Y74" s="7" t="s">
        <v>61</v>
      </c>
      <c r="Z74" s="7" t="s">
        <v>62</v>
      </c>
      <c r="AA74" s="7" t="s">
        <v>62</v>
      </c>
      <c r="AC74" s="77"/>
      <c r="AD74" s="77"/>
      <c r="AE74" s="77"/>
      <c r="AF74" s="45"/>
    </row>
    <row r="75" spans="1:32">
      <c r="A75">
        <v>527</v>
      </c>
      <c r="B75">
        <f t="shared" ref="B75:B138" si="2">PERCENTILE($C$75:$C$1074,$C75)</f>
        <v>8.7219613959766394E-4</v>
      </c>
      <c r="C75">
        <v>3.2060833280278533E-4</v>
      </c>
      <c r="D75" s="190">
        <f t="shared" ref="D75:D138" si="3">1/C75</f>
        <v>3119.0705221474277</v>
      </c>
      <c r="E75" s="15">
        <f t="shared" ref="E75:E138" si="4">IF($C75&lt;=0.005,$F$14,IF($C75&lt;=0.01,$F$14+($C75-0.005)*SLOPE($E$14:$F$14,$E$11:$F$11),IF($C75&lt;=0.04,$E$14+($C75-0.01)*SLOPE($D$14:$E$14,$D$11:$E$11),IF($C75&lt;=0.1,$D$14+($C75-0.04)*SLOPE($C$14:$D$14,$C$11:$D$11),IF($C75&lt;=1,$C$14+($C75-0.1)*SLOPE($B$14:$C$14,$B$11:$C$11),)))))</f>
        <v>0.34</v>
      </c>
      <c r="F75" s="15">
        <f t="shared" ref="F75:F138" si="5">IF($C75&lt;=0.005,$F$27,IF($C75&lt;=0.01,$F$27+($C75-0.005)*SLOPE($E$27:$F$27,$E$24:$F$24),IF($C75&lt;=0.04,$E$27+($C75-0.01)*SLOPE($D$27:$E$27,$D$24:$E$24),IF($C75&lt;=0.1,$D$27+($C75-0.04)*SLOPE($C$27:$D$27,$C$24:$D$24),IF($C75&lt;=1,$C$27+($C75-0.1)*SLOPE($B$27:$C$27,$B$24:$C$24),)))))</f>
        <v>0.4</v>
      </c>
      <c r="G75" s="15">
        <f t="shared" ref="G75:G138" si="6">IF($C75&lt;=0.005,$F$15,IF($C75&lt;=0.01,$F$15+($C75-0.005)*SLOPE($E$15:$F$15,$E$11:$F$11),IF($C75&lt;=0.04,$E$15+($C75-0.01)*SLOPE($D$15:$E$15,$D$11:$E$11),IF($C75&lt;=0.1,$D$15+($C75-0.04)*SLOPE($C$15:$D$15,$C$11:$D$11),IF($C75&lt;=1,$C$15+($C75-0.1)*SLOPE($B$15:$C$15,$B$11:$C$11),)))))</f>
        <v>0.19</v>
      </c>
      <c r="H75" s="1">
        <f t="shared" ref="H75:H138" si="7">IF($C75&lt;=0.005,$F$28,IF($C75&lt;=0.01,$F$28+($C75-0.005)*SLOPE($E$28:$F$28,$E$24:$F$24),IF($C75&lt;=0.04,$E$28+($C75-0.01)*SLOPE($D$28:$E$28,$D$24:$E$24),IF($C75&lt;=0.1,$D$28+($C75-0.04)*SLOPE($C$28:$D$28,$C$24:$D$24),IF($C75&lt;=1,$C$28+($C75-0.1)*SLOPE($B$28:$C$28,$B$24:$C$24),)))))</f>
        <v>0.19014795477128335</v>
      </c>
      <c r="I75" s="1">
        <f t="shared" ref="I75:I138" si="8">IF($C75&lt;=0.005,$F$16,IF($C75&lt;=0.01,$F$16+($C75-0.005)*SLOPE($E$16:$F$16,$E$11:$F$11),IF($C75&lt;=0.04,$E$16+($C75-0.01)*SLOPE($D$16:$E$16,$D$11:$E$11),IF($C75&lt;=0.1,$D$16+($C75-0.04)*SLOPE($C$16:$D$16,$C$11:$D$11),IF($C75&lt;=1,$C$16+($C75-0.1)*SLOPE($B$16:$C$16,$B$11:$C$11),)))))</f>
        <v>0.41198980211899078</v>
      </c>
      <c r="J75" s="1">
        <f t="shared" ref="J75:J138" si="9">IF($C75&lt;=0.005,$F$29,IF($C75&lt;=0.01,$F$29+($C75-0.005)*SLOPE($E$29:$F$29,$E$24:$F$24),IF($C75&lt;=0.04,$E$29+($C75-0.01)*SLOPE($D$29:$E$29,$D$24:$E$24),IF($C75&lt;=0.1,$D$29+($C75-0.04)*SLOPE($C$29:$D$29,$C$24:$D$24),IF($C75&lt;=1,$C$29+($C75-0.1)*SLOPE($B$29:$C$29,$B$24:$C$24),)))))</f>
        <v>0.45205741172171654</v>
      </c>
      <c r="K75" s="1">
        <f t="shared" ref="K75:K138" si="10">IF($C75&lt;=0.005,$F$17,IF($C75&lt;=0.01,$F$17+($C75-0.005)*SLOPE($E$17:$F$17,$E$11:$F$11),IF($C75&lt;=0.04,$E$17+($C75-0.01)*SLOPE($D$17:$E$17,$D$11:$E$11),IF($C75&lt;=0.1,$D$17+($C75-0.04)*SLOPE($C$17:$D$17,$C$11:$D$11),IF($C75&lt;=1,$C$17+($C75-0.1)*SLOPE($B$17:$C$17,$B$11:$C$11),)))))</f>
        <v>0.31192852313260494</v>
      </c>
      <c r="L75" s="1">
        <f t="shared" ref="L75:L138" si="11">IF($C75&lt;=0.005,$F$30,IF($C75&lt;=0.01,$F$30+($C75-0.005)*SLOPE($E$30:$F$30,$E$24:$F$24),IF($C75&lt;=0.04,$E$30+($C75-0.01)*SLOPE($D$30:$E$30,$D$24:$E$24),IF($C75&lt;=0.1,$D$30+($C75-0.04)*SLOPE($C$30:$D$30,$C$24:$D$24),IF($C75&lt;=1,$C$30+($C75-0.1)*SLOPE($B$30:$C$30,$B$24:$C$24),)))))</f>
        <v>0.31209473991366338</v>
      </c>
      <c r="M75" s="1">
        <f t="shared" ref="M75:M138" si="12">IF($C75&lt;=0.005,$F$18,IF($C75&lt;=0.01,$F$18+($C75-0.005)*SLOPE($E$18:$F$18,$E$11:$F$11),IF($C75&lt;=0.04,$E$18+($C75-0.01)*SLOPE($D$18:$E$18,$D$11:$E$11),IF($C75&lt;=0.1,$D$18+($C75-0.04)*SLOPE($C$18:$D$18,$C$11:$D$11),IF($C75&lt;=1,$C$18+($C75-0.1)*SLOPE($B$18:$C$18,$B$11:$C$11),)))))</f>
        <v>0.55596940635697178</v>
      </c>
      <c r="N75" s="1">
        <f t="shared" ref="N75:N138" si="13">IF($C75&lt;=0.005,$F$31,IF($C75&lt;=0.01,$F$31+($C75-0.005)*SLOPE($E$31:$F$31,$E$24:$F$24),IF($C75&lt;=0.04,$E$31+($C75-0.01)*SLOPE($D$31:$E$31,$D$24:$E$24),IF($C75&lt;=0.1,$D$31+($C75-0.04)*SLOPE($C$31:$D$31,$C$24:$D$24),IF($C75&lt;=1,$C$31+($C75-0.1)*SLOPE($B$31:$C$31,$B$24:$C$24),)))))</f>
        <v>0.5561722351651488</v>
      </c>
      <c r="O75" s="1">
        <f t="shared" ref="O75:O138" si="14">IF($C75&lt;=0.005,$F$19,IF($C75&lt;=0.01,$F$19+($C75-0.005)*SLOPE($E$19:$F$19,$E$11:$F$11),IF($C75&lt;=0.04,$E$19+($C75-0.01)*SLOPE($D$19:$E$19,$D$11:$E$11),IF($C75&lt;=0.1,$D$19+($C75-0.04)*SLOPE($C$19:$D$19,$C$11:$D$11),IF($C75&lt;=1,$C$19+($C75-0.1)*SLOPE($B$19:$C$19,$B$11:$C$11),)))))</f>
        <v>0.55578556939781465</v>
      </c>
      <c r="P75" s="1">
        <f t="shared" ref="P75:P138" si="15">IF($C75&lt;=0.005,$F$32,IF($C75&lt;=0.01,$F$32+($C75-0.005)*SLOPE($E$32:$F$32,$E$24:$F$24),IF($C75&lt;=0.04,$E$32+($C75-0.01)*SLOPE($D$32:$E$32,$D$24:$E$24),IF($C75&lt;=0.1,$D$32+($C75-0.04)*SLOPE($C$32:$D$32,$C$24:$D$24),IF($C75&lt;=1,$C$32+($C75-0.1)*SLOPE($B$32:$C$32,$B$24:$C$24),)))))</f>
        <v>0.55598831019842343</v>
      </c>
      <c r="Q75" s="1">
        <f t="shared" ref="Q75:Q138" si="16">IF($C75&lt;=0.005,$F$20,IF($C75&lt;=0.01,$F$20+($C75-0.005)*SLOPE($E$20:$F$20,$E$11:$F$11),IF($C75&lt;=0.04,$E$20+($C75-0.01)*SLOPE($D$20:$E$20,$D$11:$E$11),IF($C75&lt;=0.1,$D$20+($C75-0.04)*SLOPE($C$20:$D$20,$C$11:$D$11),IF($C75&lt;=1,$C$20+($C75-0.1)*SLOPE($B$20:$C$20,$B$11:$C$11),)))))</f>
        <v>21</v>
      </c>
      <c r="T75">
        <v>0.68121581521516261</v>
      </c>
      <c r="U75">
        <f>1/T75</f>
        <v>1.4679635699358347</v>
      </c>
      <c r="V75" s="15">
        <f t="shared" ref="V75:V138" si="17">IF($T75&lt;=0.05,$F$63,IF($T75&lt;=0.07,$F$63+($T75-0.05)*SLOPE($E$63:$F$63,$E$62:$F$62),IF($T75&lt;=0.1,$E$63+($T75-0.07)*SLOPE($D$63:$E$63,$D$62:$E$62),IF($T75&lt;=0.2,$D$63+($T75-0.1)*SLOPE($C$63:$D$63,$C$62:$D$62),IF($T75&lt;=0.5,$C$63+($T75-0.2)*SLOPE($B$63:$C$63,$B$62:$C$62),)))))</f>
        <v>0</v>
      </c>
      <c r="W75" s="15">
        <f t="shared" ref="W75:W138" si="18">IF($T75&lt;=0.05,$F$64,IF($T75&lt;=0.07,$F$64+($T75-0.05)*SLOPE($E$64:$F$64,$E$62:$F$62),IF($T75&lt;=0.1,$E$64+($T75-0.07)*SLOPE($D$64:$E$64,$D$62:$E$62),IF($T75&lt;=0.2,$D$64+($T75-0.1)*SLOPE($C$64:$D$64,$C$62:$D$62),IF($T75&lt;=0.5,$C$64+($T75-0.2)*SLOPE($B$64:$C$64,$B$62:$C$62),)))))</f>
        <v>0</v>
      </c>
      <c r="X75" s="15">
        <f t="shared" ref="X75:X138" si="19">IF($T75&lt;=0.05,$F$65,IF($T75&lt;=0.07,$F$65+($T75-0.05)*SLOPE($E$65:$F$65,$E$62:$F$62),IF($T75&lt;=0.1,$E$65+($T75-0.07)*SLOPE($D$65:$E$65,$D$62:$E$62),IF($T75&lt;=0.2,$D$65+($T75-0.1)*SLOPE($C$65:$D$65,$C$62:$D$62),IF($T75&lt;=0.5,$C$65+($T75-0.2)*SLOPE($B$65:$C$65,$B$62:$C$62),)))))</f>
        <v>0</v>
      </c>
      <c r="Y75" s="15">
        <f t="shared" ref="Y75:Y138" si="20">IF($T75&lt;=0.05,$F$66,IF($T75&lt;=0.07,$F$66+($T75-0.05)*SLOPE($E$66:$F$66,$E$62:$F$62),IF($T75&lt;=0.1,$E$66+($T75-0.07)*SLOPE($D$66:$E$66,$D$62:$E$62),IF($T75&lt;=0.2,$D$66+($T75-0.1)*SLOPE($C$66:$D$66,$C$62:$D$62),IF($T75&lt;=0.5,$C$66+($T75-0.2)*SLOPE($B$66:$C$66,$B$62:$C$62),)))))</f>
        <v>0</v>
      </c>
      <c r="Z75" s="15">
        <f t="shared" ref="Z75:Z138" si="21">IF($T75&lt;=0.05,$F$67,IF($T75&lt;=0.07,$F$67+($T75-0.05)*SLOPE($E$67:$F$67,$E$62:$F$62),IF($T75&lt;=0.1,$E$67+($T75-0.07)*SLOPE($D$67:$E$67,$D$62:$E$62),IF($T75&lt;=0.2,$D$67+($T75-0.1)*SLOPE($C$67:$D$67,$C$62:$D$62),IF($T75&lt;=0.5,$C$67+($T75-0.2)*SLOPE($B$67:$C$67,$B$62:$C$62),)))))</f>
        <v>0</v>
      </c>
      <c r="AA75" s="15">
        <f t="shared" ref="AA75:AA138" si="22">IF($T75&lt;=0.05,$F$68,IF($T75&lt;=0.07,$F$68+($T75-0.05)*SLOPE($E$68:$F$68,$E$62:$F$62),IF($T75&lt;=0.1,$E$68+($T75-0.07)*SLOPE($D$68:$E$68,$D$62:$E$62),IF($T75&lt;=0.2,$D$68+($T75-0.1)*SLOPE($C$68:$D$68,$C$62:$D$62),IF($T75&lt;=0.5,$C$68+($T75-0.2)*SLOPE($B$68:$C$68,$B$62:$C$62),)))))</f>
        <v>0</v>
      </c>
      <c r="AC75" s="1"/>
      <c r="AD75" s="1"/>
      <c r="AE75" s="1"/>
    </row>
    <row r="76" spans="1:32">
      <c r="A76">
        <v>978</v>
      </c>
      <c r="B76">
        <f t="shared" si="2"/>
        <v>5.5028451519130049E-3</v>
      </c>
      <c r="C76">
        <v>2.0427717647846233E-3</v>
      </c>
      <c r="D76" s="190">
        <f t="shared" si="3"/>
        <v>489.53094870362747</v>
      </c>
      <c r="E76" s="15">
        <f t="shared" si="4"/>
        <v>0.34</v>
      </c>
      <c r="F76" s="15">
        <f t="shared" si="5"/>
        <v>0.4</v>
      </c>
      <c r="G76" s="15">
        <f t="shared" si="6"/>
        <v>0.19</v>
      </c>
      <c r="H76" s="1">
        <f t="shared" si="7"/>
        <v>0.19014795477128335</v>
      </c>
      <c r="I76" s="1">
        <f t="shared" si="8"/>
        <v>0.41198980211899078</v>
      </c>
      <c r="J76" s="1">
        <f t="shared" si="9"/>
        <v>0.45205741172171654</v>
      </c>
      <c r="K76" s="1">
        <f t="shared" si="10"/>
        <v>0.31192852313260494</v>
      </c>
      <c r="L76" s="1">
        <f t="shared" si="11"/>
        <v>0.31209473991366338</v>
      </c>
      <c r="M76" s="1">
        <f t="shared" si="12"/>
        <v>0.55596940635697178</v>
      </c>
      <c r="N76" s="1">
        <f t="shared" si="13"/>
        <v>0.5561722351651488</v>
      </c>
      <c r="O76" s="1">
        <f t="shared" si="14"/>
        <v>0.55578556939781465</v>
      </c>
      <c r="P76" s="1">
        <f t="shared" si="15"/>
        <v>0.55598831019842343</v>
      </c>
      <c r="Q76" s="1">
        <f t="shared" si="16"/>
        <v>21</v>
      </c>
      <c r="T76">
        <v>0.33335032044011437</v>
      </c>
      <c r="U76">
        <f t="shared" ref="U76:U139" si="23">1/T76</f>
        <v>2.9998471238297424</v>
      </c>
      <c r="V76" s="15">
        <f t="shared" si="17"/>
        <v>6.8780462768079254E-2</v>
      </c>
      <c r="W76" s="15">
        <f t="shared" si="18"/>
        <v>7.3449705416549382E-2</v>
      </c>
      <c r="X76" s="15">
        <f t="shared" si="19"/>
        <v>8.2788190713489612E-2</v>
      </c>
      <c r="Y76" s="15">
        <f t="shared" si="20"/>
        <v>9.6969653712562207E-2</v>
      </c>
      <c r="Z76" s="15">
        <f t="shared" si="21"/>
        <v>0.10105302286619383</v>
      </c>
      <c r="AA76" s="15">
        <f t="shared" si="22"/>
        <v>0.10921976117345712</v>
      </c>
      <c r="AC76" s="1"/>
      <c r="AD76" s="1"/>
      <c r="AE76" s="1"/>
    </row>
    <row r="77" spans="1:32">
      <c r="A77">
        <v>291</v>
      </c>
      <c r="B77">
        <f t="shared" si="2"/>
        <v>9.340372440345579E-3</v>
      </c>
      <c r="C77">
        <v>5.4051609158070058E-3</v>
      </c>
      <c r="D77">
        <f t="shared" si="3"/>
        <v>185.00836803499627</v>
      </c>
      <c r="E77" s="1">
        <f t="shared" si="4"/>
        <v>0.33918967816838602</v>
      </c>
      <c r="F77" s="1">
        <f t="shared" si="5"/>
        <v>0.39918967816838602</v>
      </c>
      <c r="G77" s="1">
        <f t="shared" si="6"/>
        <v>0.189189678168386</v>
      </c>
      <c r="H77" s="1">
        <f t="shared" si="7"/>
        <v>0.18904173682055558</v>
      </c>
      <c r="I77" s="1">
        <f t="shared" si="8"/>
        <v>0.41093040886226545</v>
      </c>
      <c r="J77" s="1">
        <f t="shared" si="9"/>
        <v>0.45099793990443859</v>
      </c>
      <c r="K77" s="1">
        <f t="shared" si="10"/>
        <v>0.31086967917135616</v>
      </c>
      <c r="L77" s="1">
        <f t="shared" si="11"/>
        <v>0.31083855458281334</v>
      </c>
      <c r="M77" s="1">
        <f t="shared" si="12"/>
        <v>0.55441187025002381</v>
      </c>
      <c r="N77" s="1">
        <f t="shared" si="13"/>
        <v>0.55461446337654308</v>
      </c>
      <c r="O77" s="1">
        <f t="shared" si="14"/>
        <v>0.55422968117729632</v>
      </c>
      <c r="P77" s="1">
        <f t="shared" si="15"/>
        <v>0.5544321901073288</v>
      </c>
      <c r="Q77" s="1">
        <f t="shared" si="16"/>
        <v>20.432774717870192</v>
      </c>
      <c r="T77">
        <v>0.1304496990190509</v>
      </c>
      <c r="U77">
        <f t="shared" si="23"/>
        <v>7.6657900134668751</v>
      </c>
      <c r="V77" s="15">
        <f t="shared" si="17"/>
        <v>8.696165601715683E-2</v>
      </c>
      <c r="W77" s="15">
        <f t="shared" si="18"/>
        <v>9.0732035263787231E-2</v>
      </c>
      <c r="X77" s="15">
        <f t="shared" si="19"/>
        <v>9.8272793757047894E-2</v>
      </c>
      <c r="Y77" s="15">
        <f t="shared" si="20"/>
        <v>0.1238696494585963</v>
      </c>
      <c r="Z77" s="15">
        <f t="shared" si="21"/>
        <v>0.12702974520067009</v>
      </c>
      <c r="AA77" s="15">
        <f t="shared" si="22"/>
        <v>0.13334993668481762</v>
      </c>
      <c r="AC77" s="1"/>
      <c r="AD77" s="1"/>
      <c r="AE77" s="1"/>
    </row>
    <row r="78" spans="1:32">
      <c r="A78">
        <v>515</v>
      </c>
      <c r="B78">
        <f t="shared" si="2"/>
        <v>1.005912196164889E-2</v>
      </c>
      <c r="C78">
        <v>7.8035564778681232E-3</v>
      </c>
      <c r="D78">
        <f t="shared" si="3"/>
        <v>128.1466986028905</v>
      </c>
      <c r="E78" s="1">
        <f t="shared" si="4"/>
        <v>0.33439288704426379</v>
      </c>
      <c r="F78" s="1">
        <f t="shared" si="5"/>
        <v>0.39439288704426378</v>
      </c>
      <c r="G78" s="1">
        <f t="shared" si="6"/>
        <v>0.18439288704426376</v>
      </c>
      <c r="H78" s="1">
        <f t="shared" si="7"/>
        <v>0.18249335537459799</v>
      </c>
      <c r="I78" s="1">
        <f t="shared" si="8"/>
        <v>0.404659211453338</v>
      </c>
      <c r="J78" s="1">
        <f t="shared" si="9"/>
        <v>0.44472627744749371</v>
      </c>
      <c r="K78" s="1">
        <f t="shared" si="10"/>
        <v>0.30460173337871715</v>
      </c>
      <c r="L78" s="1">
        <f t="shared" si="11"/>
        <v>0.30340242438097487</v>
      </c>
      <c r="M78" s="1">
        <f t="shared" si="12"/>
        <v>0.54519186027148636</v>
      </c>
      <c r="N78" s="1">
        <f t="shared" si="13"/>
        <v>0.54539305825395334</v>
      </c>
      <c r="O78" s="1">
        <f t="shared" si="14"/>
        <v>0.54501942604762388</v>
      </c>
      <c r="P78" s="1">
        <f t="shared" si="15"/>
        <v>0.54522056239372862</v>
      </c>
      <c r="Q78" s="1">
        <f t="shared" si="16"/>
        <v>17.075020930984628</v>
      </c>
      <c r="T78">
        <v>0.89667616531720273</v>
      </c>
      <c r="U78">
        <f t="shared" si="23"/>
        <v>1.1152298217341887</v>
      </c>
      <c r="V78" s="15">
        <f t="shared" si="17"/>
        <v>0</v>
      </c>
      <c r="W78" s="15">
        <f t="shared" si="18"/>
        <v>0</v>
      </c>
      <c r="X78" s="15">
        <f t="shared" si="19"/>
        <v>0</v>
      </c>
      <c r="Y78" s="15">
        <f t="shared" si="20"/>
        <v>0</v>
      </c>
      <c r="Z78" s="15">
        <f t="shared" si="21"/>
        <v>0</v>
      </c>
      <c r="AA78" s="15">
        <f t="shared" si="22"/>
        <v>0</v>
      </c>
      <c r="AC78" s="1"/>
      <c r="AD78" s="1"/>
      <c r="AE78" s="1"/>
    </row>
    <row r="79" spans="1:32">
      <c r="A79">
        <v>266</v>
      </c>
      <c r="B79">
        <f t="shared" si="2"/>
        <v>1.0101317903370632E-2</v>
      </c>
      <c r="C79">
        <v>8.0226863796198922E-3</v>
      </c>
      <c r="D79">
        <f t="shared" si="3"/>
        <v>124.6465276943032</v>
      </c>
      <c r="E79" s="1">
        <f t="shared" si="4"/>
        <v>0.33395462724076025</v>
      </c>
      <c r="F79" s="1">
        <f t="shared" si="5"/>
        <v>0.39395462724076025</v>
      </c>
      <c r="G79" s="1">
        <f t="shared" si="6"/>
        <v>0.18395462724076023</v>
      </c>
      <c r="H79" s="1">
        <f t="shared" si="7"/>
        <v>0.18189506116259041</v>
      </c>
      <c r="I79" s="1">
        <f t="shared" si="8"/>
        <v>0.40408624221764478</v>
      </c>
      <c r="J79" s="1">
        <f t="shared" si="9"/>
        <v>0.44415326572259312</v>
      </c>
      <c r="K79" s="1">
        <f t="shared" si="10"/>
        <v>0.30402906122761209</v>
      </c>
      <c r="L79" s="1">
        <f t="shared" si="11"/>
        <v>0.3027230208220632</v>
      </c>
      <c r="M79" s="1">
        <f t="shared" si="12"/>
        <v>0.54434947217141372</v>
      </c>
      <c r="N79" s="1">
        <f t="shared" si="13"/>
        <v>0.54455054268625869</v>
      </c>
      <c r="O79" s="1">
        <f t="shared" si="14"/>
        <v>0.5441779292013158</v>
      </c>
      <c r="P79" s="1">
        <f t="shared" si="15"/>
        <v>0.54437894014100874</v>
      </c>
      <c r="Q79" s="1">
        <f t="shared" si="16"/>
        <v>16.76823906853215</v>
      </c>
      <c r="T79">
        <v>0.48504849875530254</v>
      </c>
      <c r="U79">
        <f t="shared" si="23"/>
        <v>2.0616495104430381</v>
      </c>
      <c r="V79" s="15">
        <f t="shared" si="17"/>
        <v>5.8856586217656173E-2</v>
      </c>
      <c r="W79" s="15">
        <f t="shared" si="18"/>
        <v>6.3921286173832068E-2</v>
      </c>
      <c r="X79" s="15">
        <f t="shared" si="19"/>
        <v>7.4050686086183662E-2</v>
      </c>
      <c r="Y79" s="15">
        <f t="shared" si="20"/>
        <v>8.2281898093560971E-2</v>
      </c>
      <c r="Z79" s="15">
        <f t="shared" si="21"/>
        <v>8.6760397028115693E-2</v>
      </c>
      <c r="AA79" s="15">
        <f t="shared" si="22"/>
        <v>9.5717394897225069E-2</v>
      </c>
      <c r="AC79" s="1"/>
      <c r="AD79" s="1"/>
      <c r="AE79" s="1"/>
    </row>
    <row r="80" spans="1:32">
      <c r="A80">
        <v>680</v>
      </c>
      <c r="B80">
        <f t="shared" si="2"/>
        <v>1.1633495311334193E-2</v>
      </c>
      <c r="C80">
        <v>9.0529495498425927E-3</v>
      </c>
      <c r="D80">
        <f t="shared" si="3"/>
        <v>110.46123636217408</v>
      </c>
      <c r="E80" s="1">
        <f t="shared" si="4"/>
        <v>0.33189410090031485</v>
      </c>
      <c r="F80" s="1">
        <f t="shared" si="5"/>
        <v>0.39189410090031485</v>
      </c>
      <c r="G80" s="1">
        <f t="shared" si="6"/>
        <v>0.1818941009003148</v>
      </c>
      <c r="H80" s="1">
        <f t="shared" si="7"/>
        <v>0.17908211556885273</v>
      </c>
      <c r="I80" s="1">
        <f t="shared" si="8"/>
        <v>0.40139236476647838</v>
      </c>
      <c r="J80" s="1">
        <f t="shared" si="9"/>
        <v>0.44145918850377691</v>
      </c>
      <c r="K80" s="1">
        <f t="shared" si="10"/>
        <v>0.30133658055208967</v>
      </c>
      <c r="L80" s="1">
        <f t="shared" si="11"/>
        <v>0.29952873077369807</v>
      </c>
      <c r="M80" s="1">
        <f t="shared" si="12"/>
        <v>0.54038889249880562</v>
      </c>
      <c r="N80" s="1">
        <f t="shared" si="13"/>
        <v>0.5405893637107011</v>
      </c>
      <c r="O80" s="1">
        <f t="shared" si="14"/>
        <v>0.54022153985563937</v>
      </c>
      <c r="P80" s="1">
        <f t="shared" si="15"/>
        <v>0.54042196118338881</v>
      </c>
      <c r="Q80" s="1">
        <f t="shared" si="16"/>
        <v>15.32587063022037</v>
      </c>
      <c r="T80">
        <v>0.33084867785915117</v>
      </c>
      <c r="U80">
        <f t="shared" si="23"/>
        <v>3.0225298359080033</v>
      </c>
      <c r="V80" s="15">
        <f t="shared" si="17"/>
        <v>6.8944116626170934E-2</v>
      </c>
      <c r="W80" s="15">
        <f t="shared" si="18"/>
        <v>7.3606837819664497E-2</v>
      </c>
      <c r="X80" s="15">
        <f t="shared" si="19"/>
        <v>8.2932280206651582E-2</v>
      </c>
      <c r="Y80" s="15">
        <f t="shared" si="20"/>
        <v>9.7211868321091854E-2</v>
      </c>
      <c r="Z80" s="15">
        <f t="shared" si="21"/>
        <v>0.10128872142096501</v>
      </c>
      <c r="AA80" s="15">
        <f t="shared" si="22"/>
        <v>0.10944242762071137</v>
      </c>
      <c r="AC80" s="1"/>
      <c r="AD80" s="1"/>
      <c r="AE80" s="1"/>
    </row>
    <row r="81" spans="1:31">
      <c r="A81">
        <v>386</v>
      </c>
      <c r="B81">
        <f t="shared" si="2"/>
        <v>1.2020257594294436E-2</v>
      </c>
      <c r="C81">
        <v>9.7719458043961094E-3</v>
      </c>
      <c r="D81">
        <f t="shared" si="3"/>
        <v>102.33376443309065</v>
      </c>
      <c r="E81" s="1">
        <f t="shared" si="4"/>
        <v>0.33045610839120781</v>
      </c>
      <c r="F81" s="1">
        <f t="shared" si="5"/>
        <v>0.39045610839120781</v>
      </c>
      <c r="G81" s="1">
        <f t="shared" si="6"/>
        <v>0.18045610839120776</v>
      </c>
      <c r="H81" s="1">
        <f t="shared" si="7"/>
        <v>0.17711902749134431</v>
      </c>
      <c r="I81" s="1">
        <f t="shared" si="8"/>
        <v>0.39951237152436708</v>
      </c>
      <c r="J81" s="1">
        <f t="shared" si="9"/>
        <v>0.43957905584855633</v>
      </c>
      <c r="K81" s="1">
        <f t="shared" si="10"/>
        <v>0.2994575620866039</v>
      </c>
      <c r="L81" s="1">
        <f t="shared" si="11"/>
        <v>0.2972995114372099</v>
      </c>
      <c r="M81" s="1">
        <f t="shared" si="12"/>
        <v>0.53762489779068601</v>
      </c>
      <c r="N81" s="1">
        <f t="shared" si="13"/>
        <v>0.53782495076325343</v>
      </c>
      <c r="O81" s="1">
        <f t="shared" si="14"/>
        <v>0.53746046947739612</v>
      </c>
      <c r="P81" s="1">
        <f t="shared" si="15"/>
        <v>0.53766047932894101</v>
      </c>
      <c r="Q81" s="1">
        <f t="shared" si="16"/>
        <v>14.319275873845447</v>
      </c>
      <c r="T81">
        <v>0.70745258153241586</v>
      </c>
      <c r="U81">
        <f t="shared" si="23"/>
        <v>1.4135222997333561</v>
      </c>
      <c r="V81" s="15">
        <f t="shared" si="17"/>
        <v>0</v>
      </c>
      <c r="W81" s="15">
        <f t="shared" si="18"/>
        <v>0</v>
      </c>
      <c r="X81" s="15">
        <f t="shared" si="19"/>
        <v>0</v>
      </c>
      <c r="Y81" s="15">
        <f t="shared" si="20"/>
        <v>0</v>
      </c>
      <c r="Z81" s="15">
        <f t="shared" si="21"/>
        <v>0</v>
      </c>
      <c r="AA81" s="15">
        <f t="shared" si="22"/>
        <v>0</v>
      </c>
      <c r="AC81" s="1"/>
      <c r="AD81" s="1"/>
      <c r="AE81" s="1"/>
    </row>
    <row r="82" spans="1:31">
      <c r="A82">
        <v>448</v>
      </c>
      <c r="B82">
        <f t="shared" si="2"/>
        <v>1.2133352684599374E-2</v>
      </c>
      <c r="C82">
        <v>9.9821910892136101E-3</v>
      </c>
      <c r="D82">
        <f t="shared" si="3"/>
        <v>100.17840683099759</v>
      </c>
      <c r="E82" s="1">
        <f t="shared" si="4"/>
        <v>0.33003561782157281</v>
      </c>
      <c r="F82" s="1">
        <f t="shared" si="5"/>
        <v>0.39003561782157281</v>
      </c>
      <c r="G82" s="1">
        <f t="shared" si="6"/>
        <v>0.18003561782157276</v>
      </c>
      <c r="H82" s="1">
        <f t="shared" si="7"/>
        <v>0.17654499110469599</v>
      </c>
      <c r="I82" s="1">
        <f t="shared" si="8"/>
        <v>0.39896263331343845</v>
      </c>
      <c r="J82" s="1">
        <f t="shared" si="9"/>
        <v>0.43902927687114429</v>
      </c>
      <c r="K82" s="1">
        <f t="shared" si="10"/>
        <v>0.29890810891497549</v>
      </c>
      <c r="L82" s="1">
        <f t="shared" si="11"/>
        <v>0.29664765428030204</v>
      </c>
      <c r="M82" s="1">
        <f t="shared" si="12"/>
        <v>0.53681666429717001</v>
      </c>
      <c r="N82" s="1">
        <f t="shared" si="13"/>
        <v>0.53701659497028731</v>
      </c>
      <c r="O82" s="1">
        <f t="shared" si="14"/>
        <v>0.53665309110178083</v>
      </c>
      <c r="P82" s="1">
        <f t="shared" si="15"/>
        <v>0.5368529806315141</v>
      </c>
      <c r="Q82" s="1">
        <f t="shared" si="16"/>
        <v>14.024932475100947</v>
      </c>
      <c r="T82">
        <v>0.49280452026192523</v>
      </c>
      <c r="U82">
        <f t="shared" si="23"/>
        <v>2.0292021661418622</v>
      </c>
      <c r="V82" s="15">
        <f t="shared" si="17"/>
        <v>5.8349198450650647E-2</v>
      </c>
      <c r="W82" s="15">
        <f t="shared" si="18"/>
        <v>6.3434117340353507E-2</v>
      </c>
      <c r="X82" s="15">
        <f t="shared" si="19"/>
        <v>7.3603955119759035E-2</v>
      </c>
      <c r="Y82" s="15">
        <f t="shared" si="20"/>
        <v>8.1530942810312285E-2</v>
      </c>
      <c r="Z82" s="15">
        <f t="shared" si="21"/>
        <v>8.6029643932611005E-2</v>
      </c>
      <c r="AA82" s="15">
        <f t="shared" si="22"/>
        <v>9.5027046177208391E-2</v>
      </c>
      <c r="AC82" s="1"/>
      <c r="AD82" s="1"/>
      <c r="AE82" s="1"/>
    </row>
    <row r="83" spans="1:31">
      <c r="A83">
        <v>354</v>
      </c>
      <c r="B83">
        <f t="shared" si="2"/>
        <v>1.2240461455210096E-2</v>
      </c>
      <c r="C83">
        <v>1.007886792239554E-2</v>
      </c>
      <c r="D83">
        <f t="shared" si="3"/>
        <v>99.217492252078301</v>
      </c>
      <c r="E83" s="1">
        <f t="shared" si="4"/>
        <v>0.32989484277013931</v>
      </c>
      <c r="F83" s="1">
        <f t="shared" si="5"/>
        <v>0.3898948427701393</v>
      </c>
      <c r="G83" s="1">
        <f t="shared" si="6"/>
        <v>0.17994742138506964</v>
      </c>
      <c r="H83" s="1">
        <f t="shared" si="7"/>
        <v>0.17644326269928357</v>
      </c>
      <c r="I83" s="1">
        <f t="shared" si="8"/>
        <v>0.39881792417563644</v>
      </c>
      <c r="J83" s="1">
        <f t="shared" si="9"/>
        <v>0.43888455105676144</v>
      </c>
      <c r="K83" s="1">
        <f t="shared" si="10"/>
        <v>0.29879798007315977</v>
      </c>
      <c r="L83" s="1">
        <f t="shared" si="11"/>
        <v>0.29652849661615316</v>
      </c>
      <c r="M83" s="1">
        <f t="shared" si="12"/>
        <v>0.53666408698663093</v>
      </c>
      <c r="N83" s="1">
        <f t="shared" si="13"/>
        <v>0.53686396763000588</v>
      </c>
      <c r="O83" s="1">
        <f t="shared" si="14"/>
        <v>0.53649909744933999</v>
      </c>
      <c r="P83" s="1">
        <f t="shared" si="15"/>
        <v>0.53669896444989229</v>
      </c>
      <c r="Q83" s="1">
        <f t="shared" si="16"/>
        <v>13.984226415520892</v>
      </c>
      <c r="T83">
        <v>0.61301627745501541</v>
      </c>
      <c r="U83">
        <f t="shared" si="23"/>
        <v>1.6312780537436584</v>
      </c>
      <c r="V83" s="15">
        <f t="shared" si="17"/>
        <v>0</v>
      </c>
      <c r="W83" s="15">
        <f t="shared" si="18"/>
        <v>0</v>
      </c>
      <c r="X83" s="15">
        <f t="shared" si="19"/>
        <v>0</v>
      </c>
      <c r="Y83" s="15">
        <f t="shared" si="20"/>
        <v>0</v>
      </c>
      <c r="Z83" s="15">
        <f t="shared" si="21"/>
        <v>0</v>
      </c>
      <c r="AA83" s="15">
        <f t="shared" si="22"/>
        <v>0</v>
      </c>
      <c r="AC83" s="1"/>
      <c r="AD83" s="1"/>
      <c r="AE83" s="1"/>
    </row>
    <row r="84" spans="1:31">
      <c r="A84">
        <v>362</v>
      </c>
      <c r="B84">
        <f t="shared" si="2"/>
        <v>1.4963564071628714E-2</v>
      </c>
      <c r="C84">
        <v>1.1609858826749364E-2</v>
      </c>
      <c r="D84">
        <f t="shared" si="3"/>
        <v>86.133691625601728</v>
      </c>
      <c r="E84" s="1">
        <f t="shared" si="4"/>
        <v>0.32785352156433417</v>
      </c>
      <c r="F84" s="1">
        <f t="shared" si="5"/>
        <v>0.38785352156433417</v>
      </c>
      <c r="G84" s="1">
        <f t="shared" si="6"/>
        <v>0.17892676078216707</v>
      </c>
      <c r="H84" s="1">
        <f t="shared" si="7"/>
        <v>0.17541239504329226</v>
      </c>
      <c r="I84" s="1">
        <f t="shared" si="8"/>
        <v>0.39691275714246832</v>
      </c>
      <c r="J84" s="1">
        <f t="shared" si="9"/>
        <v>0.43697912732904576</v>
      </c>
      <c r="K84" s="1">
        <f t="shared" si="10"/>
        <v>0.29756362003237286</v>
      </c>
      <c r="L84" s="1">
        <f t="shared" si="11"/>
        <v>0.29528725204256606</v>
      </c>
      <c r="M84" s="1">
        <f t="shared" si="12"/>
        <v>0.53503122829873695</v>
      </c>
      <c r="N84" s="1">
        <f t="shared" si="13"/>
        <v>0.53523033885846893</v>
      </c>
      <c r="O84" s="1">
        <f t="shared" si="14"/>
        <v>0.53483733853278437</v>
      </c>
      <c r="P84" s="1">
        <f t="shared" si="15"/>
        <v>0.5350369660411135</v>
      </c>
      <c r="Q84" s="1">
        <f t="shared" si="16"/>
        <v>13.678028234650128</v>
      </c>
      <c r="T84">
        <v>0.54577723382411125</v>
      </c>
      <c r="U84">
        <f t="shared" si="23"/>
        <v>1.8322493831288538</v>
      </c>
      <c r="V84" s="15">
        <f t="shared" si="17"/>
        <v>0</v>
      </c>
      <c r="W84" s="15">
        <f t="shared" si="18"/>
        <v>0</v>
      </c>
      <c r="X84" s="15">
        <f t="shared" si="19"/>
        <v>0</v>
      </c>
      <c r="Y84" s="15">
        <f t="shared" si="20"/>
        <v>0</v>
      </c>
      <c r="Z84" s="15">
        <f t="shared" si="21"/>
        <v>0</v>
      </c>
      <c r="AA84" s="15">
        <f t="shared" si="22"/>
        <v>0</v>
      </c>
      <c r="AC84" s="1"/>
      <c r="AD84" s="1"/>
      <c r="AE84" s="1"/>
    </row>
    <row r="85" spans="1:31">
      <c r="A85">
        <v>135</v>
      </c>
      <c r="B85">
        <f t="shared" si="2"/>
        <v>1.612931634723995E-2</v>
      </c>
      <c r="C85">
        <v>1.2148317031421163E-2</v>
      </c>
      <c r="D85">
        <f t="shared" si="3"/>
        <v>82.315928816603801</v>
      </c>
      <c r="E85" s="1">
        <f t="shared" si="4"/>
        <v>0.32713557729143844</v>
      </c>
      <c r="F85" s="1">
        <f t="shared" si="5"/>
        <v>0.38713557729143844</v>
      </c>
      <c r="G85" s="1">
        <f t="shared" si="6"/>
        <v>0.17856778864571921</v>
      </c>
      <c r="H85" s="1">
        <f t="shared" si="7"/>
        <v>0.17504983302824648</v>
      </c>
      <c r="I85" s="1">
        <f t="shared" si="8"/>
        <v>0.39624269906611903</v>
      </c>
      <c r="J85" s="1">
        <f t="shared" si="9"/>
        <v>0.43630897897176474</v>
      </c>
      <c r="K85" s="1">
        <f t="shared" si="10"/>
        <v>0.29712948858874993</v>
      </c>
      <c r="L85" s="1">
        <f t="shared" si="11"/>
        <v>0.29485069926961904</v>
      </c>
      <c r="M85" s="1">
        <f t="shared" si="12"/>
        <v>0.53445694261548049</v>
      </c>
      <c r="N85" s="1">
        <f t="shared" si="13"/>
        <v>0.5346557823324174</v>
      </c>
      <c r="O85" s="1">
        <f t="shared" si="14"/>
        <v>0.53425288847481123</v>
      </c>
      <c r="P85" s="1">
        <f t="shared" si="15"/>
        <v>0.53445243175236412</v>
      </c>
      <c r="Q85" s="1">
        <f t="shared" si="16"/>
        <v>13.570336593715767</v>
      </c>
      <c r="T85">
        <v>0.84387160031627806</v>
      </c>
      <c r="U85">
        <f t="shared" si="23"/>
        <v>1.1850144022209137</v>
      </c>
      <c r="V85" s="15">
        <f t="shared" si="17"/>
        <v>0</v>
      </c>
      <c r="W85" s="15">
        <f t="shared" si="18"/>
        <v>0</v>
      </c>
      <c r="X85" s="15">
        <f t="shared" si="19"/>
        <v>0</v>
      </c>
      <c r="Y85" s="15">
        <f t="shared" si="20"/>
        <v>0</v>
      </c>
      <c r="Z85" s="15">
        <f t="shared" si="21"/>
        <v>0</v>
      </c>
      <c r="AA85" s="15">
        <f t="shared" si="22"/>
        <v>0</v>
      </c>
      <c r="AC85" s="1"/>
      <c r="AD85" s="1"/>
      <c r="AE85" s="1"/>
    </row>
    <row r="86" spans="1:31">
      <c r="A86">
        <v>84</v>
      </c>
      <c r="B86">
        <f t="shared" si="2"/>
        <v>1.8600813830341428E-2</v>
      </c>
      <c r="C86">
        <v>1.3487838623841175E-2</v>
      </c>
      <c r="D86">
        <f t="shared" si="3"/>
        <v>74.140863327975666</v>
      </c>
      <c r="E86" s="1">
        <f t="shared" si="4"/>
        <v>0.32534954850154513</v>
      </c>
      <c r="F86" s="1">
        <f t="shared" si="5"/>
        <v>0.38534954850154512</v>
      </c>
      <c r="G86" s="1">
        <f t="shared" si="6"/>
        <v>0.17767477425077255</v>
      </c>
      <c r="H86" s="1">
        <f t="shared" si="7"/>
        <v>0.17414788809820092</v>
      </c>
      <c r="I86" s="1">
        <f t="shared" si="8"/>
        <v>0.39457579668881687</v>
      </c>
      <c r="J86" s="1">
        <f t="shared" si="9"/>
        <v>0.43464185200273686</v>
      </c>
      <c r="K86" s="1">
        <f t="shared" si="10"/>
        <v>0.29604950050864282</v>
      </c>
      <c r="L86" s="1">
        <f t="shared" si="11"/>
        <v>0.29376468765252461</v>
      </c>
      <c r="M86" s="1">
        <f t="shared" si="12"/>
        <v>0.53302829306336064</v>
      </c>
      <c r="N86" s="1">
        <f t="shared" si="13"/>
        <v>0.53322645900512045</v>
      </c>
      <c r="O86" s="1">
        <f t="shared" si="14"/>
        <v>0.53279895302438329</v>
      </c>
      <c r="P86" s="1">
        <f t="shared" si="15"/>
        <v>0.532998286761172</v>
      </c>
      <c r="Q86" s="1">
        <f t="shared" si="16"/>
        <v>13.302432275231766</v>
      </c>
      <c r="T86">
        <v>8.467787697991136E-2</v>
      </c>
      <c r="U86">
        <f t="shared" si="23"/>
        <v>11.809459987255419</v>
      </c>
      <c r="V86" s="15">
        <f t="shared" si="17"/>
        <v>9.5127062230997386E-2</v>
      </c>
      <c r="W86" s="15">
        <f t="shared" si="18"/>
        <v>9.8392573745096537E-2</v>
      </c>
      <c r="X86" s="15">
        <f t="shared" si="19"/>
        <v>0.1049235967732948</v>
      </c>
      <c r="Y86" s="15">
        <f t="shared" si="20"/>
        <v>0.13594126843824278</v>
      </c>
      <c r="Z86" s="15">
        <f t="shared" si="21"/>
        <v>0.13857159692000745</v>
      </c>
      <c r="AA86" s="15">
        <f t="shared" si="22"/>
        <v>0.14383225388353665</v>
      </c>
      <c r="AC86" s="1"/>
      <c r="AD86" s="1"/>
      <c r="AE86" s="1"/>
    </row>
    <row r="87" spans="1:31">
      <c r="A87">
        <v>480</v>
      </c>
      <c r="B87">
        <f t="shared" si="2"/>
        <v>2.1539361346329368E-2</v>
      </c>
      <c r="C87">
        <v>1.5954579942111913E-2</v>
      </c>
      <c r="D87">
        <f t="shared" si="3"/>
        <v>62.677927192587042</v>
      </c>
      <c r="E87" s="1">
        <f t="shared" si="4"/>
        <v>0.32206056007718414</v>
      </c>
      <c r="F87" s="1">
        <f t="shared" si="5"/>
        <v>0.38206056007718414</v>
      </c>
      <c r="G87" s="1">
        <f t="shared" si="6"/>
        <v>0.17603028003859206</v>
      </c>
      <c r="H87" s="1">
        <f t="shared" si="7"/>
        <v>0.17248694822359342</v>
      </c>
      <c r="I87" s="1">
        <f t="shared" si="8"/>
        <v>0.39150618064762521</v>
      </c>
      <c r="J87" s="1">
        <f t="shared" si="9"/>
        <v>0.43157182237381914</v>
      </c>
      <c r="K87" s="1">
        <f t="shared" si="10"/>
        <v>0.29406069253756184</v>
      </c>
      <c r="L87" s="1">
        <f t="shared" si="11"/>
        <v>0.29176478728274485</v>
      </c>
      <c r="M87" s="1">
        <f t="shared" si="12"/>
        <v>0.53039742178850768</v>
      </c>
      <c r="N87" s="1">
        <f t="shared" si="13"/>
        <v>0.53059434696708907</v>
      </c>
      <c r="O87" s="1">
        <f t="shared" si="14"/>
        <v>0.5301215175355013</v>
      </c>
      <c r="P87" s="1">
        <f t="shared" si="15"/>
        <v>0.53032046540104771</v>
      </c>
      <c r="Q87" s="1">
        <f t="shared" si="16"/>
        <v>12.809084011577617</v>
      </c>
      <c r="T87">
        <v>0.89065696986346876</v>
      </c>
      <c r="U87">
        <f t="shared" si="23"/>
        <v>1.1227667147244047</v>
      </c>
      <c r="V87" s="15">
        <f t="shared" si="17"/>
        <v>0</v>
      </c>
      <c r="W87" s="15">
        <f t="shared" si="18"/>
        <v>0</v>
      </c>
      <c r="X87" s="15">
        <f t="shared" si="19"/>
        <v>0</v>
      </c>
      <c r="Y87" s="15">
        <f t="shared" si="20"/>
        <v>0</v>
      </c>
      <c r="Z87" s="15">
        <f t="shared" si="21"/>
        <v>0</v>
      </c>
      <c r="AA87" s="15">
        <f t="shared" si="22"/>
        <v>0</v>
      </c>
      <c r="AC87" s="1"/>
      <c r="AD87" s="1"/>
      <c r="AE87" s="1"/>
    </row>
    <row r="88" spans="1:31">
      <c r="A88">
        <v>373</v>
      </c>
      <c r="B88">
        <f t="shared" si="2"/>
        <v>2.5209250759553083E-2</v>
      </c>
      <c r="C88">
        <v>1.7237814537599871E-2</v>
      </c>
      <c r="D88">
        <f t="shared" si="3"/>
        <v>58.011994375432948</v>
      </c>
      <c r="E88" s="1">
        <f t="shared" si="4"/>
        <v>0.32034958061653351</v>
      </c>
      <c r="F88" s="1">
        <f t="shared" si="5"/>
        <v>0.38034958061653351</v>
      </c>
      <c r="G88" s="1">
        <f t="shared" si="6"/>
        <v>0.17517479030826674</v>
      </c>
      <c r="H88" s="1">
        <f t="shared" si="7"/>
        <v>0.17162290322125165</v>
      </c>
      <c r="I88" s="1">
        <f t="shared" si="8"/>
        <v>0.38990932188106298</v>
      </c>
      <c r="J88" s="1">
        <f t="shared" si="9"/>
        <v>0.42997474845292577</v>
      </c>
      <c r="K88" s="1">
        <f t="shared" si="10"/>
        <v>0.29302608579814804</v>
      </c>
      <c r="L88" s="1">
        <f t="shared" si="11"/>
        <v>0.29072441011671529</v>
      </c>
      <c r="M88" s="1">
        <f t="shared" si="12"/>
        <v>0.52902880441012223</v>
      </c>
      <c r="N88" s="1">
        <f t="shared" si="13"/>
        <v>0.52922508412571023</v>
      </c>
      <c r="O88" s="1">
        <f t="shared" si="14"/>
        <v>0.52872867677791058</v>
      </c>
      <c r="P88" s="1">
        <f t="shared" si="15"/>
        <v>0.52892742390764258</v>
      </c>
      <c r="Q88" s="1">
        <f t="shared" si="16"/>
        <v>12.552437092480027</v>
      </c>
      <c r="T88">
        <v>0.90438810456689722</v>
      </c>
      <c r="U88">
        <f t="shared" si="23"/>
        <v>1.1057199834344242</v>
      </c>
      <c r="V88" s="15">
        <f t="shared" si="17"/>
        <v>0</v>
      </c>
      <c r="W88" s="15">
        <f t="shared" si="18"/>
        <v>0</v>
      </c>
      <c r="X88" s="15">
        <f t="shared" si="19"/>
        <v>0</v>
      </c>
      <c r="Y88" s="15">
        <f t="shared" si="20"/>
        <v>0</v>
      </c>
      <c r="Z88" s="15">
        <f t="shared" si="21"/>
        <v>0</v>
      </c>
      <c r="AA88" s="15">
        <f t="shared" si="22"/>
        <v>0</v>
      </c>
      <c r="AC88" s="1"/>
      <c r="AD88" s="1"/>
      <c r="AE88" s="1"/>
    </row>
    <row r="89" spans="1:31">
      <c r="A89">
        <v>921</v>
      </c>
      <c r="B89">
        <f t="shared" si="2"/>
        <v>2.6238904022915059E-2</v>
      </c>
      <c r="C89">
        <v>2.0111214003181166E-2</v>
      </c>
      <c r="D89">
        <f t="shared" si="3"/>
        <v>49.723502511674397</v>
      </c>
      <c r="E89" s="1">
        <f t="shared" si="4"/>
        <v>0.31651838132909177</v>
      </c>
      <c r="F89" s="1">
        <f t="shared" si="5"/>
        <v>0.37651838132909177</v>
      </c>
      <c r="G89" s="1">
        <f t="shared" si="6"/>
        <v>0.1732591906645459</v>
      </c>
      <c r="H89" s="1">
        <f t="shared" si="7"/>
        <v>0.16968814674204144</v>
      </c>
      <c r="I89" s="1">
        <f t="shared" si="8"/>
        <v>0.38633365992292823</v>
      </c>
      <c r="J89" s="1">
        <f t="shared" si="9"/>
        <v>0.42639860472447227</v>
      </c>
      <c r="K89" s="1">
        <f t="shared" si="10"/>
        <v>0.29070941006124745</v>
      </c>
      <c r="L89" s="1">
        <f t="shared" si="11"/>
        <v>0.28839481332795697</v>
      </c>
      <c r="M89" s="1">
        <f t="shared" si="12"/>
        <v>0.52596421711060148</v>
      </c>
      <c r="N89" s="1">
        <f t="shared" si="13"/>
        <v>0.52615905151523312</v>
      </c>
      <c r="O89" s="1">
        <f t="shared" si="14"/>
        <v>0.52560984885465056</v>
      </c>
      <c r="P89" s="1">
        <f t="shared" si="15"/>
        <v>0.52580814649978802</v>
      </c>
      <c r="Q89" s="1">
        <f t="shared" si="16"/>
        <v>11.977757199363767</v>
      </c>
      <c r="T89">
        <v>0.59505994242435467</v>
      </c>
      <c r="U89">
        <f t="shared" si="23"/>
        <v>1.6805029690384885</v>
      </c>
      <c r="V89" s="15">
        <f t="shared" si="17"/>
        <v>0</v>
      </c>
      <c r="W89" s="15">
        <f t="shared" si="18"/>
        <v>0</v>
      </c>
      <c r="X89" s="15">
        <f t="shared" si="19"/>
        <v>0</v>
      </c>
      <c r="Y89" s="15">
        <f t="shared" si="20"/>
        <v>0</v>
      </c>
      <c r="Z89" s="15">
        <f t="shared" si="21"/>
        <v>0</v>
      </c>
      <c r="AA89" s="15">
        <f t="shared" si="22"/>
        <v>0</v>
      </c>
      <c r="AC89" s="1"/>
      <c r="AD89" s="1"/>
      <c r="AE89" s="1"/>
    </row>
    <row r="90" spans="1:31">
      <c r="A90">
        <v>512</v>
      </c>
      <c r="B90">
        <f t="shared" si="2"/>
        <v>2.7664318615053089E-2</v>
      </c>
      <c r="C90">
        <v>2.1397735349761082E-2</v>
      </c>
      <c r="D90">
        <f t="shared" si="3"/>
        <v>46.733917569046184</v>
      </c>
      <c r="E90" s="1">
        <f t="shared" si="4"/>
        <v>0.31480301953365192</v>
      </c>
      <c r="F90" s="1">
        <f t="shared" si="5"/>
        <v>0.37480301953365192</v>
      </c>
      <c r="G90" s="1">
        <f t="shared" si="6"/>
        <v>0.17240150976682594</v>
      </c>
      <c r="H90" s="1">
        <f t="shared" si="7"/>
        <v>0.16882188865967135</v>
      </c>
      <c r="I90" s="1">
        <f t="shared" si="8"/>
        <v>0.38473271111911705</v>
      </c>
      <c r="J90" s="1">
        <f t="shared" si="9"/>
        <v>0.42479744021525478</v>
      </c>
      <c r="K90" s="1">
        <f t="shared" si="10"/>
        <v>0.28967215338171948</v>
      </c>
      <c r="L90" s="1">
        <f t="shared" si="11"/>
        <v>0.28735177144200907</v>
      </c>
      <c r="M90" s="1">
        <f t="shared" si="12"/>
        <v>0.52459209429004772</v>
      </c>
      <c r="N90" s="1">
        <f t="shared" si="13"/>
        <v>0.52478628157846041</v>
      </c>
      <c r="O90" s="1">
        <f t="shared" si="14"/>
        <v>0.52421344061150643</v>
      </c>
      <c r="P90" s="1">
        <f t="shared" si="15"/>
        <v>0.52441153700668452</v>
      </c>
      <c r="Q90" s="1">
        <f t="shared" si="16"/>
        <v>11.720452930047784</v>
      </c>
      <c r="T90">
        <v>0.69856720339542921</v>
      </c>
      <c r="U90">
        <f t="shared" si="23"/>
        <v>1.431501500699486</v>
      </c>
      <c r="V90" s="15">
        <f t="shared" si="17"/>
        <v>0</v>
      </c>
      <c r="W90" s="15">
        <f t="shared" si="18"/>
        <v>0</v>
      </c>
      <c r="X90" s="15">
        <f t="shared" si="19"/>
        <v>0</v>
      </c>
      <c r="Y90" s="15">
        <f t="shared" si="20"/>
        <v>0</v>
      </c>
      <c r="Z90" s="15">
        <f t="shared" si="21"/>
        <v>0</v>
      </c>
      <c r="AA90" s="15">
        <f t="shared" si="22"/>
        <v>0</v>
      </c>
      <c r="AC90" s="1"/>
      <c r="AD90" s="1"/>
      <c r="AE90" s="1"/>
    </row>
    <row r="91" spans="1:31">
      <c r="A91">
        <v>504</v>
      </c>
      <c r="B91">
        <f t="shared" si="2"/>
        <v>2.8124449411419689E-2</v>
      </c>
      <c r="C91">
        <v>2.1548621957215297E-2</v>
      </c>
      <c r="D91">
        <f t="shared" si="3"/>
        <v>46.406679832496764</v>
      </c>
      <c r="E91" s="1">
        <f t="shared" si="4"/>
        <v>0.31460183739037961</v>
      </c>
      <c r="F91" s="1">
        <f t="shared" si="5"/>
        <v>0.37460183739037961</v>
      </c>
      <c r="G91" s="1">
        <f t="shared" si="6"/>
        <v>0.17230091869518979</v>
      </c>
      <c r="H91" s="1">
        <f t="shared" si="7"/>
        <v>0.16872029163325891</v>
      </c>
      <c r="I91" s="1">
        <f t="shared" si="8"/>
        <v>0.38454494763244262</v>
      </c>
      <c r="J91" s="1">
        <f t="shared" si="9"/>
        <v>0.42460965143008289</v>
      </c>
      <c r="K91" s="1">
        <f t="shared" si="10"/>
        <v>0.2895505011900561</v>
      </c>
      <c r="L91" s="1">
        <f t="shared" si="11"/>
        <v>0.28722944074611995</v>
      </c>
      <c r="M91" s="1">
        <f t="shared" si="12"/>
        <v>0.52443116811656898</v>
      </c>
      <c r="N91" s="1">
        <f t="shared" si="13"/>
        <v>0.52462527950948934</v>
      </c>
      <c r="O91" s="1">
        <f t="shared" si="14"/>
        <v>0.52404966617978854</v>
      </c>
      <c r="P91" s="1">
        <f t="shared" si="15"/>
        <v>0.52424773897184196</v>
      </c>
      <c r="Q91" s="1">
        <f t="shared" si="16"/>
        <v>11.690275608556941</v>
      </c>
      <c r="T91">
        <v>0.4488189420888925</v>
      </c>
      <c r="U91">
        <f t="shared" si="23"/>
        <v>2.228069954770183</v>
      </c>
      <c r="V91" s="15">
        <f t="shared" si="17"/>
        <v>6.1226671684911999E-2</v>
      </c>
      <c r="W91" s="15">
        <f t="shared" si="18"/>
        <v>6.6196925925933001E-2</v>
      </c>
      <c r="X91" s="15">
        <f t="shared" si="19"/>
        <v>7.6137434407974852E-2</v>
      </c>
      <c r="Y91" s="15">
        <f t="shared" si="20"/>
        <v>8.5789724492078168E-2</v>
      </c>
      <c r="Z91" s="15">
        <f t="shared" si="21"/>
        <v>9.0173855933578392E-2</v>
      </c>
      <c r="AA91" s="15">
        <f t="shared" si="22"/>
        <v>9.8942118816578786E-2</v>
      </c>
      <c r="AC91" s="1"/>
      <c r="AD91" s="1"/>
      <c r="AE91" s="1"/>
    </row>
    <row r="92" spans="1:31">
      <c r="A92">
        <v>319</v>
      </c>
      <c r="B92">
        <f t="shared" si="2"/>
        <v>3.1609267202938073E-2</v>
      </c>
      <c r="C92">
        <v>2.4964238616656642E-2</v>
      </c>
      <c r="D92">
        <f t="shared" si="3"/>
        <v>40.057300178695613</v>
      </c>
      <c r="E92" s="1">
        <f t="shared" si="4"/>
        <v>0.3100476818444578</v>
      </c>
      <c r="F92" s="1">
        <f t="shared" si="5"/>
        <v>0.3700476818444578</v>
      </c>
      <c r="G92" s="1">
        <f t="shared" si="6"/>
        <v>0.17002384092222891</v>
      </c>
      <c r="H92" s="1">
        <f t="shared" si="7"/>
        <v>0.16642044208518517</v>
      </c>
      <c r="I92" s="1">
        <f t="shared" si="8"/>
        <v>0.38029454990702055</v>
      </c>
      <c r="J92" s="1">
        <f t="shared" si="9"/>
        <v>0.4203586810231571</v>
      </c>
      <c r="K92" s="1">
        <f t="shared" si="10"/>
        <v>0.28679666332787762</v>
      </c>
      <c r="L92" s="1">
        <f t="shared" si="11"/>
        <v>0.28446024359940358</v>
      </c>
      <c r="M92" s="1">
        <f t="shared" si="12"/>
        <v>0.52078828603214644</v>
      </c>
      <c r="N92" s="1">
        <f t="shared" si="13"/>
        <v>0.52098067938055559</v>
      </c>
      <c r="O92" s="1">
        <f t="shared" si="14"/>
        <v>0.52034230813917481</v>
      </c>
      <c r="P92" s="1">
        <f t="shared" si="15"/>
        <v>0.52053984662784036</v>
      </c>
      <c r="Q92" s="1">
        <f t="shared" si="16"/>
        <v>11.007152276668672</v>
      </c>
      <c r="T92">
        <v>0.71348148880497309</v>
      </c>
      <c r="U92">
        <f t="shared" si="23"/>
        <v>1.4015780587032798</v>
      </c>
      <c r="V92" s="15">
        <f t="shared" si="17"/>
        <v>0</v>
      </c>
      <c r="W92" s="15">
        <f t="shared" si="18"/>
        <v>0</v>
      </c>
      <c r="X92" s="15">
        <f t="shared" si="19"/>
        <v>0</v>
      </c>
      <c r="Y92" s="15">
        <f t="shared" si="20"/>
        <v>0</v>
      </c>
      <c r="Z92" s="15">
        <f t="shared" si="21"/>
        <v>0</v>
      </c>
      <c r="AA92" s="15">
        <f t="shared" si="22"/>
        <v>0</v>
      </c>
      <c r="AC92" s="1"/>
      <c r="AD92" s="1"/>
      <c r="AE92" s="1"/>
    </row>
    <row r="93" spans="1:31">
      <c r="A93">
        <v>650</v>
      </c>
      <c r="B93">
        <f t="shared" si="2"/>
        <v>3.1845199149852454E-2</v>
      </c>
      <c r="C93">
        <v>2.6075018301361941E-2</v>
      </c>
      <c r="D93">
        <f t="shared" si="3"/>
        <v>38.350883916647852</v>
      </c>
      <c r="E93" s="1">
        <f t="shared" si="4"/>
        <v>0.30856664226485075</v>
      </c>
      <c r="F93" s="1">
        <f t="shared" si="5"/>
        <v>0.36856664226485075</v>
      </c>
      <c r="G93" s="1">
        <f t="shared" si="6"/>
        <v>0.16928332113242536</v>
      </c>
      <c r="H93" s="1">
        <f t="shared" si="7"/>
        <v>0.16567251677312839</v>
      </c>
      <c r="I93" s="1">
        <f t="shared" si="8"/>
        <v>0.37891229425129114</v>
      </c>
      <c r="J93" s="1">
        <f t="shared" si="9"/>
        <v>0.41897623912785709</v>
      </c>
      <c r="K93" s="1">
        <f t="shared" si="10"/>
        <v>0.28590109820530307</v>
      </c>
      <c r="L93" s="1">
        <f t="shared" si="11"/>
        <v>0.28355968354240368</v>
      </c>
      <c r="M93" s="1">
        <f t="shared" si="12"/>
        <v>0.51960359822417224</v>
      </c>
      <c r="N93" s="1">
        <f t="shared" si="13"/>
        <v>0.51979543285386942</v>
      </c>
      <c r="O93" s="1">
        <f t="shared" si="14"/>
        <v>0.51913665235105833</v>
      </c>
      <c r="P93" s="1">
        <f t="shared" si="15"/>
        <v>0.51933401708095417</v>
      </c>
      <c r="Q93" s="1">
        <f t="shared" si="16"/>
        <v>10.784996339727613</v>
      </c>
      <c r="T93">
        <v>0.7482985993433301</v>
      </c>
      <c r="U93">
        <f t="shared" si="23"/>
        <v>1.3363649228764434</v>
      </c>
      <c r="V93" s="15">
        <f t="shared" si="17"/>
        <v>0</v>
      </c>
      <c r="W93" s="15">
        <f t="shared" si="18"/>
        <v>0</v>
      </c>
      <c r="X93" s="15">
        <f t="shared" si="19"/>
        <v>0</v>
      </c>
      <c r="Y93" s="15">
        <f t="shared" si="20"/>
        <v>0</v>
      </c>
      <c r="Z93" s="15">
        <f t="shared" si="21"/>
        <v>0</v>
      </c>
      <c r="AA93" s="15">
        <f t="shared" si="22"/>
        <v>0</v>
      </c>
      <c r="AC93" s="1"/>
      <c r="AD93" s="1"/>
      <c r="AE93" s="1"/>
    </row>
    <row r="94" spans="1:31">
      <c r="A94">
        <v>598</v>
      </c>
      <c r="B94">
        <f t="shared" si="2"/>
        <v>3.1904554518298087E-2</v>
      </c>
      <c r="C94">
        <v>2.6204249132682156E-2</v>
      </c>
      <c r="D94">
        <f t="shared" si="3"/>
        <v>38.161749834411083</v>
      </c>
      <c r="E94" s="1">
        <f t="shared" si="4"/>
        <v>0.30839433448975712</v>
      </c>
      <c r="F94" s="1">
        <f t="shared" si="5"/>
        <v>0.36839433448975711</v>
      </c>
      <c r="G94" s="1">
        <f t="shared" si="6"/>
        <v>0.16919716724487857</v>
      </c>
      <c r="H94" s="1">
        <f t="shared" si="7"/>
        <v>0.16558550130896985</v>
      </c>
      <c r="I94" s="1">
        <f t="shared" si="8"/>
        <v>0.37875147924004576</v>
      </c>
      <c r="J94" s="1">
        <f t="shared" si="9"/>
        <v>0.41881540244904353</v>
      </c>
      <c r="K94" s="1">
        <f t="shared" si="10"/>
        <v>0.28579690596368645</v>
      </c>
      <c r="L94" s="1">
        <f t="shared" si="11"/>
        <v>0.28345491017787211</v>
      </c>
      <c r="M94" s="1">
        <f t="shared" si="12"/>
        <v>0.51946576874062345</v>
      </c>
      <c r="N94" s="1">
        <f t="shared" si="13"/>
        <v>0.51965753836761619</v>
      </c>
      <c r="O94" s="1">
        <f t="shared" si="14"/>
        <v>0.51899638340130205</v>
      </c>
      <c r="P94" s="1">
        <f t="shared" si="15"/>
        <v>0.51919372791567664</v>
      </c>
      <c r="Q94" s="1">
        <f t="shared" si="16"/>
        <v>10.759150173463571</v>
      </c>
      <c r="T94">
        <v>0.60133390743692283</v>
      </c>
      <c r="U94">
        <f t="shared" si="23"/>
        <v>1.6629695874997625</v>
      </c>
      <c r="V94" s="15">
        <f t="shared" si="17"/>
        <v>0</v>
      </c>
      <c r="W94" s="15">
        <f t="shared" si="18"/>
        <v>0</v>
      </c>
      <c r="X94" s="15">
        <f t="shared" si="19"/>
        <v>0</v>
      </c>
      <c r="Y94" s="15">
        <f t="shared" si="20"/>
        <v>0</v>
      </c>
      <c r="Z94" s="15">
        <f t="shared" si="21"/>
        <v>0</v>
      </c>
      <c r="AA94" s="15">
        <f t="shared" si="22"/>
        <v>0</v>
      </c>
      <c r="AC94" s="1"/>
      <c r="AD94" s="1"/>
      <c r="AE94" s="1"/>
    </row>
    <row r="95" spans="1:31">
      <c r="A95">
        <v>886</v>
      </c>
      <c r="B95">
        <f t="shared" si="2"/>
        <v>3.1907736594214621E-2</v>
      </c>
      <c r="C95">
        <v>2.6211177272912556E-2</v>
      </c>
      <c r="D95">
        <f t="shared" si="3"/>
        <v>38.151662917996099</v>
      </c>
      <c r="E95" s="1">
        <f t="shared" si="4"/>
        <v>0.30838509696944993</v>
      </c>
      <c r="F95" s="1">
        <f t="shared" si="5"/>
        <v>0.36838509696944993</v>
      </c>
      <c r="G95" s="1">
        <f t="shared" si="6"/>
        <v>0.16919254848472495</v>
      </c>
      <c r="H95" s="1">
        <f t="shared" si="7"/>
        <v>0.16558083635919163</v>
      </c>
      <c r="I95" s="1">
        <f t="shared" si="8"/>
        <v>0.37874285785351069</v>
      </c>
      <c r="J95" s="1">
        <f t="shared" si="9"/>
        <v>0.41880677990089749</v>
      </c>
      <c r="K95" s="1">
        <f t="shared" si="10"/>
        <v>0.28579132015685177</v>
      </c>
      <c r="L95" s="1">
        <f t="shared" si="11"/>
        <v>0.28344929321669904</v>
      </c>
      <c r="M95" s="1">
        <f t="shared" si="12"/>
        <v>0.51945837962163266</v>
      </c>
      <c r="N95" s="1">
        <f t="shared" si="13"/>
        <v>0.51965014576379243</v>
      </c>
      <c r="O95" s="1">
        <f t="shared" si="14"/>
        <v>0.51898886350110518</v>
      </c>
      <c r="P95" s="1">
        <f t="shared" si="15"/>
        <v>0.51918620693171391</v>
      </c>
      <c r="Q95" s="1">
        <f t="shared" si="16"/>
        <v>10.757764545417491</v>
      </c>
      <c r="T95">
        <v>0.6701249155134843</v>
      </c>
      <c r="U95">
        <f t="shared" si="23"/>
        <v>1.4922590950580437</v>
      </c>
      <c r="V95" s="15">
        <f t="shared" si="17"/>
        <v>0</v>
      </c>
      <c r="W95" s="15">
        <f t="shared" si="18"/>
        <v>0</v>
      </c>
      <c r="X95" s="15">
        <f t="shared" si="19"/>
        <v>0</v>
      </c>
      <c r="Y95" s="15">
        <f t="shared" si="20"/>
        <v>0</v>
      </c>
      <c r="Z95" s="15">
        <f t="shared" si="21"/>
        <v>0</v>
      </c>
      <c r="AA95" s="15">
        <f t="shared" si="22"/>
        <v>0</v>
      </c>
      <c r="AC95" s="1"/>
      <c r="AD95" s="1"/>
      <c r="AE95" s="1"/>
    </row>
    <row r="96" spans="1:31">
      <c r="A96">
        <v>236</v>
      </c>
      <c r="B96">
        <f t="shared" si="2"/>
        <v>3.2047521783968198E-2</v>
      </c>
      <c r="C96">
        <v>2.6515523059168711E-2</v>
      </c>
      <c r="D96">
        <f t="shared" si="3"/>
        <v>37.713757249612826</v>
      </c>
      <c r="E96" s="1">
        <f t="shared" si="4"/>
        <v>0.30797930258777506</v>
      </c>
      <c r="F96" s="1">
        <f t="shared" si="5"/>
        <v>0.36797930258777506</v>
      </c>
      <c r="G96" s="1">
        <f t="shared" si="6"/>
        <v>0.16898965129388752</v>
      </c>
      <c r="H96" s="1">
        <f t="shared" si="7"/>
        <v>0.1653759101075748</v>
      </c>
      <c r="I96" s="1">
        <f t="shared" si="8"/>
        <v>0.37836412956909704</v>
      </c>
      <c r="J96" s="1">
        <f t="shared" si="9"/>
        <v>0.41842800058815721</v>
      </c>
      <c r="K96" s="1">
        <f t="shared" si="10"/>
        <v>0.28554594164018771</v>
      </c>
      <c r="L96" s="1">
        <f t="shared" si="11"/>
        <v>0.28320254612329032</v>
      </c>
      <c r="M96" s="1">
        <f t="shared" si="12"/>
        <v>0.51913378353174144</v>
      </c>
      <c r="N96" s="1">
        <f t="shared" si="13"/>
        <v>0.5193253965889213</v>
      </c>
      <c r="O96" s="1">
        <f t="shared" si="14"/>
        <v>0.51865852233278797</v>
      </c>
      <c r="P96" s="1">
        <f t="shared" si="15"/>
        <v>0.51885581815472126</v>
      </c>
      <c r="Q96" s="1">
        <f t="shared" si="16"/>
        <v>10.696895388166258</v>
      </c>
      <c r="T96">
        <v>1.4515259167334205E-2</v>
      </c>
      <c r="U96">
        <f t="shared" si="23"/>
        <v>68.893017235988808</v>
      </c>
      <c r="V96" s="15">
        <f t="shared" si="17"/>
        <v>0.10304197639427203</v>
      </c>
      <c r="W96" s="15">
        <f t="shared" si="18"/>
        <v>0.1057753682453844</v>
      </c>
      <c r="X96" s="15">
        <f t="shared" si="19"/>
        <v>0.11124215194760896</v>
      </c>
      <c r="Y96" s="15">
        <f t="shared" si="20"/>
        <v>0.14763297309330198</v>
      </c>
      <c r="Z96" s="15">
        <f t="shared" si="21"/>
        <v>0.14970192057754048</v>
      </c>
      <c r="AA96" s="15">
        <f t="shared" si="22"/>
        <v>0.15383981554601778</v>
      </c>
      <c r="AC96" s="1"/>
      <c r="AD96" s="1"/>
      <c r="AE96" s="1"/>
    </row>
    <row r="97" spans="1:31">
      <c r="A97">
        <v>586</v>
      </c>
      <c r="B97">
        <f t="shared" si="2"/>
        <v>3.4420883485771978E-2</v>
      </c>
      <c r="C97">
        <v>2.9568089456714075E-2</v>
      </c>
      <c r="D97">
        <f t="shared" si="3"/>
        <v>33.82024399865066</v>
      </c>
      <c r="E97" s="1">
        <f t="shared" si="4"/>
        <v>0.30390921405771454</v>
      </c>
      <c r="F97" s="1">
        <f t="shared" si="5"/>
        <v>0.36390921405771454</v>
      </c>
      <c r="G97" s="1">
        <f t="shared" si="6"/>
        <v>0.16695460702885728</v>
      </c>
      <c r="H97" s="1">
        <f t="shared" si="7"/>
        <v>0.16332051450852414</v>
      </c>
      <c r="I97" s="1">
        <f t="shared" si="8"/>
        <v>0.37456551205241451</v>
      </c>
      <c r="J97" s="1">
        <f t="shared" si="9"/>
        <v>0.41462887126102022</v>
      </c>
      <c r="K97" s="1">
        <f t="shared" si="10"/>
        <v>0.2830848127254022</v>
      </c>
      <c r="L97" s="1">
        <f t="shared" si="11"/>
        <v>0.28072769048195861</v>
      </c>
      <c r="M97" s="1">
        <f t="shared" si="12"/>
        <v>0.51587810804181478</v>
      </c>
      <c r="N97" s="1">
        <f t="shared" si="13"/>
        <v>0.51606818566763113</v>
      </c>
      <c r="O97" s="1">
        <f t="shared" si="14"/>
        <v>0.51534522411849193</v>
      </c>
      <c r="P97" s="1">
        <f t="shared" si="15"/>
        <v>0.51554204242882762</v>
      </c>
      <c r="Q97" s="1">
        <f t="shared" si="16"/>
        <v>10.086382108657187</v>
      </c>
      <c r="T97">
        <v>0.5390007020752654</v>
      </c>
      <c r="U97">
        <f t="shared" si="23"/>
        <v>1.8552851529688013</v>
      </c>
      <c r="V97" s="15">
        <f t="shared" si="17"/>
        <v>0</v>
      </c>
      <c r="W97" s="15">
        <f t="shared" si="18"/>
        <v>0</v>
      </c>
      <c r="X97" s="15">
        <f t="shared" si="19"/>
        <v>0</v>
      </c>
      <c r="Y97" s="15">
        <f t="shared" si="20"/>
        <v>0</v>
      </c>
      <c r="Z97" s="15">
        <f t="shared" si="21"/>
        <v>0</v>
      </c>
      <c r="AA97" s="15">
        <f t="shared" si="22"/>
        <v>0</v>
      </c>
      <c r="AC97" s="1"/>
      <c r="AD97" s="1"/>
      <c r="AE97" s="1"/>
    </row>
    <row r="98" spans="1:31">
      <c r="A98">
        <v>928</v>
      </c>
      <c r="B98">
        <f t="shared" si="2"/>
        <v>3.4774672791914693E-2</v>
      </c>
      <c r="C98">
        <v>2.9701710693039507E-2</v>
      </c>
      <c r="D98">
        <f t="shared" si="3"/>
        <v>33.668094418357747</v>
      </c>
      <c r="E98" s="1">
        <f t="shared" si="4"/>
        <v>0.30373105240928067</v>
      </c>
      <c r="F98" s="1">
        <f t="shared" si="5"/>
        <v>0.36373105240928066</v>
      </c>
      <c r="G98" s="1">
        <f t="shared" si="6"/>
        <v>0.16686552620464032</v>
      </c>
      <c r="H98" s="1">
        <f t="shared" si="7"/>
        <v>0.16323054283704672</v>
      </c>
      <c r="I98" s="1">
        <f t="shared" si="8"/>
        <v>0.37439923361558353</v>
      </c>
      <c r="J98" s="1">
        <f t="shared" si="9"/>
        <v>0.41446257042050105</v>
      </c>
      <c r="K98" s="1">
        <f t="shared" si="10"/>
        <v>0.2829770807236956</v>
      </c>
      <c r="L98" s="1">
        <f t="shared" si="11"/>
        <v>0.28061935761464163</v>
      </c>
      <c r="M98" s="1">
        <f t="shared" si="12"/>
        <v>0.51573559602818975</v>
      </c>
      <c r="N98" s="1">
        <f t="shared" si="13"/>
        <v>0.51592560644294161</v>
      </c>
      <c r="O98" s="1">
        <f t="shared" si="14"/>
        <v>0.51520018976180593</v>
      </c>
      <c r="P98" s="1">
        <f t="shared" si="15"/>
        <v>0.5153969871698314</v>
      </c>
      <c r="Q98" s="1">
        <f t="shared" si="16"/>
        <v>10.0596578613921</v>
      </c>
      <c r="T98">
        <v>0.77510870340326832</v>
      </c>
      <c r="U98">
        <f t="shared" si="23"/>
        <v>1.290141622212861</v>
      </c>
      <c r="V98" s="15">
        <f t="shared" si="17"/>
        <v>0</v>
      </c>
      <c r="W98" s="15">
        <f t="shared" si="18"/>
        <v>0</v>
      </c>
      <c r="X98" s="15">
        <f t="shared" si="19"/>
        <v>0</v>
      </c>
      <c r="Y98" s="15">
        <f t="shared" si="20"/>
        <v>0</v>
      </c>
      <c r="Z98" s="15">
        <f t="shared" si="21"/>
        <v>0</v>
      </c>
      <c r="AA98" s="15">
        <f t="shared" si="22"/>
        <v>0</v>
      </c>
      <c r="AC98" s="1"/>
      <c r="AD98" s="1"/>
      <c r="AE98" s="1"/>
    </row>
    <row r="99" spans="1:31">
      <c r="A99">
        <v>464</v>
      </c>
      <c r="B99">
        <f t="shared" si="2"/>
        <v>3.6020147517282344E-2</v>
      </c>
      <c r="C99">
        <v>3.1522526879210533E-2</v>
      </c>
      <c r="D99">
        <f t="shared" si="3"/>
        <v>31.723345143993246</v>
      </c>
      <c r="E99" s="1">
        <f t="shared" si="4"/>
        <v>0.30130329749438595</v>
      </c>
      <c r="F99" s="1">
        <f t="shared" si="5"/>
        <v>0.36130329749438594</v>
      </c>
      <c r="G99" s="1">
        <f t="shared" si="6"/>
        <v>0.16565164874719299</v>
      </c>
      <c r="H99" s="1">
        <f t="shared" si="7"/>
        <v>0.16200452607333421</v>
      </c>
      <c r="I99" s="1">
        <f t="shared" si="8"/>
        <v>0.37213340763223712</v>
      </c>
      <c r="J99" s="1">
        <f t="shared" si="9"/>
        <v>0.41219643914886989</v>
      </c>
      <c r="K99" s="1">
        <f t="shared" si="10"/>
        <v>0.28150904930989951</v>
      </c>
      <c r="L99" s="1">
        <f t="shared" si="11"/>
        <v>0.2791431383868479</v>
      </c>
      <c r="M99" s="1">
        <f t="shared" si="12"/>
        <v>0.51379362790793992</v>
      </c>
      <c r="N99" s="1">
        <f t="shared" si="13"/>
        <v>0.51398272245783738</v>
      </c>
      <c r="O99" s="1">
        <f t="shared" si="14"/>
        <v>0.51322385043531238</v>
      </c>
      <c r="P99" s="1">
        <f t="shared" si="15"/>
        <v>0.51342036301387528</v>
      </c>
      <c r="Q99" s="1">
        <f t="shared" si="16"/>
        <v>9.6954946241578952</v>
      </c>
      <c r="T99">
        <v>0.12484381276319589</v>
      </c>
      <c r="U99">
        <f t="shared" si="23"/>
        <v>8.0100084887410716</v>
      </c>
      <c r="V99" s="15">
        <f t="shared" si="17"/>
        <v>8.7723957103518241E-2</v>
      </c>
      <c r="W99" s="15">
        <f t="shared" si="18"/>
        <v>9.1449905637275522E-2</v>
      </c>
      <c r="X99" s="15">
        <f t="shared" si="19"/>
        <v>9.8901802704789946E-2</v>
      </c>
      <c r="Y99" s="15">
        <f t="shared" si="20"/>
        <v>0.12499716688815329</v>
      </c>
      <c r="Z99" s="15">
        <f t="shared" si="21"/>
        <v>0.12811084121795016</v>
      </c>
      <c r="AA99" s="15">
        <f t="shared" si="22"/>
        <v>0.13433818987754381</v>
      </c>
      <c r="AC99" s="1"/>
      <c r="AD99" s="1"/>
      <c r="AE99" s="1"/>
    </row>
    <row r="100" spans="1:31">
      <c r="A100">
        <v>355</v>
      </c>
      <c r="B100">
        <f t="shared" si="2"/>
        <v>3.6056781448813059E-2</v>
      </c>
      <c r="C100">
        <v>3.1614875106475648E-2</v>
      </c>
      <c r="D100">
        <f t="shared" si="3"/>
        <v>31.630680071710003</v>
      </c>
      <c r="E100" s="1">
        <f t="shared" si="4"/>
        <v>0.30118016652469914</v>
      </c>
      <c r="F100" s="1">
        <f t="shared" si="5"/>
        <v>0.36118016652469914</v>
      </c>
      <c r="G100" s="1">
        <f t="shared" si="6"/>
        <v>0.16559008326234956</v>
      </c>
      <c r="H100" s="1">
        <f t="shared" si="7"/>
        <v>0.16194234490667606</v>
      </c>
      <c r="I100" s="1">
        <f t="shared" si="8"/>
        <v>0.37201848938049792</v>
      </c>
      <c r="J100" s="1">
        <f t="shared" si="9"/>
        <v>0.41208150541350735</v>
      </c>
      <c r="K100" s="1">
        <f t="shared" si="10"/>
        <v>0.28143459363465717</v>
      </c>
      <c r="L100" s="1">
        <f t="shared" si="11"/>
        <v>0.27906826744173174</v>
      </c>
      <c r="M100" s="1">
        <f t="shared" si="12"/>
        <v>0.51369513509209586</v>
      </c>
      <c r="N100" s="1">
        <f t="shared" si="13"/>
        <v>0.5138841831911235</v>
      </c>
      <c r="O100" s="1">
        <f t="shared" si="14"/>
        <v>0.51312361437927212</v>
      </c>
      <c r="P100" s="1">
        <f t="shared" si="15"/>
        <v>0.51332011251184317</v>
      </c>
      <c r="Q100" s="1">
        <f t="shared" si="16"/>
        <v>9.6770249787048712</v>
      </c>
      <c r="T100">
        <v>0.82678676982935717</v>
      </c>
      <c r="U100">
        <f t="shared" si="23"/>
        <v>1.2095016955900162</v>
      </c>
      <c r="V100" s="15">
        <f t="shared" si="17"/>
        <v>0</v>
      </c>
      <c r="W100" s="15">
        <f t="shared" si="18"/>
        <v>0</v>
      </c>
      <c r="X100" s="15">
        <f t="shared" si="19"/>
        <v>0</v>
      </c>
      <c r="Y100" s="15">
        <f t="shared" si="20"/>
        <v>0</v>
      </c>
      <c r="Z100" s="15">
        <f t="shared" si="21"/>
        <v>0</v>
      </c>
      <c r="AA100" s="15">
        <f t="shared" si="22"/>
        <v>0</v>
      </c>
      <c r="AC100" s="1"/>
      <c r="AD100" s="1"/>
      <c r="AE100" s="1"/>
    </row>
    <row r="101" spans="1:31">
      <c r="A101">
        <v>232</v>
      </c>
      <c r="B101">
        <f t="shared" si="2"/>
        <v>3.6139223072831142E-2</v>
      </c>
      <c r="C101">
        <v>3.1822697131380195E-2</v>
      </c>
      <c r="D101">
        <f t="shared" si="3"/>
        <v>31.424112037753872</v>
      </c>
      <c r="E101" s="1">
        <f t="shared" si="4"/>
        <v>0.30090307049149306</v>
      </c>
      <c r="F101" s="1">
        <f t="shared" si="5"/>
        <v>0.36090307049149306</v>
      </c>
      <c r="G101" s="1">
        <f t="shared" si="6"/>
        <v>0.16545153524574654</v>
      </c>
      <c r="H101" s="1">
        <f t="shared" si="7"/>
        <v>0.16180241134922155</v>
      </c>
      <c r="I101" s="1">
        <f t="shared" si="8"/>
        <v>0.37175987538776389</v>
      </c>
      <c r="J101" s="1">
        <f t="shared" si="9"/>
        <v>0.41182285657616358</v>
      </c>
      <c r="K101" s="1">
        <f t="shared" si="10"/>
        <v>0.28126703731384028</v>
      </c>
      <c r="L101" s="1">
        <f t="shared" si="11"/>
        <v>0.27889977659051174</v>
      </c>
      <c r="M101" s="1">
        <f t="shared" si="12"/>
        <v>0.513473485180306</v>
      </c>
      <c r="N101" s="1">
        <f t="shared" si="13"/>
        <v>0.51366242874550416</v>
      </c>
      <c r="O101" s="1">
        <f t="shared" si="14"/>
        <v>0.5128980414500276</v>
      </c>
      <c r="P101" s="1">
        <f t="shared" si="15"/>
        <v>0.51309450707309212</v>
      </c>
      <c r="Q101" s="1">
        <f t="shared" si="16"/>
        <v>9.6354605737239609</v>
      </c>
      <c r="T101">
        <v>0.82480865103321355</v>
      </c>
      <c r="U101">
        <f t="shared" si="23"/>
        <v>1.2124024144840495</v>
      </c>
      <c r="V101" s="15">
        <f t="shared" si="17"/>
        <v>0</v>
      </c>
      <c r="W101" s="15">
        <f t="shared" si="18"/>
        <v>0</v>
      </c>
      <c r="X101" s="15">
        <f t="shared" si="19"/>
        <v>0</v>
      </c>
      <c r="Y101" s="15">
        <f t="shared" si="20"/>
        <v>0</v>
      </c>
      <c r="Z101" s="15">
        <f t="shared" si="21"/>
        <v>0</v>
      </c>
      <c r="AA101" s="15">
        <f t="shared" si="22"/>
        <v>0</v>
      </c>
      <c r="AC101" s="1"/>
      <c r="AD101" s="1"/>
      <c r="AE101" s="1"/>
    </row>
    <row r="102" spans="1:31">
      <c r="A102">
        <v>427</v>
      </c>
      <c r="B102">
        <f t="shared" si="2"/>
        <v>3.6379474993341029E-2</v>
      </c>
      <c r="C102">
        <v>3.2282454161663754E-2</v>
      </c>
      <c r="D102">
        <f t="shared" si="3"/>
        <v>30.976579258572162</v>
      </c>
      <c r="E102" s="1">
        <f t="shared" si="4"/>
        <v>0.30029006111778167</v>
      </c>
      <c r="F102" s="1">
        <f t="shared" si="5"/>
        <v>0.36029006111778167</v>
      </c>
      <c r="G102" s="1">
        <f t="shared" si="6"/>
        <v>0.16514503055889082</v>
      </c>
      <c r="H102" s="1">
        <f t="shared" si="7"/>
        <v>0.1614928414812451</v>
      </c>
      <c r="I102" s="1">
        <f t="shared" si="8"/>
        <v>0.37118775315315589</v>
      </c>
      <c r="J102" s="1">
        <f t="shared" si="9"/>
        <v>0.41125065725610543</v>
      </c>
      <c r="K102" s="1">
        <f t="shared" si="10"/>
        <v>0.28089635862134188</v>
      </c>
      <c r="L102" s="1">
        <f t="shared" si="11"/>
        <v>0.27852703047073724</v>
      </c>
      <c r="M102" s="1">
        <f t="shared" si="12"/>
        <v>0.51298313722390476</v>
      </c>
      <c r="N102" s="1">
        <f t="shared" si="13"/>
        <v>0.51317184953275263</v>
      </c>
      <c r="O102" s="1">
        <f t="shared" si="14"/>
        <v>0.51239901474624372</v>
      </c>
      <c r="P102" s="1">
        <f t="shared" si="15"/>
        <v>0.5125954084497214</v>
      </c>
      <c r="Q102" s="1">
        <f t="shared" si="16"/>
        <v>9.5435091676672492</v>
      </c>
      <c r="T102">
        <v>0.44837690354863369</v>
      </c>
      <c r="U102">
        <f t="shared" si="23"/>
        <v>2.2302665281944747</v>
      </c>
      <c r="V102" s="15">
        <f t="shared" si="17"/>
        <v>6.1255589210176833E-2</v>
      </c>
      <c r="W102" s="15">
        <f t="shared" si="18"/>
        <v>6.6224691114545042E-2</v>
      </c>
      <c r="X102" s="15">
        <f t="shared" si="19"/>
        <v>7.6162894923281335E-2</v>
      </c>
      <c r="Y102" s="15">
        <f t="shared" si="20"/>
        <v>8.5832523648439907E-2</v>
      </c>
      <c r="Z102" s="15">
        <f t="shared" si="21"/>
        <v>9.0215503707678904E-2</v>
      </c>
      <c r="AA102" s="15">
        <f t="shared" si="22"/>
        <v>9.8981463826156843E-2</v>
      </c>
      <c r="AC102" s="1"/>
      <c r="AD102" s="1"/>
      <c r="AE102" s="1"/>
    </row>
    <row r="103" spans="1:31">
      <c r="A103">
        <v>788</v>
      </c>
      <c r="B103">
        <f t="shared" si="2"/>
        <v>3.6574287612864319E-2</v>
      </c>
      <c r="C103">
        <v>3.2592773765517946E-2</v>
      </c>
      <c r="D103">
        <f t="shared" si="3"/>
        <v>30.68164763129078</v>
      </c>
      <c r="E103" s="1">
        <f t="shared" si="4"/>
        <v>0.29987630164597606</v>
      </c>
      <c r="F103" s="1">
        <f t="shared" si="5"/>
        <v>0.35987630164597606</v>
      </c>
      <c r="G103" s="1">
        <f t="shared" si="6"/>
        <v>0.16493815082298804</v>
      </c>
      <c r="H103" s="1">
        <f t="shared" si="7"/>
        <v>0.16128389285736786</v>
      </c>
      <c r="I103" s="1">
        <f t="shared" si="8"/>
        <v>0.37080159104250748</v>
      </c>
      <c r="J103" s="1">
        <f t="shared" si="9"/>
        <v>0.41086444311552656</v>
      </c>
      <c r="K103" s="1">
        <f t="shared" si="10"/>
        <v>0.28064616371960788</v>
      </c>
      <c r="L103" s="1">
        <f t="shared" si="11"/>
        <v>0.27827544012930128</v>
      </c>
      <c r="M103" s="1">
        <f t="shared" si="12"/>
        <v>0.51265216983557071</v>
      </c>
      <c r="N103" s="1">
        <f t="shared" si="13"/>
        <v>0.51284072605462716</v>
      </c>
      <c r="O103" s="1">
        <f t="shared" si="14"/>
        <v>0.51206218951284732</v>
      </c>
      <c r="P103" s="1">
        <f t="shared" si="15"/>
        <v>0.51225853467316806</v>
      </c>
      <c r="Q103" s="1">
        <f t="shared" si="16"/>
        <v>9.4814452468964117</v>
      </c>
      <c r="T103">
        <v>0.75257054296008696</v>
      </c>
      <c r="U103">
        <f t="shared" si="23"/>
        <v>1.3287790883585455</v>
      </c>
      <c r="V103" s="15">
        <f t="shared" si="17"/>
        <v>0</v>
      </c>
      <c r="W103" s="15">
        <f t="shared" si="18"/>
        <v>0</v>
      </c>
      <c r="X103" s="15">
        <f t="shared" si="19"/>
        <v>0</v>
      </c>
      <c r="Y103" s="15">
        <f t="shared" si="20"/>
        <v>0</v>
      </c>
      <c r="Z103" s="15">
        <f t="shared" si="21"/>
        <v>0</v>
      </c>
      <c r="AA103" s="15">
        <f t="shared" si="22"/>
        <v>0</v>
      </c>
      <c r="AC103" s="1"/>
      <c r="AD103" s="1"/>
      <c r="AE103" s="1"/>
    </row>
    <row r="104" spans="1:31">
      <c r="A104">
        <v>44</v>
      </c>
      <c r="B104">
        <f t="shared" si="2"/>
        <v>3.6825925909845292E-2</v>
      </c>
      <c r="C104">
        <v>3.2993611744211337E-2</v>
      </c>
      <c r="D104">
        <f t="shared" si="3"/>
        <v>30.308897605775094</v>
      </c>
      <c r="E104" s="1">
        <f t="shared" si="4"/>
        <v>0.29934185100771821</v>
      </c>
      <c r="F104" s="1">
        <f t="shared" si="5"/>
        <v>0.3593418510077182</v>
      </c>
      <c r="G104" s="1">
        <f t="shared" si="6"/>
        <v>0.16467092550385912</v>
      </c>
      <c r="H104" s="1">
        <f t="shared" si="7"/>
        <v>0.16101399516800025</v>
      </c>
      <c r="I104" s="1">
        <f t="shared" si="8"/>
        <v>0.37030278775081144</v>
      </c>
      <c r="J104" s="1">
        <f t="shared" si="9"/>
        <v>0.41036557261708007</v>
      </c>
      <c r="K104" s="1">
        <f t="shared" si="10"/>
        <v>0.28032298845950548</v>
      </c>
      <c r="L104" s="1">
        <f t="shared" si="11"/>
        <v>0.27795046238807114</v>
      </c>
      <c r="M104" s="1">
        <f t="shared" si="12"/>
        <v>0.51222466123699828</v>
      </c>
      <c r="N104" s="1">
        <f t="shared" si="13"/>
        <v>0.51241301583580345</v>
      </c>
      <c r="O104" s="1">
        <f t="shared" si="14"/>
        <v>0.51162711437079811</v>
      </c>
      <c r="P104" s="1">
        <f t="shared" si="15"/>
        <v>0.51182339682821287</v>
      </c>
      <c r="Q104" s="1">
        <f t="shared" si="16"/>
        <v>9.4012776511577343</v>
      </c>
      <c r="T104">
        <v>0.40413190903559826</v>
      </c>
      <c r="U104">
        <f t="shared" si="23"/>
        <v>2.4744396016299577</v>
      </c>
      <c r="V104" s="15">
        <f t="shared" si="17"/>
        <v>6.4150033088133065E-2</v>
      </c>
      <c r="W104" s="15">
        <f t="shared" si="18"/>
        <v>6.9003794079354475E-2</v>
      </c>
      <c r="X104" s="15">
        <f t="shared" si="19"/>
        <v>7.8711316061797196E-2</v>
      </c>
      <c r="Y104" s="15">
        <f t="shared" si="20"/>
        <v>9.0116422598243248E-2</v>
      </c>
      <c r="Z104" s="15">
        <f t="shared" si="21"/>
        <v>9.4384157272316471E-2</v>
      </c>
      <c r="AA104" s="15">
        <f t="shared" si="22"/>
        <v>0.10291962662046292</v>
      </c>
      <c r="AC104" s="1"/>
      <c r="AD104" s="1"/>
      <c r="AE104" s="1"/>
    </row>
    <row r="105" spans="1:31">
      <c r="A105">
        <v>975</v>
      </c>
      <c r="B105">
        <f t="shared" si="2"/>
        <v>4.002948722008258E-2</v>
      </c>
      <c r="C105">
        <v>3.5643964781881143E-2</v>
      </c>
      <c r="D105">
        <f t="shared" si="3"/>
        <v>28.055240378543097</v>
      </c>
      <c r="E105" s="1">
        <f t="shared" si="4"/>
        <v>0.2958080469574918</v>
      </c>
      <c r="F105" s="1">
        <f t="shared" si="5"/>
        <v>0.3558080469574918</v>
      </c>
      <c r="G105" s="1">
        <f t="shared" si="6"/>
        <v>0.16290402347874591</v>
      </c>
      <c r="H105" s="1">
        <f t="shared" si="7"/>
        <v>0.15922942334871482</v>
      </c>
      <c r="I105" s="1">
        <f t="shared" si="8"/>
        <v>0.36700468505192141</v>
      </c>
      <c r="J105" s="1">
        <f t="shared" si="9"/>
        <v>0.40706702554509017</v>
      </c>
      <c r="K105" s="1">
        <f t="shared" si="10"/>
        <v>0.27818614370466449</v>
      </c>
      <c r="L105" s="1">
        <f t="shared" si="11"/>
        <v>0.27580169957260148</v>
      </c>
      <c r="M105" s="1">
        <f t="shared" si="12"/>
        <v>0.50939796124078107</v>
      </c>
      <c r="N105" s="1">
        <f t="shared" si="13"/>
        <v>0.50958498272028652</v>
      </c>
      <c r="O105" s="1">
        <f t="shared" si="14"/>
        <v>0.50875038415650142</v>
      </c>
      <c r="P105" s="1">
        <f t="shared" si="15"/>
        <v>0.5089462520203748</v>
      </c>
      <c r="Q105" s="1">
        <f t="shared" si="16"/>
        <v>8.8712070436237731</v>
      </c>
      <c r="T105">
        <v>0.85025614108449987</v>
      </c>
      <c r="U105">
        <f t="shared" si="23"/>
        <v>1.1761161745030175</v>
      </c>
      <c r="V105" s="15">
        <f t="shared" si="17"/>
        <v>0</v>
      </c>
      <c r="W105" s="15">
        <f t="shared" si="18"/>
        <v>0</v>
      </c>
      <c r="X105" s="15">
        <f t="shared" si="19"/>
        <v>0</v>
      </c>
      <c r="Y105" s="15">
        <f t="shared" si="20"/>
        <v>0</v>
      </c>
      <c r="Z105" s="15">
        <f t="shared" si="21"/>
        <v>0</v>
      </c>
      <c r="AA105" s="15">
        <f t="shared" si="22"/>
        <v>0</v>
      </c>
      <c r="AC105" s="1"/>
      <c r="AD105" s="1"/>
      <c r="AE105" s="1"/>
    </row>
    <row r="106" spans="1:31">
      <c r="A106">
        <v>939</v>
      </c>
      <c r="B106">
        <f t="shared" si="2"/>
        <v>4.0054456700994022E-2</v>
      </c>
      <c r="C106">
        <v>3.5825174362051682E-2</v>
      </c>
      <c r="D106">
        <f t="shared" si="3"/>
        <v>27.913332392856795</v>
      </c>
      <c r="E106" s="1">
        <f t="shared" si="4"/>
        <v>0.29556643418393108</v>
      </c>
      <c r="F106" s="1">
        <f t="shared" si="5"/>
        <v>0.35556643418393108</v>
      </c>
      <c r="G106" s="1">
        <f t="shared" si="6"/>
        <v>0.16278321709196555</v>
      </c>
      <c r="H106" s="1">
        <f t="shared" si="7"/>
        <v>0.15910740884515223</v>
      </c>
      <c r="I106" s="1">
        <f t="shared" si="8"/>
        <v>0.36677918761934142</v>
      </c>
      <c r="J106" s="1">
        <f t="shared" si="9"/>
        <v>0.40684149772989259</v>
      </c>
      <c r="K106" s="1">
        <f t="shared" si="10"/>
        <v>0.27804004364349871</v>
      </c>
      <c r="L106" s="1">
        <f t="shared" si="11"/>
        <v>0.27565478465140303</v>
      </c>
      <c r="M106" s="1">
        <f t="shared" si="12"/>
        <v>0.50920469449016248</v>
      </c>
      <c r="N106" s="1">
        <f t="shared" si="13"/>
        <v>0.5093916248218151</v>
      </c>
      <c r="O106" s="1">
        <f t="shared" si="14"/>
        <v>0.50855369674656492</v>
      </c>
      <c r="P106" s="1">
        <f t="shared" si="15"/>
        <v>0.50874953626390462</v>
      </c>
      <c r="Q106" s="1">
        <f t="shared" si="16"/>
        <v>8.8349651275896655</v>
      </c>
      <c r="T106">
        <v>0.17291820445877004</v>
      </c>
      <c r="U106">
        <f t="shared" si="23"/>
        <v>5.7830810997024678</v>
      </c>
      <c r="V106" s="15">
        <f t="shared" si="17"/>
        <v>8.1186692638434921E-2</v>
      </c>
      <c r="W106" s="15">
        <f t="shared" si="18"/>
        <v>8.5293665580553069E-2</v>
      </c>
      <c r="X106" s="15">
        <f t="shared" si="19"/>
        <v>9.3507611464789392E-2</v>
      </c>
      <c r="Y106" s="15">
        <f t="shared" si="20"/>
        <v>0.11532791708924842</v>
      </c>
      <c r="Z106" s="15">
        <f t="shared" si="21"/>
        <v>0.11883968746577327</v>
      </c>
      <c r="AA106" s="15">
        <f t="shared" si="22"/>
        <v>0.12586322821882304</v>
      </c>
      <c r="AC106" s="1"/>
      <c r="AD106" s="1"/>
      <c r="AE106" s="1"/>
    </row>
    <row r="107" spans="1:31">
      <c r="A107">
        <v>822</v>
      </c>
      <c r="B107">
        <f t="shared" si="2"/>
        <v>4.0622388922438801E-2</v>
      </c>
      <c r="C107">
        <v>3.6222264844661289E-2</v>
      </c>
      <c r="D107">
        <f t="shared" si="3"/>
        <v>27.607329477835993</v>
      </c>
      <c r="E107" s="1">
        <f t="shared" si="4"/>
        <v>0.29503698020711827</v>
      </c>
      <c r="F107" s="1">
        <f t="shared" si="5"/>
        <v>0.35503698020711827</v>
      </c>
      <c r="G107" s="1">
        <f t="shared" si="6"/>
        <v>0.16251849010355915</v>
      </c>
      <c r="H107" s="1">
        <f t="shared" si="7"/>
        <v>0.15884003447090864</v>
      </c>
      <c r="I107" s="1">
        <f t="shared" si="8"/>
        <v>0.36628504771654952</v>
      </c>
      <c r="J107" s="1">
        <f t="shared" si="9"/>
        <v>0.40634729124867652</v>
      </c>
      <c r="K107" s="1">
        <f t="shared" si="10"/>
        <v>0.27771988979874618</v>
      </c>
      <c r="L107" s="1">
        <f t="shared" si="11"/>
        <v>0.27533284517719675</v>
      </c>
      <c r="M107" s="1">
        <f t="shared" si="12"/>
        <v>0.50878118273541251</v>
      </c>
      <c r="N107" s="1">
        <f t="shared" si="13"/>
        <v>0.5089679133317927</v>
      </c>
      <c r="O107" s="1">
        <f t="shared" si="14"/>
        <v>0.50812268918911996</v>
      </c>
      <c r="P107" s="1">
        <f t="shared" si="15"/>
        <v>0.50831846658977298</v>
      </c>
      <c r="Q107" s="1">
        <f t="shared" si="16"/>
        <v>8.7555470310677421</v>
      </c>
      <c r="T107">
        <v>0.46257943848520344</v>
      </c>
      <c r="U107">
        <f t="shared" si="23"/>
        <v>2.1617908553710761</v>
      </c>
      <c r="V107" s="15">
        <f t="shared" si="17"/>
        <v>6.0326479810321382E-2</v>
      </c>
      <c r="W107" s="15">
        <f t="shared" si="18"/>
        <v>6.5332605865480287E-2</v>
      </c>
      <c r="X107" s="15">
        <f t="shared" si="19"/>
        <v>7.5344857975797916E-2</v>
      </c>
      <c r="Y107" s="15">
        <f t="shared" si="20"/>
        <v>8.4457402571605084E-2</v>
      </c>
      <c r="Z107" s="15">
        <f t="shared" si="21"/>
        <v>8.8877376117386664E-2</v>
      </c>
      <c r="AA107" s="15">
        <f t="shared" si="22"/>
        <v>9.7717323208949797E-2</v>
      </c>
      <c r="AC107" s="1"/>
      <c r="AD107" s="1"/>
      <c r="AE107" s="1"/>
    </row>
    <row r="108" spans="1:31">
      <c r="A108">
        <v>654</v>
      </c>
      <c r="B108">
        <f t="shared" si="2"/>
        <v>4.2440770698945342E-2</v>
      </c>
      <c r="C108">
        <v>3.6850673829232128E-2</v>
      </c>
      <c r="D108">
        <f t="shared" si="3"/>
        <v>27.136545850804524</v>
      </c>
      <c r="E108" s="1">
        <f t="shared" si="4"/>
        <v>0.2941991015610238</v>
      </c>
      <c r="F108" s="1">
        <f t="shared" si="5"/>
        <v>0.3541991015610238</v>
      </c>
      <c r="G108" s="1">
        <f t="shared" si="6"/>
        <v>0.16209955078051191</v>
      </c>
      <c r="H108" s="1">
        <f t="shared" si="7"/>
        <v>0.15841690557113125</v>
      </c>
      <c r="I108" s="1">
        <f t="shared" si="8"/>
        <v>0.36550305477501976</v>
      </c>
      <c r="J108" s="1">
        <f t="shared" si="9"/>
        <v>0.40556519294456128</v>
      </c>
      <c r="K108" s="1">
        <f t="shared" si="10"/>
        <v>0.27721323561966527</v>
      </c>
      <c r="L108" s="1">
        <f t="shared" si="11"/>
        <v>0.27482336517971684</v>
      </c>
      <c r="M108" s="1">
        <f t="shared" si="12"/>
        <v>0.50811096120301213</v>
      </c>
      <c r="N108" s="1">
        <f t="shared" si="13"/>
        <v>0.5082973757116358</v>
      </c>
      <c r="O108" s="1">
        <f t="shared" si="14"/>
        <v>0.50744060529797175</v>
      </c>
      <c r="P108" s="1">
        <f t="shared" si="15"/>
        <v>0.50763628439688802</v>
      </c>
      <c r="Q108" s="1">
        <f t="shared" si="16"/>
        <v>8.6298652341535753</v>
      </c>
      <c r="T108">
        <v>7.9608637484798295E-2</v>
      </c>
      <c r="U108">
        <f t="shared" si="23"/>
        <v>12.561451013289298</v>
      </c>
      <c r="V108" s="15">
        <f t="shared" si="17"/>
        <v>9.6220716032360085E-2</v>
      </c>
      <c r="W108" s="15">
        <f t="shared" si="18"/>
        <v>9.9414618160926185E-2</v>
      </c>
      <c r="X108" s="15">
        <f t="shared" si="19"/>
        <v>0.1058024224180584</v>
      </c>
      <c r="Y108" s="15">
        <f t="shared" si="20"/>
        <v>0.13755730979196854</v>
      </c>
      <c r="Z108" s="15">
        <f t="shared" si="21"/>
        <v>0.14011220114965342</v>
      </c>
      <c r="AA108" s="15">
        <f t="shared" si="22"/>
        <v>0.14522198386502305</v>
      </c>
      <c r="AC108" s="1"/>
      <c r="AD108" s="1"/>
      <c r="AE108" s="1"/>
    </row>
    <row r="109" spans="1:31">
      <c r="A109">
        <v>283</v>
      </c>
      <c r="B109">
        <f t="shared" si="2"/>
        <v>4.5948355077703416E-2</v>
      </c>
      <c r="C109">
        <v>3.9661917412574188E-2</v>
      </c>
      <c r="D109">
        <f t="shared" si="3"/>
        <v>25.213102775585067</v>
      </c>
      <c r="E109" s="1">
        <f t="shared" si="4"/>
        <v>0.29045077678323439</v>
      </c>
      <c r="F109" s="1">
        <f t="shared" si="5"/>
        <v>0.35045077678323439</v>
      </c>
      <c r="G109" s="1">
        <f t="shared" si="6"/>
        <v>0.16022538839161721</v>
      </c>
      <c r="H109" s="1">
        <f t="shared" si="7"/>
        <v>0.15652400073744541</v>
      </c>
      <c r="I109" s="1">
        <f t="shared" si="8"/>
        <v>0.36200473967598318</v>
      </c>
      <c r="J109" s="1">
        <f t="shared" si="9"/>
        <v>0.40206640649661085</v>
      </c>
      <c r="K109" s="1">
        <f t="shared" si="10"/>
        <v>0.27494667300696274</v>
      </c>
      <c r="L109" s="1">
        <f t="shared" si="11"/>
        <v>0.27254416101662765</v>
      </c>
      <c r="M109" s="1">
        <f t="shared" si="12"/>
        <v>0.50511266546148126</v>
      </c>
      <c r="N109" s="1">
        <f t="shared" si="13"/>
        <v>0.50529766592336323</v>
      </c>
      <c r="O109" s="1">
        <f t="shared" si="14"/>
        <v>0.50438924223765358</v>
      </c>
      <c r="P109" s="1">
        <f t="shared" si="15"/>
        <v>0.50458448157499214</v>
      </c>
      <c r="Q109" s="1">
        <f t="shared" si="16"/>
        <v>8.0676165174851633</v>
      </c>
      <c r="T109">
        <v>0.87178991685706519</v>
      </c>
      <c r="U109">
        <f t="shared" si="23"/>
        <v>1.147065342995881</v>
      </c>
      <c r="V109" s="15">
        <f t="shared" si="17"/>
        <v>0</v>
      </c>
      <c r="W109" s="15">
        <f t="shared" si="18"/>
        <v>0</v>
      </c>
      <c r="X109" s="15">
        <f t="shared" si="19"/>
        <v>0</v>
      </c>
      <c r="Y109" s="15">
        <f t="shared" si="20"/>
        <v>0</v>
      </c>
      <c r="Z109" s="15">
        <f t="shared" si="21"/>
        <v>0</v>
      </c>
      <c r="AA109" s="15">
        <f t="shared" si="22"/>
        <v>0</v>
      </c>
      <c r="AC109" s="1"/>
      <c r="AD109" s="1"/>
      <c r="AE109" s="1"/>
    </row>
    <row r="110" spans="1:31">
      <c r="A110">
        <v>888</v>
      </c>
      <c r="B110">
        <f t="shared" si="2"/>
        <v>4.6095028754790941E-2</v>
      </c>
      <c r="C110">
        <v>3.9945580730834207E-2</v>
      </c>
      <c r="D110">
        <f t="shared" si="3"/>
        <v>25.034058379031016</v>
      </c>
      <c r="E110" s="1">
        <f t="shared" si="4"/>
        <v>0.2900725590255544</v>
      </c>
      <c r="F110" s="1">
        <f t="shared" si="5"/>
        <v>0.3500725590255544</v>
      </c>
      <c r="G110" s="1">
        <f t="shared" si="6"/>
        <v>0.16003627951277721</v>
      </c>
      <c r="H110" s="1">
        <f t="shared" si="7"/>
        <v>0.15633300068698538</v>
      </c>
      <c r="I110" s="1">
        <f t="shared" si="8"/>
        <v>0.36165174868111105</v>
      </c>
      <c r="J110" s="1">
        <f t="shared" si="9"/>
        <v>0.40171336794115103</v>
      </c>
      <c r="K110" s="1">
        <f t="shared" si="10"/>
        <v>0.27471796971153395</v>
      </c>
      <c r="L110" s="1">
        <f t="shared" si="11"/>
        <v>0.27231418214901015</v>
      </c>
      <c r="M110" s="1">
        <f t="shared" si="12"/>
        <v>0.50481012799222491</v>
      </c>
      <c r="N110" s="1">
        <f t="shared" si="13"/>
        <v>0.50499498577234381</v>
      </c>
      <c r="O110" s="1">
        <f t="shared" si="14"/>
        <v>0.50408135010904731</v>
      </c>
      <c r="P110" s="1">
        <f t="shared" si="15"/>
        <v>0.50427654507305975</v>
      </c>
      <c r="Q110" s="1">
        <f t="shared" si="16"/>
        <v>8.0108838538331604</v>
      </c>
      <c r="T110">
        <v>0.50864384532454021</v>
      </c>
      <c r="U110">
        <f t="shared" si="23"/>
        <v>1.9660121894563571</v>
      </c>
      <c r="V110" s="15">
        <f t="shared" si="17"/>
        <v>0</v>
      </c>
      <c r="W110" s="15">
        <f t="shared" si="18"/>
        <v>0</v>
      </c>
      <c r="X110" s="15">
        <f t="shared" si="19"/>
        <v>0</v>
      </c>
      <c r="Y110" s="15">
        <f t="shared" si="20"/>
        <v>0</v>
      </c>
      <c r="Z110" s="15">
        <f t="shared" si="21"/>
        <v>0</v>
      </c>
      <c r="AA110" s="15">
        <f t="shared" si="22"/>
        <v>0</v>
      </c>
      <c r="AC110" s="1"/>
      <c r="AD110" s="1"/>
      <c r="AE110" s="1"/>
    </row>
    <row r="111" spans="1:31">
      <c r="A111">
        <v>971</v>
      </c>
      <c r="B111">
        <f t="shared" si="2"/>
        <v>4.6291179729551511E-2</v>
      </c>
      <c r="C111">
        <v>4.0083512044196912E-2</v>
      </c>
      <c r="D111">
        <f t="shared" si="3"/>
        <v>24.947913718173677</v>
      </c>
      <c r="E111" s="1">
        <f t="shared" si="4"/>
        <v>0.28994432530386871</v>
      </c>
      <c r="F111" s="1">
        <f t="shared" si="5"/>
        <v>0.34991648795580305</v>
      </c>
      <c r="G111" s="1">
        <f t="shared" si="6"/>
        <v>0.15990256928177027</v>
      </c>
      <c r="H111" s="1">
        <f t="shared" si="7"/>
        <v>0.15620020016471725</v>
      </c>
      <c r="I111" s="1">
        <f t="shared" si="8"/>
        <v>0.36152686128020711</v>
      </c>
      <c r="J111" s="1">
        <f t="shared" si="9"/>
        <v>0.40156991068484615</v>
      </c>
      <c r="K111" s="1">
        <f t="shared" si="10"/>
        <v>0.27458897566897777</v>
      </c>
      <c r="L111" s="1">
        <f t="shared" si="11"/>
        <v>0.2721857870538027</v>
      </c>
      <c r="M111" s="1">
        <f t="shared" si="12"/>
        <v>0.50469193323288442</v>
      </c>
      <c r="N111" s="1">
        <f t="shared" si="13"/>
        <v>0.50487675614293182</v>
      </c>
      <c r="O111" s="1">
        <f t="shared" si="14"/>
        <v>0.50396178844339257</v>
      </c>
      <c r="P111" s="1">
        <f t="shared" si="15"/>
        <v>0.50415696083197348</v>
      </c>
      <c r="Q111" s="1">
        <f t="shared" si="16"/>
        <v>7.9986081325967184</v>
      </c>
      <c r="T111">
        <v>0.35324666811818861</v>
      </c>
      <c r="U111">
        <f t="shared" si="23"/>
        <v>2.8308830351527106</v>
      </c>
      <c r="V111" s="15">
        <f t="shared" si="17"/>
        <v>6.7478872331368414E-2</v>
      </c>
      <c r="W111" s="15">
        <f t="shared" si="18"/>
        <v>7.2199982155656567E-2</v>
      </c>
      <c r="X111" s="15">
        <f t="shared" si="19"/>
        <v>8.1642201804232831E-2</v>
      </c>
      <c r="Y111" s="15">
        <f t="shared" si="20"/>
        <v>9.5043244999867868E-2</v>
      </c>
      <c r="Z111" s="15">
        <f t="shared" si="21"/>
        <v>9.9178438371736788E-2</v>
      </c>
      <c r="AA111" s="15">
        <f t="shared" si="22"/>
        <v>0.10744882511547467</v>
      </c>
      <c r="AC111" s="1"/>
      <c r="AD111" s="1"/>
      <c r="AE111" s="1"/>
    </row>
    <row r="112" spans="1:31">
      <c r="A112">
        <v>594</v>
      </c>
      <c r="B112">
        <f t="shared" si="2"/>
        <v>5.0073669539435234E-2</v>
      </c>
      <c r="C112">
        <v>4.2980036478404537E-2</v>
      </c>
      <c r="D112">
        <f t="shared" si="3"/>
        <v>23.266615897416777</v>
      </c>
      <c r="E112" s="1">
        <f t="shared" si="4"/>
        <v>0.28801330901439698</v>
      </c>
      <c r="F112" s="1">
        <f t="shared" si="5"/>
        <v>0.34701996352159542</v>
      </c>
      <c r="G112" s="1">
        <f t="shared" si="6"/>
        <v>0.15652329077519472</v>
      </c>
      <c r="H112" s="1">
        <f t="shared" si="7"/>
        <v>0.15286505762206995</v>
      </c>
      <c r="I112" s="1">
        <f t="shared" si="8"/>
        <v>0.35954405161357694</v>
      </c>
      <c r="J112" s="1">
        <f t="shared" si="9"/>
        <v>0.39894334224259298</v>
      </c>
      <c r="K112" s="1">
        <f t="shared" si="10"/>
        <v>0.27163673113049458</v>
      </c>
      <c r="L112" s="1">
        <f t="shared" si="11"/>
        <v>0.26926280390870277</v>
      </c>
      <c r="M112" s="1">
        <f t="shared" si="12"/>
        <v>0.50260553681193731</v>
      </c>
      <c r="N112" s="1">
        <f t="shared" si="13"/>
        <v>0.50279009968458754</v>
      </c>
      <c r="O112" s="1">
        <f t="shared" si="14"/>
        <v>0.50186361184109407</v>
      </c>
      <c r="P112" s="1">
        <f t="shared" si="15"/>
        <v>0.50205829648196842</v>
      </c>
      <c r="Q112" s="1">
        <f t="shared" si="16"/>
        <v>7.9503327253599245</v>
      </c>
      <c r="T112">
        <v>0.83925812449317005</v>
      </c>
      <c r="U112">
        <f t="shared" si="23"/>
        <v>1.1915285307531605</v>
      </c>
      <c r="V112" s="15">
        <f t="shared" si="17"/>
        <v>0</v>
      </c>
      <c r="W112" s="15">
        <f t="shared" si="18"/>
        <v>0</v>
      </c>
      <c r="X112" s="15">
        <f t="shared" si="19"/>
        <v>0</v>
      </c>
      <c r="Y112" s="15">
        <f t="shared" si="20"/>
        <v>0</v>
      </c>
      <c r="Z112" s="15">
        <f t="shared" si="21"/>
        <v>0</v>
      </c>
      <c r="AA112" s="15">
        <f t="shared" si="22"/>
        <v>0</v>
      </c>
      <c r="AC112" s="1"/>
      <c r="AD112" s="1"/>
      <c r="AE112" s="1"/>
    </row>
    <row r="113" spans="1:31">
      <c r="A113">
        <v>330</v>
      </c>
      <c r="B113">
        <f t="shared" si="2"/>
        <v>5.7477760889186262E-2</v>
      </c>
      <c r="C113">
        <v>4.5388954876226628E-2</v>
      </c>
      <c r="D113">
        <f t="shared" si="3"/>
        <v>22.031791715119883</v>
      </c>
      <c r="E113" s="1">
        <f t="shared" si="4"/>
        <v>0.28640736341584888</v>
      </c>
      <c r="F113" s="1">
        <f t="shared" si="5"/>
        <v>0.34461104512377333</v>
      </c>
      <c r="G113" s="1">
        <f t="shared" si="6"/>
        <v>0.15371288597773561</v>
      </c>
      <c r="H113" s="1">
        <f t="shared" si="7"/>
        <v>0.15009135886245978</v>
      </c>
      <c r="I113" s="1">
        <f t="shared" si="8"/>
        <v>0.35789503162641034</v>
      </c>
      <c r="J113" s="1">
        <f t="shared" si="9"/>
        <v>0.39675893496849607</v>
      </c>
      <c r="K113" s="1">
        <f t="shared" si="10"/>
        <v>0.26918147264911141</v>
      </c>
      <c r="L113" s="1">
        <f t="shared" si="11"/>
        <v>0.26683188090608662</v>
      </c>
      <c r="M113" s="1">
        <f t="shared" si="12"/>
        <v>0.5008703680475336</v>
      </c>
      <c r="N113" s="1">
        <f t="shared" si="13"/>
        <v>0.50105471465794094</v>
      </c>
      <c r="O113" s="1">
        <f t="shared" si="14"/>
        <v>0.50011864599186273</v>
      </c>
      <c r="P113" s="1">
        <f t="shared" si="15"/>
        <v>0.50031292499334035</v>
      </c>
      <c r="Q113" s="1">
        <f t="shared" si="16"/>
        <v>7.9101840853962226</v>
      </c>
      <c r="T113">
        <v>0.15340115106778396</v>
      </c>
      <c r="U113">
        <f t="shared" si="23"/>
        <v>6.5188559084418225</v>
      </c>
      <c r="V113" s="15">
        <f t="shared" si="17"/>
        <v>8.384066568096378E-2</v>
      </c>
      <c r="W113" s="15">
        <f t="shared" si="18"/>
        <v>8.7792951824997439E-2</v>
      </c>
      <c r="X113" s="15">
        <f t="shared" si="19"/>
        <v>9.5697524113064716E-2</v>
      </c>
      <c r="Y113" s="15">
        <f t="shared" si="20"/>
        <v>0.11925340127989667</v>
      </c>
      <c r="Z113" s="15">
        <f t="shared" si="21"/>
        <v>0.12260355418140631</v>
      </c>
      <c r="AA113" s="15">
        <f t="shared" si="22"/>
        <v>0.12930385998442562</v>
      </c>
      <c r="AC113" s="1"/>
      <c r="AD113" s="1"/>
      <c r="AE113" s="1"/>
    </row>
    <row r="114" spans="1:31">
      <c r="A114">
        <v>139</v>
      </c>
      <c r="B114">
        <f t="shared" si="2"/>
        <v>5.774169925848343E-2</v>
      </c>
      <c r="C114">
        <v>4.5626283609368712E-2</v>
      </c>
      <c r="D114">
        <f t="shared" si="3"/>
        <v>21.917191603014192</v>
      </c>
      <c r="E114" s="1">
        <f t="shared" si="4"/>
        <v>0.28624914426042086</v>
      </c>
      <c r="F114" s="1">
        <f t="shared" si="5"/>
        <v>0.34437371639063125</v>
      </c>
      <c r="G114" s="1">
        <f t="shared" si="6"/>
        <v>0.15343600245573652</v>
      </c>
      <c r="H114" s="1">
        <f t="shared" si="7"/>
        <v>0.1498180916511955</v>
      </c>
      <c r="I114" s="1">
        <f t="shared" si="8"/>
        <v>0.35773256874479753</v>
      </c>
      <c r="J114" s="1">
        <f t="shared" si="9"/>
        <v>0.39654372526629256</v>
      </c>
      <c r="K114" s="1">
        <f t="shared" si="10"/>
        <v>0.26893957845068195</v>
      </c>
      <c r="L114" s="1">
        <f t="shared" si="11"/>
        <v>0.26659238426016518</v>
      </c>
      <c r="M114" s="1">
        <f t="shared" si="12"/>
        <v>0.50069941771355131</v>
      </c>
      <c r="N114" s="1">
        <f t="shared" si="13"/>
        <v>0.50088374301761462</v>
      </c>
      <c r="O114" s="1">
        <f t="shared" si="14"/>
        <v>0.4999467304405727</v>
      </c>
      <c r="P114" s="1">
        <f t="shared" si="15"/>
        <v>0.5001409694781046</v>
      </c>
      <c r="Q114" s="1">
        <f t="shared" si="16"/>
        <v>7.9062286065105214</v>
      </c>
      <c r="T114">
        <v>2.2724139795071263E-2</v>
      </c>
      <c r="U114">
        <f t="shared" si="23"/>
        <v>44.006066192960773</v>
      </c>
      <c r="V114" s="15">
        <f t="shared" si="17"/>
        <v>0.10304197639427203</v>
      </c>
      <c r="W114" s="15">
        <f t="shared" si="18"/>
        <v>0.1057753682453844</v>
      </c>
      <c r="X114" s="15">
        <f t="shared" si="19"/>
        <v>0.11124215194760896</v>
      </c>
      <c r="Y114" s="15">
        <f t="shared" si="20"/>
        <v>0.14763297309330198</v>
      </c>
      <c r="Z114" s="15">
        <f t="shared" si="21"/>
        <v>0.14970192057754048</v>
      </c>
      <c r="AA114" s="15">
        <f t="shared" si="22"/>
        <v>0.15383981554601778</v>
      </c>
      <c r="AC114" s="1"/>
      <c r="AD114" s="1"/>
      <c r="AE114" s="1"/>
    </row>
    <row r="115" spans="1:31">
      <c r="A115">
        <v>533</v>
      </c>
      <c r="B115">
        <f t="shared" si="2"/>
        <v>5.8209714258632174E-2</v>
      </c>
      <c r="C115">
        <v>4.6143870791545472E-2</v>
      </c>
      <c r="D115">
        <f t="shared" si="3"/>
        <v>21.671350557422699</v>
      </c>
      <c r="E115" s="1">
        <f t="shared" si="4"/>
        <v>0.28590408613896967</v>
      </c>
      <c r="F115" s="1">
        <f t="shared" si="5"/>
        <v>0.34385612920845449</v>
      </c>
      <c r="G115" s="1">
        <f t="shared" si="6"/>
        <v>0.15283215074319695</v>
      </c>
      <c r="H115" s="1">
        <f t="shared" si="7"/>
        <v>0.14922212670423352</v>
      </c>
      <c r="I115" s="1">
        <f t="shared" si="8"/>
        <v>0.35737825553548236</v>
      </c>
      <c r="J115" s="1">
        <f t="shared" si="9"/>
        <v>0.39607437719424976</v>
      </c>
      <c r="K115" s="1">
        <f t="shared" si="10"/>
        <v>0.26841203450396978</v>
      </c>
      <c r="L115" s="1">
        <f t="shared" si="11"/>
        <v>0.26607006910488623</v>
      </c>
      <c r="M115" s="1">
        <f t="shared" si="12"/>
        <v>0.50032659432850812</v>
      </c>
      <c r="N115" s="1">
        <f t="shared" si="13"/>
        <v>0.50051087316583975</v>
      </c>
      <c r="O115" s="1">
        <f t="shared" si="14"/>
        <v>0.49957180202551515</v>
      </c>
      <c r="P115" s="1">
        <f t="shared" si="15"/>
        <v>0.49976595390619172</v>
      </c>
      <c r="Q115" s="1">
        <f t="shared" si="16"/>
        <v>7.8976021534742422</v>
      </c>
      <c r="T115">
        <v>0.19827811912339133</v>
      </c>
      <c r="U115">
        <f t="shared" si="23"/>
        <v>5.0434208495678012</v>
      </c>
      <c r="V115" s="15">
        <f t="shared" si="17"/>
        <v>7.7738194110894818E-2</v>
      </c>
      <c r="W115" s="15">
        <f t="shared" si="18"/>
        <v>8.2046162762794528E-2</v>
      </c>
      <c r="X115" s="15">
        <f t="shared" si="19"/>
        <v>9.0662100066594073E-2</v>
      </c>
      <c r="Y115" s="15">
        <f t="shared" si="20"/>
        <v>0.11022725245008028</v>
      </c>
      <c r="Z115" s="15">
        <f t="shared" si="21"/>
        <v>0.1139490240646296</v>
      </c>
      <c r="AA115" s="15">
        <f t="shared" si="22"/>
        <v>0.12139256729372842</v>
      </c>
      <c r="AC115" s="1"/>
      <c r="AD115" s="1"/>
      <c r="AE115" s="1"/>
    </row>
    <row r="116" spans="1:31">
      <c r="A116">
        <v>393</v>
      </c>
      <c r="B116">
        <f t="shared" si="2"/>
        <v>5.8740458391156089E-2</v>
      </c>
      <c r="C116">
        <v>4.9535855984322086E-2</v>
      </c>
      <c r="D116">
        <f t="shared" si="3"/>
        <v>20.187397191975371</v>
      </c>
      <c r="E116" s="1">
        <f t="shared" si="4"/>
        <v>0.28364276267711858</v>
      </c>
      <c r="F116" s="1">
        <f t="shared" si="5"/>
        <v>0.34046414401567787</v>
      </c>
      <c r="G116" s="1">
        <f t="shared" si="6"/>
        <v>0.14887483468495757</v>
      </c>
      <c r="H116" s="1">
        <f t="shared" si="7"/>
        <v>0.14531649622279971</v>
      </c>
      <c r="I116" s="1">
        <f t="shared" si="8"/>
        <v>0.35505627925595423</v>
      </c>
      <c r="J116" s="1">
        <f t="shared" si="9"/>
        <v>0.39299852492153303</v>
      </c>
      <c r="K116" s="1">
        <f t="shared" si="10"/>
        <v>0.26495479808582434</v>
      </c>
      <c r="L116" s="1">
        <f t="shared" si="11"/>
        <v>0.2626470993450517</v>
      </c>
      <c r="M116" s="1">
        <f t="shared" si="12"/>
        <v>0.49788331241362577</v>
      </c>
      <c r="N116" s="1">
        <f t="shared" si="13"/>
        <v>0.49806728673324274</v>
      </c>
      <c r="O116" s="1">
        <f t="shared" si="14"/>
        <v>0.4971147248875577</v>
      </c>
      <c r="P116" s="1">
        <f t="shared" si="15"/>
        <v>0.49730830558955569</v>
      </c>
      <c r="Q116" s="1">
        <f t="shared" si="16"/>
        <v>7.8410690669279655</v>
      </c>
      <c r="T116">
        <v>0.95240675577387057</v>
      </c>
      <c r="U116">
        <f t="shared" si="23"/>
        <v>1.049971552530051</v>
      </c>
      <c r="V116" s="15">
        <f t="shared" si="17"/>
        <v>0</v>
      </c>
      <c r="W116" s="15">
        <f t="shared" si="18"/>
        <v>0</v>
      </c>
      <c r="X116" s="15">
        <f t="shared" si="19"/>
        <v>0</v>
      </c>
      <c r="Y116" s="15">
        <f t="shared" si="20"/>
        <v>0</v>
      </c>
      <c r="Z116" s="15">
        <f t="shared" si="21"/>
        <v>0</v>
      </c>
      <c r="AA116" s="15">
        <f t="shared" si="22"/>
        <v>0</v>
      </c>
      <c r="AC116" s="1"/>
      <c r="AD116" s="1"/>
      <c r="AE116" s="1"/>
    </row>
    <row r="117" spans="1:31">
      <c r="A117">
        <v>776</v>
      </c>
      <c r="B117">
        <f t="shared" si="2"/>
        <v>5.8976707452954177E-2</v>
      </c>
      <c r="C117">
        <v>4.9960427981828426E-2</v>
      </c>
      <c r="D117">
        <f t="shared" si="3"/>
        <v>20.015841344748274</v>
      </c>
      <c r="E117" s="1">
        <f t="shared" si="4"/>
        <v>0.28335971467878102</v>
      </c>
      <c r="F117" s="1">
        <f t="shared" si="5"/>
        <v>0.34003957201817153</v>
      </c>
      <c r="G117" s="1">
        <f t="shared" si="6"/>
        <v>0.14837950068786684</v>
      </c>
      <c r="H117" s="1">
        <f t="shared" si="7"/>
        <v>0.14482763166685908</v>
      </c>
      <c r="I117" s="1">
        <f t="shared" si="8"/>
        <v>0.35476563939430006</v>
      </c>
      <c r="J117" s="1">
        <f t="shared" si="9"/>
        <v>0.392613523021689</v>
      </c>
      <c r="K117" s="1">
        <f t="shared" si="10"/>
        <v>0.26452205864609168</v>
      </c>
      <c r="L117" s="1">
        <f t="shared" si="11"/>
        <v>0.26221864903476394</v>
      </c>
      <c r="M117" s="1">
        <f t="shared" si="12"/>
        <v>0.49757748882533837</v>
      </c>
      <c r="N117" s="1">
        <f t="shared" si="13"/>
        <v>0.49776142502872334</v>
      </c>
      <c r="O117" s="1">
        <f t="shared" si="14"/>
        <v>0.49680717456254114</v>
      </c>
      <c r="P117" s="1">
        <f t="shared" si="15"/>
        <v>0.4970006837705736</v>
      </c>
      <c r="Q117" s="1">
        <f t="shared" si="16"/>
        <v>7.8339928669695267</v>
      </c>
      <c r="T117">
        <v>0.13742426178167644</v>
      </c>
      <c r="U117">
        <f t="shared" si="23"/>
        <v>7.2767354689427606</v>
      </c>
      <c r="V117" s="15">
        <f t="shared" si="17"/>
        <v>8.6013239205222372E-2</v>
      </c>
      <c r="W117" s="15">
        <f t="shared" si="18"/>
        <v>8.9838896918339309E-2</v>
      </c>
      <c r="X117" s="15">
        <f t="shared" si="19"/>
        <v>9.7490212344573099E-2</v>
      </c>
      <c r="Y117" s="15">
        <f t="shared" si="20"/>
        <v>0.12246684877383641</v>
      </c>
      <c r="Z117" s="15">
        <f t="shared" si="21"/>
        <v>0.12568469971083893</v>
      </c>
      <c r="AA117" s="15">
        <f t="shared" si="22"/>
        <v>0.13212040158484389</v>
      </c>
      <c r="AC117" s="1"/>
      <c r="AD117" s="1"/>
      <c r="AE117" s="1"/>
    </row>
    <row r="118" spans="1:31">
      <c r="A118">
        <v>262</v>
      </c>
      <c r="B118">
        <f t="shared" si="2"/>
        <v>5.9034381675132405E-2</v>
      </c>
      <c r="C118">
        <v>5.0081276153336685E-2</v>
      </c>
      <c r="D118">
        <f t="shared" si="3"/>
        <v>19.967542299406336</v>
      </c>
      <c r="E118" s="1">
        <f t="shared" si="4"/>
        <v>0.28327914923110886</v>
      </c>
      <c r="F118" s="1">
        <f t="shared" si="5"/>
        <v>0.33991872384666327</v>
      </c>
      <c r="G118" s="1">
        <f t="shared" si="6"/>
        <v>0.14823851115444053</v>
      </c>
      <c r="H118" s="1">
        <f t="shared" si="7"/>
        <v>0.14468848356465824</v>
      </c>
      <c r="I118" s="1">
        <f t="shared" si="8"/>
        <v>0.35468291303444915</v>
      </c>
      <c r="J118" s="1">
        <f t="shared" si="9"/>
        <v>0.39250393789620586</v>
      </c>
      <c r="K118" s="1">
        <f t="shared" si="10"/>
        <v>0.26439888573233772</v>
      </c>
      <c r="L118" s="1">
        <f t="shared" si="11"/>
        <v>0.26209669695859183</v>
      </c>
      <c r="M118" s="1">
        <f t="shared" si="12"/>
        <v>0.49749044064113002</v>
      </c>
      <c r="N118" s="1">
        <f t="shared" si="13"/>
        <v>0.49767436599529047</v>
      </c>
      <c r="O118" s="1">
        <f t="shared" si="14"/>
        <v>0.49671963488813181</v>
      </c>
      <c r="P118" s="1">
        <f t="shared" si="15"/>
        <v>0.49691312374645902</v>
      </c>
      <c r="Q118" s="1">
        <f t="shared" si="16"/>
        <v>7.8319787307777222</v>
      </c>
      <c r="T118">
        <v>0.68369146559167859</v>
      </c>
      <c r="U118">
        <f t="shared" si="23"/>
        <v>1.4626480661632693</v>
      </c>
      <c r="V118" s="15">
        <f t="shared" si="17"/>
        <v>0</v>
      </c>
      <c r="W118" s="15">
        <f t="shared" si="18"/>
        <v>0</v>
      </c>
      <c r="X118" s="15">
        <f t="shared" si="19"/>
        <v>0</v>
      </c>
      <c r="Y118" s="15">
        <f t="shared" si="20"/>
        <v>0</v>
      </c>
      <c r="Z118" s="15">
        <f t="shared" si="21"/>
        <v>0</v>
      </c>
      <c r="AA118" s="15">
        <f t="shared" si="22"/>
        <v>0</v>
      </c>
      <c r="AC118" s="1"/>
      <c r="AD118" s="1"/>
      <c r="AE118" s="1"/>
    </row>
    <row r="119" spans="1:31">
      <c r="A119">
        <v>989</v>
      </c>
      <c r="B119">
        <f t="shared" si="2"/>
        <v>6.3904751967294796E-2</v>
      </c>
      <c r="C119">
        <v>5.7037425924938323E-2</v>
      </c>
      <c r="D119">
        <f t="shared" si="3"/>
        <v>17.532347994034783</v>
      </c>
      <c r="E119" s="1">
        <f t="shared" si="4"/>
        <v>0.27864171605004112</v>
      </c>
      <c r="F119" s="1">
        <f t="shared" si="5"/>
        <v>0.33296257407506163</v>
      </c>
      <c r="G119" s="1">
        <f t="shared" si="6"/>
        <v>0.14012300308757197</v>
      </c>
      <c r="H119" s="1">
        <f t="shared" si="7"/>
        <v>0.13667897024507131</v>
      </c>
      <c r="I119" s="1">
        <f t="shared" si="8"/>
        <v>0.34992109544134742</v>
      </c>
      <c r="J119" s="1">
        <f t="shared" si="9"/>
        <v>0.38619610107843227</v>
      </c>
      <c r="K119" s="1">
        <f t="shared" si="10"/>
        <v>0.25730892131513783</v>
      </c>
      <c r="L119" s="1">
        <f t="shared" si="11"/>
        <v>0.25507700525599297</v>
      </c>
      <c r="M119" s="1">
        <f t="shared" si="12"/>
        <v>0.49247985422396029</v>
      </c>
      <c r="N119" s="1">
        <f t="shared" si="13"/>
        <v>0.49266315508517311</v>
      </c>
      <c r="O119" s="1">
        <f t="shared" si="14"/>
        <v>0.49168075777026937</v>
      </c>
      <c r="P119" s="1">
        <f t="shared" si="15"/>
        <v>0.49187307527783636</v>
      </c>
      <c r="Q119" s="1">
        <f t="shared" si="16"/>
        <v>7.7160429012510283</v>
      </c>
      <c r="T119">
        <v>0.5893850835534914</v>
      </c>
      <c r="U119">
        <f t="shared" si="23"/>
        <v>1.6966835909230167</v>
      </c>
      <c r="V119" s="15">
        <f t="shared" si="17"/>
        <v>0</v>
      </c>
      <c r="W119" s="15">
        <f t="shared" si="18"/>
        <v>0</v>
      </c>
      <c r="X119" s="15">
        <f t="shared" si="19"/>
        <v>0</v>
      </c>
      <c r="Y119" s="15">
        <f t="shared" si="20"/>
        <v>0</v>
      </c>
      <c r="Z119" s="15">
        <f t="shared" si="21"/>
        <v>0</v>
      </c>
      <c r="AA119" s="15">
        <f t="shared" si="22"/>
        <v>0</v>
      </c>
      <c r="AC119" s="1"/>
      <c r="AD119" s="1"/>
      <c r="AE119" s="1"/>
    </row>
    <row r="120" spans="1:31">
      <c r="A120">
        <v>648</v>
      </c>
      <c r="B120">
        <f t="shared" si="2"/>
        <v>6.3917030750506351E-2</v>
      </c>
      <c r="C120">
        <v>5.7095291397078918E-2</v>
      </c>
      <c r="D120">
        <f t="shared" si="3"/>
        <v>17.51457914533319</v>
      </c>
      <c r="E120" s="1">
        <f t="shared" si="4"/>
        <v>0.27860313906861406</v>
      </c>
      <c r="F120" s="1">
        <f t="shared" si="5"/>
        <v>0.33290470860292104</v>
      </c>
      <c r="G120" s="1">
        <f t="shared" si="6"/>
        <v>0.14005549337007461</v>
      </c>
      <c r="H120" s="1">
        <f t="shared" si="7"/>
        <v>0.13661234225615904</v>
      </c>
      <c r="I120" s="1">
        <f t="shared" si="8"/>
        <v>0.34988148375495204</v>
      </c>
      <c r="J120" s="1">
        <f t="shared" si="9"/>
        <v>0.38614362866659085</v>
      </c>
      <c r="K120" s="1">
        <f t="shared" si="10"/>
        <v>0.25724994269162743</v>
      </c>
      <c r="L120" s="1">
        <f t="shared" si="11"/>
        <v>0.2550186112035373</v>
      </c>
      <c r="M120" s="1">
        <f t="shared" si="12"/>
        <v>0.49243817312762816</v>
      </c>
      <c r="N120" s="1">
        <f t="shared" si="13"/>
        <v>0.49262146879392993</v>
      </c>
      <c r="O120" s="1">
        <f t="shared" si="14"/>
        <v>0.4916388413347329</v>
      </c>
      <c r="P120" s="1">
        <f t="shared" si="15"/>
        <v>0.4918311490982939</v>
      </c>
      <c r="Q120" s="1">
        <f t="shared" si="16"/>
        <v>7.7150784767153517</v>
      </c>
      <c r="T120">
        <v>0.33276725976565835</v>
      </c>
      <c r="U120">
        <f t="shared" si="23"/>
        <v>3.0051033286875062</v>
      </c>
      <c r="V120" s="15">
        <f t="shared" si="17"/>
        <v>6.8818605758449822E-2</v>
      </c>
      <c r="W120" s="15">
        <f t="shared" si="18"/>
        <v>7.3486328444009971E-2</v>
      </c>
      <c r="X120" s="15">
        <f t="shared" si="19"/>
        <v>8.2821773815130256E-2</v>
      </c>
      <c r="Y120" s="15">
        <f t="shared" si="20"/>
        <v>9.7026106946164425E-2</v>
      </c>
      <c r="Z120" s="15">
        <f t="shared" si="21"/>
        <v>0.10110795739575411</v>
      </c>
      <c r="AA120" s="15">
        <f t="shared" si="22"/>
        <v>0.10927165829493352</v>
      </c>
      <c r="AC120" s="1"/>
      <c r="AD120" s="1"/>
      <c r="AE120" s="1"/>
    </row>
    <row r="121" spans="1:31">
      <c r="A121">
        <v>125</v>
      </c>
      <c r="B121">
        <f t="shared" si="2"/>
        <v>6.4123711786489498E-2</v>
      </c>
      <c r="C121">
        <v>5.8208526058433074E-2</v>
      </c>
      <c r="D121">
        <f t="shared" si="3"/>
        <v>17.179613842070875</v>
      </c>
      <c r="E121" s="1">
        <f t="shared" si="4"/>
        <v>0.27786098262771125</v>
      </c>
      <c r="F121" s="1">
        <f t="shared" si="5"/>
        <v>0.33179147394156688</v>
      </c>
      <c r="G121" s="1">
        <f t="shared" si="6"/>
        <v>0.13875671959849475</v>
      </c>
      <c r="H121" s="1">
        <f t="shared" si="7"/>
        <v>0.13533053146416843</v>
      </c>
      <c r="I121" s="1">
        <f t="shared" si="8"/>
        <v>0.34911942132534074</v>
      </c>
      <c r="J121" s="1">
        <f t="shared" si="9"/>
        <v>0.38513414744288588</v>
      </c>
      <c r="K121" s="1">
        <f t="shared" si="10"/>
        <v>0.25611529286433121</v>
      </c>
      <c r="L121" s="1">
        <f t="shared" si="11"/>
        <v>0.25389520754318834</v>
      </c>
      <c r="M121" s="1">
        <f t="shared" si="12"/>
        <v>0.49163629872059977</v>
      </c>
      <c r="N121" s="1">
        <f t="shared" si="13"/>
        <v>0.49181949444552336</v>
      </c>
      <c r="O121" s="1">
        <f t="shared" si="14"/>
        <v>0.49083243939600391</v>
      </c>
      <c r="P121" s="1">
        <f t="shared" si="15"/>
        <v>0.49102455970122805</v>
      </c>
      <c r="Q121" s="1">
        <f t="shared" si="16"/>
        <v>7.6965245656927825</v>
      </c>
      <c r="T121">
        <v>0.72571712194250115</v>
      </c>
      <c r="U121">
        <f t="shared" si="23"/>
        <v>1.3779473706274639</v>
      </c>
      <c r="V121" s="15">
        <f t="shared" si="17"/>
        <v>0</v>
      </c>
      <c r="W121" s="15">
        <f t="shared" si="18"/>
        <v>0</v>
      </c>
      <c r="X121" s="15">
        <f t="shared" si="19"/>
        <v>0</v>
      </c>
      <c r="Y121" s="15">
        <f t="shared" si="20"/>
        <v>0</v>
      </c>
      <c r="Z121" s="15">
        <f t="shared" si="21"/>
        <v>0</v>
      </c>
      <c r="AA121" s="15">
        <f t="shared" si="22"/>
        <v>0</v>
      </c>
      <c r="AC121" s="1"/>
      <c r="AD121" s="1"/>
      <c r="AE121" s="1"/>
    </row>
    <row r="122" spans="1:31">
      <c r="A122">
        <v>475</v>
      </c>
      <c r="B122">
        <f t="shared" si="2"/>
        <v>6.4138412016868013E-2</v>
      </c>
      <c r="C122">
        <v>5.8220684429841185E-2</v>
      </c>
      <c r="D122">
        <f t="shared" si="3"/>
        <v>17.176026180266735</v>
      </c>
      <c r="E122" s="1">
        <f t="shared" si="4"/>
        <v>0.27785287704677253</v>
      </c>
      <c r="F122" s="1">
        <f t="shared" si="5"/>
        <v>0.33177931557015877</v>
      </c>
      <c r="G122" s="1">
        <f t="shared" si="6"/>
        <v>0.13874253483185195</v>
      </c>
      <c r="H122" s="1">
        <f t="shared" si="7"/>
        <v>0.13531653196143556</v>
      </c>
      <c r="I122" s="1">
        <f t="shared" si="8"/>
        <v>0.34911109833794457</v>
      </c>
      <c r="J122" s="1">
        <f t="shared" si="9"/>
        <v>0.38512312223133488</v>
      </c>
      <c r="K122" s="1">
        <f t="shared" si="10"/>
        <v>0.25610290060374385</v>
      </c>
      <c r="L122" s="1">
        <f t="shared" si="11"/>
        <v>0.25388293810942208</v>
      </c>
      <c r="M122" s="1">
        <f t="shared" si="12"/>
        <v>0.49162754092028887</v>
      </c>
      <c r="N122" s="1">
        <f t="shared" si="13"/>
        <v>0.4918107355536866</v>
      </c>
      <c r="O122" s="1">
        <f t="shared" si="14"/>
        <v>0.49082363214752733</v>
      </c>
      <c r="P122" s="1">
        <f t="shared" si="15"/>
        <v>0.49101575040539508</v>
      </c>
      <c r="Q122" s="1">
        <f t="shared" si="16"/>
        <v>7.6963219261693139</v>
      </c>
      <c r="T122">
        <v>0.84388785268508604</v>
      </c>
      <c r="U122">
        <f t="shared" si="23"/>
        <v>1.1849915801231119</v>
      </c>
      <c r="V122" s="15">
        <f t="shared" si="17"/>
        <v>0</v>
      </c>
      <c r="W122" s="15">
        <f t="shared" si="18"/>
        <v>0</v>
      </c>
      <c r="X122" s="15">
        <f t="shared" si="19"/>
        <v>0</v>
      </c>
      <c r="Y122" s="15">
        <f t="shared" si="20"/>
        <v>0</v>
      </c>
      <c r="Z122" s="15">
        <f t="shared" si="21"/>
        <v>0</v>
      </c>
      <c r="AA122" s="15">
        <f t="shared" si="22"/>
        <v>0</v>
      </c>
      <c r="AC122" s="1"/>
      <c r="AD122" s="1"/>
      <c r="AE122" s="1"/>
    </row>
    <row r="123" spans="1:31">
      <c r="A123">
        <v>511</v>
      </c>
      <c r="B123">
        <f t="shared" si="2"/>
        <v>6.4264180442555538E-2</v>
      </c>
      <c r="C123">
        <v>5.8324705876549698E-2</v>
      </c>
      <c r="D123">
        <f t="shared" si="3"/>
        <v>17.145392933769848</v>
      </c>
      <c r="E123" s="1">
        <f t="shared" si="4"/>
        <v>0.2777835294156335</v>
      </c>
      <c r="F123" s="1">
        <f t="shared" si="5"/>
        <v>0.33167529412345026</v>
      </c>
      <c r="G123" s="1">
        <f t="shared" si="6"/>
        <v>0.13862117647735869</v>
      </c>
      <c r="H123" s="1">
        <f t="shared" si="7"/>
        <v>0.13519675863994443</v>
      </c>
      <c r="I123" s="1">
        <f t="shared" si="8"/>
        <v>0.34903989067691654</v>
      </c>
      <c r="J123" s="1">
        <f t="shared" si="9"/>
        <v>0.38502879558039582</v>
      </c>
      <c r="K123" s="1">
        <f t="shared" si="10"/>
        <v>0.2559968781085411</v>
      </c>
      <c r="L123" s="1">
        <f t="shared" si="11"/>
        <v>0.25377796646414025</v>
      </c>
      <c r="M123" s="1">
        <f t="shared" si="12"/>
        <v>0.49155261319948279</v>
      </c>
      <c r="N123" s="1">
        <f t="shared" si="13"/>
        <v>0.49173579849428634</v>
      </c>
      <c r="O123" s="1">
        <f t="shared" si="14"/>
        <v>0.4907482813709057</v>
      </c>
      <c r="P123" s="1">
        <f t="shared" si="15"/>
        <v>0.49094038211253177</v>
      </c>
      <c r="Q123" s="1">
        <f t="shared" si="16"/>
        <v>7.6945882353908388</v>
      </c>
      <c r="T123">
        <v>0.69519108706709776</v>
      </c>
      <c r="U123">
        <f t="shared" si="23"/>
        <v>1.4384534246819005</v>
      </c>
      <c r="V123" s="15">
        <f t="shared" si="17"/>
        <v>0</v>
      </c>
      <c r="W123" s="15">
        <f t="shared" si="18"/>
        <v>0</v>
      </c>
      <c r="X123" s="15">
        <f t="shared" si="19"/>
        <v>0</v>
      </c>
      <c r="Y123" s="15">
        <f t="shared" si="20"/>
        <v>0</v>
      </c>
      <c r="Z123" s="15">
        <f t="shared" si="21"/>
        <v>0</v>
      </c>
      <c r="AA123" s="15">
        <f t="shared" si="22"/>
        <v>0</v>
      </c>
      <c r="AC123" s="1"/>
      <c r="AD123" s="1"/>
      <c r="AE123" s="1"/>
    </row>
    <row r="124" spans="1:31">
      <c r="A124">
        <v>254</v>
      </c>
      <c r="B124">
        <f t="shared" si="2"/>
        <v>6.443934144550599E-2</v>
      </c>
      <c r="C124">
        <v>5.8469579288411344E-2</v>
      </c>
      <c r="D124">
        <f t="shared" si="3"/>
        <v>17.102910815679493</v>
      </c>
      <c r="E124" s="1">
        <f t="shared" si="4"/>
        <v>0.27768694714105907</v>
      </c>
      <c r="F124" s="1">
        <f t="shared" si="5"/>
        <v>0.33153042071158861</v>
      </c>
      <c r="G124" s="1">
        <f t="shared" si="6"/>
        <v>0.13845215749685344</v>
      </c>
      <c r="H124" s="1">
        <f t="shared" si="7"/>
        <v>0.13502994717669833</v>
      </c>
      <c r="I124" s="1">
        <f t="shared" si="8"/>
        <v>0.34894071788966696</v>
      </c>
      <c r="J124" s="1">
        <f t="shared" si="9"/>
        <v>0.38489742436625257</v>
      </c>
      <c r="K124" s="1">
        <f t="shared" si="10"/>
        <v>0.25584921778367425</v>
      </c>
      <c r="L124" s="1">
        <f t="shared" si="11"/>
        <v>0.25363176968566886</v>
      </c>
      <c r="M124" s="1">
        <f t="shared" si="12"/>
        <v>0.4914482593868828</v>
      </c>
      <c r="N124" s="1">
        <f t="shared" si="13"/>
        <v>0.49163143167557999</v>
      </c>
      <c r="O124" s="1">
        <f t="shared" si="14"/>
        <v>0.49064333835731555</v>
      </c>
      <c r="P124" s="1">
        <f t="shared" si="15"/>
        <v>0.49083541470360992</v>
      </c>
      <c r="Q124" s="1">
        <f t="shared" si="16"/>
        <v>7.692173678526478</v>
      </c>
      <c r="T124">
        <v>0.10083582206173869</v>
      </c>
      <c r="U124">
        <f t="shared" si="23"/>
        <v>9.9171106017039321</v>
      </c>
      <c r="V124" s="15">
        <f t="shared" si="17"/>
        <v>9.0988617954237558E-2</v>
      </c>
      <c r="W124" s="15">
        <f t="shared" si="18"/>
        <v>9.4524285755772958E-2</v>
      </c>
      <c r="X124" s="15">
        <f t="shared" si="19"/>
        <v>0.10159562135884351</v>
      </c>
      <c r="Y124" s="15">
        <f t="shared" si="20"/>
        <v>0.12982591772773067</v>
      </c>
      <c r="Z124" s="15">
        <f t="shared" si="21"/>
        <v>0.13274078587712584</v>
      </c>
      <c r="AA124" s="15">
        <f t="shared" si="22"/>
        <v>0.13857052217591601</v>
      </c>
      <c r="AC124" s="1"/>
      <c r="AD124" s="1"/>
      <c r="AE124" s="1"/>
    </row>
    <row r="125" spans="1:31">
      <c r="A125">
        <v>309</v>
      </c>
      <c r="B125">
        <f t="shared" si="2"/>
        <v>6.5112786227611671E-2</v>
      </c>
      <c r="C125">
        <v>5.9026576802930442E-2</v>
      </c>
      <c r="D125">
        <f t="shared" si="3"/>
        <v>16.941521161538098</v>
      </c>
      <c r="E125" s="1">
        <f t="shared" si="4"/>
        <v>0.27731561546471301</v>
      </c>
      <c r="F125" s="1">
        <f t="shared" si="5"/>
        <v>0.33097342319706952</v>
      </c>
      <c r="G125" s="1">
        <f t="shared" si="6"/>
        <v>0.13780232706324783</v>
      </c>
      <c r="H125" s="1">
        <f t="shared" si="7"/>
        <v>0.13438860402596134</v>
      </c>
      <c r="I125" s="1">
        <f t="shared" si="8"/>
        <v>0.34855942642081744</v>
      </c>
      <c r="J125" s="1">
        <f t="shared" si="9"/>
        <v>0.38439233900368097</v>
      </c>
      <c r="K125" s="1">
        <f t="shared" si="10"/>
        <v>0.25528150537263167</v>
      </c>
      <c r="L125" s="1">
        <f t="shared" si="11"/>
        <v>0.25306968419880943</v>
      </c>
      <c r="M125" s="1">
        <f t="shared" si="12"/>
        <v>0.49104704833302648</v>
      </c>
      <c r="N125" s="1">
        <f t="shared" si="13"/>
        <v>0.49123017061690327</v>
      </c>
      <c r="O125" s="1">
        <f t="shared" si="14"/>
        <v>0.49023986199139907</v>
      </c>
      <c r="P125" s="1">
        <f t="shared" si="15"/>
        <v>0.49043184454450561</v>
      </c>
      <c r="Q125" s="1">
        <f t="shared" si="16"/>
        <v>7.6828903866178262</v>
      </c>
      <c r="T125">
        <v>0.62072157769400271</v>
      </c>
      <c r="U125">
        <f t="shared" si="23"/>
        <v>1.6110282547531645</v>
      </c>
      <c r="V125" s="15">
        <f t="shared" si="17"/>
        <v>0</v>
      </c>
      <c r="W125" s="15">
        <f t="shared" si="18"/>
        <v>0</v>
      </c>
      <c r="X125" s="15">
        <f t="shared" si="19"/>
        <v>0</v>
      </c>
      <c r="Y125" s="15">
        <f t="shared" si="20"/>
        <v>0</v>
      </c>
      <c r="Z125" s="15">
        <f t="shared" si="21"/>
        <v>0</v>
      </c>
      <c r="AA125" s="15">
        <f t="shared" si="22"/>
        <v>0</v>
      </c>
      <c r="AC125" s="1"/>
      <c r="AD125" s="1"/>
      <c r="AE125" s="1"/>
    </row>
    <row r="126" spans="1:31">
      <c r="A126">
        <v>322</v>
      </c>
      <c r="B126">
        <f t="shared" si="2"/>
        <v>6.5286034131067094E-2</v>
      </c>
      <c r="C126">
        <v>5.9276774043845792E-2</v>
      </c>
      <c r="D126">
        <f t="shared" si="3"/>
        <v>16.870013865132417</v>
      </c>
      <c r="E126" s="1">
        <f t="shared" si="4"/>
        <v>0.27714881730410279</v>
      </c>
      <c r="F126" s="1">
        <f t="shared" si="5"/>
        <v>0.33072322595615417</v>
      </c>
      <c r="G126" s="1">
        <f t="shared" si="6"/>
        <v>0.13751043028217991</v>
      </c>
      <c r="H126" s="1">
        <f t="shared" si="7"/>
        <v>0.13410051964028341</v>
      </c>
      <c r="I126" s="1">
        <f t="shared" si="8"/>
        <v>0.34838815442946386</v>
      </c>
      <c r="J126" s="1">
        <f t="shared" si="9"/>
        <v>0.38416546013824965</v>
      </c>
      <c r="K126" s="1">
        <f t="shared" si="10"/>
        <v>0.25502649511643888</v>
      </c>
      <c r="L126" s="1">
        <f t="shared" si="11"/>
        <v>0.25281720149591586</v>
      </c>
      <c r="M126" s="1">
        <f t="shared" si="12"/>
        <v>0.49086682868018611</v>
      </c>
      <c r="N126" s="1">
        <f t="shared" si="13"/>
        <v>0.49104992850244006</v>
      </c>
      <c r="O126" s="1">
        <f t="shared" si="14"/>
        <v>0.4900586247849566</v>
      </c>
      <c r="P126" s="1">
        <f t="shared" si="15"/>
        <v>0.49025056520718069</v>
      </c>
      <c r="Q126" s="1">
        <f t="shared" si="16"/>
        <v>7.67872043260257</v>
      </c>
      <c r="T126">
        <v>0.81157222714383004</v>
      </c>
      <c r="U126">
        <f t="shared" si="23"/>
        <v>1.2321762211101095</v>
      </c>
      <c r="V126" s="15">
        <f t="shared" si="17"/>
        <v>0</v>
      </c>
      <c r="W126" s="15">
        <f t="shared" si="18"/>
        <v>0</v>
      </c>
      <c r="X126" s="15">
        <f t="shared" si="19"/>
        <v>0</v>
      </c>
      <c r="Y126" s="15">
        <f t="shared" si="20"/>
        <v>0</v>
      </c>
      <c r="Z126" s="15">
        <f t="shared" si="21"/>
        <v>0</v>
      </c>
      <c r="AA126" s="15">
        <f t="shared" si="22"/>
        <v>0</v>
      </c>
      <c r="AC126" s="1"/>
      <c r="AD126" s="1"/>
      <c r="AE126" s="1"/>
    </row>
    <row r="127" spans="1:31">
      <c r="A127">
        <v>720</v>
      </c>
      <c r="B127">
        <f t="shared" si="2"/>
        <v>6.5909927804486415E-2</v>
      </c>
      <c r="C127">
        <v>6.062971397601824E-2</v>
      </c>
      <c r="D127">
        <f t="shared" si="3"/>
        <v>16.493562882311217</v>
      </c>
      <c r="E127" s="1">
        <f t="shared" si="4"/>
        <v>0.27624685734932114</v>
      </c>
      <c r="F127" s="1">
        <f t="shared" si="5"/>
        <v>0.32937028602398172</v>
      </c>
      <c r="G127" s="1">
        <f t="shared" si="6"/>
        <v>0.13593200036131206</v>
      </c>
      <c r="H127" s="1">
        <f t="shared" si="7"/>
        <v>0.1325427052223743</v>
      </c>
      <c r="I127" s="1">
        <f t="shared" si="8"/>
        <v>0.34746200226440699</v>
      </c>
      <c r="J127" s="1">
        <f t="shared" si="9"/>
        <v>0.38293861416790642</v>
      </c>
      <c r="K127" s="1">
        <f t="shared" si="10"/>
        <v>0.25364752883585767</v>
      </c>
      <c r="L127" s="1">
        <f t="shared" si="11"/>
        <v>0.25145190294315067</v>
      </c>
      <c r="M127" s="1">
        <f t="shared" si="12"/>
        <v>0.4898922920945788</v>
      </c>
      <c r="N127" s="1">
        <f t="shared" si="13"/>
        <v>0.49007527045575527</v>
      </c>
      <c r="O127" s="1">
        <f t="shared" si="14"/>
        <v>0.48907858578494862</v>
      </c>
      <c r="P127" s="1">
        <f t="shared" si="15"/>
        <v>0.48927029838470337</v>
      </c>
      <c r="Q127" s="1">
        <f t="shared" si="16"/>
        <v>7.6561714337330296</v>
      </c>
      <c r="T127">
        <v>0.48535461823331005</v>
      </c>
      <c r="U127">
        <f t="shared" si="23"/>
        <v>2.060349201250002</v>
      </c>
      <c r="V127" s="15">
        <f t="shared" si="17"/>
        <v>5.8836560321873066E-2</v>
      </c>
      <c r="W127" s="15">
        <f t="shared" si="18"/>
        <v>6.3902058291485597E-2</v>
      </c>
      <c r="X127" s="15">
        <f t="shared" si="19"/>
        <v>7.4033054230710479E-2</v>
      </c>
      <c r="Y127" s="15">
        <f t="shared" si="20"/>
        <v>8.225225892364392E-2</v>
      </c>
      <c r="Z127" s="15">
        <f t="shared" si="21"/>
        <v>8.6731555210702305E-2</v>
      </c>
      <c r="AA127" s="15">
        <f t="shared" si="22"/>
        <v>9.5690147784819019E-2</v>
      </c>
      <c r="AC127" s="1"/>
      <c r="AD127" s="1"/>
      <c r="AE127" s="1"/>
    </row>
    <row r="128" spans="1:31">
      <c r="A128">
        <v>185</v>
      </c>
      <c r="B128">
        <f t="shared" si="2"/>
        <v>6.5967280195631639E-2</v>
      </c>
      <c r="C128">
        <v>6.0859978749935872E-2</v>
      </c>
      <c r="D128">
        <f t="shared" si="3"/>
        <v>16.43115920412729</v>
      </c>
      <c r="E128" s="1">
        <f t="shared" si="4"/>
        <v>0.27609334750004272</v>
      </c>
      <c r="F128" s="1">
        <f t="shared" si="5"/>
        <v>0.32914002125006409</v>
      </c>
      <c r="G128" s="1">
        <f t="shared" si="6"/>
        <v>0.13566335812507482</v>
      </c>
      <c r="H128" s="1">
        <f t="shared" si="7"/>
        <v>0.13227757165937162</v>
      </c>
      <c r="I128" s="1">
        <f t="shared" si="8"/>
        <v>0.34730437500111994</v>
      </c>
      <c r="J128" s="1">
        <f t="shared" si="9"/>
        <v>0.38272981006413576</v>
      </c>
      <c r="K128" s="1">
        <f t="shared" si="10"/>
        <v>0.25341283448521623</v>
      </c>
      <c r="L128" s="1">
        <f t="shared" si="11"/>
        <v>0.25121953478318532</v>
      </c>
      <c r="M128" s="1">
        <f t="shared" si="12"/>
        <v>0.48972643000327437</v>
      </c>
      <c r="N128" s="1">
        <f t="shared" si="13"/>
        <v>0.48990938769227849</v>
      </c>
      <c r="O128" s="1">
        <f t="shared" si="14"/>
        <v>0.48891178720549883</v>
      </c>
      <c r="P128" s="1">
        <f t="shared" si="15"/>
        <v>0.48910346103081265</v>
      </c>
      <c r="Q128" s="1">
        <f t="shared" si="16"/>
        <v>7.652333687501069</v>
      </c>
      <c r="T128">
        <v>0.42116550018975585</v>
      </c>
      <c r="U128">
        <f t="shared" si="23"/>
        <v>2.3743635211085681</v>
      </c>
      <c r="V128" s="15">
        <f t="shared" si="17"/>
        <v>6.3035720064063522E-2</v>
      </c>
      <c r="W128" s="15">
        <f t="shared" si="18"/>
        <v>6.7933885399313304E-2</v>
      </c>
      <c r="X128" s="15">
        <f t="shared" si="19"/>
        <v>7.773021606981273E-2</v>
      </c>
      <c r="Y128" s="15">
        <f t="shared" si="20"/>
        <v>8.8467192350623336E-2</v>
      </c>
      <c r="Z128" s="15">
        <f t="shared" si="21"/>
        <v>9.2779294592032088E-2</v>
      </c>
      <c r="AA128" s="15">
        <f t="shared" si="22"/>
        <v>0.10140349907484957</v>
      </c>
      <c r="AC128" s="1"/>
      <c r="AD128" s="1"/>
      <c r="AE128" s="1"/>
    </row>
    <row r="129" spans="1:31">
      <c r="A129">
        <v>825</v>
      </c>
      <c r="B129">
        <f t="shared" si="2"/>
        <v>6.6081758928521375E-2</v>
      </c>
      <c r="C129">
        <v>6.1113731206242305E-2</v>
      </c>
      <c r="D129">
        <f t="shared" si="3"/>
        <v>16.362934814522625</v>
      </c>
      <c r="E129" s="1">
        <f t="shared" si="4"/>
        <v>0.27592417919583845</v>
      </c>
      <c r="F129" s="1">
        <f t="shared" si="5"/>
        <v>0.32888626879375765</v>
      </c>
      <c r="G129" s="1">
        <f t="shared" si="6"/>
        <v>0.13536731359271731</v>
      </c>
      <c r="H129" s="1">
        <f t="shared" si="7"/>
        <v>0.13198539369521081</v>
      </c>
      <c r="I129" s="1">
        <f t="shared" si="8"/>
        <v>0.34713066929460024</v>
      </c>
      <c r="J129" s="1">
        <f t="shared" si="9"/>
        <v>0.38249970732928307</v>
      </c>
      <c r="K129" s="1">
        <f t="shared" si="10"/>
        <v>0.25315420062236665</v>
      </c>
      <c r="L129" s="1">
        <f t="shared" si="11"/>
        <v>0.2509634643892843</v>
      </c>
      <c r="M129" s="1">
        <f t="shared" si="12"/>
        <v>0.48954364949212392</v>
      </c>
      <c r="N129" s="1">
        <f t="shared" si="13"/>
        <v>0.4897265844003334</v>
      </c>
      <c r="O129" s="1">
        <f t="shared" si="14"/>
        <v>0.48872797468166501</v>
      </c>
      <c r="P129" s="1">
        <f t="shared" si="15"/>
        <v>0.48891960577743132</v>
      </c>
      <c r="Q129" s="1">
        <f t="shared" si="16"/>
        <v>7.6481044798959612</v>
      </c>
      <c r="T129">
        <v>5.5811657437218831E-2</v>
      </c>
      <c r="U129">
        <f t="shared" si="23"/>
        <v>17.917403745353297</v>
      </c>
      <c r="V129" s="15">
        <f t="shared" si="17"/>
        <v>0.10138625990895683</v>
      </c>
      <c r="W129" s="15">
        <f t="shared" si="18"/>
        <v>0.10423290103566726</v>
      </c>
      <c r="X129" s="15">
        <f t="shared" si="19"/>
        <v>0.10992618328908806</v>
      </c>
      <c r="Y129" s="15">
        <f t="shared" si="20"/>
        <v>0.1451877214693158</v>
      </c>
      <c r="Z129" s="15">
        <f t="shared" si="21"/>
        <v>0.14737625695658918</v>
      </c>
      <c r="AA129" s="15">
        <f t="shared" si="22"/>
        <v>0.15175332793113611</v>
      </c>
      <c r="AC129" s="1"/>
      <c r="AD129" s="1"/>
      <c r="AE129" s="1"/>
    </row>
    <row r="130" spans="1:31">
      <c r="A130">
        <v>477</v>
      </c>
      <c r="B130">
        <f t="shared" si="2"/>
        <v>6.7285668928076442E-2</v>
      </c>
      <c r="C130">
        <v>6.2103059592170107E-2</v>
      </c>
      <c r="D130">
        <f t="shared" si="3"/>
        <v>16.102266242065777</v>
      </c>
      <c r="E130" s="1">
        <f t="shared" si="4"/>
        <v>0.27526462693855325</v>
      </c>
      <c r="F130" s="1">
        <f t="shared" si="5"/>
        <v>0.32789694040782985</v>
      </c>
      <c r="G130" s="1">
        <f t="shared" si="6"/>
        <v>0.13421309714246821</v>
      </c>
      <c r="H130" s="1">
        <f t="shared" si="7"/>
        <v>0.13084625219528453</v>
      </c>
      <c r="I130" s="1">
        <f t="shared" si="8"/>
        <v>0.34645342664339995</v>
      </c>
      <c r="J130" s="1">
        <f t="shared" si="9"/>
        <v>0.38160258431978422</v>
      </c>
      <c r="K130" s="1">
        <f t="shared" si="10"/>
        <v>0.25214584064113255</v>
      </c>
      <c r="L130" s="1">
        <f t="shared" si="11"/>
        <v>0.24996509884370696</v>
      </c>
      <c r="M130" s="1">
        <f t="shared" si="12"/>
        <v>0.48883102605309342</v>
      </c>
      <c r="N130" s="1">
        <f t="shared" si="13"/>
        <v>0.48901387214369252</v>
      </c>
      <c r="O130" s="1">
        <f t="shared" si="14"/>
        <v>0.48801132763846089</v>
      </c>
      <c r="P130" s="1">
        <f t="shared" si="15"/>
        <v>0.48820279214055179</v>
      </c>
      <c r="Q130" s="1">
        <f t="shared" si="16"/>
        <v>7.6316156734638314</v>
      </c>
      <c r="T130">
        <v>0.93535681812790528</v>
      </c>
      <c r="U130">
        <f t="shared" si="23"/>
        <v>1.0691107186255151</v>
      </c>
      <c r="V130" s="15">
        <f t="shared" si="17"/>
        <v>0</v>
      </c>
      <c r="W130" s="15">
        <f t="shared" si="18"/>
        <v>0</v>
      </c>
      <c r="X130" s="15">
        <f t="shared" si="19"/>
        <v>0</v>
      </c>
      <c r="Y130" s="15">
        <f t="shared" si="20"/>
        <v>0</v>
      </c>
      <c r="Z130" s="15">
        <f t="shared" si="21"/>
        <v>0</v>
      </c>
      <c r="AA130" s="15">
        <f t="shared" si="22"/>
        <v>0</v>
      </c>
      <c r="AC130" s="1"/>
      <c r="AD130" s="1"/>
      <c r="AE130" s="1"/>
    </row>
    <row r="131" spans="1:31">
      <c r="A131">
        <v>818</v>
      </c>
      <c r="B131">
        <f t="shared" si="2"/>
        <v>6.8505010651344525E-2</v>
      </c>
      <c r="C131">
        <v>6.3340076644482268E-2</v>
      </c>
      <c r="D131">
        <f t="shared" si="3"/>
        <v>15.78779270528579</v>
      </c>
      <c r="E131" s="1">
        <f t="shared" si="4"/>
        <v>0.27443994890367845</v>
      </c>
      <c r="F131" s="1">
        <f t="shared" si="5"/>
        <v>0.32665992335551769</v>
      </c>
      <c r="G131" s="1">
        <f t="shared" si="6"/>
        <v>0.13276991058143736</v>
      </c>
      <c r="H131" s="1">
        <f t="shared" si="7"/>
        <v>0.12942191475541237</v>
      </c>
      <c r="I131" s="1">
        <f t="shared" si="8"/>
        <v>0.34560662924022806</v>
      </c>
      <c r="J131" s="1">
        <f t="shared" si="9"/>
        <v>0.38048085722031272</v>
      </c>
      <c r="K131" s="1">
        <f t="shared" si="10"/>
        <v>0.25088502723539369</v>
      </c>
      <c r="L131" s="1">
        <f t="shared" si="11"/>
        <v>0.2487167820846948</v>
      </c>
      <c r="M131" s="1">
        <f t="shared" si="12"/>
        <v>0.48793998991332732</v>
      </c>
      <c r="N131" s="1">
        <f t="shared" si="13"/>
        <v>0.48812272494990222</v>
      </c>
      <c r="O131" s="1">
        <f t="shared" si="14"/>
        <v>0.48711526054330601</v>
      </c>
      <c r="P131" s="1">
        <f t="shared" si="15"/>
        <v>0.48730651674325964</v>
      </c>
      <c r="Q131" s="1">
        <f t="shared" si="16"/>
        <v>7.6109987225919626</v>
      </c>
      <c r="T131">
        <v>0.89010873216400588</v>
      </c>
      <c r="U131">
        <f t="shared" si="23"/>
        <v>1.1234582516327301</v>
      </c>
      <c r="V131" s="15">
        <f t="shared" si="17"/>
        <v>0</v>
      </c>
      <c r="W131" s="15">
        <f t="shared" si="18"/>
        <v>0</v>
      </c>
      <c r="X131" s="15">
        <f t="shared" si="19"/>
        <v>0</v>
      </c>
      <c r="Y131" s="15">
        <f t="shared" si="20"/>
        <v>0</v>
      </c>
      <c r="Z131" s="15">
        <f t="shared" si="21"/>
        <v>0</v>
      </c>
      <c r="AA131" s="15">
        <f t="shared" si="22"/>
        <v>0</v>
      </c>
      <c r="AC131" s="1"/>
      <c r="AD131" s="1"/>
      <c r="AE131" s="1"/>
    </row>
    <row r="132" spans="1:31">
      <c r="A132">
        <v>13</v>
      </c>
      <c r="B132">
        <f t="shared" si="2"/>
        <v>6.8874944971693081E-2</v>
      </c>
      <c r="C132">
        <v>6.3916047622702421E-2</v>
      </c>
      <c r="D132">
        <f t="shared" si="3"/>
        <v>15.645523107170487</v>
      </c>
      <c r="E132" s="1">
        <f t="shared" si="4"/>
        <v>0.27405596825153172</v>
      </c>
      <c r="F132" s="1">
        <f t="shared" si="5"/>
        <v>0.32608395237729759</v>
      </c>
      <c r="G132" s="1">
        <f t="shared" si="6"/>
        <v>0.13209794444018053</v>
      </c>
      <c r="H132" s="1">
        <f t="shared" si="7"/>
        <v>0.12875872500630958</v>
      </c>
      <c r="I132" s="1">
        <f t="shared" si="8"/>
        <v>0.34521234952698759</v>
      </c>
      <c r="J132" s="1">
        <f t="shared" si="9"/>
        <v>0.3799585667202981</v>
      </c>
      <c r="K132" s="1">
        <f t="shared" si="10"/>
        <v>0.25029797637033152</v>
      </c>
      <c r="L132" s="1">
        <f t="shared" si="11"/>
        <v>0.24813554981835462</v>
      </c>
      <c r="M132" s="1">
        <f t="shared" si="12"/>
        <v>0.4875251120778995</v>
      </c>
      <c r="N132" s="1">
        <f t="shared" si="13"/>
        <v>0.48770779540629877</v>
      </c>
      <c r="O132" s="1">
        <f t="shared" si="14"/>
        <v>0.48669804023063323</v>
      </c>
      <c r="P132" s="1">
        <f t="shared" si="15"/>
        <v>0.48688919944244463</v>
      </c>
      <c r="Q132" s="1">
        <f t="shared" si="16"/>
        <v>7.6013992062882929</v>
      </c>
      <c r="T132">
        <v>0.66454746116820163</v>
      </c>
      <c r="U132">
        <f t="shared" si="23"/>
        <v>1.504783417939946</v>
      </c>
      <c r="V132" s="15">
        <f t="shared" si="17"/>
        <v>0</v>
      </c>
      <c r="W132" s="15">
        <f t="shared" si="18"/>
        <v>0</v>
      </c>
      <c r="X132" s="15">
        <f t="shared" si="19"/>
        <v>0</v>
      </c>
      <c r="Y132" s="15">
        <f t="shared" si="20"/>
        <v>0</v>
      </c>
      <c r="Z132" s="15">
        <f t="shared" si="21"/>
        <v>0</v>
      </c>
      <c r="AA132" s="15">
        <f t="shared" si="22"/>
        <v>0</v>
      </c>
      <c r="AC132" s="1"/>
      <c r="AD132" s="1"/>
      <c r="AE132" s="1"/>
    </row>
    <row r="133" spans="1:31">
      <c r="A133">
        <v>821</v>
      </c>
      <c r="B133">
        <f t="shared" si="2"/>
        <v>6.8891476572734686E-2</v>
      </c>
      <c r="C133">
        <v>6.3941786576618642E-2</v>
      </c>
      <c r="D133">
        <f t="shared" si="3"/>
        <v>15.639225200593103</v>
      </c>
      <c r="E133" s="1">
        <f t="shared" si="4"/>
        <v>0.27403880894892091</v>
      </c>
      <c r="F133" s="1">
        <f t="shared" si="5"/>
        <v>0.32605821342338137</v>
      </c>
      <c r="G133" s="1">
        <f t="shared" si="6"/>
        <v>0.1320679156606116</v>
      </c>
      <c r="H133" s="1">
        <f t="shared" si="7"/>
        <v>0.12872908842558703</v>
      </c>
      <c r="I133" s="1">
        <f t="shared" si="8"/>
        <v>0.34519472998059908</v>
      </c>
      <c r="J133" s="1">
        <f t="shared" si="9"/>
        <v>0.37993522663612878</v>
      </c>
      <c r="K133" s="1">
        <f t="shared" si="10"/>
        <v>0.25027174227914689</v>
      </c>
      <c r="L133" s="1">
        <f t="shared" si="11"/>
        <v>0.24810957574833431</v>
      </c>
      <c r="M133" s="1">
        <f t="shared" si="12"/>
        <v>0.48750657204395553</v>
      </c>
      <c r="N133" s="1">
        <f t="shared" si="13"/>
        <v>0.4876892530616232</v>
      </c>
      <c r="O133" s="1">
        <f t="shared" si="14"/>
        <v>0.48667939551621725</v>
      </c>
      <c r="P133" s="1">
        <f t="shared" si="15"/>
        <v>0.48687055039382882</v>
      </c>
      <c r="Q133" s="1">
        <f t="shared" si="16"/>
        <v>7.6009702237230226</v>
      </c>
      <c r="T133">
        <v>0.81873891643058538</v>
      </c>
      <c r="U133">
        <f t="shared" si="23"/>
        <v>1.2213905799905658</v>
      </c>
      <c r="V133" s="15">
        <f t="shared" si="17"/>
        <v>0</v>
      </c>
      <c r="W133" s="15">
        <f t="shared" si="18"/>
        <v>0</v>
      </c>
      <c r="X133" s="15">
        <f t="shared" si="19"/>
        <v>0</v>
      </c>
      <c r="Y133" s="15">
        <f t="shared" si="20"/>
        <v>0</v>
      </c>
      <c r="Z133" s="15">
        <f t="shared" si="21"/>
        <v>0</v>
      </c>
      <c r="AA133" s="15">
        <f t="shared" si="22"/>
        <v>0</v>
      </c>
      <c r="AC133" s="1"/>
      <c r="AD133" s="1"/>
      <c r="AE133" s="1"/>
    </row>
    <row r="134" spans="1:31">
      <c r="A134">
        <v>366</v>
      </c>
      <c r="B134">
        <f t="shared" si="2"/>
        <v>6.987010222701695E-2</v>
      </c>
      <c r="C134">
        <v>6.5152059303937193E-2</v>
      </c>
      <c r="D134">
        <f t="shared" si="3"/>
        <v>15.348709015243195</v>
      </c>
      <c r="E134" s="1">
        <f t="shared" si="4"/>
        <v>0.27323196046404186</v>
      </c>
      <c r="F134" s="1">
        <f t="shared" si="5"/>
        <v>0.32484794069606282</v>
      </c>
      <c r="G134" s="1">
        <f t="shared" si="6"/>
        <v>0.13065593081207327</v>
      </c>
      <c r="H134" s="1">
        <f t="shared" si="7"/>
        <v>0.12733554517995924</v>
      </c>
      <c r="I134" s="1">
        <f t="shared" si="8"/>
        <v>0.34436624034845742</v>
      </c>
      <c r="J134" s="1">
        <f t="shared" si="9"/>
        <v>0.37883775129134917</v>
      </c>
      <c r="K134" s="1">
        <f t="shared" si="10"/>
        <v>0.24903818767587674</v>
      </c>
      <c r="L134" s="1">
        <f t="shared" si="11"/>
        <v>0.2468882476141237</v>
      </c>
      <c r="M134" s="1">
        <f t="shared" si="12"/>
        <v>0.48663480011728855</v>
      </c>
      <c r="N134" s="1">
        <f t="shared" si="13"/>
        <v>0.48681737248192142</v>
      </c>
      <c r="O134" s="1">
        <f t="shared" si="14"/>
        <v>0.48580270140348336</v>
      </c>
      <c r="P134" s="1">
        <f t="shared" si="15"/>
        <v>0.48599365248245263</v>
      </c>
      <c r="Q134" s="1">
        <f t="shared" si="16"/>
        <v>7.5807990116010471</v>
      </c>
      <c r="T134">
        <v>0.87205931208581411</v>
      </c>
      <c r="U134">
        <f t="shared" si="23"/>
        <v>1.1467109933247248</v>
      </c>
      <c r="V134" s="15">
        <f t="shared" si="17"/>
        <v>0</v>
      </c>
      <c r="W134" s="15">
        <f t="shared" si="18"/>
        <v>0</v>
      </c>
      <c r="X134" s="15">
        <f t="shared" si="19"/>
        <v>0</v>
      </c>
      <c r="Y134" s="15">
        <f t="shared" si="20"/>
        <v>0</v>
      </c>
      <c r="Z134" s="15">
        <f t="shared" si="21"/>
        <v>0</v>
      </c>
      <c r="AA134" s="15">
        <f t="shared" si="22"/>
        <v>0</v>
      </c>
      <c r="AC134" s="1"/>
      <c r="AD134" s="1"/>
      <c r="AE134" s="1"/>
    </row>
    <row r="135" spans="1:31">
      <c r="A135">
        <v>77</v>
      </c>
      <c r="B135">
        <f t="shared" si="2"/>
        <v>7.022986142104691E-2</v>
      </c>
      <c r="C135">
        <v>6.5768043252847908E-2</v>
      </c>
      <c r="D135">
        <f t="shared" si="3"/>
        <v>15.204952900232405</v>
      </c>
      <c r="E135" s="1">
        <f t="shared" si="4"/>
        <v>0.27282130449810138</v>
      </c>
      <c r="F135" s="1">
        <f t="shared" si="5"/>
        <v>0.32423195674715211</v>
      </c>
      <c r="G135" s="1">
        <f t="shared" si="6"/>
        <v>0.12993728287167744</v>
      </c>
      <c r="H135" s="1">
        <f t="shared" si="7"/>
        <v>0.1266262833317463</v>
      </c>
      <c r="I135" s="1">
        <f t="shared" si="8"/>
        <v>0.34394456984087773</v>
      </c>
      <c r="J135" s="1">
        <f t="shared" si="9"/>
        <v>0.37827917702833386</v>
      </c>
      <c r="K135" s="1">
        <f t="shared" si="10"/>
        <v>0.24841035411525206</v>
      </c>
      <c r="L135" s="1">
        <f t="shared" si="11"/>
        <v>0.24626663687296985</v>
      </c>
      <c r="M135" s="1">
        <f t="shared" si="12"/>
        <v>0.48619110052643055</v>
      </c>
      <c r="N135" s="1">
        <f t="shared" si="13"/>
        <v>0.48637361759069692</v>
      </c>
      <c r="O135" s="1">
        <f t="shared" si="14"/>
        <v>0.48535649660240099</v>
      </c>
      <c r="P135" s="1">
        <f t="shared" si="15"/>
        <v>0.48554734395541688</v>
      </c>
      <c r="Q135" s="1">
        <f t="shared" si="16"/>
        <v>7.5705326124525349</v>
      </c>
      <c r="T135">
        <v>0.28683037500163555</v>
      </c>
      <c r="U135">
        <f t="shared" si="23"/>
        <v>3.486381105886355</v>
      </c>
      <c r="V135" s="15">
        <f t="shared" si="17"/>
        <v>7.1823730662204391E-2</v>
      </c>
      <c r="W135" s="15">
        <f t="shared" si="18"/>
        <v>7.637170189804425E-2</v>
      </c>
      <c r="X135" s="15">
        <f t="shared" si="19"/>
        <v>8.5467644369724011E-2</v>
      </c>
      <c r="Y135" s="15">
        <f t="shared" si="20"/>
        <v>0.10147381847972235</v>
      </c>
      <c r="Z135" s="15">
        <f t="shared" si="21"/>
        <v>0.10543601666048</v>
      </c>
      <c r="AA135" s="15">
        <f t="shared" si="22"/>
        <v>0.11336041302199538</v>
      </c>
      <c r="AC135" s="1"/>
      <c r="AD135" s="1"/>
      <c r="AE135" s="1"/>
    </row>
    <row r="136" spans="1:31">
      <c r="A136">
        <v>497</v>
      </c>
      <c r="B136">
        <f t="shared" si="2"/>
        <v>7.0375474720515571E-2</v>
      </c>
      <c r="C136">
        <v>6.6017364067184503E-2</v>
      </c>
      <c r="D136">
        <f t="shared" si="3"/>
        <v>15.147529958668461</v>
      </c>
      <c r="E136" s="1">
        <f t="shared" si="4"/>
        <v>0.27265509062187698</v>
      </c>
      <c r="F136" s="1">
        <f t="shared" si="5"/>
        <v>0.32398263593281551</v>
      </c>
      <c r="G136" s="1">
        <f t="shared" si="6"/>
        <v>0.12964640858828475</v>
      </c>
      <c r="H136" s="1">
        <f t="shared" si="7"/>
        <v>0.12633920808914131</v>
      </c>
      <c r="I136" s="1">
        <f t="shared" si="8"/>
        <v>0.34377389780548234</v>
      </c>
      <c r="J136" s="1">
        <f t="shared" si="9"/>
        <v>0.37805309290654998</v>
      </c>
      <c r="K136" s="1">
        <f t="shared" si="10"/>
        <v>0.2481562371453544</v>
      </c>
      <c r="L136" s="1">
        <f t="shared" si="11"/>
        <v>0.24601503860249718</v>
      </c>
      <c r="M136" s="1">
        <f t="shared" si="12"/>
        <v>0.48601151217269312</v>
      </c>
      <c r="N136" s="1">
        <f t="shared" si="13"/>
        <v>0.48619400685401848</v>
      </c>
      <c r="O136" s="1">
        <f t="shared" si="14"/>
        <v>0.48517589425949337</v>
      </c>
      <c r="P136" s="1">
        <f t="shared" si="15"/>
        <v>0.48536669962920886</v>
      </c>
      <c r="Q136" s="1">
        <f t="shared" si="16"/>
        <v>7.566377265546925</v>
      </c>
      <c r="T136">
        <v>0.78748364507833124</v>
      </c>
      <c r="U136">
        <f t="shared" si="23"/>
        <v>1.269867642648667</v>
      </c>
      <c r="V136" s="15">
        <f t="shared" si="17"/>
        <v>0</v>
      </c>
      <c r="W136" s="15">
        <f t="shared" si="18"/>
        <v>0</v>
      </c>
      <c r="X136" s="15">
        <f t="shared" si="19"/>
        <v>0</v>
      </c>
      <c r="Y136" s="15">
        <f t="shared" si="20"/>
        <v>0</v>
      </c>
      <c r="Z136" s="15">
        <f t="shared" si="21"/>
        <v>0</v>
      </c>
      <c r="AA136" s="15">
        <f t="shared" si="22"/>
        <v>0</v>
      </c>
      <c r="AC136" s="1"/>
      <c r="AD136" s="1"/>
      <c r="AE136" s="1"/>
    </row>
    <row r="137" spans="1:31">
      <c r="A137">
        <v>85</v>
      </c>
      <c r="B137">
        <f t="shared" si="2"/>
        <v>7.3016812577559209E-2</v>
      </c>
      <c r="C137">
        <v>6.7241194387676617E-2</v>
      </c>
      <c r="D137">
        <f t="shared" si="3"/>
        <v>14.871835771306158</v>
      </c>
      <c r="E137" s="1">
        <f t="shared" si="4"/>
        <v>0.27183920374154891</v>
      </c>
      <c r="F137" s="1">
        <f t="shared" si="5"/>
        <v>0.3227588056123234</v>
      </c>
      <c r="G137" s="1">
        <f t="shared" si="6"/>
        <v>0.12821860654771061</v>
      </c>
      <c r="H137" s="1">
        <f t="shared" si="7"/>
        <v>0.12493005423611278</v>
      </c>
      <c r="I137" s="1">
        <f t="shared" si="8"/>
        <v>0.34293612735164858</v>
      </c>
      <c r="J137" s="1">
        <f t="shared" si="9"/>
        <v>0.37694332353588123</v>
      </c>
      <c r="K137" s="1">
        <f t="shared" si="10"/>
        <v>0.2469088641430647</v>
      </c>
      <c r="L137" s="1">
        <f t="shared" si="11"/>
        <v>0.24478002903136636</v>
      </c>
      <c r="M137" s="1">
        <f t="shared" si="12"/>
        <v>0.48512997457184787</v>
      </c>
      <c r="N137" s="1">
        <f t="shared" si="13"/>
        <v>0.48531235938299655</v>
      </c>
      <c r="O137" s="1">
        <f t="shared" si="14"/>
        <v>0.48428937933377258</v>
      </c>
      <c r="P137" s="1">
        <f t="shared" si="15"/>
        <v>0.48447997862187347</v>
      </c>
      <c r="Q137" s="1">
        <f t="shared" si="16"/>
        <v>7.5459800935387236</v>
      </c>
      <c r="T137">
        <v>0.39961404048650573</v>
      </c>
      <c r="U137">
        <f t="shared" si="23"/>
        <v>2.5024145767815389</v>
      </c>
      <c r="V137" s="15">
        <f t="shared" si="17"/>
        <v>6.4445585547959441E-2</v>
      </c>
      <c r="W137" s="15">
        <f t="shared" si="18"/>
        <v>6.9287569046841552E-2</v>
      </c>
      <c r="X137" s="15">
        <f t="shared" si="19"/>
        <v>7.8971536044605675E-2</v>
      </c>
      <c r="Y137" s="15">
        <f t="shared" si="20"/>
        <v>9.0553852697304621E-2</v>
      </c>
      <c r="Z137" s="15">
        <f t="shared" si="21"/>
        <v>9.4809819633426939E-2</v>
      </c>
      <c r="AA137" s="15">
        <f t="shared" si="22"/>
        <v>0.10332175350567159</v>
      </c>
      <c r="AC137" s="1"/>
      <c r="AD137" s="1"/>
      <c r="AE137" s="1"/>
    </row>
    <row r="138" spans="1:31">
      <c r="A138">
        <v>893</v>
      </c>
      <c r="B138">
        <f t="shared" si="2"/>
        <v>7.4567891531923419E-2</v>
      </c>
      <c r="C138">
        <v>6.8327090521954847E-2</v>
      </c>
      <c r="D138">
        <f t="shared" si="3"/>
        <v>14.635483413108014</v>
      </c>
      <c r="E138" s="1">
        <f t="shared" si="4"/>
        <v>0.27111527298536342</v>
      </c>
      <c r="F138" s="1">
        <f t="shared" si="5"/>
        <v>0.32167290947804517</v>
      </c>
      <c r="G138" s="1">
        <f t="shared" si="6"/>
        <v>0.12695172772438601</v>
      </c>
      <c r="H138" s="1">
        <f t="shared" si="7"/>
        <v>0.12367972181993958</v>
      </c>
      <c r="I138" s="1">
        <f t="shared" si="8"/>
        <v>0.34219277945284438</v>
      </c>
      <c r="J138" s="1">
        <f t="shared" si="9"/>
        <v>0.37595863288933395</v>
      </c>
      <c r="K138" s="1">
        <f t="shared" si="10"/>
        <v>0.24580207875091595</v>
      </c>
      <c r="L138" s="1">
        <f t="shared" si="11"/>
        <v>0.24368421362572396</v>
      </c>
      <c r="M138" s="1">
        <f t="shared" si="12"/>
        <v>0.48434779238780629</v>
      </c>
      <c r="N138" s="1">
        <f t="shared" si="13"/>
        <v>0.48453007971191109</v>
      </c>
      <c r="O138" s="1">
        <f t="shared" si="14"/>
        <v>0.48350278080397557</v>
      </c>
      <c r="P138" s="1">
        <f t="shared" si="15"/>
        <v>0.48369319723729265</v>
      </c>
      <c r="Q138" s="1">
        <f t="shared" si="16"/>
        <v>7.5278818246340862</v>
      </c>
      <c r="T138">
        <v>0.1101678746310446</v>
      </c>
      <c r="U138">
        <f t="shared" si="23"/>
        <v>9.0770562956672158</v>
      </c>
      <c r="V138" s="15">
        <f t="shared" si="17"/>
        <v>8.9719624348786914E-2</v>
      </c>
      <c r="W138" s="15">
        <f t="shared" si="18"/>
        <v>9.3329255432718652E-2</v>
      </c>
      <c r="X138" s="15">
        <f t="shared" si="19"/>
        <v>0.10054851760058194</v>
      </c>
      <c r="Y138" s="15">
        <f t="shared" si="20"/>
        <v>0.127948952793873</v>
      </c>
      <c r="Z138" s="15">
        <f t="shared" si="21"/>
        <v>0.13094109811942514</v>
      </c>
      <c r="AA138" s="15">
        <f t="shared" si="22"/>
        <v>0.13692538877052932</v>
      </c>
      <c r="AC138" s="1"/>
      <c r="AD138" s="1"/>
      <c r="AE138" s="1"/>
    </row>
    <row r="139" spans="1:31">
      <c r="A139">
        <v>583</v>
      </c>
      <c r="B139">
        <f t="shared" ref="B139:B202" si="24">PERCENTILE($C$75:$C$1074,$C139)</f>
        <v>7.5762693888143329E-2</v>
      </c>
      <c r="C139">
        <v>6.8970012889532861E-2</v>
      </c>
      <c r="D139">
        <f t="shared" ref="D139:D202" si="25">1/C139</f>
        <v>14.49905485158701</v>
      </c>
      <c r="E139" s="1">
        <f t="shared" ref="E139:E202" si="26">IF($C139&lt;=0.005,$F$14,IF($C139&lt;=0.01,$F$14+($C139-0.005)*SLOPE($E$14:$F$14,$E$11:$F$11),IF($C139&lt;=0.04,$E$14+($C139-0.01)*SLOPE($D$14:$E$14,$D$11:$E$11),IF($C139&lt;=0.1,$D$14+($C139-0.04)*SLOPE($C$14:$D$14,$C$11:$D$11),IF($C139&lt;=1,$C$14+($C139-0.1)*SLOPE($B$14:$C$14,$B$11:$C$11),)))))</f>
        <v>0.27068665807364478</v>
      </c>
      <c r="F139" s="1">
        <f t="shared" ref="F139:F202" si="27">IF($C139&lt;=0.005,$F$27,IF($C139&lt;=0.01,$F$27+($C139-0.005)*SLOPE($E$27:$F$27,$E$24:$F$24),IF($C139&lt;=0.04,$E$27+($C139-0.01)*SLOPE($D$27:$E$27,$D$24:$E$24),IF($C139&lt;=0.1,$D$27+($C139-0.04)*SLOPE($C$27:$D$27,$C$24:$D$24),IF($C139&lt;=1,$C$27+($C139-0.1)*SLOPE($B$27:$C$27,$B$24:$C$24),)))))</f>
        <v>0.32102998711046715</v>
      </c>
      <c r="G139" s="1">
        <f t="shared" ref="G139:G202" si="28">IF($C139&lt;=0.005,$F$15,IF($C139&lt;=0.01,$F$15+($C139-0.005)*SLOPE($E$15:$F$15,$E$11:$F$11),IF($C139&lt;=0.04,$E$15+($C139-0.01)*SLOPE($D$15:$E$15,$D$11:$E$11),IF($C139&lt;=0.1,$D$15+($C139-0.04)*SLOPE($C$15:$D$15,$C$11:$D$11),IF($C139&lt;=1,$C$15+($C139-0.1)*SLOPE($B$15:$C$15,$B$11:$C$11),)))))</f>
        <v>0.12620165162887834</v>
      </c>
      <c r="H139" s="1">
        <f t="shared" ref="H139:H202" si="29">IF($C139&lt;=0.005,$F$28,IF($C139&lt;=0.01,$F$28+($C139-0.005)*SLOPE($E$28:$F$28,$E$24:$F$24),IF($C139&lt;=0.04,$E$28+($C139-0.01)*SLOPE($D$28:$E$28,$D$24:$E$24),IF($C139&lt;=0.1,$D$28+($C139-0.04)*SLOPE($C$28:$D$28,$C$24:$D$24),IF($C139&lt;=1,$C$28+($C139-0.1)*SLOPE($B$28:$C$28,$B$24:$C$24),)))))</f>
        <v>0.1229394422923769</v>
      </c>
      <c r="I139" s="1">
        <f t="shared" ref="I139:I202" si="30">IF($C139&lt;=0.005,$F$16,IF($C139&lt;=0.01,$F$16+($C139-0.005)*SLOPE($E$16:$F$16,$E$11:$F$11),IF($C139&lt;=0.04,$E$16+($C139-0.01)*SLOPE($D$16:$E$16,$D$11:$E$11),IF($C139&lt;=0.1,$D$16+($C139-0.04)*SLOPE($C$16:$D$16,$C$11:$D$11),IF($C139&lt;=1,$C$16+($C139-0.1)*SLOPE($B$16:$C$16,$B$11:$C$11),)))))</f>
        <v>0.34175266830782131</v>
      </c>
      <c r="J139" s="1">
        <f t="shared" ref="J139:J202" si="31">IF($C139&lt;=0.005,$F$29,IF($C139&lt;=0.01,$F$29+($C139-0.005)*SLOPE($E$29:$F$29,$E$24:$F$24),IF($C139&lt;=0.04,$E$29+($C139-0.01)*SLOPE($D$29:$E$29,$D$24:$E$24),IF($C139&lt;=0.1,$D$29+($C139-0.04)*SLOPE($C$29:$D$29,$C$24:$D$24),IF($C139&lt;=1,$C$29+($C139-0.1)*SLOPE($B$29:$C$29,$B$24:$C$24),)))))</f>
        <v>0.37537563086747766</v>
      </c>
      <c r="K139" s="1">
        <f t="shared" ref="K139:K202" si="32">IF($C139&lt;=0.005,$F$17,IF($C139&lt;=0.01,$F$17+($C139-0.005)*SLOPE($E$17:$F$17,$E$11:$F$11),IF($C139&lt;=0.04,$E$17+($C139-0.01)*SLOPE($D$17:$E$17,$D$11:$E$11),IF($C139&lt;=0.1,$D$17+($C139-0.04)*SLOPE($C$17:$D$17,$C$11:$D$11),IF($C139&lt;=1,$C$17+($C139-0.1)*SLOPE($B$17:$C$17,$B$11:$C$11),)))))</f>
        <v>0.24514678856039143</v>
      </c>
      <c r="L139" s="1">
        <f t="shared" ref="L139:L202" si="33">IF($C139&lt;=0.005,$F$30,IF($C139&lt;=0.01,$F$30+($C139-0.005)*SLOPE($E$30:$F$30,$E$24:$F$24),IF($C139&lt;=0.04,$E$30+($C139-0.01)*SLOPE($D$30:$E$30,$D$24:$E$24),IF($C139&lt;=0.1,$D$30+($C139-0.04)*SLOPE($C$30:$D$30,$C$24:$D$24),IF($C139&lt;=1,$C$30+($C139-0.1)*SLOPE($B$30:$C$30,$B$24:$C$24),)))))</f>
        <v>0.24303541839311879</v>
      </c>
      <c r="M139" s="1">
        <f t="shared" ref="M139:M202" si="34">IF($C139&lt;=0.005,$F$18,IF($C139&lt;=0.01,$F$18+($C139-0.005)*SLOPE($E$18:$F$18,$E$11:$F$11),IF($C139&lt;=0.04,$E$18+($C139-0.01)*SLOPE($D$18:$E$18,$D$11:$E$11),IF($C139&lt;=0.1,$D$18+($C139-0.04)*SLOPE($C$18:$D$18,$C$11:$D$11),IF($C139&lt;=1,$C$18+($C139-0.1)*SLOPE($B$18:$C$18,$B$11:$C$11),)))))</f>
        <v>0.48388468877617441</v>
      </c>
      <c r="N139" s="1">
        <f t="shared" ref="N139:N202" si="35">IF($C139&lt;=0.005,$F$31,IF($C139&lt;=0.01,$F$31+($C139-0.005)*SLOPE($E$31:$F$31,$E$24:$F$24),IF($C139&lt;=0.04,$E$31+($C139-0.01)*SLOPE($D$31:$E$31,$D$24:$E$24),IF($C139&lt;=0.1,$D$31+($C139-0.04)*SLOPE($C$31:$D$31,$C$24:$D$24),IF($C139&lt;=1,$C$31+($C139-0.1)*SLOPE($B$31:$C$31,$B$24:$C$24),)))))</f>
        <v>0.48406691838149835</v>
      </c>
      <c r="O139" s="1">
        <f t="shared" ref="O139:O202" si="36">IF($C139&lt;=0.005,$F$19,IF($C139&lt;=0.01,$F$19+($C139-0.005)*SLOPE($E$19:$F$19,$E$11:$F$11),IF($C139&lt;=0.04,$E$19+($C139-0.01)*SLOPE($D$19:$E$19,$D$11:$E$11),IF($C139&lt;=0.1,$D$19+($C139-0.04)*SLOPE($C$19:$D$19,$C$11:$D$11),IF($C139&lt;=1,$C$19+($C139-0.1)*SLOPE($B$19:$C$19,$B$11:$C$11),)))))</f>
        <v>0.48303706242341732</v>
      </c>
      <c r="P139" s="1">
        <f t="shared" ref="P139:P202" si="37">IF($C139&lt;=0.005,$F$32,IF($C139&lt;=0.01,$F$32+($C139-0.005)*SLOPE($E$32:$F$32,$E$24:$F$24),IF($C139&lt;=0.04,$E$32+($C139-0.01)*SLOPE($D$32:$E$32,$D$24:$E$24),IF($C139&lt;=0.1,$D$32+($C139-0.04)*SLOPE($C$32:$D$32,$C$24:$D$24),IF($C139&lt;=1,$C$32+($C139-0.1)*SLOPE($B$32:$C$32,$B$24:$C$24),)))))</f>
        <v>0.48322737059460252</v>
      </c>
      <c r="Q139" s="1">
        <f t="shared" ref="Q139:Q202" si="38">IF($C139&lt;=0.005,$F$20,IF($C139&lt;=0.01,$F$20+($C139-0.005)*SLOPE($E$20:$F$20,$E$11:$F$11),IF($C139&lt;=0.04,$E$20+($C139-0.01)*SLOPE($D$20:$E$20,$D$11:$E$11),IF($C139&lt;=0.1,$D$20+($C139-0.04)*SLOPE($C$20:$D$20,$C$11:$D$11),IF($C139&lt;=1,$C$20+($C139-0.1)*SLOPE($B$20:$C$20,$B$11:$C$11),)))))</f>
        <v>7.5171664518411188</v>
      </c>
      <c r="T139">
        <v>0.51048001787704933</v>
      </c>
      <c r="U139">
        <f t="shared" si="23"/>
        <v>1.9589405363186088</v>
      </c>
      <c r="V139" s="15">
        <f t="shared" ref="V139:V202" si="39">IF($T139&lt;=0.05,$F$63,IF($T139&lt;=0.07,$F$63+($T139-0.05)*SLOPE($E$63:$F$63,$E$62:$F$62),IF($T139&lt;=0.1,$E$63+($T139-0.07)*SLOPE($D$63:$E$63,$D$62:$E$62),IF($T139&lt;=0.2,$D$63+($T139-0.1)*SLOPE($C$63:$D$63,$C$62:$D$62),IF($T139&lt;=0.5,$C$63+($T139-0.2)*SLOPE($B$63:$C$63,$B$62:$C$62),)))))</f>
        <v>0</v>
      </c>
      <c r="W139" s="15">
        <f t="shared" ref="W139:W202" si="40">IF($T139&lt;=0.05,$F$64,IF($T139&lt;=0.07,$F$64+($T139-0.05)*SLOPE($E$64:$F$64,$E$62:$F$62),IF($T139&lt;=0.1,$E$64+($T139-0.07)*SLOPE($D$64:$E$64,$D$62:$E$62),IF($T139&lt;=0.2,$D$64+($T139-0.1)*SLOPE($C$64:$D$64,$C$62:$D$62),IF($T139&lt;=0.5,$C$64+($T139-0.2)*SLOPE($B$64:$C$64,$B$62:$C$62),)))))</f>
        <v>0</v>
      </c>
      <c r="X139" s="15">
        <f t="shared" ref="X139:X202" si="41">IF($T139&lt;=0.05,$F$65,IF($T139&lt;=0.07,$F$65+($T139-0.05)*SLOPE($E$65:$F$65,$E$62:$F$62),IF($T139&lt;=0.1,$E$65+($T139-0.07)*SLOPE($D$65:$E$65,$D$62:$E$62),IF($T139&lt;=0.2,$D$65+($T139-0.1)*SLOPE($C$65:$D$65,$C$62:$D$62),IF($T139&lt;=0.5,$C$65+($T139-0.2)*SLOPE($B$65:$C$65,$B$62:$C$62),)))))</f>
        <v>0</v>
      </c>
      <c r="Y139" s="15">
        <f t="shared" ref="Y139:Y202" si="42">IF($T139&lt;=0.05,$F$66,IF($T139&lt;=0.07,$F$66+($T139-0.05)*SLOPE($E$66:$F$66,$E$62:$F$62),IF($T139&lt;=0.1,$E$66+($T139-0.07)*SLOPE($D$66:$E$66,$D$62:$E$62),IF($T139&lt;=0.2,$D$66+($T139-0.1)*SLOPE($C$66:$D$66,$C$62:$D$62),IF($T139&lt;=0.5,$C$66+($T139-0.2)*SLOPE($B$66:$C$66,$B$62:$C$62),)))))</f>
        <v>0</v>
      </c>
      <c r="Z139" s="15">
        <f t="shared" ref="Z139:Z202" si="43">IF($T139&lt;=0.05,$F$67,IF($T139&lt;=0.07,$F$67+($T139-0.05)*SLOPE($E$67:$F$67,$E$62:$F$62),IF($T139&lt;=0.1,$E$67+($T139-0.07)*SLOPE($D$67:$E$67,$D$62:$E$62),IF($T139&lt;=0.2,$D$67+($T139-0.1)*SLOPE($C$67:$D$67,$C$62:$D$62),IF($T139&lt;=0.5,$C$67+($T139-0.2)*SLOPE($B$67:$C$67,$B$62:$C$62),)))))</f>
        <v>0</v>
      </c>
      <c r="AA139" s="15">
        <f t="shared" ref="AA139:AA202" si="44">IF($T139&lt;=0.05,$F$68,IF($T139&lt;=0.07,$F$68+($T139-0.05)*SLOPE($E$68:$F$68,$E$62:$F$62),IF($T139&lt;=0.1,$E$68+($T139-0.07)*SLOPE($D$68:$E$68,$D$62:$E$62),IF($T139&lt;=0.2,$D$68+($T139-0.1)*SLOPE($C$68:$D$68,$C$62:$D$62),IF($T139&lt;=0.5,$C$68+($T139-0.2)*SLOPE($B$68:$C$68,$B$62:$C$62),)))))</f>
        <v>0</v>
      </c>
      <c r="AC139" s="1"/>
      <c r="AD139" s="1"/>
      <c r="AE139" s="1"/>
    </row>
    <row r="140" spans="1:31">
      <c r="A140">
        <v>771</v>
      </c>
      <c r="B140">
        <f t="shared" si="24"/>
        <v>7.6012180890527539E-2</v>
      </c>
      <c r="C140">
        <v>6.9819294121842734E-2</v>
      </c>
      <c r="D140">
        <f t="shared" si="25"/>
        <v>14.322688485719786</v>
      </c>
      <c r="E140" s="1">
        <f t="shared" si="26"/>
        <v>0.2701204705854382</v>
      </c>
      <c r="F140" s="1">
        <f t="shared" si="27"/>
        <v>0.32018070587815728</v>
      </c>
      <c r="G140" s="1">
        <f t="shared" si="28"/>
        <v>0.12521082352451682</v>
      </c>
      <c r="H140" s="1">
        <f t="shared" si="29"/>
        <v>0.12196155516147705</v>
      </c>
      <c r="I140" s="1">
        <f t="shared" si="30"/>
        <v>0.34117129463901186</v>
      </c>
      <c r="J140" s="1">
        <f t="shared" si="31"/>
        <v>0.3746055026210045</v>
      </c>
      <c r="K140" s="1">
        <f t="shared" si="32"/>
        <v>0.24428116980361095</v>
      </c>
      <c r="L140" s="1">
        <f t="shared" si="33"/>
        <v>0.24217837928163258</v>
      </c>
      <c r="M140" s="1">
        <f t="shared" si="34"/>
        <v>0.48327294274615912</v>
      </c>
      <c r="N140" s="1">
        <f t="shared" si="35"/>
        <v>0.48345509610669857</v>
      </c>
      <c r="O140" s="1">
        <f t="shared" si="36"/>
        <v>0.48242186236179896</v>
      </c>
      <c r="P140" s="1">
        <f t="shared" si="37"/>
        <v>0.4826120275219436</v>
      </c>
      <c r="Q140" s="1">
        <f t="shared" si="38"/>
        <v>7.5030117646359544</v>
      </c>
      <c r="T140">
        <v>0.8752853123630584</v>
      </c>
      <c r="U140">
        <f t="shared" ref="U140:U203" si="45">1/T140</f>
        <v>1.1424846114465719</v>
      </c>
      <c r="V140" s="15">
        <f t="shared" si="39"/>
        <v>0</v>
      </c>
      <c r="W140" s="15">
        <f t="shared" si="40"/>
        <v>0</v>
      </c>
      <c r="X140" s="15">
        <f t="shared" si="41"/>
        <v>0</v>
      </c>
      <c r="Y140" s="15">
        <f t="shared" si="42"/>
        <v>0</v>
      </c>
      <c r="Z140" s="15">
        <f t="shared" si="43"/>
        <v>0</v>
      </c>
      <c r="AA140" s="15">
        <f t="shared" si="44"/>
        <v>0</v>
      </c>
      <c r="AC140" s="1"/>
      <c r="AD140" s="1"/>
      <c r="AE140" s="1"/>
    </row>
    <row r="141" spans="1:31">
      <c r="A141">
        <v>666</v>
      </c>
      <c r="B141">
        <f t="shared" si="24"/>
        <v>7.6452525448436254E-2</v>
      </c>
      <c r="C141">
        <v>7.0403918630289941E-2</v>
      </c>
      <c r="D141">
        <f t="shared" si="25"/>
        <v>14.203754840000753</v>
      </c>
      <c r="E141" s="1">
        <f t="shared" si="26"/>
        <v>0.26973072091314004</v>
      </c>
      <c r="F141" s="1">
        <f t="shared" si="27"/>
        <v>0.31959608136971007</v>
      </c>
      <c r="G141" s="1">
        <f t="shared" si="28"/>
        <v>0.12452876159799509</v>
      </c>
      <c r="H141" s="1">
        <f t="shared" si="29"/>
        <v>0.12128840148579265</v>
      </c>
      <c r="I141" s="1">
        <f t="shared" si="30"/>
        <v>0.34077109116998255</v>
      </c>
      <c r="J141" s="1">
        <f t="shared" si="31"/>
        <v>0.37407536509952516</v>
      </c>
      <c r="K141" s="1">
        <f t="shared" si="32"/>
        <v>0.24368529894136537</v>
      </c>
      <c r="L141" s="1">
        <f t="shared" si="33"/>
        <v>0.24158841443817322</v>
      </c>
      <c r="M141" s="1">
        <f t="shared" si="34"/>
        <v>0.48285183168366747</v>
      </c>
      <c r="N141" s="1">
        <f t="shared" si="35"/>
        <v>0.48303393255915494</v>
      </c>
      <c r="O141" s="1">
        <f t="shared" si="36"/>
        <v>0.48199837362810566</v>
      </c>
      <c r="P141" s="1">
        <f t="shared" si="37"/>
        <v>0.48218844034293429</v>
      </c>
      <c r="Q141" s="1">
        <f t="shared" si="38"/>
        <v>7.4932680228285014</v>
      </c>
      <c r="T141">
        <v>0.30082823100921996</v>
      </c>
      <c r="U141">
        <f t="shared" si="45"/>
        <v>3.3241561027872795</v>
      </c>
      <c r="V141" s="15">
        <f t="shared" si="39"/>
        <v>7.0908011063375437E-2</v>
      </c>
      <c r="W141" s="15">
        <f t="shared" si="40"/>
        <v>7.5492472878811528E-2</v>
      </c>
      <c r="X141" s="15">
        <f t="shared" si="41"/>
        <v>8.4661396509683712E-2</v>
      </c>
      <c r="Y141" s="15">
        <f t="shared" si="42"/>
        <v>0.10011851487283135</v>
      </c>
      <c r="Z141" s="15">
        <f t="shared" si="43"/>
        <v>0.104117173410853</v>
      </c>
      <c r="AA141" s="15">
        <f t="shared" si="44"/>
        <v>0.11211449048689638</v>
      </c>
      <c r="AC141" s="1"/>
      <c r="AD141" s="1"/>
      <c r="AE141" s="1"/>
    </row>
    <row r="142" spans="1:31">
      <c r="A142">
        <v>942</v>
      </c>
      <c r="B142">
        <f t="shared" si="24"/>
        <v>7.8127684780859546E-2</v>
      </c>
      <c r="C142">
        <v>7.2791546803106288E-2</v>
      </c>
      <c r="D142">
        <f t="shared" si="25"/>
        <v>13.737858912448969</v>
      </c>
      <c r="E142" s="1">
        <f t="shared" si="26"/>
        <v>0.26813896879792914</v>
      </c>
      <c r="F142" s="1">
        <f t="shared" si="27"/>
        <v>0.31720845319689372</v>
      </c>
      <c r="G142" s="1">
        <f t="shared" si="28"/>
        <v>0.12174319539637601</v>
      </c>
      <c r="H142" s="1">
        <f t="shared" si="29"/>
        <v>0.1185392169109484</v>
      </c>
      <c r="I142" s="1">
        <f t="shared" si="30"/>
        <v>0.33913664536125115</v>
      </c>
      <c r="J142" s="1">
        <f t="shared" si="31"/>
        <v>0.37191026380209052</v>
      </c>
      <c r="K142" s="1">
        <f t="shared" si="32"/>
        <v>0.2412517402425747</v>
      </c>
      <c r="L142" s="1">
        <f t="shared" si="33"/>
        <v>0.23917897613912534</v>
      </c>
      <c r="M142" s="1">
        <f t="shared" si="34"/>
        <v>0.48113199848789501</v>
      </c>
      <c r="N142" s="1">
        <f t="shared" si="35"/>
        <v>0.48131388501248373</v>
      </c>
      <c r="O142" s="1">
        <f t="shared" si="36"/>
        <v>0.48026882993497183</v>
      </c>
      <c r="P142" s="1">
        <f t="shared" si="37"/>
        <v>0.48045849459547918</v>
      </c>
      <c r="Q142" s="1">
        <f t="shared" si="38"/>
        <v>7.4534742199482285</v>
      </c>
      <c r="T142">
        <v>0.44184170784220644</v>
      </c>
      <c r="U142">
        <f t="shared" si="45"/>
        <v>2.2632539713908741</v>
      </c>
      <c r="V142" s="15">
        <f t="shared" si="39"/>
        <v>6.168311230995123E-2</v>
      </c>
      <c r="W142" s="15">
        <f t="shared" si="40"/>
        <v>6.6635177813961208E-2</v>
      </c>
      <c r="X142" s="15">
        <f t="shared" si="41"/>
        <v>7.6539308821981011E-2</v>
      </c>
      <c r="Y142" s="15">
        <f t="shared" si="42"/>
        <v>8.6465275857625395E-2</v>
      </c>
      <c r="Z142" s="15">
        <f t="shared" si="43"/>
        <v>9.0831233626442381E-2</v>
      </c>
      <c r="AA142" s="15">
        <f t="shared" si="44"/>
        <v>9.9563149164076326E-2</v>
      </c>
      <c r="AC142" s="1"/>
      <c r="AD142" s="1"/>
      <c r="AE142" s="1"/>
    </row>
    <row r="143" spans="1:31">
      <c r="A143">
        <v>905</v>
      </c>
      <c r="B143">
        <f t="shared" si="24"/>
        <v>7.9157983050084355E-2</v>
      </c>
      <c r="C143">
        <v>7.4086526045474943E-2</v>
      </c>
      <c r="D143">
        <f t="shared" si="25"/>
        <v>13.497731009633135</v>
      </c>
      <c r="E143" s="1">
        <f t="shared" si="26"/>
        <v>0.26727564930301673</v>
      </c>
      <c r="F143" s="1">
        <f t="shared" si="27"/>
        <v>0.31591347395452507</v>
      </c>
      <c r="G143" s="1">
        <f t="shared" si="28"/>
        <v>0.12023238628027924</v>
      </c>
      <c r="H143" s="1">
        <f t="shared" si="29"/>
        <v>0.11704814011834044</v>
      </c>
      <c r="I143" s="1">
        <f t="shared" si="30"/>
        <v>0.33825017006363939</v>
      </c>
      <c r="J143" s="1">
        <f t="shared" si="31"/>
        <v>0.37073597658696855</v>
      </c>
      <c r="K143" s="1">
        <f t="shared" si="32"/>
        <v>0.23993184963485822</v>
      </c>
      <c r="L143" s="1">
        <f t="shared" si="33"/>
        <v>0.23787216772625819</v>
      </c>
      <c r="M143" s="1">
        <f t="shared" si="34"/>
        <v>0.4801992115848846</v>
      </c>
      <c r="N143" s="1">
        <f t="shared" si="35"/>
        <v>0.48038098185185507</v>
      </c>
      <c r="O143" s="1">
        <f t="shared" si="36"/>
        <v>0.47933077634401589</v>
      </c>
      <c r="P143" s="1">
        <f t="shared" si="37"/>
        <v>0.47952022294209357</v>
      </c>
      <c r="Q143" s="1">
        <f t="shared" si="38"/>
        <v>7.4318912325754178</v>
      </c>
      <c r="T143">
        <v>0.66453768361739352</v>
      </c>
      <c r="U143">
        <f t="shared" si="45"/>
        <v>1.5048055582890743</v>
      </c>
      <c r="V143" s="15">
        <f t="shared" si="39"/>
        <v>0</v>
      </c>
      <c r="W143" s="15">
        <f t="shared" si="40"/>
        <v>0</v>
      </c>
      <c r="X143" s="15">
        <f t="shared" si="41"/>
        <v>0</v>
      </c>
      <c r="Y143" s="15">
        <f t="shared" si="42"/>
        <v>0</v>
      </c>
      <c r="Z143" s="15">
        <f t="shared" si="43"/>
        <v>0</v>
      </c>
      <c r="AA143" s="15">
        <f t="shared" si="44"/>
        <v>0</v>
      </c>
      <c r="AC143" s="1"/>
      <c r="AD143" s="1"/>
      <c r="AE143" s="1"/>
    </row>
    <row r="144" spans="1:31">
      <c r="A144">
        <v>147</v>
      </c>
      <c r="B144">
        <f t="shared" si="24"/>
        <v>8.2186491550552201E-2</v>
      </c>
      <c r="C144">
        <v>7.5946779187825553E-2</v>
      </c>
      <c r="D144">
        <f t="shared" si="25"/>
        <v>13.167115323309226</v>
      </c>
      <c r="E144" s="1">
        <f t="shared" si="26"/>
        <v>0.26603548054144965</v>
      </c>
      <c r="F144" s="1">
        <f t="shared" si="27"/>
        <v>0.31405322081217446</v>
      </c>
      <c r="G144" s="1">
        <f t="shared" si="28"/>
        <v>0.11806209094753686</v>
      </c>
      <c r="H144" s="1">
        <f t="shared" si="29"/>
        <v>0.11490619050387288</v>
      </c>
      <c r="I144" s="1">
        <f t="shared" si="30"/>
        <v>0.33697673771503883</v>
      </c>
      <c r="J144" s="1">
        <f t="shared" si="31"/>
        <v>0.36904909898269345</v>
      </c>
      <c r="K144" s="1">
        <f t="shared" si="32"/>
        <v>0.23803581101876997</v>
      </c>
      <c r="L144" s="1">
        <f t="shared" si="33"/>
        <v>0.23599492183925863</v>
      </c>
      <c r="M144" s="1">
        <f t="shared" si="34"/>
        <v>0.47885925206221702</v>
      </c>
      <c r="N144" s="1">
        <f t="shared" si="35"/>
        <v>0.47904085532373103</v>
      </c>
      <c r="O144" s="1">
        <f t="shared" si="36"/>
        <v>0.47798325116123597</v>
      </c>
      <c r="P144" s="1">
        <f t="shared" si="37"/>
        <v>0.47817238451003002</v>
      </c>
      <c r="Q144" s="1">
        <f t="shared" si="38"/>
        <v>7.4008870135362406</v>
      </c>
      <c r="T144">
        <v>0.3866056097577385</v>
      </c>
      <c r="U144">
        <f t="shared" si="45"/>
        <v>2.5866153381132708</v>
      </c>
      <c r="V144" s="15">
        <f t="shared" si="39"/>
        <v>6.529657836870903E-2</v>
      </c>
      <c r="W144" s="15">
        <f t="shared" si="40"/>
        <v>7.0104650590273182E-2</v>
      </c>
      <c r="X144" s="15">
        <f t="shared" si="41"/>
        <v>7.9720795033401404E-2</v>
      </c>
      <c r="Y144" s="15">
        <f t="shared" si="42"/>
        <v>9.1813357944189378E-2</v>
      </c>
      <c r="Z144" s="15">
        <f t="shared" si="43"/>
        <v>9.6035441689088855E-2</v>
      </c>
      <c r="AA144" s="15">
        <f t="shared" si="44"/>
        <v>0.10447960917888782</v>
      </c>
      <c r="AC144" s="1"/>
      <c r="AD144" s="1"/>
      <c r="AE144" s="1"/>
    </row>
    <row r="145" spans="1:31">
      <c r="A145">
        <v>881</v>
      </c>
      <c r="B145">
        <f t="shared" si="24"/>
        <v>8.2294401982512949E-2</v>
      </c>
      <c r="C145">
        <v>7.6034042562502013E-2</v>
      </c>
      <c r="D145">
        <f t="shared" si="25"/>
        <v>13.152003580211762</v>
      </c>
      <c r="E145" s="1">
        <f t="shared" si="26"/>
        <v>0.26597730495833199</v>
      </c>
      <c r="F145" s="1">
        <f t="shared" si="27"/>
        <v>0.313965957437498</v>
      </c>
      <c r="G145" s="1">
        <f t="shared" si="28"/>
        <v>0.117960283677081</v>
      </c>
      <c r="H145" s="1">
        <f t="shared" si="29"/>
        <v>0.11480571291429645</v>
      </c>
      <c r="I145" s="1">
        <f t="shared" si="30"/>
        <v>0.3369170017567269</v>
      </c>
      <c r="J145" s="1">
        <f t="shared" si="31"/>
        <v>0.36896996855196657</v>
      </c>
      <c r="K145" s="1">
        <f t="shared" si="32"/>
        <v>0.2379468689686855</v>
      </c>
      <c r="L145" s="1">
        <f t="shared" si="33"/>
        <v>0.2359068613449809</v>
      </c>
      <c r="M145" s="1">
        <f t="shared" si="34"/>
        <v>0.47879639535351659</v>
      </c>
      <c r="N145" s="1">
        <f t="shared" si="35"/>
        <v>0.47897799078090336</v>
      </c>
      <c r="O145" s="1">
        <f t="shared" si="36"/>
        <v>0.47792003955189427</v>
      </c>
      <c r="P145" s="1">
        <f t="shared" si="37"/>
        <v>0.47810915820634975</v>
      </c>
      <c r="Q145" s="1">
        <f t="shared" si="38"/>
        <v>7.3994326239583001</v>
      </c>
      <c r="T145">
        <v>0.65581005916863966</v>
      </c>
      <c r="U145">
        <f t="shared" si="45"/>
        <v>1.5248317497107085</v>
      </c>
      <c r="V145" s="15">
        <f t="shared" si="39"/>
        <v>0</v>
      </c>
      <c r="W145" s="15">
        <f t="shared" si="40"/>
        <v>0</v>
      </c>
      <c r="X145" s="15">
        <f t="shared" si="41"/>
        <v>0</v>
      </c>
      <c r="Y145" s="15">
        <f t="shared" si="42"/>
        <v>0</v>
      </c>
      <c r="Z145" s="15">
        <f t="shared" si="43"/>
        <v>0</v>
      </c>
      <c r="AA145" s="15">
        <f t="shared" si="44"/>
        <v>0</v>
      </c>
      <c r="AC145" s="1"/>
      <c r="AD145" s="1"/>
      <c r="AE145" s="1"/>
    </row>
    <row r="146" spans="1:31">
      <c r="A146">
        <v>72</v>
      </c>
      <c r="B146">
        <f t="shared" si="24"/>
        <v>8.3461856655278069E-2</v>
      </c>
      <c r="C146">
        <v>7.7288808458290448E-2</v>
      </c>
      <c r="D146">
        <f t="shared" si="25"/>
        <v>12.938483849698089</v>
      </c>
      <c r="E146" s="1">
        <f t="shared" si="26"/>
        <v>0.26514079436113969</v>
      </c>
      <c r="F146" s="1">
        <f t="shared" si="27"/>
        <v>0.31271119154170957</v>
      </c>
      <c r="G146" s="1">
        <f t="shared" si="28"/>
        <v>0.11649639013199449</v>
      </c>
      <c r="H146" s="1">
        <f t="shared" si="29"/>
        <v>0.11336093893943033</v>
      </c>
      <c r="I146" s="1">
        <f t="shared" si="30"/>
        <v>0.3360580544203452</v>
      </c>
      <c r="J146" s="1">
        <f t="shared" si="31"/>
        <v>0.36783214680070797</v>
      </c>
      <c r="K146" s="1">
        <f t="shared" si="32"/>
        <v>0.23666796528702894</v>
      </c>
      <c r="L146" s="1">
        <f t="shared" si="33"/>
        <v>0.23464063361317891</v>
      </c>
      <c r="M146" s="1">
        <f t="shared" si="34"/>
        <v>0.47789257453875605</v>
      </c>
      <c r="N146" s="1">
        <f t="shared" si="35"/>
        <v>0.47807405731870445</v>
      </c>
      <c r="O146" s="1">
        <f t="shared" si="36"/>
        <v>0.47701111559709752</v>
      </c>
      <c r="P146" s="1">
        <f t="shared" si="37"/>
        <v>0.47720002296067598</v>
      </c>
      <c r="Q146" s="1">
        <f t="shared" si="38"/>
        <v>7.3785198590284926</v>
      </c>
      <c r="T146">
        <v>0.47572154659340182</v>
      </c>
      <c r="U146">
        <f t="shared" si="45"/>
        <v>2.1020700179777601</v>
      </c>
      <c r="V146" s="15">
        <f t="shared" si="39"/>
        <v>5.9466742007754661E-2</v>
      </c>
      <c r="W146" s="15">
        <f t="shared" si="40"/>
        <v>6.4507127819673771E-2</v>
      </c>
      <c r="X146" s="15">
        <f t="shared" si="41"/>
        <v>7.4587899443511824E-2</v>
      </c>
      <c r="Y146" s="15">
        <f t="shared" si="42"/>
        <v>8.3184954383000914E-2</v>
      </c>
      <c r="Z146" s="15">
        <f t="shared" si="43"/>
        <v>8.7639159310828968E-2</v>
      </c>
      <c r="AA146" s="15">
        <f t="shared" si="44"/>
        <v>9.654756916648502E-2</v>
      </c>
      <c r="AC146" s="1"/>
      <c r="AD146" s="1"/>
      <c r="AE146" s="1"/>
    </row>
    <row r="147" spans="1:31">
      <c r="A147">
        <v>604</v>
      </c>
      <c r="B147">
        <f t="shared" si="24"/>
        <v>8.3531886586937248E-2</v>
      </c>
      <c r="C147">
        <v>7.7721394574752134E-2</v>
      </c>
      <c r="D147">
        <f t="shared" si="25"/>
        <v>12.866470107380843</v>
      </c>
      <c r="E147" s="1">
        <f t="shared" si="26"/>
        <v>0.26485240361683193</v>
      </c>
      <c r="F147" s="1">
        <f t="shared" si="27"/>
        <v>0.31227860542524788</v>
      </c>
      <c r="G147" s="1">
        <f t="shared" si="28"/>
        <v>0.11599170632945585</v>
      </c>
      <c r="H147" s="1">
        <f t="shared" si="29"/>
        <v>0.11286284669365765</v>
      </c>
      <c r="I147" s="1">
        <f t="shared" si="30"/>
        <v>0.33576192851053399</v>
      </c>
      <c r="J147" s="1">
        <f t="shared" si="31"/>
        <v>0.3674398776975592</v>
      </c>
      <c r="K147" s="1">
        <f t="shared" si="32"/>
        <v>0.23622705756166495</v>
      </c>
      <c r="L147" s="1">
        <f t="shared" si="33"/>
        <v>0.23420409597783609</v>
      </c>
      <c r="M147" s="1">
        <f t="shared" si="34"/>
        <v>0.47758097829793789</v>
      </c>
      <c r="N147" s="1">
        <f t="shared" si="35"/>
        <v>0.47776242224218152</v>
      </c>
      <c r="O147" s="1">
        <f t="shared" si="36"/>
        <v>0.47669776002608288</v>
      </c>
      <c r="P147" s="1">
        <f t="shared" si="37"/>
        <v>0.47688659454619287</v>
      </c>
      <c r="Q147" s="1">
        <f t="shared" si="38"/>
        <v>7.3713100904207982</v>
      </c>
      <c r="T147">
        <v>0.80610912657014988</v>
      </c>
      <c r="U147">
        <f t="shared" si="45"/>
        <v>1.2405268307218169</v>
      </c>
      <c r="V147" s="15">
        <f t="shared" si="39"/>
        <v>0</v>
      </c>
      <c r="W147" s="15">
        <f t="shared" si="40"/>
        <v>0</v>
      </c>
      <c r="X147" s="15">
        <f t="shared" si="41"/>
        <v>0</v>
      </c>
      <c r="Y147" s="15">
        <f t="shared" si="42"/>
        <v>0</v>
      </c>
      <c r="Z147" s="15">
        <f t="shared" si="43"/>
        <v>0</v>
      </c>
      <c r="AA147" s="15">
        <f t="shared" si="44"/>
        <v>0</v>
      </c>
      <c r="AC147" s="1"/>
      <c r="AD147" s="1"/>
      <c r="AE147" s="1"/>
    </row>
    <row r="148" spans="1:31">
      <c r="A148">
        <v>311</v>
      </c>
      <c r="B148">
        <f t="shared" si="24"/>
        <v>8.3930915595027467E-2</v>
      </c>
      <c r="C148">
        <v>7.8286663771108489E-2</v>
      </c>
      <c r="D148">
        <f t="shared" si="25"/>
        <v>12.773567703993125</v>
      </c>
      <c r="E148" s="1">
        <f t="shared" si="26"/>
        <v>0.26447555748592766</v>
      </c>
      <c r="F148" s="1">
        <f t="shared" si="27"/>
        <v>0.31171333622889152</v>
      </c>
      <c r="G148" s="1">
        <f t="shared" si="28"/>
        <v>0.11533222560037344</v>
      </c>
      <c r="H148" s="1">
        <f t="shared" si="29"/>
        <v>0.11221197928768947</v>
      </c>
      <c r="I148" s="1">
        <f t="shared" si="30"/>
        <v>0.33537497467940214</v>
      </c>
      <c r="J148" s="1">
        <f t="shared" si="31"/>
        <v>0.36692729157365395</v>
      </c>
      <c r="K148" s="1">
        <f t="shared" si="32"/>
        <v>0.23565091434740193</v>
      </c>
      <c r="L148" s="1">
        <f t="shared" si="33"/>
        <v>0.23363366325029522</v>
      </c>
      <c r="M148" s="1">
        <f t="shared" si="34"/>
        <v>0.47717380906635082</v>
      </c>
      <c r="N148" s="1">
        <f t="shared" si="35"/>
        <v>0.4773552022631784</v>
      </c>
      <c r="O148" s="1">
        <f t="shared" si="36"/>
        <v>0.4762882918414586</v>
      </c>
      <c r="P148" s="1">
        <f t="shared" si="37"/>
        <v>0.47647703117550666</v>
      </c>
      <c r="Q148" s="1">
        <f t="shared" si="38"/>
        <v>7.3618889371481924</v>
      </c>
      <c r="T148">
        <v>0.58939265155015608</v>
      </c>
      <c r="U148">
        <f t="shared" si="45"/>
        <v>1.696661804944309</v>
      </c>
      <c r="V148" s="15">
        <f t="shared" si="39"/>
        <v>0</v>
      </c>
      <c r="W148" s="15">
        <f t="shared" si="40"/>
        <v>0</v>
      </c>
      <c r="X148" s="15">
        <f t="shared" si="41"/>
        <v>0</v>
      </c>
      <c r="Y148" s="15">
        <f t="shared" si="42"/>
        <v>0</v>
      </c>
      <c r="Z148" s="15">
        <f t="shared" si="43"/>
        <v>0</v>
      </c>
      <c r="AA148" s="15">
        <f t="shared" si="44"/>
        <v>0</v>
      </c>
      <c r="AC148" s="1"/>
      <c r="AD148" s="1"/>
      <c r="AE148" s="1"/>
    </row>
    <row r="149" spans="1:31">
      <c r="A149">
        <v>356</v>
      </c>
      <c r="B149">
        <f t="shared" si="24"/>
        <v>8.5287356510706874E-2</v>
      </c>
      <c r="C149">
        <v>7.9133413464703817E-2</v>
      </c>
      <c r="D149">
        <f t="shared" si="25"/>
        <v>12.636886950997431</v>
      </c>
      <c r="E149" s="1">
        <f t="shared" si="26"/>
        <v>0.26391105769019746</v>
      </c>
      <c r="F149" s="1">
        <f t="shared" si="27"/>
        <v>0.3108665865352962</v>
      </c>
      <c r="G149" s="1">
        <f t="shared" si="28"/>
        <v>0.11434435095784556</v>
      </c>
      <c r="H149" s="1">
        <f t="shared" si="29"/>
        <v>0.11123700704415102</v>
      </c>
      <c r="I149" s="1">
        <f t="shared" si="30"/>
        <v>0.3347953339700579</v>
      </c>
      <c r="J149" s="1">
        <f t="shared" si="31"/>
        <v>0.36615945892656165</v>
      </c>
      <c r="K149" s="1">
        <f t="shared" si="32"/>
        <v>0.23478787582825233</v>
      </c>
      <c r="L149" s="1">
        <f t="shared" si="33"/>
        <v>0.2327791788022209</v>
      </c>
      <c r="M149" s="1">
        <f t="shared" si="34"/>
        <v>0.4765638865297786</v>
      </c>
      <c r="N149" s="1">
        <f t="shared" si="35"/>
        <v>0.47674520370909224</v>
      </c>
      <c r="O149" s="1">
        <f t="shared" si="36"/>
        <v>0.4756749255690656</v>
      </c>
      <c r="P149" s="1">
        <f t="shared" si="37"/>
        <v>0.4758635223183606</v>
      </c>
      <c r="Q149" s="1">
        <f t="shared" si="38"/>
        <v>7.3477764422549363</v>
      </c>
      <c r="T149">
        <v>0.35495101907982585</v>
      </c>
      <c r="U149">
        <f t="shared" si="45"/>
        <v>2.8172901224298426</v>
      </c>
      <c r="V149" s="15">
        <f t="shared" si="39"/>
        <v>6.7367376143808791E-2</v>
      </c>
      <c r="W149" s="15">
        <f t="shared" si="40"/>
        <v>7.2092928988113147E-2</v>
      </c>
      <c r="X149" s="15">
        <f t="shared" si="41"/>
        <v>8.1544034676721805E-2</v>
      </c>
      <c r="Y149" s="15">
        <f t="shared" si="42"/>
        <v>9.487822594234481E-2</v>
      </c>
      <c r="Z149" s="15">
        <f t="shared" si="43"/>
        <v>9.9017858654419172E-2</v>
      </c>
      <c r="AA149" s="15">
        <f t="shared" si="44"/>
        <v>0.10729712407856795</v>
      </c>
      <c r="AC149" s="1"/>
      <c r="AD149" s="1"/>
      <c r="AE149" s="1"/>
    </row>
    <row r="150" spans="1:31">
      <c r="A150">
        <v>381</v>
      </c>
      <c r="B150">
        <f t="shared" si="24"/>
        <v>8.7631893724693113E-2</v>
      </c>
      <c r="C150">
        <v>8.1108536822149579E-2</v>
      </c>
      <c r="D150">
        <f t="shared" si="25"/>
        <v>12.329158423764271</v>
      </c>
      <c r="E150" s="1">
        <f t="shared" si="26"/>
        <v>0.2625943087852336</v>
      </c>
      <c r="F150" s="1">
        <f t="shared" si="27"/>
        <v>0.30889146317785043</v>
      </c>
      <c r="G150" s="1">
        <f t="shared" si="28"/>
        <v>0.11204004037415884</v>
      </c>
      <c r="H150" s="1">
        <f t="shared" si="29"/>
        <v>0.10896279252049698</v>
      </c>
      <c r="I150" s="1">
        <f t="shared" si="30"/>
        <v>0.33344326745900782</v>
      </c>
      <c r="J150" s="1">
        <f t="shared" si="31"/>
        <v>0.36436841700785494</v>
      </c>
      <c r="K150" s="1">
        <f t="shared" si="32"/>
        <v>0.23277475725207675</v>
      </c>
      <c r="L150" s="1">
        <f t="shared" si="33"/>
        <v>0.23078601340194821</v>
      </c>
      <c r="M150" s="1">
        <f t="shared" si="34"/>
        <v>0.47514118480655598</v>
      </c>
      <c r="N150" s="1">
        <f t="shared" si="35"/>
        <v>0.47532232466786356</v>
      </c>
      <c r="O150" s="1">
        <f t="shared" si="36"/>
        <v>0.47424419100791232</v>
      </c>
      <c r="P150" s="1">
        <f t="shared" si="37"/>
        <v>0.47443245516485055</v>
      </c>
      <c r="Q150" s="1">
        <f t="shared" si="38"/>
        <v>7.3148577196308402</v>
      </c>
      <c r="T150">
        <v>0.72910574517489424</v>
      </c>
      <c r="U150">
        <f t="shared" si="45"/>
        <v>1.3715431631390107</v>
      </c>
      <c r="V150" s="15">
        <f t="shared" si="39"/>
        <v>0</v>
      </c>
      <c r="W150" s="15">
        <f t="shared" si="40"/>
        <v>0</v>
      </c>
      <c r="X150" s="15">
        <f t="shared" si="41"/>
        <v>0</v>
      </c>
      <c r="Y150" s="15">
        <f t="shared" si="42"/>
        <v>0</v>
      </c>
      <c r="Z150" s="15">
        <f t="shared" si="43"/>
        <v>0</v>
      </c>
      <c r="AA150" s="15">
        <f t="shared" si="44"/>
        <v>0</v>
      </c>
      <c r="AC150" s="1"/>
      <c r="AD150" s="1"/>
      <c r="AE150" s="1"/>
    </row>
    <row r="151" spans="1:31">
      <c r="A151">
        <v>568</v>
      </c>
      <c r="B151">
        <f t="shared" si="24"/>
        <v>8.8348207996769748E-2</v>
      </c>
      <c r="C151">
        <v>8.2346380886874848E-2</v>
      </c>
      <c r="D151">
        <f t="shared" si="25"/>
        <v>12.143824527926395</v>
      </c>
      <c r="E151" s="1">
        <f t="shared" si="26"/>
        <v>0.2617690794087501</v>
      </c>
      <c r="F151" s="1">
        <f t="shared" si="27"/>
        <v>0.30765361911312517</v>
      </c>
      <c r="G151" s="1">
        <f t="shared" si="28"/>
        <v>0.11059588896531269</v>
      </c>
      <c r="H151" s="1">
        <f t="shared" si="29"/>
        <v>0.10753750283446054</v>
      </c>
      <c r="I151" s="1">
        <f t="shared" si="30"/>
        <v>0.33259590392624017</v>
      </c>
      <c r="J151" s="1">
        <f t="shared" si="31"/>
        <v>0.3632459399735028</v>
      </c>
      <c r="K151" s="1">
        <f t="shared" si="32"/>
        <v>0.231513100924783</v>
      </c>
      <c r="L151" s="1">
        <f t="shared" si="33"/>
        <v>0.22953686207606144</v>
      </c>
      <c r="M151" s="1">
        <f t="shared" si="34"/>
        <v>0.47424955296122001</v>
      </c>
      <c r="N151" s="1">
        <f t="shared" si="35"/>
        <v>0.47443058169425772</v>
      </c>
      <c r="O151" s="1">
        <f t="shared" si="36"/>
        <v>0.47334752484372333</v>
      </c>
      <c r="P151" s="1">
        <f t="shared" si="37"/>
        <v>0.47353558055926315</v>
      </c>
      <c r="Q151" s="1">
        <f t="shared" si="38"/>
        <v>7.2942269852187529</v>
      </c>
      <c r="T151">
        <v>0.14682611280950553</v>
      </c>
      <c r="U151">
        <f t="shared" si="45"/>
        <v>6.8107775985148873</v>
      </c>
      <c r="V151" s="15">
        <f t="shared" si="39"/>
        <v>8.4734754247587585E-2</v>
      </c>
      <c r="W151" s="15">
        <f t="shared" si="40"/>
        <v>8.8634928446488903E-2</v>
      </c>
      <c r="X151" s="15">
        <f t="shared" si="41"/>
        <v>9.6435276844291457E-2</v>
      </c>
      <c r="Y151" s="15">
        <f t="shared" si="42"/>
        <v>0.12057584520720077</v>
      </c>
      <c r="Z151" s="15">
        <f t="shared" si="43"/>
        <v>0.12387155130979341</v>
      </c>
      <c r="AA151" s="15">
        <f t="shared" si="44"/>
        <v>0.13046296351497871</v>
      </c>
      <c r="AC151" s="1"/>
      <c r="AD151" s="1"/>
      <c r="AE151" s="1"/>
    </row>
    <row r="152" spans="1:31">
      <c r="A152">
        <v>746</v>
      </c>
      <c r="B152">
        <f t="shared" si="24"/>
        <v>8.9687618607568187E-2</v>
      </c>
      <c r="C152">
        <v>8.3427580164211368E-2</v>
      </c>
      <c r="D152">
        <f t="shared" si="25"/>
        <v>11.986443787913897</v>
      </c>
      <c r="E152" s="1">
        <f t="shared" si="26"/>
        <v>0.26104827989052576</v>
      </c>
      <c r="F152" s="1">
        <f t="shared" si="27"/>
        <v>0.30657241983578865</v>
      </c>
      <c r="G152" s="1">
        <f t="shared" si="28"/>
        <v>0.10933448980842009</v>
      </c>
      <c r="H152" s="1">
        <f t="shared" si="29"/>
        <v>0.10629257851608136</v>
      </c>
      <c r="I152" s="1">
        <f t="shared" si="30"/>
        <v>0.33185577125090754</v>
      </c>
      <c r="J152" s="1">
        <f t="shared" si="31"/>
        <v>0.36226550843696859</v>
      </c>
      <c r="K152" s="1">
        <f t="shared" si="32"/>
        <v>0.23041110274246768</v>
      </c>
      <c r="L152" s="1">
        <f t="shared" si="33"/>
        <v>0.22844578643146277</v>
      </c>
      <c r="M152" s="1">
        <f t="shared" si="34"/>
        <v>0.47347075397167082</v>
      </c>
      <c r="N152" s="1">
        <f t="shared" si="35"/>
        <v>0.47365168563932819</v>
      </c>
      <c r="O152" s="1">
        <f t="shared" si="36"/>
        <v>0.47256432861056258</v>
      </c>
      <c r="P152" s="1">
        <f t="shared" si="37"/>
        <v>0.47275220226222553</v>
      </c>
      <c r="Q152" s="1">
        <f t="shared" si="38"/>
        <v>7.2762069972631442</v>
      </c>
      <c r="T152">
        <v>0.82578608503306661</v>
      </c>
      <c r="U152">
        <f t="shared" si="45"/>
        <v>1.2109673656706839</v>
      </c>
      <c r="V152" s="15">
        <f t="shared" si="39"/>
        <v>0</v>
      </c>
      <c r="W152" s="15">
        <f t="shared" si="40"/>
        <v>0</v>
      </c>
      <c r="X152" s="15">
        <f t="shared" si="41"/>
        <v>0</v>
      </c>
      <c r="Y152" s="15">
        <f t="shared" si="42"/>
        <v>0</v>
      </c>
      <c r="Z152" s="15">
        <f t="shared" si="43"/>
        <v>0</v>
      </c>
      <c r="AA152" s="15">
        <f t="shared" si="44"/>
        <v>0</v>
      </c>
      <c r="AC152" s="1"/>
      <c r="AD152" s="1"/>
      <c r="AE152" s="1"/>
    </row>
    <row r="153" spans="1:31">
      <c r="A153">
        <v>154</v>
      </c>
      <c r="B153">
        <f t="shared" si="24"/>
        <v>9.0244561406013502E-2</v>
      </c>
      <c r="C153">
        <v>8.3589628896297952E-2</v>
      </c>
      <c r="D153">
        <f t="shared" si="25"/>
        <v>11.963206598758909</v>
      </c>
      <c r="E153" s="1">
        <f t="shared" si="26"/>
        <v>0.26094024740246802</v>
      </c>
      <c r="F153" s="1">
        <f t="shared" si="27"/>
        <v>0.30641037110370206</v>
      </c>
      <c r="G153" s="1">
        <f t="shared" si="28"/>
        <v>0.10914543295431907</v>
      </c>
      <c r="H153" s="1">
        <f t="shared" si="29"/>
        <v>0.10610599088920644</v>
      </c>
      <c r="I153" s="1">
        <f t="shared" si="30"/>
        <v>0.33174484113457509</v>
      </c>
      <c r="J153" s="1">
        <f t="shared" si="31"/>
        <v>0.36211856264193953</v>
      </c>
      <c r="K153" s="1">
        <f t="shared" si="32"/>
        <v>0.23024593669773463</v>
      </c>
      <c r="L153" s="1">
        <f t="shared" si="33"/>
        <v>0.22828225744238195</v>
      </c>
      <c r="M153" s="1">
        <f t="shared" si="34"/>
        <v>0.47335402859878895</v>
      </c>
      <c r="N153" s="1">
        <f t="shared" si="35"/>
        <v>0.47353494571841415</v>
      </c>
      <c r="O153" s="1">
        <f t="shared" si="36"/>
        <v>0.47244694418456545</v>
      </c>
      <c r="P153" s="1">
        <f t="shared" si="37"/>
        <v>0.47263479054873286</v>
      </c>
      <c r="Q153" s="1">
        <f t="shared" si="38"/>
        <v>7.2735061850617004</v>
      </c>
      <c r="T153">
        <v>0.23313115808510054</v>
      </c>
      <c r="U153">
        <f t="shared" si="45"/>
        <v>4.2894309289836201</v>
      </c>
      <c r="V153" s="15">
        <f t="shared" si="39"/>
        <v>7.5336656166338334E-2</v>
      </c>
      <c r="W153" s="15">
        <f t="shared" si="40"/>
        <v>7.9744640567902578E-2</v>
      </c>
      <c r="X153" s="15">
        <f t="shared" si="41"/>
        <v>8.8560609371031163E-2</v>
      </c>
      <c r="Y153" s="15">
        <f t="shared" si="42"/>
        <v>0.10667309630732455</v>
      </c>
      <c r="Z153" s="15">
        <f t="shared" si="43"/>
        <v>0.11049542359410293</v>
      </c>
      <c r="AA153" s="15">
        <f t="shared" si="44"/>
        <v>0.11814007816765981</v>
      </c>
      <c r="AC153" s="1"/>
      <c r="AD153" s="1"/>
      <c r="AE153" s="1"/>
    </row>
    <row r="154" spans="1:31">
      <c r="A154">
        <v>484</v>
      </c>
      <c r="B154">
        <f t="shared" si="24"/>
        <v>9.3516326703720357E-2</v>
      </c>
      <c r="C154">
        <v>8.5227460916765252E-2</v>
      </c>
      <c r="D154">
        <f t="shared" si="25"/>
        <v>11.733307425134006</v>
      </c>
      <c r="E154" s="1">
        <f t="shared" si="26"/>
        <v>0.25984835938882317</v>
      </c>
      <c r="F154" s="1">
        <f t="shared" si="27"/>
        <v>0.30477253908323476</v>
      </c>
      <c r="G154" s="1">
        <f t="shared" si="28"/>
        <v>0.10723462893044056</v>
      </c>
      <c r="H154" s="1">
        <f t="shared" si="29"/>
        <v>0.10422014342848415</v>
      </c>
      <c r="I154" s="1">
        <f t="shared" si="30"/>
        <v>0.33062366669387427</v>
      </c>
      <c r="J154" s="1">
        <f t="shared" si="31"/>
        <v>0.36063337651753935</v>
      </c>
      <c r="K154" s="1">
        <f t="shared" si="32"/>
        <v>0.22857659789282991</v>
      </c>
      <c r="L154" s="1">
        <f t="shared" si="33"/>
        <v>0.22662946441436785</v>
      </c>
      <c r="M154" s="1">
        <f t="shared" si="34"/>
        <v>0.47217428130397621</v>
      </c>
      <c r="N154" s="1">
        <f t="shared" si="35"/>
        <v>0.47235505138614825</v>
      </c>
      <c r="O154" s="1">
        <f t="shared" si="36"/>
        <v>0.47126053581760829</v>
      </c>
      <c r="P154" s="1">
        <f t="shared" si="37"/>
        <v>0.47144810638613516</v>
      </c>
      <c r="Q154" s="1">
        <f t="shared" si="38"/>
        <v>7.2462089847205791</v>
      </c>
      <c r="T154">
        <v>7.5030476927339218E-2</v>
      </c>
      <c r="U154">
        <f t="shared" si="45"/>
        <v>13.327917413725316</v>
      </c>
      <c r="V154" s="15">
        <f t="shared" si="39"/>
        <v>9.7208422906683301E-2</v>
      </c>
      <c r="W154" s="15">
        <f t="shared" si="40"/>
        <v>0.10033765275754239</v>
      </c>
      <c r="X154" s="15">
        <f t="shared" si="41"/>
        <v>0.10659611245926062</v>
      </c>
      <c r="Y154" s="15">
        <f t="shared" si="42"/>
        <v>0.13901679829946212</v>
      </c>
      <c r="Z154" s="15">
        <f t="shared" si="43"/>
        <v>0.14150356045031762</v>
      </c>
      <c r="AA154" s="15">
        <f t="shared" si="44"/>
        <v>0.1464770847520285</v>
      </c>
      <c r="AC154" s="1"/>
      <c r="AD154" s="1"/>
      <c r="AE154" s="1"/>
    </row>
    <row r="155" spans="1:31">
      <c r="A155">
        <v>974</v>
      </c>
      <c r="B155">
        <f t="shared" si="24"/>
        <v>9.4975918442672821E-2</v>
      </c>
      <c r="C155">
        <v>8.6330915916794093E-2</v>
      </c>
      <c r="D155">
        <f t="shared" si="25"/>
        <v>11.583335927581285</v>
      </c>
      <c r="E155" s="1">
        <f t="shared" si="26"/>
        <v>0.25911272272213726</v>
      </c>
      <c r="F155" s="1">
        <f t="shared" si="27"/>
        <v>0.30366908408320592</v>
      </c>
      <c r="G155" s="1">
        <f t="shared" si="28"/>
        <v>0.10594726476374024</v>
      </c>
      <c r="H155" s="1">
        <f t="shared" si="29"/>
        <v>0.10294959322319999</v>
      </c>
      <c r="I155" s="1">
        <f t="shared" si="30"/>
        <v>0.32986829891071001</v>
      </c>
      <c r="J155" s="1">
        <f t="shared" si="31"/>
        <v>0.35963276349101225</v>
      </c>
      <c r="K155" s="1">
        <f t="shared" si="32"/>
        <v>0.22745191585706856</v>
      </c>
      <c r="L155" s="1">
        <f t="shared" si="33"/>
        <v>0.22551592974903958</v>
      </c>
      <c r="M155" s="1">
        <f t="shared" si="34"/>
        <v>0.47137945128785513</v>
      </c>
      <c r="N155" s="1">
        <f t="shared" si="35"/>
        <v>0.47156012230662459</v>
      </c>
      <c r="O155" s="1">
        <f t="shared" si="36"/>
        <v>0.47046121804372487</v>
      </c>
      <c r="P155" s="1">
        <f t="shared" si="37"/>
        <v>0.47064860280071869</v>
      </c>
      <c r="Q155" s="1">
        <f t="shared" si="38"/>
        <v>7.2278180680534323</v>
      </c>
      <c r="T155">
        <v>0.58811501406059419</v>
      </c>
      <c r="U155">
        <f t="shared" si="45"/>
        <v>1.7003476804572257</v>
      </c>
      <c r="V155" s="15">
        <f t="shared" si="39"/>
        <v>0</v>
      </c>
      <c r="W155" s="15">
        <f t="shared" si="40"/>
        <v>0</v>
      </c>
      <c r="X155" s="15">
        <f t="shared" si="41"/>
        <v>0</v>
      </c>
      <c r="Y155" s="15">
        <f t="shared" si="42"/>
        <v>0</v>
      </c>
      <c r="Z155" s="15">
        <f t="shared" si="43"/>
        <v>0</v>
      </c>
      <c r="AA155" s="15">
        <f t="shared" si="44"/>
        <v>0</v>
      </c>
      <c r="AC155" s="1"/>
      <c r="AD155" s="1"/>
      <c r="AE155" s="1"/>
    </row>
    <row r="156" spans="1:31">
      <c r="A156">
        <v>165</v>
      </c>
      <c r="B156">
        <f t="shared" si="24"/>
        <v>9.8081595732575591E-2</v>
      </c>
      <c r="C156">
        <v>8.761326478923992E-2</v>
      </c>
      <c r="D156">
        <f t="shared" si="25"/>
        <v>11.413796785287852</v>
      </c>
      <c r="E156" s="1">
        <f t="shared" si="26"/>
        <v>0.25825782347384008</v>
      </c>
      <c r="F156" s="1">
        <f t="shared" si="27"/>
        <v>0.30238673521076009</v>
      </c>
      <c r="G156" s="1">
        <f t="shared" si="28"/>
        <v>0.1044511910792201</v>
      </c>
      <c r="H156" s="1">
        <f t="shared" si="29"/>
        <v>0.1014730594061532</v>
      </c>
      <c r="I156" s="1">
        <f t="shared" si="30"/>
        <v>0.32899046970607793</v>
      </c>
      <c r="J156" s="1">
        <f t="shared" si="31"/>
        <v>0.35846992949570833</v>
      </c>
      <c r="K156" s="1">
        <f t="shared" si="32"/>
        <v>0.22614489858823481</v>
      </c>
      <c r="L156" s="1">
        <f t="shared" si="33"/>
        <v>0.22422186707999037</v>
      </c>
      <c r="M156" s="1">
        <f t="shared" si="34"/>
        <v>0.47045576217055335</v>
      </c>
      <c r="N156" s="1">
        <f t="shared" si="35"/>
        <v>0.47063631806560441</v>
      </c>
      <c r="O156" s="1">
        <f t="shared" si="36"/>
        <v>0.46953231360626391</v>
      </c>
      <c r="P156" s="1">
        <f t="shared" si="37"/>
        <v>0.46971948242766459</v>
      </c>
      <c r="Q156" s="1">
        <f t="shared" si="38"/>
        <v>7.2064455868460016</v>
      </c>
      <c r="T156">
        <v>0.85971909248588507</v>
      </c>
      <c r="U156">
        <f t="shared" si="45"/>
        <v>1.1631706318263695</v>
      </c>
      <c r="V156" s="15">
        <f t="shared" si="39"/>
        <v>0</v>
      </c>
      <c r="W156" s="15">
        <f t="shared" si="40"/>
        <v>0</v>
      </c>
      <c r="X156" s="15">
        <f t="shared" si="41"/>
        <v>0</v>
      </c>
      <c r="Y156" s="15">
        <f t="shared" si="42"/>
        <v>0</v>
      </c>
      <c r="Z156" s="15">
        <f t="shared" si="43"/>
        <v>0</v>
      </c>
      <c r="AA156" s="15">
        <f t="shared" si="44"/>
        <v>0</v>
      </c>
      <c r="AC156" s="1"/>
      <c r="AD156" s="1"/>
      <c r="AE156" s="1"/>
    </row>
    <row r="157" spans="1:31">
      <c r="A157">
        <v>815</v>
      </c>
      <c r="B157">
        <f t="shared" si="24"/>
        <v>9.8524533661929273E-2</v>
      </c>
      <c r="C157">
        <v>8.8292451812081563E-2</v>
      </c>
      <c r="D157">
        <f t="shared" si="25"/>
        <v>11.325996497734184</v>
      </c>
      <c r="E157" s="1">
        <f t="shared" si="26"/>
        <v>0.25780503212527894</v>
      </c>
      <c r="F157" s="1">
        <f t="shared" si="27"/>
        <v>0.30170754818791845</v>
      </c>
      <c r="G157" s="1">
        <f t="shared" si="28"/>
        <v>0.10365880621923819</v>
      </c>
      <c r="H157" s="1">
        <f t="shared" si="29"/>
        <v>0.10069102369896511</v>
      </c>
      <c r="I157" s="1">
        <f t="shared" si="30"/>
        <v>0.32852553366810228</v>
      </c>
      <c r="J157" s="1">
        <f t="shared" si="31"/>
        <v>0.35785404268339083</v>
      </c>
      <c r="K157" s="1">
        <f t="shared" si="32"/>
        <v>0.2254526461234834</v>
      </c>
      <c r="L157" s="1">
        <f t="shared" si="33"/>
        <v>0.22353647592751427</v>
      </c>
      <c r="M157" s="1">
        <f t="shared" si="34"/>
        <v>0.46996653675374855</v>
      </c>
      <c r="N157" s="1">
        <f t="shared" si="35"/>
        <v>0.4701470316743353</v>
      </c>
      <c r="O157" s="1">
        <f t="shared" si="36"/>
        <v>0.46904032593197353</v>
      </c>
      <c r="P157" s="1">
        <f t="shared" si="37"/>
        <v>0.46922738038461254</v>
      </c>
      <c r="Q157" s="1">
        <f t="shared" si="38"/>
        <v>7.1951258031319743</v>
      </c>
      <c r="T157">
        <v>0.84772874639696338</v>
      </c>
      <c r="U157">
        <f t="shared" si="45"/>
        <v>1.1796226142503996</v>
      </c>
      <c r="V157" s="15">
        <f t="shared" si="39"/>
        <v>0</v>
      </c>
      <c r="W157" s="15">
        <f t="shared" si="40"/>
        <v>0</v>
      </c>
      <c r="X157" s="15">
        <f t="shared" si="41"/>
        <v>0</v>
      </c>
      <c r="Y157" s="15">
        <f t="shared" si="42"/>
        <v>0</v>
      </c>
      <c r="Z157" s="15">
        <f t="shared" si="43"/>
        <v>0</v>
      </c>
      <c r="AA157" s="15">
        <f t="shared" si="44"/>
        <v>0</v>
      </c>
      <c r="AC157" s="1"/>
      <c r="AD157" s="1"/>
      <c r="AE157" s="1"/>
    </row>
    <row r="158" spans="1:31">
      <c r="A158">
        <v>507</v>
      </c>
      <c r="B158">
        <f t="shared" si="24"/>
        <v>9.8905413084839383E-2</v>
      </c>
      <c r="C158">
        <v>8.8503621880476779E-2</v>
      </c>
      <c r="D158">
        <f t="shared" si="25"/>
        <v>11.298972615499167</v>
      </c>
      <c r="E158" s="1">
        <f t="shared" si="26"/>
        <v>0.25766425207968213</v>
      </c>
      <c r="F158" s="1">
        <f t="shared" si="27"/>
        <v>0.30149637811952323</v>
      </c>
      <c r="G158" s="1">
        <f t="shared" si="28"/>
        <v>0.10341244113944377</v>
      </c>
      <c r="H158" s="1">
        <f t="shared" si="29"/>
        <v>0.1004478763356903</v>
      </c>
      <c r="I158" s="1">
        <f t="shared" si="30"/>
        <v>0.32838097764503821</v>
      </c>
      <c r="J158" s="1">
        <f t="shared" si="31"/>
        <v>0.35766255365915028</v>
      </c>
      <c r="K158" s="1">
        <f t="shared" si="32"/>
        <v>0.22523741380099777</v>
      </c>
      <c r="L158" s="1">
        <f t="shared" si="33"/>
        <v>0.22332337689635157</v>
      </c>
      <c r="M158" s="1">
        <f t="shared" si="34"/>
        <v>0.46981442877574991</v>
      </c>
      <c r="N158" s="1">
        <f t="shared" si="35"/>
        <v>0.46999490473840411</v>
      </c>
      <c r="O158" s="1">
        <f t="shared" si="36"/>
        <v>0.46888735912410545</v>
      </c>
      <c r="P158" s="1">
        <f t="shared" si="37"/>
        <v>0.46907437801767393</v>
      </c>
      <c r="Q158" s="1">
        <f t="shared" si="38"/>
        <v>7.1916063019920538</v>
      </c>
      <c r="T158">
        <v>0.96966208412411015</v>
      </c>
      <c r="U158">
        <f t="shared" si="45"/>
        <v>1.0312871013238534</v>
      </c>
      <c r="V158" s="15">
        <f t="shared" si="39"/>
        <v>0</v>
      </c>
      <c r="W158" s="15">
        <f t="shared" si="40"/>
        <v>0</v>
      </c>
      <c r="X158" s="15">
        <f t="shared" si="41"/>
        <v>0</v>
      </c>
      <c r="Y158" s="15">
        <f t="shared" si="42"/>
        <v>0</v>
      </c>
      <c r="Z158" s="15">
        <f t="shared" si="43"/>
        <v>0</v>
      </c>
      <c r="AA158" s="15">
        <f t="shared" si="44"/>
        <v>0</v>
      </c>
      <c r="AC158" s="1"/>
      <c r="AD158" s="1"/>
      <c r="AE158" s="1"/>
    </row>
    <row r="159" spans="1:31">
      <c r="A159">
        <v>97</v>
      </c>
      <c r="B159">
        <f t="shared" si="24"/>
        <v>0.10189614886571398</v>
      </c>
      <c r="C159">
        <v>9.1943946846710922E-2</v>
      </c>
      <c r="D159">
        <f t="shared" si="25"/>
        <v>10.876191791801165</v>
      </c>
      <c r="E159" s="1">
        <f t="shared" si="26"/>
        <v>0.2553707021021927</v>
      </c>
      <c r="F159" s="1">
        <f t="shared" si="27"/>
        <v>0.29805605315328909</v>
      </c>
      <c r="G159" s="1">
        <f t="shared" si="28"/>
        <v>9.939872867883727E-2</v>
      </c>
      <c r="H159" s="1">
        <f t="shared" si="29"/>
        <v>9.6486586032072344E-2</v>
      </c>
      <c r="I159" s="1">
        <f t="shared" si="30"/>
        <v>0.32602591047597279</v>
      </c>
      <c r="J159" s="1">
        <f t="shared" si="31"/>
        <v>0.35454286687843845</v>
      </c>
      <c r="K159" s="1">
        <f t="shared" si="32"/>
        <v>0.22173090770278472</v>
      </c>
      <c r="L159" s="1">
        <f t="shared" si="33"/>
        <v>0.21985162579658232</v>
      </c>
      <c r="M159" s="1">
        <f t="shared" si="34"/>
        <v>0.46733632722353252</v>
      </c>
      <c r="N159" s="1">
        <f t="shared" si="35"/>
        <v>0.46751649432873688</v>
      </c>
      <c r="O159" s="1">
        <f t="shared" si="36"/>
        <v>0.46639526575067936</v>
      </c>
      <c r="P159" s="1">
        <f t="shared" si="37"/>
        <v>0.46658170532560217</v>
      </c>
      <c r="Q159" s="1">
        <f t="shared" si="38"/>
        <v>7.1342675525548183</v>
      </c>
      <c r="T159">
        <v>0.21950003089387171</v>
      </c>
      <c r="U159">
        <f t="shared" si="45"/>
        <v>4.5558080148221034</v>
      </c>
      <c r="V159" s="15">
        <f t="shared" si="39"/>
        <v>7.6228384893678808E-2</v>
      </c>
      <c r="W159" s="15">
        <f t="shared" si="40"/>
        <v>8.0600834729700421E-2</v>
      </c>
      <c r="X159" s="15">
        <f t="shared" si="41"/>
        <v>8.9345734401743773E-2</v>
      </c>
      <c r="Y159" s="15">
        <f t="shared" si="42"/>
        <v>0.10799289241311764</v>
      </c>
      <c r="Z159" s="15">
        <f t="shared" si="43"/>
        <v>0.11177971456489293</v>
      </c>
      <c r="AA159" s="15">
        <f t="shared" si="44"/>
        <v>0.11935335886844362</v>
      </c>
      <c r="AC159" s="1"/>
      <c r="AD159" s="1"/>
      <c r="AE159" s="1"/>
    </row>
    <row r="160" spans="1:31">
      <c r="A160">
        <v>522</v>
      </c>
      <c r="B160">
        <f t="shared" si="24"/>
        <v>0.1021057480285526</v>
      </c>
      <c r="C160">
        <v>9.3436614519388228E-2</v>
      </c>
      <c r="D160">
        <f t="shared" si="25"/>
        <v>10.702442561127882</v>
      </c>
      <c r="E160" s="1">
        <f t="shared" si="26"/>
        <v>0.25437559032040785</v>
      </c>
      <c r="F160" s="1">
        <f t="shared" si="27"/>
        <v>0.29656338548061179</v>
      </c>
      <c r="G160" s="1">
        <f t="shared" si="28"/>
        <v>9.7657283060713751E-2</v>
      </c>
      <c r="H160" s="1">
        <f t="shared" si="29"/>
        <v>9.4767885026692325E-2</v>
      </c>
      <c r="I160" s="1">
        <f t="shared" si="30"/>
        <v>0.32500410798209517</v>
      </c>
      <c r="J160" s="1">
        <f t="shared" si="31"/>
        <v>0.3531893157888899</v>
      </c>
      <c r="K160" s="1">
        <f t="shared" si="32"/>
        <v>0.22020952575537592</v>
      </c>
      <c r="L160" s="1">
        <f t="shared" si="33"/>
        <v>0.21834532314056318</v>
      </c>
      <c r="M160" s="1">
        <f t="shared" si="34"/>
        <v>0.46626114330546931</v>
      </c>
      <c r="N160" s="1">
        <f t="shared" si="35"/>
        <v>0.46644117640544586</v>
      </c>
      <c r="O160" s="1">
        <f t="shared" si="36"/>
        <v>0.46531401114469995</v>
      </c>
      <c r="P160" s="1">
        <f t="shared" si="37"/>
        <v>0.46550019936830478</v>
      </c>
      <c r="Q160" s="1">
        <f t="shared" si="38"/>
        <v>7.1093897580101961</v>
      </c>
      <c r="T160">
        <v>9.7697351713432745E-4</v>
      </c>
      <c r="U160">
        <f t="shared" si="45"/>
        <v>1023.5691986137087</v>
      </c>
      <c r="V160" s="15">
        <f t="shared" si="39"/>
        <v>0.10304197639427203</v>
      </c>
      <c r="W160" s="15">
        <f t="shared" si="40"/>
        <v>0.1057753682453844</v>
      </c>
      <c r="X160" s="15">
        <f t="shared" si="41"/>
        <v>0.11124215194760896</v>
      </c>
      <c r="Y160" s="15">
        <f t="shared" si="42"/>
        <v>0.14763297309330198</v>
      </c>
      <c r="Z160" s="15">
        <f t="shared" si="43"/>
        <v>0.14970192057754048</v>
      </c>
      <c r="AA160" s="15">
        <f t="shared" si="44"/>
        <v>0.15383981554601778</v>
      </c>
      <c r="AC160" s="1"/>
      <c r="AD160" s="1"/>
      <c r="AE160" s="1"/>
    </row>
    <row r="161" spans="1:31">
      <c r="A161">
        <v>433</v>
      </c>
      <c r="B161">
        <f t="shared" si="24"/>
        <v>0.10215520236671663</v>
      </c>
      <c r="C161">
        <v>9.3997046548945584E-2</v>
      </c>
      <c r="D161">
        <f t="shared" si="25"/>
        <v>10.638632134886132</v>
      </c>
      <c r="E161" s="1">
        <f t="shared" si="26"/>
        <v>0.2540019689673696</v>
      </c>
      <c r="F161" s="1">
        <f t="shared" si="27"/>
        <v>0.29600295345105443</v>
      </c>
      <c r="G161" s="1">
        <f t="shared" si="28"/>
        <v>9.7003445692896831E-2</v>
      </c>
      <c r="H161" s="1">
        <f t="shared" si="29"/>
        <v>9.4122587275371872E-2</v>
      </c>
      <c r="I161" s="1">
        <f t="shared" si="30"/>
        <v>0.32462046542325051</v>
      </c>
      <c r="J161" s="1">
        <f t="shared" si="31"/>
        <v>0.35268111600798047</v>
      </c>
      <c r="K161" s="1">
        <f t="shared" si="32"/>
        <v>0.21963831275992801</v>
      </c>
      <c r="L161" s="1">
        <f t="shared" si="33"/>
        <v>0.21777977176560356</v>
      </c>
      <c r="M161" s="1">
        <f t="shared" si="34"/>
        <v>0.4658574583350118</v>
      </c>
      <c r="N161" s="1">
        <f t="shared" si="35"/>
        <v>0.46603744112183215</v>
      </c>
      <c r="O161" s="1">
        <f t="shared" si="36"/>
        <v>0.46490804689399012</v>
      </c>
      <c r="P161" s="1">
        <f t="shared" si="37"/>
        <v>0.46509414074606681</v>
      </c>
      <c r="Q161" s="1">
        <f t="shared" si="38"/>
        <v>7.1000492241842403</v>
      </c>
      <c r="T161">
        <v>4.4261514950830971E-2</v>
      </c>
      <c r="U161">
        <f t="shared" si="45"/>
        <v>22.592990798233529</v>
      </c>
      <c r="V161" s="15">
        <f t="shared" si="39"/>
        <v>0.10304197639427203</v>
      </c>
      <c r="W161" s="15">
        <f t="shared" si="40"/>
        <v>0.1057753682453844</v>
      </c>
      <c r="X161" s="15">
        <f t="shared" si="41"/>
        <v>0.11124215194760896</v>
      </c>
      <c r="Y161" s="15">
        <f t="shared" si="42"/>
        <v>0.14763297309330198</v>
      </c>
      <c r="Z161" s="15">
        <f t="shared" si="43"/>
        <v>0.14970192057754048</v>
      </c>
      <c r="AA161" s="15">
        <f t="shared" si="44"/>
        <v>0.15383981554601778</v>
      </c>
      <c r="AC161" s="1"/>
      <c r="AD161" s="1"/>
      <c r="AE161" s="1"/>
    </row>
    <row r="162" spans="1:31">
      <c r="A162">
        <v>765</v>
      </c>
      <c r="B162">
        <f t="shared" si="24"/>
        <v>0.10679289098789221</v>
      </c>
      <c r="C162">
        <v>9.7999221213034393E-2</v>
      </c>
      <c r="D162">
        <f t="shared" si="25"/>
        <v>10.204162723152283</v>
      </c>
      <c r="E162" s="1">
        <f t="shared" si="26"/>
        <v>0.25133385252464374</v>
      </c>
      <c r="F162" s="1">
        <f t="shared" si="27"/>
        <v>0.29200077878696562</v>
      </c>
      <c r="G162" s="1">
        <f t="shared" si="28"/>
        <v>9.2334241918126558E-2</v>
      </c>
      <c r="H162" s="1">
        <f t="shared" si="29"/>
        <v>8.9514366875891885E-2</v>
      </c>
      <c r="I162" s="1">
        <f t="shared" si="30"/>
        <v>0.32188078523351016</v>
      </c>
      <c r="J162" s="1">
        <f t="shared" si="31"/>
        <v>0.3490519439047054</v>
      </c>
      <c r="K162" s="1">
        <f t="shared" si="32"/>
        <v>0.21555914872644932</v>
      </c>
      <c r="L162" s="1">
        <f t="shared" si="33"/>
        <v>0.2137410386726864</v>
      </c>
      <c r="M162" s="1">
        <f t="shared" si="34"/>
        <v>0.46297465065124238</v>
      </c>
      <c r="N162" s="1">
        <f t="shared" si="35"/>
        <v>0.46315427414018456</v>
      </c>
      <c r="O162" s="1">
        <f t="shared" si="36"/>
        <v>0.46200896234309458</v>
      </c>
      <c r="P162" s="1">
        <f t="shared" si="37"/>
        <v>0.46219438226627535</v>
      </c>
      <c r="Q162" s="1">
        <f t="shared" si="38"/>
        <v>7.0333463131160938</v>
      </c>
      <c r="T162">
        <v>0.74604478663628293</v>
      </c>
      <c r="U162">
        <f t="shared" si="45"/>
        <v>1.3404021017407459</v>
      </c>
      <c r="V162" s="15">
        <f t="shared" si="39"/>
        <v>0</v>
      </c>
      <c r="W162" s="15">
        <f t="shared" si="40"/>
        <v>0</v>
      </c>
      <c r="X162" s="15">
        <f t="shared" si="41"/>
        <v>0</v>
      </c>
      <c r="Y162" s="15">
        <f t="shared" si="42"/>
        <v>0</v>
      </c>
      <c r="Z162" s="15">
        <f t="shared" si="43"/>
        <v>0</v>
      </c>
      <c r="AA162" s="15">
        <f t="shared" si="44"/>
        <v>0</v>
      </c>
      <c r="AC162" s="1"/>
      <c r="AD162" s="1"/>
      <c r="AE162" s="1"/>
    </row>
    <row r="163" spans="1:31">
      <c r="A163">
        <v>1</v>
      </c>
      <c r="B163">
        <f t="shared" si="24"/>
        <v>0.10688307289831668</v>
      </c>
      <c r="C163">
        <v>9.8155930583614603E-2</v>
      </c>
      <c r="D163">
        <f t="shared" si="25"/>
        <v>10.18787142105637</v>
      </c>
      <c r="E163" s="1">
        <f t="shared" si="26"/>
        <v>0.25122937961092362</v>
      </c>
      <c r="F163" s="1">
        <f t="shared" si="27"/>
        <v>0.29184406941638541</v>
      </c>
      <c r="G163" s="1">
        <f t="shared" si="28"/>
        <v>9.2151414319116304E-2</v>
      </c>
      <c r="H163" s="1">
        <f t="shared" si="29"/>
        <v>8.9333927145268138E-2</v>
      </c>
      <c r="I163" s="1">
        <f t="shared" si="30"/>
        <v>0.32177351016578815</v>
      </c>
      <c r="J163" s="1">
        <f t="shared" si="31"/>
        <v>0.34890983984284751</v>
      </c>
      <c r="K163" s="1">
        <f t="shared" si="32"/>
        <v>0.21539942475590007</v>
      </c>
      <c r="L163" s="1">
        <f t="shared" si="33"/>
        <v>0.21358289781826256</v>
      </c>
      <c r="M163" s="1">
        <f t="shared" si="34"/>
        <v>0.4628617712755167</v>
      </c>
      <c r="N163" s="1">
        <f t="shared" si="35"/>
        <v>0.4630413806957715</v>
      </c>
      <c r="O163" s="1">
        <f t="shared" si="36"/>
        <v>0.46189544562946727</v>
      </c>
      <c r="P163" s="1">
        <f t="shared" si="37"/>
        <v>0.46208083916425124</v>
      </c>
      <c r="Q163" s="1">
        <f t="shared" si="38"/>
        <v>7.0307344902730904</v>
      </c>
      <c r="T163">
        <v>0.15390228353404989</v>
      </c>
      <c r="U163">
        <f t="shared" si="45"/>
        <v>6.4976293855883984</v>
      </c>
      <c r="V163" s="15">
        <f t="shared" si="39"/>
        <v>8.3772520555285127E-2</v>
      </c>
      <c r="W163" s="15">
        <f t="shared" si="40"/>
        <v>8.7728778537437477E-2</v>
      </c>
      <c r="X163" s="15">
        <f t="shared" si="41"/>
        <v>9.5641294501742136E-2</v>
      </c>
      <c r="Y163" s="15">
        <f t="shared" si="42"/>
        <v>0.11915260801288352</v>
      </c>
      <c r="Z163" s="15">
        <f t="shared" si="43"/>
        <v>0.12250691070904832</v>
      </c>
      <c r="AA163" s="15">
        <f t="shared" si="44"/>
        <v>0.12921551610137791</v>
      </c>
      <c r="AC163" s="1"/>
      <c r="AD163" s="1"/>
      <c r="AE163" s="1"/>
    </row>
    <row r="164" spans="1:31">
      <c r="A164">
        <v>349</v>
      </c>
      <c r="B164">
        <f t="shared" si="24"/>
        <v>0.10858709775469974</v>
      </c>
      <c r="C164">
        <v>9.9961398027419879E-2</v>
      </c>
      <c r="D164">
        <f t="shared" si="25"/>
        <v>10.003861687945735</v>
      </c>
      <c r="E164" s="1">
        <f t="shared" si="26"/>
        <v>0.25002573464838673</v>
      </c>
      <c r="F164" s="1">
        <f t="shared" si="27"/>
        <v>0.29003860197258013</v>
      </c>
      <c r="G164" s="1">
        <f t="shared" si="28"/>
        <v>9.004503563467682E-2</v>
      </c>
      <c r="H164" s="1">
        <f t="shared" si="29"/>
        <v>8.7255059378752331E-2</v>
      </c>
      <c r="I164" s="1">
        <f t="shared" si="30"/>
        <v>0.32053758125109133</v>
      </c>
      <c r="J164" s="1">
        <f t="shared" si="31"/>
        <v>0.34727264191162699</v>
      </c>
      <c r="K164" s="1">
        <f t="shared" si="32"/>
        <v>0.21355922574447989</v>
      </c>
      <c r="L164" s="1">
        <f t="shared" si="33"/>
        <v>0.21176093807749721</v>
      </c>
      <c r="M164" s="1">
        <f t="shared" si="34"/>
        <v>0.46156127445649986</v>
      </c>
      <c r="N164" s="1">
        <f t="shared" si="35"/>
        <v>0.46174072178972042</v>
      </c>
      <c r="O164" s="1">
        <f t="shared" si="36"/>
        <v>0.46058760596408566</v>
      </c>
      <c r="P164" s="1">
        <f t="shared" si="37"/>
        <v>0.46077269547498684</v>
      </c>
      <c r="Q164" s="1">
        <f t="shared" si="38"/>
        <v>7.000643366209669</v>
      </c>
      <c r="T164">
        <v>0.60952095379045224</v>
      </c>
      <c r="U164">
        <f t="shared" si="45"/>
        <v>1.6406326866718202</v>
      </c>
      <c r="V164" s="15">
        <f t="shared" si="39"/>
        <v>0</v>
      </c>
      <c r="W164" s="15">
        <f t="shared" si="40"/>
        <v>0</v>
      </c>
      <c r="X164" s="15">
        <f t="shared" si="41"/>
        <v>0</v>
      </c>
      <c r="Y164" s="15">
        <f t="shared" si="42"/>
        <v>0</v>
      </c>
      <c r="Z164" s="15">
        <f t="shared" si="43"/>
        <v>0</v>
      </c>
      <c r="AA164" s="15">
        <f t="shared" si="44"/>
        <v>0</v>
      </c>
      <c r="AC164" s="1"/>
      <c r="AD164" s="1"/>
      <c r="AE164" s="1"/>
    </row>
    <row r="165" spans="1:31">
      <c r="A165">
        <v>441</v>
      </c>
      <c r="B165">
        <f t="shared" si="24"/>
        <v>0.10873068553286482</v>
      </c>
      <c r="C165">
        <v>0.10024294532853206</v>
      </c>
      <c r="D165">
        <f t="shared" si="25"/>
        <v>9.9757643465347261</v>
      </c>
      <c r="E165" s="1">
        <f t="shared" si="26"/>
        <v>0.24993251518651888</v>
      </c>
      <c r="F165" s="1">
        <f t="shared" si="27"/>
        <v>0.28992171761636187</v>
      </c>
      <c r="G165" s="1">
        <f t="shared" si="28"/>
        <v>8.9975705467146797E-2</v>
      </c>
      <c r="H165" s="1">
        <f t="shared" si="29"/>
        <v>8.7187070376414003E-2</v>
      </c>
      <c r="I165" s="1">
        <f t="shared" si="30"/>
        <v>0.32042463781009989</v>
      </c>
      <c r="J165" s="1">
        <f t="shared" si="31"/>
        <v>0.34714390457291483</v>
      </c>
      <c r="K165" s="1">
        <f t="shared" si="32"/>
        <v>0.21346224379280809</v>
      </c>
      <c r="L165" s="1">
        <f t="shared" si="33"/>
        <v>0.21166483141549253</v>
      </c>
      <c r="M165" s="1">
        <f t="shared" si="34"/>
        <v>0.46140888305726124</v>
      </c>
      <c r="N165" s="1">
        <f t="shared" si="35"/>
        <v>0.46158827848602041</v>
      </c>
      <c r="O165" s="1">
        <f t="shared" si="36"/>
        <v>0.46043532044413032</v>
      </c>
      <c r="P165" s="1">
        <f t="shared" si="37"/>
        <v>0.46062035349364944</v>
      </c>
      <c r="Q165" s="1">
        <f t="shared" si="38"/>
        <v>6.9981104252225288</v>
      </c>
      <c r="T165">
        <v>4.2511941850187251E-2</v>
      </c>
      <c r="U165">
        <f t="shared" si="45"/>
        <v>23.522802216939787</v>
      </c>
      <c r="V165" s="15">
        <f t="shared" si="39"/>
        <v>0.10304197639427203</v>
      </c>
      <c r="W165" s="15">
        <f t="shared" si="40"/>
        <v>0.1057753682453844</v>
      </c>
      <c r="X165" s="15">
        <f t="shared" si="41"/>
        <v>0.11124215194760896</v>
      </c>
      <c r="Y165" s="15">
        <f t="shared" si="42"/>
        <v>0.14763297309330198</v>
      </c>
      <c r="Z165" s="15">
        <f t="shared" si="43"/>
        <v>0.14970192057754048</v>
      </c>
      <c r="AA165" s="15">
        <f t="shared" si="44"/>
        <v>0.15383981554601778</v>
      </c>
      <c r="AC165" s="1"/>
      <c r="AD165" s="1"/>
      <c r="AE165" s="1"/>
    </row>
    <row r="166" spans="1:31">
      <c r="A166">
        <v>64</v>
      </c>
      <c r="B166">
        <f t="shared" si="24"/>
        <v>0.10974740785108618</v>
      </c>
      <c r="C166">
        <v>0.10146612679940525</v>
      </c>
      <c r="D166">
        <f t="shared" si="25"/>
        <v>9.8555057884190518</v>
      </c>
      <c r="E166" s="1">
        <f t="shared" si="26"/>
        <v>0.24959274255572075</v>
      </c>
      <c r="F166" s="1">
        <f t="shared" si="27"/>
        <v>0.28952758136463608</v>
      </c>
      <c r="G166" s="1">
        <f t="shared" si="28"/>
        <v>8.9853387320059472E-2</v>
      </c>
      <c r="H166" s="1">
        <f t="shared" si="29"/>
        <v>8.7068543260199194E-2</v>
      </c>
      <c r="I166" s="1">
        <f t="shared" si="30"/>
        <v>0.31998903413492369</v>
      </c>
      <c r="J166" s="1">
        <f t="shared" si="31"/>
        <v>0.34667197719030018</v>
      </c>
      <c r="K166" s="1">
        <f t="shared" si="32"/>
        <v>0.21317205094576927</v>
      </c>
      <c r="L166" s="1">
        <f t="shared" si="33"/>
        <v>0.21137708207418007</v>
      </c>
      <c r="M166" s="1">
        <f t="shared" si="34"/>
        <v>0.46078161729332895</v>
      </c>
      <c r="N166" s="1">
        <f t="shared" si="35"/>
        <v>0.46096076884162812</v>
      </c>
      <c r="O166" s="1">
        <f t="shared" si="36"/>
        <v>0.45980937819718853</v>
      </c>
      <c r="P166" s="1">
        <f t="shared" si="37"/>
        <v>0.4599941597021418</v>
      </c>
      <c r="Q166" s="1">
        <f t="shared" si="38"/>
        <v>6.9885967915601812</v>
      </c>
      <c r="T166">
        <v>0.16890731381547297</v>
      </c>
      <c r="U166">
        <f t="shared" si="45"/>
        <v>5.9204067450416922</v>
      </c>
      <c r="V166" s="15">
        <f t="shared" si="39"/>
        <v>8.1732102615576147E-2</v>
      </c>
      <c r="W166" s="15">
        <f t="shared" si="40"/>
        <v>8.5807286341430464E-2</v>
      </c>
      <c r="X166" s="15">
        <f t="shared" si="41"/>
        <v>9.3957653793139112E-2</v>
      </c>
      <c r="Y166" s="15">
        <f t="shared" si="42"/>
        <v>0.11613463147872451</v>
      </c>
      <c r="Z166" s="15">
        <f t="shared" si="43"/>
        <v>0.1196131883365206</v>
      </c>
      <c r="AA166" s="15">
        <f t="shared" si="44"/>
        <v>0.12657030205211284</v>
      </c>
      <c r="AC166" s="1"/>
      <c r="AD166" s="1"/>
      <c r="AE166" s="1"/>
    </row>
    <row r="167" spans="1:31">
      <c r="A167">
        <v>300</v>
      </c>
      <c r="B167">
        <f t="shared" si="24"/>
        <v>0.11053706633485573</v>
      </c>
      <c r="C167">
        <v>0.1019708458166495</v>
      </c>
      <c r="D167">
        <f t="shared" si="25"/>
        <v>9.8067245788866728</v>
      </c>
      <c r="E167" s="1">
        <f t="shared" si="26"/>
        <v>0.24945254282870846</v>
      </c>
      <c r="F167" s="1">
        <f t="shared" si="27"/>
        <v>0.28936494968130183</v>
      </c>
      <c r="G167" s="1">
        <f t="shared" si="28"/>
        <v>8.9802915418335044E-2</v>
      </c>
      <c r="H167" s="1">
        <f t="shared" si="29"/>
        <v>8.7019635644250734E-2</v>
      </c>
      <c r="I167" s="1">
        <f t="shared" si="30"/>
        <v>0.31980929182842366</v>
      </c>
      <c r="J167" s="1">
        <f t="shared" si="31"/>
        <v>0.34647724670227714</v>
      </c>
      <c r="K167" s="1">
        <f t="shared" si="32"/>
        <v>0.21305230922955098</v>
      </c>
      <c r="L167" s="1">
        <f t="shared" si="33"/>
        <v>0.21125834861702902</v>
      </c>
      <c r="M167" s="1">
        <f t="shared" si="34"/>
        <v>0.46052278982785333</v>
      </c>
      <c r="N167" s="1">
        <f t="shared" si="35"/>
        <v>0.46070184074422743</v>
      </c>
      <c r="O167" s="1">
        <f t="shared" si="36"/>
        <v>0.45955109685198253</v>
      </c>
      <c r="P167" s="1">
        <f t="shared" si="37"/>
        <v>0.45973577456258552</v>
      </c>
      <c r="Q167" s="1">
        <f t="shared" si="38"/>
        <v>6.9846711992038371</v>
      </c>
      <c r="T167">
        <v>5.4815412333840907E-2</v>
      </c>
      <c r="U167">
        <f t="shared" si="45"/>
        <v>18.243044381564175</v>
      </c>
      <c r="V167" s="15">
        <f t="shared" si="39"/>
        <v>0.10167008590160975</v>
      </c>
      <c r="W167" s="15">
        <f t="shared" si="40"/>
        <v>0.10449731362732495</v>
      </c>
      <c r="X167" s="15">
        <f t="shared" si="41"/>
        <v>0.11015176907875525</v>
      </c>
      <c r="Y167" s="15">
        <f t="shared" si="42"/>
        <v>0.14560689104068836</v>
      </c>
      <c r="Z167" s="15">
        <f t="shared" si="43"/>
        <v>0.14777492653054564</v>
      </c>
      <c r="AA167" s="15">
        <f t="shared" si="44"/>
        <v>0.15211099751026039</v>
      </c>
      <c r="AC167" s="1"/>
      <c r="AD167" s="1"/>
      <c r="AE167" s="1"/>
    </row>
    <row r="168" spans="1:31">
      <c r="A168">
        <v>798</v>
      </c>
      <c r="B168">
        <f t="shared" si="24"/>
        <v>0.11070070076369057</v>
      </c>
      <c r="C168">
        <v>0.10207543458484025</v>
      </c>
      <c r="D168">
        <f t="shared" si="25"/>
        <v>9.796676390036307</v>
      </c>
      <c r="E168" s="1">
        <f t="shared" si="26"/>
        <v>0.24942349039309994</v>
      </c>
      <c r="F168" s="1">
        <f t="shared" si="27"/>
        <v>0.28933124885599593</v>
      </c>
      <c r="G168" s="1">
        <f t="shared" si="28"/>
        <v>8.9792456541515978E-2</v>
      </c>
      <c r="H168" s="1">
        <f t="shared" si="29"/>
        <v>8.70095009214992E-2</v>
      </c>
      <c r="I168" s="1">
        <f t="shared" si="30"/>
        <v>0.31977204530949666</v>
      </c>
      <c r="J168" s="1">
        <f t="shared" si="31"/>
        <v>0.34643689430584335</v>
      </c>
      <c r="K168" s="1">
        <f t="shared" si="32"/>
        <v>0.21302749613915331</v>
      </c>
      <c r="L168" s="1">
        <f t="shared" si="33"/>
        <v>0.21123374445986004</v>
      </c>
      <c r="M168" s="1">
        <f t="shared" si="34"/>
        <v>0.46046915514228942</v>
      </c>
      <c r="N168" s="1">
        <f t="shared" si="35"/>
        <v>0.46064818520553785</v>
      </c>
      <c r="O168" s="1">
        <f t="shared" si="36"/>
        <v>0.45949757533442764</v>
      </c>
      <c r="P168" s="1">
        <f t="shared" si="37"/>
        <v>0.45968223153658161</v>
      </c>
      <c r="Q168" s="1">
        <f t="shared" si="38"/>
        <v>6.9838577310067977</v>
      </c>
      <c r="T168">
        <v>0.36692724369824059</v>
      </c>
      <c r="U168">
        <f t="shared" si="45"/>
        <v>2.7253359274199758</v>
      </c>
      <c r="V168" s="15">
        <f t="shared" si="39"/>
        <v>6.6583908761581254E-2</v>
      </c>
      <c r="W168" s="15">
        <f t="shared" si="40"/>
        <v>7.134068205689352E-2</v>
      </c>
      <c r="X168" s="15">
        <f t="shared" si="41"/>
        <v>8.085422864751797E-2</v>
      </c>
      <c r="Y168" s="15">
        <f t="shared" si="42"/>
        <v>9.3718661190894323E-2</v>
      </c>
      <c r="Z168" s="15">
        <f t="shared" si="43"/>
        <v>9.788948849648535E-2</v>
      </c>
      <c r="AA168" s="15">
        <f t="shared" si="44"/>
        <v>0.10623114310766744</v>
      </c>
      <c r="AC168" s="1"/>
      <c r="AD168" s="1"/>
      <c r="AE168" s="1"/>
    </row>
    <row r="169" spans="1:31">
      <c r="A169">
        <v>570</v>
      </c>
      <c r="B169">
        <f t="shared" si="24"/>
        <v>0.11084534846122193</v>
      </c>
      <c r="C169">
        <v>0.10216376615654776</v>
      </c>
      <c r="D169">
        <f t="shared" si="25"/>
        <v>9.7882061088828518</v>
      </c>
      <c r="E169" s="1">
        <f t="shared" si="26"/>
        <v>0.24939895384540339</v>
      </c>
      <c r="F169" s="1">
        <f t="shared" si="27"/>
        <v>0.28930278646066793</v>
      </c>
      <c r="G169" s="1">
        <f t="shared" si="28"/>
        <v>8.9783623384345215E-2</v>
      </c>
      <c r="H169" s="1">
        <f t="shared" si="29"/>
        <v>8.7000941532140774E-2</v>
      </c>
      <c r="I169" s="1">
        <f t="shared" si="30"/>
        <v>0.31974058836039615</v>
      </c>
      <c r="J169" s="1">
        <f t="shared" si="31"/>
        <v>0.34640281425441122</v>
      </c>
      <c r="K169" s="1">
        <f t="shared" si="32"/>
        <v>0.21300653997615737</v>
      </c>
      <c r="L169" s="1">
        <f t="shared" si="33"/>
        <v>0.21121296475367482</v>
      </c>
      <c r="M169" s="1">
        <f t="shared" si="34"/>
        <v>0.46042385739038111</v>
      </c>
      <c r="N169" s="1">
        <f t="shared" si="35"/>
        <v>0.46060286984189747</v>
      </c>
      <c r="O169" s="1">
        <f t="shared" si="36"/>
        <v>0.45945237315978132</v>
      </c>
      <c r="P169" s="1">
        <f t="shared" si="37"/>
        <v>0.45963701119674283</v>
      </c>
      <c r="Q169" s="1">
        <f t="shared" si="38"/>
        <v>6.9831707076712952</v>
      </c>
      <c r="T169">
        <v>0.30589037459781809</v>
      </c>
      <c r="U169">
        <f t="shared" si="45"/>
        <v>3.2691450370571187</v>
      </c>
      <c r="V169" s="15">
        <f t="shared" si="39"/>
        <v>7.0576852913609225E-2</v>
      </c>
      <c r="W169" s="15">
        <f t="shared" si="40"/>
        <v>7.5174511075217693E-2</v>
      </c>
      <c r="X169" s="15">
        <f t="shared" si="41"/>
        <v>8.4369827398434641E-2</v>
      </c>
      <c r="Y169" s="15">
        <f t="shared" si="42"/>
        <v>9.9628386851760856E-2</v>
      </c>
      <c r="Z169" s="15">
        <f t="shared" si="43"/>
        <v>0.1036402308064393</v>
      </c>
      <c r="AA169" s="15">
        <f t="shared" si="44"/>
        <v>0.11166391871579628</v>
      </c>
      <c r="AC169" s="1"/>
      <c r="AD169" s="1"/>
      <c r="AE169" s="1"/>
    </row>
    <row r="170" spans="1:31">
      <c r="A170">
        <v>189</v>
      </c>
      <c r="B170">
        <f t="shared" si="24"/>
        <v>0.11302555619405494</v>
      </c>
      <c r="C170">
        <v>0.10334788931791572</v>
      </c>
      <c r="D170">
        <f t="shared" si="25"/>
        <v>9.6760563432875699</v>
      </c>
      <c r="E170" s="1">
        <f t="shared" si="26"/>
        <v>0.2490700307450234</v>
      </c>
      <c r="F170" s="1">
        <f t="shared" si="27"/>
        <v>0.28892123566422712</v>
      </c>
      <c r="G170" s="1">
        <f t="shared" si="28"/>
        <v>8.966521106820842E-2</v>
      </c>
      <c r="H170" s="1">
        <f t="shared" si="29"/>
        <v>8.6886199192674235E-2</v>
      </c>
      <c r="I170" s="1">
        <f t="shared" si="30"/>
        <v>0.3193188942673808</v>
      </c>
      <c r="J170" s="1">
        <f t="shared" si="31"/>
        <v>0.34594595633304426</v>
      </c>
      <c r="K170" s="1">
        <f t="shared" si="32"/>
        <v>0.21272561349090194</v>
      </c>
      <c r="L170" s="1">
        <f t="shared" si="33"/>
        <v>0.21093440374876263</v>
      </c>
      <c r="M170" s="1">
        <f t="shared" si="34"/>
        <v>0.45981662131209494</v>
      </c>
      <c r="N170" s="1">
        <f t="shared" si="35"/>
        <v>0.4599953976706781</v>
      </c>
      <c r="O170" s="1">
        <f t="shared" si="36"/>
        <v>0.45884641833628864</v>
      </c>
      <c r="P170" s="1">
        <f t="shared" si="37"/>
        <v>0.45903081286093933</v>
      </c>
      <c r="Q170" s="1">
        <f t="shared" si="38"/>
        <v>6.9739608608606556</v>
      </c>
      <c r="T170">
        <v>0.39311215358260421</v>
      </c>
      <c r="U170">
        <f t="shared" si="45"/>
        <v>2.5438033163985381</v>
      </c>
      <c r="V170" s="15">
        <f t="shared" si="39"/>
        <v>6.4870929633799868E-2</v>
      </c>
      <c r="W170" s="15">
        <f t="shared" si="40"/>
        <v>6.969596356401489E-2</v>
      </c>
      <c r="X170" s="15">
        <f t="shared" si="41"/>
        <v>7.9346031424444866E-2</v>
      </c>
      <c r="Y170" s="15">
        <f t="shared" si="42"/>
        <v>9.1183379874015147E-2</v>
      </c>
      <c r="Z170" s="15">
        <f t="shared" si="43"/>
        <v>9.5422411279490638E-2</v>
      </c>
      <c r="AA170" s="15">
        <f t="shared" si="44"/>
        <v>0.10390047409044162</v>
      </c>
      <c r="AC170" s="1"/>
      <c r="AD170" s="1"/>
      <c r="AE170" s="1"/>
    </row>
    <row r="171" spans="1:31">
      <c r="A171">
        <v>799</v>
      </c>
      <c r="B171">
        <f t="shared" si="24"/>
        <v>0.11497351555784849</v>
      </c>
      <c r="C171">
        <v>0.10530151908364016</v>
      </c>
      <c r="D171">
        <f t="shared" si="25"/>
        <v>9.4965391639384418</v>
      </c>
      <c r="E171" s="1">
        <f t="shared" si="26"/>
        <v>0.24852735581009996</v>
      </c>
      <c r="F171" s="1">
        <f t="shared" si="27"/>
        <v>0.28829173273971592</v>
      </c>
      <c r="G171" s="1">
        <f t="shared" si="28"/>
        <v>8.9469848091635981E-2</v>
      </c>
      <c r="H171" s="1">
        <f t="shared" si="29"/>
        <v>8.6696891140028987E-2</v>
      </c>
      <c r="I171" s="1">
        <f t="shared" si="30"/>
        <v>0.31862316078371739</v>
      </c>
      <c r="J171" s="1">
        <f t="shared" si="31"/>
        <v>0.34519220768340336</v>
      </c>
      <c r="K171" s="1">
        <f t="shared" si="32"/>
        <v>0.21226212594038285</v>
      </c>
      <c r="L171" s="1">
        <f t="shared" si="33"/>
        <v>0.21047481889431396</v>
      </c>
      <c r="M171" s="1">
        <f t="shared" si="34"/>
        <v>0.45881477073095173</v>
      </c>
      <c r="N171" s="1">
        <f t="shared" si="35"/>
        <v>0.45899315757077791</v>
      </c>
      <c r="O171" s="1">
        <f t="shared" si="36"/>
        <v>0.45784668163787623</v>
      </c>
      <c r="P171" s="1">
        <f t="shared" si="37"/>
        <v>0.45803067440288381</v>
      </c>
      <c r="Q171" s="1">
        <f t="shared" si="38"/>
        <v>6.9587659626827989</v>
      </c>
      <c r="T171">
        <v>0.97850905572779612</v>
      </c>
      <c r="U171">
        <f t="shared" si="45"/>
        <v>1.0219629487804989</v>
      </c>
      <c r="V171" s="15">
        <f t="shared" si="39"/>
        <v>0</v>
      </c>
      <c r="W171" s="15">
        <f t="shared" si="40"/>
        <v>0</v>
      </c>
      <c r="X171" s="15">
        <f t="shared" si="41"/>
        <v>0</v>
      </c>
      <c r="Y171" s="15">
        <f t="shared" si="42"/>
        <v>0</v>
      </c>
      <c r="Z171" s="15">
        <f t="shared" si="43"/>
        <v>0</v>
      </c>
      <c r="AA171" s="15">
        <f t="shared" si="44"/>
        <v>0</v>
      </c>
      <c r="AC171" s="1"/>
      <c r="AD171" s="1"/>
      <c r="AE171" s="1"/>
    </row>
    <row r="172" spans="1:31">
      <c r="A172">
        <v>195</v>
      </c>
      <c r="B172">
        <f t="shared" si="24"/>
        <v>0.11526250568172461</v>
      </c>
      <c r="C172">
        <v>0.10668198554461683</v>
      </c>
      <c r="D172">
        <f t="shared" si="25"/>
        <v>9.373653807575387</v>
      </c>
      <c r="E172" s="1">
        <f t="shared" si="26"/>
        <v>0.24814389290427311</v>
      </c>
      <c r="F172" s="1">
        <f t="shared" si="27"/>
        <v>0.28784691576895677</v>
      </c>
      <c r="G172" s="1">
        <f t="shared" si="28"/>
        <v>8.9331801445538317E-2</v>
      </c>
      <c r="H172" s="1">
        <f t="shared" si="29"/>
        <v>8.6563123001329151E-2</v>
      </c>
      <c r="I172" s="1">
        <f t="shared" si="30"/>
        <v>0.31813154422625795</v>
      </c>
      <c r="J172" s="1">
        <f t="shared" si="31"/>
        <v>0.34465959666923313</v>
      </c>
      <c r="K172" s="1">
        <f t="shared" si="32"/>
        <v>0.21193461812401079</v>
      </c>
      <c r="L172" s="1">
        <f t="shared" si="33"/>
        <v>0.21015006878624834</v>
      </c>
      <c r="M172" s="1">
        <f t="shared" si="34"/>
        <v>0.45810684687022707</v>
      </c>
      <c r="N172" s="1">
        <f t="shared" si="35"/>
        <v>0.45828495846978551</v>
      </c>
      <c r="O172" s="1">
        <f t="shared" si="36"/>
        <v>0.45714025148095544</v>
      </c>
      <c r="P172" s="1">
        <f t="shared" si="37"/>
        <v>0.45732396035608658</v>
      </c>
      <c r="Q172" s="1">
        <f t="shared" si="38"/>
        <v>6.9480290013196466</v>
      </c>
      <c r="T172">
        <v>0.62172684574455228</v>
      </c>
      <c r="U172">
        <f t="shared" si="45"/>
        <v>1.6084233885741972</v>
      </c>
      <c r="V172" s="15">
        <f t="shared" si="39"/>
        <v>0</v>
      </c>
      <c r="W172" s="15">
        <f t="shared" si="40"/>
        <v>0</v>
      </c>
      <c r="X172" s="15">
        <f t="shared" si="41"/>
        <v>0</v>
      </c>
      <c r="Y172" s="15">
        <f t="shared" si="42"/>
        <v>0</v>
      </c>
      <c r="Z172" s="15">
        <f t="shared" si="43"/>
        <v>0</v>
      </c>
      <c r="AA172" s="15">
        <f t="shared" si="44"/>
        <v>0</v>
      </c>
      <c r="AC172" s="1"/>
      <c r="AD172" s="1"/>
      <c r="AE172" s="1"/>
    </row>
    <row r="173" spans="1:31">
      <c r="A173">
        <v>48</v>
      </c>
      <c r="B173">
        <f t="shared" si="24"/>
        <v>0.11528589018422108</v>
      </c>
      <c r="C173">
        <v>0.10680504672630331</v>
      </c>
      <c r="D173">
        <f t="shared" si="25"/>
        <v>9.3628534479515935</v>
      </c>
      <c r="E173" s="1">
        <f t="shared" si="26"/>
        <v>0.24810970924269352</v>
      </c>
      <c r="F173" s="1">
        <f t="shared" si="27"/>
        <v>0.28780726272152446</v>
      </c>
      <c r="G173" s="1">
        <f t="shared" si="28"/>
        <v>8.9319495327369672E-2</v>
      </c>
      <c r="H173" s="1">
        <f t="shared" si="29"/>
        <v>8.6551198289149797E-2</v>
      </c>
      <c r="I173" s="1">
        <f t="shared" si="30"/>
        <v>0.31808771924665302</v>
      </c>
      <c r="J173" s="1">
        <f t="shared" si="31"/>
        <v>0.34461211725366181</v>
      </c>
      <c r="K173" s="1">
        <f t="shared" si="32"/>
        <v>0.21190542255857431</v>
      </c>
      <c r="L173" s="1">
        <f t="shared" si="33"/>
        <v>0.21012111905571804</v>
      </c>
      <c r="M173" s="1">
        <f t="shared" si="34"/>
        <v>0.45804373925457142</v>
      </c>
      <c r="N173" s="1">
        <f t="shared" si="35"/>
        <v>0.45822182631793612</v>
      </c>
      <c r="O173" s="1">
        <f t="shared" si="36"/>
        <v>0.45707727702098327</v>
      </c>
      <c r="P173" s="1">
        <f t="shared" si="37"/>
        <v>0.45726096058885446</v>
      </c>
      <c r="Q173" s="1">
        <f t="shared" si="38"/>
        <v>6.947071858795419</v>
      </c>
      <c r="T173">
        <v>0.48790044084137696</v>
      </c>
      <c r="U173">
        <f t="shared" si="45"/>
        <v>2.0495984760241557</v>
      </c>
      <c r="V173" s="15">
        <f t="shared" si="39"/>
        <v>5.8670016269977872E-2</v>
      </c>
      <c r="W173" s="15">
        <f t="shared" si="40"/>
        <v>6.3742150866118577E-2</v>
      </c>
      <c r="X173" s="15">
        <f t="shared" si="41"/>
        <v>7.3886420058399807E-2</v>
      </c>
      <c r="Y173" s="15">
        <f t="shared" si="42"/>
        <v>8.2005766706453792E-2</v>
      </c>
      <c r="Z173" s="15">
        <f t="shared" si="43"/>
        <v>8.6491694123434548E-2</v>
      </c>
      <c r="AA173" s="15">
        <f t="shared" si="44"/>
        <v>9.5463548957395991E-2</v>
      </c>
      <c r="AC173" s="1"/>
      <c r="AD173" s="1"/>
      <c r="AE173" s="1"/>
    </row>
    <row r="174" spans="1:31">
      <c r="A174">
        <v>663</v>
      </c>
      <c r="B174">
        <f t="shared" si="24"/>
        <v>0.11586171176833215</v>
      </c>
      <c r="C174">
        <v>0.1081555727428164</v>
      </c>
      <c r="D174">
        <f t="shared" si="25"/>
        <v>9.245940589468324</v>
      </c>
      <c r="E174" s="1">
        <f t="shared" si="26"/>
        <v>0.24773456312699543</v>
      </c>
      <c r="F174" s="1">
        <f t="shared" si="27"/>
        <v>0.28737209322731472</v>
      </c>
      <c r="G174" s="1">
        <f t="shared" si="28"/>
        <v>8.9184442725718363E-2</v>
      </c>
      <c r="H174" s="1">
        <f t="shared" si="29"/>
        <v>8.6420331399876107E-2</v>
      </c>
      <c r="I174" s="1">
        <f t="shared" si="30"/>
        <v>0.31760676518527886</v>
      </c>
      <c r="J174" s="1">
        <f t="shared" si="31"/>
        <v>0.34409105784971988</v>
      </c>
      <c r="K174" s="1">
        <f t="shared" si="32"/>
        <v>0.21158501794236298</v>
      </c>
      <c r="L174" s="1">
        <f t="shared" si="33"/>
        <v>0.20980341233686176</v>
      </c>
      <c r="M174" s="1">
        <f t="shared" si="34"/>
        <v>0.457351169301845</v>
      </c>
      <c r="N174" s="1">
        <f t="shared" si="35"/>
        <v>0.45752898709452988</v>
      </c>
      <c r="O174" s="1">
        <f t="shared" si="36"/>
        <v>0.45638616837565193</v>
      </c>
      <c r="P174" s="1">
        <f t="shared" si="37"/>
        <v>0.45656957421083294</v>
      </c>
      <c r="Q174" s="1">
        <f t="shared" si="38"/>
        <v>6.9365677675558723</v>
      </c>
      <c r="T174">
        <v>0.70246264787165602</v>
      </c>
      <c r="U174">
        <f t="shared" si="45"/>
        <v>1.4235632357532919</v>
      </c>
      <c r="V174" s="15">
        <f t="shared" si="39"/>
        <v>0</v>
      </c>
      <c r="W174" s="15">
        <f t="shared" si="40"/>
        <v>0</v>
      </c>
      <c r="X174" s="15">
        <f t="shared" si="41"/>
        <v>0</v>
      </c>
      <c r="Y174" s="15">
        <f t="shared" si="42"/>
        <v>0</v>
      </c>
      <c r="Z174" s="15">
        <f t="shared" si="43"/>
        <v>0</v>
      </c>
      <c r="AA174" s="15">
        <f t="shared" si="44"/>
        <v>0</v>
      </c>
      <c r="AC174" s="1"/>
      <c r="AD174" s="1"/>
      <c r="AE174" s="1"/>
    </row>
    <row r="175" spans="1:31">
      <c r="A175">
        <v>281</v>
      </c>
      <c r="B175">
        <f t="shared" si="24"/>
        <v>0.11695913758462355</v>
      </c>
      <c r="C175">
        <v>0.10865650919845293</v>
      </c>
      <c r="D175">
        <f t="shared" si="25"/>
        <v>9.2033142549571085</v>
      </c>
      <c r="E175" s="1">
        <f t="shared" si="26"/>
        <v>0.24759541411154085</v>
      </c>
      <c r="F175" s="1">
        <f t="shared" si="27"/>
        <v>0.28721068036938735</v>
      </c>
      <c r="G175" s="1">
        <f t="shared" si="28"/>
        <v>8.9134349080154704E-2</v>
      </c>
      <c r="H175" s="1">
        <f t="shared" si="29"/>
        <v>8.6371790316719349E-2</v>
      </c>
      <c r="I175" s="1">
        <f t="shared" si="30"/>
        <v>0.31742836993788415</v>
      </c>
      <c r="J175" s="1">
        <f t="shared" si="31"/>
        <v>0.34389778674809335</v>
      </c>
      <c r="K175" s="1">
        <f t="shared" si="32"/>
        <v>0.21146617361737258</v>
      </c>
      <c r="L175" s="1">
        <f t="shared" si="33"/>
        <v>0.20968556871465097</v>
      </c>
      <c r="M175" s="1">
        <f t="shared" si="34"/>
        <v>0.4570942815905702</v>
      </c>
      <c r="N175" s="1">
        <f t="shared" si="35"/>
        <v>0.45727199950550496</v>
      </c>
      <c r="O175" s="1">
        <f t="shared" si="36"/>
        <v>0.45612982269180802</v>
      </c>
      <c r="P175" s="1">
        <f t="shared" si="37"/>
        <v>0.45631312551051417</v>
      </c>
      <c r="Q175" s="1">
        <f t="shared" si="38"/>
        <v>6.9326715951231437</v>
      </c>
      <c r="T175">
        <v>0.44114034543466563</v>
      </c>
      <c r="U175">
        <f t="shared" si="45"/>
        <v>2.2668522848769981</v>
      </c>
      <c r="V175" s="15">
        <f t="shared" si="39"/>
        <v>6.1728994429478601E-2</v>
      </c>
      <c r="W175" s="15">
        <f t="shared" si="40"/>
        <v>6.6679231573435138E-2</v>
      </c>
      <c r="X175" s="15">
        <f t="shared" si="41"/>
        <v>7.6579705861348046E-2</v>
      </c>
      <c r="Y175" s="15">
        <f t="shared" si="42"/>
        <v>8.6533183328609722E-2</v>
      </c>
      <c r="Z175" s="15">
        <f t="shared" si="43"/>
        <v>9.0897314251662864E-2</v>
      </c>
      <c r="AA175" s="15">
        <f t="shared" si="44"/>
        <v>9.9625576097769092E-2</v>
      </c>
      <c r="AC175" s="1"/>
      <c r="AD175" s="1"/>
      <c r="AE175" s="1"/>
    </row>
    <row r="176" spans="1:31">
      <c r="A176">
        <v>437</v>
      </c>
      <c r="B176">
        <f t="shared" si="24"/>
        <v>0.11796478200270318</v>
      </c>
      <c r="C176">
        <v>0.10917630664504563</v>
      </c>
      <c r="D176">
        <f t="shared" si="25"/>
        <v>9.1594965128395796</v>
      </c>
      <c r="E176" s="1">
        <f t="shared" si="26"/>
        <v>0.24745102593193177</v>
      </c>
      <c r="F176" s="1">
        <f t="shared" si="27"/>
        <v>0.28704319008104084</v>
      </c>
      <c r="G176" s="1">
        <f t="shared" si="28"/>
        <v>8.9082369335495432E-2</v>
      </c>
      <c r="H176" s="1">
        <f t="shared" si="29"/>
        <v>8.6321421590714625E-2</v>
      </c>
      <c r="I176" s="1">
        <f t="shared" si="30"/>
        <v>0.31724325784824359</v>
      </c>
      <c r="J176" s="1">
        <f t="shared" si="31"/>
        <v>0.34369723870652996</v>
      </c>
      <c r="K176" s="1">
        <f t="shared" si="32"/>
        <v>0.21134285462955096</v>
      </c>
      <c r="L176" s="1">
        <f t="shared" si="33"/>
        <v>0.20956328810753375</v>
      </c>
      <c r="M176" s="1">
        <f t="shared" si="34"/>
        <v>0.45682772168086666</v>
      </c>
      <c r="N176" s="1">
        <f t="shared" si="35"/>
        <v>0.45700533595750781</v>
      </c>
      <c r="O176" s="1">
        <f t="shared" si="36"/>
        <v>0.45586382521766167</v>
      </c>
      <c r="P176" s="1">
        <f t="shared" si="37"/>
        <v>0.45604702114117185</v>
      </c>
      <c r="Q176" s="1">
        <f t="shared" si="38"/>
        <v>6.9286287260940895</v>
      </c>
      <c r="T176">
        <v>0.43966346263298284</v>
      </c>
      <c r="U176">
        <f t="shared" si="45"/>
        <v>2.2744669161530222</v>
      </c>
      <c r="V176" s="15">
        <f t="shared" si="39"/>
        <v>6.1825609977312609E-2</v>
      </c>
      <c r="W176" s="15">
        <f t="shared" si="40"/>
        <v>6.6771997080991546E-2</v>
      </c>
      <c r="X176" s="15">
        <f t="shared" si="41"/>
        <v>7.6664771288349282E-2</v>
      </c>
      <c r="Y176" s="15">
        <f t="shared" si="42"/>
        <v>8.6676178412070454E-2</v>
      </c>
      <c r="Z176" s="15">
        <f t="shared" si="43"/>
        <v>9.1036462483537389E-2</v>
      </c>
      <c r="AA176" s="15">
        <f t="shared" si="44"/>
        <v>9.9757030626471177E-2</v>
      </c>
      <c r="AC176" s="1"/>
      <c r="AD176" s="1"/>
      <c r="AE176" s="1"/>
    </row>
    <row r="177" spans="1:31">
      <c r="A177">
        <v>800</v>
      </c>
      <c r="B177">
        <f t="shared" si="24"/>
        <v>0.11825146390603584</v>
      </c>
      <c r="C177">
        <v>0.1107424234460691</v>
      </c>
      <c r="D177">
        <f t="shared" si="25"/>
        <v>9.029963124177014</v>
      </c>
      <c r="E177" s="1">
        <f t="shared" si="26"/>
        <v>0.24701599348720302</v>
      </c>
      <c r="F177" s="1">
        <f t="shared" si="27"/>
        <v>0.28653855244515547</v>
      </c>
      <c r="G177" s="1">
        <f t="shared" si="28"/>
        <v>8.8925757655393081E-2</v>
      </c>
      <c r="H177" s="1">
        <f t="shared" si="29"/>
        <v>8.6169663807833585E-2</v>
      </c>
      <c r="I177" s="1">
        <f t="shared" si="30"/>
        <v>0.31668552684060008</v>
      </c>
      <c r="J177" s="1">
        <f t="shared" si="31"/>
        <v>0.34309300015290944</v>
      </c>
      <c r="K177" s="1">
        <f t="shared" si="32"/>
        <v>0.21097130232590144</v>
      </c>
      <c r="L177" s="1">
        <f t="shared" si="33"/>
        <v>0.20919486437921225</v>
      </c>
      <c r="M177" s="1">
        <f t="shared" si="34"/>
        <v>0.45602459354739366</v>
      </c>
      <c r="N177" s="1">
        <f t="shared" si="35"/>
        <v>0.456201895568417</v>
      </c>
      <c r="O177" s="1">
        <f t="shared" si="36"/>
        <v>0.45506239166691781</v>
      </c>
      <c r="P177" s="1">
        <f t="shared" si="37"/>
        <v>0.45524526552196953</v>
      </c>
      <c r="Q177" s="1">
        <f t="shared" si="38"/>
        <v>6.9164478176416848</v>
      </c>
      <c r="T177">
        <v>0.24289977590973266</v>
      </c>
      <c r="U177">
        <f t="shared" si="45"/>
        <v>4.1169243415507468</v>
      </c>
      <c r="V177" s="15">
        <f t="shared" si="39"/>
        <v>7.4697607244086348E-2</v>
      </c>
      <c r="W177" s="15">
        <f t="shared" si="40"/>
        <v>7.9131057154517209E-2</v>
      </c>
      <c r="X177" s="15">
        <f t="shared" si="41"/>
        <v>8.799795697537903E-2</v>
      </c>
      <c r="Y177" s="15">
        <f t="shared" si="42"/>
        <v>0.10572727696435588</v>
      </c>
      <c r="Z177" s="15">
        <f t="shared" si="43"/>
        <v>0.10957504866888428</v>
      </c>
      <c r="AA177" s="15">
        <f t="shared" si="44"/>
        <v>0.11727059207794119</v>
      </c>
      <c r="AC177" s="1"/>
      <c r="AD177" s="1"/>
      <c r="AE177" s="1"/>
    </row>
    <row r="178" spans="1:31">
      <c r="A178">
        <v>625</v>
      </c>
      <c r="B178">
        <f t="shared" si="24"/>
        <v>0.11996504370316735</v>
      </c>
      <c r="C178">
        <v>0.11241321924634862</v>
      </c>
      <c r="D178">
        <f t="shared" si="25"/>
        <v>8.8957509330690367</v>
      </c>
      <c r="E178" s="1">
        <f t="shared" si="26"/>
        <v>0.24655188354268093</v>
      </c>
      <c r="F178" s="1">
        <f t="shared" si="27"/>
        <v>0.28600018490950985</v>
      </c>
      <c r="G178" s="1">
        <f t="shared" si="28"/>
        <v>8.8758678075365138E-2</v>
      </c>
      <c r="H178" s="1">
        <f t="shared" si="29"/>
        <v>8.6007762558749437E-2</v>
      </c>
      <c r="I178" s="1">
        <f t="shared" si="30"/>
        <v>0.3160905171806262</v>
      </c>
      <c r="J178" s="1">
        <f t="shared" si="31"/>
        <v>0.34244837438994186</v>
      </c>
      <c r="K178" s="1">
        <f t="shared" si="32"/>
        <v>0.2105749155250472</v>
      </c>
      <c r="L178" s="1">
        <f t="shared" si="33"/>
        <v>0.20880181526716612</v>
      </c>
      <c r="M178" s="1">
        <f t="shared" si="34"/>
        <v>0.45516778445651612</v>
      </c>
      <c r="N178" s="1">
        <f t="shared" si="35"/>
        <v>0.45534475335080549</v>
      </c>
      <c r="O178" s="1">
        <f t="shared" si="36"/>
        <v>0.45420739042441099</v>
      </c>
      <c r="P178" s="1">
        <f t="shared" si="37"/>
        <v>0.45438992068399942</v>
      </c>
      <c r="Q178" s="1">
        <f t="shared" si="38"/>
        <v>6.9034527391950666</v>
      </c>
      <c r="T178">
        <v>0.96170304367274961</v>
      </c>
      <c r="U178">
        <f t="shared" si="45"/>
        <v>1.0398220184278446</v>
      </c>
      <c r="V178" s="15">
        <f t="shared" si="39"/>
        <v>0</v>
      </c>
      <c r="W178" s="15">
        <f t="shared" si="40"/>
        <v>0</v>
      </c>
      <c r="X178" s="15">
        <f t="shared" si="41"/>
        <v>0</v>
      </c>
      <c r="Y178" s="15">
        <f t="shared" si="42"/>
        <v>0</v>
      </c>
      <c r="Z178" s="15">
        <f t="shared" si="43"/>
        <v>0</v>
      </c>
      <c r="AA178" s="15">
        <f t="shared" si="44"/>
        <v>0</v>
      </c>
      <c r="AC178" s="1"/>
      <c r="AD178" s="1"/>
      <c r="AE178" s="1"/>
    </row>
    <row r="179" spans="1:31">
      <c r="A179">
        <v>289</v>
      </c>
      <c r="B179">
        <f t="shared" si="24"/>
        <v>0.12351849414791559</v>
      </c>
      <c r="C179">
        <v>0.11491724055356622</v>
      </c>
      <c r="D179">
        <f t="shared" si="25"/>
        <v>8.7019144837007403</v>
      </c>
      <c r="E179" s="1">
        <f t="shared" si="26"/>
        <v>0.24585632206845381</v>
      </c>
      <c r="F179" s="1">
        <f t="shared" si="27"/>
        <v>0.28519333359940641</v>
      </c>
      <c r="G179" s="1">
        <f t="shared" si="28"/>
        <v>8.8508275944643375E-2</v>
      </c>
      <c r="H179" s="1">
        <f t="shared" si="29"/>
        <v>8.576512119150155E-2</v>
      </c>
      <c r="I179" s="1">
        <f t="shared" si="30"/>
        <v>0.315198776330951</v>
      </c>
      <c r="J179" s="1">
        <f t="shared" si="31"/>
        <v>0.34148227389736091</v>
      </c>
      <c r="K179" s="1">
        <f t="shared" si="32"/>
        <v>0.20998085071169728</v>
      </c>
      <c r="L179" s="1">
        <f t="shared" si="33"/>
        <v>0.20821275264731642</v>
      </c>
      <c r="M179" s="1">
        <f t="shared" si="34"/>
        <v>0.45388368485594477</v>
      </c>
      <c r="N179" s="1">
        <f t="shared" si="35"/>
        <v>0.45406015449326953</v>
      </c>
      <c r="O179" s="1">
        <f t="shared" si="36"/>
        <v>0.45292600024580476</v>
      </c>
      <c r="P179" s="1">
        <f t="shared" si="37"/>
        <v>0.45310801555894614</v>
      </c>
      <c r="Q179" s="1">
        <f t="shared" si="38"/>
        <v>6.883977017916707</v>
      </c>
      <c r="T179">
        <v>0.32318175994446829</v>
      </c>
      <c r="U179">
        <f t="shared" si="45"/>
        <v>3.0942340315611503</v>
      </c>
      <c r="V179" s="15">
        <f t="shared" si="39"/>
        <v>6.9445675364400841E-2</v>
      </c>
      <c r="W179" s="15">
        <f t="shared" si="40"/>
        <v>7.4088409905776254E-2</v>
      </c>
      <c r="X179" s="15">
        <f t="shared" si="41"/>
        <v>8.3373878988527064E-2</v>
      </c>
      <c r="Y179" s="15">
        <f t="shared" si="42"/>
        <v>9.7954196396039667E-2</v>
      </c>
      <c r="Z179" s="15">
        <f t="shared" si="43"/>
        <v>0.10201107939719688</v>
      </c>
      <c r="AA179" s="15">
        <f t="shared" si="44"/>
        <v>0.11012484539951134</v>
      </c>
      <c r="AC179" s="1"/>
      <c r="AD179" s="1"/>
      <c r="AE179" s="1"/>
    </row>
    <row r="180" spans="1:31">
      <c r="A180">
        <v>862</v>
      </c>
      <c r="B180">
        <f t="shared" si="24"/>
        <v>0.12352065420943636</v>
      </c>
      <c r="C180">
        <v>0.11492968188030384</v>
      </c>
      <c r="D180">
        <f t="shared" si="25"/>
        <v>8.7009724871724003</v>
      </c>
      <c r="E180" s="1">
        <f t="shared" si="26"/>
        <v>0.24585286614436005</v>
      </c>
      <c r="F180" s="1">
        <f t="shared" si="27"/>
        <v>0.28518932472745762</v>
      </c>
      <c r="G180" s="1">
        <f t="shared" si="28"/>
        <v>8.8507031811969616E-2</v>
      </c>
      <c r="H180" s="1">
        <f t="shared" si="29"/>
        <v>8.5763915618481346E-2</v>
      </c>
      <c r="I180" s="1">
        <f t="shared" si="30"/>
        <v>0.31519434568204074</v>
      </c>
      <c r="J180" s="1">
        <f t="shared" si="31"/>
        <v>0.34147747378968812</v>
      </c>
      <c r="K180" s="1">
        <f t="shared" si="32"/>
        <v>0.20997789907768966</v>
      </c>
      <c r="L180" s="1">
        <f t="shared" si="33"/>
        <v>0.20820982586690073</v>
      </c>
      <c r="M180" s="1">
        <f t="shared" si="34"/>
        <v>0.45387730475740157</v>
      </c>
      <c r="N180" s="1">
        <f t="shared" si="35"/>
        <v>0.45405377191414881</v>
      </c>
      <c r="O180" s="1">
        <f t="shared" si="36"/>
        <v>0.4529196336091294</v>
      </c>
      <c r="P180" s="1">
        <f t="shared" si="37"/>
        <v>0.4531016463637394</v>
      </c>
      <c r="Q180" s="1">
        <f t="shared" si="38"/>
        <v>6.883880252042081</v>
      </c>
      <c r="T180">
        <v>0.15668830867252193</v>
      </c>
      <c r="U180">
        <f t="shared" si="45"/>
        <v>6.3820970975568887</v>
      </c>
      <c r="V180" s="15">
        <f t="shared" si="39"/>
        <v>8.3393670558557273E-2</v>
      </c>
      <c r="W180" s="15">
        <f t="shared" si="40"/>
        <v>8.7372009809814119E-2</v>
      </c>
      <c r="X180" s="15">
        <f t="shared" si="41"/>
        <v>9.532868831232777E-2</v>
      </c>
      <c r="Y180" s="15">
        <f t="shared" si="42"/>
        <v>0.11859225203000387</v>
      </c>
      <c r="Z180" s="15">
        <f t="shared" si="43"/>
        <v>0.12196962533724855</v>
      </c>
      <c r="AA180" s="15">
        <f t="shared" si="44"/>
        <v>0.12872437195173791</v>
      </c>
      <c r="AC180" s="1"/>
      <c r="AD180" s="1"/>
      <c r="AE180" s="1"/>
    </row>
    <row r="181" spans="1:31">
      <c r="A181">
        <v>95</v>
      </c>
      <c r="B181">
        <f t="shared" si="24"/>
        <v>0.12356042279735611</v>
      </c>
      <c r="C181">
        <v>0.11515307512057626</v>
      </c>
      <c r="D181">
        <f t="shared" si="25"/>
        <v>8.6840928820433536</v>
      </c>
      <c r="E181" s="1">
        <f t="shared" si="26"/>
        <v>0.24579081246650658</v>
      </c>
      <c r="F181" s="1">
        <f t="shared" si="27"/>
        <v>0.28511734246114762</v>
      </c>
      <c r="G181" s="1">
        <f t="shared" si="28"/>
        <v>8.8484692487942371E-2</v>
      </c>
      <c r="H181" s="1">
        <f t="shared" si="29"/>
        <v>8.5742268661605461E-2</v>
      </c>
      <c r="I181" s="1">
        <f t="shared" si="30"/>
        <v>0.31511479009786181</v>
      </c>
      <c r="J181" s="1">
        <f t="shared" si="31"/>
        <v>0.34139128429966886</v>
      </c>
      <c r="K181" s="1">
        <f t="shared" si="32"/>
        <v>0.20992490030199892</v>
      </c>
      <c r="L181" s="1">
        <f t="shared" si="33"/>
        <v>0.20815727335586887</v>
      </c>
      <c r="M181" s="1">
        <f t="shared" si="34"/>
        <v>0.45376274536057165</v>
      </c>
      <c r="N181" s="1">
        <f t="shared" si="35"/>
        <v>0.45393916797671102</v>
      </c>
      <c r="O181" s="1">
        <f t="shared" si="36"/>
        <v>0.4528053159301117</v>
      </c>
      <c r="P181" s="1">
        <f t="shared" si="37"/>
        <v>0.45298728274439559</v>
      </c>
      <c r="Q181" s="1">
        <f t="shared" si="38"/>
        <v>6.8821427490621847</v>
      </c>
      <c r="T181">
        <v>0.70990543669084116</v>
      </c>
      <c r="U181">
        <f t="shared" si="45"/>
        <v>1.408638317606649</v>
      </c>
      <c r="V181" s="15">
        <f t="shared" si="39"/>
        <v>0</v>
      </c>
      <c r="W181" s="15">
        <f t="shared" si="40"/>
        <v>0</v>
      </c>
      <c r="X181" s="15">
        <f t="shared" si="41"/>
        <v>0</v>
      </c>
      <c r="Y181" s="15">
        <f t="shared" si="42"/>
        <v>0</v>
      </c>
      <c r="Z181" s="15">
        <f t="shared" si="43"/>
        <v>0</v>
      </c>
      <c r="AA181" s="15">
        <f t="shared" si="44"/>
        <v>0</v>
      </c>
      <c r="AC181" s="1"/>
      <c r="AD181" s="1"/>
      <c r="AE181" s="1"/>
    </row>
    <row r="182" spans="1:31">
      <c r="A182">
        <v>871</v>
      </c>
      <c r="B182">
        <f t="shared" si="24"/>
        <v>0.12359837378220748</v>
      </c>
      <c r="C182">
        <v>0.11534328872072297</v>
      </c>
      <c r="D182">
        <f t="shared" si="25"/>
        <v>8.6697718704836664</v>
      </c>
      <c r="E182" s="1">
        <f t="shared" si="26"/>
        <v>0.24573797535535474</v>
      </c>
      <c r="F182" s="1">
        <f t="shared" si="27"/>
        <v>0.28505605141221146</v>
      </c>
      <c r="G182" s="1">
        <f t="shared" si="28"/>
        <v>8.8465671127927706E-2</v>
      </c>
      <c r="H182" s="1">
        <f t="shared" si="29"/>
        <v>8.5723836834417838E-2</v>
      </c>
      <c r="I182" s="1">
        <f t="shared" si="30"/>
        <v>0.31504705056348736</v>
      </c>
      <c r="J182" s="1">
        <f t="shared" si="31"/>
        <v>0.3413178961650441</v>
      </c>
      <c r="K182" s="1">
        <f t="shared" si="32"/>
        <v>0.2098797732072166</v>
      </c>
      <c r="L182" s="1">
        <f t="shared" si="33"/>
        <v>0.20811252624396909</v>
      </c>
      <c r="M182" s="1">
        <f t="shared" si="34"/>
        <v>0.45366520097975205</v>
      </c>
      <c r="N182" s="1">
        <f t="shared" si="35"/>
        <v>0.45384158567070909</v>
      </c>
      <c r="O182" s="1">
        <f t="shared" si="36"/>
        <v>0.45270797736579405</v>
      </c>
      <c r="P182" s="1">
        <f t="shared" si="37"/>
        <v>0.45288990506307153</v>
      </c>
      <c r="Q182" s="1">
        <f t="shared" si="38"/>
        <v>6.8806633099499326</v>
      </c>
      <c r="T182">
        <v>0.53589805468215923</v>
      </c>
      <c r="U182">
        <f t="shared" si="45"/>
        <v>1.8660265534889828</v>
      </c>
      <c r="V182" s="15">
        <f t="shared" si="39"/>
        <v>0</v>
      </c>
      <c r="W182" s="15">
        <f t="shared" si="40"/>
        <v>0</v>
      </c>
      <c r="X182" s="15">
        <f t="shared" si="41"/>
        <v>0</v>
      </c>
      <c r="Y182" s="15">
        <f t="shared" si="42"/>
        <v>0</v>
      </c>
      <c r="Z182" s="15">
        <f t="shared" si="43"/>
        <v>0</v>
      </c>
      <c r="AA182" s="15">
        <f t="shared" si="44"/>
        <v>0</v>
      </c>
      <c r="AC182" s="1"/>
      <c r="AD182" s="1"/>
      <c r="AE182" s="1"/>
    </row>
    <row r="183" spans="1:31">
      <c r="A183">
        <v>110</v>
      </c>
      <c r="B183">
        <f t="shared" si="24"/>
        <v>0.12368106190190194</v>
      </c>
      <c r="C183">
        <v>0.11575772868843526</v>
      </c>
      <c r="D183">
        <f t="shared" si="25"/>
        <v>8.63873204260533</v>
      </c>
      <c r="E183" s="1">
        <f t="shared" si="26"/>
        <v>0.24562285314210131</v>
      </c>
      <c r="F183" s="1">
        <f t="shared" si="27"/>
        <v>0.28492250964483751</v>
      </c>
      <c r="G183" s="1">
        <f t="shared" si="28"/>
        <v>8.8424227131156469E-2</v>
      </c>
      <c r="H183" s="1">
        <f t="shared" si="29"/>
        <v>8.5683677319753154E-2</v>
      </c>
      <c r="I183" s="1">
        <f t="shared" si="30"/>
        <v>0.3148994587487205</v>
      </c>
      <c r="J183" s="1">
        <f t="shared" si="31"/>
        <v>0.34115799710356332</v>
      </c>
      <c r="K183" s="1">
        <f t="shared" si="32"/>
        <v>0.20978144968203169</v>
      </c>
      <c r="L183" s="1">
        <f t="shared" si="33"/>
        <v>0.20801503063063412</v>
      </c>
      <c r="M183" s="1">
        <f t="shared" si="34"/>
        <v>0.45345266996195832</v>
      </c>
      <c r="N183" s="1">
        <f t="shared" si="35"/>
        <v>0.45362897202101454</v>
      </c>
      <c r="O183" s="1">
        <f t="shared" si="36"/>
        <v>0.45249589478378177</v>
      </c>
      <c r="P183" s="1">
        <f t="shared" si="37"/>
        <v>0.45267773725239596</v>
      </c>
      <c r="Q183" s="1">
        <f t="shared" si="38"/>
        <v>6.877439887978837</v>
      </c>
      <c r="T183">
        <v>0.39680531359998894</v>
      </c>
      <c r="U183">
        <f t="shared" si="45"/>
        <v>2.5201275429695453</v>
      </c>
      <c r="V183" s="15">
        <f t="shared" si="39"/>
        <v>6.4629328419464019E-2</v>
      </c>
      <c r="W183" s="15">
        <f t="shared" si="40"/>
        <v>6.9463989934753723E-2</v>
      </c>
      <c r="X183" s="15">
        <f t="shared" si="41"/>
        <v>7.9133312965333019E-2</v>
      </c>
      <c r="Y183" s="15">
        <f t="shared" si="42"/>
        <v>9.0825799892504042E-2</v>
      </c>
      <c r="Z183" s="15">
        <f t="shared" si="43"/>
        <v>9.5074450909268152E-2</v>
      </c>
      <c r="AA183" s="15">
        <f t="shared" si="44"/>
        <v>0.10357175294279636</v>
      </c>
      <c r="AC183" s="1"/>
      <c r="AD183" s="1"/>
      <c r="AE183" s="1"/>
    </row>
    <row r="184" spans="1:31">
      <c r="A184">
        <v>843</v>
      </c>
      <c r="B184">
        <f t="shared" si="24"/>
        <v>0.12419126672592319</v>
      </c>
      <c r="C184">
        <v>0.1179506701848495</v>
      </c>
      <c r="D184">
        <f t="shared" si="25"/>
        <v>8.4781205433832945</v>
      </c>
      <c r="E184" s="1">
        <f t="shared" si="26"/>
        <v>0.24501370272643069</v>
      </c>
      <c r="F184" s="1">
        <f t="shared" si="27"/>
        <v>0.2842158951626596</v>
      </c>
      <c r="G184" s="1">
        <f t="shared" si="28"/>
        <v>8.820493298151505E-2</v>
      </c>
      <c r="H184" s="1">
        <f t="shared" si="29"/>
        <v>8.5471179797687008E-2</v>
      </c>
      <c r="I184" s="1">
        <f t="shared" si="30"/>
        <v>0.31411850073224368</v>
      </c>
      <c r="J184" s="1">
        <f t="shared" si="31"/>
        <v>0.34031191729833948</v>
      </c>
      <c r="K184" s="1">
        <f t="shared" si="32"/>
        <v>0.20926118678450778</v>
      </c>
      <c r="L184" s="1">
        <f t="shared" si="33"/>
        <v>0.20749914849363654</v>
      </c>
      <c r="M184" s="1">
        <f t="shared" si="34"/>
        <v>0.45232809674386903</v>
      </c>
      <c r="N184" s="1">
        <f t="shared" si="35"/>
        <v>0.45250396156969885</v>
      </c>
      <c r="O184" s="1">
        <f t="shared" si="36"/>
        <v>0.45137369439049296</v>
      </c>
      <c r="P184" s="1">
        <f t="shared" si="37"/>
        <v>0.45155508588553556</v>
      </c>
      <c r="Q184" s="1">
        <f t="shared" si="38"/>
        <v>6.8603836763400592</v>
      </c>
      <c r="T184">
        <v>0.65980433894377144</v>
      </c>
      <c r="U184">
        <f t="shared" si="45"/>
        <v>1.5156008243304688</v>
      </c>
      <c r="V184" s="15">
        <f t="shared" si="39"/>
        <v>0</v>
      </c>
      <c r="W184" s="15">
        <f t="shared" si="40"/>
        <v>0</v>
      </c>
      <c r="X184" s="15">
        <f t="shared" si="41"/>
        <v>0</v>
      </c>
      <c r="Y184" s="15">
        <f t="shared" si="42"/>
        <v>0</v>
      </c>
      <c r="Z184" s="15">
        <f t="shared" si="43"/>
        <v>0</v>
      </c>
      <c r="AA184" s="15">
        <f t="shared" si="44"/>
        <v>0</v>
      </c>
      <c r="AC184" s="1"/>
      <c r="AD184" s="1"/>
      <c r="AE184" s="1"/>
    </row>
    <row r="185" spans="1:31">
      <c r="A185">
        <v>230</v>
      </c>
      <c r="B185">
        <f t="shared" si="24"/>
        <v>0.12434664431913832</v>
      </c>
      <c r="C185">
        <v>0.11816088538992509</v>
      </c>
      <c r="D185">
        <f t="shared" si="25"/>
        <v>8.4630374654019338</v>
      </c>
      <c r="E185" s="1">
        <f t="shared" si="26"/>
        <v>0.24495530961390971</v>
      </c>
      <c r="F185" s="1">
        <f t="shared" si="27"/>
        <v>0.2841481591521352</v>
      </c>
      <c r="G185" s="1">
        <f t="shared" si="28"/>
        <v>8.8183911461007486E-2</v>
      </c>
      <c r="H185" s="1">
        <f t="shared" si="29"/>
        <v>8.5450809801381936E-2</v>
      </c>
      <c r="I185" s="1">
        <f t="shared" si="30"/>
        <v>0.3140436381561752</v>
      </c>
      <c r="J185" s="1">
        <f t="shared" si="31"/>
        <v>0.34023081215255407</v>
      </c>
      <c r="K185" s="1">
        <f t="shared" si="32"/>
        <v>0.20921131442271654</v>
      </c>
      <c r="L185" s="1">
        <f t="shared" si="33"/>
        <v>0.20744969607121622</v>
      </c>
      <c r="M185" s="1">
        <f t="shared" si="34"/>
        <v>0.45222029524070551</v>
      </c>
      <c r="N185" s="1">
        <f t="shared" si="35"/>
        <v>0.45239611815339148</v>
      </c>
      <c r="O185" s="1">
        <f t="shared" si="36"/>
        <v>0.45126612034613434</v>
      </c>
      <c r="P185" s="1">
        <f t="shared" si="37"/>
        <v>0.45144746861088464</v>
      </c>
      <c r="Q185" s="1">
        <f t="shared" si="38"/>
        <v>6.8587486691894712</v>
      </c>
      <c r="T185">
        <v>0.79113204994062158</v>
      </c>
      <c r="U185">
        <f t="shared" si="45"/>
        <v>1.2640114884424856</v>
      </c>
      <c r="V185" s="15">
        <f t="shared" si="39"/>
        <v>0</v>
      </c>
      <c r="W185" s="15">
        <f t="shared" si="40"/>
        <v>0</v>
      </c>
      <c r="X185" s="15">
        <f t="shared" si="41"/>
        <v>0</v>
      </c>
      <c r="Y185" s="15">
        <f t="shared" si="42"/>
        <v>0</v>
      </c>
      <c r="Z185" s="15">
        <f t="shared" si="43"/>
        <v>0</v>
      </c>
      <c r="AA185" s="15">
        <f t="shared" si="44"/>
        <v>0</v>
      </c>
      <c r="AC185" s="1"/>
      <c r="AD185" s="1"/>
      <c r="AE185" s="1"/>
    </row>
    <row r="186" spans="1:31">
      <c r="A186">
        <v>73</v>
      </c>
      <c r="B186">
        <f t="shared" si="24"/>
        <v>0.12471054410179186</v>
      </c>
      <c r="C186">
        <v>0.11830427819874278</v>
      </c>
      <c r="D186">
        <f t="shared" si="25"/>
        <v>8.4527796900131627</v>
      </c>
      <c r="E186" s="1">
        <f t="shared" si="26"/>
        <v>0.24491547827812701</v>
      </c>
      <c r="F186" s="1">
        <f t="shared" si="27"/>
        <v>0.28410195480262729</v>
      </c>
      <c r="G186" s="1">
        <f t="shared" si="28"/>
        <v>8.8169572180125722E-2</v>
      </c>
      <c r="H186" s="1">
        <f t="shared" si="29"/>
        <v>8.5436914940709319E-2</v>
      </c>
      <c r="I186" s="1">
        <f t="shared" si="30"/>
        <v>0.31399257260621205</v>
      </c>
      <c r="J186" s="1">
        <f t="shared" si="31"/>
        <v>0.34017548839678891</v>
      </c>
      <c r="K186" s="1">
        <f t="shared" si="32"/>
        <v>0.20917729529438067</v>
      </c>
      <c r="L186" s="1">
        <f t="shared" si="33"/>
        <v>0.20741596339354837</v>
      </c>
      <c r="M186" s="1">
        <f t="shared" si="34"/>
        <v>0.45214676126238157</v>
      </c>
      <c r="N186" s="1">
        <f t="shared" si="35"/>
        <v>0.45232255558511175</v>
      </c>
      <c r="O186" s="1">
        <f t="shared" si="36"/>
        <v>0.45119274152289024</v>
      </c>
      <c r="P186" s="1">
        <f t="shared" si="37"/>
        <v>0.45137406029922639</v>
      </c>
      <c r="Q186" s="1">
        <f t="shared" si="38"/>
        <v>6.857633391787556</v>
      </c>
      <c r="T186">
        <v>0.13900876107887783</v>
      </c>
      <c r="U186">
        <f t="shared" si="45"/>
        <v>7.1937911843741231</v>
      </c>
      <c r="V186" s="15">
        <f t="shared" si="39"/>
        <v>8.5797775408693502E-2</v>
      </c>
      <c r="W186" s="15">
        <f t="shared" si="40"/>
        <v>8.963599142751065E-2</v>
      </c>
      <c r="X186" s="15">
        <f t="shared" si="41"/>
        <v>9.7312423465144848E-2</v>
      </c>
      <c r="Y186" s="15">
        <f t="shared" si="42"/>
        <v>0.12214815686801163</v>
      </c>
      <c r="Z186" s="15">
        <f t="shared" si="43"/>
        <v>0.12537912878031954</v>
      </c>
      <c r="AA186" s="15">
        <f t="shared" si="44"/>
        <v>0.1318410726049353</v>
      </c>
      <c r="AC186" s="1"/>
      <c r="AD186" s="1"/>
      <c r="AE186" s="1"/>
    </row>
    <row r="187" spans="1:31">
      <c r="A187">
        <v>592</v>
      </c>
      <c r="B187">
        <f t="shared" si="24"/>
        <v>0.12695880595550871</v>
      </c>
      <c r="C187">
        <v>0.11952497041329657</v>
      </c>
      <c r="D187">
        <f t="shared" si="25"/>
        <v>8.3664526043568461</v>
      </c>
      <c r="E187" s="1">
        <f t="shared" si="26"/>
        <v>0.24457639710741763</v>
      </c>
      <c r="F187" s="1">
        <f t="shared" si="27"/>
        <v>0.28370862064460445</v>
      </c>
      <c r="G187" s="1">
        <f t="shared" si="28"/>
        <v>8.8047502958670337E-2</v>
      </c>
      <c r="H187" s="1">
        <f t="shared" si="29"/>
        <v>8.5318629035124396E-2</v>
      </c>
      <c r="I187" s="1">
        <f t="shared" si="30"/>
        <v>0.31355785541372633</v>
      </c>
      <c r="J187" s="1">
        <f t="shared" si="31"/>
        <v>0.33970452141804519</v>
      </c>
      <c r="K187" s="1">
        <f t="shared" si="32"/>
        <v>0.20888769300924581</v>
      </c>
      <c r="L187" s="1">
        <f t="shared" si="33"/>
        <v>0.2071287996414419</v>
      </c>
      <c r="M187" s="1">
        <f t="shared" si="34"/>
        <v>0.45152077202634316</v>
      </c>
      <c r="N187" s="1">
        <f t="shared" si="35"/>
        <v>0.4516963229649264</v>
      </c>
      <c r="O187" s="1">
        <f t="shared" si="36"/>
        <v>0.45056807311039643</v>
      </c>
      <c r="P187" s="1">
        <f t="shared" si="37"/>
        <v>0.4507491408540768</v>
      </c>
      <c r="Q187" s="1">
        <f t="shared" si="38"/>
        <v>6.8481391190076932</v>
      </c>
      <c r="T187">
        <v>6.3034684196887847E-2</v>
      </c>
      <c r="U187">
        <f t="shared" si="45"/>
        <v>15.864281906712115</v>
      </c>
      <c r="V187" s="15">
        <f t="shared" si="39"/>
        <v>9.9328450306610444E-2</v>
      </c>
      <c r="W187" s="15">
        <f t="shared" si="40"/>
        <v>0.1023158434575058</v>
      </c>
      <c r="X187" s="15">
        <f t="shared" si="41"/>
        <v>0.10829062975929656</v>
      </c>
      <c r="Y187" s="15">
        <f t="shared" si="42"/>
        <v>0.14214863699040878</v>
      </c>
      <c r="Z187" s="15">
        <f t="shared" si="43"/>
        <v>0.14448580259832977</v>
      </c>
      <c r="AA187" s="15">
        <f t="shared" si="44"/>
        <v>0.14916013381417167</v>
      </c>
      <c r="AC187" s="1"/>
      <c r="AD187" s="1"/>
      <c r="AE187" s="1"/>
    </row>
    <row r="188" spans="1:31">
      <c r="A188">
        <v>500</v>
      </c>
      <c r="B188">
        <f t="shared" si="24"/>
        <v>0.12725362030009521</v>
      </c>
      <c r="C188">
        <v>0.12098795070697654</v>
      </c>
      <c r="D188">
        <f t="shared" si="25"/>
        <v>8.2652858748051923</v>
      </c>
      <c r="E188" s="1">
        <f t="shared" si="26"/>
        <v>0.24417001369250652</v>
      </c>
      <c r="F188" s="1">
        <f t="shared" si="27"/>
        <v>0.28323721588330752</v>
      </c>
      <c r="G188" s="1">
        <f t="shared" si="28"/>
        <v>8.790120492930234E-2</v>
      </c>
      <c r="H188" s="1">
        <f t="shared" si="29"/>
        <v>8.5176865249931344E-2</v>
      </c>
      <c r="I188" s="1">
        <f t="shared" si="30"/>
        <v>0.31303685374078377</v>
      </c>
      <c r="J188" s="1">
        <f t="shared" si="31"/>
        <v>0.33914007495016313</v>
      </c>
      <c r="K188" s="1">
        <f t="shared" si="32"/>
        <v>0.20854060925536783</v>
      </c>
      <c r="L188" s="1">
        <f t="shared" si="33"/>
        <v>0.20678463843079262</v>
      </c>
      <c r="M188" s="1">
        <f t="shared" si="34"/>
        <v>0.45077053383733767</v>
      </c>
      <c r="N188" s="1">
        <f t="shared" si="35"/>
        <v>0.45094579308387395</v>
      </c>
      <c r="O188" s="1">
        <f t="shared" si="36"/>
        <v>0.44981941790749846</v>
      </c>
      <c r="P188" s="1">
        <f t="shared" si="37"/>
        <v>0.45000018479251508</v>
      </c>
      <c r="Q188" s="1">
        <f t="shared" si="38"/>
        <v>6.8367603833901827</v>
      </c>
      <c r="T188">
        <v>0.80261487632528172</v>
      </c>
      <c r="U188">
        <f t="shared" si="45"/>
        <v>1.2459275668779437</v>
      </c>
      <c r="V188" s="15">
        <f t="shared" si="39"/>
        <v>0</v>
      </c>
      <c r="W188" s="15">
        <f t="shared" si="40"/>
        <v>0</v>
      </c>
      <c r="X188" s="15">
        <f t="shared" si="41"/>
        <v>0</v>
      </c>
      <c r="Y188" s="15">
        <f t="shared" si="42"/>
        <v>0</v>
      </c>
      <c r="Z188" s="15">
        <f t="shared" si="43"/>
        <v>0</v>
      </c>
      <c r="AA188" s="15">
        <f t="shared" si="44"/>
        <v>0</v>
      </c>
      <c r="AC188" s="1"/>
      <c r="AD188" s="1"/>
      <c r="AE188" s="1"/>
    </row>
    <row r="189" spans="1:31">
      <c r="A189">
        <v>812</v>
      </c>
      <c r="B189">
        <f t="shared" si="24"/>
        <v>0.12815718660323208</v>
      </c>
      <c r="C189">
        <v>0.12337905544055239</v>
      </c>
      <c r="D189">
        <f t="shared" si="25"/>
        <v>8.105103385897042</v>
      </c>
      <c r="E189" s="1">
        <f t="shared" si="26"/>
        <v>0.24350581793317988</v>
      </c>
      <c r="F189" s="1">
        <f t="shared" si="27"/>
        <v>0.28246674880248868</v>
      </c>
      <c r="G189" s="1">
        <f t="shared" si="28"/>
        <v>8.7662094455944764E-2</v>
      </c>
      <c r="H189" s="1">
        <f t="shared" si="29"/>
        <v>8.4945165575445569E-2</v>
      </c>
      <c r="I189" s="1">
        <f t="shared" si="30"/>
        <v>0.31218532513731889</v>
      </c>
      <c r="J189" s="1">
        <f t="shared" si="31"/>
        <v>0.3382175398845621</v>
      </c>
      <c r="K189" s="1">
        <f t="shared" si="32"/>
        <v>0.20797333325689391</v>
      </c>
      <c r="L189" s="1">
        <f t="shared" si="33"/>
        <v>0.20622213905643216</v>
      </c>
      <c r="M189" s="1">
        <f t="shared" si="34"/>
        <v>0.44954433954559631</v>
      </c>
      <c r="N189" s="1">
        <f t="shared" si="35"/>
        <v>0.44971912204870873</v>
      </c>
      <c r="O189" s="1">
        <f t="shared" si="36"/>
        <v>0.44859581085879185</v>
      </c>
      <c r="P189" s="1">
        <f t="shared" si="37"/>
        <v>0.44877608601840524</v>
      </c>
      <c r="Q189" s="1">
        <f t="shared" si="38"/>
        <v>6.8181629021290373</v>
      </c>
      <c r="T189">
        <v>0.74676066184149792</v>
      </c>
      <c r="U189">
        <f t="shared" si="45"/>
        <v>1.3391171376569551</v>
      </c>
      <c r="V189" s="15">
        <f t="shared" si="39"/>
        <v>0</v>
      </c>
      <c r="W189" s="15">
        <f t="shared" si="40"/>
        <v>0</v>
      </c>
      <c r="X189" s="15">
        <f t="shared" si="41"/>
        <v>0</v>
      </c>
      <c r="Y189" s="15">
        <f t="shared" si="42"/>
        <v>0</v>
      </c>
      <c r="Z189" s="15">
        <f t="shared" si="43"/>
        <v>0</v>
      </c>
      <c r="AA189" s="15">
        <f t="shared" si="44"/>
        <v>0</v>
      </c>
      <c r="AC189" s="1"/>
      <c r="AD189" s="1"/>
      <c r="AE189" s="1"/>
    </row>
    <row r="190" spans="1:31">
      <c r="A190">
        <v>115</v>
      </c>
      <c r="B190">
        <f t="shared" si="24"/>
        <v>0.12827332208220671</v>
      </c>
      <c r="C190">
        <v>0.12355284910340836</v>
      </c>
      <c r="D190">
        <f t="shared" si="25"/>
        <v>8.093702470293044</v>
      </c>
      <c r="E190" s="1">
        <f t="shared" si="26"/>
        <v>0.24345754191571989</v>
      </c>
      <c r="F190" s="1">
        <f t="shared" si="27"/>
        <v>0.28241074862223509</v>
      </c>
      <c r="G190" s="1">
        <f t="shared" si="28"/>
        <v>8.7644715089659167E-2</v>
      </c>
      <c r="H190" s="1">
        <f t="shared" si="29"/>
        <v>8.4928324851345965E-2</v>
      </c>
      <c r="I190" s="1">
        <f t="shared" si="30"/>
        <v>0.31212343312859814</v>
      </c>
      <c r="J190" s="1">
        <f t="shared" si="31"/>
        <v>0.33815048688353189</v>
      </c>
      <c r="K190" s="1">
        <f t="shared" si="32"/>
        <v>0.20793210169884432</v>
      </c>
      <c r="L190" s="1">
        <f t="shared" si="33"/>
        <v>0.20618125467974568</v>
      </c>
      <c r="M190" s="1">
        <f t="shared" si="34"/>
        <v>0.44945521555435392</v>
      </c>
      <c r="N190" s="1">
        <f t="shared" si="35"/>
        <v>0.44962996340612521</v>
      </c>
      <c r="O190" s="1">
        <f t="shared" si="36"/>
        <v>0.4485068749172143</v>
      </c>
      <c r="P190" s="1">
        <f t="shared" si="37"/>
        <v>0.44868711433654507</v>
      </c>
      <c r="Q190" s="1">
        <f t="shared" si="38"/>
        <v>6.8168111736401569</v>
      </c>
      <c r="T190">
        <v>0.53642002437743752</v>
      </c>
      <c r="U190">
        <f t="shared" si="45"/>
        <v>1.8642107948162221</v>
      </c>
      <c r="V190" s="15">
        <f t="shared" si="39"/>
        <v>0</v>
      </c>
      <c r="W190" s="15">
        <f t="shared" si="40"/>
        <v>0</v>
      </c>
      <c r="X190" s="15">
        <f t="shared" si="41"/>
        <v>0</v>
      </c>
      <c r="Y190" s="15">
        <f t="shared" si="42"/>
        <v>0</v>
      </c>
      <c r="Z190" s="15">
        <f t="shared" si="43"/>
        <v>0</v>
      </c>
      <c r="AA190" s="15">
        <f t="shared" si="44"/>
        <v>0</v>
      </c>
      <c r="AC190" s="1"/>
      <c r="AD190" s="1"/>
      <c r="AE190" s="1"/>
    </row>
    <row r="191" spans="1:31">
      <c r="A191">
        <v>210</v>
      </c>
      <c r="B191">
        <f t="shared" si="24"/>
        <v>0.12840678080854381</v>
      </c>
      <c r="C191">
        <v>0.12375256654630351</v>
      </c>
      <c r="D191">
        <f t="shared" si="25"/>
        <v>8.0806404901981406</v>
      </c>
      <c r="E191" s="1">
        <f t="shared" si="26"/>
        <v>0.24340206484824903</v>
      </c>
      <c r="F191" s="1">
        <f t="shared" si="27"/>
        <v>0.28234639522396887</v>
      </c>
      <c r="G191" s="1">
        <f t="shared" si="28"/>
        <v>8.7624743345369641E-2</v>
      </c>
      <c r="H191" s="1">
        <f t="shared" si="29"/>
        <v>8.4908972095334004E-2</v>
      </c>
      <c r="I191" s="1">
        <f t="shared" si="30"/>
        <v>0.31205230905241355</v>
      </c>
      <c r="J191" s="1">
        <f t="shared" si="31"/>
        <v>0.33807343198012435</v>
      </c>
      <c r="K191" s="1">
        <f t="shared" si="32"/>
        <v>0.20788471987142368</v>
      </c>
      <c r="L191" s="1">
        <f t="shared" si="33"/>
        <v>0.20613427182069319</v>
      </c>
      <c r="M191" s="1">
        <f t="shared" si="34"/>
        <v>0.44935279746074203</v>
      </c>
      <c r="N191" s="1">
        <f t="shared" si="35"/>
        <v>0.44952750549243509</v>
      </c>
      <c r="O191" s="1">
        <f t="shared" si="36"/>
        <v>0.44840467292353137</v>
      </c>
      <c r="P191" s="1">
        <f t="shared" si="37"/>
        <v>0.44858487127141145</v>
      </c>
      <c r="Q191" s="1">
        <f t="shared" si="38"/>
        <v>6.8152578157509724</v>
      </c>
      <c r="T191">
        <v>0.38326377835026171</v>
      </c>
      <c r="U191">
        <f t="shared" si="45"/>
        <v>2.6091690801161698</v>
      </c>
      <c r="V191" s="15">
        <f t="shared" si="39"/>
        <v>6.5515196170903206E-2</v>
      </c>
      <c r="W191" s="15">
        <f t="shared" si="40"/>
        <v>7.0314556675122528E-2</v>
      </c>
      <c r="X191" s="15">
        <f t="shared" si="41"/>
        <v>7.9913277683561101E-2</v>
      </c>
      <c r="Y191" s="15">
        <f t="shared" si="42"/>
        <v>9.2136921506903613E-2</v>
      </c>
      <c r="Z191" s="15">
        <f t="shared" si="43"/>
        <v>9.6350300749701731E-2</v>
      </c>
      <c r="AA191" s="15">
        <f t="shared" si="44"/>
        <v>0.10477705923529795</v>
      </c>
      <c r="AC191" s="1"/>
      <c r="AD191" s="1"/>
      <c r="AE191" s="1"/>
    </row>
    <row r="192" spans="1:31">
      <c r="A192">
        <v>545</v>
      </c>
      <c r="B192">
        <f t="shared" si="24"/>
        <v>0.12854411284031544</v>
      </c>
      <c r="C192">
        <v>0.12395808028801081</v>
      </c>
      <c r="D192">
        <f t="shared" si="25"/>
        <v>8.0672433590173931</v>
      </c>
      <c r="E192" s="1">
        <f t="shared" si="26"/>
        <v>0.24334497769777477</v>
      </c>
      <c r="F192" s="1">
        <f t="shared" si="27"/>
        <v>0.28228017412941875</v>
      </c>
      <c r="G192" s="1">
        <f t="shared" si="28"/>
        <v>8.7604191971198911E-2</v>
      </c>
      <c r="H192" s="1">
        <f t="shared" si="29"/>
        <v>8.4889057674026019E-2</v>
      </c>
      <c r="I192" s="1">
        <f t="shared" si="30"/>
        <v>0.31197912077796808</v>
      </c>
      <c r="J192" s="1">
        <f t="shared" si="31"/>
        <v>0.33799414075104284</v>
      </c>
      <c r="K192" s="1">
        <f t="shared" si="32"/>
        <v>0.20783596290507667</v>
      </c>
      <c r="L192" s="1">
        <f t="shared" si="33"/>
        <v>0.20608592540177242</v>
      </c>
      <c r="M192" s="1">
        <f t="shared" si="34"/>
        <v>0.44924740693835408</v>
      </c>
      <c r="N192" s="1">
        <f t="shared" si="35"/>
        <v>0.44942207399429079</v>
      </c>
      <c r="O192" s="1">
        <f t="shared" si="36"/>
        <v>0.44829950477283181</v>
      </c>
      <c r="P192" s="1">
        <f t="shared" si="37"/>
        <v>0.44847966085726515</v>
      </c>
      <c r="Q192" s="1">
        <f t="shared" si="38"/>
        <v>6.8136593755376937</v>
      </c>
      <c r="T192">
        <v>0.70369402586937946</v>
      </c>
      <c r="U192">
        <f t="shared" si="45"/>
        <v>1.4210721751752107</v>
      </c>
      <c r="V192" s="15">
        <f t="shared" si="39"/>
        <v>0</v>
      </c>
      <c r="W192" s="15">
        <f t="shared" si="40"/>
        <v>0</v>
      </c>
      <c r="X192" s="15">
        <f t="shared" si="41"/>
        <v>0</v>
      </c>
      <c r="Y192" s="15">
        <f t="shared" si="42"/>
        <v>0</v>
      </c>
      <c r="Z192" s="15">
        <f t="shared" si="43"/>
        <v>0</v>
      </c>
      <c r="AA192" s="15">
        <f t="shared" si="44"/>
        <v>0</v>
      </c>
      <c r="AC192" s="1"/>
      <c r="AD192" s="1"/>
      <c r="AE192" s="1"/>
    </row>
    <row r="193" spans="1:31">
      <c r="A193">
        <v>432</v>
      </c>
      <c r="B193">
        <f t="shared" si="24"/>
        <v>0.12873884285080303</v>
      </c>
      <c r="C193">
        <v>0.12423811027866893</v>
      </c>
      <c r="D193">
        <f t="shared" si="25"/>
        <v>8.0490599684507202</v>
      </c>
      <c r="E193" s="1">
        <f t="shared" si="26"/>
        <v>0.24326719158925864</v>
      </c>
      <c r="F193" s="1">
        <f t="shared" si="27"/>
        <v>0.28218994224353999</v>
      </c>
      <c r="G193" s="1">
        <f t="shared" si="28"/>
        <v>8.7576188972133109E-2</v>
      </c>
      <c r="H193" s="1">
        <f t="shared" si="29"/>
        <v>8.4861922577528309E-2</v>
      </c>
      <c r="I193" s="1">
        <f t="shared" si="30"/>
        <v>0.31187939551561339</v>
      </c>
      <c r="J193" s="1">
        <f t="shared" si="31"/>
        <v>0.33788609969279287</v>
      </c>
      <c r="K193" s="1">
        <f t="shared" si="32"/>
        <v>0.20776952738248219</v>
      </c>
      <c r="L193" s="1">
        <f t="shared" si="33"/>
        <v>0.20602004928504047</v>
      </c>
      <c r="M193" s="1">
        <f t="shared" si="34"/>
        <v>0.44910380336832229</v>
      </c>
      <c r="N193" s="1">
        <f t="shared" si="35"/>
        <v>0.44927841459129836</v>
      </c>
      <c r="O193" s="1">
        <f t="shared" si="36"/>
        <v>0.44815620420318003</v>
      </c>
      <c r="P193" s="1">
        <f t="shared" si="37"/>
        <v>0.44833630270006475</v>
      </c>
      <c r="Q193" s="1">
        <f t="shared" si="38"/>
        <v>6.811481364499242</v>
      </c>
      <c r="T193">
        <v>0.90730550590469605</v>
      </c>
      <c r="U193">
        <f t="shared" si="45"/>
        <v>1.1021645889857972</v>
      </c>
      <c r="V193" s="15">
        <f t="shared" si="39"/>
        <v>0</v>
      </c>
      <c r="W193" s="15">
        <f t="shared" si="40"/>
        <v>0</v>
      </c>
      <c r="X193" s="15">
        <f t="shared" si="41"/>
        <v>0</v>
      </c>
      <c r="Y193" s="15">
        <f t="shared" si="42"/>
        <v>0</v>
      </c>
      <c r="Z193" s="15">
        <f t="shared" si="43"/>
        <v>0</v>
      </c>
      <c r="AA193" s="15">
        <f t="shared" si="44"/>
        <v>0</v>
      </c>
      <c r="AC193" s="1"/>
      <c r="AD193" s="1"/>
      <c r="AE193" s="1"/>
    </row>
    <row r="194" spans="1:31">
      <c r="A194">
        <v>152</v>
      </c>
      <c r="B194">
        <f t="shared" si="24"/>
        <v>0.13084202205050385</v>
      </c>
      <c r="C194">
        <v>0.1267784332537446</v>
      </c>
      <c r="D194">
        <f t="shared" si="25"/>
        <v>7.887776921793308</v>
      </c>
      <c r="E194" s="1">
        <f t="shared" si="26"/>
        <v>0.24256154631840426</v>
      </c>
      <c r="F194" s="1">
        <f t="shared" si="27"/>
        <v>0.28137139372934894</v>
      </c>
      <c r="G194" s="1">
        <f t="shared" si="28"/>
        <v>8.7322156674625534E-2</v>
      </c>
      <c r="H194" s="1">
        <f t="shared" si="29"/>
        <v>8.4615763553982093E-2</v>
      </c>
      <c r="I194" s="1">
        <f t="shared" si="30"/>
        <v>0.3109747267886685</v>
      </c>
      <c r="J194" s="1">
        <f t="shared" si="31"/>
        <v>0.33690599330533472</v>
      </c>
      <c r="K194" s="1">
        <f t="shared" si="32"/>
        <v>0.20716685020490111</v>
      </c>
      <c r="L194" s="1">
        <f t="shared" si="33"/>
        <v>0.20542244681949867</v>
      </c>
      <c r="M194" s="1">
        <f t="shared" si="34"/>
        <v>0.44780108772919641</v>
      </c>
      <c r="N194" s="1">
        <f t="shared" si="35"/>
        <v>0.44797519245730594</v>
      </c>
      <c r="O194" s="1">
        <f t="shared" si="36"/>
        <v>0.44685623726545193</v>
      </c>
      <c r="P194" s="1">
        <f t="shared" si="37"/>
        <v>0.44703581335053177</v>
      </c>
      <c r="Q194" s="1">
        <f t="shared" si="38"/>
        <v>6.7917232969153201</v>
      </c>
      <c r="T194">
        <v>0.24775867576831501</v>
      </c>
      <c r="U194">
        <f t="shared" si="45"/>
        <v>4.0361856023767402</v>
      </c>
      <c r="V194" s="15">
        <f t="shared" si="39"/>
        <v>7.4379745006695114E-2</v>
      </c>
      <c r="W194" s="15">
        <f t="shared" si="40"/>
        <v>7.8825861433479888E-2</v>
      </c>
      <c r="X194" s="15">
        <f t="shared" si="41"/>
        <v>8.7718094287049506E-2</v>
      </c>
      <c r="Y194" s="15">
        <f t="shared" si="42"/>
        <v>0.10525682745406725</v>
      </c>
      <c r="Z194" s="15">
        <f t="shared" si="43"/>
        <v>0.10911725518425114</v>
      </c>
      <c r="AA194" s="15">
        <f t="shared" si="44"/>
        <v>0.11683811064461905</v>
      </c>
      <c r="AC194" s="1"/>
      <c r="AD194" s="1"/>
      <c r="AE194" s="1"/>
    </row>
    <row r="195" spans="1:31">
      <c r="A195">
        <v>453</v>
      </c>
      <c r="B195">
        <f t="shared" si="24"/>
        <v>0.13186529406009231</v>
      </c>
      <c r="C195">
        <v>0.12722330864926368</v>
      </c>
      <c r="D195">
        <f t="shared" si="25"/>
        <v>7.8601948858039519</v>
      </c>
      <c r="E195" s="1">
        <f t="shared" si="26"/>
        <v>0.24243796981964899</v>
      </c>
      <c r="F195" s="1">
        <f t="shared" si="27"/>
        <v>0.28122804499079279</v>
      </c>
      <c r="G195" s="1">
        <f t="shared" si="28"/>
        <v>8.7277669135073635E-2</v>
      </c>
      <c r="H195" s="1">
        <f t="shared" si="29"/>
        <v>8.4572654825668739E-2</v>
      </c>
      <c r="I195" s="1">
        <f t="shared" si="30"/>
        <v>0.31081629620261231</v>
      </c>
      <c r="J195" s="1">
        <f t="shared" si="31"/>
        <v>0.33673435165935139</v>
      </c>
      <c r="K195" s="1">
        <f t="shared" si="32"/>
        <v>0.20706130604757256</v>
      </c>
      <c r="L195" s="1">
        <f t="shared" si="33"/>
        <v>0.20531779137378192</v>
      </c>
      <c r="M195" s="1">
        <f t="shared" si="34"/>
        <v>0.44757294896853833</v>
      </c>
      <c r="N195" s="1">
        <f t="shared" si="35"/>
        <v>0.44774696499646832</v>
      </c>
      <c r="O195" s="1">
        <f t="shared" si="36"/>
        <v>0.4466285798725701</v>
      </c>
      <c r="P195" s="1">
        <f t="shared" si="37"/>
        <v>0.4468080644700082</v>
      </c>
      <c r="Q195" s="1">
        <f t="shared" si="38"/>
        <v>6.7882631549501715</v>
      </c>
      <c r="T195">
        <v>0.31049531094155602</v>
      </c>
      <c r="U195">
        <f t="shared" si="45"/>
        <v>3.2206605535122823</v>
      </c>
      <c r="V195" s="15">
        <f t="shared" si="39"/>
        <v>7.0275604603936961E-2</v>
      </c>
      <c r="W195" s="15">
        <f t="shared" si="40"/>
        <v>7.4885267232236305E-2</v>
      </c>
      <c r="X195" s="15">
        <f t="shared" si="41"/>
        <v>8.4104592488834992E-2</v>
      </c>
      <c r="Y195" s="15">
        <f t="shared" si="42"/>
        <v>9.9182526654828559E-2</v>
      </c>
      <c r="Z195" s="15">
        <f t="shared" si="43"/>
        <v>0.10320636513382414</v>
      </c>
      <c r="AA195" s="15">
        <f t="shared" si="44"/>
        <v>0.11125404209181539</v>
      </c>
      <c r="AC195" s="1"/>
      <c r="AD195" s="1"/>
      <c r="AE195" s="1"/>
    </row>
    <row r="196" spans="1:31">
      <c r="A196">
        <v>460</v>
      </c>
      <c r="B196">
        <f t="shared" si="24"/>
        <v>0.13203333354675234</v>
      </c>
      <c r="C196">
        <v>0.12725827168615578</v>
      </c>
      <c r="D196">
        <f t="shared" si="25"/>
        <v>7.8580353697258989</v>
      </c>
      <c r="E196" s="1">
        <f t="shared" si="26"/>
        <v>0.24242825786495673</v>
      </c>
      <c r="F196" s="1">
        <f t="shared" si="27"/>
        <v>0.2812167791233498</v>
      </c>
      <c r="G196" s="1">
        <f t="shared" si="28"/>
        <v>8.7274172831384417E-2</v>
      </c>
      <c r="H196" s="1">
        <f t="shared" si="29"/>
        <v>8.4569266883621208E-2</v>
      </c>
      <c r="I196" s="1">
        <f t="shared" si="30"/>
        <v>0.31080384504329689</v>
      </c>
      <c r="J196" s="1">
        <f t="shared" si="31"/>
        <v>0.33672086223453451</v>
      </c>
      <c r="K196" s="1">
        <f t="shared" si="32"/>
        <v>0.20705301126592449</v>
      </c>
      <c r="L196" s="1">
        <f t="shared" si="33"/>
        <v>0.20530956643653789</v>
      </c>
      <c r="M196" s="1">
        <f t="shared" si="34"/>
        <v>0.44755501939997655</v>
      </c>
      <c r="N196" s="1">
        <f t="shared" si="35"/>
        <v>0.44772902845690365</v>
      </c>
      <c r="O196" s="1">
        <f t="shared" si="36"/>
        <v>0.44661068813500432</v>
      </c>
      <c r="P196" s="1">
        <f t="shared" si="37"/>
        <v>0.44679016554237122</v>
      </c>
      <c r="Q196" s="1">
        <f t="shared" si="38"/>
        <v>6.7879912202187889</v>
      </c>
      <c r="T196">
        <v>0.73984114707878101</v>
      </c>
      <c r="U196">
        <f t="shared" si="45"/>
        <v>1.3516415029745787</v>
      </c>
      <c r="V196" s="15">
        <f t="shared" si="39"/>
        <v>0</v>
      </c>
      <c r="W196" s="15">
        <f t="shared" si="40"/>
        <v>0</v>
      </c>
      <c r="X196" s="15">
        <f t="shared" si="41"/>
        <v>0</v>
      </c>
      <c r="Y196" s="15">
        <f t="shared" si="42"/>
        <v>0</v>
      </c>
      <c r="Z196" s="15">
        <f t="shared" si="43"/>
        <v>0</v>
      </c>
      <c r="AA196" s="15">
        <f t="shared" si="44"/>
        <v>0</v>
      </c>
      <c r="AC196" s="1"/>
      <c r="AD196" s="1"/>
      <c r="AE196" s="1"/>
    </row>
    <row r="197" spans="1:31">
      <c r="A197">
        <v>999</v>
      </c>
      <c r="B197">
        <f t="shared" si="24"/>
        <v>0.13337183815157388</v>
      </c>
      <c r="C197">
        <v>0.12753676685897974</v>
      </c>
      <c r="D197">
        <f t="shared" si="25"/>
        <v>7.8408762008662363</v>
      </c>
      <c r="E197" s="1">
        <f t="shared" si="26"/>
        <v>0.24235089809472785</v>
      </c>
      <c r="F197" s="1">
        <f t="shared" si="27"/>
        <v>0.28112704178988429</v>
      </c>
      <c r="G197" s="1">
        <f t="shared" si="28"/>
        <v>8.7246323314102023E-2</v>
      </c>
      <c r="H197" s="1">
        <f t="shared" si="29"/>
        <v>8.4542280512015192E-2</v>
      </c>
      <c r="I197" s="1">
        <f t="shared" si="30"/>
        <v>0.31070466636565197</v>
      </c>
      <c r="J197" s="1">
        <f t="shared" si="31"/>
        <v>0.3366134133390834</v>
      </c>
      <c r="K197" s="1">
        <f t="shared" si="32"/>
        <v>0.20698693987013181</v>
      </c>
      <c r="L197" s="1">
        <f t="shared" si="33"/>
        <v>0.20524405138055721</v>
      </c>
      <c r="M197" s="1">
        <f t="shared" si="34"/>
        <v>0.44741220290749961</v>
      </c>
      <c r="N197" s="1">
        <f t="shared" si="35"/>
        <v>0.44758615643748129</v>
      </c>
      <c r="O197" s="1">
        <f t="shared" si="36"/>
        <v>0.44646817298219105</v>
      </c>
      <c r="P197" s="1">
        <f t="shared" si="37"/>
        <v>0.44664759311764118</v>
      </c>
      <c r="Q197" s="1">
        <f t="shared" si="38"/>
        <v>6.78582514665238</v>
      </c>
      <c r="T197">
        <v>0.48828125632794805</v>
      </c>
      <c r="U197">
        <f t="shared" si="45"/>
        <v>2.0479999734586625</v>
      </c>
      <c r="V197" s="15">
        <f t="shared" si="39"/>
        <v>5.8645103868792875E-2</v>
      </c>
      <c r="W197" s="15">
        <f t="shared" si="40"/>
        <v>6.3718231201093795E-2</v>
      </c>
      <c r="X197" s="15">
        <f t="shared" si="41"/>
        <v>7.3864485865695453E-2</v>
      </c>
      <c r="Y197" s="15">
        <f t="shared" si="42"/>
        <v>8.1968895302559491E-2</v>
      </c>
      <c r="Z197" s="15">
        <f t="shared" si="43"/>
        <v>8.6455814633493694E-2</v>
      </c>
      <c r="AA197" s="15">
        <f t="shared" si="44"/>
        <v>9.5429653295361988E-2</v>
      </c>
      <c r="AC197" s="1"/>
      <c r="AD197" s="1"/>
      <c r="AE197" s="1"/>
    </row>
    <row r="198" spans="1:31">
      <c r="A198">
        <v>840</v>
      </c>
      <c r="B198">
        <f t="shared" si="24"/>
        <v>0.13553172756205761</v>
      </c>
      <c r="C198">
        <v>0.12798616297796694</v>
      </c>
      <c r="D198">
        <f t="shared" si="25"/>
        <v>7.8133446361084511</v>
      </c>
      <c r="E198" s="1">
        <f t="shared" si="26"/>
        <v>0.24222606583945364</v>
      </c>
      <c r="F198" s="1">
        <f t="shared" si="27"/>
        <v>0.28098223637376618</v>
      </c>
      <c r="G198" s="1">
        <f t="shared" si="28"/>
        <v>8.7201383702203303E-2</v>
      </c>
      <c r="H198" s="1">
        <f t="shared" si="29"/>
        <v>8.4498733722523964E-2</v>
      </c>
      <c r="I198" s="1">
        <f t="shared" si="30"/>
        <v>0.31054462584369985</v>
      </c>
      <c r="J198" s="1">
        <f t="shared" si="31"/>
        <v>0.33644002750939173</v>
      </c>
      <c r="K198" s="1">
        <f t="shared" si="32"/>
        <v>0.20688032319687236</v>
      </c>
      <c r="L198" s="1">
        <f t="shared" si="33"/>
        <v>0.2051383324497966</v>
      </c>
      <c r="M198" s="1">
        <f t="shared" si="34"/>
        <v>0.44718174585219167</v>
      </c>
      <c r="N198" s="1">
        <f t="shared" si="35"/>
        <v>0.44735560978064248</v>
      </c>
      <c r="O198" s="1">
        <f t="shared" si="36"/>
        <v>0.44623820218621013</v>
      </c>
      <c r="P198" s="1">
        <f t="shared" si="37"/>
        <v>0.44641752990434175</v>
      </c>
      <c r="Q198" s="1">
        <f t="shared" si="38"/>
        <v>6.7823298435047015</v>
      </c>
      <c r="T198">
        <v>0.70582118436365537</v>
      </c>
      <c r="U198">
        <f t="shared" si="45"/>
        <v>1.4167894392424143</v>
      </c>
      <c r="V198" s="15">
        <f t="shared" si="39"/>
        <v>0</v>
      </c>
      <c r="W198" s="15">
        <f t="shared" si="40"/>
        <v>0</v>
      </c>
      <c r="X198" s="15">
        <f t="shared" si="41"/>
        <v>0</v>
      </c>
      <c r="Y198" s="15">
        <f t="shared" si="42"/>
        <v>0</v>
      </c>
      <c r="Z198" s="15">
        <f t="shared" si="43"/>
        <v>0</v>
      </c>
      <c r="AA198" s="15">
        <f t="shared" si="44"/>
        <v>0</v>
      </c>
      <c r="AC198" s="1"/>
      <c r="AD198" s="1"/>
      <c r="AE198" s="1"/>
    </row>
    <row r="199" spans="1:31">
      <c r="A199">
        <v>42</v>
      </c>
      <c r="B199">
        <f t="shared" si="24"/>
        <v>0.1372036690865239</v>
      </c>
      <c r="C199">
        <v>0.12865506959282824</v>
      </c>
      <c r="D199">
        <f t="shared" si="25"/>
        <v>7.7727213017320853</v>
      </c>
      <c r="E199" s="1">
        <f t="shared" si="26"/>
        <v>0.24204025844643659</v>
      </c>
      <c r="F199" s="1">
        <f t="shared" si="27"/>
        <v>0.28076669979786645</v>
      </c>
      <c r="G199" s="1">
        <f t="shared" si="28"/>
        <v>8.7134493040717173E-2</v>
      </c>
      <c r="H199" s="1">
        <f t="shared" si="29"/>
        <v>8.4433916216729077E-2</v>
      </c>
      <c r="I199" s="1">
        <f t="shared" si="30"/>
        <v>0.31030641247412089</v>
      </c>
      <c r="J199" s="1">
        <f t="shared" si="31"/>
        <v>0.33618195022856129</v>
      </c>
      <c r="K199" s="1">
        <f t="shared" si="32"/>
        <v>0.20672162890694731</v>
      </c>
      <c r="L199" s="1">
        <f t="shared" si="33"/>
        <v>0.20498097441061008</v>
      </c>
      <c r="M199" s="1">
        <f t="shared" si="34"/>
        <v>0.44683872052948892</v>
      </c>
      <c r="N199" s="1">
        <f t="shared" si="35"/>
        <v>0.44701245108995075</v>
      </c>
      <c r="O199" s="1">
        <f t="shared" si="36"/>
        <v>0.44589590063940726</v>
      </c>
      <c r="P199" s="1">
        <f t="shared" si="37"/>
        <v>0.44607509079837204</v>
      </c>
      <c r="Q199" s="1">
        <f t="shared" si="38"/>
        <v>6.7771272365002249</v>
      </c>
      <c r="T199">
        <v>0.7622393325486525</v>
      </c>
      <c r="U199">
        <f t="shared" si="45"/>
        <v>1.3119239027673393</v>
      </c>
      <c r="V199" s="15">
        <f t="shared" si="39"/>
        <v>0</v>
      </c>
      <c r="W199" s="15">
        <f t="shared" si="40"/>
        <v>0</v>
      </c>
      <c r="X199" s="15">
        <f t="shared" si="41"/>
        <v>0</v>
      </c>
      <c r="Y199" s="15">
        <f t="shared" si="42"/>
        <v>0</v>
      </c>
      <c r="Z199" s="15">
        <f t="shared" si="43"/>
        <v>0</v>
      </c>
      <c r="AA199" s="15">
        <f t="shared" si="44"/>
        <v>0</v>
      </c>
      <c r="AC199" s="1"/>
      <c r="AD199" s="1"/>
      <c r="AE199" s="1"/>
    </row>
    <row r="200" spans="1:31">
      <c r="A200">
        <v>687</v>
      </c>
      <c r="B200">
        <f t="shared" si="24"/>
        <v>0.13830307333297168</v>
      </c>
      <c r="C200">
        <v>0.12939074767079095</v>
      </c>
      <c r="D200">
        <f t="shared" si="25"/>
        <v>7.7285278739118297</v>
      </c>
      <c r="E200" s="1">
        <f t="shared" si="26"/>
        <v>0.24183590342478029</v>
      </c>
      <c r="F200" s="1">
        <f t="shared" si="27"/>
        <v>0.2805296479727451</v>
      </c>
      <c r="G200" s="1">
        <f t="shared" si="28"/>
        <v>8.7060925232920902E-2</v>
      </c>
      <c r="H200" s="1">
        <f t="shared" si="29"/>
        <v>8.4362628510759222E-2</v>
      </c>
      <c r="I200" s="1">
        <f t="shared" si="30"/>
        <v>0.31004442021693085</v>
      </c>
      <c r="J200" s="1">
        <f t="shared" si="31"/>
        <v>0.33589811120872065</v>
      </c>
      <c r="K200" s="1">
        <f t="shared" si="32"/>
        <v>0.20654709346716857</v>
      </c>
      <c r="L200" s="1">
        <f t="shared" si="33"/>
        <v>0.20480790860852544</v>
      </c>
      <c r="M200" s="1">
        <f t="shared" si="34"/>
        <v>0.44646145380123142</v>
      </c>
      <c r="N200" s="1">
        <f t="shared" si="35"/>
        <v>0.44663503768067137</v>
      </c>
      <c r="O200" s="1">
        <f t="shared" si="36"/>
        <v>0.44551942993566362</v>
      </c>
      <c r="P200" s="1">
        <f t="shared" si="37"/>
        <v>0.44569846880405772</v>
      </c>
      <c r="Q200" s="1">
        <f t="shared" si="38"/>
        <v>6.7714052958938487</v>
      </c>
      <c r="T200">
        <v>0.64505415956103296</v>
      </c>
      <c r="U200">
        <f t="shared" si="45"/>
        <v>1.55025742440063</v>
      </c>
      <c r="V200" s="15">
        <f t="shared" si="39"/>
        <v>0</v>
      </c>
      <c r="W200" s="15">
        <f t="shared" si="40"/>
        <v>0</v>
      </c>
      <c r="X200" s="15">
        <f t="shared" si="41"/>
        <v>0</v>
      </c>
      <c r="Y200" s="15">
        <f t="shared" si="42"/>
        <v>0</v>
      </c>
      <c r="Z200" s="15">
        <f t="shared" si="43"/>
        <v>0</v>
      </c>
      <c r="AA200" s="15">
        <f t="shared" si="44"/>
        <v>0</v>
      </c>
      <c r="AC200" s="1"/>
      <c r="AD200" s="1"/>
      <c r="AE200" s="1"/>
    </row>
    <row r="201" spans="1:31">
      <c r="A201">
        <v>87</v>
      </c>
      <c r="B201">
        <f t="shared" si="24"/>
        <v>0.1386241975864056</v>
      </c>
      <c r="C201">
        <v>0.12979254302812715</v>
      </c>
      <c r="D201">
        <f t="shared" si="25"/>
        <v>7.70460287370509</v>
      </c>
      <c r="E201" s="1">
        <f t="shared" si="26"/>
        <v>0.241724293603298</v>
      </c>
      <c r="F201" s="1">
        <f t="shared" si="27"/>
        <v>0.28040018057982569</v>
      </c>
      <c r="G201" s="1">
        <f t="shared" si="28"/>
        <v>8.7020745697187277E-2</v>
      </c>
      <c r="H201" s="1">
        <f t="shared" si="29"/>
        <v>8.4323694267437535E-2</v>
      </c>
      <c r="I201" s="1">
        <f t="shared" si="30"/>
        <v>0.30990133144515652</v>
      </c>
      <c r="J201" s="1">
        <f t="shared" si="31"/>
        <v>0.33574309068572417</v>
      </c>
      <c r="K201" s="1">
        <f t="shared" si="32"/>
        <v>0.20645176980387833</v>
      </c>
      <c r="L201" s="1">
        <f t="shared" si="33"/>
        <v>0.20471338759740076</v>
      </c>
      <c r="M201" s="1">
        <f t="shared" si="34"/>
        <v>0.44625540712887302</v>
      </c>
      <c r="N201" s="1">
        <f t="shared" si="35"/>
        <v>0.44642891089752079</v>
      </c>
      <c r="O201" s="1">
        <f t="shared" si="36"/>
        <v>0.44531381801726011</v>
      </c>
      <c r="P201" s="1">
        <f t="shared" si="37"/>
        <v>0.44549277425732714</v>
      </c>
      <c r="Q201" s="1">
        <f t="shared" si="38"/>
        <v>6.7682802208923443</v>
      </c>
      <c r="T201">
        <v>0.87882130146094262</v>
      </c>
      <c r="U201">
        <f t="shared" si="45"/>
        <v>1.1378877575425304</v>
      </c>
      <c r="V201" s="15">
        <f t="shared" si="39"/>
        <v>0</v>
      </c>
      <c r="W201" s="15">
        <f t="shared" si="40"/>
        <v>0</v>
      </c>
      <c r="X201" s="15">
        <f t="shared" si="41"/>
        <v>0</v>
      </c>
      <c r="Y201" s="15">
        <f t="shared" si="42"/>
        <v>0</v>
      </c>
      <c r="Z201" s="15">
        <f t="shared" si="43"/>
        <v>0</v>
      </c>
      <c r="AA201" s="15">
        <f t="shared" si="44"/>
        <v>0</v>
      </c>
      <c r="AC201" s="1"/>
      <c r="AD201" s="1"/>
      <c r="AE201" s="1"/>
    </row>
    <row r="202" spans="1:31">
      <c r="A202">
        <v>988</v>
      </c>
      <c r="B202">
        <f t="shared" si="24"/>
        <v>0.1392575703134431</v>
      </c>
      <c r="C202">
        <v>0.13140302604670773</v>
      </c>
      <c r="D202">
        <f t="shared" si="25"/>
        <v>7.6101748192963683</v>
      </c>
      <c r="E202" s="1">
        <f t="shared" si="26"/>
        <v>0.24127693720924787</v>
      </c>
      <c r="F202" s="1">
        <f t="shared" si="27"/>
        <v>0.2798812471627275</v>
      </c>
      <c r="G202" s="1">
        <f t="shared" si="28"/>
        <v>8.6859697395329227E-2</v>
      </c>
      <c r="H202" s="1">
        <f t="shared" si="29"/>
        <v>8.4167637367908943E-2</v>
      </c>
      <c r="I202" s="1">
        <f t="shared" si="30"/>
        <v>0.30932780058452169</v>
      </c>
      <c r="J202" s="1">
        <f t="shared" si="31"/>
        <v>0.33512173477590851</v>
      </c>
      <c r="K202" s="1">
        <f t="shared" si="32"/>
        <v>0.20606969186744922</v>
      </c>
      <c r="L202" s="1">
        <f t="shared" si="33"/>
        <v>0.20433452686510026</v>
      </c>
      <c r="M202" s="1">
        <f t="shared" si="34"/>
        <v>0.4454295273350688</v>
      </c>
      <c r="N202" s="1">
        <f t="shared" si="35"/>
        <v>0.4456027100022702</v>
      </c>
      <c r="O202" s="1">
        <f t="shared" si="36"/>
        <v>0.44448968081168888</v>
      </c>
      <c r="P202" s="1">
        <f t="shared" si="37"/>
        <v>0.4446683058594828</v>
      </c>
      <c r="Q202" s="1">
        <f t="shared" si="38"/>
        <v>6.7557542418589396</v>
      </c>
      <c r="T202">
        <v>0.39299443455815952</v>
      </c>
      <c r="U202">
        <f t="shared" si="45"/>
        <v>2.5445652967688766</v>
      </c>
      <c r="V202" s="15">
        <f t="shared" si="39"/>
        <v>6.4878630642995885E-2</v>
      </c>
      <c r="W202" s="15">
        <f t="shared" si="40"/>
        <v>6.9703357695112642E-2</v>
      </c>
      <c r="X202" s="15">
        <f t="shared" si="41"/>
        <v>7.9352811799346071E-2</v>
      </c>
      <c r="Y202" s="15">
        <f t="shared" si="42"/>
        <v>9.1194777692248388E-2</v>
      </c>
      <c r="Z202" s="15">
        <f t="shared" si="43"/>
        <v>9.5433502473789067E-2</v>
      </c>
      <c r="AA202" s="15">
        <f t="shared" si="44"/>
        <v>0.10391095203687042</v>
      </c>
      <c r="AC202" s="1"/>
      <c r="AD202" s="1"/>
      <c r="AE202" s="1"/>
    </row>
    <row r="203" spans="1:31">
      <c r="A203">
        <v>495</v>
      </c>
      <c r="B203">
        <f t="shared" ref="B203:B266" si="46">PERCENTILE($C$75:$C$1074,$C203)</f>
        <v>0.14216167141211453</v>
      </c>
      <c r="C203">
        <v>0.13621404103014434</v>
      </c>
      <c r="D203">
        <f t="shared" ref="D203:D266" si="47">1/C203</f>
        <v>7.3413870731483453</v>
      </c>
      <c r="E203" s="1">
        <f t="shared" ref="E203:E266" si="48">IF($C203&lt;=0.005,$F$14,IF($C203&lt;=0.01,$F$14+($C203-0.005)*SLOPE($E$14:$F$14,$E$11:$F$11),IF($C203&lt;=0.04,$E$14+($C203-0.01)*SLOPE($D$14:$E$14,$D$11:$E$11),IF($C203&lt;=0.1,$D$14+($C203-0.04)*SLOPE($C$14:$D$14,$C$11:$D$11),IF($C203&lt;=1,$C$14+($C203-0.1)*SLOPE($B$14:$C$14,$B$11:$C$11),)))))</f>
        <v>0.23994054415829325</v>
      </c>
      <c r="F203" s="1">
        <f t="shared" ref="F203:F266" si="49">IF($C203&lt;=0.005,$F$27,IF($C203&lt;=0.01,$F$27+($C203-0.005)*SLOPE($E$27:$F$27,$E$24:$F$24),IF($C203&lt;=0.04,$E$27+($C203-0.01)*SLOPE($D$27:$E$27,$D$24:$E$24),IF($C203&lt;=0.1,$D$27+($C203-0.04)*SLOPE($C$27:$D$27,$C$24:$D$24),IF($C203&lt;=1,$C$27+($C203-0.1)*SLOPE($B$27:$C$27,$B$24:$C$24),)))))</f>
        <v>0.27833103122362013</v>
      </c>
      <c r="G203" s="1">
        <f t="shared" ref="G203:G266" si="50">IF($C203&lt;=0.005,$F$15,IF($C203&lt;=0.01,$F$15+($C203-0.005)*SLOPE($E$15:$F$15,$E$11:$F$11),IF($C203&lt;=0.04,$E$15+($C203-0.01)*SLOPE($D$15:$E$15,$D$11:$E$11),IF($C203&lt;=0.1,$D$15+($C203-0.04)*SLOPE($C$15:$D$15,$C$11:$D$11),IF($C203&lt;=1,$C$15+($C203-0.1)*SLOPE($B$15:$C$15,$B$11:$C$11),)))))</f>
        <v>8.6378595896985558E-2</v>
      </c>
      <c r="H203" s="1">
        <f t="shared" ref="H203:H266" si="51">IF($C203&lt;=0.005,$F$28,IF($C203&lt;=0.01,$F$28+($C203-0.005)*SLOPE($E$28:$F$28,$E$24:$F$24),IF($C203&lt;=0.04,$E$28+($C203-0.01)*SLOPE($D$28:$E$28,$D$24:$E$24),IF($C203&lt;=0.1,$D$28+($C203-0.04)*SLOPE($C$28:$D$28,$C$24:$D$24),IF($C203&lt;=1,$C$28+($C203-0.1)*SLOPE($B$28:$C$28,$B$24:$C$24),)))))</f>
        <v>8.3701446744823438E-2</v>
      </c>
      <c r="I203" s="1">
        <f t="shared" ref="I203:I266" si="52">IF($C203&lt;=0.005,$F$16,IF($C203&lt;=0.01,$F$16+($C203-0.005)*SLOPE($E$16:$F$16,$E$11:$F$11),IF($C203&lt;=0.04,$E$16+($C203-0.01)*SLOPE($D$16:$E$16,$D$11:$E$11),IF($C203&lt;=0.1,$D$16+($C203-0.04)*SLOPE($C$16:$D$16,$C$11:$D$11),IF($C203&lt;=1,$C$16+($C203-0.1)*SLOPE($B$16:$C$16,$B$11:$C$11),)))))</f>
        <v>0.30761448505610994</v>
      </c>
      <c r="J203" s="1">
        <f t="shared" ref="J203:J266" si="53">IF($C203&lt;=0.005,$F$29,IF($C203&lt;=0.01,$F$29+($C203-0.005)*SLOPE($E$29:$F$29,$E$24:$F$24),IF($C203&lt;=0.04,$E$29+($C203-0.01)*SLOPE($D$29:$E$29,$D$24:$E$24),IF($C203&lt;=0.1,$D$29+($C203-0.04)*SLOPE($C$29:$D$29,$C$24:$D$24),IF($C203&lt;=1,$C$29+($C203-0.1)*SLOPE($B$29:$C$29,$B$24:$C$24),)))))</f>
        <v>0.33326555091201115</v>
      </c>
      <c r="K203" s="1">
        <f t="shared" ref="K203:K266" si="54">IF($C203&lt;=0.005,$F$17,IF($C203&lt;=0.01,$F$17+($C203-0.005)*SLOPE($E$17:$F$17,$E$11:$F$11),IF($C203&lt;=0.04,$E$17+($C203-0.01)*SLOPE($D$17:$E$17,$D$11:$E$11),IF($C203&lt;=0.1,$D$17+($C203-0.04)*SLOPE($C$17:$D$17,$C$11:$D$11),IF($C203&lt;=1,$C$17+($C203-0.1)*SLOPE($B$17:$C$17,$B$11:$C$11),)))))</f>
        <v>0.20492830592559608</v>
      </c>
      <c r="L203" s="1">
        <f t="shared" ref="L203:L266" si="55">IF($C203&lt;=0.005,$F$30,IF($C203&lt;=0.01,$F$30+($C203-0.005)*SLOPE($E$30:$F$30,$E$24:$F$24),IF($C203&lt;=0.04,$E$30+($C203-0.01)*SLOPE($D$30:$E$30,$D$24:$E$24),IF($C203&lt;=0.1,$D$30+($C203-0.04)*SLOPE($C$30:$D$30,$C$24:$D$24),IF($C203&lt;=1,$C$30+($C203-0.1)*SLOPE($B$30:$C$30,$B$24:$C$24),)))))</f>
        <v>0.20320275171522012</v>
      </c>
      <c r="M203" s="1">
        <f t="shared" ref="M203:M266" si="56">IF($C203&lt;=0.005,$F$18,IF($C203&lt;=0.01,$F$18+($C203-0.005)*SLOPE($E$18:$F$18,$E$11:$F$11),IF($C203&lt;=0.04,$E$18+($C203-0.01)*SLOPE($D$18:$E$18,$D$11:$E$11),IF($C203&lt;=0.1,$D$18+($C203-0.04)*SLOPE($C$18:$D$18,$C$11:$D$11),IF($C203&lt;=1,$C$18+($C203-0.1)*SLOPE($B$18:$C$18,$B$11:$C$11),)))))</f>
        <v>0.44296236685174278</v>
      </c>
      <c r="N203" s="1">
        <f t="shared" ref="N203:N266" si="57">IF($C203&lt;=0.005,$F$31,IF($C203&lt;=0.01,$F$31+($C203-0.005)*SLOPE($E$31:$F$31,$E$24:$F$24),IF($C203&lt;=0.04,$E$31+($C203-0.01)*SLOPE($D$31:$E$31,$D$24:$E$24),IF($C203&lt;=0.1,$D$31+($C203-0.04)*SLOPE($C$31:$D$31,$C$24:$D$24),IF($C203&lt;=1,$C$31+($C203-0.1)*SLOPE($B$31:$C$31,$B$24:$C$24),)))))</f>
        <v>0.44313459028879287</v>
      </c>
      <c r="O203" s="1">
        <f t="shared" ref="O203:O266" si="58">IF($C203&lt;=0.005,$F$19,IF($C203&lt;=0.01,$F$19+($C203-0.005)*SLOPE($E$19:$F$19,$E$11:$F$11),IF($C203&lt;=0.04,$E$19+($C203-0.01)*SLOPE($D$19:$E$19,$D$11:$E$11),IF($C203&lt;=0.1,$D$19+($C203-0.04)*SLOPE($C$19:$D$19,$C$11:$D$11),IF($C203&lt;=1,$C$19+($C203-0.1)*SLOPE($B$19:$C$19,$B$11:$C$11),)))))</f>
        <v>0.44202772598281675</v>
      </c>
      <c r="P203" s="1">
        <f t="shared" ref="P203:P266" si="59">IF($C203&lt;=0.005,$F$32,IF($C203&lt;=0.01,$F$32+($C203-0.005)*SLOPE($E$32:$F$32,$E$24:$F$24),IF($C203&lt;=0.04,$E$32+($C203-0.01)*SLOPE($D$32:$E$32,$D$24:$E$24),IF($C203&lt;=0.1,$D$32+($C203-0.04)*SLOPE($C$32:$D$32,$C$24:$D$24),IF($C203&lt;=1,$C$32+($C203-0.1)*SLOPE($B$32:$C$32,$B$24:$C$24),)))))</f>
        <v>0.44220536165601337</v>
      </c>
      <c r="Q203" s="1">
        <f t="shared" ref="Q203:Q266" si="60">IF($C203&lt;=0.005,$F$20,IF($C203&lt;=0.01,$F$20+($C203-0.005)*SLOPE($E$20:$F$20,$E$11:$F$11),IF($C203&lt;=0.04,$E$20+($C203-0.01)*SLOPE($D$20:$E$20,$D$11:$E$11),IF($C203&lt;=0.1,$D$20+($C203-0.04)*SLOPE($C$20:$D$20,$C$11:$D$11),IF($C203&lt;=1,$C$20+($C203-0.1)*SLOPE($B$20:$C$20,$B$11:$C$11),)))))</f>
        <v>6.7183352364322104</v>
      </c>
      <c r="T203">
        <v>0.9177845923625545</v>
      </c>
      <c r="U203">
        <f t="shared" si="45"/>
        <v>1.0895802874896898</v>
      </c>
      <c r="V203" s="15">
        <f t="shared" ref="V203:V266" si="61">IF($T203&lt;=0.05,$F$63,IF($T203&lt;=0.07,$F$63+($T203-0.05)*SLOPE($E$63:$F$63,$E$62:$F$62),IF($T203&lt;=0.1,$E$63+($T203-0.07)*SLOPE($D$63:$E$63,$D$62:$E$62),IF($T203&lt;=0.2,$D$63+($T203-0.1)*SLOPE($C$63:$D$63,$C$62:$D$62),IF($T203&lt;=0.5,$C$63+($T203-0.2)*SLOPE($B$63:$C$63,$B$62:$C$62),)))))</f>
        <v>0</v>
      </c>
      <c r="W203" s="15">
        <f t="shared" ref="W203:W266" si="62">IF($T203&lt;=0.05,$F$64,IF($T203&lt;=0.07,$F$64+($T203-0.05)*SLOPE($E$64:$F$64,$E$62:$F$62),IF($T203&lt;=0.1,$E$64+($T203-0.07)*SLOPE($D$64:$E$64,$D$62:$E$62),IF($T203&lt;=0.2,$D$64+($T203-0.1)*SLOPE($C$64:$D$64,$C$62:$D$62),IF($T203&lt;=0.5,$C$64+($T203-0.2)*SLOPE($B$64:$C$64,$B$62:$C$62),)))))</f>
        <v>0</v>
      </c>
      <c r="X203" s="15">
        <f t="shared" ref="X203:X266" si="63">IF($T203&lt;=0.05,$F$65,IF($T203&lt;=0.07,$F$65+($T203-0.05)*SLOPE($E$65:$F$65,$E$62:$F$62),IF($T203&lt;=0.1,$E$65+($T203-0.07)*SLOPE($D$65:$E$65,$D$62:$E$62),IF($T203&lt;=0.2,$D$65+($T203-0.1)*SLOPE($C$65:$D$65,$C$62:$D$62),IF($T203&lt;=0.5,$C$65+($T203-0.2)*SLOPE($B$65:$C$65,$B$62:$C$62),)))))</f>
        <v>0</v>
      </c>
      <c r="Y203" s="15">
        <f t="shared" ref="Y203:Y266" si="64">IF($T203&lt;=0.05,$F$66,IF($T203&lt;=0.07,$F$66+($T203-0.05)*SLOPE($E$66:$F$66,$E$62:$F$62),IF($T203&lt;=0.1,$E$66+($T203-0.07)*SLOPE($D$66:$E$66,$D$62:$E$62),IF($T203&lt;=0.2,$D$66+($T203-0.1)*SLOPE($C$66:$D$66,$C$62:$D$62),IF($T203&lt;=0.5,$C$66+($T203-0.2)*SLOPE($B$66:$C$66,$B$62:$C$62),)))))</f>
        <v>0</v>
      </c>
      <c r="Z203" s="15">
        <f t="shared" ref="Z203:Z266" si="65">IF($T203&lt;=0.05,$F$67,IF($T203&lt;=0.07,$F$67+($T203-0.05)*SLOPE($E$67:$F$67,$E$62:$F$62),IF($T203&lt;=0.1,$E$67+($T203-0.07)*SLOPE($D$67:$E$67,$D$62:$E$62),IF($T203&lt;=0.2,$D$67+($T203-0.1)*SLOPE($C$67:$D$67,$C$62:$D$62),IF($T203&lt;=0.5,$C$67+($T203-0.2)*SLOPE($B$67:$C$67,$B$62:$C$62),)))))</f>
        <v>0</v>
      </c>
      <c r="AA203" s="15">
        <f t="shared" ref="AA203:AA266" si="66">IF($T203&lt;=0.05,$F$68,IF($T203&lt;=0.07,$F$68+($T203-0.05)*SLOPE($E$68:$F$68,$E$62:$F$62),IF($T203&lt;=0.1,$E$68+($T203-0.07)*SLOPE($D$68:$E$68,$D$62:$E$62),IF($T203&lt;=0.2,$D$68+($T203-0.1)*SLOPE($C$68:$D$68,$C$62:$D$62),IF($T203&lt;=0.5,$C$68+($T203-0.2)*SLOPE($B$68:$C$68,$B$62:$C$62),)))))</f>
        <v>0</v>
      </c>
      <c r="AC203" s="1"/>
      <c r="AD203" s="1"/>
      <c r="AE203" s="1"/>
    </row>
    <row r="204" spans="1:31">
      <c r="A204">
        <v>478</v>
      </c>
      <c r="B204">
        <f t="shared" si="46"/>
        <v>0.14341952265822105</v>
      </c>
      <c r="C204">
        <v>0.13809398167140396</v>
      </c>
      <c r="D204">
        <f t="shared" si="47"/>
        <v>7.2414451947624352</v>
      </c>
      <c r="E204" s="1">
        <f t="shared" si="48"/>
        <v>0.23941833842461002</v>
      </c>
      <c r="F204" s="1">
        <f t="shared" si="49"/>
        <v>0.27772527257254759</v>
      </c>
      <c r="G204" s="1">
        <f t="shared" si="50"/>
        <v>8.6190601832859606E-2</v>
      </c>
      <c r="H204" s="1">
        <f t="shared" si="51"/>
        <v>8.3519279218442849E-2</v>
      </c>
      <c r="I204" s="1">
        <f t="shared" si="52"/>
        <v>0.30694499400188302</v>
      </c>
      <c r="J204" s="1">
        <f t="shared" si="53"/>
        <v>0.33254023297070257</v>
      </c>
      <c r="K204" s="1">
        <f t="shared" si="54"/>
        <v>0.20448230070074447</v>
      </c>
      <c r="L204" s="1">
        <f t="shared" si="55"/>
        <v>0.20276050198031959</v>
      </c>
      <c r="M204" s="1">
        <f t="shared" si="56"/>
        <v>0.44199830515642852</v>
      </c>
      <c r="N204" s="1">
        <f t="shared" si="57"/>
        <v>0.44217015376701224</v>
      </c>
      <c r="O204" s="1">
        <f t="shared" si="58"/>
        <v>0.44106569843651389</v>
      </c>
      <c r="P204" s="1">
        <f t="shared" si="59"/>
        <v>0.44124294750407295</v>
      </c>
      <c r="Q204" s="1">
        <f t="shared" si="60"/>
        <v>6.7037134758890806</v>
      </c>
      <c r="T204">
        <v>0.44801300935417898</v>
      </c>
      <c r="U204">
        <f t="shared" ref="U204:U267" si="67">1/T204</f>
        <v>2.2320780404156633</v>
      </c>
      <c r="V204" s="15">
        <f t="shared" si="61"/>
        <v>6.1279394644779217E-2</v>
      </c>
      <c r="W204" s="15">
        <f t="shared" si="62"/>
        <v>6.6247547924582359E-2</v>
      </c>
      <c r="X204" s="15">
        <f t="shared" si="63"/>
        <v>7.6183854484188462E-2</v>
      </c>
      <c r="Y204" s="15">
        <f t="shared" si="64"/>
        <v>8.5867756695129624E-2</v>
      </c>
      <c r="Z204" s="15">
        <f t="shared" si="65"/>
        <v>9.0249788915476081E-2</v>
      </c>
      <c r="AA204" s="15">
        <f t="shared" si="66"/>
        <v>9.9013853356168954E-2</v>
      </c>
      <c r="AC204" s="1"/>
      <c r="AD204" s="1"/>
      <c r="AE204" s="1"/>
    </row>
    <row r="205" spans="1:31">
      <c r="A205">
        <v>819</v>
      </c>
      <c r="B205">
        <f t="shared" si="46"/>
        <v>0.1449714475154526</v>
      </c>
      <c r="C205">
        <v>0.13889400509941008</v>
      </c>
      <c r="D205">
        <f t="shared" si="47"/>
        <v>7.1997347854162159</v>
      </c>
      <c r="E205" s="1">
        <f t="shared" si="48"/>
        <v>0.23919610969460831</v>
      </c>
      <c r="F205" s="1">
        <f t="shared" si="49"/>
        <v>0.2774674872457456</v>
      </c>
      <c r="G205" s="1">
        <f t="shared" si="50"/>
        <v>8.6110599490058989E-2</v>
      </c>
      <c r="H205" s="1">
        <f t="shared" si="51"/>
        <v>8.3441756404302958E-2</v>
      </c>
      <c r="I205" s="1">
        <f t="shared" si="52"/>
        <v>0.30666008685297264</v>
      </c>
      <c r="J205" s="1">
        <f t="shared" si="53"/>
        <v>0.33223156825381489</v>
      </c>
      <c r="K205" s="1">
        <f t="shared" si="54"/>
        <v>0.20429249969263638</v>
      </c>
      <c r="L205" s="1">
        <f t="shared" si="55"/>
        <v>0.20257229915030209</v>
      </c>
      <c r="M205" s="1">
        <f t="shared" si="56"/>
        <v>0.44158804116970074</v>
      </c>
      <c r="N205" s="1">
        <f t="shared" si="57"/>
        <v>0.44175973026995319</v>
      </c>
      <c r="O205" s="1">
        <f t="shared" si="58"/>
        <v>0.44065630009779089</v>
      </c>
      <c r="P205" s="1">
        <f t="shared" si="59"/>
        <v>0.44083338464230026</v>
      </c>
      <c r="Q205" s="1">
        <f t="shared" si="60"/>
        <v>6.6974910714490328</v>
      </c>
      <c r="T205">
        <v>0.12746371372128262</v>
      </c>
      <c r="U205">
        <f t="shared" si="67"/>
        <v>7.845370033597491</v>
      </c>
      <c r="V205" s="15">
        <f t="shared" si="61"/>
        <v>8.7367697048397988E-2</v>
      </c>
      <c r="W205" s="15">
        <f t="shared" si="62"/>
        <v>9.1114410196689352E-2</v>
      </c>
      <c r="X205" s="15">
        <f t="shared" si="63"/>
        <v>9.8607836493271941E-2</v>
      </c>
      <c r="Y205" s="15">
        <f t="shared" si="64"/>
        <v>0.12447022362545855</v>
      </c>
      <c r="Z205" s="15">
        <f t="shared" si="65"/>
        <v>0.1276055929196106</v>
      </c>
      <c r="AA205" s="15">
        <f t="shared" si="66"/>
        <v>0.13387633150791467</v>
      </c>
      <c r="AC205" s="1"/>
      <c r="AD205" s="1"/>
      <c r="AE205" s="1"/>
    </row>
    <row r="206" spans="1:31">
      <c r="A206">
        <v>469</v>
      </c>
      <c r="B206">
        <f t="shared" si="46"/>
        <v>0.14554402019033105</v>
      </c>
      <c r="C206">
        <v>0.13920126334720762</v>
      </c>
      <c r="D206">
        <f t="shared" si="47"/>
        <v>7.1838428470703963</v>
      </c>
      <c r="E206" s="1">
        <f t="shared" si="48"/>
        <v>0.23911076018133121</v>
      </c>
      <c r="F206" s="1">
        <f t="shared" si="49"/>
        <v>0.27736848181034418</v>
      </c>
      <c r="G206" s="1">
        <f t="shared" si="50"/>
        <v>8.6079873665279236E-2</v>
      </c>
      <c r="H206" s="1">
        <f t="shared" si="51"/>
        <v>8.3411982871174919E-2</v>
      </c>
      <c r="I206" s="1">
        <f t="shared" si="52"/>
        <v>0.30655066496819439</v>
      </c>
      <c r="J206" s="1">
        <f t="shared" si="53"/>
        <v>0.33211302200035808</v>
      </c>
      <c r="K206" s="1">
        <f t="shared" si="54"/>
        <v>0.20421960442089809</v>
      </c>
      <c r="L206" s="1">
        <f t="shared" si="55"/>
        <v>0.20250001767733844</v>
      </c>
      <c r="M206" s="1">
        <f t="shared" si="56"/>
        <v>0.44143047454192014</v>
      </c>
      <c r="N206" s="1">
        <f t="shared" si="57"/>
        <v>0.4416021023803855</v>
      </c>
      <c r="O206" s="1">
        <f t="shared" si="58"/>
        <v>0.44049906593213556</v>
      </c>
      <c r="P206" s="1">
        <f t="shared" si="59"/>
        <v>0.44067608728966545</v>
      </c>
      <c r="Q206" s="1">
        <f t="shared" si="60"/>
        <v>6.695101285077274</v>
      </c>
      <c r="T206">
        <v>0.86099000745250964</v>
      </c>
      <c r="U206">
        <f t="shared" si="67"/>
        <v>1.1614536653669094</v>
      </c>
      <c r="V206" s="15">
        <f t="shared" si="61"/>
        <v>0</v>
      </c>
      <c r="W206" s="15">
        <f t="shared" si="62"/>
        <v>0</v>
      </c>
      <c r="X206" s="15">
        <f t="shared" si="63"/>
        <v>0</v>
      </c>
      <c r="Y206" s="15">
        <f t="shared" si="64"/>
        <v>0</v>
      </c>
      <c r="Z206" s="15">
        <f t="shared" si="65"/>
        <v>0</v>
      </c>
      <c r="AA206" s="15">
        <f t="shared" si="66"/>
        <v>0</v>
      </c>
      <c r="AC206" s="1"/>
      <c r="AD206" s="1"/>
      <c r="AE206" s="1"/>
    </row>
    <row r="207" spans="1:31">
      <c r="A207">
        <v>628</v>
      </c>
      <c r="B207">
        <f t="shared" si="46"/>
        <v>0.14577686065259379</v>
      </c>
      <c r="C207">
        <v>0.13940856155815617</v>
      </c>
      <c r="D207">
        <f t="shared" si="47"/>
        <v>7.1731605923129509</v>
      </c>
      <c r="E207" s="1">
        <f t="shared" si="48"/>
        <v>0.23905317734495662</v>
      </c>
      <c r="F207" s="1">
        <f t="shared" si="49"/>
        <v>0.27730168572014968</v>
      </c>
      <c r="G207" s="1">
        <f t="shared" si="50"/>
        <v>8.605914384418438E-2</v>
      </c>
      <c r="H207" s="1">
        <f t="shared" si="51"/>
        <v>8.3391895533584129E-2</v>
      </c>
      <c r="I207" s="1">
        <f t="shared" si="52"/>
        <v>0.30647684120230445</v>
      </c>
      <c r="J207" s="1">
        <f t="shared" si="53"/>
        <v>0.33203304228807234</v>
      </c>
      <c r="K207" s="1">
        <f t="shared" si="54"/>
        <v>0.20417042409937292</v>
      </c>
      <c r="L207" s="1">
        <f t="shared" si="55"/>
        <v>0.20245125146800966</v>
      </c>
      <c r="M207" s="1">
        <f t="shared" si="56"/>
        <v>0.4413241689169996</v>
      </c>
      <c r="N207" s="1">
        <f t="shared" si="57"/>
        <v>0.44149575542391745</v>
      </c>
      <c r="O207" s="1">
        <f t="shared" si="58"/>
        <v>0.44039298460974963</v>
      </c>
      <c r="P207" s="1">
        <f t="shared" si="59"/>
        <v>0.44056996333686066</v>
      </c>
      <c r="Q207" s="1">
        <f t="shared" si="60"/>
        <v>6.6934889656587853</v>
      </c>
      <c r="T207">
        <v>0.10637859254445614</v>
      </c>
      <c r="U207">
        <f t="shared" si="67"/>
        <v>9.4003875787517597</v>
      </c>
      <c r="V207" s="15">
        <f t="shared" si="61"/>
        <v>9.0234899493393944E-2</v>
      </c>
      <c r="W207" s="15">
        <f t="shared" si="62"/>
        <v>9.381449776954108E-2</v>
      </c>
      <c r="X207" s="15">
        <f t="shared" si="63"/>
        <v>0.10097369432183514</v>
      </c>
      <c r="Y207" s="15">
        <f t="shared" si="64"/>
        <v>0.1287110948358515</v>
      </c>
      <c r="Z207" s="15">
        <f t="shared" si="65"/>
        <v>0.1316718617462973</v>
      </c>
      <c r="AA207" s="15">
        <f t="shared" si="66"/>
        <v>0.1375933955671888</v>
      </c>
      <c r="AC207" s="1"/>
      <c r="AD207" s="1"/>
      <c r="AE207" s="1"/>
    </row>
    <row r="208" spans="1:31">
      <c r="A208">
        <v>754</v>
      </c>
      <c r="B208">
        <f t="shared" si="46"/>
        <v>0.14677215830597209</v>
      </c>
      <c r="C208">
        <v>0.14020853774331909</v>
      </c>
      <c r="D208">
        <f t="shared" si="47"/>
        <v>7.132233286896609</v>
      </c>
      <c r="E208" s="1">
        <f t="shared" si="48"/>
        <v>0.23883096173796692</v>
      </c>
      <c r="F208" s="1">
        <f t="shared" si="49"/>
        <v>0.27704391561604158</v>
      </c>
      <c r="G208" s="1">
        <f t="shared" si="50"/>
        <v>8.5979146225668088E-2</v>
      </c>
      <c r="H208" s="1">
        <f t="shared" si="51"/>
        <v>8.3314377297307868E-2</v>
      </c>
      <c r="I208" s="1">
        <f t="shared" si="52"/>
        <v>0.30619195087768108</v>
      </c>
      <c r="J208" s="1">
        <f t="shared" si="53"/>
        <v>0.33172439579839941</v>
      </c>
      <c r="K208" s="1">
        <f t="shared" si="54"/>
        <v>0.20398063429936067</v>
      </c>
      <c r="L208" s="1">
        <f t="shared" si="55"/>
        <v>0.20226305975171271</v>
      </c>
      <c r="M208" s="1">
        <f t="shared" si="56"/>
        <v>0.44091392915710881</v>
      </c>
      <c r="N208" s="1">
        <f t="shared" si="57"/>
        <v>0.44108535616311473</v>
      </c>
      <c r="O208" s="1">
        <f t="shared" si="58"/>
        <v>0.43998361044674555</v>
      </c>
      <c r="P208" s="1">
        <f t="shared" si="59"/>
        <v>0.4401604246605223</v>
      </c>
      <c r="Q208" s="1">
        <f t="shared" si="60"/>
        <v>6.6872669286630737</v>
      </c>
      <c r="T208">
        <v>0.43134659369761796</v>
      </c>
      <c r="U208">
        <f t="shared" si="67"/>
        <v>2.3183213096172466</v>
      </c>
      <c r="V208" s="15">
        <f t="shared" si="61"/>
        <v>6.2369687576116224E-2</v>
      </c>
      <c r="W208" s="15">
        <f t="shared" si="62"/>
        <v>6.7294393690384147E-2</v>
      </c>
      <c r="X208" s="15">
        <f t="shared" si="63"/>
        <v>7.714380591891988E-2</v>
      </c>
      <c r="Y208" s="15">
        <f t="shared" si="64"/>
        <v>8.7481436192978643E-2</v>
      </c>
      <c r="Z208" s="15">
        <f t="shared" si="65"/>
        <v>9.1820057231725621E-2</v>
      </c>
      <c r="AA208" s="15">
        <f t="shared" si="66"/>
        <v>0.10049729930921956</v>
      </c>
      <c r="AC208" s="1"/>
      <c r="AD208" s="1"/>
      <c r="AE208" s="1"/>
    </row>
    <row r="209" spans="1:31">
      <c r="A209">
        <v>946</v>
      </c>
      <c r="B209">
        <f t="shared" si="46"/>
        <v>0.14813812740683588</v>
      </c>
      <c r="C209">
        <v>0.14074679272528745</v>
      </c>
      <c r="D209">
        <f t="shared" si="47"/>
        <v>7.1049576380175212</v>
      </c>
      <c r="E209" s="1">
        <f t="shared" si="48"/>
        <v>0.23868144646519793</v>
      </c>
      <c r="F209" s="1">
        <f t="shared" si="49"/>
        <v>0.2768704778996296</v>
      </c>
      <c r="G209" s="1">
        <f t="shared" si="50"/>
        <v>8.5925320727471249E-2</v>
      </c>
      <c r="H209" s="1">
        <f t="shared" si="51"/>
        <v>8.3262220023575279E-2</v>
      </c>
      <c r="I209" s="1">
        <f t="shared" si="52"/>
        <v>0.3060002656258109</v>
      </c>
      <c r="J209" s="1">
        <f t="shared" si="53"/>
        <v>0.33151672647796876</v>
      </c>
      <c r="K209" s="1">
        <f t="shared" si="54"/>
        <v>0.20385293636624963</v>
      </c>
      <c r="L209" s="1">
        <f t="shared" si="55"/>
        <v>0.20213643707126205</v>
      </c>
      <c r="M209" s="1">
        <f t="shared" si="56"/>
        <v>0.44063790394703622</v>
      </c>
      <c r="N209" s="1">
        <f t="shared" si="57"/>
        <v>0.44080922363464681</v>
      </c>
      <c r="O209" s="1">
        <f t="shared" si="58"/>
        <v>0.4397081676438061</v>
      </c>
      <c r="P209" s="1">
        <f t="shared" si="59"/>
        <v>0.43988487116663555</v>
      </c>
      <c r="Q209" s="1">
        <f t="shared" si="60"/>
        <v>6.6830805010255423</v>
      </c>
      <c r="T209">
        <v>0.2938869364688258</v>
      </c>
      <c r="U209">
        <f t="shared" si="67"/>
        <v>3.4026691081114984</v>
      </c>
      <c r="V209" s="15">
        <f t="shared" si="61"/>
        <v>7.1362100564541855E-2</v>
      </c>
      <c r="W209" s="15">
        <f t="shared" si="62"/>
        <v>7.5928467333080049E-2</v>
      </c>
      <c r="X209" s="15">
        <f t="shared" si="63"/>
        <v>8.5061200870156478E-2</v>
      </c>
      <c r="Y209" s="15">
        <f t="shared" si="64"/>
        <v>0.10079058647593912</v>
      </c>
      <c r="Z209" s="15">
        <f t="shared" si="65"/>
        <v>0.10477116495379439</v>
      </c>
      <c r="AA209" s="15">
        <f t="shared" si="66"/>
        <v>0.11273232190950502</v>
      </c>
      <c r="AC209" s="1"/>
      <c r="AD209" s="1"/>
      <c r="AE209" s="1"/>
    </row>
    <row r="210" spans="1:31">
      <c r="A210">
        <v>657</v>
      </c>
      <c r="B210">
        <f t="shared" si="46"/>
        <v>0.149373862362149</v>
      </c>
      <c r="C210">
        <v>0.14125988485193641</v>
      </c>
      <c r="D210">
        <f t="shared" si="47"/>
        <v>7.0791506098717578</v>
      </c>
      <c r="E210" s="1">
        <f t="shared" si="48"/>
        <v>0.2385389208744621</v>
      </c>
      <c r="F210" s="1">
        <f t="shared" si="49"/>
        <v>0.27670514821437603</v>
      </c>
      <c r="G210" s="1">
        <f t="shared" si="50"/>
        <v>8.587401151480635E-2</v>
      </c>
      <c r="H210" s="1">
        <f t="shared" si="51"/>
        <v>8.3212501047632309E-2</v>
      </c>
      <c r="I210" s="1">
        <f t="shared" si="52"/>
        <v>0.30581754145822465</v>
      </c>
      <c r="J210" s="1">
        <f t="shared" si="53"/>
        <v>0.33131876548024636</v>
      </c>
      <c r="K210" s="1">
        <f t="shared" si="54"/>
        <v>0.20373120817744772</v>
      </c>
      <c r="L210" s="1">
        <f t="shared" si="55"/>
        <v>0.20201573386818752</v>
      </c>
      <c r="M210" s="1">
        <f t="shared" si="56"/>
        <v>0.44037478262574908</v>
      </c>
      <c r="N210" s="1">
        <f t="shared" si="57"/>
        <v>0.44054600001198668</v>
      </c>
      <c r="O210" s="1">
        <f t="shared" si="58"/>
        <v>0.4394456015027301</v>
      </c>
      <c r="P210" s="1">
        <f t="shared" si="59"/>
        <v>0.43962219950929782</v>
      </c>
      <c r="Q210" s="1">
        <f t="shared" si="60"/>
        <v>6.6790897844849395</v>
      </c>
      <c r="T210">
        <v>0.70582364854742685</v>
      </c>
      <c r="U210">
        <f t="shared" si="67"/>
        <v>1.4167844929225355</v>
      </c>
      <c r="V210" s="15">
        <f t="shared" si="61"/>
        <v>0</v>
      </c>
      <c r="W210" s="15">
        <f t="shared" si="62"/>
        <v>0</v>
      </c>
      <c r="X210" s="15">
        <f t="shared" si="63"/>
        <v>0</v>
      </c>
      <c r="Y210" s="15">
        <f t="shared" si="64"/>
        <v>0</v>
      </c>
      <c r="Z210" s="15">
        <f t="shared" si="65"/>
        <v>0</v>
      </c>
      <c r="AA210" s="15">
        <f t="shared" si="66"/>
        <v>0</v>
      </c>
      <c r="AC210" s="1"/>
      <c r="AD210" s="1"/>
      <c r="AE210" s="1"/>
    </row>
    <row r="211" spans="1:31">
      <c r="A211">
        <v>207</v>
      </c>
      <c r="B211">
        <f t="shared" si="46"/>
        <v>0.15095391587626439</v>
      </c>
      <c r="C211">
        <v>0.14205838228834167</v>
      </c>
      <c r="D211">
        <f t="shared" si="47"/>
        <v>7.0393593386855509</v>
      </c>
      <c r="E211" s="1">
        <f t="shared" si="48"/>
        <v>0.23831711603101621</v>
      </c>
      <c r="F211" s="1">
        <f t="shared" si="49"/>
        <v>0.27644785459597876</v>
      </c>
      <c r="G211" s="1">
        <f t="shared" si="50"/>
        <v>8.5794161771165833E-2</v>
      </c>
      <c r="H211" s="1">
        <f t="shared" si="51"/>
        <v>8.313512610311613E-2</v>
      </c>
      <c r="I211" s="1">
        <f t="shared" si="52"/>
        <v>0.30553317775079486</v>
      </c>
      <c r="J211" s="1">
        <f t="shared" si="53"/>
        <v>0.33101068952082374</v>
      </c>
      <c r="K211" s="1">
        <f t="shared" si="54"/>
        <v>0.20354176920216777</v>
      </c>
      <c r="L211" s="1">
        <f t="shared" si="55"/>
        <v>0.2018278900225795</v>
      </c>
      <c r="M211" s="1">
        <f t="shared" si="56"/>
        <v>0.43996530119035165</v>
      </c>
      <c r="N211" s="1">
        <f t="shared" si="57"/>
        <v>0.44013635937051332</v>
      </c>
      <c r="O211" s="1">
        <f t="shared" si="58"/>
        <v>0.4390369840641713</v>
      </c>
      <c r="P211" s="1">
        <f t="shared" si="59"/>
        <v>0.43921341786150619</v>
      </c>
      <c r="Q211" s="1">
        <f t="shared" si="60"/>
        <v>6.6728792488684538</v>
      </c>
      <c r="T211">
        <v>0.36577494826343981</v>
      </c>
      <c r="U211">
        <f t="shared" si="67"/>
        <v>2.7339215130714098</v>
      </c>
      <c r="V211" s="15">
        <f t="shared" si="61"/>
        <v>6.6659290270915009E-2</v>
      </c>
      <c r="W211" s="15">
        <f t="shared" si="62"/>
        <v>7.141305968275688E-2</v>
      </c>
      <c r="X211" s="15">
        <f t="shared" si="63"/>
        <v>8.092059850644058E-2</v>
      </c>
      <c r="Y211" s="15">
        <f t="shared" si="64"/>
        <v>9.3830229002289392E-2</v>
      </c>
      <c r="Z211" s="15">
        <f t="shared" si="65"/>
        <v>9.7998054912295005E-2</v>
      </c>
      <c r="AA211" s="15">
        <f t="shared" si="66"/>
        <v>0.10633370673230626</v>
      </c>
      <c r="AC211" s="1"/>
      <c r="AD211" s="1"/>
      <c r="AE211" s="1"/>
    </row>
    <row r="212" spans="1:31">
      <c r="A212">
        <v>375</v>
      </c>
      <c r="B212">
        <f t="shared" si="46"/>
        <v>0.15159738367519371</v>
      </c>
      <c r="C212">
        <v>0.14338554558925398</v>
      </c>
      <c r="D212">
        <f t="shared" si="47"/>
        <v>6.9742036820407716</v>
      </c>
      <c r="E212" s="1">
        <f t="shared" si="48"/>
        <v>0.23794845955854055</v>
      </c>
      <c r="F212" s="1">
        <f t="shared" si="49"/>
        <v>0.27602021308790703</v>
      </c>
      <c r="G212" s="1">
        <f t="shared" si="50"/>
        <v>8.5661445441074596E-2</v>
      </c>
      <c r="H212" s="1">
        <f t="shared" si="51"/>
        <v>8.3006523076869343E-2</v>
      </c>
      <c r="I212" s="1">
        <f t="shared" si="52"/>
        <v>0.30506054370163482</v>
      </c>
      <c r="J212" s="1">
        <f t="shared" si="53"/>
        <v>0.33049864391040862</v>
      </c>
      <c r="K212" s="1">
        <f t="shared" si="54"/>
        <v>0.20322690725735573</v>
      </c>
      <c r="L212" s="1">
        <f t="shared" si="55"/>
        <v>0.20151567930426398</v>
      </c>
      <c r="M212" s="1">
        <f t="shared" si="56"/>
        <v>0.43928471198782282</v>
      </c>
      <c r="N212" s="1">
        <f t="shared" si="57"/>
        <v>0.43945550555541141</v>
      </c>
      <c r="O212" s="1">
        <f t="shared" si="58"/>
        <v>0.43835783088991764</v>
      </c>
      <c r="P212" s="1">
        <f t="shared" si="59"/>
        <v>0.43853399175905317</v>
      </c>
      <c r="Q212" s="1">
        <f t="shared" si="60"/>
        <v>6.662556867639136</v>
      </c>
      <c r="T212">
        <v>0.61073291229266813</v>
      </c>
      <c r="U212">
        <f t="shared" si="67"/>
        <v>1.6373769611433548</v>
      </c>
      <c r="V212" s="15">
        <f t="shared" si="61"/>
        <v>0</v>
      </c>
      <c r="W212" s="15">
        <f t="shared" si="62"/>
        <v>0</v>
      </c>
      <c r="X212" s="15">
        <f t="shared" si="63"/>
        <v>0</v>
      </c>
      <c r="Y212" s="15">
        <f t="shared" si="64"/>
        <v>0</v>
      </c>
      <c r="Z212" s="15">
        <f t="shared" si="65"/>
        <v>0</v>
      </c>
      <c r="AA212" s="15">
        <f t="shared" si="66"/>
        <v>0</v>
      </c>
      <c r="AC212" s="1"/>
      <c r="AD212" s="1"/>
      <c r="AE212" s="1"/>
    </row>
    <row r="213" spans="1:31">
      <c r="A213">
        <v>726</v>
      </c>
      <c r="B213">
        <f t="shared" si="46"/>
        <v>0.15160925163669794</v>
      </c>
      <c r="C213">
        <v>0.14342109063218322</v>
      </c>
      <c r="D213">
        <f t="shared" si="47"/>
        <v>6.9724752168047122</v>
      </c>
      <c r="E213" s="1">
        <f t="shared" si="48"/>
        <v>0.23793858593550465</v>
      </c>
      <c r="F213" s="1">
        <f t="shared" si="49"/>
        <v>0.2760087596851854</v>
      </c>
      <c r="G213" s="1">
        <f t="shared" si="50"/>
        <v>8.565789093678168E-2</v>
      </c>
      <c r="H213" s="1">
        <f t="shared" si="51"/>
        <v>8.3003078738041094E-2</v>
      </c>
      <c r="I213" s="1">
        <f t="shared" si="52"/>
        <v>0.30504788527628834</v>
      </c>
      <c r="J213" s="1">
        <f t="shared" si="53"/>
        <v>0.33048492993625678</v>
      </c>
      <c r="K213" s="1">
        <f t="shared" si="54"/>
        <v>0.20321847439808555</v>
      </c>
      <c r="L213" s="1">
        <f t="shared" si="55"/>
        <v>0.20150731745205042</v>
      </c>
      <c r="M213" s="1">
        <f t="shared" si="56"/>
        <v>0.43926648395785511</v>
      </c>
      <c r="N213" s="1">
        <f t="shared" si="57"/>
        <v>0.43943727043839931</v>
      </c>
      <c r="O213" s="1">
        <f t="shared" si="58"/>
        <v>0.43833964132069297</v>
      </c>
      <c r="P213" s="1">
        <f t="shared" si="59"/>
        <v>0.43851579488006903</v>
      </c>
      <c r="Q213" s="1">
        <f t="shared" si="60"/>
        <v>6.6622804061941308</v>
      </c>
      <c r="T213">
        <v>0.88502572298046023</v>
      </c>
      <c r="U213">
        <f t="shared" si="67"/>
        <v>1.1299106613899834</v>
      </c>
      <c r="V213" s="15">
        <f t="shared" si="61"/>
        <v>0</v>
      </c>
      <c r="W213" s="15">
        <f t="shared" si="62"/>
        <v>0</v>
      </c>
      <c r="X213" s="15">
        <f t="shared" si="63"/>
        <v>0</v>
      </c>
      <c r="Y213" s="15">
        <f t="shared" si="64"/>
        <v>0</v>
      </c>
      <c r="Z213" s="15">
        <f t="shared" si="65"/>
        <v>0</v>
      </c>
      <c r="AA213" s="15">
        <f t="shared" si="66"/>
        <v>0</v>
      </c>
      <c r="AC213" s="1"/>
      <c r="AD213" s="1"/>
      <c r="AE213" s="1"/>
    </row>
    <row r="214" spans="1:31">
      <c r="A214">
        <v>967</v>
      </c>
      <c r="B214">
        <f t="shared" si="46"/>
        <v>0.15304778524834103</v>
      </c>
      <c r="C214">
        <v>0.14547424134729048</v>
      </c>
      <c r="D214">
        <f t="shared" si="47"/>
        <v>6.874069187360127</v>
      </c>
      <c r="E214" s="1">
        <f t="shared" si="48"/>
        <v>0.23736826629241931</v>
      </c>
      <c r="F214" s="1">
        <f t="shared" si="49"/>
        <v>0.2753471888992064</v>
      </c>
      <c r="G214" s="1">
        <f t="shared" si="50"/>
        <v>8.5452575865270955E-2</v>
      </c>
      <c r="H214" s="1">
        <f t="shared" si="51"/>
        <v>8.28041270377326E-2</v>
      </c>
      <c r="I214" s="1">
        <f t="shared" si="52"/>
        <v>0.30431671004310495</v>
      </c>
      <c r="J214" s="1">
        <f t="shared" si="53"/>
        <v>0.32969278415399422</v>
      </c>
      <c r="K214" s="1">
        <f t="shared" si="54"/>
        <v>0.20273137606835739</v>
      </c>
      <c r="L214" s="1">
        <f t="shared" si="55"/>
        <v>0.20102432062782163</v>
      </c>
      <c r="M214" s="1">
        <f t="shared" si="56"/>
        <v>0.4382135975444757</v>
      </c>
      <c r="N214" s="1">
        <f t="shared" si="57"/>
        <v>0.43838397466356954</v>
      </c>
      <c r="O214" s="1">
        <f t="shared" si="58"/>
        <v>0.43728897647452997</v>
      </c>
      <c r="P214" s="1">
        <f t="shared" si="59"/>
        <v>0.43746470780799962</v>
      </c>
      <c r="Q214" s="1">
        <f t="shared" si="60"/>
        <v>6.6463114561877408</v>
      </c>
      <c r="T214">
        <v>4.0270672577127575E-2</v>
      </c>
      <c r="U214">
        <f t="shared" si="67"/>
        <v>24.831966689525004</v>
      </c>
      <c r="V214" s="15">
        <f t="shared" si="61"/>
        <v>0.10304197639427203</v>
      </c>
      <c r="W214" s="15">
        <f t="shared" si="62"/>
        <v>0.1057753682453844</v>
      </c>
      <c r="X214" s="15">
        <f t="shared" si="63"/>
        <v>0.11124215194760896</v>
      </c>
      <c r="Y214" s="15">
        <f t="shared" si="64"/>
        <v>0.14763297309330198</v>
      </c>
      <c r="Z214" s="15">
        <f t="shared" si="65"/>
        <v>0.14970192057754048</v>
      </c>
      <c r="AA214" s="15">
        <f t="shared" si="66"/>
        <v>0.15383981554601778</v>
      </c>
      <c r="AC214" s="1"/>
      <c r="AD214" s="1"/>
      <c r="AE214" s="1"/>
    </row>
    <row r="215" spans="1:31">
      <c r="A215">
        <v>413</v>
      </c>
      <c r="B215">
        <f t="shared" si="46"/>
        <v>0.15502607024436219</v>
      </c>
      <c r="C215">
        <v>0.14659858069750498</v>
      </c>
      <c r="D215">
        <f t="shared" si="47"/>
        <v>6.8213484417248482</v>
      </c>
      <c r="E215" s="1">
        <f t="shared" si="48"/>
        <v>0.23705594980624861</v>
      </c>
      <c r="F215" s="1">
        <f t="shared" si="49"/>
        <v>0.27498490177524837</v>
      </c>
      <c r="G215" s="1">
        <f t="shared" si="50"/>
        <v>8.5340141930249497E-2</v>
      </c>
      <c r="H215" s="1">
        <f t="shared" si="51"/>
        <v>8.2695177790216096E-2</v>
      </c>
      <c r="I215" s="1">
        <f t="shared" si="52"/>
        <v>0.30391630637058287</v>
      </c>
      <c r="J215" s="1">
        <f t="shared" si="53"/>
        <v>0.32925899199857628</v>
      </c>
      <c r="K215" s="1">
        <f t="shared" si="54"/>
        <v>0.20246463295227371</v>
      </c>
      <c r="L215" s="1">
        <f t="shared" si="55"/>
        <v>0.20075982356410718</v>
      </c>
      <c r="M215" s="1">
        <f t="shared" si="56"/>
        <v>0.43763701949925082</v>
      </c>
      <c r="N215" s="1">
        <f t="shared" si="57"/>
        <v>0.43780717244523176</v>
      </c>
      <c r="O215" s="1">
        <f t="shared" si="58"/>
        <v>0.43671361499632183</v>
      </c>
      <c r="P215" s="1">
        <f t="shared" si="59"/>
        <v>0.43688911511188927</v>
      </c>
      <c r="Q215" s="1">
        <f t="shared" si="60"/>
        <v>6.6375665945749613</v>
      </c>
      <c r="T215">
        <v>0.3586726190795817</v>
      </c>
      <c r="U215">
        <f t="shared" si="67"/>
        <v>2.7880578187601257</v>
      </c>
      <c r="V215" s="15">
        <f t="shared" si="61"/>
        <v>6.7123914426747852E-2</v>
      </c>
      <c r="W215" s="15">
        <f t="shared" si="62"/>
        <v>7.1859168995440773E-2</v>
      </c>
      <c r="X215" s="15">
        <f t="shared" si="63"/>
        <v>8.1329678132826558E-2</v>
      </c>
      <c r="Y215" s="15">
        <f t="shared" si="64"/>
        <v>9.4517892338374196E-2</v>
      </c>
      <c r="Z215" s="15">
        <f t="shared" si="65"/>
        <v>9.8667218739647206E-2</v>
      </c>
      <c r="AA215" s="15">
        <f t="shared" si="66"/>
        <v>0.10696587154219325</v>
      </c>
      <c r="AC215" s="1"/>
      <c r="AD215" s="1"/>
      <c r="AE215" s="1"/>
    </row>
    <row r="216" spans="1:31">
      <c r="A216">
        <v>112</v>
      </c>
      <c r="B216">
        <f t="shared" si="46"/>
        <v>0.157806564497637</v>
      </c>
      <c r="C216">
        <v>0.14913889427212501</v>
      </c>
      <c r="D216">
        <f t="shared" si="47"/>
        <v>6.7051590055063608</v>
      </c>
      <c r="E216" s="1">
        <f t="shared" si="48"/>
        <v>0.23635030714663194</v>
      </c>
      <c r="F216" s="1">
        <f t="shared" si="49"/>
        <v>0.27416635629009306</v>
      </c>
      <c r="G216" s="1">
        <f t="shared" si="50"/>
        <v>8.5086110572787504E-2</v>
      </c>
      <c r="H216" s="1">
        <f t="shared" si="51"/>
        <v>8.2449019677580435E-2</v>
      </c>
      <c r="I216" s="1">
        <f t="shared" si="52"/>
        <v>0.30301164099136124</v>
      </c>
      <c r="J216" s="1">
        <f t="shared" si="53"/>
        <v>0.32827888923799814</v>
      </c>
      <c r="K216" s="1">
        <f t="shared" si="54"/>
        <v>0.20186195800489726</v>
      </c>
      <c r="L216" s="1">
        <f t="shared" si="55"/>
        <v>0.20016222330999106</v>
      </c>
      <c r="M216" s="1">
        <f t="shared" si="56"/>
        <v>0.43633430868081924</v>
      </c>
      <c r="N216" s="1">
        <f t="shared" si="57"/>
        <v>0.43650395513380796</v>
      </c>
      <c r="O216" s="1">
        <f t="shared" si="58"/>
        <v>0.43541365286911649</v>
      </c>
      <c r="P216" s="1">
        <f t="shared" si="59"/>
        <v>0.43558863057481229</v>
      </c>
      <c r="Q216" s="1">
        <f t="shared" si="60"/>
        <v>6.6178086001056942</v>
      </c>
      <c r="T216">
        <v>0.55567444005548416</v>
      </c>
      <c r="U216">
        <f t="shared" si="67"/>
        <v>1.7996148966293102</v>
      </c>
      <c r="V216" s="15">
        <f t="shared" si="61"/>
        <v>0</v>
      </c>
      <c r="W216" s="15">
        <f t="shared" si="62"/>
        <v>0</v>
      </c>
      <c r="X216" s="15">
        <f t="shared" si="63"/>
        <v>0</v>
      </c>
      <c r="Y216" s="15">
        <f t="shared" si="64"/>
        <v>0</v>
      </c>
      <c r="Z216" s="15">
        <f t="shared" si="65"/>
        <v>0</v>
      </c>
      <c r="AA216" s="15">
        <f t="shared" si="66"/>
        <v>0</v>
      </c>
      <c r="AC216" s="1"/>
      <c r="AD216" s="1"/>
      <c r="AE216" s="1"/>
    </row>
    <row r="217" spans="1:31">
      <c r="A217">
        <v>369</v>
      </c>
      <c r="B217">
        <f t="shared" si="46"/>
        <v>0.16406953868233393</v>
      </c>
      <c r="C217">
        <v>0.15111965848895836</v>
      </c>
      <c r="D217">
        <f t="shared" si="47"/>
        <v>6.6172727625179588</v>
      </c>
      <c r="E217" s="1">
        <f t="shared" si="48"/>
        <v>0.23580009486417824</v>
      </c>
      <c r="F217" s="1">
        <f t="shared" si="49"/>
        <v>0.2735281100424467</v>
      </c>
      <c r="G217" s="1">
        <f t="shared" si="50"/>
        <v>8.4888034151104158E-2</v>
      </c>
      <c r="H217" s="1">
        <f t="shared" si="51"/>
        <v>8.2257082278173008E-2</v>
      </c>
      <c r="I217" s="1">
        <f t="shared" si="52"/>
        <v>0.30230624429180686</v>
      </c>
      <c r="J217" s="1">
        <f t="shared" si="53"/>
        <v>0.3275146715853553</v>
      </c>
      <c r="K217" s="1">
        <f t="shared" si="54"/>
        <v>0.20139203296018157</v>
      </c>
      <c r="L217" s="1">
        <f t="shared" si="55"/>
        <v>0.19969625516686498</v>
      </c>
      <c r="M217" s="1">
        <f t="shared" si="56"/>
        <v>0.43531854314706353</v>
      </c>
      <c r="N217" s="1">
        <f t="shared" si="57"/>
        <v>0.4354877946711721</v>
      </c>
      <c r="O217" s="1">
        <f t="shared" si="58"/>
        <v>0.43440003057833604</v>
      </c>
      <c r="P217" s="1">
        <f t="shared" si="59"/>
        <v>0.43457460094424882</v>
      </c>
      <c r="Q217" s="1">
        <f t="shared" si="60"/>
        <v>6.6024026561969906</v>
      </c>
      <c r="T217">
        <v>0.1610903076915654</v>
      </c>
      <c r="U217">
        <f t="shared" si="67"/>
        <v>6.2076981187140623</v>
      </c>
      <c r="V217" s="15">
        <f t="shared" si="61"/>
        <v>8.2795076780298946E-2</v>
      </c>
      <c r="W217" s="15">
        <f t="shared" si="62"/>
        <v>8.6808305065252916E-2</v>
      </c>
      <c r="X217" s="15">
        <f t="shared" si="63"/>
        <v>9.4834761635160858E-2</v>
      </c>
      <c r="Y217" s="15">
        <f t="shared" si="64"/>
        <v>0.11770687362731502</v>
      </c>
      <c r="Z217" s="15">
        <f t="shared" si="65"/>
        <v>0.12112069915673816</v>
      </c>
      <c r="AA217" s="15">
        <f t="shared" si="66"/>
        <v>0.12794835021558446</v>
      </c>
      <c r="AC217" s="1"/>
      <c r="AD217" s="1"/>
      <c r="AE217" s="1"/>
    </row>
    <row r="218" spans="1:31">
      <c r="A218">
        <v>100</v>
      </c>
      <c r="B218">
        <f t="shared" si="46"/>
        <v>0.16437298470926168</v>
      </c>
      <c r="C218">
        <v>0.15151644910142748</v>
      </c>
      <c r="D218">
        <f t="shared" si="47"/>
        <v>6.5999434776258807</v>
      </c>
      <c r="E218" s="1">
        <f t="shared" si="48"/>
        <v>0.23568987524960347</v>
      </c>
      <c r="F218" s="1">
        <f t="shared" si="49"/>
        <v>0.27340025528954004</v>
      </c>
      <c r="G218" s="1">
        <f t="shared" si="50"/>
        <v>8.4848355089857247E-2</v>
      </c>
      <c r="H218" s="1">
        <f t="shared" si="51"/>
        <v>8.2218632998031851E-2</v>
      </c>
      <c r="I218" s="1">
        <f t="shared" si="52"/>
        <v>0.30216493782732651</v>
      </c>
      <c r="J218" s="1">
        <f t="shared" si="53"/>
        <v>0.3273615819910084</v>
      </c>
      <c r="K218" s="1">
        <f t="shared" si="54"/>
        <v>0.20129789664414621</v>
      </c>
      <c r="L218" s="1">
        <f t="shared" si="55"/>
        <v>0.19960291150519599</v>
      </c>
      <c r="M218" s="1">
        <f t="shared" si="56"/>
        <v>0.43511506298277203</v>
      </c>
      <c r="N218" s="1">
        <f t="shared" si="57"/>
        <v>0.4352842353939449</v>
      </c>
      <c r="O218" s="1">
        <f t="shared" si="58"/>
        <v>0.43419697975272387</v>
      </c>
      <c r="P218" s="1">
        <f t="shared" si="59"/>
        <v>0.43437146851952424</v>
      </c>
      <c r="Q218" s="1">
        <f t="shared" si="60"/>
        <v>6.599316506988897</v>
      </c>
      <c r="T218">
        <v>0.89112145766855522</v>
      </c>
      <c r="U218">
        <f t="shared" si="67"/>
        <v>1.122181484234825</v>
      </c>
      <c r="V218" s="15">
        <f t="shared" si="61"/>
        <v>0</v>
      </c>
      <c r="W218" s="15">
        <f t="shared" si="62"/>
        <v>0</v>
      </c>
      <c r="X218" s="15">
        <f t="shared" si="63"/>
        <v>0</v>
      </c>
      <c r="Y218" s="15">
        <f t="shared" si="64"/>
        <v>0</v>
      </c>
      <c r="Z218" s="15">
        <f t="shared" si="65"/>
        <v>0</v>
      </c>
      <c r="AA218" s="15">
        <f t="shared" si="66"/>
        <v>0</v>
      </c>
      <c r="AC218" s="1"/>
      <c r="AD218" s="1"/>
      <c r="AE218" s="1"/>
    </row>
    <row r="219" spans="1:31">
      <c r="A219">
        <v>482</v>
      </c>
      <c r="B219">
        <f t="shared" si="46"/>
        <v>0.16451947609888098</v>
      </c>
      <c r="C219">
        <v>0.15185066845711226</v>
      </c>
      <c r="D219">
        <f t="shared" si="47"/>
        <v>6.585417174389546</v>
      </c>
      <c r="E219" s="1">
        <f t="shared" si="48"/>
        <v>0.23559703653969105</v>
      </c>
      <c r="F219" s="1">
        <f t="shared" si="49"/>
        <v>0.2732925623860416</v>
      </c>
      <c r="G219" s="1">
        <f t="shared" si="50"/>
        <v>8.4814933154288771E-2</v>
      </c>
      <c r="H219" s="1">
        <f t="shared" si="51"/>
        <v>8.2186246915217642E-2</v>
      </c>
      <c r="I219" s="1">
        <f t="shared" si="52"/>
        <v>0.30204591445825324</v>
      </c>
      <c r="J219" s="1">
        <f t="shared" si="53"/>
        <v>0.32723263361376159</v>
      </c>
      <c r="K219" s="1">
        <f t="shared" si="54"/>
        <v>0.20121860500290478</v>
      </c>
      <c r="L219" s="1">
        <f t="shared" si="55"/>
        <v>0.19952428752196683</v>
      </c>
      <c r="M219" s="1">
        <f t="shared" si="56"/>
        <v>0.43494367029537712</v>
      </c>
      <c r="N219" s="1">
        <f t="shared" si="57"/>
        <v>0.43511277606920129</v>
      </c>
      <c r="O219" s="1">
        <f t="shared" si="58"/>
        <v>0.4340259487001365</v>
      </c>
      <c r="P219" s="1">
        <f t="shared" si="59"/>
        <v>0.43420036873546514</v>
      </c>
      <c r="Q219" s="1">
        <f t="shared" si="60"/>
        <v>6.5967170231113492</v>
      </c>
      <c r="T219">
        <v>0.90655810805736292</v>
      </c>
      <c r="U219">
        <f t="shared" si="67"/>
        <v>1.1030732515788437</v>
      </c>
      <c r="V219" s="15">
        <f t="shared" si="61"/>
        <v>0</v>
      </c>
      <c r="W219" s="15">
        <f t="shared" si="62"/>
        <v>0</v>
      </c>
      <c r="X219" s="15">
        <f t="shared" si="63"/>
        <v>0</v>
      </c>
      <c r="Y219" s="15">
        <f t="shared" si="64"/>
        <v>0</v>
      </c>
      <c r="Z219" s="15">
        <f t="shared" si="65"/>
        <v>0</v>
      </c>
      <c r="AA219" s="15">
        <f t="shared" si="66"/>
        <v>0</v>
      </c>
      <c r="AC219" s="1"/>
      <c r="AD219" s="1"/>
      <c r="AE219" s="1"/>
    </row>
    <row r="220" spans="1:31">
      <c r="A220">
        <v>616</v>
      </c>
      <c r="B220">
        <f t="shared" si="46"/>
        <v>0.16503341782391398</v>
      </c>
      <c r="C220">
        <v>0.15284710123936829</v>
      </c>
      <c r="D220">
        <f t="shared" si="47"/>
        <v>6.5424858691558461</v>
      </c>
      <c r="E220" s="1">
        <f t="shared" si="48"/>
        <v>0.23532024965573103</v>
      </c>
      <c r="F220" s="1">
        <f t="shared" si="49"/>
        <v>0.27297148960064799</v>
      </c>
      <c r="G220" s="1">
        <f t="shared" si="50"/>
        <v>8.4715289876063166E-2</v>
      </c>
      <c r="H220" s="1">
        <f t="shared" si="51"/>
        <v>8.2089691901104822E-2</v>
      </c>
      <c r="I220" s="1">
        <f t="shared" si="52"/>
        <v>0.30169106132128831</v>
      </c>
      <c r="J220" s="1">
        <f t="shared" si="53"/>
        <v>0.32684819031889562</v>
      </c>
      <c r="K220" s="1">
        <f t="shared" si="54"/>
        <v>0.20098220699259217</v>
      </c>
      <c r="L220" s="1">
        <f t="shared" si="55"/>
        <v>0.199289880049663</v>
      </c>
      <c r="M220" s="1">
        <f t="shared" si="56"/>
        <v>0.43443268465240237</v>
      </c>
      <c r="N220" s="1">
        <f t="shared" si="57"/>
        <v>0.43460159175539059</v>
      </c>
      <c r="O220" s="1">
        <f t="shared" si="58"/>
        <v>0.43351604122564985</v>
      </c>
      <c r="P220" s="1">
        <f t="shared" si="59"/>
        <v>0.43369025634677927</v>
      </c>
      <c r="Q220" s="1">
        <f t="shared" si="60"/>
        <v>6.5889669903604693</v>
      </c>
      <c r="T220">
        <v>0.32963423843627204</v>
      </c>
      <c r="U220">
        <f t="shared" si="67"/>
        <v>3.0336654491469925</v>
      </c>
      <c r="V220" s="15">
        <f t="shared" si="61"/>
        <v>6.9023563505787242E-2</v>
      </c>
      <c r="W220" s="15">
        <f t="shared" si="62"/>
        <v>7.3683118814562354E-2</v>
      </c>
      <c r="X220" s="15">
        <f t="shared" si="63"/>
        <v>8.3002229432112565E-2</v>
      </c>
      <c r="Y220" s="15">
        <f t="shared" si="64"/>
        <v>9.7329453051873974E-2</v>
      </c>
      <c r="Z220" s="15">
        <f t="shared" si="65"/>
        <v>0.10140314288908678</v>
      </c>
      <c r="AA220" s="15">
        <f t="shared" si="66"/>
        <v>0.10955052256351246</v>
      </c>
      <c r="AC220" s="1"/>
      <c r="AD220" s="1"/>
      <c r="AE220" s="1"/>
    </row>
    <row r="221" spans="1:31">
      <c r="A221">
        <v>103</v>
      </c>
      <c r="B221">
        <f t="shared" si="46"/>
        <v>0.165845323629497</v>
      </c>
      <c r="C221">
        <v>0.15345751513219674</v>
      </c>
      <c r="D221">
        <f t="shared" si="47"/>
        <v>6.5164615700869719</v>
      </c>
      <c r="E221" s="1">
        <f t="shared" si="48"/>
        <v>0.23515069024105645</v>
      </c>
      <c r="F221" s="1">
        <f t="shared" si="49"/>
        <v>0.27277480067962545</v>
      </c>
      <c r="G221" s="1">
        <f t="shared" si="50"/>
        <v>8.4654248486780326E-2</v>
      </c>
      <c r="H221" s="1">
        <f t="shared" si="51"/>
        <v>8.2030542379846319E-2</v>
      </c>
      <c r="I221" s="1">
        <f t="shared" si="52"/>
        <v>0.30147367858501711</v>
      </c>
      <c r="J221" s="1">
        <f t="shared" si="53"/>
        <v>0.32661268067652954</v>
      </c>
      <c r="K221" s="1">
        <f t="shared" si="54"/>
        <v>0.20083738976828816</v>
      </c>
      <c r="L221" s="1">
        <f t="shared" si="55"/>
        <v>0.19914628222728595</v>
      </c>
      <c r="M221" s="1">
        <f t="shared" si="56"/>
        <v>0.43411965527293789</v>
      </c>
      <c r="N221" s="1">
        <f t="shared" si="57"/>
        <v>0.43428844067033739</v>
      </c>
      <c r="O221" s="1">
        <f t="shared" si="58"/>
        <v>0.43320367233130352</v>
      </c>
      <c r="P221" s="1">
        <f t="shared" si="59"/>
        <v>0.43337776192216509</v>
      </c>
      <c r="Q221" s="1">
        <f t="shared" si="60"/>
        <v>6.5842193267495812</v>
      </c>
      <c r="T221">
        <v>0.88840365105044272</v>
      </c>
      <c r="U221">
        <f t="shared" si="67"/>
        <v>1.1256144645709261</v>
      </c>
      <c r="V221" s="15">
        <f t="shared" si="61"/>
        <v>0</v>
      </c>
      <c r="W221" s="15">
        <f t="shared" si="62"/>
        <v>0</v>
      </c>
      <c r="X221" s="15">
        <f t="shared" si="63"/>
        <v>0</v>
      </c>
      <c r="Y221" s="15">
        <f t="shared" si="64"/>
        <v>0</v>
      </c>
      <c r="Z221" s="15">
        <f t="shared" si="65"/>
        <v>0</v>
      </c>
      <c r="AA221" s="15">
        <f t="shared" si="66"/>
        <v>0</v>
      </c>
      <c r="AC221" s="1"/>
      <c r="AD221" s="1"/>
      <c r="AE221" s="1"/>
    </row>
    <row r="222" spans="1:31">
      <c r="A222">
        <v>419</v>
      </c>
      <c r="B222">
        <f t="shared" si="46"/>
        <v>0.17105651309544295</v>
      </c>
      <c r="C222">
        <v>0.15692790710974835</v>
      </c>
      <c r="D222">
        <f t="shared" si="47"/>
        <v>6.3723528747544229</v>
      </c>
      <c r="E222" s="1">
        <f t="shared" si="48"/>
        <v>0.23418669246951435</v>
      </c>
      <c r="F222" s="1">
        <f t="shared" si="49"/>
        <v>0.27165656326463661</v>
      </c>
      <c r="G222" s="1">
        <f t="shared" si="50"/>
        <v>8.4307209289025159E-2</v>
      </c>
      <c r="H222" s="1">
        <f t="shared" si="51"/>
        <v>8.1694259037571201E-2</v>
      </c>
      <c r="I222" s="1">
        <f t="shared" si="52"/>
        <v>0.30023779042310428</v>
      </c>
      <c r="J222" s="1">
        <f t="shared" si="53"/>
        <v>0.32527373544100074</v>
      </c>
      <c r="K222" s="1">
        <f t="shared" si="54"/>
        <v>0.20001405900969887</v>
      </c>
      <c r="L222" s="1">
        <f t="shared" si="55"/>
        <v>0.19832988414620353</v>
      </c>
      <c r="M222" s="1">
        <f t="shared" si="56"/>
        <v>0.43233998633028353</v>
      </c>
      <c r="N222" s="1">
        <f t="shared" si="57"/>
        <v>0.43250807979372868</v>
      </c>
      <c r="O222" s="1">
        <f t="shared" si="58"/>
        <v>0.43142775845104597</v>
      </c>
      <c r="P222" s="1">
        <f t="shared" si="59"/>
        <v>0.43160113436346814</v>
      </c>
      <c r="Q222" s="1">
        <f t="shared" si="60"/>
        <v>6.5572273891464015</v>
      </c>
      <c r="T222">
        <v>0.73440962189574766</v>
      </c>
      <c r="U222">
        <f t="shared" si="67"/>
        <v>1.3616379336352893</v>
      </c>
      <c r="V222" s="15">
        <f t="shared" si="61"/>
        <v>0</v>
      </c>
      <c r="W222" s="15">
        <f t="shared" si="62"/>
        <v>0</v>
      </c>
      <c r="X222" s="15">
        <f t="shared" si="63"/>
        <v>0</v>
      </c>
      <c r="Y222" s="15">
        <f t="shared" si="64"/>
        <v>0</v>
      </c>
      <c r="Z222" s="15">
        <f t="shared" si="65"/>
        <v>0</v>
      </c>
      <c r="AA222" s="15">
        <f t="shared" si="66"/>
        <v>0</v>
      </c>
      <c r="AC222" s="1"/>
      <c r="AD222" s="1"/>
      <c r="AE222" s="1"/>
    </row>
    <row r="223" spans="1:31">
      <c r="A223">
        <v>310</v>
      </c>
      <c r="B223">
        <f t="shared" si="46"/>
        <v>0.17112108602111784</v>
      </c>
      <c r="C223">
        <v>0.15700520428832554</v>
      </c>
      <c r="D223">
        <f t="shared" si="47"/>
        <v>6.3692156227101391</v>
      </c>
      <c r="E223" s="1">
        <f t="shared" si="48"/>
        <v>0.23416522103102069</v>
      </c>
      <c r="F223" s="1">
        <f t="shared" si="49"/>
        <v>0.27163165639598397</v>
      </c>
      <c r="G223" s="1">
        <f t="shared" si="50"/>
        <v>8.4299479571167443E-2</v>
      </c>
      <c r="H223" s="1">
        <f t="shared" si="51"/>
        <v>8.1686768888409811E-2</v>
      </c>
      <c r="I223" s="1">
        <f t="shared" si="52"/>
        <v>0.30021026308078363</v>
      </c>
      <c r="J223" s="1">
        <f t="shared" si="53"/>
        <v>0.3252439126746835</v>
      </c>
      <c r="K223" s="1">
        <f t="shared" si="54"/>
        <v>0.19999572069371427</v>
      </c>
      <c r="L223" s="1">
        <f t="shared" si="55"/>
        <v>0.19831170024401851</v>
      </c>
      <c r="M223" s="1">
        <f t="shared" si="56"/>
        <v>0.43230034718030896</v>
      </c>
      <c r="N223" s="1">
        <f t="shared" si="57"/>
        <v>0.43246842523208229</v>
      </c>
      <c r="O223" s="1">
        <f t="shared" si="58"/>
        <v>0.43138820293880764</v>
      </c>
      <c r="P223" s="1">
        <f t="shared" si="59"/>
        <v>0.43156156295523584</v>
      </c>
      <c r="Q223" s="1">
        <f t="shared" si="60"/>
        <v>6.5566261888685791</v>
      </c>
      <c r="T223">
        <v>0.3923435880278956</v>
      </c>
      <c r="U223">
        <f t="shared" si="67"/>
        <v>2.548786396705176</v>
      </c>
      <c r="V223" s="15">
        <f t="shared" si="61"/>
        <v>6.4921208086517926E-2</v>
      </c>
      <c r="W223" s="15">
        <f t="shared" si="62"/>
        <v>6.9744238466865477E-2</v>
      </c>
      <c r="X223" s="15">
        <f t="shared" si="63"/>
        <v>7.9390299227560482E-2</v>
      </c>
      <c r="Y223" s="15">
        <f t="shared" si="64"/>
        <v>9.1257794103441731E-2</v>
      </c>
      <c r="Z223" s="15">
        <f t="shared" si="65"/>
        <v>9.5494823618435559E-2</v>
      </c>
      <c r="AA223" s="15">
        <f t="shared" si="66"/>
        <v>0.10396888264842319</v>
      </c>
      <c r="AC223" s="1"/>
      <c r="AD223" s="1"/>
      <c r="AE223" s="1"/>
    </row>
    <row r="224" spans="1:31">
      <c r="A224">
        <v>335</v>
      </c>
      <c r="B224">
        <f t="shared" si="46"/>
        <v>0.17216351759657925</v>
      </c>
      <c r="C224">
        <v>0.15781485910530657</v>
      </c>
      <c r="D224">
        <f t="shared" si="47"/>
        <v>6.3365389398011045</v>
      </c>
      <c r="E224" s="1">
        <f t="shared" si="48"/>
        <v>0.23394031691519263</v>
      </c>
      <c r="F224" s="1">
        <f t="shared" si="49"/>
        <v>0.27137076762162343</v>
      </c>
      <c r="G224" s="1">
        <f t="shared" si="50"/>
        <v>8.4218514089469343E-2</v>
      </c>
      <c r="H224" s="1">
        <f t="shared" si="51"/>
        <v>8.1608312786129511E-2</v>
      </c>
      <c r="I224" s="1">
        <f t="shared" si="52"/>
        <v>0.29992192596785366</v>
      </c>
      <c r="J224" s="1">
        <f t="shared" si="53"/>
        <v>0.32493153197917934</v>
      </c>
      <c r="K224" s="1">
        <f t="shared" si="54"/>
        <v>0.19980363469335105</v>
      </c>
      <c r="L224" s="1">
        <f t="shared" si="55"/>
        <v>0.198121231662026</v>
      </c>
      <c r="M224" s="1">
        <f t="shared" si="56"/>
        <v>0.43188514407317519</v>
      </c>
      <c r="N224" s="1">
        <f t="shared" si="57"/>
        <v>0.43205306069429084</v>
      </c>
      <c r="O224" s="1">
        <f t="shared" si="58"/>
        <v>0.43097387590111419</v>
      </c>
      <c r="P224" s="1">
        <f t="shared" si="59"/>
        <v>0.43114706941381892</v>
      </c>
      <c r="Q224" s="1">
        <f t="shared" si="60"/>
        <v>6.5503288736253937</v>
      </c>
      <c r="T224">
        <v>0.47903750481760277</v>
      </c>
      <c r="U224">
        <f t="shared" si="67"/>
        <v>2.0875192233241897</v>
      </c>
      <c r="V224" s="15">
        <f t="shared" si="61"/>
        <v>5.9249816791982074E-2</v>
      </c>
      <c r="W224" s="15">
        <f t="shared" si="62"/>
        <v>6.4298846873241611E-2</v>
      </c>
      <c r="X224" s="15">
        <f t="shared" si="63"/>
        <v>7.439690703576049E-2</v>
      </c>
      <c r="Y224" s="15">
        <f t="shared" si="64"/>
        <v>8.2863895919538771E-2</v>
      </c>
      <c r="Z224" s="15">
        <f t="shared" si="65"/>
        <v>8.7326737957325762E-2</v>
      </c>
      <c r="AA224" s="15">
        <f t="shared" si="66"/>
        <v>9.6252422032899687E-2</v>
      </c>
      <c r="AC224" s="1"/>
      <c r="AD224" s="1"/>
      <c r="AE224" s="1"/>
    </row>
    <row r="225" spans="1:31">
      <c r="A225">
        <v>22</v>
      </c>
      <c r="B225">
        <f t="shared" si="46"/>
        <v>0.17324196119281582</v>
      </c>
      <c r="C225">
        <v>0.15965701376013575</v>
      </c>
      <c r="D225">
        <f t="shared" si="47"/>
        <v>6.2634266822901505</v>
      </c>
      <c r="E225" s="1">
        <f t="shared" si="48"/>
        <v>0.23342860728885118</v>
      </c>
      <c r="F225" s="1">
        <f t="shared" si="49"/>
        <v>0.27077718445506738</v>
      </c>
      <c r="G225" s="1">
        <f t="shared" si="50"/>
        <v>8.4034298623986425E-2</v>
      </c>
      <c r="H225" s="1">
        <f t="shared" si="51"/>
        <v>8.1429806747526146E-2</v>
      </c>
      <c r="I225" s="1">
        <f t="shared" si="52"/>
        <v>0.29926589139163201</v>
      </c>
      <c r="J225" s="1">
        <f t="shared" si="53"/>
        <v>0.32422079261194198</v>
      </c>
      <c r="K225" s="1">
        <f t="shared" si="54"/>
        <v>0.19936659397886977</v>
      </c>
      <c r="L225" s="1">
        <f t="shared" si="55"/>
        <v>0.19768787095378676</v>
      </c>
      <c r="M225" s="1">
        <f t="shared" si="56"/>
        <v>0.43094045959719313</v>
      </c>
      <c r="N225" s="1">
        <f t="shared" si="57"/>
        <v>0.43110800892569084</v>
      </c>
      <c r="O225" s="1">
        <f t="shared" si="58"/>
        <v>0.43003118468863616</v>
      </c>
      <c r="P225" s="1">
        <f t="shared" si="59"/>
        <v>0.43020399936630793</v>
      </c>
      <c r="Q225" s="1">
        <f t="shared" si="60"/>
        <v>6.5360010040878329</v>
      </c>
      <c r="T225">
        <v>0.1858579114492076</v>
      </c>
      <c r="U225">
        <f t="shared" si="67"/>
        <v>5.380454306209538</v>
      </c>
      <c r="V225" s="15">
        <f t="shared" si="61"/>
        <v>7.9427122028933789E-2</v>
      </c>
      <c r="W225" s="15">
        <f t="shared" si="62"/>
        <v>8.3636651530303169E-2</v>
      </c>
      <c r="X225" s="15">
        <f t="shared" si="63"/>
        <v>9.2055710533042012E-2</v>
      </c>
      <c r="Y225" s="15">
        <f t="shared" si="64"/>
        <v>0.11272534106483467</v>
      </c>
      <c r="Z225" s="15">
        <f t="shared" si="65"/>
        <v>0.11634426300411525</v>
      </c>
      <c r="AA225" s="15">
        <f t="shared" si="66"/>
        <v>0.12358210688267651</v>
      </c>
      <c r="AC225" s="1"/>
      <c r="AD225" s="1"/>
      <c r="AE225" s="1"/>
    </row>
    <row r="226" spans="1:31">
      <c r="A226">
        <v>340</v>
      </c>
      <c r="B226">
        <f t="shared" si="46"/>
        <v>0.17718185033615064</v>
      </c>
      <c r="C226">
        <v>0.16421287128838746</v>
      </c>
      <c r="D226">
        <f t="shared" si="47"/>
        <v>6.0896566277305961</v>
      </c>
      <c r="E226" s="1">
        <f t="shared" si="48"/>
        <v>0.23216309130878127</v>
      </c>
      <c r="F226" s="1">
        <f t="shared" si="49"/>
        <v>0.26930918591818626</v>
      </c>
      <c r="G226" s="1">
        <f t="shared" si="50"/>
        <v>8.3578712871161254E-2</v>
      </c>
      <c r="H226" s="1">
        <f t="shared" si="51"/>
        <v>8.0988341055339225E-2</v>
      </c>
      <c r="I226" s="1">
        <f t="shared" si="52"/>
        <v>0.29764344343101279</v>
      </c>
      <c r="J226" s="1">
        <f t="shared" si="53"/>
        <v>0.32246305349467247</v>
      </c>
      <c r="K226" s="1">
        <f t="shared" si="54"/>
        <v>0.19828574269203428</v>
      </c>
      <c r="L226" s="1">
        <f t="shared" si="55"/>
        <v>0.19661612074003321</v>
      </c>
      <c r="M226" s="1">
        <f t="shared" si="56"/>
        <v>0.42860414767547533</v>
      </c>
      <c r="N226" s="1">
        <f t="shared" si="57"/>
        <v>0.42877078864764462</v>
      </c>
      <c r="O226" s="1">
        <f t="shared" si="58"/>
        <v>0.42769980233378002</v>
      </c>
      <c r="P226" s="1">
        <f t="shared" si="59"/>
        <v>0.42787168010942112</v>
      </c>
      <c r="Q226" s="1">
        <f t="shared" si="60"/>
        <v>6.5005665566458752</v>
      </c>
      <c r="T226">
        <v>0.74801171246694897</v>
      </c>
      <c r="U226">
        <f t="shared" si="67"/>
        <v>1.336877462388913</v>
      </c>
      <c r="V226" s="15">
        <f t="shared" si="61"/>
        <v>0</v>
      </c>
      <c r="W226" s="15">
        <f t="shared" si="62"/>
        <v>0</v>
      </c>
      <c r="X226" s="15">
        <f t="shared" si="63"/>
        <v>0</v>
      </c>
      <c r="Y226" s="15">
        <f t="shared" si="64"/>
        <v>0</v>
      </c>
      <c r="Z226" s="15">
        <f t="shared" si="65"/>
        <v>0</v>
      </c>
      <c r="AA226" s="15">
        <f t="shared" si="66"/>
        <v>0</v>
      </c>
      <c r="AC226" s="1"/>
      <c r="AD226" s="1"/>
      <c r="AE226" s="1"/>
    </row>
    <row r="227" spans="1:31">
      <c r="A227">
        <v>218</v>
      </c>
      <c r="B227">
        <f t="shared" si="46"/>
        <v>0.17728078606960351</v>
      </c>
      <c r="C227">
        <v>0.16465161915009197</v>
      </c>
      <c r="D227">
        <f t="shared" si="47"/>
        <v>6.0734294941152509</v>
      </c>
      <c r="E227" s="1">
        <f t="shared" si="48"/>
        <v>0.23204121690275223</v>
      </c>
      <c r="F227" s="1">
        <f t="shared" si="49"/>
        <v>0.26916781160719255</v>
      </c>
      <c r="G227" s="1">
        <f t="shared" si="50"/>
        <v>8.3534838084990806E-2</v>
      </c>
      <c r="H227" s="1">
        <f t="shared" si="51"/>
        <v>8.0945826089218853E-2</v>
      </c>
      <c r="I227" s="1">
        <f t="shared" si="52"/>
        <v>0.29748719500378823</v>
      </c>
      <c r="J227" s="1">
        <f t="shared" si="53"/>
        <v>0.32229377597131842</v>
      </c>
      <c r="K227" s="1">
        <f t="shared" si="54"/>
        <v>0.19818165225725248</v>
      </c>
      <c r="L227" s="1">
        <f t="shared" si="55"/>
        <v>0.1965129067761088</v>
      </c>
      <c r="M227" s="1">
        <f t="shared" si="56"/>
        <v>0.42837915120585968</v>
      </c>
      <c r="N227" s="1">
        <f t="shared" si="57"/>
        <v>0.42854570469956982</v>
      </c>
      <c r="O227" s="1">
        <f t="shared" si="58"/>
        <v>0.42747528060177553</v>
      </c>
      <c r="P227" s="1">
        <f t="shared" si="59"/>
        <v>0.42764706814988868</v>
      </c>
      <c r="Q227" s="1">
        <f t="shared" si="60"/>
        <v>6.4971540732770627</v>
      </c>
      <c r="T227">
        <v>0.25891212517308948</v>
      </c>
      <c r="U227">
        <f t="shared" si="67"/>
        <v>3.8623142864841653</v>
      </c>
      <c r="V227" s="15">
        <f t="shared" si="61"/>
        <v>7.3650102395071942E-2</v>
      </c>
      <c r="W227" s="15">
        <f t="shared" si="62"/>
        <v>7.8125294405507292E-2</v>
      </c>
      <c r="X227" s="15">
        <f t="shared" si="63"/>
        <v>8.7075678426378075E-2</v>
      </c>
      <c r="Y227" s="15">
        <f t="shared" si="64"/>
        <v>0.10417692563200416</v>
      </c>
      <c r="Z227" s="15">
        <f t="shared" si="65"/>
        <v>0.10806640486477558</v>
      </c>
      <c r="AA227" s="15">
        <f t="shared" si="66"/>
        <v>0.1158453633303185</v>
      </c>
      <c r="AC227" s="1"/>
      <c r="AD227" s="1"/>
      <c r="AE227" s="1"/>
    </row>
    <row r="228" spans="1:31">
      <c r="A228">
        <v>638</v>
      </c>
      <c r="B228">
        <f t="shared" si="46"/>
        <v>0.17744046893204465</v>
      </c>
      <c r="C228">
        <v>0.16520155994677344</v>
      </c>
      <c r="D228">
        <f t="shared" si="47"/>
        <v>6.0532116060053651</v>
      </c>
      <c r="E228" s="1">
        <f t="shared" si="48"/>
        <v>0.23188845557034071</v>
      </c>
      <c r="F228" s="1">
        <f t="shared" si="49"/>
        <v>0.26899060846159523</v>
      </c>
      <c r="G228" s="1">
        <f t="shared" si="50"/>
        <v>8.3479844005322656E-2</v>
      </c>
      <c r="H228" s="1">
        <f t="shared" si="51"/>
        <v>8.0892536452094932E-2</v>
      </c>
      <c r="I228" s="1">
        <f t="shared" si="52"/>
        <v>0.29729134815859959</v>
      </c>
      <c r="J228" s="1">
        <f t="shared" si="53"/>
        <v>0.3220815980345601</v>
      </c>
      <c r="K228" s="1">
        <f t="shared" si="54"/>
        <v>0.19805118193106461</v>
      </c>
      <c r="L228" s="1">
        <f t="shared" si="55"/>
        <v>0.196383535046914</v>
      </c>
      <c r="M228" s="1">
        <f t="shared" si="56"/>
        <v>0.42809713333511673</v>
      </c>
      <c r="N228" s="1">
        <f t="shared" si="57"/>
        <v>0.42826357718048957</v>
      </c>
      <c r="O228" s="1">
        <f t="shared" si="58"/>
        <v>0.4271938577825482</v>
      </c>
      <c r="P228" s="1">
        <f t="shared" si="59"/>
        <v>0.42736553223655205</v>
      </c>
      <c r="Q228" s="1">
        <f t="shared" si="60"/>
        <v>6.4928767559695402</v>
      </c>
      <c r="T228">
        <v>0.6631065085880703</v>
      </c>
      <c r="U228">
        <f t="shared" si="67"/>
        <v>1.5080533625424146</v>
      </c>
      <c r="V228" s="15">
        <f t="shared" si="61"/>
        <v>0</v>
      </c>
      <c r="W228" s="15">
        <f t="shared" si="62"/>
        <v>0</v>
      </c>
      <c r="X228" s="15">
        <f t="shared" si="63"/>
        <v>0</v>
      </c>
      <c r="Y228" s="15">
        <f t="shared" si="64"/>
        <v>0</v>
      </c>
      <c r="Z228" s="15">
        <f t="shared" si="65"/>
        <v>0</v>
      </c>
      <c r="AA228" s="15">
        <f t="shared" si="66"/>
        <v>0</v>
      </c>
      <c r="AC228" s="1"/>
      <c r="AD228" s="1"/>
      <c r="AE228" s="1"/>
    </row>
    <row r="229" spans="1:31">
      <c r="A229">
        <v>883</v>
      </c>
      <c r="B229">
        <f t="shared" si="46"/>
        <v>0.17894546632040495</v>
      </c>
      <c r="C229">
        <v>0.16731880235937469</v>
      </c>
      <c r="D229">
        <f t="shared" si="47"/>
        <v>5.976614617717356</v>
      </c>
      <c r="E229" s="1">
        <f t="shared" si="48"/>
        <v>0.23130033267795147</v>
      </c>
      <c r="F229" s="1">
        <f t="shared" si="49"/>
        <v>0.2683083859064237</v>
      </c>
      <c r="G229" s="1">
        <f t="shared" si="50"/>
        <v>8.3268119764062537E-2</v>
      </c>
      <c r="H229" s="1">
        <f t="shared" si="51"/>
        <v>8.0687374222720917E-2</v>
      </c>
      <c r="I229" s="1">
        <f t="shared" si="52"/>
        <v>0.2965373483653313</v>
      </c>
      <c r="J229" s="1">
        <f t="shared" si="53"/>
        <v>0.32126472441937498</v>
      </c>
      <c r="K229" s="1">
        <f t="shared" si="54"/>
        <v>0.19754887821063177</v>
      </c>
      <c r="L229" s="1">
        <f t="shared" si="55"/>
        <v>0.19588546086566447</v>
      </c>
      <c r="M229" s="1">
        <f t="shared" si="56"/>
        <v>0.42701137974009046</v>
      </c>
      <c r="N229" s="1">
        <f t="shared" si="57"/>
        <v>0.42717740144527727</v>
      </c>
      <c r="O229" s="1">
        <f t="shared" si="58"/>
        <v>0.42611039510376997</v>
      </c>
      <c r="P229" s="1">
        <f t="shared" si="59"/>
        <v>0.42628163415155151</v>
      </c>
      <c r="Q229" s="1">
        <f t="shared" si="60"/>
        <v>6.4764093149826412</v>
      </c>
      <c r="T229">
        <v>0.62524688154911112</v>
      </c>
      <c r="U229">
        <f t="shared" si="67"/>
        <v>1.599368232788944</v>
      </c>
      <c r="V229" s="15">
        <f t="shared" si="61"/>
        <v>0</v>
      </c>
      <c r="W229" s="15">
        <f t="shared" si="62"/>
        <v>0</v>
      </c>
      <c r="X229" s="15">
        <f t="shared" si="63"/>
        <v>0</v>
      </c>
      <c r="Y229" s="15">
        <f t="shared" si="64"/>
        <v>0</v>
      </c>
      <c r="Z229" s="15">
        <f t="shared" si="65"/>
        <v>0</v>
      </c>
      <c r="AA229" s="15">
        <f t="shared" si="66"/>
        <v>0</v>
      </c>
      <c r="AC229" s="1"/>
      <c r="AD229" s="1"/>
      <c r="AE229" s="1"/>
    </row>
    <row r="230" spans="1:31">
      <c r="A230">
        <v>759</v>
      </c>
      <c r="B230">
        <f t="shared" si="46"/>
        <v>0.18017086458728365</v>
      </c>
      <c r="C230">
        <v>0.16900000140106453</v>
      </c>
      <c r="D230">
        <f t="shared" si="47"/>
        <v>5.917159714258446</v>
      </c>
      <c r="E230" s="1">
        <f t="shared" si="48"/>
        <v>0.23083333294414873</v>
      </c>
      <c r="F230" s="1">
        <f t="shared" si="49"/>
        <v>0.2677666662152125</v>
      </c>
      <c r="G230" s="1">
        <f t="shared" si="50"/>
        <v>8.3099999859893553E-2</v>
      </c>
      <c r="H230" s="1">
        <f t="shared" si="51"/>
        <v>8.0524464892470546E-2</v>
      </c>
      <c r="I230" s="1">
        <f t="shared" si="52"/>
        <v>0.29593863386654157</v>
      </c>
      <c r="J230" s="1">
        <f t="shared" si="53"/>
        <v>0.32061608488199506</v>
      </c>
      <c r="K230" s="1">
        <f t="shared" si="54"/>
        <v>0.19715002329992204</v>
      </c>
      <c r="L230" s="1">
        <f t="shared" si="55"/>
        <v>0.19548996442594485</v>
      </c>
      <c r="M230" s="1">
        <f t="shared" si="56"/>
        <v>0.42614923571132673</v>
      </c>
      <c r="N230" s="1">
        <f t="shared" si="57"/>
        <v>0.42631492221555978</v>
      </c>
      <c r="O230" s="1">
        <f t="shared" si="58"/>
        <v>0.42525007017997873</v>
      </c>
      <c r="P230" s="1">
        <f t="shared" si="59"/>
        <v>0.42542096349289338</v>
      </c>
      <c r="Q230" s="1">
        <f t="shared" si="60"/>
        <v>6.4633333224361653</v>
      </c>
      <c r="T230">
        <v>0.50989226351781058</v>
      </c>
      <c r="U230">
        <f t="shared" si="67"/>
        <v>1.9611986130185124</v>
      </c>
      <c r="V230" s="15">
        <f t="shared" si="61"/>
        <v>0</v>
      </c>
      <c r="W230" s="15">
        <f t="shared" si="62"/>
        <v>0</v>
      </c>
      <c r="X230" s="15">
        <f t="shared" si="63"/>
        <v>0</v>
      </c>
      <c r="Y230" s="15">
        <f t="shared" si="64"/>
        <v>0</v>
      </c>
      <c r="Z230" s="15">
        <f t="shared" si="65"/>
        <v>0</v>
      </c>
      <c r="AA230" s="15">
        <f t="shared" si="66"/>
        <v>0</v>
      </c>
      <c r="AC230" s="1"/>
      <c r="AD230" s="1"/>
      <c r="AE230" s="1"/>
    </row>
    <row r="231" spans="1:31">
      <c r="A231">
        <v>436</v>
      </c>
      <c r="B231">
        <f t="shared" si="46"/>
        <v>0.18076518463320571</v>
      </c>
      <c r="C231">
        <v>0.17041180370393416</v>
      </c>
      <c r="D231">
        <f t="shared" si="47"/>
        <v>5.8681381117082427</v>
      </c>
      <c r="E231" s="1">
        <f t="shared" si="48"/>
        <v>0.23044116563779607</v>
      </c>
      <c r="F231" s="1">
        <f t="shared" si="49"/>
        <v>0.26731175213984343</v>
      </c>
      <c r="G231" s="1">
        <f t="shared" si="50"/>
        <v>8.2958819629606578E-2</v>
      </c>
      <c r="H231" s="1">
        <f t="shared" si="51"/>
        <v>8.0387660289384863E-2</v>
      </c>
      <c r="I231" s="1">
        <f t="shared" si="52"/>
        <v>0.29543585787917059</v>
      </c>
      <c r="J231" s="1">
        <f t="shared" si="53"/>
        <v>0.3200713838859221</v>
      </c>
      <c r="K231" s="1">
        <f t="shared" si="54"/>
        <v>0.19681508123328559</v>
      </c>
      <c r="L231" s="1">
        <f t="shared" si="55"/>
        <v>0.19515784266610156</v>
      </c>
      <c r="M231" s="1">
        <f t="shared" si="56"/>
        <v>0.42542524236191909</v>
      </c>
      <c r="N231" s="1">
        <f t="shared" si="57"/>
        <v>0.42559064737807917</v>
      </c>
      <c r="O231" s="1">
        <f t="shared" si="58"/>
        <v>0.42452760444064325</v>
      </c>
      <c r="P231" s="1">
        <f t="shared" si="59"/>
        <v>0.4246982074195349</v>
      </c>
      <c r="Q231" s="1">
        <f t="shared" si="60"/>
        <v>6.4523526378582901</v>
      </c>
      <c r="T231">
        <v>0.65854756118762148</v>
      </c>
      <c r="U231">
        <f t="shared" si="67"/>
        <v>1.5184932098094857</v>
      </c>
      <c r="V231" s="15">
        <f t="shared" si="61"/>
        <v>0</v>
      </c>
      <c r="W231" s="15">
        <f t="shared" si="62"/>
        <v>0</v>
      </c>
      <c r="X231" s="15">
        <f t="shared" si="63"/>
        <v>0</v>
      </c>
      <c r="Y231" s="15">
        <f t="shared" si="64"/>
        <v>0</v>
      </c>
      <c r="Z231" s="15">
        <f t="shared" si="65"/>
        <v>0</v>
      </c>
      <c r="AA231" s="15">
        <f t="shared" si="66"/>
        <v>0</v>
      </c>
      <c r="AC231" s="1"/>
      <c r="AD231" s="1"/>
      <c r="AE231" s="1"/>
    </row>
    <row r="232" spans="1:31">
      <c r="A232">
        <v>485</v>
      </c>
      <c r="B232">
        <f t="shared" si="46"/>
        <v>0.18134726529318562</v>
      </c>
      <c r="C232">
        <v>0.17124802521198823</v>
      </c>
      <c r="D232">
        <f t="shared" si="47"/>
        <v>5.8394833970324518</v>
      </c>
      <c r="E232" s="1">
        <f t="shared" si="48"/>
        <v>0.23020888188555882</v>
      </c>
      <c r="F232" s="1">
        <f t="shared" si="49"/>
        <v>0.26704230298724824</v>
      </c>
      <c r="G232" s="1">
        <f t="shared" si="50"/>
        <v>8.2875197478801177E-2</v>
      </c>
      <c r="H232" s="1">
        <f t="shared" si="51"/>
        <v>8.0306629856675887E-2</v>
      </c>
      <c r="I232" s="1">
        <f t="shared" si="52"/>
        <v>0.29513805974304474</v>
      </c>
      <c r="J232" s="1">
        <f t="shared" si="53"/>
        <v>0.31974875324036445</v>
      </c>
      <c r="K232" s="1">
        <f t="shared" si="54"/>
        <v>0.1966166924365651</v>
      </c>
      <c r="L232" s="1">
        <f t="shared" si="55"/>
        <v>0.19496112435907711</v>
      </c>
      <c r="M232" s="1">
        <f t="shared" si="56"/>
        <v>0.42499641545801603</v>
      </c>
      <c r="N232" s="1">
        <f t="shared" si="57"/>
        <v>0.42516165374659654</v>
      </c>
      <c r="O232" s="1">
        <f t="shared" si="58"/>
        <v>0.42409968235209267</v>
      </c>
      <c r="P232" s="1">
        <f t="shared" si="59"/>
        <v>0.42427011336387954</v>
      </c>
      <c r="Q232" s="1">
        <f t="shared" si="60"/>
        <v>6.4458486927956473</v>
      </c>
      <c r="T232">
        <v>0.43565301511679055</v>
      </c>
      <c r="U232">
        <f t="shared" si="67"/>
        <v>2.2954047494240766</v>
      </c>
      <c r="V232" s="15">
        <f t="shared" si="61"/>
        <v>6.2087967683282896E-2</v>
      </c>
      <c r="W232" s="15">
        <f t="shared" si="62"/>
        <v>6.7023900074881154E-2</v>
      </c>
      <c r="X232" s="15">
        <f t="shared" si="63"/>
        <v>7.6895764858077531E-2</v>
      </c>
      <c r="Y232" s="15">
        <f t="shared" si="64"/>
        <v>8.7064478876155635E-2</v>
      </c>
      <c r="Z232" s="15">
        <f t="shared" si="65"/>
        <v>9.1414316894373418E-2</v>
      </c>
      <c r="AA232" s="15">
        <f t="shared" si="66"/>
        <v>0.10011399293080897</v>
      </c>
      <c r="AC232" s="1"/>
      <c r="AD232" s="1"/>
      <c r="AE232" s="1"/>
    </row>
    <row r="233" spans="1:31">
      <c r="A233">
        <v>969</v>
      </c>
      <c r="B233">
        <f t="shared" si="46"/>
        <v>0.18234862516821826</v>
      </c>
      <c r="C233">
        <v>0.1726413748834662</v>
      </c>
      <c r="D233">
        <f t="shared" si="47"/>
        <v>5.792354241125599</v>
      </c>
      <c r="E233" s="1">
        <f t="shared" si="48"/>
        <v>0.22982184031014827</v>
      </c>
      <c r="F233" s="1">
        <f t="shared" si="49"/>
        <v>0.26659333475977198</v>
      </c>
      <c r="G233" s="1">
        <f t="shared" si="50"/>
        <v>8.273586251165338E-2</v>
      </c>
      <c r="H233" s="1">
        <f t="shared" si="51"/>
        <v>8.017161332611869E-2</v>
      </c>
      <c r="I233" s="1">
        <f t="shared" si="52"/>
        <v>0.29464185517147939</v>
      </c>
      <c r="J233" s="1">
        <f t="shared" si="53"/>
        <v>0.31921117163110563</v>
      </c>
      <c r="K233" s="1">
        <f t="shared" si="54"/>
        <v>0.19628612815177574</v>
      </c>
      <c r="L233" s="1">
        <f t="shared" si="55"/>
        <v>0.19463334351892145</v>
      </c>
      <c r="M233" s="1">
        <f t="shared" si="56"/>
        <v>0.42428188489414109</v>
      </c>
      <c r="N233" s="1">
        <f t="shared" si="57"/>
        <v>0.42444684537377259</v>
      </c>
      <c r="O233" s="1">
        <f t="shared" si="58"/>
        <v>0.42338665943202014</v>
      </c>
      <c r="P233" s="1">
        <f t="shared" si="59"/>
        <v>0.42355680390452688</v>
      </c>
      <c r="Q233" s="1">
        <f t="shared" si="60"/>
        <v>6.4350115286841518</v>
      </c>
      <c r="T233">
        <v>5.6218325181313089E-3</v>
      </c>
      <c r="U233">
        <f t="shared" si="67"/>
        <v>177.87794225011865</v>
      </c>
      <c r="V233" s="15">
        <f t="shared" si="61"/>
        <v>0.10304197639427203</v>
      </c>
      <c r="W233" s="15">
        <f t="shared" si="62"/>
        <v>0.1057753682453844</v>
      </c>
      <c r="X233" s="15">
        <f t="shared" si="63"/>
        <v>0.11124215194760896</v>
      </c>
      <c r="Y233" s="15">
        <f t="shared" si="64"/>
        <v>0.14763297309330198</v>
      </c>
      <c r="Z233" s="15">
        <f t="shared" si="65"/>
        <v>0.14970192057754048</v>
      </c>
      <c r="AA233" s="15">
        <f t="shared" si="66"/>
        <v>0.15383981554601778</v>
      </c>
      <c r="AC233" s="1"/>
      <c r="AD233" s="1"/>
      <c r="AE233" s="1"/>
    </row>
    <row r="234" spans="1:31">
      <c r="A234">
        <v>221</v>
      </c>
      <c r="B234">
        <f t="shared" si="46"/>
        <v>0.18249038935596773</v>
      </c>
      <c r="C234">
        <v>0.17302923582536289</v>
      </c>
      <c r="D234">
        <f t="shared" si="47"/>
        <v>5.7793701464953156</v>
      </c>
      <c r="E234" s="1">
        <f t="shared" si="48"/>
        <v>0.22971410115962143</v>
      </c>
      <c r="F234" s="1">
        <f t="shared" si="49"/>
        <v>0.26646835734516083</v>
      </c>
      <c r="G234" s="1">
        <f t="shared" si="50"/>
        <v>8.2697076417463711E-2</v>
      </c>
      <c r="H234" s="1">
        <f t="shared" si="51"/>
        <v>8.0134029337127627E-2</v>
      </c>
      <c r="I234" s="1">
        <f t="shared" si="52"/>
        <v>0.29450372877260023</v>
      </c>
      <c r="J234" s="1">
        <f t="shared" si="53"/>
        <v>0.31906152727866371</v>
      </c>
      <c r="K234" s="1">
        <f t="shared" si="54"/>
        <v>0.19619411034929563</v>
      </c>
      <c r="L234" s="1">
        <f t="shared" si="55"/>
        <v>0.19454210053232524</v>
      </c>
      <c r="M234" s="1">
        <f t="shared" si="56"/>
        <v>0.42408298399855721</v>
      </c>
      <c r="N234" s="1">
        <f t="shared" si="57"/>
        <v>0.4242478671456692</v>
      </c>
      <c r="O234" s="1">
        <f t="shared" si="58"/>
        <v>0.42318817821295912</v>
      </c>
      <c r="P234" s="1">
        <f t="shared" si="59"/>
        <v>0.4233582429227204</v>
      </c>
      <c r="Q234" s="1">
        <f t="shared" si="60"/>
        <v>6.4319948324693996</v>
      </c>
      <c r="T234">
        <v>3.7319781751815606E-3</v>
      </c>
      <c r="U234">
        <f t="shared" si="67"/>
        <v>267.95440730340016</v>
      </c>
      <c r="V234" s="15">
        <f t="shared" si="61"/>
        <v>0.10304197639427203</v>
      </c>
      <c r="W234" s="15">
        <f t="shared" si="62"/>
        <v>0.1057753682453844</v>
      </c>
      <c r="X234" s="15">
        <f t="shared" si="63"/>
        <v>0.11124215194760896</v>
      </c>
      <c r="Y234" s="15">
        <f t="shared" si="64"/>
        <v>0.14763297309330198</v>
      </c>
      <c r="Z234" s="15">
        <f t="shared" si="65"/>
        <v>0.14970192057754048</v>
      </c>
      <c r="AA234" s="15">
        <f t="shared" si="66"/>
        <v>0.15383981554601778</v>
      </c>
      <c r="AC234" s="1"/>
      <c r="AD234" s="1"/>
      <c r="AE234" s="1"/>
    </row>
    <row r="235" spans="1:31">
      <c r="A235">
        <v>37</v>
      </c>
      <c r="B235">
        <f t="shared" si="46"/>
        <v>0.18294084326977159</v>
      </c>
      <c r="C235">
        <v>0.17345694766199349</v>
      </c>
      <c r="D235">
        <f t="shared" si="47"/>
        <v>5.7651193191099379</v>
      </c>
      <c r="E235" s="1">
        <f t="shared" si="48"/>
        <v>0.22959529231611292</v>
      </c>
      <c r="F235" s="1">
        <f t="shared" si="49"/>
        <v>0.26633053908669096</v>
      </c>
      <c r="G235" s="1">
        <f t="shared" si="50"/>
        <v>8.2654305233800657E-2</v>
      </c>
      <c r="H235" s="1">
        <f t="shared" si="51"/>
        <v>8.0092583769340711E-2</v>
      </c>
      <c r="I235" s="1">
        <f t="shared" si="52"/>
        <v>0.29435141053332892</v>
      </c>
      <c r="J235" s="1">
        <f t="shared" si="53"/>
        <v>0.31889650767006034</v>
      </c>
      <c r="K235" s="1">
        <f t="shared" si="54"/>
        <v>0.19609263814869449</v>
      </c>
      <c r="L235" s="1">
        <f t="shared" si="55"/>
        <v>0.19444148275631029</v>
      </c>
      <c r="M235" s="1">
        <f t="shared" si="56"/>
        <v>0.42386364696776041</v>
      </c>
      <c r="N235" s="1">
        <f t="shared" si="57"/>
        <v>0.4240284448367988</v>
      </c>
      <c r="O235" s="1">
        <f t="shared" si="58"/>
        <v>0.42296930397848187</v>
      </c>
      <c r="P235" s="1">
        <f t="shared" si="59"/>
        <v>0.42313928073024931</v>
      </c>
      <c r="Q235" s="1">
        <f t="shared" si="60"/>
        <v>6.428668184851162</v>
      </c>
      <c r="T235">
        <v>0.26191437934895345</v>
      </c>
      <c r="U235">
        <f t="shared" si="67"/>
        <v>3.8180416153008583</v>
      </c>
      <c r="V235" s="15">
        <f t="shared" si="61"/>
        <v>7.3453699246760151E-2</v>
      </c>
      <c r="W235" s="15">
        <f t="shared" si="62"/>
        <v>7.793671774111656E-2</v>
      </c>
      <c r="X235" s="15">
        <f t="shared" si="63"/>
        <v>8.6902754729829418E-2</v>
      </c>
      <c r="Y235" s="15">
        <f t="shared" si="64"/>
        <v>0.10388624069345734</v>
      </c>
      <c r="Z235" s="15">
        <f t="shared" si="65"/>
        <v>0.10778353992807689</v>
      </c>
      <c r="AA235" s="15">
        <f t="shared" si="66"/>
        <v>0.11557813839731609</v>
      </c>
      <c r="AC235" s="1"/>
      <c r="AD235" s="1"/>
      <c r="AE235" s="1"/>
    </row>
    <row r="236" spans="1:31">
      <c r="A236">
        <v>12</v>
      </c>
      <c r="B236">
        <f t="shared" si="46"/>
        <v>0.18307631600941809</v>
      </c>
      <c r="C236">
        <v>0.17355357766070734</v>
      </c>
      <c r="D236">
        <f t="shared" si="47"/>
        <v>5.7619094545833773</v>
      </c>
      <c r="E236" s="1">
        <f t="shared" si="48"/>
        <v>0.22956845064980352</v>
      </c>
      <c r="F236" s="1">
        <f t="shared" si="49"/>
        <v>0.26629940275377206</v>
      </c>
      <c r="G236" s="1">
        <f t="shared" si="50"/>
        <v>8.2644642233929269E-2</v>
      </c>
      <c r="H236" s="1">
        <f t="shared" si="51"/>
        <v>8.0083220256762955E-2</v>
      </c>
      <c r="I236" s="1">
        <f t="shared" si="52"/>
        <v>0.29431699831929992</v>
      </c>
      <c r="J236" s="1">
        <f t="shared" si="53"/>
        <v>0.31885922592286176</v>
      </c>
      <c r="K236" s="1">
        <f t="shared" si="54"/>
        <v>0.19606971323108915</v>
      </c>
      <c r="L236" s="1">
        <f t="shared" si="55"/>
        <v>0.19441875087298549</v>
      </c>
      <c r="M236" s="1">
        <f t="shared" si="56"/>
        <v>0.42381409365829215</v>
      </c>
      <c r="N236" s="1">
        <f t="shared" si="57"/>
        <v>0.42397887226104086</v>
      </c>
      <c r="O236" s="1">
        <f t="shared" si="58"/>
        <v>0.42291985522540865</v>
      </c>
      <c r="P236" s="1">
        <f t="shared" si="59"/>
        <v>0.42308981210543045</v>
      </c>
      <c r="Q236" s="1">
        <f t="shared" si="60"/>
        <v>6.4279166181944989</v>
      </c>
      <c r="T236">
        <v>0.46528375577301473</v>
      </c>
      <c r="U236">
        <f t="shared" si="67"/>
        <v>2.1492261175948784</v>
      </c>
      <c r="V236" s="15">
        <f t="shared" si="61"/>
        <v>6.0149567264531592E-2</v>
      </c>
      <c r="W236" s="15">
        <f t="shared" si="62"/>
        <v>6.516274312111657E-2</v>
      </c>
      <c r="X236" s="15">
        <f t="shared" si="63"/>
        <v>7.518909483428636E-2</v>
      </c>
      <c r="Y236" s="15">
        <f t="shared" si="64"/>
        <v>8.4195564546384466E-2</v>
      </c>
      <c r="Z236" s="15">
        <f t="shared" si="65"/>
        <v>8.8622582054785431E-2</v>
      </c>
      <c r="AA236" s="15">
        <f t="shared" si="66"/>
        <v>9.7476617071587307E-2</v>
      </c>
      <c r="AC236" s="1"/>
      <c r="AD236" s="1"/>
      <c r="AE236" s="1"/>
    </row>
    <row r="237" spans="1:31">
      <c r="A237">
        <v>86</v>
      </c>
      <c r="B237">
        <f t="shared" si="46"/>
        <v>0.18351085576051698</v>
      </c>
      <c r="C237">
        <v>0.17386352618392586</v>
      </c>
      <c r="D237">
        <f t="shared" si="47"/>
        <v>5.7516376318177569</v>
      </c>
      <c r="E237" s="1">
        <f t="shared" si="48"/>
        <v>0.22948235383779836</v>
      </c>
      <c r="F237" s="1">
        <f t="shared" si="49"/>
        <v>0.26619953045184608</v>
      </c>
      <c r="G237" s="1">
        <f t="shared" si="50"/>
        <v>8.2613647381607411E-2</v>
      </c>
      <c r="H237" s="1">
        <f t="shared" si="51"/>
        <v>8.0053186034117402E-2</v>
      </c>
      <c r="I237" s="1">
        <f t="shared" si="52"/>
        <v>0.29420661836420381</v>
      </c>
      <c r="J237" s="1">
        <f t="shared" si="53"/>
        <v>0.31873964170842517</v>
      </c>
      <c r="K237" s="1">
        <f t="shared" si="54"/>
        <v>0.19599617970680838</v>
      </c>
      <c r="L237" s="1">
        <f t="shared" si="55"/>
        <v>0.194345836521746</v>
      </c>
      <c r="M237" s="1">
        <f t="shared" si="56"/>
        <v>0.42365514741701404</v>
      </c>
      <c r="N237" s="1">
        <f t="shared" si="57"/>
        <v>0.42381986422158296</v>
      </c>
      <c r="O237" s="1">
        <f t="shared" si="58"/>
        <v>0.42276124435720996</v>
      </c>
      <c r="P237" s="1">
        <f t="shared" si="59"/>
        <v>0.42293113749700312</v>
      </c>
      <c r="Q237" s="1">
        <f t="shared" si="60"/>
        <v>6.4255059074583549</v>
      </c>
      <c r="T237">
        <v>0.56861493231664284</v>
      </c>
      <c r="U237">
        <f t="shared" si="67"/>
        <v>1.7586594075639455</v>
      </c>
      <c r="V237" s="15">
        <f t="shared" si="61"/>
        <v>0</v>
      </c>
      <c r="W237" s="15">
        <f t="shared" si="62"/>
        <v>0</v>
      </c>
      <c r="X237" s="15">
        <f t="shared" si="63"/>
        <v>0</v>
      </c>
      <c r="Y237" s="15">
        <f t="shared" si="64"/>
        <v>0</v>
      </c>
      <c r="Z237" s="15">
        <f t="shared" si="65"/>
        <v>0</v>
      </c>
      <c r="AA237" s="15">
        <f t="shared" si="66"/>
        <v>0</v>
      </c>
      <c r="AC237" s="1"/>
      <c r="AD237" s="1"/>
      <c r="AE237" s="1"/>
    </row>
    <row r="238" spans="1:31">
      <c r="A238">
        <v>752</v>
      </c>
      <c r="B238">
        <f t="shared" si="46"/>
        <v>0.1837029288448746</v>
      </c>
      <c r="C238">
        <v>0.17400052807775979</v>
      </c>
      <c r="D238">
        <f t="shared" si="47"/>
        <v>5.7471089947100964</v>
      </c>
      <c r="E238" s="1">
        <f t="shared" si="48"/>
        <v>0.22944429775617783</v>
      </c>
      <c r="F238" s="1">
        <f t="shared" si="49"/>
        <v>0.26615538539716627</v>
      </c>
      <c r="G238" s="1">
        <f t="shared" si="50"/>
        <v>8.2599947192224021E-2</v>
      </c>
      <c r="H238" s="1">
        <f t="shared" si="51"/>
        <v>8.0039910457452138E-2</v>
      </c>
      <c r="I238" s="1">
        <f t="shared" si="52"/>
        <v>0.29415782876929802</v>
      </c>
      <c r="J238" s="1">
        <f t="shared" si="53"/>
        <v>0.31868678369290593</v>
      </c>
      <c r="K238" s="1">
        <f t="shared" si="54"/>
        <v>0.19596367678670365</v>
      </c>
      <c r="L238" s="1">
        <f t="shared" si="55"/>
        <v>0.19431360728540781</v>
      </c>
      <c r="M238" s="1">
        <f t="shared" si="56"/>
        <v>0.42358489079553779</v>
      </c>
      <c r="N238" s="1">
        <f t="shared" si="57"/>
        <v>0.42374958028438481</v>
      </c>
      <c r="O238" s="1">
        <f t="shared" si="58"/>
        <v>0.42269113597566255</v>
      </c>
      <c r="P238" s="1">
        <f t="shared" si="59"/>
        <v>0.42286100094131907</v>
      </c>
      <c r="Q238" s="1">
        <f t="shared" si="60"/>
        <v>6.4244403371729799</v>
      </c>
      <c r="T238">
        <v>0.53632670307232666</v>
      </c>
      <c r="U238">
        <f t="shared" si="67"/>
        <v>1.8645351690891743</v>
      </c>
      <c r="V238" s="15">
        <f t="shared" si="61"/>
        <v>0</v>
      </c>
      <c r="W238" s="15">
        <f t="shared" si="62"/>
        <v>0</v>
      </c>
      <c r="X238" s="15">
        <f t="shared" si="63"/>
        <v>0</v>
      </c>
      <c r="Y238" s="15">
        <f t="shared" si="64"/>
        <v>0</v>
      </c>
      <c r="Z238" s="15">
        <f t="shared" si="65"/>
        <v>0</v>
      </c>
      <c r="AA238" s="15">
        <f t="shared" si="66"/>
        <v>0</v>
      </c>
      <c r="AC238" s="1"/>
      <c r="AD238" s="1"/>
      <c r="AE238" s="1"/>
    </row>
    <row r="239" spans="1:31">
      <c r="A239">
        <v>508</v>
      </c>
      <c r="B239">
        <f t="shared" si="46"/>
        <v>0.18589068998361968</v>
      </c>
      <c r="C239">
        <v>0.17717086709160401</v>
      </c>
      <c r="D239">
        <f t="shared" si="47"/>
        <v>5.6442688147084716</v>
      </c>
      <c r="E239" s="1">
        <f t="shared" si="48"/>
        <v>0.22856364803011001</v>
      </c>
      <c r="F239" s="1">
        <f t="shared" si="49"/>
        <v>0.2651338317149276</v>
      </c>
      <c r="G239" s="1">
        <f t="shared" si="50"/>
        <v>8.2282913290839602E-2</v>
      </c>
      <c r="H239" s="1">
        <f t="shared" si="51"/>
        <v>7.9732702451377591E-2</v>
      </c>
      <c r="I239" s="1">
        <f t="shared" si="52"/>
        <v>0.2930287965211239</v>
      </c>
      <c r="J239" s="1">
        <f t="shared" si="53"/>
        <v>0.31746360477102731</v>
      </c>
      <c r="K239" s="1">
        <f t="shared" si="54"/>
        <v>0.19521153188718277</v>
      </c>
      <c r="L239" s="1">
        <f t="shared" si="55"/>
        <v>0.19356779565835663</v>
      </c>
      <c r="M239" s="1">
        <f t="shared" si="56"/>
        <v>0.42195909350315108</v>
      </c>
      <c r="N239" s="1">
        <f t="shared" si="57"/>
        <v>0.42212315088322638</v>
      </c>
      <c r="O239" s="1">
        <f t="shared" si="58"/>
        <v>0.42106876907986879</v>
      </c>
      <c r="P239" s="1">
        <f t="shared" si="59"/>
        <v>0.42123798207231461</v>
      </c>
      <c r="Q239" s="1">
        <f t="shared" si="60"/>
        <v>6.3997821448430798</v>
      </c>
      <c r="T239">
        <v>0.9779440256921027</v>
      </c>
      <c r="U239">
        <f t="shared" si="67"/>
        <v>1.0225534117786426</v>
      </c>
      <c r="V239" s="15">
        <f t="shared" si="61"/>
        <v>0</v>
      </c>
      <c r="W239" s="15">
        <f t="shared" si="62"/>
        <v>0</v>
      </c>
      <c r="X239" s="15">
        <f t="shared" si="63"/>
        <v>0</v>
      </c>
      <c r="Y239" s="15">
        <f t="shared" si="64"/>
        <v>0</v>
      </c>
      <c r="Z239" s="15">
        <f t="shared" si="65"/>
        <v>0</v>
      </c>
      <c r="AA239" s="15">
        <f t="shared" si="66"/>
        <v>0</v>
      </c>
      <c r="AC239" s="1"/>
      <c r="AD239" s="1"/>
      <c r="AE239" s="1"/>
    </row>
    <row r="240" spans="1:31">
      <c r="A240">
        <v>246</v>
      </c>
      <c r="B240">
        <f t="shared" si="46"/>
        <v>0.18621879832229785</v>
      </c>
      <c r="C240">
        <v>0.17739658846113127</v>
      </c>
      <c r="D240">
        <f t="shared" si="47"/>
        <v>5.6370869850132799</v>
      </c>
      <c r="E240" s="1">
        <f t="shared" si="48"/>
        <v>0.22850094764968576</v>
      </c>
      <c r="F240" s="1">
        <f t="shared" si="49"/>
        <v>0.26506109927363547</v>
      </c>
      <c r="G240" s="1">
        <f t="shared" si="50"/>
        <v>8.2260341153886876E-2</v>
      </c>
      <c r="H240" s="1">
        <f t="shared" si="51"/>
        <v>7.9710829897193927E-2</v>
      </c>
      <c r="I240" s="1">
        <f t="shared" si="52"/>
        <v>0.29294841183538983</v>
      </c>
      <c r="J240" s="1">
        <f t="shared" si="53"/>
        <v>0.31737651704311626</v>
      </c>
      <c r="K240" s="1">
        <f t="shared" si="54"/>
        <v>0.19515798077606772</v>
      </c>
      <c r="L240" s="1">
        <f t="shared" si="55"/>
        <v>0.19351469546272071</v>
      </c>
      <c r="M240" s="1">
        <f t="shared" si="56"/>
        <v>0.42184334020679737</v>
      </c>
      <c r="N240" s="1">
        <f t="shared" si="57"/>
        <v>0.42200735258207756</v>
      </c>
      <c r="O240" s="1">
        <f t="shared" si="58"/>
        <v>0.4209532600204291</v>
      </c>
      <c r="P240" s="1">
        <f t="shared" si="59"/>
        <v>0.42112242659377419</v>
      </c>
      <c r="Q240" s="1">
        <f t="shared" si="60"/>
        <v>6.3980265341912013</v>
      </c>
      <c r="T240">
        <v>0.46616116078363812</v>
      </c>
      <c r="U240">
        <f t="shared" si="67"/>
        <v>2.1451808604538281</v>
      </c>
      <c r="V240" s="15">
        <f t="shared" si="61"/>
        <v>6.0092168691214129E-2</v>
      </c>
      <c r="W240" s="15">
        <f t="shared" si="62"/>
        <v>6.5107631827891213E-2</v>
      </c>
      <c r="X240" s="15">
        <f t="shared" si="63"/>
        <v>7.5138558101245201E-2</v>
      </c>
      <c r="Y240" s="15">
        <f t="shared" si="64"/>
        <v>8.411061223833402E-2</v>
      </c>
      <c r="Z240" s="15">
        <f t="shared" si="65"/>
        <v>8.8539915132449437E-2</v>
      </c>
      <c r="AA240" s="15">
        <f t="shared" si="66"/>
        <v>9.7398520920680187E-2</v>
      </c>
      <c r="AC240" s="1"/>
      <c r="AD240" s="1"/>
      <c r="AE240" s="1"/>
    </row>
    <row r="241" spans="1:31">
      <c r="A241">
        <v>272</v>
      </c>
      <c r="B241">
        <f t="shared" si="46"/>
        <v>0.18773700601660503</v>
      </c>
      <c r="C241">
        <v>0.1786034756402185</v>
      </c>
      <c r="D241">
        <f t="shared" si="47"/>
        <v>5.598995184250585</v>
      </c>
      <c r="E241" s="1">
        <f t="shared" si="48"/>
        <v>0.22816570121105043</v>
      </c>
      <c r="F241" s="1">
        <f t="shared" si="49"/>
        <v>0.26467221340481845</v>
      </c>
      <c r="G241" s="1">
        <f t="shared" si="50"/>
        <v>8.213965243597815E-2</v>
      </c>
      <c r="H241" s="1">
        <f t="shared" si="51"/>
        <v>7.9593881708932279E-2</v>
      </c>
      <c r="I241" s="1">
        <f t="shared" si="52"/>
        <v>0.29251861094054948</v>
      </c>
      <c r="J241" s="1">
        <f t="shared" si="53"/>
        <v>0.31691087631759807</v>
      </c>
      <c r="K241" s="1">
        <f t="shared" si="54"/>
        <v>0.19487165365708023</v>
      </c>
      <c r="L241" s="1">
        <f t="shared" si="55"/>
        <v>0.1932307792989377</v>
      </c>
      <c r="M241" s="1">
        <f t="shared" si="56"/>
        <v>0.4212244303995471</v>
      </c>
      <c r="N241" s="1">
        <f t="shared" si="57"/>
        <v>0.42138820214315698</v>
      </c>
      <c r="O241" s="1">
        <f t="shared" si="58"/>
        <v>0.42033565609928408</v>
      </c>
      <c r="P241" s="1">
        <f t="shared" si="59"/>
        <v>0.42050457447894846</v>
      </c>
      <c r="Q241" s="1">
        <f t="shared" si="60"/>
        <v>6.3886396339094116</v>
      </c>
      <c r="T241">
        <v>0.30140141846920621</v>
      </c>
      <c r="U241">
        <f t="shared" si="67"/>
        <v>3.3178344185602056</v>
      </c>
      <c r="V241" s="15">
        <f t="shared" si="61"/>
        <v>7.0870513964489151E-2</v>
      </c>
      <c r="W241" s="15">
        <f t="shared" si="62"/>
        <v>7.5456470004656578E-2</v>
      </c>
      <c r="X241" s="15">
        <f t="shared" si="63"/>
        <v>8.4628382084991433E-2</v>
      </c>
      <c r="Y241" s="15">
        <f t="shared" si="64"/>
        <v>0.10006301758585232</v>
      </c>
      <c r="Z241" s="15">
        <f t="shared" si="65"/>
        <v>0.10406316911105423</v>
      </c>
      <c r="AA241" s="15">
        <f t="shared" si="66"/>
        <v>0.11206347216145811</v>
      </c>
      <c r="AC241" s="1"/>
      <c r="AD241" s="1"/>
      <c r="AE241" s="1"/>
    </row>
    <row r="242" spans="1:31">
      <c r="A242">
        <v>45</v>
      </c>
      <c r="B242">
        <f t="shared" si="46"/>
        <v>0.18785570761644985</v>
      </c>
      <c r="C242">
        <v>0.17873555353981596</v>
      </c>
      <c r="D242">
        <f t="shared" si="47"/>
        <v>5.5948577672166122</v>
      </c>
      <c r="E242" s="1">
        <f t="shared" si="48"/>
        <v>0.22812901290560667</v>
      </c>
      <c r="F242" s="1">
        <f t="shared" si="49"/>
        <v>0.26462965497050372</v>
      </c>
      <c r="G242" s="1">
        <f t="shared" si="50"/>
        <v>8.2126444646018398E-2</v>
      </c>
      <c r="H242" s="1">
        <f t="shared" si="51"/>
        <v>7.9581083270656536E-2</v>
      </c>
      <c r="I242" s="1">
        <f t="shared" si="52"/>
        <v>0.29247157489573994</v>
      </c>
      <c r="J242" s="1">
        <f t="shared" si="53"/>
        <v>0.31685991807555264</v>
      </c>
      <c r="K242" s="1">
        <f t="shared" si="54"/>
        <v>0.19484031892660256</v>
      </c>
      <c r="L242" s="1">
        <f t="shared" si="55"/>
        <v>0.19319970841574</v>
      </c>
      <c r="M242" s="1">
        <f t="shared" si="56"/>
        <v>0.42115669887600593</v>
      </c>
      <c r="N242" s="1">
        <f t="shared" si="57"/>
        <v>0.42132044428565013</v>
      </c>
      <c r="O242" s="1">
        <f t="shared" si="58"/>
        <v>0.42026806748777057</v>
      </c>
      <c r="P242" s="1">
        <f t="shared" si="59"/>
        <v>0.4204369587059068</v>
      </c>
      <c r="Q242" s="1">
        <f t="shared" si="60"/>
        <v>6.3876123613569868</v>
      </c>
      <c r="T242">
        <v>0.98385208690853521</v>
      </c>
      <c r="U242">
        <f t="shared" si="67"/>
        <v>1.016412947948512</v>
      </c>
      <c r="V242" s="15">
        <f t="shared" si="61"/>
        <v>0</v>
      </c>
      <c r="W242" s="15">
        <f t="shared" si="62"/>
        <v>0</v>
      </c>
      <c r="X242" s="15">
        <f t="shared" si="63"/>
        <v>0</v>
      </c>
      <c r="Y242" s="15">
        <f t="shared" si="64"/>
        <v>0</v>
      </c>
      <c r="Z242" s="15">
        <f t="shared" si="65"/>
        <v>0</v>
      </c>
      <c r="AA242" s="15">
        <f t="shared" si="66"/>
        <v>0</v>
      </c>
      <c r="AC242" s="1"/>
      <c r="AD242" s="1"/>
      <c r="AE242" s="1"/>
    </row>
    <row r="243" spans="1:31">
      <c r="A243">
        <v>516</v>
      </c>
      <c r="B243">
        <f t="shared" si="46"/>
        <v>0.18896808523831743</v>
      </c>
      <c r="C243">
        <v>0.18012126684576768</v>
      </c>
      <c r="D243">
        <f t="shared" si="47"/>
        <v>5.5518152715207654</v>
      </c>
      <c r="E243" s="1">
        <f t="shared" si="48"/>
        <v>0.22774409254284231</v>
      </c>
      <c r="F243" s="1">
        <f t="shared" si="49"/>
        <v>0.26418314734969706</v>
      </c>
      <c r="G243" s="1">
        <f t="shared" si="50"/>
        <v>8.1987873315423232E-2</v>
      </c>
      <c r="H243" s="1">
        <f t="shared" si="51"/>
        <v>7.9446806709111084E-2</v>
      </c>
      <c r="I243" s="1">
        <f t="shared" si="52"/>
        <v>0.29197808981344697</v>
      </c>
      <c r="J243" s="1">
        <f t="shared" si="53"/>
        <v>0.3163252827257666</v>
      </c>
      <c r="K243" s="1">
        <f t="shared" si="54"/>
        <v>0.19451156632610195</v>
      </c>
      <c r="L243" s="1">
        <f t="shared" si="55"/>
        <v>0.19287372400497971</v>
      </c>
      <c r="M243" s="1">
        <f t="shared" si="56"/>
        <v>0.4204460843546558</v>
      </c>
      <c r="N243" s="1">
        <f t="shared" si="57"/>
        <v>0.42060955347790535</v>
      </c>
      <c r="O243" s="1">
        <f t="shared" si="58"/>
        <v>0.4195589523474591</v>
      </c>
      <c r="P243" s="1">
        <f t="shared" si="59"/>
        <v>0.4197275585967169</v>
      </c>
      <c r="Q243" s="1">
        <f t="shared" si="60"/>
        <v>6.376834591199585</v>
      </c>
      <c r="T243">
        <v>0.20112591129781276</v>
      </c>
      <c r="U243">
        <f t="shared" si="67"/>
        <v>4.9720097900228879</v>
      </c>
      <c r="V243" s="15">
        <f t="shared" si="61"/>
        <v>7.7430393359562547E-2</v>
      </c>
      <c r="W243" s="15">
        <f t="shared" si="62"/>
        <v>8.1754944269258084E-2</v>
      </c>
      <c r="X243" s="15">
        <f t="shared" si="63"/>
        <v>9.040404608864927E-2</v>
      </c>
      <c r="Y243" s="15">
        <f t="shared" si="64"/>
        <v>0.10977191561127687</v>
      </c>
      <c r="Z243" s="15">
        <f t="shared" si="65"/>
        <v>0.11351087850771185</v>
      </c>
      <c r="AA243" s="15">
        <f t="shared" si="66"/>
        <v>0.12098880430058195</v>
      </c>
      <c r="AC243" s="1"/>
      <c r="AD243" s="1"/>
      <c r="AE243" s="1"/>
    </row>
    <row r="244" spans="1:31">
      <c r="A244">
        <v>566</v>
      </c>
      <c r="B244">
        <f t="shared" si="46"/>
        <v>0.18901411608018975</v>
      </c>
      <c r="C244">
        <v>0.1801809511513971</v>
      </c>
      <c r="D244">
        <f t="shared" si="47"/>
        <v>5.5499762522607048</v>
      </c>
      <c r="E244" s="1">
        <f t="shared" si="48"/>
        <v>0.22772751356905635</v>
      </c>
      <c r="F244" s="1">
        <f t="shared" si="49"/>
        <v>0.26416391574010534</v>
      </c>
      <c r="G244" s="1">
        <f t="shared" si="50"/>
        <v>8.198190488486029E-2</v>
      </c>
      <c r="H244" s="1">
        <f t="shared" si="51"/>
        <v>7.9441023259313986E-2</v>
      </c>
      <c r="I244" s="1">
        <f t="shared" si="52"/>
        <v>0.29195683482920992</v>
      </c>
      <c r="J244" s="1">
        <f t="shared" si="53"/>
        <v>0.31630225535099876</v>
      </c>
      <c r="K244" s="1">
        <f t="shared" si="54"/>
        <v>0.19449740656404985</v>
      </c>
      <c r="L244" s="1">
        <f t="shared" si="55"/>
        <v>0.19285968347212298</v>
      </c>
      <c r="M244" s="1">
        <f t="shared" si="56"/>
        <v>0.42041547734951645</v>
      </c>
      <c r="N244" s="1">
        <f t="shared" si="57"/>
        <v>0.42057893457278528</v>
      </c>
      <c r="O244" s="1">
        <f t="shared" si="58"/>
        <v>0.41952840992242862</v>
      </c>
      <c r="P244" s="1">
        <f t="shared" si="59"/>
        <v>0.41969700389774089</v>
      </c>
      <c r="Q244" s="1">
        <f t="shared" si="60"/>
        <v>6.3763703799335785</v>
      </c>
      <c r="T244">
        <v>0.14880947271121781</v>
      </c>
      <c r="U244">
        <f t="shared" si="67"/>
        <v>6.7200023075185342</v>
      </c>
      <c r="V244" s="15">
        <f t="shared" si="61"/>
        <v>8.4465052484348657E-2</v>
      </c>
      <c r="W244" s="15">
        <f t="shared" si="62"/>
        <v>8.8380946248416858E-2</v>
      </c>
      <c r="X244" s="15">
        <f t="shared" si="63"/>
        <v>9.6212733776553178E-2</v>
      </c>
      <c r="Y244" s="15">
        <f t="shared" si="64"/>
        <v>0.12017693007474881</v>
      </c>
      <c r="Z244" s="15">
        <f t="shared" si="65"/>
        <v>0.12348906005101437</v>
      </c>
      <c r="AA244" s="15">
        <f t="shared" si="66"/>
        <v>0.1301133200035455</v>
      </c>
      <c r="AC244" s="1"/>
      <c r="AD244" s="1"/>
      <c r="AE244" s="1"/>
    </row>
    <row r="245" spans="1:31">
      <c r="A245">
        <v>780</v>
      </c>
      <c r="B245">
        <f t="shared" si="46"/>
        <v>0.18977905991750374</v>
      </c>
      <c r="C245">
        <v>0.18060192472137238</v>
      </c>
      <c r="D245">
        <f t="shared" si="47"/>
        <v>5.537039550064442</v>
      </c>
      <c r="E245" s="1">
        <f t="shared" si="48"/>
        <v>0.22761057646628546</v>
      </c>
      <c r="F245" s="1">
        <f t="shared" si="49"/>
        <v>0.26402826870089113</v>
      </c>
      <c r="G245" s="1">
        <f t="shared" si="50"/>
        <v>8.1939807527862757E-2</v>
      </c>
      <c r="H245" s="1">
        <f t="shared" si="51"/>
        <v>7.9400230634147584E-2</v>
      </c>
      <c r="I245" s="1">
        <f t="shared" si="52"/>
        <v>0.29180691624509142</v>
      </c>
      <c r="J245" s="1">
        <f t="shared" si="53"/>
        <v>0.3161398354977234</v>
      </c>
      <c r="K245" s="1">
        <f t="shared" si="54"/>
        <v>0.19439753297888834</v>
      </c>
      <c r="L245" s="1">
        <f t="shared" si="55"/>
        <v>0.19276065085075417</v>
      </c>
      <c r="M245" s="1">
        <f t="shared" si="56"/>
        <v>0.42019959580270283</v>
      </c>
      <c r="N245" s="1">
        <f t="shared" si="57"/>
        <v>0.42036296909138771</v>
      </c>
      <c r="O245" s="1">
        <f t="shared" si="58"/>
        <v>0.41931298388093918</v>
      </c>
      <c r="P245" s="1">
        <f t="shared" si="59"/>
        <v>0.41948149128396728</v>
      </c>
      <c r="Q245" s="1">
        <f t="shared" si="60"/>
        <v>6.373096141055993</v>
      </c>
      <c r="T245">
        <v>0.69243610299555003</v>
      </c>
      <c r="U245">
        <f t="shared" si="67"/>
        <v>1.44417657553368</v>
      </c>
      <c r="V245" s="15">
        <f t="shared" si="61"/>
        <v>0</v>
      </c>
      <c r="W245" s="15">
        <f t="shared" si="62"/>
        <v>0</v>
      </c>
      <c r="X245" s="15">
        <f t="shared" si="63"/>
        <v>0</v>
      </c>
      <c r="Y245" s="15">
        <f t="shared" si="64"/>
        <v>0</v>
      </c>
      <c r="Z245" s="15">
        <f t="shared" si="65"/>
        <v>0</v>
      </c>
      <c r="AA245" s="15">
        <f t="shared" si="66"/>
        <v>0</v>
      </c>
      <c r="AC245" s="1"/>
      <c r="AD245" s="1"/>
      <c r="AE245" s="1"/>
    </row>
    <row r="246" spans="1:31">
      <c r="A246">
        <v>880</v>
      </c>
      <c r="B246">
        <f t="shared" si="46"/>
        <v>0.19091723608972253</v>
      </c>
      <c r="C246">
        <v>0.18127825193731295</v>
      </c>
      <c r="D246">
        <f t="shared" si="47"/>
        <v>5.5163815257100213</v>
      </c>
      <c r="E246" s="1">
        <f t="shared" si="48"/>
        <v>0.22742270779519086</v>
      </c>
      <c r="F246" s="1">
        <f t="shared" si="49"/>
        <v>0.26381034104242135</v>
      </c>
      <c r="G246" s="1">
        <f t="shared" si="50"/>
        <v>8.187217480626871E-2</v>
      </c>
      <c r="H246" s="1">
        <f t="shared" si="51"/>
        <v>7.9334694067062561E-2</v>
      </c>
      <c r="I246" s="1">
        <f t="shared" si="52"/>
        <v>0.29156606022503168</v>
      </c>
      <c r="J246" s="1">
        <f t="shared" si="53"/>
        <v>0.31587889520357226</v>
      </c>
      <c r="K246" s="1">
        <f t="shared" si="54"/>
        <v>0.1942370781935624</v>
      </c>
      <c r="L246" s="1">
        <f t="shared" si="55"/>
        <v>0.19260154714003525</v>
      </c>
      <c r="M246" s="1">
        <f t="shared" si="56"/>
        <v>0.41985276508471275</v>
      </c>
      <c r="N246" s="1">
        <f t="shared" si="57"/>
        <v>0.42001600352587376</v>
      </c>
      <c r="O246" s="1">
        <f t="shared" si="58"/>
        <v>0.41896688496814943</v>
      </c>
      <c r="P246" s="1">
        <f t="shared" si="59"/>
        <v>0.4191352532859805</v>
      </c>
      <c r="Q246" s="1">
        <f t="shared" si="60"/>
        <v>6.3678358182653438</v>
      </c>
      <c r="T246">
        <v>0.41322534950092349</v>
      </c>
      <c r="U246">
        <f t="shared" si="67"/>
        <v>2.4199870632519489</v>
      </c>
      <c r="V246" s="15">
        <f t="shared" si="61"/>
        <v>6.3555153297230035E-2</v>
      </c>
      <c r="W246" s="15">
        <f t="shared" si="62"/>
        <v>6.8432619698260186E-2</v>
      </c>
      <c r="X246" s="15">
        <f t="shared" si="63"/>
        <v>7.8187552500320362E-2</v>
      </c>
      <c r="Y246" s="15">
        <f t="shared" si="64"/>
        <v>8.923597543154671E-2</v>
      </c>
      <c r="Z246" s="15">
        <f t="shared" si="65"/>
        <v>9.352739588206635E-2</v>
      </c>
      <c r="AA246" s="15">
        <f t="shared" si="66"/>
        <v>0.1021102367831056</v>
      </c>
      <c r="AC246" s="1"/>
      <c r="AD246" s="1"/>
      <c r="AE246" s="1"/>
    </row>
    <row r="247" spans="1:31">
      <c r="A247">
        <v>653</v>
      </c>
      <c r="B247">
        <f t="shared" si="46"/>
        <v>0.1917100728698049</v>
      </c>
      <c r="C247">
        <v>0.18217713035120686</v>
      </c>
      <c r="D247">
        <f t="shared" si="47"/>
        <v>5.489163201067929</v>
      </c>
      <c r="E247" s="1">
        <f t="shared" si="48"/>
        <v>0.227173019346887</v>
      </c>
      <c r="F247" s="1">
        <f t="shared" si="49"/>
        <v>0.2635207024423889</v>
      </c>
      <c r="G247" s="1">
        <f t="shared" si="50"/>
        <v>8.1782286964879311E-2</v>
      </c>
      <c r="H247" s="1">
        <f t="shared" si="51"/>
        <v>7.9247592137574915E-2</v>
      </c>
      <c r="I247" s="1">
        <f t="shared" si="52"/>
        <v>0.2912459484918567</v>
      </c>
      <c r="J247" s="1">
        <f t="shared" si="53"/>
        <v>0.3155320902958304</v>
      </c>
      <c r="K247" s="1">
        <f t="shared" si="54"/>
        <v>0.19402382440229674</v>
      </c>
      <c r="L247" s="1">
        <f t="shared" si="55"/>
        <v>0.19239008900591775</v>
      </c>
      <c r="M247" s="1">
        <f t="shared" si="56"/>
        <v>0.41939180678179561</v>
      </c>
      <c r="N247" s="1">
        <f t="shared" si="57"/>
        <v>0.41955486600271308</v>
      </c>
      <c r="O247" s="1">
        <f t="shared" si="58"/>
        <v>0.41850689927713125</v>
      </c>
      <c r="P247" s="1">
        <f t="shared" si="59"/>
        <v>0.41867508274260329</v>
      </c>
      <c r="Q247" s="1">
        <f t="shared" si="60"/>
        <v>6.3608445417128356</v>
      </c>
      <c r="T247">
        <v>0.23821112304796499</v>
      </c>
      <c r="U247">
        <f t="shared" si="67"/>
        <v>4.1979567839015015</v>
      </c>
      <c r="V247" s="15">
        <f t="shared" si="61"/>
        <v>7.5004332167910373E-2</v>
      </c>
      <c r="W247" s="15">
        <f t="shared" si="62"/>
        <v>7.9425559373638557E-2</v>
      </c>
      <c r="X247" s="15">
        <f t="shared" si="63"/>
        <v>8.8268013785095009E-2</v>
      </c>
      <c r="Y247" s="15">
        <f t="shared" si="64"/>
        <v>0.10618124278109027</v>
      </c>
      <c r="Z247" s="15">
        <f t="shared" si="65"/>
        <v>0.11001680190403944</v>
      </c>
      <c r="AA247" s="15">
        <f t="shared" si="66"/>
        <v>0.1176879201499379</v>
      </c>
      <c r="AC247" s="1"/>
      <c r="AD247" s="1"/>
      <c r="AE247" s="1"/>
    </row>
    <row r="248" spans="1:31">
      <c r="A248">
        <v>256</v>
      </c>
      <c r="B248">
        <f t="shared" si="46"/>
        <v>0.19320706792623638</v>
      </c>
      <c r="C248">
        <v>0.18254299883270275</v>
      </c>
      <c r="D248">
        <f t="shared" si="47"/>
        <v>5.4781613449688162</v>
      </c>
      <c r="E248" s="1">
        <f t="shared" si="48"/>
        <v>0.22707138921313813</v>
      </c>
      <c r="F248" s="1">
        <f t="shared" si="49"/>
        <v>0.26340281148724021</v>
      </c>
      <c r="G248" s="1">
        <f t="shared" si="50"/>
        <v>8.1745700116729728E-2</v>
      </c>
      <c r="H248" s="1">
        <f t="shared" si="51"/>
        <v>7.9212139232950188E-2</v>
      </c>
      <c r="I248" s="1">
        <f t="shared" si="52"/>
        <v>0.29111565412510426</v>
      </c>
      <c r="J248" s="1">
        <f t="shared" si="53"/>
        <v>0.31539093106560573</v>
      </c>
      <c r="K248" s="1">
        <f t="shared" si="54"/>
        <v>0.19393702418596312</v>
      </c>
      <c r="L248" s="1">
        <f t="shared" si="55"/>
        <v>0.19230401967191918</v>
      </c>
      <c r="M248" s="1">
        <f t="shared" si="56"/>
        <v>0.41920418394903602</v>
      </c>
      <c r="N248" s="1">
        <f t="shared" si="57"/>
        <v>0.41936717022233638</v>
      </c>
      <c r="O248" s="1">
        <f t="shared" si="58"/>
        <v>0.41831967232442957</v>
      </c>
      <c r="P248" s="1">
        <f t="shared" si="59"/>
        <v>0.41848778054985714</v>
      </c>
      <c r="Q248" s="1">
        <f t="shared" si="60"/>
        <v>6.3579988979678674</v>
      </c>
      <c r="T248">
        <v>0.28073823765728589</v>
      </c>
      <c r="U248">
        <f t="shared" si="67"/>
        <v>3.5620370361545133</v>
      </c>
      <c r="V248" s="15">
        <f t="shared" si="61"/>
        <v>7.2222269521437968E-2</v>
      </c>
      <c r="W248" s="15">
        <f t="shared" si="62"/>
        <v>7.6754359352114457E-2</v>
      </c>
      <c r="X248" s="15">
        <f t="shared" si="63"/>
        <v>8.5818539013467449E-2</v>
      </c>
      <c r="Y248" s="15">
        <f t="shared" si="64"/>
        <v>0.10206367279112538</v>
      </c>
      <c r="Z248" s="15">
        <f t="shared" si="65"/>
        <v>0.10601000272006246</v>
      </c>
      <c r="AA248" s="15">
        <f t="shared" si="66"/>
        <v>0.11390266257793673</v>
      </c>
      <c r="AC248" s="1"/>
      <c r="AD248" s="1"/>
      <c r="AE248" s="1"/>
    </row>
    <row r="249" spans="1:31">
      <c r="A249">
        <v>762</v>
      </c>
      <c r="B249">
        <f t="shared" si="46"/>
        <v>0.19706365939380172</v>
      </c>
      <c r="C249">
        <v>0.18394637614616083</v>
      </c>
      <c r="D249">
        <f t="shared" si="47"/>
        <v>5.4363669507977486</v>
      </c>
      <c r="E249" s="1">
        <f t="shared" si="48"/>
        <v>0.226681562181622</v>
      </c>
      <c r="F249" s="1">
        <f t="shared" si="49"/>
        <v>0.26295061213068149</v>
      </c>
      <c r="G249" s="1">
        <f t="shared" si="50"/>
        <v>8.160536238538392E-2</v>
      </c>
      <c r="H249" s="1">
        <f t="shared" si="51"/>
        <v>7.9076151017066942E-2</v>
      </c>
      <c r="I249" s="1">
        <f t="shared" si="52"/>
        <v>0.29061587847450948</v>
      </c>
      <c r="J249" s="1">
        <f t="shared" si="53"/>
        <v>0.31484948059555545</v>
      </c>
      <c r="K249" s="1">
        <f t="shared" si="54"/>
        <v>0.19360408090014686</v>
      </c>
      <c r="L249" s="1">
        <f t="shared" si="55"/>
        <v>0.19197387986259712</v>
      </c>
      <c r="M249" s="1">
        <f t="shared" si="56"/>
        <v>0.41848451106028384</v>
      </c>
      <c r="N249" s="1">
        <f t="shared" si="57"/>
        <v>0.41864721752530309</v>
      </c>
      <c r="O249" s="1">
        <f t="shared" si="58"/>
        <v>0.41760151792967237</v>
      </c>
      <c r="P249" s="1">
        <f t="shared" si="59"/>
        <v>0.41776933755365736</v>
      </c>
      <c r="Q249" s="1">
        <f t="shared" si="60"/>
        <v>6.3470837410854157</v>
      </c>
      <c r="T249">
        <v>0.17441248048036095</v>
      </c>
      <c r="U249">
        <f t="shared" si="67"/>
        <v>5.7335346487007914</v>
      </c>
      <c r="V249" s="15">
        <f t="shared" si="61"/>
        <v>8.0983497606892343E-2</v>
      </c>
      <c r="W249" s="15">
        <f t="shared" si="62"/>
        <v>8.5102313769839164E-2</v>
      </c>
      <c r="X249" s="15">
        <f t="shared" si="63"/>
        <v>9.3339946095732818E-2</v>
      </c>
      <c r="Y249" s="15">
        <f t="shared" si="64"/>
        <v>0.11502737187979949</v>
      </c>
      <c r="Z249" s="15">
        <f t="shared" si="65"/>
        <v>0.11855151610768126</v>
      </c>
      <c r="AA249" s="15">
        <f t="shared" si="66"/>
        <v>0.12559980456344488</v>
      </c>
      <c r="AC249" s="1"/>
      <c r="AD249" s="1"/>
      <c r="AE249" s="1"/>
    </row>
    <row r="250" spans="1:31">
      <c r="A250">
        <v>748</v>
      </c>
      <c r="B250">
        <f t="shared" si="46"/>
        <v>0.19756763514629155</v>
      </c>
      <c r="C250">
        <v>0.1843295742170995</v>
      </c>
      <c r="D250">
        <f t="shared" si="47"/>
        <v>5.4250654255958999</v>
      </c>
      <c r="E250" s="1">
        <f t="shared" si="48"/>
        <v>0.22657511827302793</v>
      </c>
      <c r="F250" s="1">
        <f t="shared" si="49"/>
        <v>0.26282713719671236</v>
      </c>
      <c r="G250" s="1">
        <f t="shared" si="50"/>
        <v>8.1567042578290047E-2</v>
      </c>
      <c r="H250" s="1">
        <f t="shared" si="51"/>
        <v>7.9039018863442168E-2</v>
      </c>
      <c r="I250" s="1">
        <f t="shared" si="52"/>
        <v>0.29047941263358878</v>
      </c>
      <c r="J250" s="1">
        <f t="shared" si="53"/>
        <v>0.31470163527010925</v>
      </c>
      <c r="K250" s="1">
        <f t="shared" si="54"/>
        <v>0.19351316933728113</v>
      </c>
      <c r="L250" s="1">
        <f t="shared" si="55"/>
        <v>0.19188373380076534</v>
      </c>
      <c r="M250" s="1">
        <f t="shared" si="56"/>
        <v>0.41828800135470995</v>
      </c>
      <c r="N250" s="1">
        <f t="shared" si="57"/>
        <v>0.41845063141690264</v>
      </c>
      <c r="O250" s="1">
        <f t="shared" si="58"/>
        <v>0.41740542285526294</v>
      </c>
      <c r="P250" s="1">
        <f t="shared" si="59"/>
        <v>0.41757316367541164</v>
      </c>
      <c r="Q250" s="1">
        <f t="shared" si="60"/>
        <v>6.3441033116447816</v>
      </c>
      <c r="T250">
        <v>0.24010986387648969</v>
      </c>
      <c r="U250">
        <f t="shared" si="67"/>
        <v>4.164760180424703</v>
      </c>
      <c r="V250" s="15">
        <f t="shared" si="61"/>
        <v>7.4880119274962006E-2</v>
      </c>
      <c r="W250" s="15">
        <f t="shared" si="62"/>
        <v>7.9306296249661831E-2</v>
      </c>
      <c r="X250" s="15">
        <f t="shared" si="63"/>
        <v>8.8158650199061564E-2</v>
      </c>
      <c r="Y250" s="15">
        <f t="shared" si="64"/>
        <v>0.10599740246354047</v>
      </c>
      <c r="Z250" s="15">
        <f t="shared" si="65"/>
        <v>0.10983790725594947</v>
      </c>
      <c r="AA250" s="15">
        <f t="shared" si="66"/>
        <v>0.11751891684076757</v>
      </c>
      <c r="AC250" s="1"/>
      <c r="AD250" s="1"/>
      <c r="AE250" s="1"/>
    </row>
    <row r="251" spans="1:31">
      <c r="A251">
        <v>550</v>
      </c>
      <c r="B251">
        <f t="shared" si="46"/>
        <v>0.19766338596965019</v>
      </c>
      <c r="C251">
        <v>0.18443881754557134</v>
      </c>
      <c r="D251">
        <f t="shared" si="47"/>
        <v>5.4218521529662214</v>
      </c>
      <c r="E251" s="1">
        <f t="shared" si="48"/>
        <v>0.22654477290400796</v>
      </c>
      <c r="F251" s="1">
        <f t="shared" si="49"/>
        <v>0.26279193656864924</v>
      </c>
      <c r="G251" s="1">
        <f t="shared" si="50"/>
        <v>8.1556118245442871E-2</v>
      </c>
      <c r="H251" s="1">
        <f t="shared" si="51"/>
        <v>7.9028433110634594E-2</v>
      </c>
      <c r="I251" s="1">
        <f t="shared" si="52"/>
        <v>0.29044050851633063</v>
      </c>
      <c r="J251" s="1">
        <f t="shared" si="53"/>
        <v>0.31465948705310182</v>
      </c>
      <c r="K251" s="1">
        <f t="shared" si="54"/>
        <v>0.19348725197892985</v>
      </c>
      <c r="L251" s="1">
        <f t="shared" si="55"/>
        <v>0.19185803467389081</v>
      </c>
      <c r="M251" s="1">
        <f t="shared" si="56"/>
        <v>0.41823197974097548</v>
      </c>
      <c r="N251" s="1">
        <f t="shared" si="57"/>
        <v>0.41839458802200663</v>
      </c>
      <c r="O251" s="1">
        <f t="shared" si="58"/>
        <v>0.41734951944590354</v>
      </c>
      <c r="P251" s="1">
        <f t="shared" si="59"/>
        <v>0.41751723780040317</v>
      </c>
      <c r="Q251" s="1">
        <f t="shared" si="60"/>
        <v>6.3432536413122227</v>
      </c>
      <c r="T251">
        <v>0.44925389708529506</v>
      </c>
      <c r="U251">
        <f t="shared" si="67"/>
        <v>2.2259128000622344</v>
      </c>
      <c r="V251" s="15">
        <f t="shared" si="61"/>
        <v>6.1198217554893908E-2</v>
      </c>
      <c r="W251" s="15">
        <f t="shared" si="62"/>
        <v>6.6169605666695441E-2</v>
      </c>
      <c r="X251" s="15">
        <f t="shared" si="63"/>
        <v>7.6112381890298342E-2</v>
      </c>
      <c r="Y251" s="15">
        <f t="shared" si="64"/>
        <v>8.5747611180215261E-2</v>
      </c>
      <c r="Z251" s="15">
        <f t="shared" si="65"/>
        <v>9.0132875553398301E-2</v>
      </c>
      <c r="AA251" s="15">
        <f t="shared" si="66"/>
        <v>9.8903404299764339E-2</v>
      </c>
      <c r="AC251" s="1"/>
      <c r="AD251" s="1"/>
      <c r="AE251" s="1"/>
    </row>
    <row r="252" spans="1:31">
      <c r="A252">
        <v>677</v>
      </c>
      <c r="B252">
        <f t="shared" si="46"/>
        <v>0.19915351378163773</v>
      </c>
      <c r="C252">
        <v>0.18589990032140735</v>
      </c>
      <c r="D252">
        <f t="shared" si="47"/>
        <v>5.3792390327863169</v>
      </c>
      <c r="E252" s="1">
        <f t="shared" si="48"/>
        <v>0.22613891657738686</v>
      </c>
      <c r="F252" s="1">
        <f t="shared" si="49"/>
        <v>0.26232114322976874</v>
      </c>
      <c r="G252" s="1">
        <f t="shared" si="50"/>
        <v>8.141000996785927E-2</v>
      </c>
      <c r="H252" s="1">
        <f t="shared" si="51"/>
        <v>7.8886853196210804E-2</v>
      </c>
      <c r="I252" s="1">
        <f t="shared" si="52"/>
        <v>0.28992018259409735</v>
      </c>
      <c r="J252" s="1">
        <f t="shared" si="53"/>
        <v>0.31409577268479028</v>
      </c>
      <c r="K252" s="1">
        <f t="shared" si="54"/>
        <v>0.19314061840036809</v>
      </c>
      <c r="L252" s="1">
        <f t="shared" si="55"/>
        <v>0.19151431984795447</v>
      </c>
      <c r="M252" s="1">
        <f t="shared" si="56"/>
        <v>0.4174827146275179</v>
      </c>
      <c r="N252" s="1">
        <f t="shared" si="57"/>
        <v>0.41764503159483313</v>
      </c>
      <c r="O252" s="1">
        <f t="shared" si="58"/>
        <v>0.41660183526538541</v>
      </c>
      <c r="P252" s="1">
        <f t="shared" si="59"/>
        <v>0.4167692531514417</v>
      </c>
      <c r="Q252" s="1">
        <f t="shared" si="60"/>
        <v>6.3318896641668321</v>
      </c>
      <c r="T252">
        <v>0.78136954361205457</v>
      </c>
      <c r="U252">
        <f t="shared" si="67"/>
        <v>1.2798041697111426</v>
      </c>
      <c r="V252" s="15">
        <f t="shared" si="61"/>
        <v>0</v>
      </c>
      <c r="W252" s="15">
        <f t="shared" si="62"/>
        <v>0</v>
      </c>
      <c r="X252" s="15">
        <f t="shared" si="63"/>
        <v>0</v>
      </c>
      <c r="Y252" s="15">
        <f t="shared" si="64"/>
        <v>0</v>
      </c>
      <c r="Z252" s="15">
        <f t="shared" si="65"/>
        <v>0</v>
      </c>
      <c r="AA252" s="15">
        <f t="shared" si="66"/>
        <v>0</v>
      </c>
      <c r="AC252" s="1"/>
      <c r="AD252" s="1"/>
      <c r="AE252" s="1"/>
    </row>
    <row r="253" spans="1:31">
      <c r="A253">
        <v>959</v>
      </c>
      <c r="B253">
        <f t="shared" si="46"/>
        <v>0.19989236294684404</v>
      </c>
      <c r="C253">
        <v>0.18735478091075475</v>
      </c>
      <c r="D253">
        <f t="shared" si="47"/>
        <v>5.3374672113456425</v>
      </c>
      <c r="E253" s="1">
        <f t="shared" si="48"/>
        <v>0.22573478308034589</v>
      </c>
      <c r="F253" s="1">
        <f t="shared" si="49"/>
        <v>0.26185234837320126</v>
      </c>
      <c r="G253" s="1">
        <f t="shared" si="50"/>
        <v>8.1264521908924525E-2</v>
      </c>
      <c r="H253" s="1">
        <f t="shared" si="51"/>
        <v>7.8745874277874869E-2</v>
      </c>
      <c r="I253" s="1">
        <f t="shared" si="52"/>
        <v>0.28940206541626784</v>
      </c>
      <c r="J253" s="1">
        <f t="shared" si="53"/>
        <v>0.3135344512415727</v>
      </c>
      <c r="K253" s="1">
        <f t="shared" si="54"/>
        <v>0.19279545625527539</v>
      </c>
      <c r="L253" s="1">
        <f t="shared" si="55"/>
        <v>0.19117206406560183</v>
      </c>
      <c r="M253" s="1">
        <f t="shared" si="56"/>
        <v>0.41673663008811124</v>
      </c>
      <c r="N253" s="1">
        <f t="shared" si="57"/>
        <v>0.41689865697831535</v>
      </c>
      <c r="O253" s="1">
        <f t="shared" si="58"/>
        <v>0.41585732494797678</v>
      </c>
      <c r="P253" s="1">
        <f t="shared" si="59"/>
        <v>0.41602444364105567</v>
      </c>
      <c r="Q253" s="1">
        <f t="shared" si="60"/>
        <v>6.3205739262496854</v>
      </c>
      <c r="T253">
        <v>0.56725984386828199</v>
      </c>
      <c r="U253">
        <f t="shared" si="67"/>
        <v>1.7628605493749712</v>
      </c>
      <c r="V253" s="15">
        <f t="shared" si="61"/>
        <v>0</v>
      </c>
      <c r="W253" s="15">
        <f t="shared" si="62"/>
        <v>0</v>
      </c>
      <c r="X253" s="15">
        <f t="shared" si="63"/>
        <v>0</v>
      </c>
      <c r="Y253" s="15">
        <f t="shared" si="64"/>
        <v>0</v>
      </c>
      <c r="Z253" s="15">
        <f t="shared" si="65"/>
        <v>0</v>
      </c>
      <c r="AA253" s="15">
        <f t="shared" si="66"/>
        <v>0</v>
      </c>
      <c r="AC253" s="1"/>
      <c r="AD253" s="1"/>
      <c r="AE253" s="1"/>
    </row>
    <row r="254" spans="1:31">
      <c r="A254">
        <v>252</v>
      </c>
      <c r="B254">
        <f t="shared" si="46"/>
        <v>0.20029966574747188</v>
      </c>
      <c r="C254">
        <v>0.18825440469813481</v>
      </c>
      <c r="D254">
        <f t="shared" si="47"/>
        <v>5.3119607034082206</v>
      </c>
      <c r="E254" s="1">
        <f t="shared" si="48"/>
        <v>0.22548488758385143</v>
      </c>
      <c r="F254" s="1">
        <f t="shared" si="49"/>
        <v>0.26156246959726764</v>
      </c>
      <c r="G254" s="1">
        <f t="shared" si="50"/>
        <v>8.1174559530186513E-2</v>
      </c>
      <c r="H254" s="1">
        <f t="shared" si="51"/>
        <v>7.8658700121189612E-2</v>
      </c>
      <c r="I254" s="1">
        <f t="shared" si="52"/>
        <v>0.28908168823807295</v>
      </c>
      <c r="J254" s="1">
        <f t="shared" si="53"/>
        <v>0.31318735875413251</v>
      </c>
      <c r="K254" s="1">
        <f t="shared" si="54"/>
        <v>0.1925820256283895</v>
      </c>
      <c r="L254" s="1">
        <f t="shared" si="55"/>
        <v>0.19096043058486997</v>
      </c>
      <c r="M254" s="1">
        <f t="shared" si="56"/>
        <v>0.41627528954651544</v>
      </c>
      <c r="N254" s="1">
        <f t="shared" si="57"/>
        <v>0.4164371370678619</v>
      </c>
      <c r="O254" s="1">
        <f t="shared" si="58"/>
        <v>0.41539695782479513</v>
      </c>
      <c r="P254" s="1">
        <f t="shared" si="59"/>
        <v>0.41556389151223061</v>
      </c>
      <c r="Q254" s="1">
        <f t="shared" si="60"/>
        <v>6.3135768523478406</v>
      </c>
      <c r="T254">
        <v>0.97613387872308732</v>
      </c>
      <c r="U254">
        <f t="shared" si="67"/>
        <v>1.0244496393344453</v>
      </c>
      <c r="V254" s="15">
        <f t="shared" si="61"/>
        <v>0</v>
      </c>
      <c r="W254" s="15">
        <f t="shared" si="62"/>
        <v>0</v>
      </c>
      <c r="X254" s="15">
        <f t="shared" si="63"/>
        <v>0</v>
      </c>
      <c r="Y254" s="15">
        <f t="shared" si="64"/>
        <v>0</v>
      </c>
      <c r="Z254" s="15">
        <f t="shared" si="65"/>
        <v>0</v>
      </c>
      <c r="AA254" s="15">
        <f t="shared" si="66"/>
        <v>0</v>
      </c>
      <c r="AC254" s="1"/>
      <c r="AD254" s="1"/>
      <c r="AE254" s="1"/>
    </row>
    <row r="255" spans="1:31">
      <c r="A255">
        <v>401</v>
      </c>
      <c r="B255">
        <f t="shared" si="46"/>
        <v>0.20058639409294626</v>
      </c>
      <c r="C255">
        <v>0.18901271516164475</v>
      </c>
      <c r="D255">
        <f t="shared" si="47"/>
        <v>5.2906493573450568</v>
      </c>
      <c r="E255" s="1">
        <f t="shared" si="48"/>
        <v>0.22527424578843203</v>
      </c>
      <c r="F255" s="1">
        <f t="shared" si="49"/>
        <v>0.26131812511458113</v>
      </c>
      <c r="G255" s="1">
        <f t="shared" si="50"/>
        <v>8.1098728483835522E-2</v>
      </c>
      <c r="H255" s="1">
        <f t="shared" si="51"/>
        <v>7.8585219321671618E-2</v>
      </c>
      <c r="I255" s="1">
        <f t="shared" si="52"/>
        <v>0.28881163605636873</v>
      </c>
      <c r="J255" s="1">
        <f t="shared" si="53"/>
        <v>0.31289478771641227</v>
      </c>
      <c r="K255" s="1">
        <f t="shared" si="54"/>
        <v>0.19240212078386287</v>
      </c>
      <c r="L255" s="1">
        <f t="shared" si="55"/>
        <v>0.1907820405899418</v>
      </c>
      <c r="M255" s="1">
        <f t="shared" si="56"/>
        <v>0.41588641659224168</v>
      </c>
      <c r="N255" s="1">
        <f t="shared" si="57"/>
        <v>0.41604811292007421</v>
      </c>
      <c r="O255" s="1">
        <f t="shared" si="58"/>
        <v>0.41500890538391727</v>
      </c>
      <c r="P255" s="1">
        <f t="shared" si="59"/>
        <v>0.41517568312648206</v>
      </c>
      <c r="Q255" s="1">
        <f t="shared" si="60"/>
        <v>6.3076788820760967</v>
      </c>
      <c r="T255">
        <v>0.10653273856344458</v>
      </c>
      <c r="U255">
        <f t="shared" si="67"/>
        <v>9.3867858226929854</v>
      </c>
      <c r="V255" s="15">
        <f t="shared" si="61"/>
        <v>9.0213938369252247E-2</v>
      </c>
      <c r="W255" s="15">
        <f t="shared" si="62"/>
        <v>9.3794758364356495E-2</v>
      </c>
      <c r="X255" s="15">
        <f t="shared" si="63"/>
        <v>0.1009563983545648</v>
      </c>
      <c r="Y255" s="15">
        <f t="shared" si="64"/>
        <v>0.12868009129507776</v>
      </c>
      <c r="Z255" s="15">
        <f t="shared" si="65"/>
        <v>0.13164213466308475</v>
      </c>
      <c r="AA255" s="15">
        <f t="shared" si="66"/>
        <v>0.13756622139909858</v>
      </c>
      <c r="AC255" s="1"/>
      <c r="AD255" s="1"/>
      <c r="AE255" s="1"/>
    </row>
    <row r="256" spans="1:31">
      <c r="A256">
        <v>845</v>
      </c>
      <c r="B256">
        <f t="shared" si="46"/>
        <v>0.20155923562478059</v>
      </c>
      <c r="C256">
        <v>0.1908316168729941</v>
      </c>
      <c r="D256">
        <f t="shared" si="47"/>
        <v>5.2402218059365868</v>
      </c>
      <c r="E256" s="1">
        <f t="shared" si="48"/>
        <v>0.22476899531305719</v>
      </c>
      <c r="F256" s="1">
        <f t="shared" si="49"/>
        <v>0.26073203456314631</v>
      </c>
      <c r="G256" s="1">
        <f t="shared" si="50"/>
        <v>8.0916838312700592E-2</v>
      </c>
      <c r="H256" s="1">
        <f t="shared" si="51"/>
        <v>7.8408966509102007E-2</v>
      </c>
      <c r="I256" s="1">
        <f t="shared" si="52"/>
        <v>0.28816388239992857</v>
      </c>
      <c r="J256" s="1">
        <f t="shared" si="53"/>
        <v>0.31219301979046615</v>
      </c>
      <c r="K256" s="1">
        <f t="shared" si="54"/>
        <v>0.19197059669796951</v>
      </c>
      <c r="L256" s="1">
        <f t="shared" si="55"/>
        <v>0.19035415005871981</v>
      </c>
      <c r="M256" s="1">
        <f t="shared" si="56"/>
        <v>0.41495365657367078</v>
      </c>
      <c r="N256" s="1">
        <f t="shared" si="57"/>
        <v>0.41511499024510551</v>
      </c>
      <c r="O256" s="1">
        <f t="shared" si="58"/>
        <v>0.41407811346850704</v>
      </c>
      <c r="P256" s="1">
        <f t="shared" si="59"/>
        <v>0.41424451715795529</v>
      </c>
      <c r="Q256" s="1">
        <f t="shared" si="60"/>
        <v>6.2935318687656014</v>
      </c>
      <c r="T256">
        <v>0.13490515016010574</v>
      </c>
      <c r="U256">
        <f t="shared" si="67"/>
        <v>7.4126154473213051</v>
      </c>
      <c r="V256" s="15">
        <f t="shared" si="61"/>
        <v>8.6355793698507585E-2</v>
      </c>
      <c r="W256" s="15">
        <f t="shared" si="62"/>
        <v>9.0161485625655111E-2</v>
      </c>
      <c r="X256" s="15">
        <f t="shared" si="63"/>
        <v>9.777286947995005E-2</v>
      </c>
      <c r="Y256" s="15">
        <f t="shared" si="64"/>
        <v>0.12297352017790815</v>
      </c>
      <c r="Z256" s="15">
        <f t="shared" si="65"/>
        <v>0.12617051077029801</v>
      </c>
      <c r="AA256" s="15">
        <f t="shared" si="66"/>
        <v>0.13256449195507766</v>
      </c>
      <c r="AC256" s="1"/>
      <c r="AD256" s="1"/>
      <c r="AE256" s="1"/>
    </row>
    <row r="257" spans="1:31">
      <c r="A257">
        <v>998</v>
      </c>
      <c r="B257">
        <f t="shared" si="46"/>
        <v>0.2024681884847751</v>
      </c>
      <c r="C257">
        <v>0.19171452873095596</v>
      </c>
      <c r="D257">
        <f t="shared" si="47"/>
        <v>5.2160887681254327</v>
      </c>
      <c r="E257" s="1">
        <f t="shared" si="48"/>
        <v>0.22452374201917891</v>
      </c>
      <c r="F257" s="1">
        <f t="shared" si="49"/>
        <v>0.26044754074224752</v>
      </c>
      <c r="G257" s="1">
        <f t="shared" si="50"/>
        <v>8.0828547126904404E-2</v>
      </c>
      <c r="H257" s="1">
        <f t="shared" si="51"/>
        <v>7.8323411749740446E-2</v>
      </c>
      <c r="I257" s="1">
        <f t="shared" si="52"/>
        <v>0.28784945673264778</v>
      </c>
      <c r="J257" s="1">
        <f t="shared" si="53"/>
        <v>0.31185237509290553</v>
      </c>
      <c r="K257" s="1">
        <f t="shared" si="54"/>
        <v>0.19176113088128788</v>
      </c>
      <c r="L257" s="1">
        <f t="shared" si="55"/>
        <v>0.19014644800337058</v>
      </c>
      <c r="M257" s="1">
        <f t="shared" si="56"/>
        <v>0.41450088615958502</v>
      </c>
      <c r="N257" s="1">
        <f t="shared" si="57"/>
        <v>0.41466204379422128</v>
      </c>
      <c r="O257" s="1">
        <f t="shared" si="58"/>
        <v>0.41362629839005455</v>
      </c>
      <c r="P257" s="1">
        <f t="shared" si="59"/>
        <v>0.41379252051063076</v>
      </c>
      <c r="Q257" s="1">
        <f t="shared" si="60"/>
        <v>6.2866647765370089</v>
      </c>
      <c r="T257">
        <v>0.61624864634126519</v>
      </c>
      <c r="U257">
        <f t="shared" si="67"/>
        <v>1.6227216172191339</v>
      </c>
      <c r="V257" s="15">
        <f t="shared" si="61"/>
        <v>0</v>
      </c>
      <c r="W257" s="15">
        <f t="shared" si="62"/>
        <v>0</v>
      </c>
      <c r="X257" s="15">
        <f t="shared" si="63"/>
        <v>0</v>
      </c>
      <c r="Y257" s="15">
        <f t="shared" si="64"/>
        <v>0</v>
      </c>
      <c r="Z257" s="15">
        <f t="shared" si="65"/>
        <v>0</v>
      </c>
      <c r="AA257" s="15">
        <f t="shared" si="66"/>
        <v>0</v>
      </c>
      <c r="AC257" s="1"/>
      <c r="AD257" s="1"/>
      <c r="AE257" s="1"/>
    </row>
    <row r="258" spans="1:31">
      <c r="A258">
        <v>540</v>
      </c>
      <c r="B258">
        <f t="shared" si="46"/>
        <v>0.20889882309226596</v>
      </c>
      <c r="C258">
        <v>0.19585522796518862</v>
      </c>
      <c r="D258">
        <f t="shared" si="47"/>
        <v>5.1058121367980043</v>
      </c>
      <c r="E258" s="1">
        <f t="shared" si="48"/>
        <v>0.22337354778744761</v>
      </c>
      <c r="F258" s="1">
        <f t="shared" si="49"/>
        <v>0.25911331543343918</v>
      </c>
      <c r="G258" s="1">
        <f t="shared" si="50"/>
        <v>8.0414477203481133E-2</v>
      </c>
      <c r="H258" s="1">
        <f t="shared" si="51"/>
        <v>7.7922175178525746E-2</v>
      </c>
      <c r="I258" s="1">
        <f t="shared" si="52"/>
        <v>0.28637485639967902</v>
      </c>
      <c r="J258" s="1">
        <f t="shared" si="53"/>
        <v>0.31025481218148332</v>
      </c>
      <c r="K258" s="1">
        <f t="shared" si="54"/>
        <v>0.19077877353846803</v>
      </c>
      <c r="L258" s="1">
        <f t="shared" si="55"/>
        <v>0.18917236238680807</v>
      </c>
      <c r="M258" s="1">
        <f t="shared" si="56"/>
        <v>0.41237747362414123</v>
      </c>
      <c r="N258" s="1">
        <f t="shared" si="57"/>
        <v>0.41253780567757131</v>
      </c>
      <c r="O258" s="1">
        <f t="shared" si="58"/>
        <v>0.41150736620844153</v>
      </c>
      <c r="P258" s="1">
        <f t="shared" si="59"/>
        <v>0.41167273680337263</v>
      </c>
      <c r="Q258" s="1">
        <f t="shared" si="60"/>
        <v>6.2544593380485329</v>
      </c>
      <c r="T258">
        <v>0.7149156061134001</v>
      </c>
      <c r="U258">
        <f t="shared" si="67"/>
        <v>1.3987664997781286</v>
      </c>
      <c r="V258" s="15">
        <f t="shared" si="61"/>
        <v>0</v>
      </c>
      <c r="W258" s="15">
        <f t="shared" si="62"/>
        <v>0</v>
      </c>
      <c r="X258" s="15">
        <f t="shared" si="63"/>
        <v>0</v>
      </c>
      <c r="Y258" s="15">
        <f t="shared" si="64"/>
        <v>0</v>
      </c>
      <c r="Z258" s="15">
        <f t="shared" si="65"/>
        <v>0</v>
      </c>
      <c r="AA258" s="15">
        <f t="shared" si="66"/>
        <v>0</v>
      </c>
      <c r="AC258" s="1"/>
      <c r="AD258" s="1"/>
      <c r="AE258" s="1"/>
    </row>
    <row r="259" spans="1:31">
      <c r="A259">
        <v>656</v>
      </c>
      <c r="B259">
        <f t="shared" si="46"/>
        <v>0.20914524637372611</v>
      </c>
      <c r="C259">
        <v>0.19744020205216561</v>
      </c>
      <c r="D259">
        <f t="shared" si="47"/>
        <v>5.0648246385798892</v>
      </c>
      <c r="E259" s="1">
        <f t="shared" si="48"/>
        <v>0.22293327720773176</v>
      </c>
      <c r="F259" s="1">
        <f t="shared" si="49"/>
        <v>0.25860260156096881</v>
      </c>
      <c r="G259" s="1">
        <f t="shared" si="50"/>
        <v>8.0255979794783439E-2</v>
      </c>
      <c r="H259" s="1">
        <f t="shared" si="51"/>
        <v>7.7768590111814029E-2</v>
      </c>
      <c r="I259" s="1">
        <f t="shared" si="52"/>
        <v>0.28581040986922812</v>
      </c>
      <c r="J259" s="1">
        <f t="shared" si="53"/>
        <v>0.30964329811738855</v>
      </c>
      <c r="K259" s="1">
        <f t="shared" si="54"/>
        <v>0.19040274745097813</v>
      </c>
      <c r="L259" s="1">
        <f t="shared" si="55"/>
        <v>0.18879950254516958</v>
      </c>
      <c r="M259" s="1">
        <f t="shared" si="56"/>
        <v>0.41156467519222034</v>
      </c>
      <c r="N259" s="1">
        <f t="shared" si="57"/>
        <v>0.4117246912302277</v>
      </c>
      <c r="O259" s="1">
        <f t="shared" si="58"/>
        <v>0.41069628276336717</v>
      </c>
      <c r="P259" s="1">
        <f t="shared" si="59"/>
        <v>0.41086132741188064</v>
      </c>
      <c r="Q259" s="1">
        <f t="shared" si="60"/>
        <v>6.2421317618164895</v>
      </c>
      <c r="T259">
        <v>0.34273407759252461</v>
      </c>
      <c r="U259">
        <f t="shared" si="67"/>
        <v>2.917713951948766</v>
      </c>
      <c r="V259" s="15">
        <f t="shared" si="61"/>
        <v>6.8166590877237004E-2</v>
      </c>
      <c r="W259" s="15">
        <f t="shared" si="62"/>
        <v>7.2860295753143692E-2</v>
      </c>
      <c r="X259" s="15">
        <f t="shared" si="63"/>
        <v>8.2247705504957011E-2</v>
      </c>
      <c r="Y259" s="15">
        <f t="shared" si="64"/>
        <v>9.6061097437375495E-2</v>
      </c>
      <c r="Z259" s="15">
        <f t="shared" si="65"/>
        <v>0.10016890855826768</v>
      </c>
      <c r="AA259" s="15">
        <f t="shared" si="66"/>
        <v>0.1083845308000521</v>
      </c>
      <c r="AC259" s="1"/>
      <c r="AD259" s="1"/>
      <c r="AE259" s="1"/>
    </row>
    <row r="260" spans="1:31">
      <c r="A260">
        <v>121</v>
      </c>
      <c r="B260">
        <f t="shared" si="46"/>
        <v>0.20975333899510909</v>
      </c>
      <c r="C260">
        <v>0.19831757068757272</v>
      </c>
      <c r="D260">
        <f t="shared" si="47"/>
        <v>5.0424175555043922</v>
      </c>
      <c r="E260" s="1">
        <f t="shared" si="48"/>
        <v>0.22268956369789647</v>
      </c>
      <c r="F260" s="1">
        <f t="shared" si="49"/>
        <v>0.25831989388955989</v>
      </c>
      <c r="G260" s="1">
        <f t="shared" si="50"/>
        <v>8.0168242931242722E-2</v>
      </c>
      <c r="H260" s="1">
        <f t="shared" si="51"/>
        <v>7.7683572494487069E-2</v>
      </c>
      <c r="I260" s="1">
        <f t="shared" si="52"/>
        <v>0.28549795827380398</v>
      </c>
      <c r="J260" s="1">
        <f t="shared" si="53"/>
        <v>0.30930479210372219</v>
      </c>
      <c r="K260" s="1">
        <f t="shared" si="54"/>
        <v>0.19019459673232017</v>
      </c>
      <c r="L260" s="1">
        <f t="shared" si="55"/>
        <v>0.18859310451434727</v>
      </c>
      <c r="M260" s="1">
        <f t="shared" si="56"/>
        <v>0.41111474742561838</v>
      </c>
      <c r="N260" s="1">
        <f t="shared" si="57"/>
        <v>0.41127458853204651</v>
      </c>
      <c r="O260" s="1">
        <f t="shared" si="58"/>
        <v>0.41024730433447476</v>
      </c>
      <c r="P260" s="1">
        <f t="shared" si="59"/>
        <v>0.41041216855406759</v>
      </c>
      <c r="Q260" s="1">
        <f t="shared" si="60"/>
        <v>6.235307783541101</v>
      </c>
      <c r="T260">
        <v>0.43987801155471118</v>
      </c>
      <c r="U260">
        <f t="shared" si="67"/>
        <v>2.273357553076103</v>
      </c>
      <c r="V260" s="15">
        <f t="shared" si="61"/>
        <v>6.1811574495562564E-2</v>
      </c>
      <c r="W260" s="15">
        <f t="shared" si="62"/>
        <v>6.6758520900215973E-2</v>
      </c>
      <c r="X260" s="15">
        <f t="shared" si="63"/>
        <v>7.6652413709522665E-2</v>
      </c>
      <c r="Y260" s="15">
        <f t="shared" si="64"/>
        <v>8.6655405307438191E-2</v>
      </c>
      <c r="Z260" s="15">
        <f t="shared" si="65"/>
        <v>9.1016248216653731E-2</v>
      </c>
      <c r="AA260" s="15">
        <f t="shared" si="66"/>
        <v>9.9737934035084783E-2</v>
      </c>
      <c r="AC260" s="1"/>
      <c r="AD260" s="1"/>
      <c r="AE260" s="1"/>
    </row>
    <row r="261" spans="1:31">
      <c r="A261">
        <v>127</v>
      </c>
      <c r="B261">
        <f t="shared" si="46"/>
        <v>0.21018177760993556</v>
      </c>
      <c r="C261">
        <v>0.19948835864424308</v>
      </c>
      <c r="D261">
        <f t="shared" si="47"/>
        <v>5.0128238399281573</v>
      </c>
      <c r="E261" s="1">
        <f t="shared" si="48"/>
        <v>0.22236434482104359</v>
      </c>
      <c r="F261" s="1">
        <f t="shared" si="49"/>
        <v>0.25794263999241057</v>
      </c>
      <c r="G261" s="1">
        <f t="shared" si="50"/>
        <v>8.0051164135575698E-2</v>
      </c>
      <c r="H261" s="1">
        <f t="shared" si="51"/>
        <v>7.7570122345422834E-2</v>
      </c>
      <c r="I261" s="1">
        <f t="shared" si="52"/>
        <v>0.28508101316065282</v>
      </c>
      <c r="J261" s="1">
        <f t="shared" si="53"/>
        <v>0.30885307916566263</v>
      </c>
      <c r="K261" s="1">
        <f t="shared" si="54"/>
        <v>0.18991683394853437</v>
      </c>
      <c r="L261" s="1">
        <f t="shared" si="55"/>
        <v>0.18831768057164486</v>
      </c>
      <c r="M261" s="1">
        <f t="shared" si="56"/>
        <v>0.41051434983987073</v>
      </c>
      <c r="N261" s="1">
        <f t="shared" si="57"/>
        <v>0.41067395751216645</v>
      </c>
      <c r="O261" s="1">
        <f t="shared" si="58"/>
        <v>0.40964817357445144</v>
      </c>
      <c r="P261" s="1">
        <f t="shared" si="59"/>
        <v>0.40981279702408885</v>
      </c>
      <c r="Q261" s="1">
        <f t="shared" si="60"/>
        <v>6.2262016549892207</v>
      </c>
      <c r="T261">
        <v>0.91660839291784568</v>
      </c>
      <c r="U261">
        <f t="shared" si="67"/>
        <v>1.0909784458951912</v>
      </c>
      <c r="V261" s="15">
        <f t="shared" si="61"/>
        <v>0</v>
      </c>
      <c r="W261" s="15">
        <f t="shared" si="62"/>
        <v>0</v>
      </c>
      <c r="X261" s="15">
        <f t="shared" si="63"/>
        <v>0</v>
      </c>
      <c r="Y261" s="15">
        <f t="shared" si="64"/>
        <v>0</v>
      </c>
      <c r="Z261" s="15">
        <f t="shared" si="65"/>
        <v>0</v>
      </c>
      <c r="AA261" s="15">
        <f t="shared" si="66"/>
        <v>0</v>
      </c>
      <c r="AC261" s="1"/>
      <c r="AD261" s="1"/>
      <c r="AE261" s="1"/>
    </row>
    <row r="262" spans="1:31">
      <c r="A262">
        <v>162</v>
      </c>
      <c r="B262">
        <f t="shared" si="46"/>
        <v>0.21061563905154571</v>
      </c>
      <c r="C262">
        <v>0.19981549143702915</v>
      </c>
      <c r="D262">
        <f t="shared" si="47"/>
        <v>5.0046169734299353</v>
      </c>
      <c r="E262" s="1">
        <f t="shared" si="48"/>
        <v>0.22227347460082525</v>
      </c>
      <c r="F262" s="1">
        <f t="shared" si="49"/>
        <v>0.25783723053695728</v>
      </c>
      <c r="G262" s="1">
        <f t="shared" si="50"/>
        <v>8.001845085629708E-2</v>
      </c>
      <c r="H262" s="1">
        <f t="shared" si="51"/>
        <v>7.7538422955371944E-2</v>
      </c>
      <c r="I262" s="1">
        <f t="shared" si="52"/>
        <v>0.28496451348321206</v>
      </c>
      <c r="J262" s="1">
        <f t="shared" si="53"/>
        <v>0.30872686492326018</v>
      </c>
      <c r="K262" s="1">
        <f t="shared" si="54"/>
        <v>0.18983922355403535</v>
      </c>
      <c r="L262" s="1">
        <f t="shared" si="55"/>
        <v>0.18824072367858574</v>
      </c>
      <c r="M262" s="1">
        <f t="shared" si="56"/>
        <v>0.41034659124798512</v>
      </c>
      <c r="N262" s="1">
        <f t="shared" si="57"/>
        <v>0.41050613369586575</v>
      </c>
      <c r="O262" s="1">
        <f t="shared" si="58"/>
        <v>0.40948076894951163</v>
      </c>
      <c r="P262" s="1">
        <f t="shared" si="59"/>
        <v>0.40964532512501323</v>
      </c>
      <c r="Q262" s="1">
        <f t="shared" si="60"/>
        <v>6.223657288823107</v>
      </c>
      <c r="T262">
        <v>0.12963202338667978</v>
      </c>
      <c r="U262">
        <f t="shared" si="67"/>
        <v>7.714143263945644</v>
      </c>
      <c r="V262" s="15">
        <f t="shared" si="61"/>
        <v>8.7072845398175183E-2</v>
      </c>
      <c r="W262" s="15">
        <f t="shared" si="62"/>
        <v>9.0836743972600123E-2</v>
      </c>
      <c r="X262" s="15">
        <f t="shared" si="63"/>
        <v>9.8364541121449892E-2</v>
      </c>
      <c r="Y262" s="15">
        <f t="shared" si="64"/>
        <v>0.12403410936469224</v>
      </c>
      <c r="Z262" s="15">
        <f t="shared" si="65"/>
        <v>0.12718743407076805</v>
      </c>
      <c r="AA262" s="15">
        <f t="shared" si="66"/>
        <v>0.13349408348291955</v>
      </c>
      <c r="AC262" s="1"/>
      <c r="AD262" s="1"/>
      <c r="AE262" s="1"/>
    </row>
    <row r="263" spans="1:31">
      <c r="A263">
        <v>378</v>
      </c>
      <c r="B263">
        <f t="shared" si="46"/>
        <v>0.21128359090507251</v>
      </c>
      <c r="C263">
        <v>0.20027462831062548</v>
      </c>
      <c r="D263">
        <f t="shared" si="47"/>
        <v>4.9931437068953253</v>
      </c>
      <c r="E263" s="1">
        <f t="shared" si="48"/>
        <v>0.22214593658038181</v>
      </c>
      <c r="F263" s="1">
        <f t="shared" si="49"/>
        <v>0.2576892864332429</v>
      </c>
      <c r="G263" s="1">
        <f t="shared" si="50"/>
        <v>7.9972537168937458E-2</v>
      </c>
      <c r="H263" s="1">
        <f t="shared" si="51"/>
        <v>7.7493932280135985E-2</v>
      </c>
      <c r="I263" s="1">
        <f t="shared" si="52"/>
        <v>0.2848010040495671</v>
      </c>
      <c r="J263" s="1">
        <f t="shared" si="53"/>
        <v>0.30854972091954708</v>
      </c>
      <c r="K263" s="1">
        <f t="shared" si="54"/>
        <v>0.18973029594214608</v>
      </c>
      <c r="L263" s="1">
        <f t="shared" si="55"/>
        <v>0.18813271326795117</v>
      </c>
      <c r="M263" s="1">
        <f t="shared" si="56"/>
        <v>0.41011113898793716</v>
      </c>
      <c r="N263" s="1">
        <f t="shared" si="57"/>
        <v>0.41027058989215509</v>
      </c>
      <c r="O263" s="1">
        <f t="shared" si="58"/>
        <v>0.40924581348856304</v>
      </c>
      <c r="P263" s="1">
        <f t="shared" si="59"/>
        <v>0.40941027524358148</v>
      </c>
      <c r="Q263" s="1">
        <f t="shared" si="60"/>
        <v>6.2200862242506911</v>
      </c>
      <c r="T263">
        <v>0.27369270769584342</v>
      </c>
      <c r="U263">
        <f t="shared" si="67"/>
        <v>3.6537327151270205</v>
      </c>
      <c r="V263" s="15">
        <f t="shared" si="61"/>
        <v>7.2683177953867459E-2</v>
      </c>
      <c r="W263" s="15">
        <f t="shared" si="62"/>
        <v>7.7196901009538091E-2</v>
      </c>
      <c r="X263" s="15">
        <f t="shared" si="63"/>
        <v>8.6224347120879397E-2</v>
      </c>
      <c r="Y263" s="15">
        <f t="shared" si="64"/>
        <v>0.10274583669994311</v>
      </c>
      <c r="Z263" s="15">
        <f t="shared" si="65"/>
        <v>0.10667381506565728</v>
      </c>
      <c r="AA263" s="15">
        <f t="shared" si="66"/>
        <v>0.11452977179708572</v>
      </c>
      <c r="AC263" s="1"/>
      <c r="AD263" s="1"/>
      <c r="AE263" s="1"/>
    </row>
    <row r="264" spans="1:31">
      <c r="A264">
        <v>149</v>
      </c>
      <c r="B264">
        <f t="shared" si="46"/>
        <v>0.21208570364218673</v>
      </c>
      <c r="C264">
        <v>0.20065312151973502</v>
      </c>
      <c r="D264">
        <f t="shared" si="47"/>
        <v>4.9837251094129931</v>
      </c>
      <c r="E264" s="1">
        <f t="shared" si="48"/>
        <v>0.22204079957785139</v>
      </c>
      <c r="F264" s="1">
        <f t="shared" si="49"/>
        <v>0.25756732751030759</v>
      </c>
      <c r="G264" s="1">
        <f t="shared" si="50"/>
        <v>7.9934687848026501E-2</v>
      </c>
      <c r="H264" s="1">
        <f t="shared" si="51"/>
        <v>7.7457256030821459E-2</v>
      </c>
      <c r="I264" s="1">
        <f t="shared" si="52"/>
        <v>0.28466621372054124</v>
      </c>
      <c r="J264" s="1">
        <f t="shared" si="53"/>
        <v>0.30840369082199748</v>
      </c>
      <c r="K264" s="1">
        <f t="shared" si="54"/>
        <v>0.18964050058099011</v>
      </c>
      <c r="L264" s="1">
        <f t="shared" si="55"/>
        <v>0.18804367400909555</v>
      </c>
      <c r="M264" s="1">
        <f t="shared" si="56"/>
        <v>0.40991704200592044</v>
      </c>
      <c r="N264" s="1">
        <f t="shared" si="57"/>
        <v>0.41007641744537687</v>
      </c>
      <c r="O264" s="1">
        <f t="shared" si="58"/>
        <v>0.40905212604691704</v>
      </c>
      <c r="P264" s="1">
        <f t="shared" si="59"/>
        <v>0.40921650996564363</v>
      </c>
      <c r="Q264" s="1">
        <f t="shared" si="60"/>
        <v>6.2171423881798393</v>
      </c>
      <c r="T264">
        <v>0.24917418642184008</v>
      </c>
      <c r="U264">
        <f t="shared" si="67"/>
        <v>4.013256807858288</v>
      </c>
      <c r="V264" s="15">
        <f t="shared" si="61"/>
        <v>7.428714433648663E-2</v>
      </c>
      <c r="W264" s="15">
        <f t="shared" si="62"/>
        <v>7.8736950814386655E-2</v>
      </c>
      <c r="X264" s="15">
        <f t="shared" si="63"/>
        <v>8.7636563770186748E-2</v>
      </c>
      <c r="Y264" s="15">
        <f t="shared" si="64"/>
        <v>0.10511977455873273</v>
      </c>
      <c r="Z264" s="15">
        <f t="shared" si="65"/>
        <v>0.10898388928384717</v>
      </c>
      <c r="AA264" s="15">
        <f t="shared" si="66"/>
        <v>0.11671211873407616</v>
      </c>
      <c r="AC264" s="1"/>
      <c r="AD264" s="1"/>
      <c r="AE264" s="1"/>
    </row>
    <row r="265" spans="1:31">
      <c r="A265">
        <v>107</v>
      </c>
      <c r="B265">
        <f t="shared" si="46"/>
        <v>0.21217881812504555</v>
      </c>
      <c r="C265">
        <v>0.20069705948231942</v>
      </c>
      <c r="D265">
        <f t="shared" si="47"/>
        <v>4.9826340384827406</v>
      </c>
      <c r="E265" s="1">
        <f t="shared" si="48"/>
        <v>0.22202859458824462</v>
      </c>
      <c r="F265" s="1">
        <f t="shared" si="49"/>
        <v>0.25755316972236375</v>
      </c>
      <c r="G265" s="1">
        <f t="shared" si="50"/>
        <v>7.9930294051768061E-2</v>
      </c>
      <c r="H265" s="1">
        <f t="shared" si="51"/>
        <v>7.7452998412371951E-2</v>
      </c>
      <c r="I265" s="1">
        <f t="shared" si="52"/>
        <v>0.28465056637921271</v>
      </c>
      <c r="J265" s="1">
        <f t="shared" si="53"/>
        <v>0.30838673869496347</v>
      </c>
      <c r="K265" s="1">
        <f t="shared" si="54"/>
        <v>0.18963007654926703</v>
      </c>
      <c r="L265" s="1">
        <f t="shared" si="55"/>
        <v>0.18803333775066347</v>
      </c>
      <c r="M265" s="1">
        <f t="shared" si="56"/>
        <v>0.40989450996114835</v>
      </c>
      <c r="N265" s="1">
        <f t="shared" si="57"/>
        <v>0.41005387664016263</v>
      </c>
      <c r="O265" s="1">
        <f t="shared" si="58"/>
        <v>0.40902964154426469</v>
      </c>
      <c r="P265" s="1">
        <f t="shared" si="59"/>
        <v>0.4091940164272464</v>
      </c>
      <c r="Q265" s="1">
        <f t="shared" si="60"/>
        <v>6.2168006484708496</v>
      </c>
      <c r="T265">
        <v>0.92106662899892278</v>
      </c>
      <c r="U265">
        <f t="shared" si="67"/>
        <v>1.0856977861491599</v>
      </c>
      <c r="V265" s="15">
        <f t="shared" si="61"/>
        <v>0</v>
      </c>
      <c r="W265" s="15">
        <f t="shared" si="62"/>
        <v>0</v>
      </c>
      <c r="X265" s="15">
        <f t="shared" si="63"/>
        <v>0</v>
      </c>
      <c r="Y265" s="15">
        <f t="shared" si="64"/>
        <v>0</v>
      </c>
      <c r="Z265" s="15">
        <f t="shared" si="65"/>
        <v>0</v>
      </c>
      <c r="AA265" s="15">
        <f t="shared" si="66"/>
        <v>0</v>
      </c>
      <c r="AC265" s="1"/>
      <c r="AD265" s="1"/>
      <c r="AE265" s="1"/>
    </row>
    <row r="266" spans="1:31">
      <c r="A266">
        <v>290</v>
      </c>
      <c r="B266">
        <f t="shared" si="46"/>
        <v>0.21340312671499162</v>
      </c>
      <c r="C266">
        <v>0.20204255882742017</v>
      </c>
      <c r="D266">
        <f t="shared" si="47"/>
        <v>4.9494522629471129</v>
      </c>
      <c r="E266" s="1">
        <f t="shared" si="48"/>
        <v>0.22165484477016106</v>
      </c>
      <c r="F266" s="1">
        <f t="shared" si="49"/>
        <v>0.25711961993338683</v>
      </c>
      <c r="G266" s="1">
        <f t="shared" si="50"/>
        <v>7.9795744117257983E-2</v>
      </c>
      <c r="H266" s="1">
        <f t="shared" si="51"/>
        <v>7.7322618610975946E-2</v>
      </c>
      <c r="I266" s="1">
        <f t="shared" si="52"/>
        <v>0.28417140243369071</v>
      </c>
      <c r="J266" s="1">
        <f t="shared" si="53"/>
        <v>0.30786761867936202</v>
      </c>
      <c r="K266" s="1">
        <f t="shared" si="54"/>
        <v>0.18931086448225876</v>
      </c>
      <c r="L266" s="1">
        <f t="shared" si="55"/>
        <v>0.18771681353940914</v>
      </c>
      <c r="M266" s="1">
        <f t="shared" si="56"/>
        <v>0.40920451776074945</v>
      </c>
      <c r="N266" s="1">
        <f t="shared" si="57"/>
        <v>0.40936361617131206</v>
      </c>
      <c r="O266" s="1">
        <f t="shared" si="58"/>
        <v>0.40834110521226002</v>
      </c>
      <c r="P266" s="1">
        <f t="shared" si="59"/>
        <v>0.40850520339627538</v>
      </c>
      <c r="Q266" s="1">
        <f t="shared" si="60"/>
        <v>6.2063356535645102</v>
      </c>
      <c r="T266">
        <v>0.68636402137286201</v>
      </c>
      <c r="U266">
        <f t="shared" si="67"/>
        <v>1.4569528251201234</v>
      </c>
      <c r="V266" s="15">
        <f t="shared" si="61"/>
        <v>0</v>
      </c>
      <c r="W266" s="15">
        <f t="shared" si="62"/>
        <v>0</v>
      </c>
      <c r="X266" s="15">
        <f t="shared" si="63"/>
        <v>0</v>
      </c>
      <c r="Y266" s="15">
        <f t="shared" si="64"/>
        <v>0</v>
      </c>
      <c r="Z266" s="15">
        <f t="shared" si="65"/>
        <v>0</v>
      </c>
      <c r="AA266" s="15">
        <f t="shared" si="66"/>
        <v>0</v>
      </c>
      <c r="AC266" s="1"/>
      <c r="AD266" s="1"/>
      <c r="AE266" s="1"/>
    </row>
    <row r="267" spans="1:31">
      <c r="A267">
        <v>717</v>
      </c>
      <c r="B267">
        <f t="shared" ref="B267:B330" si="68">PERCENTILE($C$75:$C$1074,$C267)</f>
        <v>0.21357499952470249</v>
      </c>
      <c r="C267">
        <v>0.20285667148071751</v>
      </c>
      <c r="D267">
        <f t="shared" ref="D267:D330" si="69">1/C267</f>
        <v>4.9295889196084675</v>
      </c>
      <c r="E267" s="1">
        <f t="shared" ref="E267:E330" si="70">IF($C267&lt;=0.005,$F$14,IF($C267&lt;=0.01,$F$14+($C267-0.005)*SLOPE($E$14:$F$14,$E$11:$F$11),IF($C267&lt;=0.04,$E$14+($C267-0.01)*SLOPE($D$14:$E$14,$D$11:$E$11),IF($C267&lt;=0.1,$D$14+($C267-0.04)*SLOPE($C$14:$D$14,$C$11:$D$11),IF($C267&lt;=1,$C$14+($C267-0.1)*SLOPE($B$14:$C$14,$B$11:$C$11),)))))</f>
        <v>0.22142870236646736</v>
      </c>
      <c r="F267" s="1">
        <f t="shared" ref="F267:F330" si="71">IF($C267&lt;=0.005,$F$27,IF($C267&lt;=0.01,$F$27+($C267-0.005)*SLOPE($E$27:$F$27,$E$24:$F$24),IF($C267&lt;=0.04,$E$27+($C267-0.01)*SLOPE($D$27:$E$27,$D$24:$E$24),IF($C267&lt;=0.1,$D$27+($C267-0.04)*SLOPE($C$27:$D$27,$C$24:$D$24),IF($C267&lt;=1,$C$27+($C267-0.1)*SLOPE($B$27:$C$27,$B$24:$C$24),)))))</f>
        <v>0.2568572947451021</v>
      </c>
      <c r="G267" s="1">
        <f t="shared" ref="G267:G330" si="72">IF($C267&lt;=0.005,$F$15,IF($C267&lt;=0.01,$F$15+($C267-0.005)*SLOPE($E$15:$F$15,$E$11:$F$11),IF($C267&lt;=0.04,$E$15+($C267-0.01)*SLOPE($D$15:$E$15,$D$11:$E$11),IF($C267&lt;=0.1,$D$15+($C267-0.04)*SLOPE($C$15:$D$15,$C$11:$D$11),IF($C267&lt;=1,$C$15+($C267-0.1)*SLOPE($B$15:$C$15,$B$11:$C$11),)))))</f>
        <v>7.9714332851928249E-2</v>
      </c>
      <c r="H267" s="1">
        <f t="shared" ref="H267:H330" si="73">IF($C267&lt;=0.005,$F$28,IF($C267&lt;=0.01,$F$28+($C267-0.005)*SLOPE($E$28:$F$28,$E$24:$F$24),IF($C267&lt;=0.04,$E$28+($C267-0.01)*SLOPE($D$28:$E$28,$D$24:$E$24),IF($C267&lt;=0.1,$D$28+($C267-0.04)*SLOPE($C$28:$D$28,$C$24:$D$24),IF($C267&lt;=1,$C$28+($C267-0.1)*SLOPE($B$28:$C$28,$B$24:$C$24),)))))</f>
        <v>7.724373054132555E-2</v>
      </c>
      <c r="I267" s="1">
        <f t="shared" ref="I267:I330" si="74">IF($C267&lt;=0.005,$F$16,IF($C267&lt;=0.01,$F$16+($C267-0.005)*SLOPE($E$16:$F$16,$E$11:$F$11),IF($C267&lt;=0.04,$E$16+($C267-0.01)*SLOPE($D$16:$E$16,$D$11:$E$11),IF($C267&lt;=0.1,$D$16+($C267-0.04)*SLOPE($C$16:$D$16,$C$11:$D$11),IF($C267&lt;=1,$C$16+($C267-0.1)*SLOPE($B$16:$C$16,$B$11:$C$11),)))))</f>
        <v>0.28388147778045786</v>
      </c>
      <c r="J267" s="1">
        <f t="shared" ref="J267:J330" si="75">IF($C267&lt;=0.005,$F$29,IF($C267&lt;=0.01,$F$29+($C267-0.005)*SLOPE($E$29:$F$29,$E$24:$F$24),IF($C267&lt;=0.04,$E$29+($C267-0.01)*SLOPE($D$29:$E$29,$D$24:$E$24),IF($C267&lt;=0.1,$D$29+($C267-0.04)*SLOPE($C$29:$D$29,$C$24:$D$24),IF($C267&lt;=1,$C$29+($C267-0.1)*SLOPE($B$29:$C$29,$B$24:$C$24),)))))</f>
        <v>0.3075535180632451</v>
      </c>
      <c r="K267" s="1">
        <f t="shared" ref="K267:K330" si="76">IF($C267&lt;=0.005,$F$17,IF($C267&lt;=0.01,$F$17+($C267-0.005)*SLOPE($E$17:$F$17,$E$11:$F$11),IF($C267&lt;=0.04,$E$17+($C267-0.01)*SLOPE($D$17:$E$17,$D$11:$E$11),IF($C267&lt;=0.1,$D$17+($C267-0.04)*SLOPE($C$17:$D$17,$C$11:$D$11),IF($C267&lt;=1,$C$17+($C267-0.1)*SLOPE($B$17:$C$17,$B$11:$C$11),)))))</f>
        <v>0.18911772088558373</v>
      </c>
      <c r="L267" s="1">
        <f t="shared" ref="L267:L330" si="77">IF($C267&lt;=0.005,$F$30,IF($C267&lt;=0.01,$F$30+($C267-0.005)*SLOPE($E$30:$F$30,$E$24:$F$24),IF($C267&lt;=0.04,$E$30+($C267-0.01)*SLOPE($D$30:$E$30,$D$24:$E$24),IF($C267&lt;=0.1,$D$30+($C267-0.04)*SLOPE($C$30:$D$30,$C$24:$D$24),IF($C267&lt;=1,$C$30+($C267-0.1)*SLOPE($B$30:$C$30,$B$24:$C$24),)))))</f>
        <v>0.18752529626636444</v>
      </c>
      <c r="M267" s="1">
        <f t="shared" ref="M267:M330" si="78">IF($C267&lt;=0.005,$F$18,IF($C267&lt;=0.01,$F$18+($C267-0.005)*SLOPE($E$18:$F$18,$E$11:$F$11),IF($C267&lt;=0.04,$E$18+($C267-0.01)*SLOPE($D$18:$E$18,$D$11:$E$11),IF($C267&lt;=0.1,$D$18+($C267-0.04)*SLOPE($C$18:$D$18,$C$11:$D$11),IF($C267&lt;=1,$C$18+($C267-0.1)*SLOPE($B$18:$C$18,$B$11:$C$11),)))))</f>
        <v>0.40878702860843835</v>
      </c>
      <c r="N267" s="1">
        <f t="shared" ref="N267:N330" si="79">IF($C267&lt;=0.005,$F$31,IF($C267&lt;=0.01,$F$31+($C267-0.005)*SLOPE($E$31:$F$31,$E$24:$F$24),IF($C267&lt;=0.04,$E$31+($C267-0.01)*SLOPE($D$31:$E$31,$D$24:$E$24),IF($C267&lt;=0.1,$D$31+($C267-0.04)*SLOPE($C$31:$D$31,$C$24:$D$24),IF($C267&lt;=1,$C$31+($C267-0.1)*SLOPE($B$31:$C$31,$B$24:$C$24),)))))</f>
        <v>0.40894596469953071</v>
      </c>
      <c r="O267" s="1">
        <f t="shared" ref="O267:O330" si="80">IF($C267&lt;=0.005,$F$19,IF($C267&lt;=0.01,$F$19+($C267-0.005)*SLOPE($E$19:$F$19,$E$11:$F$11),IF($C267&lt;=0.04,$E$19+($C267-0.01)*SLOPE($D$19:$E$19,$D$11:$E$11),IF($C267&lt;=0.1,$D$19+($C267-0.04)*SLOPE($C$19:$D$19,$C$11:$D$11),IF($C267&lt;=1,$C$19+($C267-0.1)*SLOPE($B$19:$C$19,$B$11:$C$11),)))))</f>
        <v>0.40792449695289446</v>
      </c>
      <c r="P267" s="1">
        <f t="shared" ref="P267:P330" si="81">IF($C267&lt;=0.005,$F$32,IF($C267&lt;=0.01,$F$32+($C267-0.005)*SLOPE($E$32:$F$32,$E$24:$F$24),IF($C267&lt;=0.04,$E$32+($C267-0.01)*SLOPE($D$32:$E$32,$D$24:$E$24),IF($C267&lt;=0.1,$D$32+($C267-0.04)*SLOPE($C$32:$D$32,$C$24:$D$24),IF($C267&lt;=1,$C$32+($C267-0.1)*SLOPE($B$32:$C$32,$B$24:$C$24),)))))</f>
        <v>0.40808842771644216</v>
      </c>
      <c r="Q267" s="1">
        <f t="shared" ref="Q267:Q330" si="82">IF($C267&lt;=0.005,$F$20,IF($C267&lt;=0.01,$F$20+($C267-0.005)*SLOPE($E$20:$F$20,$E$11:$F$11),IF($C267&lt;=0.04,$E$20+($C267-0.01)*SLOPE($D$20:$E$20,$D$11:$E$11),IF($C267&lt;=0.1,$D$20+($C267-0.04)*SLOPE($C$20:$D$20,$C$11:$D$11),IF($C267&lt;=1,$C$20+($C267-0.1)*SLOPE($B$20:$C$20,$B$11:$C$11),)))))</f>
        <v>6.200003666261086</v>
      </c>
      <c r="T267">
        <v>0.64125284469245636</v>
      </c>
      <c r="U267">
        <f t="shared" si="67"/>
        <v>1.5594472730637134</v>
      </c>
      <c r="V267" s="15">
        <f t="shared" ref="V267:V330" si="83">IF($T267&lt;=0.05,$F$63,IF($T267&lt;=0.07,$F$63+($T267-0.05)*SLOPE($E$63:$F$63,$E$62:$F$62),IF($T267&lt;=0.1,$E$63+($T267-0.07)*SLOPE($D$63:$E$63,$D$62:$E$62),IF($T267&lt;=0.2,$D$63+($T267-0.1)*SLOPE($C$63:$D$63,$C$62:$D$62),IF($T267&lt;=0.5,$C$63+($T267-0.2)*SLOPE($B$63:$C$63,$B$62:$C$62),)))))</f>
        <v>0</v>
      </c>
      <c r="W267" s="15">
        <f t="shared" ref="W267:W330" si="84">IF($T267&lt;=0.05,$F$64,IF($T267&lt;=0.07,$F$64+($T267-0.05)*SLOPE($E$64:$F$64,$E$62:$F$62),IF($T267&lt;=0.1,$E$64+($T267-0.07)*SLOPE($D$64:$E$64,$D$62:$E$62),IF($T267&lt;=0.2,$D$64+($T267-0.1)*SLOPE($C$64:$D$64,$C$62:$D$62),IF($T267&lt;=0.5,$C$64+($T267-0.2)*SLOPE($B$64:$C$64,$B$62:$C$62),)))))</f>
        <v>0</v>
      </c>
      <c r="X267" s="15">
        <f t="shared" ref="X267:X330" si="85">IF($T267&lt;=0.05,$F$65,IF($T267&lt;=0.07,$F$65+($T267-0.05)*SLOPE($E$65:$F$65,$E$62:$F$62),IF($T267&lt;=0.1,$E$65+($T267-0.07)*SLOPE($D$65:$E$65,$D$62:$E$62),IF($T267&lt;=0.2,$D$65+($T267-0.1)*SLOPE($C$65:$D$65,$C$62:$D$62),IF($T267&lt;=0.5,$C$65+($T267-0.2)*SLOPE($B$65:$C$65,$B$62:$C$62),)))))</f>
        <v>0</v>
      </c>
      <c r="Y267" s="15">
        <f t="shared" ref="Y267:Y330" si="86">IF($T267&lt;=0.05,$F$66,IF($T267&lt;=0.07,$F$66+($T267-0.05)*SLOPE($E$66:$F$66,$E$62:$F$62),IF($T267&lt;=0.1,$E$66+($T267-0.07)*SLOPE($D$66:$E$66,$D$62:$E$62),IF($T267&lt;=0.2,$D$66+($T267-0.1)*SLOPE($C$66:$D$66,$C$62:$D$62),IF($T267&lt;=0.5,$C$66+($T267-0.2)*SLOPE($B$66:$C$66,$B$62:$C$62),)))))</f>
        <v>0</v>
      </c>
      <c r="Z267" s="15">
        <f t="shared" ref="Z267:Z330" si="87">IF($T267&lt;=0.05,$F$67,IF($T267&lt;=0.07,$F$67+($T267-0.05)*SLOPE($E$67:$F$67,$E$62:$F$62),IF($T267&lt;=0.1,$E$67+($T267-0.07)*SLOPE($D$67:$E$67,$D$62:$E$62),IF($T267&lt;=0.2,$D$67+($T267-0.1)*SLOPE($C$67:$D$67,$C$62:$D$62),IF($T267&lt;=0.5,$C$67+($T267-0.2)*SLOPE($B$67:$C$67,$B$62:$C$62),)))))</f>
        <v>0</v>
      </c>
      <c r="AA267" s="15">
        <f t="shared" ref="AA267:AA330" si="88">IF($T267&lt;=0.05,$F$68,IF($T267&lt;=0.07,$F$68+($T267-0.05)*SLOPE($E$68:$F$68,$E$62:$F$62),IF($T267&lt;=0.1,$E$68+($T267-0.07)*SLOPE($D$68:$E$68,$D$62:$E$62),IF($T267&lt;=0.2,$D$68+($T267-0.1)*SLOPE($C$68:$D$68,$C$62:$D$62),IF($T267&lt;=0.5,$C$68+($T267-0.2)*SLOPE($B$68:$C$68,$B$62:$C$62),)))))</f>
        <v>0</v>
      </c>
      <c r="AC267" s="1"/>
      <c r="AD267" s="1"/>
      <c r="AE267" s="1"/>
    </row>
    <row r="268" spans="1:31">
      <c r="A268">
        <v>578</v>
      </c>
      <c r="B268">
        <f t="shared" si="68"/>
        <v>0.21362648710864562</v>
      </c>
      <c r="C268">
        <v>0.20309349409405919</v>
      </c>
      <c r="D268">
        <f t="shared" si="69"/>
        <v>4.9238406402957819</v>
      </c>
      <c r="E268" s="1">
        <f t="shared" si="70"/>
        <v>0.22136291830720578</v>
      </c>
      <c r="F268" s="1">
        <f t="shared" si="71"/>
        <v>0.25678098523635867</v>
      </c>
      <c r="G268" s="1">
        <f t="shared" si="72"/>
        <v>7.9690650590594075E-2</v>
      </c>
      <c r="H268" s="1">
        <f t="shared" si="73"/>
        <v>7.7220782269068117E-2</v>
      </c>
      <c r="I268" s="1">
        <f t="shared" si="74"/>
        <v>0.28379713968084391</v>
      </c>
      <c r="J268" s="1">
        <f t="shared" si="75"/>
        <v>0.30746214725791521</v>
      </c>
      <c r="K268" s="1">
        <f t="shared" si="76"/>
        <v>0.18906153606751278</v>
      </c>
      <c r="L268" s="1">
        <f t="shared" si="77"/>
        <v>0.18746958454032897</v>
      </c>
      <c r="M268" s="1">
        <f t="shared" si="78"/>
        <v>0.40866558242811962</v>
      </c>
      <c r="N268" s="1">
        <f t="shared" si="79"/>
        <v>0.40882447130102784</v>
      </c>
      <c r="O268" s="1">
        <f t="shared" si="80"/>
        <v>0.40780330702134987</v>
      </c>
      <c r="P268" s="1">
        <f t="shared" si="81"/>
        <v>0.40796718908285057</v>
      </c>
      <c r="Q268" s="1">
        <f t="shared" si="82"/>
        <v>6.1981617126017623</v>
      </c>
      <c r="T268">
        <v>0.75877534870892493</v>
      </c>
      <c r="U268">
        <f t="shared" ref="U268:U331" si="89">1/T268</f>
        <v>1.3179131368744712</v>
      </c>
      <c r="V268" s="15">
        <f t="shared" si="83"/>
        <v>0</v>
      </c>
      <c r="W268" s="15">
        <f t="shared" si="84"/>
        <v>0</v>
      </c>
      <c r="X268" s="15">
        <f t="shared" si="85"/>
        <v>0</v>
      </c>
      <c r="Y268" s="15">
        <f t="shared" si="86"/>
        <v>0</v>
      </c>
      <c r="Z268" s="15">
        <f t="shared" si="87"/>
        <v>0</v>
      </c>
      <c r="AA268" s="15">
        <f t="shared" si="88"/>
        <v>0</v>
      </c>
      <c r="AC268" s="1"/>
      <c r="AD268" s="1"/>
      <c r="AE268" s="1"/>
    </row>
    <row r="269" spans="1:31">
      <c r="A269">
        <v>420</v>
      </c>
      <c r="B269">
        <f t="shared" si="68"/>
        <v>0.21801098164595009</v>
      </c>
      <c r="C269">
        <v>0.20862013930307011</v>
      </c>
      <c r="D269">
        <f t="shared" si="69"/>
        <v>4.7934010749904807</v>
      </c>
      <c r="E269" s="1">
        <f t="shared" si="70"/>
        <v>0.21982773908248052</v>
      </c>
      <c r="F269" s="1">
        <f t="shared" si="71"/>
        <v>0.25500017733567737</v>
      </c>
      <c r="G269" s="1">
        <f t="shared" si="72"/>
        <v>7.9137986069692995E-2</v>
      </c>
      <c r="H269" s="1">
        <f t="shared" si="73"/>
        <v>7.668524659054049E-2</v>
      </c>
      <c r="I269" s="1">
        <f t="shared" si="74"/>
        <v>0.28182897140674368</v>
      </c>
      <c r="J269" s="1">
        <f t="shared" si="75"/>
        <v>0.30532985922851397</v>
      </c>
      <c r="K269" s="1">
        <f t="shared" si="76"/>
        <v>0.18775037092483657</v>
      </c>
      <c r="L269" s="1">
        <f t="shared" si="77"/>
        <v>0.1861694597784446</v>
      </c>
      <c r="M269" s="1">
        <f t="shared" si="78"/>
        <v>0.40583143605526945</v>
      </c>
      <c r="N269" s="1">
        <f t="shared" si="79"/>
        <v>0.40598922301418688</v>
      </c>
      <c r="O269" s="1">
        <f t="shared" si="80"/>
        <v>0.40497514063512341</v>
      </c>
      <c r="P269" s="1">
        <f t="shared" si="81"/>
        <v>0.40513788615425272</v>
      </c>
      <c r="Q269" s="1">
        <f t="shared" si="82"/>
        <v>6.1551766943094552</v>
      </c>
      <c r="T269">
        <v>0.30911331280805621</v>
      </c>
      <c r="U269">
        <f t="shared" si="89"/>
        <v>3.2350596320675118</v>
      </c>
      <c r="V269" s="15">
        <f t="shared" si="83"/>
        <v>7.0366012933305772E-2</v>
      </c>
      <c r="W269" s="15">
        <f t="shared" si="84"/>
        <v>7.4972072873245907E-2</v>
      </c>
      <c r="X269" s="15">
        <f t="shared" si="85"/>
        <v>8.4184192753126191E-2</v>
      </c>
      <c r="Y269" s="15">
        <f t="shared" si="86"/>
        <v>9.9316334793305913E-2</v>
      </c>
      <c r="Z269" s="15">
        <f t="shared" si="87"/>
        <v>0.10333657356777115</v>
      </c>
      <c r="AA269" s="15">
        <f t="shared" si="88"/>
        <v>0.11137705111670172</v>
      </c>
      <c r="AC269" s="1"/>
      <c r="AD269" s="1"/>
      <c r="AE269" s="1"/>
    </row>
    <row r="270" spans="1:31">
      <c r="A270">
        <v>219</v>
      </c>
      <c r="B270">
        <f t="shared" si="68"/>
        <v>0.21804209816606579</v>
      </c>
      <c r="C270">
        <v>0.20881559908834002</v>
      </c>
      <c r="D270">
        <f t="shared" si="69"/>
        <v>4.7889142591159928</v>
      </c>
      <c r="E270" s="1">
        <f t="shared" si="70"/>
        <v>0.21977344469768334</v>
      </c>
      <c r="F270" s="1">
        <f t="shared" si="71"/>
        <v>0.25493719584931263</v>
      </c>
      <c r="G270" s="1">
        <f t="shared" si="72"/>
        <v>7.9118440091166004E-2</v>
      </c>
      <c r="H270" s="1">
        <f t="shared" si="73"/>
        <v>7.6666306404447354E-2</v>
      </c>
      <c r="I270" s="1">
        <f t="shared" si="74"/>
        <v>0.28175936358252451</v>
      </c>
      <c r="J270" s="1">
        <f t="shared" si="75"/>
        <v>0.3052544470128572</v>
      </c>
      <c r="K270" s="1">
        <f t="shared" si="76"/>
        <v>0.18770399920247177</v>
      </c>
      <c r="L270" s="1">
        <f t="shared" si="77"/>
        <v>0.18612347851907812</v>
      </c>
      <c r="M270" s="1">
        <f t="shared" si="78"/>
        <v>0.40573120135220625</v>
      </c>
      <c r="N270" s="1">
        <f t="shared" si="79"/>
        <v>0.40588894933994607</v>
      </c>
      <c r="O270" s="1">
        <f t="shared" si="80"/>
        <v>0.40487511742508309</v>
      </c>
      <c r="P270" s="1">
        <f t="shared" si="81"/>
        <v>0.40503782274833955</v>
      </c>
      <c r="Q270" s="1">
        <f t="shared" si="82"/>
        <v>6.1536564515351335</v>
      </c>
      <c r="T270">
        <v>0.44538485847927967</v>
      </c>
      <c r="U270">
        <f t="shared" si="89"/>
        <v>2.2452492063030522</v>
      </c>
      <c r="V270" s="15">
        <f t="shared" si="83"/>
        <v>6.1451324493430382E-2</v>
      </c>
      <c r="W270" s="15">
        <f t="shared" si="84"/>
        <v>6.6412626527682816E-2</v>
      </c>
      <c r="X270" s="15">
        <f t="shared" si="85"/>
        <v>7.633523059618752E-2</v>
      </c>
      <c r="Y270" s="15">
        <f t="shared" si="86"/>
        <v>8.612222011854781E-2</v>
      </c>
      <c r="Z270" s="15">
        <f t="shared" si="87"/>
        <v>9.0497406767701752E-2</v>
      </c>
      <c r="AA270" s="15">
        <f t="shared" si="88"/>
        <v>9.9247780066009594E-2</v>
      </c>
      <c r="AC270" s="1"/>
      <c r="AD270" s="1"/>
      <c r="AE270" s="1"/>
    </row>
    <row r="271" spans="1:31">
      <c r="A271">
        <v>645</v>
      </c>
      <c r="B271">
        <f t="shared" si="68"/>
        <v>0.21806219146401751</v>
      </c>
      <c r="C271">
        <v>0.20894181602032358</v>
      </c>
      <c r="D271">
        <f t="shared" si="69"/>
        <v>4.786021386464502</v>
      </c>
      <c r="E271" s="1">
        <f t="shared" si="70"/>
        <v>0.21973838443879901</v>
      </c>
      <c r="F271" s="1">
        <f t="shared" si="71"/>
        <v>0.2548965259490068</v>
      </c>
      <c r="G271" s="1">
        <f t="shared" si="72"/>
        <v>7.9105818397967639E-2</v>
      </c>
      <c r="H271" s="1">
        <f t="shared" si="73"/>
        <v>7.6654075897918492E-2</v>
      </c>
      <c r="I271" s="1">
        <f t="shared" si="74"/>
        <v>0.28171441476605635</v>
      </c>
      <c r="J271" s="1">
        <f t="shared" si="75"/>
        <v>0.30520575004697681</v>
      </c>
      <c r="K271" s="1">
        <f t="shared" si="76"/>
        <v>0.18767405495322587</v>
      </c>
      <c r="L271" s="1">
        <f t="shared" si="77"/>
        <v>0.18609378640886751</v>
      </c>
      <c r="M271" s="1">
        <f t="shared" si="78"/>
        <v>0.40566647542057049</v>
      </c>
      <c r="N271" s="1">
        <f t="shared" si="79"/>
        <v>0.40582419824291649</v>
      </c>
      <c r="O271" s="1">
        <f t="shared" si="80"/>
        <v>0.40481052806374201</v>
      </c>
      <c r="P271" s="1">
        <f t="shared" si="81"/>
        <v>0.40497320743076543</v>
      </c>
      <c r="Q271" s="1">
        <f t="shared" si="82"/>
        <v>6.1526747642863722</v>
      </c>
      <c r="T271">
        <v>0.95286533114692396</v>
      </c>
      <c r="U271">
        <f t="shared" si="89"/>
        <v>1.0494662438776547</v>
      </c>
      <c r="V271" s="15">
        <f t="shared" si="83"/>
        <v>0</v>
      </c>
      <c r="W271" s="15">
        <f t="shared" si="84"/>
        <v>0</v>
      </c>
      <c r="X271" s="15">
        <f t="shared" si="85"/>
        <v>0</v>
      </c>
      <c r="Y271" s="15">
        <f t="shared" si="86"/>
        <v>0</v>
      </c>
      <c r="Z271" s="15">
        <f t="shared" si="87"/>
        <v>0</v>
      </c>
      <c r="AA271" s="15">
        <f t="shared" si="88"/>
        <v>0</v>
      </c>
      <c r="AC271" s="1"/>
      <c r="AD271" s="1"/>
      <c r="AE271" s="1"/>
    </row>
    <row r="272" spans="1:31">
      <c r="A272">
        <v>342</v>
      </c>
      <c r="B272">
        <f t="shared" si="68"/>
        <v>0.2180638524515246</v>
      </c>
      <c r="C272">
        <v>0.20895224958616798</v>
      </c>
      <c r="D272">
        <f t="shared" si="69"/>
        <v>4.7857824071313422</v>
      </c>
      <c r="E272" s="1">
        <f t="shared" si="70"/>
        <v>0.21973548622606445</v>
      </c>
      <c r="F272" s="1">
        <f t="shared" si="71"/>
        <v>0.25489316402223472</v>
      </c>
      <c r="G272" s="1">
        <f t="shared" si="72"/>
        <v>7.9104775041383205E-2</v>
      </c>
      <c r="H272" s="1">
        <f t="shared" si="73"/>
        <v>7.6653064878294E-2</v>
      </c>
      <c r="I272" s="1">
        <f t="shared" si="74"/>
        <v>0.28171069912799673</v>
      </c>
      <c r="J272" s="1">
        <f t="shared" si="75"/>
        <v>0.30520172457280348</v>
      </c>
      <c r="K272" s="1">
        <f t="shared" si="76"/>
        <v>0.18767157964907089</v>
      </c>
      <c r="L272" s="1">
        <f t="shared" si="77"/>
        <v>0.18609133194747257</v>
      </c>
      <c r="M272" s="1">
        <f t="shared" si="78"/>
        <v>0.40566112493186074</v>
      </c>
      <c r="N272" s="1">
        <f t="shared" si="79"/>
        <v>0.40581884567394072</v>
      </c>
      <c r="O272" s="1">
        <f t="shared" si="80"/>
        <v>0.40480518886444594</v>
      </c>
      <c r="P272" s="1">
        <f t="shared" si="81"/>
        <v>0.40496786608582958</v>
      </c>
      <c r="Q272" s="1">
        <f t="shared" si="82"/>
        <v>6.1525936143298043</v>
      </c>
      <c r="T272">
        <v>0.82316713840231215</v>
      </c>
      <c r="U272">
        <f t="shared" si="89"/>
        <v>1.21482011774778</v>
      </c>
      <c r="V272" s="15">
        <f t="shared" si="83"/>
        <v>0</v>
      </c>
      <c r="W272" s="15">
        <f t="shared" si="84"/>
        <v>0</v>
      </c>
      <c r="X272" s="15">
        <f t="shared" si="85"/>
        <v>0</v>
      </c>
      <c r="Y272" s="15">
        <f t="shared" si="86"/>
        <v>0</v>
      </c>
      <c r="Z272" s="15">
        <f t="shared" si="87"/>
        <v>0</v>
      </c>
      <c r="AA272" s="15">
        <f t="shared" si="88"/>
        <v>0</v>
      </c>
      <c r="AC272" s="1"/>
      <c r="AD272" s="1"/>
      <c r="AE272" s="1"/>
    </row>
    <row r="273" spans="1:31">
      <c r="A273">
        <v>733</v>
      </c>
      <c r="B273">
        <f t="shared" si="68"/>
        <v>0.21877422242611486</v>
      </c>
      <c r="C273">
        <v>0.20974725418622331</v>
      </c>
      <c r="D273">
        <f t="shared" si="69"/>
        <v>4.7676428655993455</v>
      </c>
      <c r="E273" s="1">
        <f t="shared" si="70"/>
        <v>0.21951465161493797</v>
      </c>
      <c r="F273" s="1">
        <f t="shared" si="71"/>
        <v>0.25463699587332805</v>
      </c>
      <c r="G273" s="1">
        <f t="shared" si="72"/>
        <v>7.9025274581377675E-2</v>
      </c>
      <c r="H273" s="1">
        <f t="shared" si="73"/>
        <v>7.6576028391995038E-2</v>
      </c>
      <c r="I273" s="1">
        <f t="shared" si="74"/>
        <v>0.28142757930169748</v>
      </c>
      <c r="J273" s="1">
        <f t="shared" si="75"/>
        <v>0.30489499621809513</v>
      </c>
      <c r="K273" s="1">
        <f t="shared" si="76"/>
        <v>0.18748296932934921</v>
      </c>
      <c r="L273" s="1">
        <f t="shared" si="77"/>
        <v>0.18590430977990902</v>
      </c>
      <c r="M273" s="1">
        <f t="shared" si="78"/>
        <v>0.40525343467521602</v>
      </c>
      <c r="N273" s="1">
        <f t="shared" si="79"/>
        <v>0.405410996907629</v>
      </c>
      <c r="O273" s="1">
        <f t="shared" si="80"/>
        <v>0.40439835882529201</v>
      </c>
      <c r="P273" s="1">
        <f t="shared" si="81"/>
        <v>0.40456087255573686</v>
      </c>
      <c r="Q273" s="1">
        <f t="shared" si="82"/>
        <v>6.146410245218263</v>
      </c>
      <c r="T273">
        <v>0.90449344668242326</v>
      </c>
      <c r="U273">
        <f t="shared" si="89"/>
        <v>1.1055912054066104</v>
      </c>
      <c r="V273" s="15">
        <f t="shared" si="83"/>
        <v>0</v>
      </c>
      <c r="W273" s="15">
        <f t="shared" si="84"/>
        <v>0</v>
      </c>
      <c r="X273" s="15">
        <f t="shared" si="85"/>
        <v>0</v>
      </c>
      <c r="Y273" s="15">
        <f t="shared" si="86"/>
        <v>0</v>
      </c>
      <c r="Z273" s="15">
        <f t="shared" si="87"/>
        <v>0</v>
      </c>
      <c r="AA273" s="15">
        <f t="shared" si="88"/>
        <v>0</v>
      </c>
      <c r="AC273" s="1"/>
      <c r="AD273" s="1"/>
      <c r="AE273" s="1"/>
    </row>
    <row r="274" spans="1:31">
      <c r="A274">
        <v>321</v>
      </c>
      <c r="B274">
        <f t="shared" si="68"/>
        <v>0.21883770947389017</v>
      </c>
      <c r="C274">
        <v>0.20979827850361399</v>
      </c>
      <c r="D274">
        <f t="shared" si="69"/>
        <v>4.7664833435836513</v>
      </c>
      <c r="E274" s="1">
        <f t="shared" si="70"/>
        <v>0.21950047819344057</v>
      </c>
      <c r="F274" s="1">
        <f t="shared" si="71"/>
        <v>0.25462055470439104</v>
      </c>
      <c r="G274" s="1">
        <f t="shared" si="72"/>
        <v>7.9020172149638607E-2</v>
      </c>
      <c r="H274" s="1">
        <f t="shared" si="73"/>
        <v>7.6571084100946513E-2</v>
      </c>
      <c r="I274" s="1">
        <f t="shared" si="74"/>
        <v>0.28140940834284306</v>
      </c>
      <c r="J274" s="1">
        <f t="shared" si="75"/>
        <v>0.30487531003650287</v>
      </c>
      <c r="K274" s="1">
        <f t="shared" si="76"/>
        <v>0.18747086410025246</v>
      </c>
      <c r="L274" s="1">
        <f t="shared" si="77"/>
        <v>0.18589230648025995</v>
      </c>
      <c r="M274" s="1">
        <f t="shared" si="78"/>
        <v>0.40522726864164754</v>
      </c>
      <c r="N274" s="1">
        <f t="shared" si="79"/>
        <v>0.40538482070072623</v>
      </c>
      <c r="O274" s="1">
        <f t="shared" si="80"/>
        <v>0.40437224800147992</v>
      </c>
      <c r="P274" s="1">
        <f t="shared" si="81"/>
        <v>0.40453475123888671</v>
      </c>
      <c r="Q274" s="1">
        <f t="shared" si="82"/>
        <v>6.1460133894163356</v>
      </c>
      <c r="T274">
        <v>0.73267881594872564</v>
      </c>
      <c r="U274">
        <f t="shared" si="89"/>
        <v>1.3648545286588196</v>
      </c>
      <c r="V274" s="15">
        <f t="shared" si="83"/>
        <v>0</v>
      </c>
      <c r="W274" s="15">
        <f t="shared" si="84"/>
        <v>0</v>
      </c>
      <c r="X274" s="15">
        <f t="shared" si="85"/>
        <v>0</v>
      </c>
      <c r="Y274" s="15">
        <f t="shared" si="86"/>
        <v>0</v>
      </c>
      <c r="Z274" s="15">
        <f t="shared" si="87"/>
        <v>0</v>
      </c>
      <c r="AA274" s="15">
        <f t="shared" si="88"/>
        <v>0</v>
      </c>
      <c r="AC274" s="1"/>
      <c r="AD274" s="1"/>
      <c r="AE274" s="1"/>
    </row>
    <row r="275" spans="1:31">
      <c r="A275">
        <v>60</v>
      </c>
      <c r="B275">
        <f t="shared" si="68"/>
        <v>0.22012651128955321</v>
      </c>
      <c r="C275">
        <v>0.21112586090111307</v>
      </c>
      <c r="D275">
        <f t="shared" si="69"/>
        <v>4.736511177417432</v>
      </c>
      <c r="E275" s="1">
        <f t="shared" si="70"/>
        <v>0.21913170530524637</v>
      </c>
      <c r="F275" s="1">
        <f t="shared" si="71"/>
        <v>0.25419277815408575</v>
      </c>
      <c r="G275" s="1">
        <f t="shared" si="72"/>
        <v>7.8887413909888696E-2</v>
      </c>
      <c r="H275" s="1">
        <f t="shared" si="73"/>
        <v>7.6442440463955527E-2</v>
      </c>
      <c r="I275" s="1">
        <f t="shared" si="74"/>
        <v>0.28093662504353673</v>
      </c>
      <c r="J275" s="1">
        <f t="shared" si="75"/>
        <v>0.30436310273041139</v>
      </c>
      <c r="K275" s="1">
        <f t="shared" si="76"/>
        <v>0.18715590272715885</v>
      </c>
      <c r="L275" s="1">
        <f t="shared" si="77"/>
        <v>0.18557999717087706</v>
      </c>
      <c r="M275" s="1">
        <f t="shared" si="78"/>
        <v>0.404546464520117</v>
      </c>
      <c r="N275" s="1">
        <f t="shared" si="79"/>
        <v>0.40470375188306223</v>
      </c>
      <c r="O275" s="1">
        <f t="shared" si="80"/>
        <v>0.40369288036169887</v>
      </c>
      <c r="P275" s="1">
        <f t="shared" si="81"/>
        <v>0.40385511058472007</v>
      </c>
      <c r="Q275" s="1">
        <f t="shared" si="82"/>
        <v>6.1356877485468981</v>
      </c>
      <c r="T275">
        <v>0.32899238916861917</v>
      </c>
      <c r="U275">
        <f t="shared" si="89"/>
        <v>3.0395839931952584</v>
      </c>
      <c r="V275" s="15">
        <f t="shared" si="83"/>
        <v>6.9065552361335214E-2</v>
      </c>
      <c r="W275" s="15">
        <f t="shared" si="84"/>
        <v>7.3723434453027842E-2</v>
      </c>
      <c r="X275" s="15">
        <f t="shared" si="85"/>
        <v>8.3039198636413084E-2</v>
      </c>
      <c r="Y275" s="15">
        <f t="shared" si="86"/>
        <v>9.7391598328054774E-2</v>
      </c>
      <c r="Z275" s="15">
        <f t="shared" si="87"/>
        <v>0.10146361633398172</v>
      </c>
      <c r="AA275" s="15">
        <f t="shared" si="88"/>
        <v>0.10960765234583571</v>
      </c>
      <c r="AC275" s="1"/>
      <c r="AD275" s="1"/>
      <c r="AE275" s="1"/>
    </row>
    <row r="276" spans="1:31">
      <c r="A276">
        <v>228</v>
      </c>
      <c r="B276">
        <f t="shared" si="68"/>
        <v>0.2215744737252115</v>
      </c>
      <c r="C276">
        <v>0.21324720847999301</v>
      </c>
      <c r="D276">
        <f t="shared" si="69"/>
        <v>4.6893931560835442</v>
      </c>
      <c r="E276" s="1">
        <f t="shared" si="70"/>
        <v>0.21854244208889084</v>
      </c>
      <c r="F276" s="1">
        <f t="shared" si="71"/>
        <v>0.25350923282311333</v>
      </c>
      <c r="G276" s="1">
        <f t="shared" si="72"/>
        <v>7.8675279152000704E-2</v>
      </c>
      <c r="H276" s="1">
        <f t="shared" si="73"/>
        <v>7.6236880441177851E-2</v>
      </c>
      <c r="I276" s="1">
        <f t="shared" si="74"/>
        <v>0.28018116330405629</v>
      </c>
      <c r="J276" s="1">
        <f t="shared" si="75"/>
        <v>0.30354464526162545</v>
      </c>
      <c r="K276" s="1">
        <f t="shared" si="76"/>
        <v>0.1866526250793748</v>
      </c>
      <c r="L276" s="1">
        <f t="shared" si="77"/>
        <v>0.18508095726301968</v>
      </c>
      <c r="M276" s="1">
        <f t="shared" si="78"/>
        <v>0.40345860573438663</v>
      </c>
      <c r="N276" s="1">
        <f t="shared" si="79"/>
        <v>0.40361547013864935</v>
      </c>
      <c r="O276" s="1">
        <f t="shared" si="80"/>
        <v>0.40260731693412272</v>
      </c>
      <c r="P276" s="1">
        <f t="shared" si="81"/>
        <v>0.4027691109067032</v>
      </c>
      <c r="Q276" s="1">
        <f t="shared" si="82"/>
        <v>6.1191883784889436</v>
      </c>
      <c r="T276">
        <v>0.27491872837885412</v>
      </c>
      <c r="U276">
        <f t="shared" si="89"/>
        <v>3.6374386201217308</v>
      </c>
      <c r="V276" s="15">
        <f t="shared" si="83"/>
        <v>7.2602973444877344E-2</v>
      </c>
      <c r="W276" s="15">
        <f t="shared" si="84"/>
        <v>7.711989257609668E-2</v>
      </c>
      <c r="X276" s="15">
        <f t="shared" si="85"/>
        <v>8.6153730838535378E-2</v>
      </c>
      <c r="Y276" s="15">
        <f t="shared" si="86"/>
        <v>0.10262713064575116</v>
      </c>
      <c r="Z276" s="15">
        <f t="shared" si="87"/>
        <v>0.10655830243995119</v>
      </c>
      <c r="AA276" s="15">
        <f t="shared" si="88"/>
        <v>0.11442064602835136</v>
      </c>
      <c r="AC276" s="1"/>
      <c r="AD276" s="1"/>
      <c r="AE276" s="1"/>
    </row>
    <row r="277" spans="1:31">
      <c r="A277">
        <v>231</v>
      </c>
      <c r="B277">
        <f t="shared" si="68"/>
        <v>0.22162742601266561</v>
      </c>
      <c r="C277">
        <v>0.21343271141530162</v>
      </c>
      <c r="D277">
        <f t="shared" si="69"/>
        <v>4.6853174162894833</v>
      </c>
      <c r="E277" s="1">
        <f t="shared" si="70"/>
        <v>0.21849091349574956</v>
      </c>
      <c r="F277" s="1">
        <f t="shared" si="71"/>
        <v>0.25344945965506949</v>
      </c>
      <c r="G277" s="1">
        <f t="shared" si="72"/>
        <v>7.8656728858469832E-2</v>
      </c>
      <c r="H277" s="1">
        <f t="shared" si="73"/>
        <v>7.6218905080616003E-2</v>
      </c>
      <c r="I277" s="1">
        <f t="shared" si="74"/>
        <v>0.28011510134816453</v>
      </c>
      <c r="J277" s="1">
        <f t="shared" si="75"/>
        <v>0.3034730745938119</v>
      </c>
      <c r="K277" s="1">
        <f t="shared" si="76"/>
        <v>0.1866086155630331</v>
      </c>
      <c r="L277" s="1">
        <f t="shared" si="77"/>
        <v>0.18503731831923442</v>
      </c>
      <c r="M277" s="1">
        <f t="shared" si="78"/>
        <v>0.40336347705299402</v>
      </c>
      <c r="N277" s="1">
        <f t="shared" si="79"/>
        <v>0.40352030447129655</v>
      </c>
      <c r="O277" s="1">
        <f t="shared" si="80"/>
        <v>0.40251238897215935</v>
      </c>
      <c r="P277" s="1">
        <f t="shared" si="81"/>
        <v>0.40267414479647123</v>
      </c>
      <c r="Q277" s="1">
        <f t="shared" si="82"/>
        <v>6.1177455778809877</v>
      </c>
      <c r="T277">
        <v>0.25412042172686267</v>
      </c>
      <c r="U277">
        <f t="shared" si="89"/>
        <v>3.935142218026201</v>
      </c>
      <c r="V277" s="15">
        <f t="shared" si="83"/>
        <v>7.3963568739854213E-2</v>
      </c>
      <c r="W277" s="15">
        <f t="shared" si="84"/>
        <v>7.8426269406192933E-2</v>
      </c>
      <c r="X277" s="15">
        <f t="shared" si="85"/>
        <v>8.7351670738870416E-2</v>
      </c>
      <c r="Y277" s="15">
        <f t="shared" si="86"/>
        <v>0.10464086903593006</v>
      </c>
      <c r="Z277" s="15">
        <f t="shared" si="87"/>
        <v>0.10851786727022156</v>
      </c>
      <c r="AA277" s="15">
        <f t="shared" si="88"/>
        <v>0.11627186373880469</v>
      </c>
      <c r="AC277" s="1"/>
      <c r="AD277" s="1"/>
      <c r="AE277" s="1"/>
    </row>
    <row r="278" spans="1:31">
      <c r="A278">
        <v>499</v>
      </c>
      <c r="B278">
        <f t="shared" si="68"/>
        <v>0.22168954835108451</v>
      </c>
      <c r="C278">
        <v>0.21365033895660335</v>
      </c>
      <c r="D278">
        <f t="shared" si="69"/>
        <v>4.6805448794683162</v>
      </c>
      <c r="E278" s="1">
        <f t="shared" si="70"/>
        <v>0.21843046140094352</v>
      </c>
      <c r="F278" s="1">
        <f t="shared" si="71"/>
        <v>0.25337933522509448</v>
      </c>
      <c r="G278" s="1">
        <f t="shared" si="72"/>
        <v>7.8634966104339662E-2</v>
      </c>
      <c r="H278" s="1">
        <f t="shared" si="73"/>
        <v>7.6197816823890693E-2</v>
      </c>
      <c r="I278" s="1">
        <f t="shared" si="74"/>
        <v>0.2800375990649237</v>
      </c>
      <c r="J278" s="1">
        <f t="shared" si="75"/>
        <v>0.30338910962344817</v>
      </c>
      <c r="K278" s="1">
        <f t="shared" si="76"/>
        <v>0.18655698466663037</v>
      </c>
      <c r="L278" s="1">
        <f t="shared" si="77"/>
        <v>0.18498612216956065</v>
      </c>
      <c r="M278" s="1">
        <f t="shared" si="78"/>
        <v>0.40325187439288351</v>
      </c>
      <c r="N278" s="1">
        <f t="shared" si="79"/>
        <v>0.40340865842015522</v>
      </c>
      <c r="O278" s="1">
        <f t="shared" si="80"/>
        <v>0.40240102179121146</v>
      </c>
      <c r="P278" s="1">
        <f t="shared" si="81"/>
        <v>0.4025627328609005</v>
      </c>
      <c r="Q278" s="1">
        <f t="shared" si="82"/>
        <v>6.1160529192264184</v>
      </c>
      <c r="T278">
        <v>0.47881560498478026</v>
      </c>
      <c r="U278">
        <f t="shared" si="89"/>
        <v>2.0884866524594288</v>
      </c>
      <c r="V278" s="15">
        <f t="shared" si="83"/>
        <v>5.9264333159758847E-2</v>
      </c>
      <c r="W278" s="15">
        <f t="shared" si="84"/>
        <v>6.4312784777180235E-2</v>
      </c>
      <c r="X278" s="15">
        <f t="shared" si="85"/>
        <v>7.4409688012022829E-2</v>
      </c>
      <c r="Y278" s="15">
        <f t="shared" si="86"/>
        <v>8.2885380755761531E-2</v>
      </c>
      <c r="Z278" s="15">
        <f t="shared" si="87"/>
        <v>8.7347644808807356E-2</v>
      </c>
      <c r="AA278" s="15">
        <f t="shared" si="88"/>
        <v>9.6272172914898924E-2</v>
      </c>
      <c r="AC278" s="1"/>
      <c r="AD278" s="1"/>
      <c r="AE278" s="1"/>
    </row>
    <row r="279" spans="1:31">
      <c r="A279">
        <v>89</v>
      </c>
      <c r="B279">
        <f t="shared" si="68"/>
        <v>0.22184983020904031</v>
      </c>
      <c r="C279">
        <v>0.21421183982006053</v>
      </c>
      <c r="D279">
        <f t="shared" si="69"/>
        <v>4.6682760431916703</v>
      </c>
      <c r="E279" s="1">
        <f t="shared" si="70"/>
        <v>0.21827448893887208</v>
      </c>
      <c r="F279" s="1">
        <f t="shared" si="71"/>
        <v>0.25319840716909159</v>
      </c>
      <c r="G279" s="1">
        <f t="shared" si="72"/>
        <v>7.8578816017993949E-2</v>
      </c>
      <c r="H279" s="1">
        <f t="shared" si="73"/>
        <v>7.6143407008436081E-2</v>
      </c>
      <c r="I279" s="1">
        <f t="shared" si="74"/>
        <v>0.27983763540821305</v>
      </c>
      <c r="J279" s="1">
        <f t="shared" si="75"/>
        <v>0.30317247158638072</v>
      </c>
      <c r="K279" s="1">
        <f t="shared" si="76"/>
        <v>0.18642377178034858</v>
      </c>
      <c r="L279" s="1">
        <f t="shared" si="77"/>
        <v>0.18485403097340247</v>
      </c>
      <c r="M279" s="1">
        <f t="shared" si="78"/>
        <v>0.40296392834689437</v>
      </c>
      <c r="N279" s="1">
        <f t="shared" si="79"/>
        <v>0.40312060042095871</v>
      </c>
      <c r="O279" s="1">
        <f t="shared" si="80"/>
        <v>0.40211368330505759</v>
      </c>
      <c r="P279" s="1">
        <f t="shared" si="81"/>
        <v>0.40227527890333514</v>
      </c>
      <c r="Q279" s="1">
        <f t="shared" si="82"/>
        <v>6.111685690288418</v>
      </c>
      <c r="T279">
        <v>8.2559809965510045E-2</v>
      </c>
      <c r="U279">
        <f t="shared" si="89"/>
        <v>12.112430980858086</v>
      </c>
      <c r="V279" s="15">
        <f t="shared" si="83"/>
        <v>9.5584020724292895E-2</v>
      </c>
      <c r="W279" s="15">
        <f t="shared" si="84"/>
        <v>9.8819611877050795E-2</v>
      </c>
      <c r="X279" s="15">
        <f t="shared" si="85"/>
        <v>0.10529079418256658</v>
      </c>
      <c r="Y279" s="15">
        <f t="shared" si="86"/>
        <v>0.13661649474951387</v>
      </c>
      <c r="Z279" s="15">
        <f t="shared" si="87"/>
        <v>0.13921530353600103</v>
      </c>
      <c r="AA279" s="15">
        <f t="shared" si="88"/>
        <v>0.14441292110897522</v>
      </c>
      <c r="AC279" s="1"/>
      <c r="AD279" s="1"/>
      <c r="AE279" s="1"/>
    </row>
    <row r="280" spans="1:31">
      <c r="A280">
        <v>538</v>
      </c>
      <c r="B280">
        <f t="shared" si="68"/>
        <v>0.22241039409363572</v>
      </c>
      <c r="C280">
        <v>0.21531378289347258</v>
      </c>
      <c r="D280">
        <f t="shared" si="69"/>
        <v>4.6443845190103517</v>
      </c>
      <c r="E280" s="1">
        <f t="shared" si="70"/>
        <v>0.21796839364070206</v>
      </c>
      <c r="F280" s="1">
        <f t="shared" si="71"/>
        <v>0.2528433366232144</v>
      </c>
      <c r="G280" s="1">
        <f t="shared" si="72"/>
        <v>7.8468621710652747E-2</v>
      </c>
      <c r="H280" s="1">
        <f t="shared" si="73"/>
        <v>7.6036627975369808E-2</v>
      </c>
      <c r="I280" s="1">
        <f t="shared" si="74"/>
        <v>0.27944520757633085</v>
      </c>
      <c r="J280" s="1">
        <f t="shared" si="75"/>
        <v>0.30274732035346152</v>
      </c>
      <c r="K280" s="1">
        <f t="shared" si="76"/>
        <v>0.18616234205355597</v>
      </c>
      <c r="L280" s="1">
        <f t="shared" si="77"/>
        <v>0.18459480255874069</v>
      </c>
      <c r="M280" s="1">
        <f t="shared" si="78"/>
        <v>0.40239883544758792</v>
      </c>
      <c r="N280" s="1">
        <f t="shared" si="79"/>
        <v>0.4025552878139555</v>
      </c>
      <c r="O280" s="1">
        <f t="shared" si="80"/>
        <v>0.4015497827393622</v>
      </c>
      <c r="P280" s="1">
        <f t="shared" si="81"/>
        <v>0.40171115172548238</v>
      </c>
      <c r="Q280" s="1">
        <f t="shared" si="82"/>
        <v>6.1031150219396579</v>
      </c>
      <c r="T280">
        <v>0.46973684636312762</v>
      </c>
      <c r="U280">
        <f t="shared" si="89"/>
        <v>2.1288515213195671</v>
      </c>
      <c r="V280" s="15">
        <f t="shared" si="83"/>
        <v>5.9858252485574179E-2</v>
      </c>
      <c r="W280" s="15">
        <f t="shared" si="84"/>
        <v>6.4883036966832799E-2</v>
      </c>
      <c r="X280" s="15">
        <f t="shared" si="85"/>
        <v>7.493260592934986E-2</v>
      </c>
      <c r="Y280" s="15">
        <f t="shared" si="86"/>
        <v>8.376440639364148E-2</v>
      </c>
      <c r="Z280" s="15">
        <f t="shared" si="87"/>
        <v>8.8203022912187762E-2</v>
      </c>
      <c r="AA280" s="15">
        <f t="shared" si="88"/>
        <v>9.7080255949280242E-2</v>
      </c>
      <c r="AC280" s="1"/>
      <c r="AD280" s="1"/>
      <c r="AE280" s="1"/>
    </row>
    <row r="281" spans="1:31">
      <c r="A281">
        <v>863</v>
      </c>
      <c r="B281">
        <f t="shared" si="68"/>
        <v>0.22269890297911388</v>
      </c>
      <c r="C281">
        <v>0.21595343516255372</v>
      </c>
      <c r="D281">
        <f t="shared" si="69"/>
        <v>4.6306278909028427</v>
      </c>
      <c r="E281" s="1">
        <f t="shared" si="70"/>
        <v>0.21779071245484619</v>
      </c>
      <c r="F281" s="1">
        <f t="shared" si="71"/>
        <v>0.25263722644762154</v>
      </c>
      <c r="G281" s="1">
        <f t="shared" si="72"/>
        <v>7.8404656483744631E-2</v>
      </c>
      <c r="H281" s="1">
        <f t="shared" si="73"/>
        <v>7.5974645235572152E-2</v>
      </c>
      <c r="I281" s="1">
        <f t="shared" si="74"/>
        <v>0.27921741236696784</v>
      </c>
      <c r="J281" s="1">
        <f t="shared" si="75"/>
        <v>0.30250052997254162</v>
      </c>
      <c r="K281" s="1">
        <f t="shared" si="76"/>
        <v>0.18601058819078126</v>
      </c>
      <c r="L281" s="1">
        <f t="shared" si="77"/>
        <v>0.18444432650634784</v>
      </c>
      <c r="M281" s="1">
        <f t="shared" si="78"/>
        <v>0.40207081219121066</v>
      </c>
      <c r="N281" s="1">
        <f t="shared" si="79"/>
        <v>0.40222713702238139</v>
      </c>
      <c r="O281" s="1">
        <f t="shared" si="80"/>
        <v>0.4012224516048542</v>
      </c>
      <c r="P281" s="1">
        <f t="shared" si="81"/>
        <v>0.40138368904789912</v>
      </c>
      <c r="Q281" s="1">
        <f t="shared" si="82"/>
        <v>6.0981399487356933</v>
      </c>
      <c r="T281">
        <v>3.0685128264119732E-2</v>
      </c>
      <c r="U281">
        <f t="shared" si="89"/>
        <v>32.589076747295358</v>
      </c>
      <c r="V281" s="15">
        <f t="shared" si="83"/>
        <v>0.10304197639427203</v>
      </c>
      <c r="W281" s="15">
        <f t="shared" si="84"/>
        <v>0.1057753682453844</v>
      </c>
      <c r="X281" s="15">
        <f t="shared" si="85"/>
        <v>0.11124215194760896</v>
      </c>
      <c r="Y281" s="15">
        <f t="shared" si="86"/>
        <v>0.14763297309330198</v>
      </c>
      <c r="Z281" s="15">
        <f t="shared" si="87"/>
        <v>0.14970192057754048</v>
      </c>
      <c r="AA281" s="15">
        <f t="shared" si="88"/>
        <v>0.15383981554601778</v>
      </c>
      <c r="AC281" s="1"/>
      <c r="AD281" s="1"/>
      <c r="AE281" s="1"/>
    </row>
    <row r="282" spans="1:31">
      <c r="A282">
        <v>637</v>
      </c>
      <c r="B282">
        <f t="shared" si="68"/>
        <v>0.22282179718217943</v>
      </c>
      <c r="C282">
        <v>0.21623891403622786</v>
      </c>
      <c r="D282">
        <f t="shared" si="69"/>
        <v>4.6245145304071578</v>
      </c>
      <c r="E282" s="1">
        <f t="shared" si="70"/>
        <v>0.2177114127677145</v>
      </c>
      <c r="F282" s="1">
        <f t="shared" si="71"/>
        <v>0.2525452388105488</v>
      </c>
      <c r="G282" s="1">
        <f t="shared" si="72"/>
        <v>7.8376108596377211E-2</v>
      </c>
      <c r="H282" s="1">
        <f t="shared" si="73"/>
        <v>7.5946982138605276E-2</v>
      </c>
      <c r="I282" s="1">
        <f t="shared" si="74"/>
        <v>0.27911574662928396</v>
      </c>
      <c r="J282" s="1">
        <f t="shared" si="75"/>
        <v>0.30239038662844026</v>
      </c>
      <c r="K282" s="1">
        <f t="shared" si="76"/>
        <v>0.18594285995168211</v>
      </c>
      <c r="L282" s="1">
        <f t="shared" si="77"/>
        <v>0.18437716855814926</v>
      </c>
      <c r="M282" s="1">
        <f t="shared" si="78"/>
        <v>0.40192441435242232</v>
      </c>
      <c r="N282" s="1">
        <f t="shared" si="79"/>
        <v>0.40208068226422283</v>
      </c>
      <c r="O282" s="1">
        <f t="shared" si="80"/>
        <v>0.40107636266229163</v>
      </c>
      <c r="P282" s="1">
        <f t="shared" si="81"/>
        <v>0.40123754139723716</v>
      </c>
      <c r="Q282" s="1">
        <f t="shared" si="82"/>
        <v>6.0959195574960052</v>
      </c>
      <c r="T282">
        <v>0.46863221006767897</v>
      </c>
      <c r="U282">
        <f t="shared" si="89"/>
        <v>2.1338695431446806</v>
      </c>
      <c r="V282" s="15">
        <f t="shared" si="83"/>
        <v>5.9930516202587131E-2</v>
      </c>
      <c r="W282" s="15">
        <f t="shared" si="84"/>
        <v>6.4952421041517522E-2</v>
      </c>
      <c r="X282" s="15">
        <f t="shared" si="85"/>
        <v>7.499623071937811E-2</v>
      </c>
      <c r="Y282" s="15">
        <f t="shared" si="86"/>
        <v>8.3871359740976467E-2</v>
      </c>
      <c r="Z282" s="15">
        <f t="shared" si="87"/>
        <v>8.8307099002180117E-2</v>
      </c>
      <c r="AA282" s="15">
        <f t="shared" si="88"/>
        <v>9.7178577524587348E-2</v>
      </c>
      <c r="AC282" s="1"/>
      <c r="AD282" s="1"/>
      <c r="AE282" s="1"/>
    </row>
    <row r="283" spans="1:31">
      <c r="A283">
        <v>953</v>
      </c>
      <c r="B283">
        <f t="shared" si="68"/>
        <v>0.22328571820478302</v>
      </c>
      <c r="C283">
        <v>0.21794540364389792</v>
      </c>
      <c r="D283">
        <f t="shared" si="69"/>
        <v>4.5883050676026418</v>
      </c>
      <c r="E283" s="1">
        <f t="shared" si="70"/>
        <v>0.21723738787669503</v>
      </c>
      <c r="F283" s="1">
        <f t="shared" si="71"/>
        <v>0.2519953699369662</v>
      </c>
      <c r="G283" s="1">
        <f t="shared" si="72"/>
        <v>7.8205459635610208E-2</v>
      </c>
      <c r="H283" s="1">
        <f t="shared" si="73"/>
        <v>7.5781622135315418E-2</v>
      </c>
      <c r="I283" s="1">
        <f t="shared" si="74"/>
        <v>0.27850802556544185</v>
      </c>
      <c r="J283" s="1">
        <f t="shared" si="75"/>
        <v>0.30173198949507629</v>
      </c>
      <c r="K283" s="1">
        <f t="shared" si="76"/>
        <v>0.18553800499803536</v>
      </c>
      <c r="L283" s="1">
        <f t="shared" si="77"/>
        <v>0.18397572259754863</v>
      </c>
      <c r="M283" s="1">
        <f t="shared" si="78"/>
        <v>0.40104930094293501</v>
      </c>
      <c r="N283" s="1">
        <f t="shared" si="79"/>
        <v>0.40120522861129609</v>
      </c>
      <c r="O283" s="1">
        <f t="shared" si="80"/>
        <v>0.40020309572288537</v>
      </c>
      <c r="P283" s="1">
        <f t="shared" si="81"/>
        <v>0.400363923522015</v>
      </c>
      <c r="Q283" s="1">
        <f t="shared" si="82"/>
        <v>6.0826468605474613</v>
      </c>
      <c r="T283">
        <v>0.44256493383502282</v>
      </c>
      <c r="U283">
        <f t="shared" si="89"/>
        <v>2.2595554314133146</v>
      </c>
      <c r="V283" s="15">
        <f t="shared" si="83"/>
        <v>6.1635799906134131E-2</v>
      </c>
      <c r="W283" s="15">
        <f t="shared" si="84"/>
        <v>6.6589750765704461E-2</v>
      </c>
      <c r="X283" s="15">
        <f t="shared" si="85"/>
        <v>7.6497652484844969E-2</v>
      </c>
      <c r="Y283" s="15">
        <f t="shared" si="86"/>
        <v>8.6395251505601039E-2</v>
      </c>
      <c r="Z283" s="15">
        <f t="shared" si="87"/>
        <v>9.0763093068483805E-2</v>
      </c>
      <c r="AA283" s="15">
        <f t="shared" si="88"/>
        <v>9.9498776194249294E-2</v>
      </c>
      <c r="AC283" s="1"/>
      <c r="AD283" s="1"/>
      <c r="AE283" s="1"/>
    </row>
    <row r="284" spans="1:31">
      <c r="A284">
        <v>674</v>
      </c>
      <c r="B284">
        <f t="shared" si="68"/>
        <v>0.22334602932042422</v>
      </c>
      <c r="C284">
        <v>0.21810475953258091</v>
      </c>
      <c r="D284">
        <f t="shared" si="69"/>
        <v>4.5849526720237304</v>
      </c>
      <c r="E284" s="1">
        <f t="shared" si="70"/>
        <v>0.21719312235206087</v>
      </c>
      <c r="F284" s="1">
        <f t="shared" si="71"/>
        <v>0.2519440219283906</v>
      </c>
      <c r="G284" s="1">
        <f t="shared" si="72"/>
        <v>7.8189524046741912E-2</v>
      </c>
      <c r="H284" s="1">
        <f t="shared" si="73"/>
        <v>7.5766180441349959E-2</v>
      </c>
      <c r="I284" s="1">
        <f t="shared" si="74"/>
        <v>0.27845127518749369</v>
      </c>
      <c r="J284" s="1">
        <f t="shared" si="75"/>
        <v>0.30167050687026453</v>
      </c>
      <c r="K284" s="1">
        <f t="shared" si="76"/>
        <v>0.18550019871979251</v>
      </c>
      <c r="L284" s="1">
        <f t="shared" si="77"/>
        <v>0.1839382346588456</v>
      </c>
      <c r="M284" s="1">
        <f t="shared" si="78"/>
        <v>0.40096758085835876</v>
      </c>
      <c r="N284" s="1">
        <f t="shared" si="79"/>
        <v>0.40112347675401211</v>
      </c>
      <c r="O284" s="1">
        <f t="shared" si="80"/>
        <v>0.40012154806589345</v>
      </c>
      <c r="P284" s="1">
        <f t="shared" si="81"/>
        <v>0.40028234309383681</v>
      </c>
      <c r="Q284" s="1">
        <f t="shared" si="82"/>
        <v>6.0814074258577042</v>
      </c>
      <c r="T284">
        <v>0.53238094581198248</v>
      </c>
      <c r="U284">
        <f t="shared" si="89"/>
        <v>1.8783542271123346</v>
      </c>
      <c r="V284" s="15">
        <f t="shared" si="83"/>
        <v>0</v>
      </c>
      <c r="W284" s="15">
        <f t="shared" si="84"/>
        <v>0</v>
      </c>
      <c r="X284" s="15">
        <f t="shared" si="85"/>
        <v>0</v>
      </c>
      <c r="Y284" s="15">
        <f t="shared" si="86"/>
        <v>0</v>
      </c>
      <c r="Z284" s="15">
        <f t="shared" si="87"/>
        <v>0</v>
      </c>
      <c r="AA284" s="15">
        <f t="shared" si="88"/>
        <v>0</v>
      </c>
      <c r="AC284" s="1"/>
      <c r="AD284" s="1"/>
      <c r="AE284" s="1"/>
    </row>
    <row r="285" spans="1:31">
      <c r="A285">
        <v>968</v>
      </c>
      <c r="B285">
        <f t="shared" si="68"/>
        <v>0.22411576227578617</v>
      </c>
      <c r="C285">
        <v>0.21935025582971102</v>
      </c>
      <c r="D285">
        <f t="shared" si="69"/>
        <v>4.5589187768093309</v>
      </c>
      <c r="E285" s="1">
        <f t="shared" si="70"/>
        <v>0.2168471511584136</v>
      </c>
      <c r="F285" s="1">
        <f t="shared" si="71"/>
        <v>0.25154269534375978</v>
      </c>
      <c r="G285" s="1">
        <f t="shared" si="72"/>
        <v>7.8064974417028893E-2</v>
      </c>
      <c r="H285" s="1">
        <f t="shared" si="73"/>
        <v>7.5645491003298149E-2</v>
      </c>
      <c r="I285" s="1">
        <f t="shared" si="74"/>
        <v>0.27800772467813151</v>
      </c>
      <c r="J285" s="1">
        <f t="shared" si="75"/>
        <v>0.30118996999036785</v>
      </c>
      <c r="K285" s="1">
        <f t="shared" si="76"/>
        <v>0.18520471180714129</v>
      </c>
      <c r="L285" s="1">
        <f t="shared" si="77"/>
        <v>0.18364523582944836</v>
      </c>
      <c r="M285" s="1">
        <f t="shared" si="78"/>
        <v>0.40032887171756676</v>
      </c>
      <c r="N285" s="1">
        <f t="shared" si="79"/>
        <v>0.4004845192835837</v>
      </c>
      <c r="O285" s="1">
        <f t="shared" si="80"/>
        <v>0.39948418658736579</v>
      </c>
      <c r="P285" s="1">
        <f t="shared" si="81"/>
        <v>0.39964472548174867</v>
      </c>
      <c r="Q285" s="1">
        <f t="shared" si="82"/>
        <v>6.071720232435581</v>
      </c>
      <c r="T285">
        <v>0.82444085801446021</v>
      </c>
      <c r="U285">
        <f t="shared" si="89"/>
        <v>1.2129432818363068</v>
      </c>
      <c r="V285" s="15">
        <f t="shared" si="83"/>
        <v>0</v>
      </c>
      <c r="W285" s="15">
        <f t="shared" si="84"/>
        <v>0</v>
      </c>
      <c r="X285" s="15">
        <f t="shared" si="85"/>
        <v>0</v>
      </c>
      <c r="Y285" s="15">
        <f t="shared" si="86"/>
        <v>0</v>
      </c>
      <c r="Z285" s="15">
        <f t="shared" si="87"/>
        <v>0</v>
      </c>
      <c r="AA285" s="15">
        <f t="shared" si="88"/>
        <v>0</v>
      </c>
      <c r="AC285" s="1"/>
      <c r="AD285" s="1"/>
      <c r="AE285" s="1"/>
    </row>
    <row r="286" spans="1:31">
      <c r="A286">
        <v>412</v>
      </c>
      <c r="B286">
        <f t="shared" si="68"/>
        <v>0.22486304746173549</v>
      </c>
      <c r="C286">
        <v>0.22019886818817314</v>
      </c>
      <c r="D286">
        <f t="shared" si="69"/>
        <v>4.5413494094140399</v>
      </c>
      <c r="E286" s="1">
        <f t="shared" si="70"/>
        <v>0.21661142550328524</v>
      </c>
      <c r="F286" s="1">
        <f t="shared" si="71"/>
        <v>0.25126925358381086</v>
      </c>
      <c r="G286" s="1">
        <f t="shared" si="72"/>
        <v>7.7980113181182684E-2</v>
      </c>
      <c r="H286" s="1">
        <f t="shared" si="73"/>
        <v>7.5563259888759629E-2</v>
      </c>
      <c r="I286" s="1">
        <f t="shared" si="74"/>
        <v>0.27770551386890291</v>
      </c>
      <c r="J286" s="1">
        <f t="shared" si="75"/>
        <v>0.30086255871189455</v>
      </c>
      <c r="K286" s="1">
        <f t="shared" si="76"/>
        <v>0.1850033833516353</v>
      </c>
      <c r="L286" s="1">
        <f t="shared" si="77"/>
        <v>0.18344560261639556</v>
      </c>
      <c r="M286" s="1">
        <f t="shared" si="78"/>
        <v>0.39989369060013769</v>
      </c>
      <c r="N286" s="1">
        <f t="shared" si="79"/>
        <v>0.40004916896806153</v>
      </c>
      <c r="O286" s="1">
        <f t="shared" si="80"/>
        <v>0.39904992369254022</v>
      </c>
      <c r="P286" s="1">
        <f t="shared" si="81"/>
        <v>0.39921028807166731</v>
      </c>
      <c r="Q286" s="1">
        <f t="shared" si="82"/>
        <v>6.0651199140919871</v>
      </c>
      <c r="T286">
        <v>0.21173049859408111</v>
      </c>
      <c r="U286">
        <f t="shared" si="89"/>
        <v>4.722985146873663</v>
      </c>
      <c r="V286" s="15">
        <f t="shared" si="83"/>
        <v>7.673665651733301E-2</v>
      </c>
      <c r="W286" s="15">
        <f t="shared" si="84"/>
        <v>8.1088852198957187E-2</v>
      </c>
      <c r="X286" s="15">
        <f t="shared" si="85"/>
        <v>8.9793243562205624E-2</v>
      </c>
      <c r="Y286" s="15">
        <f t="shared" si="86"/>
        <v>0.10874515584146388</v>
      </c>
      <c r="Z286" s="15">
        <f t="shared" si="87"/>
        <v>0.11251174061379539</v>
      </c>
      <c r="AA286" s="15">
        <f t="shared" si="88"/>
        <v>0.12004491015845858</v>
      </c>
      <c r="AC286" s="1"/>
      <c r="AD286" s="1"/>
      <c r="AE286" s="1"/>
    </row>
    <row r="287" spans="1:31">
      <c r="A287">
        <v>113</v>
      </c>
      <c r="B287">
        <f t="shared" si="68"/>
        <v>0.22569021178807058</v>
      </c>
      <c r="C287">
        <v>0.22086697914170805</v>
      </c>
      <c r="D287">
        <f t="shared" si="69"/>
        <v>4.5276120671637425</v>
      </c>
      <c r="E287" s="1">
        <f t="shared" si="70"/>
        <v>0.21642583912730332</v>
      </c>
      <c r="F287" s="1">
        <f t="shared" si="71"/>
        <v>0.25105397338767182</v>
      </c>
      <c r="G287" s="1">
        <f t="shared" si="72"/>
        <v>7.7913302085829195E-2</v>
      </c>
      <c r="H287" s="1">
        <f t="shared" si="73"/>
        <v>7.5498519483088278E-2</v>
      </c>
      <c r="I287" s="1">
        <f t="shared" si="74"/>
        <v>0.27746758385302595</v>
      </c>
      <c r="J287" s="1">
        <f t="shared" si="75"/>
        <v>0.3006047884127967</v>
      </c>
      <c r="K287" s="1">
        <f t="shared" si="76"/>
        <v>0.18484487782783454</v>
      </c>
      <c r="L287" s="1">
        <f t="shared" si="77"/>
        <v>0.18328843175386927</v>
      </c>
      <c r="M287" s="1">
        <f t="shared" si="78"/>
        <v>0.39955107330447065</v>
      </c>
      <c r="N287" s="1">
        <f t="shared" si="79"/>
        <v>0.39970641846304611</v>
      </c>
      <c r="O287" s="1">
        <f t="shared" si="80"/>
        <v>0.39870802931184496</v>
      </c>
      <c r="P287" s="1">
        <f t="shared" si="81"/>
        <v>0.39886825629543121</v>
      </c>
      <c r="Q287" s="1">
        <f t="shared" si="82"/>
        <v>6.0599234955644929</v>
      </c>
      <c r="T287">
        <v>0.88761789427490112</v>
      </c>
      <c r="U287">
        <f t="shared" si="89"/>
        <v>1.1266109059427021</v>
      </c>
      <c r="V287" s="15">
        <f t="shared" si="83"/>
        <v>0</v>
      </c>
      <c r="W287" s="15">
        <f t="shared" si="84"/>
        <v>0</v>
      </c>
      <c r="X287" s="15">
        <f t="shared" si="85"/>
        <v>0</v>
      </c>
      <c r="Y287" s="15">
        <f t="shared" si="86"/>
        <v>0</v>
      </c>
      <c r="Z287" s="15">
        <f t="shared" si="87"/>
        <v>0</v>
      </c>
      <c r="AA287" s="15">
        <f t="shared" si="88"/>
        <v>0</v>
      </c>
      <c r="AC287" s="1"/>
      <c r="AD287" s="1"/>
      <c r="AE287" s="1"/>
    </row>
    <row r="288" spans="1:31">
      <c r="A288">
        <v>83</v>
      </c>
      <c r="B288">
        <f t="shared" si="68"/>
        <v>0.22617278721314435</v>
      </c>
      <c r="C288">
        <v>0.22156476968933947</v>
      </c>
      <c r="D288">
        <f t="shared" si="69"/>
        <v>4.5133529188874233</v>
      </c>
      <c r="E288" s="1">
        <f t="shared" si="70"/>
        <v>0.21623200841962792</v>
      </c>
      <c r="F288" s="1">
        <f t="shared" si="71"/>
        <v>0.25082912976676836</v>
      </c>
      <c r="G288" s="1">
        <f t="shared" si="72"/>
        <v>7.784352303106605E-2</v>
      </c>
      <c r="H288" s="1">
        <f t="shared" si="73"/>
        <v>7.5430903104568681E-2</v>
      </c>
      <c r="I288" s="1">
        <f t="shared" si="74"/>
        <v>0.27721908423601127</v>
      </c>
      <c r="J288" s="1">
        <f t="shared" si="75"/>
        <v>0.30033556714465415</v>
      </c>
      <c r="K288" s="1">
        <f t="shared" si="76"/>
        <v>0.18467933098913908</v>
      </c>
      <c r="L288" s="1">
        <f t="shared" si="77"/>
        <v>0.18312427886630825</v>
      </c>
      <c r="M288" s="1">
        <f t="shared" si="78"/>
        <v>0.39919323586877742</v>
      </c>
      <c r="N288" s="1">
        <f t="shared" si="79"/>
        <v>0.39934844190042545</v>
      </c>
      <c r="O288" s="1">
        <f t="shared" si="80"/>
        <v>0.39835094690528483</v>
      </c>
      <c r="P288" s="1">
        <f t="shared" si="81"/>
        <v>0.3985110303897873</v>
      </c>
      <c r="Q288" s="1">
        <f t="shared" si="82"/>
        <v>6.054496235749582</v>
      </c>
      <c r="T288">
        <v>0.47453480413367888</v>
      </c>
      <c r="U288">
        <f t="shared" si="89"/>
        <v>2.107326989061681</v>
      </c>
      <c r="V288" s="15">
        <f t="shared" si="83"/>
        <v>5.9544376991893799E-2</v>
      </c>
      <c r="W288" s="15">
        <f t="shared" si="84"/>
        <v>6.4581669121454466E-2</v>
      </c>
      <c r="X288" s="15">
        <f t="shared" si="85"/>
        <v>7.4656253380575632E-2</v>
      </c>
      <c r="Y288" s="15">
        <f t="shared" si="86"/>
        <v>8.3299857432099417E-2</v>
      </c>
      <c r="Z288" s="15">
        <f t="shared" si="87"/>
        <v>8.7750971239827474E-2</v>
      </c>
      <c r="AA288" s="15">
        <f t="shared" si="88"/>
        <v>9.6653198855283534E-2</v>
      </c>
      <c r="AC288" s="1"/>
      <c r="AD288" s="1"/>
      <c r="AE288" s="1"/>
    </row>
    <row r="289" spans="1:31">
      <c r="A289">
        <v>148</v>
      </c>
      <c r="B289">
        <f t="shared" si="68"/>
        <v>0.22620590688443185</v>
      </c>
      <c r="C289">
        <v>0.22185050798592587</v>
      </c>
      <c r="D289">
        <f t="shared" si="69"/>
        <v>4.5075398252567433</v>
      </c>
      <c r="E289" s="1">
        <f t="shared" si="70"/>
        <v>0.21615263667057616</v>
      </c>
      <c r="F289" s="1">
        <f t="shared" si="71"/>
        <v>0.25073705853786832</v>
      </c>
      <c r="G289" s="1">
        <f t="shared" si="72"/>
        <v>7.7814949201407413E-2</v>
      </c>
      <c r="H289" s="1">
        <f t="shared" si="73"/>
        <v>7.5403214869345217E-2</v>
      </c>
      <c r="I289" s="1">
        <f t="shared" si="74"/>
        <v>0.27711732611173007</v>
      </c>
      <c r="J289" s="1">
        <f t="shared" si="75"/>
        <v>0.30022532371010924</v>
      </c>
      <c r="K289" s="1">
        <f t="shared" si="76"/>
        <v>0.18461154120342949</v>
      </c>
      <c r="L289" s="1">
        <f t="shared" si="77"/>
        <v>0.18305705988973908</v>
      </c>
      <c r="M289" s="1">
        <f t="shared" si="78"/>
        <v>0.39904670499403733</v>
      </c>
      <c r="N289" s="1">
        <f t="shared" si="79"/>
        <v>0.39920185405459074</v>
      </c>
      <c r="O289" s="1">
        <f t="shared" si="80"/>
        <v>0.39820472520747335</v>
      </c>
      <c r="P289" s="1">
        <f t="shared" si="81"/>
        <v>0.39836474993052673</v>
      </c>
      <c r="Q289" s="1">
        <f t="shared" si="82"/>
        <v>6.0522738267761325</v>
      </c>
      <c r="T289">
        <v>0.65223828797007388</v>
      </c>
      <c r="U289">
        <f t="shared" si="89"/>
        <v>1.5331819956664092</v>
      </c>
      <c r="V289" s="15">
        <f t="shared" si="83"/>
        <v>0</v>
      </c>
      <c r="W289" s="15">
        <f t="shared" si="84"/>
        <v>0</v>
      </c>
      <c r="X289" s="15">
        <f t="shared" si="85"/>
        <v>0</v>
      </c>
      <c r="Y289" s="15">
        <f t="shared" si="86"/>
        <v>0</v>
      </c>
      <c r="Z289" s="15">
        <f t="shared" si="87"/>
        <v>0</v>
      </c>
      <c r="AA289" s="15">
        <f t="shared" si="88"/>
        <v>0</v>
      </c>
      <c r="AC289" s="1"/>
      <c r="AD289" s="1"/>
      <c r="AE289" s="1"/>
    </row>
    <row r="290" spans="1:31">
      <c r="A290">
        <v>137</v>
      </c>
      <c r="B290">
        <f t="shared" si="68"/>
        <v>0.22657208627743228</v>
      </c>
      <c r="C290">
        <v>0.22236593610861355</v>
      </c>
      <c r="D290">
        <f t="shared" si="69"/>
        <v>4.4970916746509007</v>
      </c>
      <c r="E290" s="1">
        <f t="shared" si="70"/>
        <v>0.2160094621920518</v>
      </c>
      <c r="F290" s="1">
        <f t="shared" si="71"/>
        <v>0.25057097614278007</v>
      </c>
      <c r="G290" s="1">
        <f t="shared" si="72"/>
        <v>7.7763406389138645E-2</v>
      </c>
      <c r="H290" s="1">
        <f t="shared" si="73"/>
        <v>7.535326953379777E-2</v>
      </c>
      <c r="I290" s="1">
        <f t="shared" si="74"/>
        <v>0.27693377004104203</v>
      </c>
      <c r="J290" s="1">
        <f t="shared" si="75"/>
        <v>0.3000264614393357</v>
      </c>
      <c r="K290" s="1">
        <f t="shared" si="76"/>
        <v>0.1844892588128535</v>
      </c>
      <c r="L290" s="1">
        <f t="shared" si="77"/>
        <v>0.18293580715142593</v>
      </c>
      <c r="M290" s="1">
        <f t="shared" si="78"/>
        <v>0.39878238573902192</v>
      </c>
      <c r="N290" s="1">
        <f t="shared" si="79"/>
        <v>0.39893743203244658</v>
      </c>
      <c r="O290" s="1">
        <f t="shared" si="80"/>
        <v>0.39794096366028298</v>
      </c>
      <c r="P290" s="1">
        <f t="shared" si="81"/>
        <v>0.39810088238668218</v>
      </c>
      <c r="Q290" s="1">
        <f t="shared" si="82"/>
        <v>6.0482649413774503</v>
      </c>
      <c r="T290">
        <v>0.97012908739378079</v>
      </c>
      <c r="U290">
        <f t="shared" si="89"/>
        <v>1.0307906576499695</v>
      </c>
      <c r="V290" s="15">
        <f t="shared" si="83"/>
        <v>0</v>
      </c>
      <c r="W290" s="15">
        <f t="shared" si="84"/>
        <v>0</v>
      </c>
      <c r="X290" s="15">
        <f t="shared" si="85"/>
        <v>0</v>
      </c>
      <c r="Y290" s="15">
        <f t="shared" si="86"/>
        <v>0</v>
      </c>
      <c r="Z290" s="15">
        <f t="shared" si="87"/>
        <v>0</v>
      </c>
      <c r="AA290" s="15">
        <f t="shared" si="88"/>
        <v>0</v>
      </c>
      <c r="AC290" s="1"/>
      <c r="AD290" s="1"/>
      <c r="AE290" s="1"/>
    </row>
    <row r="291" spans="1:31">
      <c r="A291">
        <v>610</v>
      </c>
      <c r="B291">
        <f t="shared" si="68"/>
        <v>0.22758711973768062</v>
      </c>
      <c r="C291">
        <v>0.22281742779733404</v>
      </c>
      <c r="D291">
        <f t="shared" si="69"/>
        <v>4.4879792836921206</v>
      </c>
      <c r="E291" s="1">
        <f t="shared" si="70"/>
        <v>0.21588404783407389</v>
      </c>
      <c r="F291" s="1">
        <f t="shared" si="71"/>
        <v>0.25042549548752568</v>
      </c>
      <c r="G291" s="1">
        <f t="shared" si="72"/>
        <v>7.7718257220266596E-2</v>
      </c>
      <c r="H291" s="1">
        <f t="shared" si="73"/>
        <v>7.5309519682174531E-2</v>
      </c>
      <c r="I291" s="1">
        <f t="shared" si="74"/>
        <v>0.27677298323744715</v>
      </c>
      <c r="J291" s="1">
        <f t="shared" si="75"/>
        <v>0.29985226709777324</v>
      </c>
      <c r="K291" s="1">
        <f t="shared" si="76"/>
        <v>0.18438214497759353</v>
      </c>
      <c r="L291" s="1">
        <f t="shared" si="77"/>
        <v>0.18282959524490922</v>
      </c>
      <c r="M291" s="1">
        <f t="shared" si="78"/>
        <v>0.39855085404419321</v>
      </c>
      <c r="N291" s="1">
        <f t="shared" si="79"/>
        <v>0.39870581031826807</v>
      </c>
      <c r="O291" s="1">
        <f t="shared" si="80"/>
        <v>0.39770992049224713</v>
      </c>
      <c r="P291" s="1">
        <f t="shared" si="81"/>
        <v>0.39786974637037853</v>
      </c>
      <c r="Q291" s="1">
        <f t="shared" si="82"/>
        <v>6.0447533393540684</v>
      </c>
      <c r="T291">
        <v>0.97644434223239196</v>
      </c>
      <c r="U291">
        <f t="shared" si="89"/>
        <v>1.0241239123919281</v>
      </c>
      <c r="V291" s="15">
        <f t="shared" si="83"/>
        <v>0</v>
      </c>
      <c r="W291" s="15">
        <f t="shared" si="84"/>
        <v>0</v>
      </c>
      <c r="X291" s="15">
        <f t="shared" si="85"/>
        <v>0</v>
      </c>
      <c r="Y291" s="15">
        <f t="shared" si="86"/>
        <v>0</v>
      </c>
      <c r="Z291" s="15">
        <f t="shared" si="87"/>
        <v>0</v>
      </c>
      <c r="AA291" s="15">
        <f t="shared" si="88"/>
        <v>0</v>
      </c>
      <c r="AC291" s="1"/>
      <c r="AD291" s="1"/>
      <c r="AE291" s="1"/>
    </row>
    <row r="292" spans="1:31">
      <c r="A292">
        <v>622</v>
      </c>
      <c r="B292">
        <f t="shared" si="68"/>
        <v>0.22802033251846091</v>
      </c>
      <c r="C292">
        <v>0.22301012289323952</v>
      </c>
      <c r="D292">
        <f t="shared" si="69"/>
        <v>4.4841013808091787</v>
      </c>
      <c r="E292" s="1">
        <f t="shared" si="70"/>
        <v>0.21583052141854459</v>
      </c>
      <c r="F292" s="1">
        <f t="shared" si="71"/>
        <v>0.25036340484551167</v>
      </c>
      <c r="G292" s="1">
        <f t="shared" si="72"/>
        <v>7.7698987710676043E-2</v>
      </c>
      <c r="H292" s="1">
        <f t="shared" si="73"/>
        <v>7.5290847396360619E-2</v>
      </c>
      <c r="I292" s="1">
        <f t="shared" si="74"/>
        <v>0.27670435998410037</v>
      </c>
      <c r="J292" s="1">
        <f t="shared" si="75"/>
        <v>0.29977792155345395</v>
      </c>
      <c r="K292" s="1">
        <f t="shared" si="76"/>
        <v>0.18433642916205611</v>
      </c>
      <c r="L292" s="1">
        <f t="shared" si="77"/>
        <v>0.18278426436944936</v>
      </c>
      <c r="M292" s="1">
        <f t="shared" si="78"/>
        <v>0.39845203711521138</v>
      </c>
      <c r="N292" s="1">
        <f t="shared" si="79"/>
        <v>0.39860695496933818</v>
      </c>
      <c r="O292" s="1">
        <f t="shared" si="80"/>
        <v>0.39761131206481598</v>
      </c>
      <c r="P292" s="1">
        <f t="shared" si="81"/>
        <v>0.39777109831562679</v>
      </c>
      <c r="Q292" s="1">
        <f t="shared" si="82"/>
        <v>6.0432545997192486</v>
      </c>
      <c r="T292">
        <v>0.13903235091710142</v>
      </c>
      <c r="U292">
        <f t="shared" si="89"/>
        <v>7.1925706024798064</v>
      </c>
      <c r="V292" s="15">
        <f t="shared" si="83"/>
        <v>8.5794567609162042E-2</v>
      </c>
      <c r="W292" s="15">
        <f t="shared" si="84"/>
        <v>8.963297059454986E-2</v>
      </c>
      <c r="X292" s="15">
        <f t="shared" si="85"/>
        <v>9.7309776565325412E-2</v>
      </c>
      <c r="Y292" s="15">
        <f t="shared" si="86"/>
        <v>0.12214341222059219</v>
      </c>
      <c r="Z292" s="15">
        <f t="shared" si="87"/>
        <v>0.12537457947642933</v>
      </c>
      <c r="AA292" s="15">
        <f t="shared" si="88"/>
        <v>0.13183691398810357</v>
      </c>
      <c r="AC292" s="1"/>
      <c r="AD292" s="1"/>
      <c r="AE292" s="1"/>
    </row>
    <row r="293" spans="1:31">
      <c r="A293">
        <v>854</v>
      </c>
      <c r="B293">
        <f t="shared" si="68"/>
        <v>0.22852882096260668</v>
      </c>
      <c r="C293">
        <v>0.22338896981020795</v>
      </c>
      <c r="D293">
        <f t="shared" si="69"/>
        <v>4.4764967619019123</v>
      </c>
      <c r="E293" s="1">
        <f t="shared" si="70"/>
        <v>0.21572528616383113</v>
      </c>
      <c r="F293" s="1">
        <f t="shared" si="71"/>
        <v>0.25024133195004411</v>
      </c>
      <c r="G293" s="1">
        <f t="shared" si="72"/>
        <v>7.7661103018979202E-2</v>
      </c>
      <c r="H293" s="1">
        <f t="shared" si="73"/>
        <v>7.5254136872514074E-2</v>
      </c>
      <c r="I293" s="1">
        <f t="shared" si="74"/>
        <v>0.2765694436913913</v>
      </c>
      <c r="J293" s="1">
        <f t="shared" si="75"/>
        <v>0.29963175498848066</v>
      </c>
      <c r="K293" s="1">
        <f t="shared" si="76"/>
        <v>0.18424654988572237</v>
      </c>
      <c r="L293" s="1">
        <f t="shared" si="77"/>
        <v>0.18269514190200545</v>
      </c>
      <c r="M293" s="1">
        <f t="shared" si="78"/>
        <v>0.39825775874651115</v>
      </c>
      <c r="N293" s="1">
        <f t="shared" si="79"/>
        <v>0.39841260106535342</v>
      </c>
      <c r="O293" s="1">
        <f t="shared" si="80"/>
        <v>0.39741744361920839</v>
      </c>
      <c r="P293" s="1">
        <f t="shared" si="81"/>
        <v>0.39757715196098808</v>
      </c>
      <c r="Q293" s="1">
        <f t="shared" si="82"/>
        <v>6.0403080125872712</v>
      </c>
      <c r="T293">
        <v>0.79147053552898838</v>
      </c>
      <c r="U293">
        <f t="shared" si="89"/>
        <v>1.2634709128263866</v>
      </c>
      <c r="V293" s="15">
        <f t="shared" si="83"/>
        <v>0</v>
      </c>
      <c r="W293" s="15">
        <f t="shared" si="84"/>
        <v>0</v>
      </c>
      <c r="X293" s="15">
        <f t="shared" si="85"/>
        <v>0</v>
      </c>
      <c r="Y293" s="15">
        <f t="shared" si="86"/>
        <v>0</v>
      </c>
      <c r="Z293" s="15">
        <f t="shared" si="87"/>
        <v>0</v>
      </c>
      <c r="AA293" s="15">
        <f t="shared" si="88"/>
        <v>0</v>
      </c>
      <c r="AC293" s="1"/>
      <c r="AD293" s="1"/>
      <c r="AE293" s="1"/>
    </row>
    <row r="294" spans="1:31">
      <c r="A294">
        <v>138</v>
      </c>
      <c r="B294">
        <f t="shared" si="68"/>
        <v>0.2286372749488533</v>
      </c>
      <c r="C294">
        <v>0.22400037187773092</v>
      </c>
      <c r="D294">
        <f t="shared" si="69"/>
        <v>4.4642783028317616</v>
      </c>
      <c r="E294" s="1">
        <f t="shared" si="70"/>
        <v>0.21555545225618586</v>
      </c>
      <c r="F294" s="1">
        <f t="shared" si="71"/>
        <v>0.25004432461717557</v>
      </c>
      <c r="G294" s="1">
        <f t="shared" si="72"/>
        <v>7.7599962812226905E-2</v>
      </c>
      <c r="H294" s="1">
        <f t="shared" si="73"/>
        <v>7.5194891596455787E-2</v>
      </c>
      <c r="I294" s="1">
        <f t="shared" si="74"/>
        <v>0.27635170904288231</v>
      </c>
      <c r="J294" s="1">
        <f t="shared" si="75"/>
        <v>0.2993958640889518</v>
      </c>
      <c r="K294" s="1">
        <f t="shared" si="76"/>
        <v>0.18410149822259239</v>
      </c>
      <c r="L294" s="1">
        <f t="shared" si="77"/>
        <v>0.18255131161484356</v>
      </c>
      <c r="M294" s="1">
        <f t="shared" si="78"/>
        <v>0.39794422261627466</v>
      </c>
      <c r="N294" s="1">
        <f t="shared" si="79"/>
        <v>0.39809894303250393</v>
      </c>
      <c r="O294" s="1">
        <f t="shared" si="80"/>
        <v>0.39710456904332309</v>
      </c>
      <c r="P294" s="1">
        <f t="shared" si="81"/>
        <v>0.39726415165161899</v>
      </c>
      <c r="Q294" s="1">
        <f t="shared" si="82"/>
        <v>6.0355526631732044</v>
      </c>
      <c r="T294">
        <v>0.62358934453344872</v>
      </c>
      <c r="U294">
        <f t="shared" si="89"/>
        <v>1.6036194472632799</v>
      </c>
      <c r="V294" s="15">
        <f t="shared" si="83"/>
        <v>0</v>
      </c>
      <c r="W294" s="15">
        <f t="shared" si="84"/>
        <v>0</v>
      </c>
      <c r="X294" s="15">
        <f t="shared" si="85"/>
        <v>0</v>
      </c>
      <c r="Y294" s="15">
        <f t="shared" si="86"/>
        <v>0</v>
      </c>
      <c r="Z294" s="15">
        <f t="shared" si="87"/>
        <v>0</v>
      </c>
      <c r="AA294" s="15">
        <f t="shared" si="88"/>
        <v>0</v>
      </c>
      <c r="AC294" s="1"/>
      <c r="AD294" s="1"/>
      <c r="AE294" s="1"/>
    </row>
    <row r="295" spans="1:31">
      <c r="A295">
        <v>850</v>
      </c>
      <c r="B295">
        <f t="shared" si="68"/>
        <v>0.22871844159658392</v>
      </c>
      <c r="C295">
        <v>0.22488184998927307</v>
      </c>
      <c r="D295">
        <f t="shared" si="69"/>
        <v>4.4467794979794961</v>
      </c>
      <c r="E295" s="1">
        <f t="shared" si="70"/>
        <v>0.21531059722520193</v>
      </c>
      <c r="F295" s="1">
        <f t="shared" si="71"/>
        <v>0.24976029278123421</v>
      </c>
      <c r="G295" s="1">
        <f t="shared" si="72"/>
        <v>7.7511815001072695E-2</v>
      </c>
      <c r="H295" s="1">
        <f t="shared" si="73"/>
        <v>7.5109475768097136E-2</v>
      </c>
      <c r="I295" s="1">
        <f t="shared" si="74"/>
        <v>0.27603779396640471</v>
      </c>
      <c r="J295" s="1">
        <f t="shared" si="75"/>
        <v>0.29905577255885757</v>
      </c>
      <c r="K295" s="1">
        <f t="shared" si="76"/>
        <v>0.1838923725540943</v>
      </c>
      <c r="L295" s="1">
        <f t="shared" si="77"/>
        <v>0.18234394684353411</v>
      </c>
      <c r="M295" s="1">
        <f t="shared" si="78"/>
        <v>0.39749218744880982</v>
      </c>
      <c r="N295" s="1">
        <f t="shared" si="79"/>
        <v>0.39764673211410395</v>
      </c>
      <c r="O295" s="1">
        <f t="shared" si="80"/>
        <v>0.39665348766013725</v>
      </c>
      <c r="P295" s="1">
        <f t="shared" si="81"/>
        <v>0.39681288899440792</v>
      </c>
      <c r="Q295" s="1">
        <f t="shared" si="82"/>
        <v>6.0286967223056536</v>
      </c>
      <c r="T295">
        <v>0.40835024037503798</v>
      </c>
      <c r="U295">
        <f t="shared" si="89"/>
        <v>2.4488781960348001</v>
      </c>
      <c r="V295" s="15">
        <f t="shared" si="83"/>
        <v>6.3874075921565104E-2</v>
      </c>
      <c r="W295" s="15">
        <f t="shared" si="84"/>
        <v>6.8738833550801764E-2</v>
      </c>
      <c r="X295" s="15">
        <f t="shared" si="85"/>
        <v>7.8468348809275001E-2</v>
      </c>
      <c r="Y295" s="15">
        <f t="shared" si="86"/>
        <v>8.9707994359211049E-2</v>
      </c>
      <c r="Z295" s="15">
        <f t="shared" si="87"/>
        <v>9.3986716563632527E-2</v>
      </c>
      <c r="AA295" s="15">
        <f t="shared" si="88"/>
        <v>0.1025441609724755</v>
      </c>
      <c r="AC295" s="1"/>
      <c r="AD295" s="1"/>
      <c r="AE295" s="1"/>
    </row>
    <row r="296" spans="1:31">
      <c r="A296">
        <v>198</v>
      </c>
      <c r="B296">
        <f t="shared" si="68"/>
        <v>0.22944105000768092</v>
      </c>
      <c r="C296">
        <v>0.22613296681639905</v>
      </c>
      <c r="D296">
        <f t="shared" si="69"/>
        <v>4.4221769787857417</v>
      </c>
      <c r="E296" s="1">
        <f t="shared" si="70"/>
        <v>0.2149630647732225</v>
      </c>
      <c r="F296" s="1">
        <f t="shared" si="71"/>
        <v>0.24935715513693807</v>
      </c>
      <c r="G296" s="1">
        <f t="shared" si="72"/>
        <v>7.7386703318360089E-2</v>
      </c>
      <c r="H296" s="1">
        <f t="shared" si="73"/>
        <v>7.4988241696867131E-2</v>
      </c>
      <c r="I296" s="1">
        <f t="shared" si="74"/>
        <v>0.2755922418541889</v>
      </c>
      <c r="J296" s="1">
        <f t="shared" si="75"/>
        <v>0.29857306716834081</v>
      </c>
      <c r="K296" s="1">
        <f t="shared" si="76"/>
        <v>0.18359555220266871</v>
      </c>
      <c r="L296" s="1">
        <f t="shared" si="77"/>
        <v>0.18204962580329351</v>
      </c>
      <c r="M296" s="1">
        <f t="shared" si="78"/>
        <v>0.39685059601612122</v>
      </c>
      <c r="N296" s="1">
        <f t="shared" si="79"/>
        <v>0.39700489123114602</v>
      </c>
      <c r="O296" s="1">
        <f t="shared" si="80"/>
        <v>0.39601324997128562</v>
      </c>
      <c r="P296" s="1">
        <f t="shared" si="81"/>
        <v>0.39617239401614623</v>
      </c>
      <c r="Q296" s="1">
        <f t="shared" si="82"/>
        <v>6.0189658136502295</v>
      </c>
      <c r="T296">
        <v>0.98634762636462658</v>
      </c>
      <c r="U296">
        <f t="shared" si="89"/>
        <v>1.013841340791473</v>
      </c>
      <c r="V296" s="15">
        <f t="shared" si="83"/>
        <v>0</v>
      </c>
      <c r="W296" s="15">
        <f t="shared" si="84"/>
        <v>0</v>
      </c>
      <c r="X296" s="15">
        <f t="shared" si="85"/>
        <v>0</v>
      </c>
      <c r="Y296" s="15">
        <f t="shared" si="86"/>
        <v>0</v>
      </c>
      <c r="Z296" s="15">
        <f t="shared" si="87"/>
        <v>0</v>
      </c>
      <c r="AA296" s="15">
        <f t="shared" si="88"/>
        <v>0</v>
      </c>
      <c r="AC296" s="1"/>
      <c r="AD296" s="1"/>
      <c r="AE296" s="1"/>
    </row>
    <row r="297" spans="1:31">
      <c r="A297">
        <v>982</v>
      </c>
      <c r="B297">
        <f t="shared" si="68"/>
        <v>0.22952929444267381</v>
      </c>
      <c r="C297">
        <v>0.22624899195026338</v>
      </c>
      <c r="D297">
        <f t="shared" si="69"/>
        <v>4.4199091955283993</v>
      </c>
      <c r="E297" s="1">
        <f t="shared" si="70"/>
        <v>0.21493083556937129</v>
      </c>
      <c r="F297" s="1">
        <f t="shared" si="71"/>
        <v>0.24931976926047067</v>
      </c>
      <c r="G297" s="1">
        <f t="shared" si="72"/>
        <v>7.7375100804973659E-2</v>
      </c>
      <c r="H297" s="1">
        <f t="shared" si="73"/>
        <v>7.4976998782505813E-2</v>
      </c>
      <c r="I297" s="1">
        <f t="shared" si="74"/>
        <v>0.27555092257661024</v>
      </c>
      <c r="J297" s="1">
        <f t="shared" si="75"/>
        <v>0.29852830239790734</v>
      </c>
      <c r="K297" s="1">
        <f t="shared" si="76"/>
        <v>0.18356802589956006</v>
      </c>
      <c r="L297" s="1">
        <f t="shared" si="77"/>
        <v>0.18202233127943082</v>
      </c>
      <c r="M297" s="1">
        <f t="shared" si="78"/>
        <v>0.39679109659108758</v>
      </c>
      <c r="N297" s="1">
        <f t="shared" si="79"/>
        <v>0.39694536867278041</v>
      </c>
      <c r="O297" s="1">
        <f t="shared" si="80"/>
        <v>0.39595387608873256</v>
      </c>
      <c r="P297" s="1">
        <f t="shared" si="81"/>
        <v>0.39611299627328078</v>
      </c>
      <c r="Q297" s="1">
        <f t="shared" si="82"/>
        <v>6.0180633959423959</v>
      </c>
      <c r="T297">
        <v>0.64101069056230398</v>
      </c>
      <c r="U297">
        <f t="shared" si="89"/>
        <v>1.560036384296158</v>
      </c>
      <c r="V297" s="15">
        <f t="shared" si="83"/>
        <v>0</v>
      </c>
      <c r="W297" s="15">
        <f t="shared" si="84"/>
        <v>0</v>
      </c>
      <c r="X297" s="15">
        <f t="shared" si="85"/>
        <v>0</v>
      </c>
      <c r="Y297" s="15">
        <f t="shared" si="86"/>
        <v>0</v>
      </c>
      <c r="Z297" s="15">
        <f t="shared" si="87"/>
        <v>0</v>
      </c>
      <c r="AA297" s="15">
        <f t="shared" si="88"/>
        <v>0</v>
      </c>
      <c r="AC297" s="1"/>
      <c r="AD297" s="1"/>
      <c r="AE297" s="1"/>
    </row>
    <row r="298" spans="1:31">
      <c r="A298">
        <v>796</v>
      </c>
      <c r="B298">
        <f t="shared" si="68"/>
        <v>0.23131167155435778</v>
      </c>
      <c r="C298">
        <v>0.22849941988756928</v>
      </c>
      <c r="D298">
        <f t="shared" si="69"/>
        <v>4.3763787255654281</v>
      </c>
      <c r="E298" s="1">
        <f t="shared" si="70"/>
        <v>0.21430571669789741</v>
      </c>
      <c r="F298" s="1">
        <f t="shared" si="71"/>
        <v>0.248594631369561</v>
      </c>
      <c r="G298" s="1">
        <f t="shared" si="72"/>
        <v>7.715005801124307E-2</v>
      </c>
      <c r="H298" s="1">
        <f t="shared" si="73"/>
        <v>7.4758930785230063E-2</v>
      </c>
      <c r="I298" s="1">
        <f t="shared" si="74"/>
        <v>0.27474949228719475</v>
      </c>
      <c r="J298" s="1">
        <f t="shared" si="75"/>
        <v>0.29766004319720391</v>
      </c>
      <c r="K298" s="1">
        <f t="shared" si="76"/>
        <v>0.18303412467089256</v>
      </c>
      <c r="L298" s="1">
        <f t="shared" si="77"/>
        <v>0.18149292564988953</v>
      </c>
      <c r="M298" s="1">
        <f t="shared" si="78"/>
        <v>0.39563704346578887</v>
      </c>
      <c r="N298" s="1">
        <f t="shared" si="79"/>
        <v>0.39579086685248938</v>
      </c>
      <c r="O298" s="1">
        <f t="shared" si="80"/>
        <v>0.39480225799019125</v>
      </c>
      <c r="P298" s="1">
        <f t="shared" si="81"/>
        <v>0.39496091537920841</v>
      </c>
      <c r="Q298" s="1">
        <f t="shared" si="82"/>
        <v>6.0005600675411284</v>
      </c>
      <c r="T298">
        <v>0.5205053534848515</v>
      </c>
      <c r="U298">
        <f t="shared" si="89"/>
        <v>1.9212098267671389</v>
      </c>
      <c r="V298" s="15">
        <f t="shared" si="83"/>
        <v>0</v>
      </c>
      <c r="W298" s="15">
        <f t="shared" si="84"/>
        <v>0</v>
      </c>
      <c r="X298" s="15">
        <f t="shared" si="85"/>
        <v>0</v>
      </c>
      <c r="Y298" s="15">
        <f t="shared" si="86"/>
        <v>0</v>
      </c>
      <c r="Z298" s="15">
        <f t="shared" si="87"/>
        <v>0</v>
      </c>
      <c r="AA298" s="15">
        <f t="shared" si="88"/>
        <v>0</v>
      </c>
      <c r="AC298" s="1"/>
      <c r="AD298" s="1"/>
      <c r="AE298" s="1"/>
    </row>
    <row r="299" spans="1:31">
      <c r="A299">
        <v>829</v>
      </c>
      <c r="B299">
        <f t="shared" si="68"/>
        <v>0.23148715917677837</v>
      </c>
      <c r="C299">
        <v>0.22867698315495444</v>
      </c>
      <c r="D299">
        <f t="shared" si="69"/>
        <v>4.3729805518834715</v>
      </c>
      <c r="E299" s="1">
        <f t="shared" si="70"/>
        <v>0.21425639356806822</v>
      </c>
      <c r="F299" s="1">
        <f t="shared" si="71"/>
        <v>0.24853741653895911</v>
      </c>
      <c r="G299" s="1">
        <f t="shared" si="72"/>
        <v>7.7132301684504551E-2</v>
      </c>
      <c r="H299" s="1">
        <f t="shared" si="73"/>
        <v>7.4741724783888477E-2</v>
      </c>
      <c r="I299" s="1">
        <f t="shared" si="74"/>
        <v>0.27468625783368883</v>
      </c>
      <c r="J299" s="1">
        <f t="shared" si="75"/>
        <v>0.29759153580887193</v>
      </c>
      <c r="K299" s="1">
        <f t="shared" si="76"/>
        <v>0.18299199879560829</v>
      </c>
      <c r="L299" s="1">
        <f t="shared" si="77"/>
        <v>0.18145115448637208</v>
      </c>
      <c r="M299" s="1">
        <f t="shared" si="78"/>
        <v>0.39554598636492949</v>
      </c>
      <c r="N299" s="1">
        <f t="shared" si="79"/>
        <v>0.39569977434869724</v>
      </c>
      <c r="O299" s="1">
        <f t="shared" si="80"/>
        <v>0.39471139301781555</v>
      </c>
      <c r="P299" s="1">
        <f t="shared" si="81"/>
        <v>0.39487001389133924</v>
      </c>
      <c r="Q299" s="1">
        <f t="shared" si="82"/>
        <v>5.9991790199059096</v>
      </c>
      <c r="T299">
        <v>0.30370926748657501</v>
      </c>
      <c r="U299">
        <f t="shared" si="89"/>
        <v>3.2926226067309701</v>
      </c>
      <c r="V299" s="15">
        <f t="shared" si="83"/>
        <v>7.0719537802482801E-2</v>
      </c>
      <c r="W299" s="15">
        <f t="shared" si="84"/>
        <v>7.5311510103156024E-2</v>
      </c>
      <c r="X299" s="15">
        <f t="shared" si="85"/>
        <v>8.4495454704502482E-2</v>
      </c>
      <c r="Y299" s="15">
        <f t="shared" si="86"/>
        <v>9.983956650193597E-2</v>
      </c>
      <c r="Z299" s="15">
        <f t="shared" si="87"/>
        <v>0.10384572930483919</v>
      </c>
      <c r="AA299" s="15">
        <f t="shared" si="88"/>
        <v>0.11185805491064571</v>
      </c>
      <c r="AC299" s="1"/>
      <c r="AD299" s="1"/>
      <c r="AE299" s="1"/>
    </row>
    <row r="300" spans="1:31">
      <c r="A300">
        <v>202</v>
      </c>
      <c r="B300">
        <f t="shared" si="68"/>
        <v>0.23154952720690741</v>
      </c>
      <c r="C300">
        <v>0.22874008886609998</v>
      </c>
      <c r="D300">
        <f t="shared" si="69"/>
        <v>4.3717741168902871</v>
      </c>
      <c r="E300" s="1">
        <f t="shared" si="70"/>
        <v>0.21423886420386112</v>
      </c>
      <c r="F300" s="1">
        <f t="shared" si="71"/>
        <v>0.24851708247647888</v>
      </c>
      <c r="G300" s="1">
        <f t="shared" si="72"/>
        <v>7.7125991113389997E-2</v>
      </c>
      <c r="H300" s="1">
        <f t="shared" si="73"/>
        <v>7.4735609797570518E-2</v>
      </c>
      <c r="I300" s="1">
        <f t="shared" si="74"/>
        <v>0.27466378440652023</v>
      </c>
      <c r="J300" s="1">
        <f t="shared" si="75"/>
        <v>0.29756718838880541</v>
      </c>
      <c r="K300" s="1">
        <f t="shared" si="76"/>
        <v>0.18297702732455695</v>
      </c>
      <c r="L300" s="1">
        <f t="shared" si="77"/>
        <v>0.18143630907933511</v>
      </c>
      <c r="M300" s="1">
        <f t="shared" si="78"/>
        <v>0.39551362481183799</v>
      </c>
      <c r="N300" s="1">
        <f t="shared" si="79"/>
        <v>0.39566740021345814</v>
      </c>
      <c r="O300" s="1">
        <f t="shared" si="80"/>
        <v>0.39467909974689053</v>
      </c>
      <c r="P300" s="1">
        <f t="shared" si="81"/>
        <v>0.39483770764286424</v>
      </c>
      <c r="Q300" s="1">
        <f t="shared" si="82"/>
        <v>5.9986881977081117</v>
      </c>
      <c r="T300">
        <v>0.80970002776112948</v>
      </c>
      <c r="U300">
        <f t="shared" si="89"/>
        <v>1.2350252756753159</v>
      </c>
      <c r="V300" s="15">
        <f t="shared" si="83"/>
        <v>0</v>
      </c>
      <c r="W300" s="15">
        <f t="shared" si="84"/>
        <v>0</v>
      </c>
      <c r="X300" s="15">
        <f t="shared" si="85"/>
        <v>0</v>
      </c>
      <c r="Y300" s="15">
        <f t="shared" si="86"/>
        <v>0</v>
      </c>
      <c r="Z300" s="15">
        <f t="shared" si="87"/>
        <v>0</v>
      </c>
      <c r="AA300" s="15">
        <f t="shared" si="88"/>
        <v>0</v>
      </c>
      <c r="AC300" s="1"/>
      <c r="AD300" s="1"/>
      <c r="AE300" s="1"/>
    </row>
    <row r="301" spans="1:31">
      <c r="A301">
        <v>900</v>
      </c>
      <c r="B301">
        <f t="shared" si="68"/>
        <v>0.2322492271716069</v>
      </c>
      <c r="C301">
        <v>0.229513065240883</v>
      </c>
      <c r="D301">
        <f t="shared" si="69"/>
        <v>4.3570504317497596</v>
      </c>
      <c r="E301" s="1">
        <f t="shared" si="70"/>
        <v>0.21402414854419916</v>
      </c>
      <c r="F301" s="1">
        <f t="shared" si="71"/>
        <v>0.24826801231127102</v>
      </c>
      <c r="G301" s="1">
        <f t="shared" si="72"/>
        <v>7.70486934759117E-2</v>
      </c>
      <c r="H301" s="1">
        <f t="shared" si="73"/>
        <v>7.4660707861278264E-2</v>
      </c>
      <c r="I301" s="1">
        <f t="shared" si="74"/>
        <v>0.27438850934905928</v>
      </c>
      <c r="J301" s="1">
        <f t="shared" si="75"/>
        <v>0.29726895895510258</v>
      </c>
      <c r="K301" s="1">
        <f t="shared" si="76"/>
        <v>0.18279364307599413</v>
      </c>
      <c r="L301" s="1">
        <f t="shared" si="77"/>
        <v>0.18125446897793537</v>
      </c>
      <c r="M301" s="1">
        <f t="shared" si="78"/>
        <v>0.39511723095877893</v>
      </c>
      <c r="N301" s="1">
        <f t="shared" si="79"/>
        <v>0.39527085224276537</v>
      </c>
      <c r="O301" s="1">
        <f t="shared" si="80"/>
        <v>0.39428354227615875</v>
      </c>
      <c r="P301" s="1">
        <f t="shared" si="81"/>
        <v>0.39444199121124951</v>
      </c>
      <c r="Q301" s="1">
        <f t="shared" si="82"/>
        <v>5.9926761592375772</v>
      </c>
      <c r="T301">
        <v>0.69364344349027762</v>
      </c>
      <c r="U301">
        <f t="shared" si="89"/>
        <v>1.4416628736057771</v>
      </c>
      <c r="V301" s="15">
        <f t="shared" si="83"/>
        <v>0</v>
      </c>
      <c r="W301" s="15">
        <f t="shared" si="84"/>
        <v>0</v>
      </c>
      <c r="X301" s="15">
        <f t="shared" si="85"/>
        <v>0</v>
      </c>
      <c r="Y301" s="15">
        <f t="shared" si="86"/>
        <v>0</v>
      </c>
      <c r="Z301" s="15">
        <f t="shared" si="87"/>
        <v>0</v>
      </c>
      <c r="AA301" s="15">
        <f t="shared" si="88"/>
        <v>0</v>
      </c>
      <c r="AC301" s="1"/>
      <c r="AD301" s="1"/>
      <c r="AE301" s="1"/>
    </row>
    <row r="302" spans="1:31">
      <c r="A302">
        <v>696</v>
      </c>
      <c r="B302">
        <f t="shared" si="68"/>
        <v>0.23279297053711562</v>
      </c>
      <c r="C302">
        <v>0.23022665762263805</v>
      </c>
      <c r="D302">
        <f t="shared" si="69"/>
        <v>4.3435456620279345</v>
      </c>
      <c r="E302" s="1">
        <f t="shared" si="70"/>
        <v>0.21382592843815609</v>
      </c>
      <c r="F302" s="1">
        <f t="shared" si="71"/>
        <v>0.24803807698826105</v>
      </c>
      <c r="G302" s="1">
        <f t="shared" si="72"/>
        <v>7.69773342377362E-2</v>
      </c>
      <c r="H302" s="1">
        <f t="shared" si="73"/>
        <v>7.459156027428783E-2</v>
      </c>
      <c r="I302" s="1">
        <f t="shared" si="74"/>
        <v>0.27413438232745851</v>
      </c>
      <c r="J302" s="1">
        <f t="shared" si="75"/>
        <v>0.29699364102968062</v>
      </c>
      <c r="K302" s="1">
        <f t="shared" si="76"/>
        <v>0.18262434734202682</v>
      </c>
      <c r="L302" s="1">
        <f t="shared" si="77"/>
        <v>0.18108659876185942</v>
      </c>
      <c r="M302" s="1">
        <f t="shared" si="78"/>
        <v>0.39475129010606286</v>
      </c>
      <c r="N302" s="1">
        <f t="shared" si="79"/>
        <v>0.39490476911251937</v>
      </c>
      <c r="O302" s="1">
        <f t="shared" si="80"/>
        <v>0.39391837355060777</v>
      </c>
      <c r="P302" s="1">
        <f t="shared" si="81"/>
        <v>0.3940766757370025</v>
      </c>
      <c r="Q302" s="1">
        <f t="shared" si="82"/>
        <v>5.9871259962683707</v>
      </c>
      <c r="T302">
        <v>0.45003761485093485</v>
      </c>
      <c r="U302">
        <f t="shared" si="89"/>
        <v>2.2220364853973997</v>
      </c>
      <c r="V302" s="15">
        <f t="shared" si="83"/>
        <v>6.1146947866338897E-2</v>
      </c>
      <c r="W302" s="15">
        <f t="shared" si="84"/>
        <v>6.6120379027839793E-2</v>
      </c>
      <c r="X302" s="15">
        <f t="shared" si="85"/>
        <v>7.6067241350841419E-2</v>
      </c>
      <c r="Y302" s="15">
        <f t="shared" si="86"/>
        <v>8.5671729879966088E-2</v>
      </c>
      <c r="Z302" s="15">
        <f t="shared" si="87"/>
        <v>9.0059035610748017E-2</v>
      </c>
      <c r="AA302" s="15">
        <f t="shared" si="88"/>
        <v>9.8833647072311862E-2</v>
      </c>
      <c r="AC302" s="1"/>
      <c r="AD302" s="1"/>
      <c r="AE302" s="1"/>
    </row>
    <row r="303" spans="1:31">
      <c r="A303">
        <v>722</v>
      </c>
      <c r="B303">
        <f t="shared" si="68"/>
        <v>0.23437670744861627</v>
      </c>
      <c r="C303">
        <v>0.23104365001916705</v>
      </c>
      <c r="D303">
        <f t="shared" si="69"/>
        <v>4.3281864700330068</v>
      </c>
      <c r="E303" s="1">
        <f t="shared" si="70"/>
        <v>0.21359898610578693</v>
      </c>
      <c r="F303" s="1">
        <f t="shared" si="71"/>
        <v>0.24777482388271282</v>
      </c>
      <c r="G303" s="1">
        <f t="shared" si="72"/>
        <v>7.6895634998083301E-2</v>
      </c>
      <c r="H303" s="1">
        <f t="shared" si="73"/>
        <v>7.4512393155560228E-2</v>
      </c>
      <c r="I303" s="1">
        <f t="shared" si="74"/>
        <v>0.27384343212996659</v>
      </c>
      <c r="J303" s="1">
        <f t="shared" si="75"/>
        <v>0.29667842935218947</v>
      </c>
      <c r="K303" s="1">
        <f t="shared" si="76"/>
        <v>0.1824305205426488</v>
      </c>
      <c r="L303" s="1">
        <f t="shared" si="77"/>
        <v>0.18089440403887144</v>
      </c>
      <c r="M303" s="1">
        <f t="shared" si="78"/>
        <v>0.39433232417832542</v>
      </c>
      <c r="N303" s="1">
        <f t="shared" si="79"/>
        <v>0.39448564029114247</v>
      </c>
      <c r="O303" s="1">
        <f t="shared" si="80"/>
        <v>0.39350029163177958</v>
      </c>
      <c r="P303" s="1">
        <f t="shared" si="81"/>
        <v>0.39365842580549382</v>
      </c>
      <c r="Q303" s="1">
        <f t="shared" si="82"/>
        <v>5.9807716109620346</v>
      </c>
      <c r="T303">
        <v>0.77181880102295386</v>
      </c>
      <c r="U303">
        <f t="shared" si="89"/>
        <v>1.2956408922335387</v>
      </c>
      <c r="V303" s="15">
        <f t="shared" si="83"/>
        <v>0</v>
      </c>
      <c r="W303" s="15">
        <f t="shared" si="84"/>
        <v>0</v>
      </c>
      <c r="X303" s="15">
        <f t="shared" si="85"/>
        <v>0</v>
      </c>
      <c r="Y303" s="15">
        <f t="shared" si="86"/>
        <v>0</v>
      </c>
      <c r="Z303" s="15">
        <f t="shared" si="87"/>
        <v>0</v>
      </c>
      <c r="AA303" s="15">
        <f t="shared" si="88"/>
        <v>0</v>
      </c>
      <c r="AC303" s="1"/>
      <c r="AD303" s="1"/>
      <c r="AE303" s="1"/>
    </row>
    <row r="304" spans="1:31">
      <c r="A304">
        <v>560</v>
      </c>
      <c r="B304">
        <f t="shared" si="68"/>
        <v>0.23513204527514669</v>
      </c>
      <c r="C304">
        <v>0.2320329497110073</v>
      </c>
      <c r="D304">
        <f t="shared" si="69"/>
        <v>4.3097327394470542</v>
      </c>
      <c r="E304" s="1">
        <f t="shared" si="70"/>
        <v>0.21332418063583131</v>
      </c>
      <c r="F304" s="1">
        <f t="shared" si="71"/>
        <v>0.24745604953756431</v>
      </c>
      <c r="G304" s="1">
        <f t="shared" si="72"/>
        <v>7.6796705028899265E-2</v>
      </c>
      <c r="H304" s="1">
        <f t="shared" si="73"/>
        <v>7.4416529342758747E-2</v>
      </c>
      <c r="I304" s="1">
        <f t="shared" si="74"/>
        <v>0.27349111925417668</v>
      </c>
      <c r="J304" s="1">
        <f t="shared" si="75"/>
        <v>0.2962967381433958</v>
      </c>
      <c r="K304" s="1">
        <f t="shared" si="76"/>
        <v>0.18219581481746741</v>
      </c>
      <c r="L304" s="1">
        <f t="shared" si="77"/>
        <v>0.18066167460218008</v>
      </c>
      <c r="M304" s="1">
        <f t="shared" si="78"/>
        <v>0.393824996490867</v>
      </c>
      <c r="N304" s="1">
        <f t="shared" si="79"/>
        <v>0.39397811535505844</v>
      </c>
      <c r="O304" s="1">
        <f t="shared" si="80"/>
        <v>0.3929940343946034</v>
      </c>
      <c r="P304" s="1">
        <f t="shared" si="81"/>
        <v>0.39315196512102268</v>
      </c>
      <c r="Q304" s="1">
        <f t="shared" si="82"/>
        <v>5.9730770578032768</v>
      </c>
      <c r="T304">
        <v>0.49431660220383788</v>
      </c>
      <c r="U304">
        <f t="shared" si="89"/>
        <v>2.0229949703118346</v>
      </c>
      <c r="V304" s="15">
        <f t="shared" si="83"/>
        <v>5.8250280225710022E-2</v>
      </c>
      <c r="W304" s="15">
        <f t="shared" si="84"/>
        <v>6.3339140915244757E-2</v>
      </c>
      <c r="X304" s="15">
        <f t="shared" si="85"/>
        <v>7.3516862294314034E-2</v>
      </c>
      <c r="Y304" s="15">
        <f t="shared" si="86"/>
        <v>8.138453966766826E-2</v>
      </c>
      <c r="Z304" s="15">
        <f t="shared" si="87"/>
        <v>8.5887179325110127E-2</v>
      </c>
      <c r="AA304" s="15">
        <f t="shared" si="88"/>
        <v>9.4892458639993793E-2</v>
      </c>
      <c r="AC304" s="1"/>
      <c r="AD304" s="1"/>
      <c r="AE304" s="1"/>
    </row>
    <row r="305" spans="1:31">
      <c r="A305">
        <v>452</v>
      </c>
      <c r="B305">
        <f t="shared" si="68"/>
        <v>0.23567142150289311</v>
      </c>
      <c r="C305">
        <v>0.23279569279386259</v>
      </c>
      <c r="D305">
        <f t="shared" si="69"/>
        <v>4.2956121223663981</v>
      </c>
      <c r="E305" s="1">
        <f t="shared" si="70"/>
        <v>0.21311230755726041</v>
      </c>
      <c r="F305" s="1">
        <f t="shared" si="71"/>
        <v>0.24721027676642204</v>
      </c>
      <c r="G305" s="1">
        <f t="shared" si="72"/>
        <v>7.6720430720613741E-2</v>
      </c>
      <c r="H305" s="1">
        <f t="shared" si="73"/>
        <v>7.434261901941229E-2</v>
      </c>
      <c r="I305" s="1">
        <f t="shared" si="74"/>
        <v>0.27321948851252581</v>
      </c>
      <c r="J305" s="1">
        <f t="shared" si="75"/>
        <v>0.29600245691426441</v>
      </c>
      <c r="K305" s="1">
        <f t="shared" si="76"/>
        <v>0.18201485835921194</v>
      </c>
      <c r="L305" s="1">
        <f t="shared" si="77"/>
        <v>0.18048224184840764</v>
      </c>
      <c r="M305" s="1">
        <f t="shared" si="78"/>
        <v>0.39343385042305606</v>
      </c>
      <c r="N305" s="1">
        <f t="shared" si="79"/>
        <v>0.39358681720994876</v>
      </c>
      <c r="O305" s="1">
        <f t="shared" si="80"/>
        <v>0.392603713636408</v>
      </c>
      <c r="P305" s="1">
        <f t="shared" si="81"/>
        <v>0.39276148750639828</v>
      </c>
      <c r="Q305" s="1">
        <f t="shared" si="82"/>
        <v>5.9671446116032909</v>
      </c>
      <c r="T305">
        <v>0.71309240928981654</v>
      </c>
      <c r="U305">
        <f t="shared" si="89"/>
        <v>1.402342791723054</v>
      </c>
      <c r="V305" s="15">
        <f t="shared" si="83"/>
        <v>0</v>
      </c>
      <c r="W305" s="15">
        <f t="shared" si="84"/>
        <v>0</v>
      </c>
      <c r="X305" s="15">
        <f t="shared" si="85"/>
        <v>0</v>
      </c>
      <c r="Y305" s="15">
        <f t="shared" si="86"/>
        <v>0</v>
      </c>
      <c r="Z305" s="15">
        <f t="shared" si="87"/>
        <v>0</v>
      </c>
      <c r="AA305" s="15">
        <f t="shared" si="88"/>
        <v>0</v>
      </c>
      <c r="AC305" s="1"/>
      <c r="AD305" s="1"/>
      <c r="AE305" s="1"/>
    </row>
    <row r="306" spans="1:31">
      <c r="A306">
        <v>5</v>
      </c>
      <c r="B306">
        <f t="shared" si="68"/>
        <v>0.23676960530850222</v>
      </c>
      <c r="C306">
        <v>0.23474130227316259</v>
      </c>
      <c r="D306">
        <f t="shared" si="69"/>
        <v>4.260008742885498</v>
      </c>
      <c r="E306" s="1">
        <f t="shared" si="70"/>
        <v>0.21257186047967705</v>
      </c>
      <c r="F306" s="1">
        <f t="shared" si="71"/>
        <v>0.24658335815642538</v>
      </c>
      <c r="G306" s="1">
        <f t="shared" si="72"/>
        <v>7.6525869772683747E-2</v>
      </c>
      <c r="H306" s="1">
        <f t="shared" si="73"/>
        <v>7.4154088137974861E-2</v>
      </c>
      <c r="I306" s="1">
        <f t="shared" si="74"/>
        <v>0.27252661124139149</v>
      </c>
      <c r="J306" s="1">
        <f t="shared" si="75"/>
        <v>0.2952518026483027</v>
      </c>
      <c r="K306" s="1">
        <f t="shared" si="76"/>
        <v>0.18155327357603113</v>
      </c>
      <c r="L306" s="1">
        <f t="shared" si="77"/>
        <v>0.18002454373945889</v>
      </c>
      <c r="M306" s="1">
        <f t="shared" si="78"/>
        <v>0.39243611276481982</v>
      </c>
      <c r="N306" s="1">
        <f t="shared" si="79"/>
        <v>0.39258869163205701</v>
      </c>
      <c r="O306" s="1">
        <f t="shared" si="80"/>
        <v>0.39160808118272555</v>
      </c>
      <c r="P306" s="1">
        <f t="shared" si="81"/>
        <v>0.39176545494242687</v>
      </c>
      <c r="Q306" s="1">
        <f t="shared" si="82"/>
        <v>5.9520120934309579</v>
      </c>
      <c r="T306">
        <v>1.1321205897373177E-2</v>
      </c>
      <c r="U306">
        <f t="shared" si="89"/>
        <v>88.329813013296302</v>
      </c>
      <c r="V306" s="15">
        <f t="shared" si="83"/>
        <v>0.10304197639427203</v>
      </c>
      <c r="W306" s="15">
        <f t="shared" si="84"/>
        <v>0.1057753682453844</v>
      </c>
      <c r="X306" s="15">
        <f t="shared" si="85"/>
        <v>0.11124215194760896</v>
      </c>
      <c r="Y306" s="15">
        <f t="shared" si="86"/>
        <v>0.14763297309330198</v>
      </c>
      <c r="Z306" s="15">
        <f t="shared" si="87"/>
        <v>0.14970192057754048</v>
      </c>
      <c r="AA306" s="15">
        <f t="shared" si="88"/>
        <v>0.15383981554601778</v>
      </c>
      <c r="AC306" s="1"/>
      <c r="AD306" s="1"/>
      <c r="AE306" s="1"/>
    </row>
    <row r="307" spans="1:31">
      <c r="A307">
        <v>458</v>
      </c>
      <c r="B307">
        <f t="shared" si="68"/>
        <v>0.23724795556071387</v>
      </c>
      <c r="C307">
        <v>0.23522917195059534</v>
      </c>
      <c r="D307">
        <f t="shared" si="69"/>
        <v>4.2511734055248374</v>
      </c>
      <c r="E307" s="1">
        <f t="shared" si="70"/>
        <v>0.21243634112483462</v>
      </c>
      <c r="F307" s="1">
        <f t="shared" si="71"/>
        <v>0.24642615570480816</v>
      </c>
      <c r="G307" s="1">
        <f t="shared" si="72"/>
        <v>7.6477082804940463E-2</v>
      </c>
      <c r="H307" s="1">
        <f t="shared" si="73"/>
        <v>7.4106813234510641E-2</v>
      </c>
      <c r="I307" s="1">
        <f t="shared" si="74"/>
        <v>0.27235286938087672</v>
      </c>
      <c r="J307" s="1">
        <f t="shared" si="75"/>
        <v>0.29506357296578178</v>
      </c>
      <c r="K307" s="1">
        <f t="shared" si="76"/>
        <v>0.18143752926985138</v>
      </c>
      <c r="L307" s="1">
        <f t="shared" si="77"/>
        <v>0.17990977403302494</v>
      </c>
      <c r="M307" s="1">
        <f t="shared" si="78"/>
        <v>0.39218592589296036</v>
      </c>
      <c r="N307" s="1">
        <f t="shared" si="79"/>
        <v>0.39233840748772875</v>
      </c>
      <c r="O307" s="1">
        <f t="shared" si="80"/>
        <v>0.39135842219967293</v>
      </c>
      <c r="P307" s="1">
        <f t="shared" si="81"/>
        <v>0.3915156956300534</v>
      </c>
      <c r="Q307" s="1">
        <f t="shared" si="82"/>
        <v>5.9482175514953699</v>
      </c>
      <c r="T307">
        <v>0.69076257797404306</v>
      </c>
      <c r="U307">
        <f t="shared" si="89"/>
        <v>1.4476754124882214</v>
      </c>
      <c r="V307" s="15">
        <f t="shared" si="83"/>
        <v>0</v>
      </c>
      <c r="W307" s="15">
        <f t="shared" si="84"/>
        <v>0</v>
      </c>
      <c r="X307" s="15">
        <f t="shared" si="85"/>
        <v>0</v>
      </c>
      <c r="Y307" s="15">
        <f t="shared" si="86"/>
        <v>0</v>
      </c>
      <c r="Z307" s="15">
        <f t="shared" si="87"/>
        <v>0</v>
      </c>
      <c r="AA307" s="15">
        <f t="shared" si="88"/>
        <v>0</v>
      </c>
      <c r="AC307" s="1"/>
      <c r="AD307" s="1"/>
      <c r="AE307" s="1"/>
    </row>
    <row r="308" spans="1:31">
      <c r="A308">
        <v>409</v>
      </c>
      <c r="B308">
        <f t="shared" si="68"/>
        <v>0.23725466277770402</v>
      </c>
      <c r="C308">
        <v>0.23601483872958229</v>
      </c>
      <c r="D308">
        <f t="shared" si="69"/>
        <v>4.237021728730225</v>
      </c>
      <c r="E308" s="1">
        <f t="shared" si="70"/>
        <v>0.21221810035289382</v>
      </c>
      <c r="F308" s="1">
        <f t="shared" si="71"/>
        <v>0.2461729964093568</v>
      </c>
      <c r="G308" s="1">
        <f t="shared" si="72"/>
        <v>7.6398516127041766E-2</v>
      </c>
      <c r="H308" s="1">
        <f t="shared" si="73"/>
        <v>7.4030681589422345E-2</v>
      </c>
      <c r="I308" s="1">
        <f t="shared" si="74"/>
        <v>0.27207307497216465</v>
      </c>
      <c r="J308" s="1">
        <f t="shared" si="75"/>
        <v>0.29476044732543843</v>
      </c>
      <c r="K308" s="1">
        <f t="shared" si="76"/>
        <v>0.1812511342950687</v>
      </c>
      <c r="L308" s="1">
        <f t="shared" si="77"/>
        <v>0.17972494855657034</v>
      </c>
      <c r="M308" s="1">
        <f t="shared" si="78"/>
        <v>0.39178302421070577</v>
      </c>
      <c r="N308" s="1">
        <f t="shared" si="79"/>
        <v>0.39193534915760136</v>
      </c>
      <c r="O308" s="1">
        <f t="shared" si="80"/>
        <v>0.39095637063112232</v>
      </c>
      <c r="P308" s="1">
        <f t="shared" si="81"/>
        <v>0.3911134824908663</v>
      </c>
      <c r="Q308" s="1">
        <f t="shared" si="82"/>
        <v>5.942106809881027</v>
      </c>
      <c r="T308">
        <v>0.4830856370675487</v>
      </c>
      <c r="U308">
        <f t="shared" si="89"/>
        <v>2.0700263540647814</v>
      </c>
      <c r="V308" s="15">
        <f t="shared" si="83"/>
        <v>5.8984993804953312E-2</v>
      </c>
      <c r="W308" s="15">
        <f t="shared" si="84"/>
        <v>6.4044576837465006E-2</v>
      </c>
      <c r="X308" s="15">
        <f t="shared" si="85"/>
        <v>7.4163742902488186E-2</v>
      </c>
      <c r="Y308" s="15">
        <f t="shared" si="86"/>
        <v>8.247194673556725E-2</v>
      </c>
      <c r="Z308" s="15">
        <f t="shared" si="87"/>
        <v>8.6945332984410928E-2</v>
      </c>
      <c r="AA308" s="15">
        <f t="shared" si="88"/>
        <v>9.58921054820982E-2</v>
      </c>
      <c r="AC308" s="1"/>
      <c r="AD308" s="1"/>
      <c r="AE308" s="1"/>
    </row>
    <row r="309" spans="1:31">
      <c r="A309">
        <v>400</v>
      </c>
      <c r="B309">
        <f t="shared" si="68"/>
        <v>0.23726518552104109</v>
      </c>
      <c r="C309">
        <v>0.23627243129763476</v>
      </c>
      <c r="D309">
        <f t="shared" si="69"/>
        <v>4.2324023776616153</v>
      </c>
      <c r="E309" s="1">
        <f t="shared" si="70"/>
        <v>0.21214654686176812</v>
      </c>
      <c r="F309" s="1">
        <f t="shared" si="71"/>
        <v>0.24608999435965101</v>
      </c>
      <c r="G309" s="1">
        <f t="shared" si="72"/>
        <v>7.6372756870236522E-2</v>
      </c>
      <c r="H309" s="1">
        <f t="shared" si="73"/>
        <v>7.4005720694431162E-2</v>
      </c>
      <c r="I309" s="1">
        <f t="shared" si="74"/>
        <v>0.27198134020343762</v>
      </c>
      <c r="J309" s="1">
        <f t="shared" si="75"/>
        <v>0.29466106306454443</v>
      </c>
      <c r="K309" s="1">
        <f t="shared" si="76"/>
        <v>0.18119002192337308</v>
      </c>
      <c r="L309" s="1">
        <f t="shared" si="77"/>
        <v>0.17966435076830337</v>
      </c>
      <c r="M309" s="1">
        <f t="shared" si="78"/>
        <v>0.39165092688677611</v>
      </c>
      <c r="N309" s="1">
        <f t="shared" si="79"/>
        <v>0.39180320047433093</v>
      </c>
      <c r="O309" s="1">
        <f t="shared" si="80"/>
        <v>0.39082455202964594</v>
      </c>
      <c r="P309" s="1">
        <f t="shared" si="81"/>
        <v>0.39098161091604766</v>
      </c>
      <c r="Q309" s="1">
        <f t="shared" si="82"/>
        <v>5.9401033121295077</v>
      </c>
      <c r="T309">
        <v>0.29328578197749511</v>
      </c>
      <c r="U309">
        <f t="shared" si="89"/>
        <v>3.4096436358334401</v>
      </c>
      <c r="V309" s="15">
        <f t="shared" si="83"/>
        <v>7.1401427226377587E-2</v>
      </c>
      <c r="W309" s="15">
        <f t="shared" si="84"/>
        <v>7.5966226863792022E-2</v>
      </c>
      <c r="X309" s="15">
        <f t="shared" si="85"/>
        <v>8.5095826138620906E-2</v>
      </c>
      <c r="Y309" s="15">
        <f t="shared" si="86"/>
        <v>0.10084879159320549</v>
      </c>
      <c r="Z309" s="15">
        <f t="shared" si="87"/>
        <v>0.10482780423787082</v>
      </c>
      <c r="AA309" s="15">
        <f t="shared" si="88"/>
        <v>0.11278582952720155</v>
      </c>
      <c r="AC309" s="1"/>
      <c r="AD309" s="1"/>
      <c r="AE309" s="1"/>
    </row>
    <row r="310" spans="1:31">
      <c r="A310">
        <v>473</v>
      </c>
      <c r="B310">
        <f t="shared" si="68"/>
        <v>0.23754227837393463</v>
      </c>
      <c r="C310">
        <v>0.23725390053715101</v>
      </c>
      <c r="D310">
        <f t="shared" si="69"/>
        <v>4.2148938236040188</v>
      </c>
      <c r="E310" s="1">
        <f t="shared" si="70"/>
        <v>0.21187391651745804</v>
      </c>
      <c r="F310" s="1">
        <f t="shared" si="71"/>
        <v>0.24577374316025133</v>
      </c>
      <c r="G310" s="1">
        <f t="shared" si="72"/>
        <v>7.6274609946284905E-2</v>
      </c>
      <c r="H310" s="1">
        <f t="shared" si="73"/>
        <v>7.391061565778409E-2</v>
      </c>
      <c r="I310" s="1">
        <f t="shared" si="74"/>
        <v>0.27163181593579122</v>
      </c>
      <c r="J310" s="1">
        <f t="shared" si="75"/>
        <v>0.29428239299771364</v>
      </c>
      <c r="K310" s="1">
        <f t="shared" si="76"/>
        <v>0.18095717392846933</v>
      </c>
      <c r="L310" s="1">
        <f t="shared" si="77"/>
        <v>0.17943346341927607</v>
      </c>
      <c r="M310" s="1">
        <f t="shared" si="78"/>
        <v>0.39114761477245696</v>
      </c>
      <c r="N310" s="1">
        <f t="shared" si="79"/>
        <v>0.39129969267263803</v>
      </c>
      <c r="O310" s="1">
        <f t="shared" si="80"/>
        <v>0.39032230189283795</v>
      </c>
      <c r="P310" s="1">
        <f t="shared" si="81"/>
        <v>0.39047915894225993</v>
      </c>
      <c r="Q310" s="1">
        <f t="shared" si="82"/>
        <v>5.9324696624888258</v>
      </c>
      <c r="T310">
        <v>0.14688072007408304</v>
      </c>
      <c r="U310">
        <f t="shared" si="89"/>
        <v>6.8082454899160663</v>
      </c>
      <c r="V310" s="15">
        <f t="shared" si="83"/>
        <v>8.472732862829907E-2</v>
      </c>
      <c r="W310" s="15">
        <f t="shared" si="84"/>
        <v>8.8627935629362706E-2</v>
      </c>
      <c r="X310" s="15">
        <f t="shared" si="85"/>
        <v>9.6429149631489894E-2</v>
      </c>
      <c r="Y310" s="15">
        <f t="shared" si="86"/>
        <v>0.12056486199423827</v>
      </c>
      <c r="Z310" s="15">
        <f t="shared" si="87"/>
        <v>0.1238610202905121</v>
      </c>
      <c r="AA310" s="15">
        <f t="shared" si="88"/>
        <v>0.13045333688305974</v>
      </c>
      <c r="AC310" s="1"/>
      <c r="AD310" s="1"/>
      <c r="AE310" s="1"/>
    </row>
    <row r="311" spans="1:31">
      <c r="A311">
        <v>304</v>
      </c>
      <c r="B311">
        <f t="shared" si="68"/>
        <v>0.23754241766114167</v>
      </c>
      <c r="C311">
        <v>0.23725487924435551</v>
      </c>
      <c r="D311">
        <f t="shared" si="69"/>
        <v>4.2148764366193356</v>
      </c>
      <c r="E311" s="1">
        <f t="shared" si="70"/>
        <v>0.21187364465434569</v>
      </c>
      <c r="F311" s="1">
        <f t="shared" si="71"/>
        <v>0.24577342779904099</v>
      </c>
      <c r="G311" s="1">
        <f t="shared" si="72"/>
        <v>7.6274512075564446E-2</v>
      </c>
      <c r="H311" s="1">
        <f t="shared" si="73"/>
        <v>7.3910520820390513E-2</v>
      </c>
      <c r="I311" s="1">
        <f t="shared" si="74"/>
        <v>0.27163146739514915</v>
      </c>
      <c r="J311" s="1">
        <f t="shared" si="75"/>
        <v>0.29428201539329407</v>
      </c>
      <c r="K311" s="1">
        <f t="shared" si="76"/>
        <v>0.18095694173575153</v>
      </c>
      <c r="L311" s="1">
        <f t="shared" si="77"/>
        <v>0.17943323318168652</v>
      </c>
      <c r="M311" s="1">
        <f t="shared" si="78"/>
        <v>0.39114711287675552</v>
      </c>
      <c r="N311" s="1">
        <f t="shared" si="79"/>
        <v>0.39129919058179996</v>
      </c>
      <c r="O311" s="1">
        <f t="shared" si="80"/>
        <v>0.39032180105612541</v>
      </c>
      <c r="P311" s="1">
        <f t="shared" si="81"/>
        <v>0.39047865790427849</v>
      </c>
      <c r="Q311" s="1">
        <f t="shared" si="82"/>
        <v>5.9324620503216794</v>
      </c>
      <c r="T311">
        <v>0.48568801814204388</v>
      </c>
      <c r="U311">
        <f t="shared" si="89"/>
        <v>2.0589348772189413</v>
      </c>
      <c r="V311" s="15">
        <f t="shared" si="83"/>
        <v>5.8814749779565023E-2</v>
      </c>
      <c r="W311" s="15">
        <f t="shared" si="84"/>
        <v>6.3881116879128633E-2</v>
      </c>
      <c r="X311" s="15">
        <f t="shared" si="85"/>
        <v>7.4013851078255657E-2</v>
      </c>
      <c r="Y311" s="15">
        <f t="shared" si="86"/>
        <v>8.2219978401641178E-2</v>
      </c>
      <c r="Z311" s="15">
        <f t="shared" si="87"/>
        <v>8.670014309881735E-2</v>
      </c>
      <c r="AA311" s="15">
        <f t="shared" si="88"/>
        <v>9.5660472493169613E-2</v>
      </c>
      <c r="AC311" s="1"/>
      <c r="AD311" s="1"/>
      <c r="AE311" s="1"/>
    </row>
    <row r="312" spans="1:31">
      <c r="A312">
        <v>642</v>
      </c>
      <c r="B312">
        <f t="shared" si="68"/>
        <v>0.23758298209662432</v>
      </c>
      <c r="C312">
        <v>0.23753990689399174</v>
      </c>
      <c r="D312">
        <f t="shared" si="69"/>
        <v>4.2098189440070612</v>
      </c>
      <c r="E312" s="1">
        <f t="shared" si="70"/>
        <v>0.21179447030722451</v>
      </c>
      <c r="F312" s="1">
        <f t="shared" si="71"/>
        <v>0.24568158555638042</v>
      </c>
      <c r="G312" s="1">
        <f t="shared" si="72"/>
        <v>7.6246009310600826E-2</v>
      </c>
      <c r="H312" s="1">
        <f t="shared" si="73"/>
        <v>7.3882901447339722E-2</v>
      </c>
      <c r="I312" s="1">
        <f t="shared" si="74"/>
        <v>0.2715299623489521</v>
      </c>
      <c r="J312" s="1">
        <f t="shared" si="75"/>
        <v>0.29417204614026932</v>
      </c>
      <c r="K312" s="1">
        <f t="shared" si="76"/>
        <v>0.18088932054698903</v>
      </c>
      <c r="L312" s="1">
        <f t="shared" si="77"/>
        <v>0.17936618138243052</v>
      </c>
      <c r="M312" s="1">
        <f t="shared" si="78"/>
        <v>0.39100094643240674</v>
      </c>
      <c r="N312" s="1">
        <f t="shared" si="79"/>
        <v>0.39115296730804683</v>
      </c>
      <c r="O312" s="1">
        <f t="shared" si="80"/>
        <v>0.3901759430197651</v>
      </c>
      <c r="P312" s="1">
        <f t="shared" si="81"/>
        <v>0.39033274125261203</v>
      </c>
      <c r="Q312" s="1">
        <f t="shared" si="82"/>
        <v>5.930245168602287</v>
      </c>
      <c r="T312">
        <v>0.64772869476748296</v>
      </c>
      <c r="U312">
        <f t="shared" si="89"/>
        <v>1.5438562596936869</v>
      </c>
      <c r="V312" s="15">
        <f t="shared" si="83"/>
        <v>0</v>
      </c>
      <c r="W312" s="15">
        <f t="shared" si="84"/>
        <v>0</v>
      </c>
      <c r="X312" s="15">
        <f t="shared" si="85"/>
        <v>0</v>
      </c>
      <c r="Y312" s="15">
        <f t="shared" si="86"/>
        <v>0</v>
      </c>
      <c r="Z312" s="15">
        <f t="shared" si="87"/>
        <v>0</v>
      </c>
      <c r="AA312" s="15">
        <f t="shared" si="88"/>
        <v>0</v>
      </c>
      <c r="AC312" s="1"/>
      <c r="AD312" s="1"/>
      <c r="AE312" s="1"/>
    </row>
    <row r="313" spans="1:31">
      <c r="A313">
        <v>91</v>
      </c>
      <c r="B313">
        <f t="shared" si="68"/>
        <v>0.23760325665492654</v>
      </c>
      <c r="C313">
        <v>0.23768236689945077</v>
      </c>
      <c r="D313">
        <f t="shared" si="69"/>
        <v>4.2072956990664787</v>
      </c>
      <c r="E313" s="1">
        <f t="shared" si="70"/>
        <v>0.21175489808348591</v>
      </c>
      <c r="F313" s="1">
        <f t="shared" si="71"/>
        <v>0.24563568177684364</v>
      </c>
      <c r="G313" s="1">
        <f t="shared" si="72"/>
        <v>7.623176331005492E-2</v>
      </c>
      <c r="H313" s="1">
        <f t="shared" si="73"/>
        <v>7.3869096975946805E-2</v>
      </c>
      <c r="I313" s="1">
        <f t="shared" si="74"/>
        <v>0.27147922899219246</v>
      </c>
      <c r="J313" s="1">
        <f t="shared" si="75"/>
        <v>0.2941170822783204</v>
      </c>
      <c r="K313" s="1">
        <f t="shared" si="76"/>
        <v>0.1808555227209446</v>
      </c>
      <c r="L313" s="1">
        <f t="shared" si="77"/>
        <v>0.17933266814362636</v>
      </c>
      <c r="M313" s="1">
        <f t="shared" si="78"/>
        <v>0.39092789080960511</v>
      </c>
      <c r="N313" s="1">
        <f t="shared" si="79"/>
        <v>0.39107988328127369</v>
      </c>
      <c r="O313" s="1">
        <f t="shared" si="80"/>
        <v>0.39010304154272368</v>
      </c>
      <c r="P313" s="1">
        <f t="shared" si="81"/>
        <v>0.39025981047898539</v>
      </c>
      <c r="Q313" s="1">
        <f t="shared" si="82"/>
        <v>5.929137146337605</v>
      </c>
      <c r="T313">
        <v>0.18423959828396808</v>
      </c>
      <c r="U313">
        <f t="shared" si="89"/>
        <v>5.427714830656015</v>
      </c>
      <c r="V313" s="15">
        <f t="shared" si="83"/>
        <v>7.9647183911681879E-2</v>
      </c>
      <c r="W313" s="15">
        <f t="shared" si="84"/>
        <v>8.3843887107931628E-2</v>
      </c>
      <c r="X313" s="15">
        <f t="shared" si="85"/>
        <v>9.2237293500431194E-2</v>
      </c>
      <c r="Y313" s="15">
        <f t="shared" si="86"/>
        <v>0.1130508339872755</v>
      </c>
      <c r="Z313" s="15">
        <f t="shared" si="87"/>
        <v>0.11665635494422999</v>
      </c>
      <c r="AA313" s="15">
        <f t="shared" si="88"/>
        <v>0.12386739685813908</v>
      </c>
      <c r="AC313" s="1"/>
      <c r="AD313" s="1"/>
      <c r="AE313" s="1"/>
    </row>
    <row r="314" spans="1:31">
      <c r="A314">
        <v>142</v>
      </c>
      <c r="B314">
        <f t="shared" si="68"/>
        <v>0.23765162330828377</v>
      </c>
      <c r="C314">
        <v>0.23802221714913763</v>
      </c>
      <c r="D314">
        <f t="shared" si="69"/>
        <v>4.2012884846519594</v>
      </c>
      <c r="E314" s="1">
        <f t="shared" si="70"/>
        <v>0.21166049523635067</v>
      </c>
      <c r="F314" s="1">
        <f t="shared" si="71"/>
        <v>0.24552617447416675</v>
      </c>
      <c r="G314" s="1">
        <f t="shared" si="72"/>
        <v>7.619777828508624E-2</v>
      </c>
      <c r="H314" s="1">
        <f t="shared" si="73"/>
        <v>7.3836165255675143E-2</v>
      </c>
      <c r="I314" s="1">
        <f t="shared" si="74"/>
        <v>0.27135820032939933</v>
      </c>
      <c r="J314" s="1">
        <f t="shared" si="75"/>
        <v>0.29398596139181682</v>
      </c>
      <c r="K314" s="1">
        <f t="shared" si="76"/>
        <v>0.18077489518212725</v>
      </c>
      <c r="L314" s="1">
        <f t="shared" si="77"/>
        <v>0.17925271951145613</v>
      </c>
      <c r="M314" s="1">
        <f t="shared" si="78"/>
        <v>0.39075361051549617</v>
      </c>
      <c r="N314" s="1">
        <f t="shared" si="79"/>
        <v>0.39090553522711668</v>
      </c>
      <c r="O314" s="1">
        <f t="shared" si="80"/>
        <v>0.38992912897620902</v>
      </c>
      <c r="P314" s="1">
        <f t="shared" si="81"/>
        <v>0.39008582802301806</v>
      </c>
      <c r="Q314" s="1">
        <f t="shared" si="82"/>
        <v>5.9264938666178182</v>
      </c>
      <c r="T314">
        <v>0.70102356125084375</v>
      </c>
      <c r="U314">
        <f t="shared" si="89"/>
        <v>1.4264855780534529</v>
      </c>
      <c r="V314" s="15">
        <f t="shared" si="83"/>
        <v>0</v>
      </c>
      <c r="W314" s="15">
        <f t="shared" si="84"/>
        <v>0</v>
      </c>
      <c r="X314" s="15">
        <f t="shared" si="85"/>
        <v>0</v>
      </c>
      <c r="Y314" s="15">
        <f t="shared" si="86"/>
        <v>0</v>
      </c>
      <c r="Z314" s="15">
        <f t="shared" si="87"/>
        <v>0</v>
      </c>
      <c r="AA314" s="15">
        <f t="shared" si="88"/>
        <v>0</v>
      </c>
      <c r="AC314" s="1"/>
      <c r="AD314" s="1"/>
      <c r="AE314" s="1"/>
    </row>
    <row r="315" spans="1:31">
      <c r="A315">
        <v>183</v>
      </c>
      <c r="B315">
        <f t="shared" si="68"/>
        <v>0.23834572792518222</v>
      </c>
      <c r="C315">
        <v>0.23946386701971756</v>
      </c>
      <c r="D315">
        <f t="shared" si="69"/>
        <v>4.175995370181087</v>
      </c>
      <c r="E315" s="1">
        <f t="shared" si="70"/>
        <v>0.21126003693896733</v>
      </c>
      <c r="F315" s="1">
        <f t="shared" si="71"/>
        <v>0.24506164284920212</v>
      </c>
      <c r="G315" s="1">
        <f t="shared" si="72"/>
        <v>7.6053613298028247E-2</v>
      </c>
      <c r="H315" s="1">
        <f t="shared" si="73"/>
        <v>7.3696468402983842E-2</v>
      </c>
      <c r="I315" s="1">
        <f t="shared" si="74"/>
        <v>0.27084479492153818</v>
      </c>
      <c r="J315" s="1">
        <f t="shared" si="75"/>
        <v>0.29342974461918714</v>
      </c>
      <c r="K315" s="1">
        <f t="shared" si="76"/>
        <v>0.18043287194981156</v>
      </c>
      <c r="L315" s="1">
        <f t="shared" si="77"/>
        <v>0.17891357621134843</v>
      </c>
      <c r="M315" s="1">
        <f t="shared" si="78"/>
        <v>0.39001431088667932</v>
      </c>
      <c r="N315" s="1">
        <f t="shared" si="79"/>
        <v>0.39016594815915695</v>
      </c>
      <c r="O315" s="1">
        <f t="shared" si="80"/>
        <v>0.38919138925337787</v>
      </c>
      <c r="P315" s="1">
        <f t="shared" si="81"/>
        <v>0.38934779182807755</v>
      </c>
      <c r="Q315" s="1">
        <f t="shared" si="82"/>
        <v>5.9152810342910858</v>
      </c>
      <c r="T315">
        <v>0.70100871707048884</v>
      </c>
      <c r="U315">
        <f t="shared" si="89"/>
        <v>1.4265157845383063</v>
      </c>
      <c r="V315" s="15">
        <f t="shared" si="83"/>
        <v>0</v>
      </c>
      <c r="W315" s="15">
        <f t="shared" si="84"/>
        <v>0</v>
      </c>
      <c r="X315" s="15">
        <f t="shared" si="85"/>
        <v>0</v>
      </c>
      <c r="Y315" s="15">
        <f t="shared" si="86"/>
        <v>0</v>
      </c>
      <c r="Z315" s="15">
        <f t="shared" si="87"/>
        <v>0</v>
      </c>
      <c r="AA315" s="15">
        <f t="shared" si="88"/>
        <v>0</v>
      </c>
      <c r="AC315" s="1"/>
      <c r="AD315" s="1"/>
      <c r="AE315" s="1"/>
    </row>
    <row r="316" spans="1:31">
      <c r="A316">
        <v>623</v>
      </c>
      <c r="B316">
        <f t="shared" si="68"/>
        <v>0.24043690496350859</v>
      </c>
      <c r="C316">
        <v>0.24091257274820965</v>
      </c>
      <c r="D316">
        <f t="shared" si="69"/>
        <v>4.1508834038527009</v>
      </c>
      <c r="E316" s="1">
        <f t="shared" si="70"/>
        <v>0.21085761868105288</v>
      </c>
      <c r="F316" s="1">
        <f t="shared" si="71"/>
        <v>0.24459483767002133</v>
      </c>
      <c r="G316" s="1">
        <f t="shared" si="72"/>
        <v>7.5908742725179029E-2</v>
      </c>
      <c r="H316" s="1">
        <f t="shared" si="73"/>
        <v>7.3556087832863312E-2</v>
      </c>
      <c r="I316" s="1">
        <f t="shared" si="74"/>
        <v>0.27032887675681205</v>
      </c>
      <c r="J316" s="1">
        <f t="shared" si="75"/>
        <v>0.29287080555829864</v>
      </c>
      <c r="K316" s="1">
        <f t="shared" si="76"/>
        <v>0.18008917475533684</v>
      </c>
      <c r="L316" s="1">
        <f t="shared" si="77"/>
        <v>0.17857277304431585</v>
      </c>
      <c r="M316" s="1">
        <f t="shared" si="78"/>
        <v>0.38927139290832985</v>
      </c>
      <c r="N316" s="1">
        <f t="shared" si="79"/>
        <v>0.38942274133485294</v>
      </c>
      <c r="O316" s="1">
        <f t="shared" si="80"/>
        <v>0.38845003881565215</v>
      </c>
      <c r="P316" s="1">
        <f t="shared" si="81"/>
        <v>0.38860614346722089</v>
      </c>
      <c r="Q316" s="1">
        <f t="shared" si="82"/>
        <v>5.9040133230694805</v>
      </c>
      <c r="T316">
        <v>0.25356249347484061</v>
      </c>
      <c r="U316">
        <f t="shared" si="89"/>
        <v>3.9438009395471716</v>
      </c>
      <c r="V316" s="15">
        <f t="shared" si="83"/>
        <v>7.4000067603311598E-2</v>
      </c>
      <c r="W316" s="15">
        <f t="shared" si="84"/>
        <v>7.846131382367813E-2</v>
      </c>
      <c r="X316" s="15">
        <f t="shared" si="85"/>
        <v>8.7383806264411265E-2</v>
      </c>
      <c r="Y316" s="15">
        <f t="shared" si="86"/>
        <v>0.10469488889239538</v>
      </c>
      <c r="Z316" s="15">
        <f t="shared" si="87"/>
        <v>0.1085704338853201</v>
      </c>
      <c r="AA316" s="15">
        <f t="shared" si="88"/>
        <v>0.11632152387116967</v>
      </c>
      <c r="AC316" s="1"/>
      <c r="AD316" s="1"/>
      <c r="AE316" s="1"/>
    </row>
    <row r="317" spans="1:31">
      <c r="A317">
        <v>753</v>
      </c>
      <c r="B317">
        <f t="shared" si="68"/>
        <v>0.24231468594986377</v>
      </c>
      <c r="C317">
        <v>0.24230131051179593</v>
      </c>
      <c r="D317">
        <f t="shared" si="69"/>
        <v>4.1270928245818013</v>
      </c>
      <c r="E317" s="1">
        <f t="shared" si="70"/>
        <v>0.21047185819116779</v>
      </c>
      <c r="F317" s="1">
        <f t="shared" si="71"/>
        <v>0.24414735550175465</v>
      </c>
      <c r="G317" s="1">
        <f t="shared" si="72"/>
        <v>7.5769868948820401E-2</v>
      </c>
      <c r="H317" s="1">
        <f t="shared" si="73"/>
        <v>7.3421518199316624E-2</v>
      </c>
      <c r="I317" s="1">
        <f t="shared" si="74"/>
        <v>0.26983431459405932</v>
      </c>
      <c r="J317" s="1">
        <f t="shared" si="75"/>
        <v>0.29233500331348572</v>
      </c>
      <c r="K317" s="1">
        <f t="shared" si="76"/>
        <v>0.17975970461946422</v>
      </c>
      <c r="L317" s="1">
        <f t="shared" si="77"/>
        <v>0.17824607714003407</v>
      </c>
      <c r="M317" s="1">
        <f t="shared" si="78"/>
        <v>0.38855922739984183</v>
      </c>
      <c r="N317" s="1">
        <f t="shared" si="79"/>
        <v>0.38871029893694764</v>
      </c>
      <c r="O317" s="1">
        <f t="shared" si="80"/>
        <v>0.38773937596075164</v>
      </c>
      <c r="P317" s="1">
        <f t="shared" si="81"/>
        <v>0.38789519502146885</v>
      </c>
      <c r="Q317" s="1">
        <f t="shared" si="82"/>
        <v>5.8932120293526982</v>
      </c>
      <c r="T317">
        <v>0.25964764731147261</v>
      </c>
      <c r="U317">
        <f t="shared" si="89"/>
        <v>3.8513732373642604</v>
      </c>
      <c r="V317" s="15">
        <f t="shared" si="83"/>
        <v>7.3601985595104502E-2</v>
      </c>
      <c r="W317" s="15">
        <f t="shared" si="84"/>
        <v>7.8079095015543276E-2</v>
      </c>
      <c r="X317" s="15">
        <f t="shared" si="85"/>
        <v>8.7033313856420907E-2</v>
      </c>
      <c r="Y317" s="15">
        <f t="shared" si="86"/>
        <v>0.10410571073976933</v>
      </c>
      <c r="Z317" s="15">
        <f t="shared" si="87"/>
        <v>0.10799710579450136</v>
      </c>
      <c r="AA317" s="15">
        <f t="shared" si="88"/>
        <v>0.11577989590396555</v>
      </c>
      <c r="AC317" s="1"/>
      <c r="AD317" s="1"/>
      <c r="AE317" s="1"/>
    </row>
    <row r="318" spans="1:31">
      <c r="A318">
        <v>109</v>
      </c>
      <c r="B318">
        <f t="shared" si="68"/>
        <v>0.24236601249652881</v>
      </c>
      <c r="C318">
        <v>0.24252797750231203</v>
      </c>
      <c r="D318">
        <f t="shared" si="69"/>
        <v>4.1232356377955073</v>
      </c>
      <c r="E318" s="1">
        <f t="shared" si="70"/>
        <v>0.21040889513824665</v>
      </c>
      <c r="F318" s="1">
        <f t="shared" si="71"/>
        <v>0.24407431836036611</v>
      </c>
      <c r="G318" s="1">
        <f t="shared" si="72"/>
        <v>7.5747202249768802E-2</v>
      </c>
      <c r="H318" s="1">
        <f t="shared" si="73"/>
        <v>7.339955401381619E-2</v>
      </c>
      <c r="I318" s="1">
        <f t="shared" si="74"/>
        <v>0.26975359315046238</v>
      </c>
      <c r="J318" s="1">
        <f t="shared" si="75"/>
        <v>0.29224755074646558</v>
      </c>
      <c r="K318" s="1">
        <f t="shared" si="76"/>
        <v>0.17970592916514785</v>
      </c>
      <c r="L318" s="1">
        <f t="shared" si="77"/>
        <v>0.17819275449022992</v>
      </c>
      <c r="M318" s="1">
        <f t="shared" si="78"/>
        <v>0.38844298917489328</v>
      </c>
      <c r="N318" s="1">
        <f t="shared" si="79"/>
        <v>0.38859401551866413</v>
      </c>
      <c r="O318" s="1">
        <f t="shared" si="80"/>
        <v>0.38762338299590571</v>
      </c>
      <c r="P318" s="1">
        <f t="shared" si="81"/>
        <v>0.38777915544305736</v>
      </c>
      <c r="Q318" s="1">
        <f t="shared" si="82"/>
        <v>5.8914490638709065</v>
      </c>
      <c r="T318">
        <v>0.21918693208075923</v>
      </c>
      <c r="U318">
        <f t="shared" si="89"/>
        <v>4.562315784553939</v>
      </c>
      <c r="V318" s="15">
        <f t="shared" si="83"/>
        <v>7.6248867367522066E-2</v>
      </c>
      <c r="W318" s="15">
        <f t="shared" si="84"/>
        <v>8.0620500995893379E-2</v>
      </c>
      <c r="X318" s="15">
        <f t="shared" si="85"/>
        <v>8.9363768252636103E-2</v>
      </c>
      <c r="Y318" s="15">
        <f t="shared" si="86"/>
        <v>0.10802320733781003</v>
      </c>
      <c r="Z318" s="15">
        <f t="shared" si="87"/>
        <v>0.11180921395793682</v>
      </c>
      <c r="AA318" s="15">
        <f t="shared" si="88"/>
        <v>0.11938122719819055</v>
      </c>
      <c r="AC318" s="1"/>
      <c r="AD318" s="1"/>
      <c r="AE318" s="1"/>
    </row>
    <row r="319" spans="1:31">
      <c r="A319">
        <v>743</v>
      </c>
      <c r="B319">
        <f t="shared" si="68"/>
        <v>0.24317752348997226</v>
      </c>
      <c r="C319">
        <v>0.24376770869716191</v>
      </c>
      <c r="D319">
        <f t="shared" si="69"/>
        <v>4.1022660685641608</v>
      </c>
      <c r="E319" s="1">
        <f t="shared" si="70"/>
        <v>0.21006452536189946</v>
      </c>
      <c r="F319" s="1">
        <f t="shared" si="71"/>
        <v>0.24367484941980339</v>
      </c>
      <c r="G319" s="1">
        <f t="shared" si="72"/>
        <v>7.5623229130283812E-2</v>
      </c>
      <c r="H319" s="1">
        <f t="shared" si="73"/>
        <v>7.3279423218095247E-2</v>
      </c>
      <c r="I319" s="1">
        <f t="shared" si="74"/>
        <v>0.26931209572954279</v>
      </c>
      <c r="J319" s="1">
        <f t="shared" si="75"/>
        <v>0.29176923815600947</v>
      </c>
      <c r="K319" s="1">
        <f t="shared" si="76"/>
        <v>0.17941180999022321</v>
      </c>
      <c r="L319" s="1">
        <f t="shared" si="77"/>
        <v>0.17790111188182134</v>
      </c>
      <c r="M319" s="1">
        <f t="shared" si="78"/>
        <v>0.3878072364648289</v>
      </c>
      <c r="N319" s="1">
        <f t="shared" si="79"/>
        <v>0.38795801562842136</v>
      </c>
      <c r="O319" s="1">
        <f t="shared" si="80"/>
        <v>0.38698897171010177</v>
      </c>
      <c r="P319" s="1">
        <f t="shared" si="81"/>
        <v>0.38714448920927341</v>
      </c>
      <c r="Q319" s="1">
        <f t="shared" si="82"/>
        <v>5.8818067101331852</v>
      </c>
      <c r="T319">
        <v>0.79966229119590793</v>
      </c>
      <c r="U319">
        <f t="shared" si="89"/>
        <v>1.2505278928489723</v>
      </c>
      <c r="V319" s="15">
        <f t="shared" si="83"/>
        <v>0</v>
      </c>
      <c r="W319" s="15">
        <f t="shared" si="84"/>
        <v>0</v>
      </c>
      <c r="X319" s="15">
        <f t="shared" si="85"/>
        <v>0</v>
      </c>
      <c r="Y319" s="15">
        <f t="shared" si="86"/>
        <v>0</v>
      </c>
      <c r="Z319" s="15">
        <f t="shared" si="87"/>
        <v>0</v>
      </c>
      <c r="AA319" s="15">
        <f t="shared" si="88"/>
        <v>0</v>
      </c>
      <c r="AC319" s="1"/>
      <c r="AD319" s="1"/>
      <c r="AE319" s="1"/>
    </row>
    <row r="320" spans="1:31">
      <c r="A320">
        <v>36</v>
      </c>
      <c r="B320">
        <f t="shared" si="68"/>
        <v>0.24518666228676808</v>
      </c>
      <c r="C320">
        <v>0.24522135521639432</v>
      </c>
      <c r="D320">
        <f t="shared" si="69"/>
        <v>4.0779482648138661</v>
      </c>
      <c r="E320" s="1">
        <f t="shared" si="70"/>
        <v>0.20966073466211269</v>
      </c>
      <c r="F320" s="1">
        <f t="shared" si="71"/>
        <v>0.24320645220805071</v>
      </c>
      <c r="G320" s="1">
        <f t="shared" si="72"/>
        <v>7.5477864478360565E-2</v>
      </c>
      <c r="H320" s="1">
        <f t="shared" si="73"/>
        <v>7.3138563881992538E-2</v>
      </c>
      <c r="I320" s="1">
        <f t="shared" si="74"/>
        <v>0.26879441803309057</v>
      </c>
      <c r="J320" s="1">
        <f t="shared" si="75"/>
        <v>0.29120839284122679</v>
      </c>
      <c r="K320" s="1">
        <f t="shared" si="76"/>
        <v>0.17906694062124645</v>
      </c>
      <c r="L320" s="1">
        <f t="shared" si="77"/>
        <v>0.17755914641032705</v>
      </c>
      <c r="M320" s="1">
        <f t="shared" si="78"/>
        <v>0.38706178477504577</v>
      </c>
      <c r="N320" s="1">
        <f t="shared" si="79"/>
        <v>0.38721227410757864</v>
      </c>
      <c r="O320" s="1">
        <f t="shared" si="80"/>
        <v>0.38624509290701792</v>
      </c>
      <c r="P320" s="1">
        <f t="shared" si="81"/>
        <v>0.38640031146699594</v>
      </c>
      <c r="Q320" s="1">
        <f t="shared" si="82"/>
        <v>5.8705005705391553</v>
      </c>
      <c r="T320">
        <v>0.78359007004555603</v>
      </c>
      <c r="U320">
        <f t="shared" si="89"/>
        <v>1.2761774787955933</v>
      </c>
      <c r="V320" s="15">
        <f t="shared" si="83"/>
        <v>0</v>
      </c>
      <c r="W320" s="15">
        <f t="shared" si="84"/>
        <v>0</v>
      </c>
      <c r="X320" s="15">
        <f t="shared" si="85"/>
        <v>0</v>
      </c>
      <c r="Y320" s="15">
        <f t="shared" si="86"/>
        <v>0</v>
      </c>
      <c r="Z320" s="15">
        <f t="shared" si="87"/>
        <v>0</v>
      </c>
      <c r="AA320" s="15">
        <f t="shared" si="88"/>
        <v>0</v>
      </c>
      <c r="AC320" s="1"/>
      <c r="AD320" s="1"/>
      <c r="AE320" s="1"/>
    </row>
    <row r="321" spans="1:31">
      <c r="A321">
        <v>451</v>
      </c>
      <c r="B321">
        <f t="shared" si="68"/>
        <v>0.24925104135828549</v>
      </c>
      <c r="C321">
        <v>0.24776673806584038</v>
      </c>
      <c r="D321">
        <f t="shared" si="69"/>
        <v>4.0360542654206659</v>
      </c>
      <c r="E321" s="1">
        <f t="shared" si="70"/>
        <v>0.2089536838705999</v>
      </c>
      <c r="F321" s="1">
        <f t="shared" si="71"/>
        <v>0.24238627328989587</v>
      </c>
      <c r="G321" s="1">
        <f t="shared" si="72"/>
        <v>7.5223326193415957E-2</v>
      </c>
      <c r="H321" s="1">
        <f t="shared" si="73"/>
        <v>7.2891914553179449E-2</v>
      </c>
      <c r="I321" s="1">
        <f t="shared" si="74"/>
        <v>0.26788794736593963</v>
      </c>
      <c r="J321" s="1">
        <f t="shared" si="75"/>
        <v>0.29022633425507627</v>
      </c>
      <c r="K321" s="1">
        <f t="shared" si="76"/>
        <v>0.17846306301724935</v>
      </c>
      <c r="L321" s="1">
        <f t="shared" si="77"/>
        <v>0.17696035362629869</v>
      </c>
      <c r="M321" s="1">
        <f t="shared" si="78"/>
        <v>0.38575647435661864</v>
      </c>
      <c r="N321" s="1">
        <f t="shared" si="79"/>
        <v>0.38590645618543673</v>
      </c>
      <c r="O321" s="1">
        <f t="shared" si="80"/>
        <v>0.38494253666491585</v>
      </c>
      <c r="P321" s="1">
        <f t="shared" si="81"/>
        <v>0.38509723177253707</v>
      </c>
      <c r="Q321" s="1">
        <f t="shared" si="82"/>
        <v>5.8507031483767973</v>
      </c>
      <c r="T321">
        <v>0.23051452213949442</v>
      </c>
      <c r="U321">
        <f t="shared" si="89"/>
        <v>4.3381214802373984</v>
      </c>
      <c r="V321" s="15">
        <f t="shared" si="83"/>
        <v>7.5507832724883692E-2</v>
      </c>
      <c r="W321" s="15">
        <f t="shared" si="84"/>
        <v>7.9908995898811674E-2</v>
      </c>
      <c r="X321" s="15">
        <f t="shared" si="85"/>
        <v>8.8711322246667723E-2</v>
      </c>
      <c r="Y321" s="15">
        <f t="shared" si="86"/>
        <v>0.10692644482963247</v>
      </c>
      <c r="Z321" s="15">
        <f t="shared" si="87"/>
        <v>0.11074195653827125</v>
      </c>
      <c r="AA321" s="15">
        <f t="shared" si="88"/>
        <v>0.11837297995554892</v>
      </c>
      <c r="AC321" s="1"/>
      <c r="AD321" s="1"/>
      <c r="AE321" s="1"/>
    </row>
    <row r="322" spans="1:31">
      <c r="A322">
        <v>636</v>
      </c>
      <c r="B322">
        <f t="shared" si="68"/>
        <v>0.2499414554402942</v>
      </c>
      <c r="C322">
        <v>0.24807056872310629</v>
      </c>
      <c r="D322">
        <f t="shared" si="69"/>
        <v>4.0311110066272686</v>
      </c>
      <c r="E322" s="1">
        <f t="shared" si="70"/>
        <v>0.2088692864658038</v>
      </c>
      <c r="F322" s="1">
        <f t="shared" si="71"/>
        <v>0.2422883723003324</v>
      </c>
      <c r="G322" s="1">
        <f t="shared" si="72"/>
        <v>7.5192943127689371E-2</v>
      </c>
      <c r="H322" s="1">
        <f t="shared" si="73"/>
        <v>7.2862473155904453E-2</v>
      </c>
      <c r="I322" s="1">
        <f t="shared" si="74"/>
        <v>0.26777974612672228</v>
      </c>
      <c r="J322" s="1">
        <f t="shared" si="75"/>
        <v>0.2901091104332183</v>
      </c>
      <c r="K322" s="1">
        <f t="shared" si="76"/>
        <v>0.17839098092187006</v>
      </c>
      <c r="L322" s="1">
        <f t="shared" si="77"/>
        <v>0.17688887848251941</v>
      </c>
      <c r="M322" s="1">
        <f t="shared" si="78"/>
        <v>0.38560066544855864</v>
      </c>
      <c r="N322" s="1">
        <f t="shared" si="79"/>
        <v>0.38575058669898976</v>
      </c>
      <c r="O322" s="1">
        <f t="shared" si="80"/>
        <v>0.38478705651023115</v>
      </c>
      <c r="P322" s="1">
        <f t="shared" si="81"/>
        <v>0.38494168913574928</v>
      </c>
      <c r="Q322" s="1">
        <f t="shared" si="82"/>
        <v>5.8483400210425067</v>
      </c>
      <c r="T322">
        <v>0.31376510640589494</v>
      </c>
      <c r="U322">
        <f t="shared" si="89"/>
        <v>3.1870975439390423</v>
      </c>
      <c r="V322" s="15">
        <f t="shared" si="83"/>
        <v>7.0061699289492033E-2</v>
      </c>
      <c r="W322" s="15">
        <f t="shared" si="84"/>
        <v>7.467988584685524E-2</v>
      </c>
      <c r="X322" s="15">
        <f t="shared" si="85"/>
        <v>8.3916258961581655E-2</v>
      </c>
      <c r="Y322" s="15">
        <f t="shared" si="86"/>
        <v>9.8865937772630225E-2</v>
      </c>
      <c r="Z322" s="15">
        <f t="shared" si="87"/>
        <v>0.10289829312097676</v>
      </c>
      <c r="AA322" s="15">
        <f t="shared" si="88"/>
        <v>0.11096300381766991</v>
      </c>
      <c r="AC322" s="1"/>
      <c r="AD322" s="1"/>
      <c r="AE322" s="1"/>
    </row>
    <row r="323" spans="1:31">
      <c r="A323">
        <v>980</v>
      </c>
      <c r="B323">
        <f t="shared" si="68"/>
        <v>0.25127845799386572</v>
      </c>
      <c r="C323">
        <v>0.25034520813380623</v>
      </c>
      <c r="D323">
        <f t="shared" si="69"/>
        <v>3.9944842861362582</v>
      </c>
      <c r="E323" s="1">
        <f t="shared" si="70"/>
        <v>0.20823744218505383</v>
      </c>
      <c r="F323" s="1">
        <f t="shared" si="71"/>
        <v>0.24155543293466242</v>
      </c>
      <c r="G323" s="1">
        <f t="shared" si="72"/>
        <v>7.4965479186619374E-2</v>
      </c>
      <c r="H323" s="1">
        <f t="shared" si="73"/>
        <v>7.2642059050394531E-2</v>
      </c>
      <c r="I323" s="1">
        <f t="shared" si="74"/>
        <v>0.26696969356249067</v>
      </c>
      <c r="J323" s="1">
        <f t="shared" si="75"/>
        <v>0.28923150997159797</v>
      </c>
      <c r="K323" s="1">
        <f t="shared" si="76"/>
        <v>0.17785133565884417</v>
      </c>
      <c r="L323" s="1">
        <f t="shared" si="77"/>
        <v>0.17635377718501125</v>
      </c>
      <c r="M323" s="1">
        <f t="shared" si="78"/>
        <v>0.38443419631736375</v>
      </c>
      <c r="N323" s="1">
        <f t="shared" si="79"/>
        <v>0.38458366404546879</v>
      </c>
      <c r="O323" s="1">
        <f t="shared" si="80"/>
        <v>0.38362304860329355</v>
      </c>
      <c r="P323" s="1">
        <f t="shared" si="81"/>
        <v>0.38377721345424459</v>
      </c>
      <c r="Q323" s="1">
        <f t="shared" si="82"/>
        <v>5.8306483811815077</v>
      </c>
      <c r="T323">
        <v>0.94521418462537643</v>
      </c>
      <c r="U323">
        <f t="shared" si="89"/>
        <v>1.0579612708587707</v>
      </c>
      <c r="V323" s="15">
        <f t="shared" si="83"/>
        <v>0</v>
      </c>
      <c r="W323" s="15">
        <f t="shared" si="84"/>
        <v>0</v>
      </c>
      <c r="X323" s="15">
        <f t="shared" si="85"/>
        <v>0</v>
      </c>
      <c r="Y323" s="15">
        <f t="shared" si="86"/>
        <v>0</v>
      </c>
      <c r="Z323" s="15">
        <f t="shared" si="87"/>
        <v>0</v>
      </c>
      <c r="AA323" s="15">
        <f t="shared" si="88"/>
        <v>0</v>
      </c>
      <c r="AC323" s="1"/>
      <c r="AD323" s="1"/>
      <c r="AE323" s="1"/>
    </row>
    <row r="324" spans="1:31">
      <c r="A324">
        <v>75</v>
      </c>
      <c r="B324">
        <f t="shared" si="68"/>
        <v>0.25143098950720627</v>
      </c>
      <c r="C324">
        <v>0.2511170816428806</v>
      </c>
      <c r="D324">
        <f t="shared" si="69"/>
        <v>3.9822062022133689</v>
      </c>
      <c r="E324" s="1">
        <f t="shared" si="70"/>
        <v>0.2080230328769776</v>
      </c>
      <c r="F324" s="1">
        <f t="shared" si="71"/>
        <v>0.24130671813729401</v>
      </c>
      <c r="G324" s="1">
        <f t="shared" si="72"/>
        <v>7.488829183571194E-2</v>
      </c>
      <c r="H324" s="1">
        <f t="shared" si="73"/>
        <v>7.2567263982539321E-2</v>
      </c>
      <c r="I324" s="1">
        <f t="shared" si="74"/>
        <v>0.26669481126143363</v>
      </c>
      <c r="J324" s="1">
        <f t="shared" si="75"/>
        <v>0.28893370604509883</v>
      </c>
      <c r="K324" s="1">
        <f t="shared" si="76"/>
        <v>0.17766821305889813</v>
      </c>
      <c r="L324" s="1">
        <f t="shared" si="77"/>
        <v>0.17617219652907298</v>
      </c>
      <c r="M324" s="1">
        <f t="shared" si="78"/>
        <v>0.38403836803034519</v>
      </c>
      <c r="N324" s="1">
        <f t="shared" si="79"/>
        <v>0.38418768186070817</v>
      </c>
      <c r="O324" s="1">
        <f t="shared" si="80"/>
        <v>0.38322805550527023</v>
      </c>
      <c r="P324" s="1">
        <f t="shared" si="81"/>
        <v>0.38338206162214028</v>
      </c>
      <c r="Q324" s="1">
        <f t="shared" si="82"/>
        <v>5.8246449205553734</v>
      </c>
      <c r="T324">
        <v>0.96577638435437774</v>
      </c>
      <c r="U324">
        <f t="shared" si="89"/>
        <v>1.0354363765774837</v>
      </c>
      <c r="V324" s="15">
        <f t="shared" si="83"/>
        <v>0</v>
      </c>
      <c r="W324" s="15">
        <f t="shared" si="84"/>
        <v>0</v>
      </c>
      <c r="X324" s="15">
        <f t="shared" si="85"/>
        <v>0</v>
      </c>
      <c r="Y324" s="15">
        <f t="shared" si="86"/>
        <v>0</v>
      </c>
      <c r="Z324" s="15">
        <f t="shared" si="87"/>
        <v>0</v>
      </c>
      <c r="AA324" s="15">
        <f t="shared" si="88"/>
        <v>0</v>
      </c>
      <c r="AC324" s="1"/>
      <c r="AD324" s="1"/>
      <c r="AE324" s="1"/>
    </row>
    <row r="325" spans="1:31">
      <c r="A325">
        <v>416</v>
      </c>
      <c r="B325">
        <f t="shared" si="68"/>
        <v>0.25147664935218395</v>
      </c>
      <c r="C325">
        <v>0.25125969317098718</v>
      </c>
      <c r="D325">
        <f t="shared" si="69"/>
        <v>3.9799459570281344</v>
      </c>
      <c r="E325" s="1">
        <f t="shared" si="70"/>
        <v>0.20798341856361469</v>
      </c>
      <c r="F325" s="1">
        <f t="shared" si="71"/>
        <v>0.241260765533793</v>
      </c>
      <c r="G325" s="1">
        <f t="shared" si="72"/>
        <v>7.4874030682901285E-2</v>
      </c>
      <c r="H325" s="1">
        <f t="shared" si="73"/>
        <v>7.2553444828498834E-2</v>
      </c>
      <c r="I325" s="1">
        <f t="shared" si="74"/>
        <v>0.26664402394389736</v>
      </c>
      <c r="J325" s="1">
        <f t="shared" si="75"/>
        <v>0.28887868372274306</v>
      </c>
      <c r="K325" s="1">
        <f t="shared" si="76"/>
        <v>0.17763437928496739</v>
      </c>
      <c r="L325" s="1">
        <f t="shared" si="77"/>
        <v>0.17613864764507386</v>
      </c>
      <c r="M325" s="1">
        <f t="shared" si="78"/>
        <v>0.38396523470446225</v>
      </c>
      <c r="N325" s="1">
        <f t="shared" si="79"/>
        <v>0.38411452010064284</v>
      </c>
      <c r="O325" s="1">
        <f t="shared" si="80"/>
        <v>0.3831550764890993</v>
      </c>
      <c r="P325" s="1">
        <f t="shared" si="81"/>
        <v>0.38330905327822384</v>
      </c>
      <c r="Q325" s="1">
        <f t="shared" si="82"/>
        <v>5.8235357197812112</v>
      </c>
      <c r="T325">
        <v>0.12618865753464181</v>
      </c>
      <c r="U325">
        <f t="shared" si="89"/>
        <v>7.9246425117525003</v>
      </c>
      <c r="V325" s="15">
        <f t="shared" si="83"/>
        <v>8.7541082071191295E-2</v>
      </c>
      <c r="W325" s="15">
        <f t="shared" si="84"/>
        <v>9.1277689474781445E-2</v>
      </c>
      <c r="X325" s="15">
        <f t="shared" si="85"/>
        <v>9.8750904281961607E-2</v>
      </c>
      <c r="Y325" s="15">
        <f t="shared" si="86"/>
        <v>0.12472667693337225</v>
      </c>
      <c r="Z325" s="15">
        <f t="shared" si="87"/>
        <v>0.127851487699182</v>
      </c>
      <c r="AA325" s="15">
        <f t="shared" si="88"/>
        <v>0.1341011092308014</v>
      </c>
      <c r="AC325" s="1"/>
      <c r="AD325" s="1"/>
      <c r="AE325" s="1"/>
    </row>
    <row r="326" spans="1:31">
      <c r="A326">
        <v>849</v>
      </c>
      <c r="B326">
        <f t="shared" si="68"/>
        <v>0.25192528303584694</v>
      </c>
      <c r="C326">
        <v>0.25145750303975856</v>
      </c>
      <c r="D326">
        <f t="shared" si="69"/>
        <v>3.9768151194990891</v>
      </c>
      <c r="E326" s="1">
        <f t="shared" si="70"/>
        <v>0.20792847137784484</v>
      </c>
      <c r="F326" s="1">
        <f t="shared" si="71"/>
        <v>0.24119702679830002</v>
      </c>
      <c r="G326" s="1">
        <f t="shared" si="72"/>
        <v>7.4854249696024139E-2</v>
      </c>
      <c r="H326" s="1">
        <f t="shared" si="73"/>
        <v>7.2534276917716495E-2</v>
      </c>
      <c r="I326" s="1">
        <f t="shared" si="74"/>
        <v>0.26657357919969976</v>
      </c>
      <c r="J326" s="1">
        <f t="shared" si="75"/>
        <v>0.28880236479881594</v>
      </c>
      <c r="K326" s="1">
        <f t="shared" si="76"/>
        <v>0.17758745001865814</v>
      </c>
      <c r="L326" s="1">
        <f t="shared" si="77"/>
        <v>0.17609211353644039</v>
      </c>
      <c r="M326" s="1">
        <f t="shared" si="78"/>
        <v>0.38386379484340905</v>
      </c>
      <c r="N326" s="1">
        <f t="shared" si="79"/>
        <v>0.38401304079984749</v>
      </c>
      <c r="O326" s="1">
        <f t="shared" si="80"/>
        <v>0.38305385066392583</v>
      </c>
      <c r="P326" s="1">
        <f t="shared" si="81"/>
        <v>0.38320778677388806</v>
      </c>
      <c r="Q326" s="1">
        <f t="shared" si="82"/>
        <v>5.8219971985796555</v>
      </c>
      <c r="T326">
        <v>0.17583706848856162</v>
      </c>
      <c r="U326">
        <f t="shared" si="89"/>
        <v>5.6870829831029113</v>
      </c>
      <c r="V326" s="15">
        <f t="shared" si="83"/>
        <v>8.0789778908955057E-2</v>
      </c>
      <c r="W326" s="15">
        <f t="shared" si="84"/>
        <v>8.4919885964700265E-2</v>
      </c>
      <c r="X326" s="15">
        <f t="shared" si="85"/>
        <v>9.3180100076190708E-2</v>
      </c>
      <c r="Y326" s="15">
        <f t="shared" si="86"/>
        <v>0.11474084308919007</v>
      </c>
      <c r="Z326" s="15">
        <f t="shared" si="87"/>
        <v>0.11827678409357339</v>
      </c>
      <c r="AA326" s="15">
        <f t="shared" si="88"/>
        <v>0.12534866610234013</v>
      </c>
      <c r="AC326" s="1"/>
      <c r="AD326" s="1"/>
      <c r="AE326" s="1"/>
    </row>
    <row r="327" spans="1:31">
      <c r="A327">
        <v>287</v>
      </c>
      <c r="B327">
        <f t="shared" si="68"/>
        <v>0.25668252617559456</v>
      </c>
      <c r="C327">
        <v>0.25372777787093248</v>
      </c>
      <c r="D327">
        <f t="shared" si="69"/>
        <v>3.9412318524646719</v>
      </c>
      <c r="E327" s="1">
        <f t="shared" si="70"/>
        <v>0.20729783948029654</v>
      </c>
      <c r="F327" s="1">
        <f t="shared" si="71"/>
        <v>0.24046549379714396</v>
      </c>
      <c r="G327" s="1">
        <f t="shared" si="72"/>
        <v>7.4627222212906755E-2</v>
      </c>
      <c r="H327" s="1">
        <f t="shared" si="73"/>
        <v>7.2314285742930279E-2</v>
      </c>
      <c r="I327" s="1">
        <f t="shared" si="74"/>
        <v>0.26576508096483575</v>
      </c>
      <c r="J327" s="1">
        <f t="shared" si="75"/>
        <v>0.28792644827751107</v>
      </c>
      <c r="K327" s="1">
        <f t="shared" si="76"/>
        <v>0.177048840227301</v>
      </c>
      <c r="L327" s="1">
        <f t="shared" si="77"/>
        <v>0.17555803899163702</v>
      </c>
      <c r="M327" s="1">
        <f t="shared" si="78"/>
        <v>0.3826995639339138</v>
      </c>
      <c r="N327" s="1">
        <f t="shared" si="79"/>
        <v>0.38284835723824501</v>
      </c>
      <c r="O327" s="1">
        <f t="shared" si="80"/>
        <v>0.38189207625608917</v>
      </c>
      <c r="P327" s="1">
        <f t="shared" si="81"/>
        <v>0.38204554548905045</v>
      </c>
      <c r="Q327" s="1">
        <f t="shared" si="82"/>
        <v>5.8043395054483033</v>
      </c>
      <c r="T327">
        <v>0.49031064275673242</v>
      </c>
      <c r="U327">
        <f t="shared" si="89"/>
        <v>2.0395233405042563</v>
      </c>
      <c r="V327" s="15">
        <f t="shared" si="83"/>
        <v>5.8512344328658414E-2</v>
      </c>
      <c r="W327" s="15">
        <f t="shared" si="84"/>
        <v>6.3590762005921508E-2</v>
      </c>
      <c r="X327" s="15">
        <f t="shared" si="85"/>
        <v>7.3747597360447531E-2</v>
      </c>
      <c r="Y327" s="15">
        <f t="shared" si="86"/>
        <v>8.1772405586904698E-2</v>
      </c>
      <c r="Z327" s="15">
        <f t="shared" si="87"/>
        <v>8.6264610881216425E-2</v>
      </c>
      <c r="AA327" s="15">
        <f t="shared" si="88"/>
        <v>9.5249021469839823E-2</v>
      </c>
      <c r="AC327" s="1"/>
      <c r="AD327" s="1"/>
      <c r="AE327" s="1"/>
    </row>
    <row r="328" spans="1:31">
      <c r="A328">
        <v>933</v>
      </c>
      <c r="B328">
        <f t="shared" si="68"/>
        <v>0.25857170471327712</v>
      </c>
      <c r="C328">
        <v>0.25642978845919795</v>
      </c>
      <c r="D328">
        <f t="shared" si="69"/>
        <v>3.8997029401641297</v>
      </c>
      <c r="E328" s="1">
        <f t="shared" si="70"/>
        <v>0.20654728098355613</v>
      </c>
      <c r="F328" s="1">
        <f t="shared" si="71"/>
        <v>0.23959484594092509</v>
      </c>
      <c r="G328" s="1">
        <f t="shared" si="72"/>
        <v>7.4357021154080202E-2</v>
      </c>
      <c r="H328" s="1">
        <f t="shared" si="73"/>
        <v>7.2052459079728473E-2</v>
      </c>
      <c r="I328" s="1">
        <f t="shared" si="74"/>
        <v>0.26480283147803385</v>
      </c>
      <c r="J328" s="1">
        <f t="shared" si="75"/>
        <v>0.28688395964023072</v>
      </c>
      <c r="K328" s="1">
        <f t="shared" si="76"/>
        <v>0.17640780358309965</v>
      </c>
      <c r="L328" s="1">
        <f t="shared" si="77"/>
        <v>0.17492240005701715</v>
      </c>
      <c r="M328" s="1">
        <f t="shared" si="78"/>
        <v>0.38131393246698886</v>
      </c>
      <c r="N328" s="1">
        <f t="shared" si="79"/>
        <v>0.38146218703884172</v>
      </c>
      <c r="O328" s="1">
        <f t="shared" si="80"/>
        <v>0.38050936844113825</v>
      </c>
      <c r="P328" s="1">
        <f t="shared" si="81"/>
        <v>0.38066228201159447</v>
      </c>
      <c r="Q328" s="1">
        <f t="shared" si="82"/>
        <v>5.7833238675395719</v>
      </c>
      <c r="T328">
        <v>0.49006564942726927</v>
      </c>
      <c r="U328">
        <f t="shared" si="89"/>
        <v>2.0405429378057445</v>
      </c>
      <c r="V328" s="15">
        <f t="shared" si="83"/>
        <v>5.8528371439756727E-2</v>
      </c>
      <c r="W328" s="15">
        <f t="shared" si="84"/>
        <v>6.3606150451456733E-2</v>
      </c>
      <c r="X328" s="15">
        <f t="shared" si="85"/>
        <v>7.3761708474856524E-2</v>
      </c>
      <c r="Y328" s="15">
        <f t="shared" si="86"/>
        <v>8.1796126386926196E-2</v>
      </c>
      <c r="Z328" s="15">
        <f t="shared" si="87"/>
        <v>8.6287693544632241E-2</v>
      </c>
      <c r="AA328" s="15">
        <f t="shared" si="88"/>
        <v>9.527082786004426E-2</v>
      </c>
      <c r="AC328" s="1"/>
      <c r="AD328" s="1"/>
      <c r="AE328" s="1"/>
    </row>
    <row r="329" spans="1:31">
      <c r="A329">
        <v>514</v>
      </c>
      <c r="B329">
        <f t="shared" si="68"/>
        <v>0.25965077233714451</v>
      </c>
      <c r="C329">
        <v>0.25696293404886417</v>
      </c>
      <c r="D329">
        <f t="shared" si="69"/>
        <v>3.8916118532871344</v>
      </c>
      <c r="E329" s="1">
        <f t="shared" si="70"/>
        <v>0.20639918498642662</v>
      </c>
      <c r="F329" s="1">
        <f t="shared" si="71"/>
        <v>0.23942305458425486</v>
      </c>
      <c r="G329" s="1">
        <f t="shared" si="72"/>
        <v>7.4303706595113581E-2</v>
      </c>
      <c r="H329" s="1">
        <f t="shared" si="73"/>
        <v>7.2000796909584025E-2</v>
      </c>
      <c r="I329" s="1">
        <f t="shared" si="74"/>
        <v>0.26461296580086924</v>
      </c>
      <c r="J329" s="1">
        <f t="shared" si="75"/>
        <v>0.28667826162348098</v>
      </c>
      <c r="K329" s="1">
        <f t="shared" si="76"/>
        <v>0.17628131782425227</v>
      </c>
      <c r="L329" s="1">
        <f t="shared" si="77"/>
        <v>0.17479697934398056</v>
      </c>
      <c r="M329" s="1">
        <f t="shared" si="78"/>
        <v>0.38104052742975397</v>
      </c>
      <c r="N329" s="1">
        <f t="shared" si="79"/>
        <v>0.38118867570193282</v>
      </c>
      <c r="O329" s="1">
        <f t="shared" si="80"/>
        <v>0.3802365402825294</v>
      </c>
      <c r="P329" s="1">
        <f t="shared" si="81"/>
        <v>0.38038934421277354</v>
      </c>
      <c r="Q329" s="1">
        <f t="shared" si="82"/>
        <v>5.7791771796199454</v>
      </c>
      <c r="T329">
        <v>0.39889883269826787</v>
      </c>
      <c r="U329">
        <f t="shared" si="89"/>
        <v>2.5069012943349791</v>
      </c>
      <c r="V329" s="15">
        <f t="shared" si="83"/>
        <v>6.4492373412370227E-2</v>
      </c>
      <c r="W329" s="15">
        <f t="shared" si="84"/>
        <v>6.9332492458102482E-2</v>
      </c>
      <c r="X329" s="15">
        <f t="shared" si="85"/>
        <v>7.9012730549566895E-2</v>
      </c>
      <c r="Y329" s="15">
        <f t="shared" si="86"/>
        <v>9.0623100708896551E-2</v>
      </c>
      <c r="Z329" s="15">
        <f t="shared" si="87"/>
        <v>9.487720473605174E-2</v>
      </c>
      <c r="AA329" s="15">
        <f t="shared" si="88"/>
        <v>0.10338541279036212</v>
      </c>
      <c r="AC329" s="1"/>
      <c r="AD329" s="1"/>
      <c r="AE329" s="1"/>
    </row>
    <row r="330" spans="1:31">
      <c r="A330">
        <v>569</v>
      </c>
      <c r="B330">
        <f t="shared" si="68"/>
        <v>0.2603732461078912</v>
      </c>
      <c r="C330">
        <v>0.25781222658260661</v>
      </c>
      <c r="D330">
        <f t="shared" si="69"/>
        <v>3.8787919923556697</v>
      </c>
      <c r="E330" s="1">
        <f t="shared" si="70"/>
        <v>0.2061632703937204</v>
      </c>
      <c r="F330" s="1">
        <f t="shared" si="71"/>
        <v>0.23914939365671564</v>
      </c>
      <c r="G330" s="1">
        <f t="shared" si="72"/>
        <v>7.4218777341739345E-2</v>
      </c>
      <c r="H330" s="1">
        <f t="shared" si="73"/>
        <v>7.1918499885598369E-2</v>
      </c>
      <c r="I330" s="1">
        <f t="shared" si="74"/>
        <v>0.26431051276523443</v>
      </c>
      <c r="J330" s="1">
        <f t="shared" si="75"/>
        <v>0.28635058792005486</v>
      </c>
      <c r="K330" s="1">
        <f t="shared" si="76"/>
        <v>0.17607982800102956</v>
      </c>
      <c r="L330" s="1">
        <f t="shared" si="77"/>
        <v>0.17459718612197278</v>
      </c>
      <c r="M330" s="1">
        <f t="shared" si="78"/>
        <v>0.38060499750826193</v>
      </c>
      <c r="N330" s="1">
        <f t="shared" si="79"/>
        <v>0.38075297644673289</v>
      </c>
      <c r="O330" s="1">
        <f t="shared" si="80"/>
        <v>0.37980192931960977</v>
      </c>
      <c r="P330" s="1">
        <f t="shared" si="81"/>
        <v>0.37995455859472155</v>
      </c>
      <c r="Q330" s="1">
        <f t="shared" si="82"/>
        <v>5.7725715710241712</v>
      </c>
      <c r="T330">
        <v>0.58553117157325885</v>
      </c>
      <c r="U330">
        <f t="shared" si="89"/>
        <v>1.7078510052899631</v>
      </c>
      <c r="V330" s="15">
        <f t="shared" si="83"/>
        <v>0</v>
      </c>
      <c r="W330" s="15">
        <f t="shared" si="84"/>
        <v>0</v>
      </c>
      <c r="X330" s="15">
        <f t="shared" si="85"/>
        <v>0</v>
      </c>
      <c r="Y330" s="15">
        <f t="shared" si="86"/>
        <v>0</v>
      </c>
      <c r="Z330" s="15">
        <f t="shared" si="87"/>
        <v>0</v>
      </c>
      <c r="AA330" s="15">
        <f t="shared" si="88"/>
        <v>0</v>
      </c>
      <c r="AC330" s="1"/>
      <c r="AD330" s="1"/>
      <c r="AE330" s="1"/>
    </row>
    <row r="331" spans="1:31">
      <c r="A331">
        <v>39</v>
      </c>
      <c r="B331">
        <f t="shared" ref="B331:B394" si="90">PERCENTILE($C$75:$C$1074,$C331)</f>
        <v>0.26046650564959062</v>
      </c>
      <c r="C331">
        <v>0.2582204817349345</v>
      </c>
      <c r="D331">
        <f t="shared" ref="D331:D394" si="91">1/C331</f>
        <v>3.8726594934731335</v>
      </c>
      <c r="E331" s="1">
        <f t="shared" ref="E331:E394" si="92">IF($C331&lt;=0.005,$F$14,IF($C331&lt;=0.01,$F$14+($C331-0.005)*SLOPE($E$14:$F$14,$E$11:$F$11),IF($C331&lt;=0.04,$E$14+($C331-0.01)*SLOPE($D$14:$E$14,$D$11:$E$11),IF($C331&lt;=0.1,$D$14+($C331-0.04)*SLOPE($C$14:$D$14,$C$11:$D$11),IF($C331&lt;=1,$C$14+($C331-0.1)*SLOPE($B$14:$C$14,$B$11:$C$11),)))))</f>
        <v>0.20604986618474042</v>
      </c>
      <c r="F331" s="1">
        <f t="shared" ref="F331:F394" si="93">IF($C331&lt;=0.005,$F$27,IF($C331&lt;=0.01,$F$27+($C331-0.005)*SLOPE($E$27:$F$27,$E$24:$F$24),IF($C331&lt;=0.04,$E$27+($C331-0.01)*SLOPE($D$27:$E$27,$D$24:$E$24),IF($C331&lt;=0.1,$D$27+($C331-0.04)*SLOPE($C$27:$D$27,$C$24:$D$24),IF($C331&lt;=1,$C$27+($C331-0.1)*SLOPE($B$27:$C$27,$B$24:$C$24),)))))</f>
        <v>0.23901784477429888</v>
      </c>
      <c r="G331" s="1">
        <f t="shared" ref="G331:G394" si="94">IF($C331&lt;=0.005,$F$15,IF($C331&lt;=0.01,$F$15+($C331-0.005)*SLOPE($E$15:$F$15,$E$11:$F$11),IF($C331&lt;=0.04,$E$15+($C331-0.01)*SLOPE($D$15:$E$15,$D$11:$E$11),IF($C331&lt;=0.1,$D$15+($C331-0.04)*SLOPE($C$15:$D$15,$C$11:$D$11),IF($C331&lt;=1,$C$15+($C331-0.1)*SLOPE($B$15:$C$15,$B$11:$C$11),)))))</f>
        <v>7.417795182650655E-2</v>
      </c>
      <c r="H331" s="1">
        <f t="shared" ref="H331:H394" si="95">IF($C331&lt;=0.005,$F$28,IF($C331&lt;=0.01,$F$28+($C331-0.005)*SLOPE($E$28:$F$28,$E$24:$F$24),IF($C331&lt;=0.04,$E$28+($C331-0.01)*SLOPE($D$28:$E$28,$D$24:$E$24),IF($C331&lt;=0.1,$D$28+($C331-0.04)*SLOPE($C$28:$D$28,$C$24:$D$24),IF($C331&lt;=1,$C$28+($C331-0.1)*SLOPE($B$28:$C$28,$B$24:$C$24),)))))</f>
        <v>7.1878939683749726E-2</v>
      </c>
      <c r="I331" s="1">
        <f t="shared" ref="I331:I394" si="96">IF($C331&lt;=0.005,$F$16,IF($C331&lt;=0.01,$F$16+($C331-0.005)*SLOPE($E$16:$F$16,$E$11:$F$11),IF($C331&lt;=0.04,$E$16+($C331-0.01)*SLOPE($D$16:$E$16,$D$11:$E$11),IF($C331&lt;=0.1,$D$16+($C331-0.04)*SLOPE($C$16:$D$16,$C$11:$D$11),IF($C331&lt;=1,$C$16+($C331-0.1)*SLOPE($B$16:$C$16,$B$11:$C$11),)))))</f>
        <v>0.26416512350861276</v>
      </c>
      <c r="J331" s="1">
        <f t="shared" ref="J331:J394" si="97">IF($C331&lt;=0.005,$F$29,IF($C331&lt;=0.01,$F$29+($C331-0.005)*SLOPE($E$29:$F$29,$E$24:$F$24),IF($C331&lt;=0.04,$E$29+($C331-0.01)*SLOPE($D$29:$E$29,$D$24:$E$24),IF($C331&lt;=0.1,$D$29+($C331-0.04)*SLOPE($C$29:$D$29,$C$24:$D$24),IF($C331&lt;=1,$C$29+($C331-0.1)*SLOPE($B$29:$C$29,$B$24:$C$24),)))))</f>
        <v>0.2861930750815555</v>
      </c>
      <c r="K331" s="1">
        <f t="shared" ref="K331:K394" si="98">IF($C331&lt;=0.005,$F$17,IF($C331&lt;=0.01,$F$17+($C331-0.005)*SLOPE($E$17:$F$17,$E$11:$F$11),IF($C331&lt;=0.04,$E$17+($C331-0.01)*SLOPE($D$17:$E$17,$D$11:$E$11),IF($C331&lt;=0.1,$D$17+($C331-0.04)*SLOPE($C$17:$D$17,$C$11:$D$11),IF($C331&lt;=1,$C$17+($C331-0.1)*SLOPE($B$17:$C$17,$B$11:$C$11),)))))</f>
        <v>0.17598297178811806</v>
      </c>
      <c r="L331" s="1">
        <f t="shared" ref="L331:L394" si="99">IF($C331&lt;=0.005,$F$30,IF($C331&lt;=0.01,$F$30+($C331-0.005)*SLOPE($E$30:$F$30,$E$24:$F$24),IF($C331&lt;=0.04,$E$30+($C331-0.01)*SLOPE($D$30:$E$30,$D$24:$E$24),IF($C331&lt;=0.1,$D$30+($C331-0.04)*SLOPE($C$30:$D$30,$C$24:$D$24),IF($C331&lt;=1,$C$30+($C331-0.1)*SLOPE($B$30:$C$30,$B$24:$C$24),)))))</f>
        <v>0.17450114546572748</v>
      </c>
      <c r="M331" s="1">
        <f t="shared" ref="M331:M394" si="100">IF($C331&lt;=0.005,$F$18,IF($C331&lt;=0.01,$F$18+($C331-0.005)*SLOPE($E$18:$F$18,$E$11:$F$11),IF($C331&lt;=0.04,$E$18+($C331-0.01)*SLOPE($D$18:$E$18,$D$11:$E$11),IF($C331&lt;=0.1,$D$18+($C331-0.04)*SLOPE($C$18:$D$18,$C$11:$D$11),IF($C331&lt;=1,$C$18+($C331-0.1)*SLOPE($B$18:$C$18,$B$11:$C$11),)))))</f>
        <v>0.38039563815635691</v>
      </c>
      <c r="N331" s="1">
        <f t="shared" ref="N331:N394" si="101">IF($C331&lt;=0.005,$F$31,IF($C331&lt;=0.01,$F$31+($C331-0.005)*SLOPE($E$31:$F$31,$E$24:$F$24),IF($C331&lt;=0.04,$E$31+($C331-0.01)*SLOPE($D$31:$E$31,$D$24:$E$24),IF($C331&lt;=0.1,$D$31+($C331-0.04)*SLOPE($C$31:$D$31,$C$24:$D$24),IF($C331&lt;=1,$C$31+($C331-0.1)*SLOPE($B$31:$C$31,$B$24:$C$24),)))))</f>
        <v>0.38054353569606841</v>
      </c>
      <c r="O331" s="1">
        <f t="shared" ref="O331:O394" si="102">IF($C331&lt;=0.005,$F$19,IF($C331&lt;=0.01,$F$19+($C331-0.005)*SLOPE($E$19:$F$19,$E$11:$F$11),IF($C331&lt;=0.04,$E$19+($C331-0.01)*SLOPE($D$19:$E$19,$D$11:$E$11),IF($C331&lt;=0.1,$D$19+($C331-0.04)*SLOPE($C$19:$D$19,$C$11:$D$11),IF($C331&lt;=1,$C$19+($C331-0.1)*SLOPE($B$19:$C$19,$B$11:$C$11),)))))</f>
        <v>0.37959301171134086</v>
      </c>
      <c r="P331" s="1">
        <f t="shared" ref="P331:P394" si="103">IF($C331&lt;=0.005,$F$32,IF($C331&lt;=0.01,$F$32+($C331-0.005)*SLOPE($E$32:$F$32,$E$24:$F$24),IF($C331&lt;=0.04,$E$32+($C331-0.01)*SLOPE($D$32:$E$32,$D$24:$E$24),IF($C331&lt;=0.1,$D$32+($C331-0.04)*SLOPE($C$32:$D$32,$C$24:$D$24),IF($C331&lt;=1,$C$32+($C331-0.1)*SLOPE($B$32:$C$32,$B$24:$C$24),)))))</f>
        <v>0.37974555702968293</v>
      </c>
      <c r="Q331" s="1">
        <f t="shared" ref="Q331:Q394" si="104">IF($C331&lt;=0.005,$F$20,IF($C331&lt;=0.01,$F$20+($C331-0.005)*SLOPE($E$20:$F$20,$E$11:$F$11),IF($C331&lt;=0.04,$E$20+($C331-0.01)*SLOPE($D$20:$E$20,$D$11:$E$11),IF($C331&lt;=0.1,$D$20+($C331-0.04)*SLOPE($C$20:$D$20,$C$11:$D$11),IF($C331&lt;=1,$C$20+($C331-0.1)*SLOPE($B$20:$C$20,$B$11:$C$11),)))))</f>
        <v>5.7693962531727321</v>
      </c>
      <c r="T331">
        <v>0.96022742588481724</v>
      </c>
      <c r="U331">
        <f t="shared" si="89"/>
        <v>1.0414199522353089</v>
      </c>
      <c r="V331" s="15">
        <f t="shared" ref="V331:V394" si="105">IF($T331&lt;=0.05,$F$63,IF($T331&lt;=0.07,$F$63+($T331-0.05)*SLOPE($E$63:$F$63,$E$62:$F$62),IF($T331&lt;=0.1,$E$63+($T331-0.07)*SLOPE($D$63:$E$63,$D$62:$E$62),IF($T331&lt;=0.2,$D$63+($T331-0.1)*SLOPE($C$63:$D$63,$C$62:$D$62),IF($T331&lt;=0.5,$C$63+($T331-0.2)*SLOPE($B$63:$C$63,$B$62:$C$62),)))))</f>
        <v>0</v>
      </c>
      <c r="W331" s="15">
        <f t="shared" ref="W331:W394" si="106">IF($T331&lt;=0.05,$F$64,IF($T331&lt;=0.07,$F$64+($T331-0.05)*SLOPE($E$64:$F$64,$E$62:$F$62),IF($T331&lt;=0.1,$E$64+($T331-0.07)*SLOPE($D$64:$E$64,$D$62:$E$62),IF($T331&lt;=0.2,$D$64+($T331-0.1)*SLOPE($C$64:$D$64,$C$62:$D$62),IF($T331&lt;=0.5,$C$64+($T331-0.2)*SLOPE($B$64:$C$64,$B$62:$C$62),)))))</f>
        <v>0</v>
      </c>
      <c r="X331" s="15">
        <f t="shared" ref="X331:X394" si="107">IF($T331&lt;=0.05,$F$65,IF($T331&lt;=0.07,$F$65+($T331-0.05)*SLOPE($E$65:$F$65,$E$62:$F$62),IF($T331&lt;=0.1,$E$65+($T331-0.07)*SLOPE($D$65:$E$65,$D$62:$E$62),IF($T331&lt;=0.2,$D$65+($T331-0.1)*SLOPE($C$65:$D$65,$C$62:$D$62),IF($T331&lt;=0.5,$C$65+($T331-0.2)*SLOPE($B$65:$C$65,$B$62:$C$62),)))))</f>
        <v>0</v>
      </c>
      <c r="Y331" s="15">
        <f t="shared" ref="Y331:Y394" si="108">IF($T331&lt;=0.05,$F$66,IF($T331&lt;=0.07,$F$66+($T331-0.05)*SLOPE($E$66:$F$66,$E$62:$F$62),IF($T331&lt;=0.1,$E$66+($T331-0.07)*SLOPE($D$66:$E$66,$D$62:$E$62),IF($T331&lt;=0.2,$D$66+($T331-0.1)*SLOPE($C$66:$D$66,$C$62:$D$62),IF($T331&lt;=0.5,$C$66+($T331-0.2)*SLOPE($B$66:$C$66,$B$62:$C$62),)))))</f>
        <v>0</v>
      </c>
      <c r="Z331" s="15">
        <f t="shared" ref="Z331:Z394" si="109">IF($T331&lt;=0.05,$F$67,IF($T331&lt;=0.07,$F$67+($T331-0.05)*SLOPE($E$67:$F$67,$E$62:$F$62),IF($T331&lt;=0.1,$E$67+($T331-0.07)*SLOPE($D$67:$E$67,$D$62:$E$62),IF($T331&lt;=0.2,$D$67+($T331-0.1)*SLOPE($C$67:$D$67,$C$62:$D$62),IF($T331&lt;=0.5,$C$67+($T331-0.2)*SLOPE($B$67:$C$67,$B$62:$C$62),)))))</f>
        <v>0</v>
      </c>
      <c r="AA331" s="15">
        <f t="shared" ref="AA331:AA394" si="110">IF($T331&lt;=0.05,$F$68,IF($T331&lt;=0.07,$F$68+($T331-0.05)*SLOPE($E$68:$F$68,$E$62:$F$62),IF($T331&lt;=0.1,$E$68+($T331-0.07)*SLOPE($D$68:$E$68,$D$62:$E$62),IF($T331&lt;=0.2,$D$68+($T331-0.1)*SLOPE($C$68:$D$68,$C$62:$D$62),IF($T331&lt;=0.5,$C$68+($T331-0.2)*SLOPE($B$68:$C$68,$B$62:$C$62),)))))</f>
        <v>0</v>
      </c>
      <c r="AC331" s="1"/>
      <c r="AD331" s="1"/>
      <c r="AE331" s="1"/>
    </row>
    <row r="332" spans="1:31">
      <c r="A332">
        <v>952</v>
      </c>
      <c r="B332">
        <f t="shared" si="90"/>
        <v>0.26179731560854208</v>
      </c>
      <c r="C332">
        <v>0.26024647199458439</v>
      </c>
      <c r="D332">
        <f t="shared" si="91"/>
        <v>3.8425112637869288</v>
      </c>
      <c r="E332" s="1">
        <f t="shared" si="92"/>
        <v>0.20548709111261546</v>
      </c>
      <c r="F332" s="1">
        <f t="shared" si="93"/>
        <v>0.23836502569063389</v>
      </c>
      <c r="G332" s="1">
        <f t="shared" si="94"/>
        <v>7.3975352800541558E-2</v>
      </c>
      <c r="H332" s="1">
        <f t="shared" si="95"/>
        <v>7.168261985004247E-2</v>
      </c>
      <c r="I332" s="1">
        <f t="shared" si="96"/>
        <v>0.26344362075208017</v>
      </c>
      <c r="J332" s="1">
        <f t="shared" si="97"/>
        <v>0.28541140833528211</v>
      </c>
      <c r="K332" s="1">
        <f t="shared" si="98"/>
        <v>0.17550231712197029</v>
      </c>
      <c r="L332" s="1">
        <f t="shared" si="99"/>
        <v>0.17402453804761192</v>
      </c>
      <c r="M332" s="1">
        <f t="shared" si="100"/>
        <v>0.37935668003100909</v>
      </c>
      <c r="N332" s="1">
        <f t="shared" si="101"/>
        <v>0.37950417362457822</v>
      </c>
      <c r="O332" s="1">
        <f t="shared" si="102"/>
        <v>0.37855624576482744</v>
      </c>
      <c r="P332" s="1">
        <f t="shared" si="103"/>
        <v>0.37870837444275074</v>
      </c>
      <c r="Q332" s="1">
        <f t="shared" si="104"/>
        <v>5.7536385511532329</v>
      </c>
      <c r="T332">
        <v>0.84693390970261428</v>
      </c>
      <c r="U332">
        <f t="shared" ref="U332:U395" si="111">1/T332</f>
        <v>1.1807296750594531</v>
      </c>
      <c r="V332" s="15">
        <f t="shared" si="105"/>
        <v>0</v>
      </c>
      <c r="W332" s="15">
        <f t="shared" si="106"/>
        <v>0</v>
      </c>
      <c r="X332" s="15">
        <f t="shared" si="107"/>
        <v>0</v>
      </c>
      <c r="Y332" s="15">
        <f t="shared" si="108"/>
        <v>0</v>
      </c>
      <c r="Z332" s="15">
        <f t="shared" si="109"/>
        <v>0</v>
      </c>
      <c r="AA332" s="15">
        <f t="shared" si="110"/>
        <v>0</v>
      </c>
      <c r="AC332" s="1"/>
      <c r="AD332" s="1"/>
      <c r="AE332" s="1"/>
    </row>
    <row r="333" spans="1:31">
      <c r="A333">
        <v>730</v>
      </c>
      <c r="B333">
        <f t="shared" si="90"/>
        <v>0.26180912017055469</v>
      </c>
      <c r="C333">
        <v>0.26047513510896692</v>
      </c>
      <c r="D333">
        <f t="shared" si="91"/>
        <v>3.8391380412631744</v>
      </c>
      <c r="E333" s="1">
        <f t="shared" si="92"/>
        <v>0.20542357358084251</v>
      </c>
      <c r="F333" s="1">
        <f t="shared" si="93"/>
        <v>0.23829134535377733</v>
      </c>
      <c r="G333" s="1">
        <f t="shared" si="94"/>
        <v>7.3952486489103311E-2</v>
      </c>
      <c r="H333" s="1">
        <f t="shared" si="95"/>
        <v>7.1660462238782141E-2</v>
      </c>
      <c r="I333" s="1">
        <f t="shared" si="96"/>
        <v>0.26336218844185139</v>
      </c>
      <c r="J333" s="1">
        <f t="shared" si="97"/>
        <v>0.28532318562455544</v>
      </c>
      <c r="K333" s="1">
        <f t="shared" si="98"/>
        <v>0.17544806809861968</v>
      </c>
      <c r="L333" s="1">
        <f t="shared" si="99"/>
        <v>0.17397074581635857</v>
      </c>
      <c r="M333" s="1">
        <f t="shared" si="100"/>
        <v>0.37923941816386858</v>
      </c>
      <c r="N333" s="1">
        <f t="shared" si="101"/>
        <v>0.37938686616611145</v>
      </c>
      <c r="O333" s="1">
        <f t="shared" si="102"/>
        <v>0.37843923131765211</v>
      </c>
      <c r="P333" s="1">
        <f t="shared" si="103"/>
        <v>0.37859131297151138</v>
      </c>
      <c r="Q333" s="1">
        <f t="shared" si="104"/>
        <v>5.7518600602635903</v>
      </c>
      <c r="T333">
        <v>0.74388048480751101</v>
      </c>
      <c r="U333">
        <f t="shared" si="111"/>
        <v>1.3443019684254296</v>
      </c>
      <c r="V333" s="15">
        <f t="shared" si="105"/>
        <v>0</v>
      </c>
      <c r="W333" s="15">
        <f t="shared" si="106"/>
        <v>0</v>
      </c>
      <c r="X333" s="15">
        <f t="shared" si="107"/>
        <v>0</v>
      </c>
      <c r="Y333" s="15">
        <f t="shared" si="108"/>
        <v>0</v>
      </c>
      <c r="Z333" s="15">
        <f t="shared" si="109"/>
        <v>0</v>
      </c>
      <c r="AA333" s="15">
        <f t="shared" si="110"/>
        <v>0</v>
      </c>
      <c r="AC333" s="1"/>
      <c r="AD333" s="1"/>
      <c r="AE333" s="1"/>
    </row>
    <row r="334" spans="1:31">
      <c r="A334">
        <v>9</v>
      </c>
      <c r="B334">
        <f t="shared" si="90"/>
        <v>0.26182553503372674</v>
      </c>
      <c r="C334">
        <v>0.26126376117146877</v>
      </c>
      <c r="D334">
        <f t="shared" si="91"/>
        <v>3.827549582522066</v>
      </c>
      <c r="E334" s="1">
        <f t="shared" si="92"/>
        <v>0.20520451078570312</v>
      </c>
      <c r="F334" s="1">
        <f t="shared" si="93"/>
        <v>0.23803723251141562</v>
      </c>
      <c r="G334" s="1">
        <f t="shared" si="94"/>
        <v>7.3873623882853123E-2</v>
      </c>
      <c r="H334" s="1">
        <f t="shared" si="95"/>
        <v>7.1584043837109104E-2</v>
      </c>
      <c r="I334" s="1">
        <f t="shared" si="96"/>
        <v>0.26308134016271562</v>
      </c>
      <c r="J334" s="1">
        <f t="shared" si="97"/>
        <v>0.28501891823463782</v>
      </c>
      <c r="K334" s="1">
        <f t="shared" si="98"/>
        <v>0.17526097105065419</v>
      </c>
      <c r="L334" s="1">
        <f t="shared" si="99"/>
        <v>0.17378522417837569</v>
      </c>
      <c r="M334" s="1">
        <f t="shared" si="100"/>
        <v>0.37883499891674005</v>
      </c>
      <c r="N334" s="1">
        <f t="shared" si="101"/>
        <v>0.378982289681082</v>
      </c>
      <c r="O334" s="1">
        <f t="shared" si="102"/>
        <v>0.3780356653862561</v>
      </c>
      <c r="P334" s="1">
        <f t="shared" si="103"/>
        <v>0.37818758486090875</v>
      </c>
      <c r="Q334" s="1">
        <f t="shared" si="104"/>
        <v>5.7457263019996878</v>
      </c>
      <c r="T334">
        <v>0.76083861086635884</v>
      </c>
      <c r="U334">
        <f t="shared" si="111"/>
        <v>1.3143391853645685</v>
      </c>
      <c r="V334" s="15">
        <f t="shared" si="105"/>
        <v>0</v>
      </c>
      <c r="W334" s="15">
        <f t="shared" si="106"/>
        <v>0</v>
      </c>
      <c r="X334" s="15">
        <f t="shared" si="107"/>
        <v>0</v>
      </c>
      <c r="Y334" s="15">
        <f t="shared" si="108"/>
        <v>0</v>
      </c>
      <c r="Z334" s="15">
        <f t="shared" si="109"/>
        <v>0</v>
      </c>
      <c r="AA334" s="15">
        <f t="shared" si="110"/>
        <v>0</v>
      </c>
      <c r="AC334" s="1"/>
      <c r="AD334" s="1"/>
      <c r="AE334" s="1"/>
    </row>
    <row r="335" spans="1:31">
      <c r="A335">
        <v>303</v>
      </c>
      <c r="B335">
        <f t="shared" si="90"/>
        <v>0.26193183219704924</v>
      </c>
      <c r="C335">
        <v>0.26180476769061889</v>
      </c>
      <c r="D335">
        <f t="shared" si="91"/>
        <v>3.8196401418545767</v>
      </c>
      <c r="E335" s="1">
        <f t="shared" si="92"/>
        <v>0.2050542311970503</v>
      </c>
      <c r="F335" s="1">
        <f t="shared" si="93"/>
        <v>0.23786290818857836</v>
      </c>
      <c r="G335" s="1">
        <f t="shared" si="94"/>
        <v>7.3819523230938114E-2</v>
      </c>
      <c r="H335" s="1">
        <f t="shared" si="95"/>
        <v>7.1531619937552721E-2</v>
      </c>
      <c r="I335" s="1">
        <f t="shared" si="96"/>
        <v>0.26288867502377444</v>
      </c>
      <c r="J335" s="1">
        <f t="shared" si="97"/>
        <v>0.2848101873172395</v>
      </c>
      <c r="K335" s="1">
        <f t="shared" si="98"/>
        <v>0.17513262033099633</v>
      </c>
      <c r="L335" s="1">
        <f t="shared" si="99"/>
        <v>0.17365795420802529</v>
      </c>
      <c r="M335" s="1">
        <f t="shared" si="100"/>
        <v>0.37855756267722218</v>
      </c>
      <c r="N335" s="1">
        <f t="shared" si="101"/>
        <v>0.37870474557456157</v>
      </c>
      <c r="O335" s="1">
        <f t="shared" si="102"/>
        <v>0.37775881453111254</v>
      </c>
      <c r="P335" s="1">
        <f t="shared" si="103"/>
        <v>0.37791062274897036</v>
      </c>
      <c r="Q335" s="1">
        <f t="shared" si="104"/>
        <v>5.7415184735174085</v>
      </c>
      <c r="T335">
        <v>0.14223149797941914</v>
      </c>
      <c r="U335">
        <f t="shared" si="111"/>
        <v>7.0307914506018889</v>
      </c>
      <c r="V335" s="15">
        <f t="shared" si="105"/>
        <v>8.5359540359280256E-2</v>
      </c>
      <c r="W335" s="15">
        <f t="shared" si="106"/>
        <v>8.9223298904534509E-2</v>
      </c>
      <c r="X335" s="15">
        <f t="shared" si="107"/>
        <v>9.6950815995042905E-2</v>
      </c>
      <c r="Y335" s="15">
        <f t="shared" si="108"/>
        <v>0.12149996461786713</v>
      </c>
      <c r="Z335" s="15">
        <f t="shared" si="109"/>
        <v>0.12475762347876658</v>
      </c>
      <c r="AA335" s="15">
        <f t="shared" si="110"/>
        <v>0.13127294120056546</v>
      </c>
      <c r="AC335" s="1"/>
      <c r="AD335" s="1"/>
      <c r="AE335" s="1"/>
    </row>
    <row r="336" spans="1:31">
      <c r="A336">
        <v>605</v>
      </c>
      <c r="B336">
        <f t="shared" si="90"/>
        <v>0.26193581606451682</v>
      </c>
      <c r="C336">
        <v>0.2618250438504337</v>
      </c>
      <c r="D336">
        <f t="shared" si="91"/>
        <v>3.8193443426719913</v>
      </c>
      <c r="E336" s="1">
        <f t="shared" si="92"/>
        <v>0.20504859893043509</v>
      </c>
      <c r="F336" s="1">
        <f t="shared" si="93"/>
        <v>0.23785637475930468</v>
      </c>
      <c r="G336" s="1">
        <f t="shared" si="94"/>
        <v>7.3817495614956624E-2</v>
      </c>
      <c r="H336" s="1">
        <f t="shared" si="95"/>
        <v>7.1529655163880143E-2</v>
      </c>
      <c r="I336" s="1">
        <f t="shared" si="96"/>
        <v>0.2628814542066315</v>
      </c>
      <c r="J336" s="1">
        <f t="shared" si="97"/>
        <v>0.28480236437742334</v>
      </c>
      <c r="K336" s="1">
        <f t="shared" si="98"/>
        <v>0.17512780992740229</v>
      </c>
      <c r="L336" s="1">
        <f t="shared" si="99"/>
        <v>0.17365318430938803</v>
      </c>
      <c r="M336" s="1">
        <f t="shared" si="100"/>
        <v>0.37854716475902384</v>
      </c>
      <c r="N336" s="1">
        <f t="shared" si="101"/>
        <v>0.37869434361366044</v>
      </c>
      <c r="O336" s="1">
        <f t="shared" si="102"/>
        <v>0.37774843855229334</v>
      </c>
      <c r="P336" s="1">
        <f t="shared" si="103"/>
        <v>0.37790024260040367</v>
      </c>
      <c r="Q336" s="1">
        <f t="shared" si="104"/>
        <v>5.7413607700521823</v>
      </c>
      <c r="T336">
        <v>0.47886747371906169</v>
      </c>
      <c r="U336">
        <f t="shared" si="111"/>
        <v>2.088260437138548</v>
      </c>
      <c r="V336" s="15">
        <f t="shared" si="105"/>
        <v>5.9260939981794866E-2</v>
      </c>
      <c r="W336" s="15">
        <f t="shared" si="106"/>
        <v>6.4309526814221737E-2</v>
      </c>
      <c r="X336" s="15">
        <f t="shared" si="107"/>
        <v>7.4406700479075299E-2</v>
      </c>
      <c r="Y336" s="15">
        <f t="shared" si="108"/>
        <v>8.2880358709341115E-2</v>
      </c>
      <c r="Z336" s="15">
        <f t="shared" si="109"/>
        <v>8.7342757865404269E-2</v>
      </c>
      <c r="AA336" s="15">
        <f t="shared" si="110"/>
        <v>9.6267556177530494E-2</v>
      </c>
      <c r="AC336" s="1"/>
      <c r="AD336" s="1"/>
      <c r="AE336" s="1"/>
    </row>
    <row r="337" spans="1:31">
      <c r="A337">
        <v>807</v>
      </c>
      <c r="B337">
        <f t="shared" si="90"/>
        <v>0.26197445924513979</v>
      </c>
      <c r="C337">
        <v>0.26202172090167619</v>
      </c>
      <c r="D337">
        <f t="shared" si="91"/>
        <v>3.8164774910979635</v>
      </c>
      <c r="E337" s="1">
        <f t="shared" si="92"/>
        <v>0.20499396641620105</v>
      </c>
      <c r="F337" s="1">
        <f t="shared" si="93"/>
        <v>0.23779300104279322</v>
      </c>
      <c r="G337" s="1">
        <f t="shared" si="94"/>
        <v>7.3797827909832386E-2</v>
      </c>
      <c r="H337" s="1">
        <f t="shared" si="95"/>
        <v>7.151059702388661E-2</v>
      </c>
      <c r="I337" s="1">
        <f t="shared" si="96"/>
        <v>0.26281141288538512</v>
      </c>
      <c r="J337" s="1">
        <f t="shared" si="97"/>
        <v>0.28472648251669919</v>
      </c>
      <c r="K337" s="1">
        <f t="shared" si="98"/>
        <v>0.17508114941560879</v>
      </c>
      <c r="L337" s="1">
        <f t="shared" si="99"/>
        <v>0.17360691669228137</v>
      </c>
      <c r="M337" s="1">
        <f t="shared" si="100"/>
        <v>0.37844630582375277</v>
      </c>
      <c r="N337" s="1">
        <f t="shared" si="101"/>
        <v>0.37859344546451074</v>
      </c>
      <c r="O337" s="1">
        <f t="shared" si="102"/>
        <v>0.37764779242716134</v>
      </c>
      <c r="P337" s="1">
        <f t="shared" si="103"/>
        <v>0.37779955602907084</v>
      </c>
      <c r="Q337" s="1">
        <f t="shared" si="104"/>
        <v>5.7398310596536302</v>
      </c>
      <c r="T337">
        <v>0.70861434753642116</v>
      </c>
      <c r="U337">
        <f t="shared" si="111"/>
        <v>1.4112048443227467</v>
      </c>
      <c r="V337" s="15">
        <f t="shared" si="105"/>
        <v>0</v>
      </c>
      <c r="W337" s="15">
        <f t="shared" si="106"/>
        <v>0</v>
      </c>
      <c r="X337" s="15">
        <f t="shared" si="107"/>
        <v>0</v>
      </c>
      <c r="Y337" s="15">
        <f t="shared" si="108"/>
        <v>0</v>
      </c>
      <c r="Z337" s="15">
        <f t="shared" si="109"/>
        <v>0</v>
      </c>
      <c r="AA337" s="15">
        <f t="shared" si="110"/>
        <v>0</v>
      </c>
      <c r="AC337" s="1"/>
      <c r="AD337" s="1"/>
      <c r="AE337" s="1"/>
    </row>
    <row r="338" spans="1:31">
      <c r="A338">
        <v>627</v>
      </c>
      <c r="B338">
        <f t="shared" si="90"/>
        <v>0.26229308388157996</v>
      </c>
      <c r="C338">
        <v>0.26267687442059506</v>
      </c>
      <c r="D338">
        <f t="shared" si="91"/>
        <v>3.8069586529296524</v>
      </c>
      <c r="E338" s="1">
        <f t="shared" si="92"/>
        <v>0.20481197932761247</v>
      </c>
      <c r="F338" s="1">
        <f t="shared" si="93"/>
        <v>0.23758189602003046</v>
      </c>
      <c r="G338" s="1">
        <f t="shared" si="94"/>
        <v>7.3732312557940494E-2</v>
      </c>
      <c r="H338" s="1">
        <f t="shared" si="95"/>
        <v>7.1447112202439794E-2</v>
      </c>
      <c r="I338" s="1">
        <f t="shared" si="96"/>
        <v>0.26257809731656612</v>
      </c>
      <c r="J338" s="1">
        <f t="shared" si="97"/>
        <v>0.28447371144980799</v>
      </c>
      <c r="K338" s="1">
        <f t="shared" si="98"/>
        <v>0.17492571796947443</v>
      </c>
      <c r="L338" s="1">
        <f t="shared" si="99"/>
        <v>0.17345279402281938</v>
      </c>
      <c r="M338" s="1">
        <f t="shared" si="100"/>
        <v>0.37811033329447286</v>
      </c>
      <c r="N338" s="1">
        <f t="shared" si="101"/>
        <v>0.37825734230936264</v>
      </c>
      <c r="O338" s="1">
        <f t="shared" si="102"/>
        <v>0.37731252879254207</v>
      </c>
      <c r="P338" s="1">
        <f t="shared" si="103"/>
        <v>0.37746415766357849</v>
      </c>
      <c r="Q338" s="1">
        <f t="shared" si="104"/>
        <v>5.7347354211731494</v>
      </c>
      <c r="T338">
        <v>0.93168303854907941</v>
      </c>
      <c r="U338">
        <f t="shared" si="111"/>
        <v>1.0733263981678913</v>
      </c>
      <c r="V338" s="15">
        <f t="shared" si="105"/>
        <v>0</v>
      </c>
      <c r="W338" s="15">
        <f t="shared" si="106"/>
        <v>0</v>
      </c>
      <c r="X338" s="15">
        <f t="shared" si="107"/>
        <v>0</v>
      </c>
      <c r="Y338" s="15">
        <f t="shared" si="108"/>
        <v>0</v>
      </c>
      <c r="Z338" s="15">
        <f t="shared" si="109"/>
        <v>0</v>
      </c>
      <c r="AA338" s="15">
        <f t="shared" si="110"/>
        <v>0</v>
      </c>
      <c r="AC338" s="1"/>
      <c r="AD338" s="1"/>
      <c r="AE338" s="1"/>
    </row>
    <row r="339" spans="1:31">
      <c r="A339">
        <v>898</v>
      </c>
      <c r="B339">
        <f t="shared" si="90"/>
        <v>0.26481554071986607</v>
      </c>
      <c r="C339">
        <v>0.26468331811295831</v>
      </c>
      <c r="D339">
        <f t="shared" si="91"/>
        <v>3.77809983314941</v>
      </c>
      <c r="E339" s="1">
        <f t="shared" si="92"/>
        <v>0.20425463385751158</v>
      </c>
      <c r="F339" s="1">
        <f t="shared" si="93"/>
        <v>0.23693537527471342</v>
      </c>
      <c r="G339" s="1">
        <f t="shared" si="94"/>
        <v>7.3531668188704172E-2</v>
      </c>
      <c r="H339" s="1">
        <f t="shared" si="95"/>
        <v>7.125268644439306E-2</v>
      </c>
      <c r="I339" s="1">
        <f t="shared" si="96"/>
        <v>0.26186355555212659</v>
      </c>
      <c r="J339" s="1">
        <f t="shared" si="97"/>
        <v>0.28369958615225527</v>
      </c>
      <c r="K339" s="1">
        <f t="shared" si="98"/>
        <v>0.17444970061524301</v>
      </c>
      <c r="L339" s="1">
        <f t="shared" si="99"/>
        <v>0.1729807848691442</v>
      </c>
      <c r="M339" s="1">
        <f t="shared" si="100"/>
        <v>0.37708139894135612</v>
      </c>
      <c r="N339" s="1">
        <f t="shared" si="101"/>
        <v>0.37722800790733868</v>
      </c>
      <c r="O339" s="1">
        <f t="shared" si="102"/>
        <v>0.37628576546832038</v>
      </c>
      <c r="P339" s="1">
        <f t="shared" si="103"/>
        <v>0.37643698171864642</v>
      </c>
      <c r="Q339" s="1">
        <f t="shared" si="104"/>
        <v>5.7191297480103245</v>
      </c>
      <c r="T339">
        <v>0.73185306248946358</v>
      </c>
      <c r="U339">
        <f t="shared" si="111"/>
        <v>1.366394500828364</v>
      </c>
      <c r="V339" s="15">
        <f t="shared" si="105"/>
        <v>0</v>
      </c>
      <c r="W339" s="15">
        <f t="shared" si="106"/>
        <v>0</v>
      </c>
      <c r="X339" s="15">
        <f t="shared" si="107"/>
        <v>0</v>
      </c>
      <c r="Y339" s="15">
        <f t="shared" si="108"/>
        <v>0</v>
      </c>
      <c r="Z339" s="15">
        <f t="shared" si="109"/>
        <v>0</v>
      </c>
      <c r="AA339" s="15">
        <f t="shared" si="110"/>
        <v>0</v>
      </c>
      <c r="AC339" s="1"/>
      <c r="AD339" s="1"/>
      <c r="AE339" s="1"/>
    </row>
    <row r="340" spans="1:31">
      <c r="A340">
        <v>99</v>
      </c>
      <c r="B340">
        <f t="shared" si="90"/>
        <v>0.26491519736786812</v>
      </c>
      <c r="C340">
        <v>0.26499916048567995</v>
      </c>
      <c r="D340">
        <f t="shared" si="91"/>
        <v>3.7735968603343486</v>
      </c>
      <c r="E340" s="1">
        <f t="shared" si="92"/>
        <v>0.2041668998650889</v>
      </c>
      <c r="F340" s="1">
        <f t="shared" si="93"/>
        <v>0.2368336038435031</v>
      </c>
      <c r="G340" s="1">
        <f t="shared" si="94"/>
        <v>7.350008395143201E-2</v>
      </c>
      <c r="H340" s="1">
        <f t="shared" si="95"/>
        <v>7.1222081103723203E-2</v>
      </c>
      <c r="I340" s="1">
        <f t="shared" si="96"/>
        <v>0.26175107665867536</v>
      </c>
      <c r="J340" s="1">
        <f t="shared" si="97"/>
        <v>0.28357772797517633</v>
      </c>
      <c r="K340" s="1">
        <f t="shared" si="98"/>
        <v>0.17437476880868924</v>
      </c>
      <c r="L340" s="1">
        <f t="shared" si="99"/>
        <v>0.17290648400956338</v>
      </c>
      <c r="M340" s="1">
        <f t="shared" si="100"/>
        <v>0.37691943024584773</v>
      </c>
      <c r="N340" s="1">
        <f t="shared" si="101"/>
        <v>0.37706597623852256</v>
      </c>
      <c r="O340" s="1">
        <f t="shared" si="102"/>
        <v>0.37612413852320348</v>
      </c>
      <c r="P340" s="1">
        <f t="shared" si="103"/>
        <v>0.3762752898212437</v>
      </c>
      <c r="Q340" s="1">
        <f t="shared" si="104"/>
        <v>5.716673196222489</v>
      </c>
      <c r="T340">
        <v>7.3266982771522549E-2</v>
      </c>
      <c r="U340">
        <f t="shared" si="111"/>
        <v>13.648712723962213</v>
      </c>
      <c r="V340" s="15">
        <f t="shared" si="105"/>
        <v>9.7588884727248124E-2</v>
      </c>
      <c r="W340" s="15">
        <f t="shared" si="106"/>
        <v>0.10069320300448539</v>
      </c>
      <c r="X340" s="15">
        <f t="shared" si="107"/>
        <v>0.10690183955896</v>
      </c>
      <c r="Y340" s="15">
        <f t="shared" si="108"/>
        <v>0.13957898903548885</v>
      </c>
      <c r="Z340" s="15">
        <f t="shared" si="109"/>
        <v>0.14203950801366044</v>
      </c>
      <c r="AA340" s="15">
        <f t="shared" si="110"/>
        <v>0.14696054597000352</v>
      </c>
      <c r="AC340" s="1"/>
      <c r="AD340" s="1"/>
      <c r="AE340" s="1"/>
    </row>
    <row r="341" spans="1:31">
      <c r="A341">
        <v>275</v>
      </c>
      <c r="B341">
        <f t="shared" si="90"/>
        <v>0.26504431901406045</v>
      </c>
      <c r="C341">
        <v>0.26538302489779642</v>
      </c>
      <c r="D341">
        <f t="shared" si="91"/>
        <v>3.7681385250059503</v>
      </c>
      <c r="E341" s="1">
        <f t="shared" si="92"/>
        <v>0.20406027086172321</v>
      </c>
      <c r="F341" s="1">
        <f t="shared" si="93"/>
        <v>0.23670991419959891</v>
      </c>
      <c r="G341" s="1">
        <f t="shared" si="94"/>
        <v>7.3461697510220358E-2</v>
      </c>
      <c r="H341" s="1">
        <f t="shared" si="95"/>
        <v>7.1184884381185226E-2</v>
      </c>
      <c r="I341" s="1">
        <f t="shared" si="96"/>
        <v>0.26161437351799754</v>
      </c>
      <c r="J341" s="1">
        <f t="shared" si="97"/>
        <v>0.28342962556224516</v>
      </c>
      <c r="K341" s="1">
        <f t="shared" si="98"/>
        <v>0.17428369916016895</v>
      </c>
      <c r="L341" s="1">
        <f t="shared" si="99"/>
        <v>0.17281618119320291</v>
      </c>
      <c r="M341" s="1">
        <f t="shared" si="100"/>
        <v>0.37672257883054561</v>
      </c>
      <c r="N341" s="1">
        <f t="shared" si="101"/>
        <v>0.37686904828753742</v>
      </c>
      <c r="O341" s="1">
        <f t="shared" si="102"/>
        <v>0.3759277024600659</v>
      </c>
      <c r="P341" s="1">
        <f t="shared" si="103"/>
        <v>0.37607877481723823</v>
      </c>
      <c r="Q341" s="1">
        <f t="shared" si="104"/>
        <v>5.71368758412825</v>
      </c>
      <c r="T341">
        <v>0.53924205629406041</v>
      </c>
      <c r="U341">
        <f t="shared" si="111"/>
        <v>1.854454763548113</v>
      </c>
      <c r="V341" s="15">
        <f t="shared" si="105"/>
        <v>0</v>
      </c>
      <c r="W341" s="15">
        <f t="shared" si="106"/>
        <v>0</v>
      </c>
      <c r="X341" s="15">
        <f t="shared" si="107"/>
        <v>0</v>
      </c>
      <c r="Y341" s="15">
        <f t="shared" si="108"/>
        <v>0</v>
      </c>
      <c r="Z341" s="15">
        <f t="shared" si="109"/>
        <v>0</v>
      </c>
      <c r="AA341" s="15">
        <f t="shared" si="110"/>
        <v>0</v>
      </c>
      <c r="AC341" s="1"/>
      <c r="AD341" s="1"/>
      <c r="AE341" s="1"/>
    </row>
    <row r="342" spans="1:31">
      <c r="A342">
        <v>994</v>
      </c>
      <c r="B342">
        <f t="shared" si="90"/>
        <v>0.26512381701242665</v>
      </c>
      <c r="C342">
        <v>0.2655903313670348</v>
      </c>
      <c r="D342">
        <f t="shared" si="91"/>
        <v>3.7651973053870007</v>
      </c>
      <c r="E342" s="1">
        <f t="shared" si="92"/>
        <v>0.20400268573137922</v>
      </c>
      <c r="F342" s="1">
        <f t="shared" si="93"/>
        <v>0.23664311544839989</v>
      </c>
      <c r="G342" s="1">
        <f t="shared" si="94"/>
        <v>7.3440966863296514E-2</v>
      </c>
      <c r="H342" s="1">
        <f t="shared" si="95"/>
        <v>7.1164796243360542E-2</v>
      </c>
      <c r="I342" s="1">
        <f t="shared" si="96"/>
        <v>0.26154054681113648</v>
      </c>
      <c r="J342" s="1">
        <f t="shared" si="97"/>
        <v>0.2833496426637494</v>
      </c>
      <c r="K342" s="1">
        <f t="shared" si="98"/>
        <v>0.17423451687941147</v>
      </c>
      <c r="L342" s="1">
        <f t="shared" si="99"/>
        <v>0.17276741304113913</v>
      </c>
      <c r="M342" s="1">
        <f t="shared" si="100"/>
        <v>0.37661626897065048</v>
      </c>
      <c r="N342" s="1">
        <f t="shared" si="101"/>
        <v>0.37676269709444821</v>
      </c>
      <c r="O342" s="1">
        <f t="shared" si="102"/>
        <v>0.37582161691164107</v>
      </c>
      <c r="P342" s="1">
        <f t="shared" si="103"/>
        <v>0.37597264663669622</v>
      </c>
      <c r="Q342" s="1">
        <f t="shared" si="104"/>
        <v>5.7120752004786182</v>
      </c>
      <c r="T342">
        <v>0.57287018120651689</v>
      </c>
      <c r="U342">
        <f t="shared" si="111"/>
        <v>1.7455961800872735</v>
      </c>
      <c r="V342" s="15">
        <f t="shared" si="105"/>
        <v>0</v>
      </c>
      <c r="W342" s="15">
        <f t="shared" si="106"/>
        <v>0</v>
      </c>
      <c r="X342" s="15">
        <f t="shared" si="107"/>
        <v>0</v>
      </c>
      <c r="Y342" s="15">
        <f t="shared" si="108"/>
        <v>0</v>
      </c>
      <c r="Z342" s="15">
        <f t="shared" si="109"/>
        <v>0</v>
      </c>
      <c r="AA342" s="15">
        <f t="shared" si="110"/>
        <v>0</v>
      </c>
      <c r="AC342" s="1"/>
      <c r="AD342" s="1"/>
      <c r="AE342" s="1"/>
    </row>
    <row r="343" spans="1:31">
      <c r="A343">
        <v>59</v>
      </c>
      <c r="B343">
        <f t="shared" si="90"/>
        <v>0.26556734274635035</v>
      </c>
      <c r="C343">
        <v>0.26715626430435291</v>
      </c>
      <c r="D343">
        <f t="shared" si="91"/>
        <v>3.7431276507923026</v>
      </c>
      <c r="E343" s="1">
        <f t="shared" si="92"/>
        <v>0.20356770435990196</v>
      </c>
      <c r="F343" s="1">
        <f t="shared" si="93"/>
        <v>0.23613853705748628</v>
      </c>
      <c r="G343" s="1">
        <f t="shared" si="94"/>
        <v>7.3284373569564715E-2</v>
      </c>
      <c r="H343" s="1">
        <f t="shared" si="95"/>
        <v>7.1013056276997569E-2</v>
      </c>
      <c r="I343" s="1">
        <f t="shared" si="96"/>
        <v>0.26098288128168057</v>
      </c>
      <c r="J343" s="1">
        <f t="shared" si="97"/>
        <v>0.28274547504834968</v>
      </c>
      <c r="K343" s="1">
        <f t="shared" si="98"/>
        <v>0.17386300819638031</v>
      </c>
      <c r="L343" s="1">
        <f t="shared" si="99"/>
        <v>0.17239903256613809</v>
      </c>
      <c r="M343" s="1">
        <f t="shared" si="100"/>
        <v>0.37581323512523723</v>
      </c>
      <c r="N343" s="1">
        <f t="shared" si="101"/>
        <v>0.37595935103007622</v>
      </c>
      <c r="O343" s="1">
        <f t="shared" si="102"/>
        <v>0.37502027745001121</v>
      </c>
      <c r="P343" s="1">
        <f t="shared" si="103"/>
        <v>0.3751709851444191</v>
      </c>
      <c r="Q343" s="1">
        <f t="shared" si="104"/>
        <v>5.6998957220772555</v>
      </c>
      <c r="T343">
        <v>0.30380245926140814</v>
      </c>
      <c r="U343">
        <f t="shared" si="111"/>
        <v>3.2916125907313529</v>
      </c>
      <c r="V343" s="15">
        <f t="shared" si="105"/>
        <v>7.0713441330664678E-2</v>
      </c>
      <c r="W343" s="15">
        <f t="shared" si="106"/>
        <v>7.5305656570104768E-2</v>
      </c>
      <c r="X343" s="15">
        <f t="shared" si="107"/>
        <v>8.449008704898496E-2</v>
      </c>
      <c r="Y343" s="15">
        <f t="shared" si="108"/>
        <v>9.9830543466658594E-2</v>
      </c>
      <c r="Z343" s="15">
        <f t="shared" si="109"/>
        <v>0.10383694900712125</v>
      </c>
      <c r="AA343" s="15">
        <f t="shared" si="110"/>
        <v>0.11184976008804662</v>
      </c>
      <c r="AC343" s="1"/>
      <c r="AD343" s="1"/>
      <c r="AE343" s="1"/>
    </row>
    <row r="344" spans="1:31">
      <c r="A344">
        <v>838</v>
      </c>
      <c r="B344">
        <f t="shared" si="90"/>
        <v>0.26654130970095663</v>
      </c>
      <c r="C344">
        <v>0.26787516703200198</v>
      </c>
      <c r="D344">
        <f t="shared" si="91"/>
        <v>3.7330821332928332</v>
      </c>
      <c r="E344" s="1">
        <f t="shared" si="92"/>
        <v>0.20336800915777722</v>
      </c>
      <c r="F344" s="1">
        <f t="shared" si="93"/>
        <v>0.23590689062302156</v>
      </c>
      <c r="G344" s="1">
        <f t="shared" si="94"/>
        <v>7.3212483296799802E-2</v>
      </c>
      <c r="H344" s="1">
        <f t="shared" si="95"/>
        <v>7.0943394113879302E-2</v>
      </c>
      <c r="I344" s="1">
        <f t="shared" si="96"/>
        <v>0.26072686312107635</v>
      </c>
      <c r="J344" s="1">
        <f t="shared" si="97"/>
        <v>0.28246810828741292</v>
      </c>
      <c r="K344" s="1">
        <f t="shared" si="98"/>
        <v>0.17369245261305255</v>
      </c>
      <c r="L344" s="1">
        <f t="shared" si="99"/>
        <v>0.17222991310898914</v>
      </c>
      <c r="M344" s="1">
        <f t="shared" si="100"/>
        <v>0.37544457104767409</v>
      </c>
      <c r="N344" s="1">
        <f t="shared" si="101"/>
        <v>0.37559054361619537</v>
      </c>
      <c r="O344" s="1">
        <f t="shared" si="102"/>
        <v>0.37465239124555783</v>
      </c>
      <c r="P344" s="1">
        <f t="shared" si="103"/>
        <v>0.37480295109920875</v>
      </c>
      <c r="Q344" s="1">
        <f t="shared" si="104"/>
        <v>5.6943042564177624</v>
      </c>
      <c r="T344">
        <v>0.95013120496624925</v>
      </c>
      <c r="U344">
        <f t="shared" si="111"/>
        <v>1.0524862195590368</v>
      </c>
      <c r="V344" s="15">
        <f t="shared" si="105"/>
        <v>0</v>
      </c>
      <c r="W344" s="15">
        <f t="shared" si="106"/>
        <v>0</v>
      </c>
      <c r="X344" s="15">
        <f t="shared" si="107"/>
        <v>0</v>
      </c>
      <c r="Y344" s="15">
        <f t="shared" si="108"/>
        <v>0</v>
      </c>
      <c r="Z344" s="15">
        <f t="shared" si="109"/>
        <v>0</v>
      </c>
      <c r="AA344" s="15">
        <f t="shared" si="110"/>
        <v>0</v>
      </c>
      <c r="AC344" s="1"/>
      <c r="AD344" s="1"/>
      <c r="AE344" s="1"/>
    </row>
    <row r="345" spans="1:31">
      <c r="A345">
        <v>17</v>
      </c>
      <c r="B345">
        <f t="shared" si="90"/>
        <v>0.26955452723055118</v>
      </c>
      <c r="C345">
        <v>0.27004426485566146</v>
      </c>
      <c r="D345">
        <f t="shared" si="91"/>
        <v>3.7030966035679356</v>
      </c>
      <c r="E345" s="1">
        <f t="shared" si="92"/>
        <v>0.20276548198453848</v>
      </c>
      <c r="F345" s="1">
        <f t="shared" si="93"/>
        <v>0.23520795910206463</v>
      </c>
      <c r="G345" s="1">
        <f t="shared" si="94"/>
        <v>7.2995573514433851E-2</v>
      </c>
      <c r="H345" s="1">
        <f t="shared" si="95"/>
        <v>7.0733207059915287E-2</v>
      </c>
      <c r="I345" s="1">
        <f t="shared" si="96"/>
        <v>0.25995439639696205</v>
      </c>
      <c r="J345" s="1">
        <f t="shared" si="97"/>
        <v>0.28163122783841138</v>
      </c>
      <c r="K345" s="1">
        <f t="shared" si="98"/>
        <v>0.17317784649127727</v>
      </c>
      <c r="L345" s="1">
        <f t="shared" si="99"/>
        <v>0.17171964011609081</v>
      </c>
      <c r="M345" s="1">
        <f t="shared" si="100"/>
        <v>0.37433222522180876</v>
      </c>
      <c r="N345" s="1">
        <f t="shared" si="101"/>
        <v>0.37447776531110466</v>
      </c>
      <c r="O345" s="1">
        <f t="shared" si="102"/>
        <v>0.37354239244496384</v>
      </c>
      <c r="P345" s="1">
        <f t="shared" si="103"/>
        <v>0.3736925062284418</v>
      </c>
      <c r="Q345" s="1">
        <f t="shared" si="104"/>
        <v>5.6774334955670778</v>
      </c>
      <c r="T345">
        <v>0.97269379016048607</v>
      </c>
      <c r="U345">
        <f t="shared" si="111"/>
        <v>1.0280727708100292</v>
      </c>
      <c r="V345" s="15">
        <f t="shared" si="105"/>
        <v>0</v>
      </c>
      <c r="W345" s="15">
        <f t="shared" si="106"/>
        <v>0</v>
      </c>
      <c r="X345" s="15">
        <f t="shared" si="107"/>
        <v>0</v>
      </c>
      <c r="Y345" s="15">
        <f t="shared" si="108"/>
        <v>0</v>
      </c>
      <c r="Z345" s="15">
        <f t="shared" si="109"/>
        <v>0</v>
      </c>
      <c r="AA345" s="15">
        <f t="shared" si="110"/>
        <v>0</v>
      </c>
      <c r="AC345" s="1"/>
      <c r="AD345" s="1"/>
      <c r="AE345" s="1"/>
    </row>
    <row r="346" spans="1:31">
      <c r="A346">
        <v>257</v>
      </c>
      <c r="B346">
        <f t="shared" si="90"/>
        <v>0.27166663741454222</v>
      </c>
      <c r="C346">
        <v>0.27142654995974036</v>
      </c>
      <c r="D346">
        <f t="shared" si="91"/>
        <v>3.6842379647397281</v>
      </c>
      <c r="E346" s="1">
        <f t="shared" si="92"/>
        <v>0.20238151390007211</v>
      </c>
      <c r="F346" s="1">
        <f t="shared" si="93"/>
        <v>0.23476255612408364</v>
      </c>
      <c r="G346" s="1">
        <f t="shared" si="94"/>
        <v>7.2857345004025964E-2</v>
      </c>
      <c r="H346" s="1">
        <f t="shared" si="95"/>
        <v>7.0599262693462284E-2</v>
      </c>
      <c r="I346" s="1">
        <f t="shared" si="96"/>
        <v>0.25946213217794301</v>
      </c>
      <c r="J346" s="1">
        <f t="shared" si="97"/>
        <v>0.28109791515609167</v>
      </c>
      <c r="K346" s="1">
        <f t="shared" si="98"/>
        <v>0.17284990721217286</v>
      </c>
      <c r="L346" s="1">
        <f t="shared" si="99"/>
        <v>0.1713944621783309</v>
      </c>
      <c r="M346" s="1">
        <f t="shared" si="100"/>
        <v>0.37362336873368418</v>
      </c>
      <c r="N346" s="1">
        <f t="shared" si="101"/>
        <v>0.37376863322010745</v>
      </c>
      <c r="O346" s="1">
        <f t="shared" si="102"/>
        <v>0.37283503162846643</v>
      </c>
      <c r="P346" s="1">
        <f t="shared" si="103"/>
        <v>0.37298486114806806</v>
      </c>
      <c r="Q346" s="1">
        <f t="shared" si="104"/>
        <v>5.6666823892020197</v>
      </c>
      <c r="T346">
        <v>0.64860311281662175</v>
      </c>
      <c r="U346">
        <f t="shared" si="111"/>
        <v>1.5417749009211554</v>
      </c>
      <c r="V346" s="15">
        <f t="shared" si="105"/>
        <v>0</v>
      </c>
      <c r="W346" s="15">
        <f t="shared" si="106"/>
        <v>0</v>
      </c>
      <c r="X346" s="15">
        <f t="shared" si="107"/>
        <v>0</v>
      </c>
      <c r="Y346" s="15">
        <f t="shared" si="108"/>
        <v>0</v>
      </c>
      <c r="Z346" s="15">
        <f t="shared" si="109"/>
        <v>0</v>
      </c>
      <c r="AA346" s="15">
        <f t="shared" si="110"/>
        <v>0</v>
      </c>
      <c r="AC346" s="1"/>
      <c r="AD346" s="1"/>
      <c r="AE346" s="1"/>
    </row>
    <row r="347" spans="1:31">
      <c r="A347">
        <v>630</v>
      </c>
      <c r="B347">
        <f t="shared" si="90"/>
        <v>0.27314741968943862</v>
      </c>
      <c r="C347">
        <v>0.2729742689993192</v>
      </c>
      <c r="D347">
        <f t="shared" si="91"/>
        <v>3.663348943714889</v>
      </c>
      <c r="E347" s="1">
        <f t="shared" si="92"/>
        <v>0.20195159194463355</v>
      </c>
      <c r="F347" s="1">
        <f t="shared" si="93"/>
        <v>0.2342638466557749</v>
      </c>
      <c r="G347" s="1">
        <f t="shared" si="94"/>
        <v>7.2702573100068085E-2</v>
      </c>
      <c r="H347" s="1">
        <f t="shared" si="95"/>
        <v>7.0449287666174559E-2</v>
      </c>
      <c r="I347" s="1">
        <f t="shared" si="96"/>
        <v>0.25891095304562717</v>
      </c>
      <c r="J347" s="1">
        <f t="shared" si="97"/>
        <v>0.2805007748193844</v>
      </c>
      <c r="K347" s="1">
        <f t="shared" si="98"/>
        <v>0.17248271967278761</v>
      </c>
      <c r="L347" s="1">
        <f t="shared" si="99"/>
        <v>0.1710303664617259</v>
      </c>
      <c r="M347" s="1">
        <f t="shared" si="100"/>
        <v>0.3728296752476139</v>
      </c>
      <c r="N347" s="1">
        <f t="shared" si="101"/>
        <v>0.37297463114660317</v>
      </c>
      <c r="O347" s="1">
        <f t="shared" si="102"/>
        <v>0.37204301281822638</v>
      </c>
      <c r="P347" s="1">
        <f t="shared" si="103"/>
        <v>0.37219252405282854</v>
      </c>
      <c r="Q347" s="1">
        <f t="shared" si="104"/>
        <v>5.6546445744497396</v>
      </c>
      <c r="T347">
        <v>2.5477898126260223E-2</v>
      </c>
      <c r="U347">
        <f t="shared" si="111"/>
        <v>39.249705570071889</v>
      </c>
      <c r="V347" s="15">
        <f t="shared" si="105"/>
        <v>0.10304197639427203</v>
      </c>
      <c r="W347" s="15">
        <f t="shared" si="106"/>
        <v>0.1057753682453844</v>
      </c>
      <c r="X347" s="15">
        <f t="shared" si="107"/>
        <v>0.11124215194760896</v>
      </c>
      <c r="Y347" s="15">
        <f t="shared" si="108"/>
        <v>0.14763297309330198</v>
      </c>
      <c r="Z347" s="15">
        <f t="shared" si="109"/>
        <v>0.14970192057754048</v>
      </c>
      <c r="AA347" s="15">
        <f t="shared" si="110"/>
        <v>0.15383981554601778</v>
      </c>
      <c r="AC347" s="1"/>
      <c r="AD347" s="1"/>
      <c r="AE347" s="1"/>
    </row>
    <row r="348" spans="1:31">
      <c r="A348">
        <v>200</v>
      </c>
      <c r="B348">
        <f t="shared" si="90"/>
        <v>0.27320831905816778</v>
      </c>
      <c r="C348">
        <v>0.27322117045548788</v>
      </c>
      <c r="D348">
        <f t="shared" si="91"/>
        <v>3.6600384894512268</v>
      </c>
      <c r="E348" s="1">
        <f t="shared" si="92"/>
        <v>0.20188300820680893</v>
      </c>
      <c r="F348" s="1">
        <f t="shared" si="93"/>
        <v>0.23418428951989834</v>
      </c>
      <c r="G348" s="1">
        <f t="shared" si="94"/>
        <v>7.2677882954451212E-2</v>
      </c>
      <c r="H348" s="1">
        <f t="shared" si="95"/>
        <v>7.0425362747194201E-2</v>
      </c>
      <c r="I348" s="1">
        <f t="shared" si="96"/>
        <v>0.25882302563315857</v>
      </c>
      <c r="J348" s="1">
        <f t="shared" si="97"/>
        <v>0.28040551539897296</v>
      </c>
      <c r="K348" s="1">
        <f t="shared" si="98"/>
        <v>0.17242414370658002</v>
      </c>
      <c r="L348" s="1">
        <f t="shared" si="99"/>
        <v>0.17097228372169643</v>
      </c>
      <c r="M348" s="1">
        <f t="shared" si="100"/>
        <v>0.37270306048585738</v>
      </c>
      <c r="N348" s="1">
        <f t="shared" si="101"/>
        <v>0.37284796715712193</v>
      </c>
      <c r="O348" s="1">
        <f t="shared" si="102"/>
        <v>0.37191666521083733</v>
      </c>
      <c r="P348" s="1">
        <f t="shared" si="103"/>
        <v>0.37206612567070074</v>
      </c>
      <c r="Q348" s="1">
        <f t="shared" si="104"/>
        <v>5.6527242297906497</v>
      </c>
      <c r="T348">
        <v>0.2089636971790555</v>
      </c>
      <c r="U348">
        <f t="shared" si="111"/>
        <v>4.7855202291100651</v>
      </c>
      <c r="V348" s="15">
        <f t="shared" si="105"/>
        <v>7.6917656684818217E-2</v>
      </c>
      <c r="W348" s="15">
        <f t="shared" si="106"/>
        <v>8.1262639677070009E-2</v>
      </c>
      <c r="X348" s="15">
        <f t="shared" si="107"/>
        <v>8.9952605661573717E-2</v>
      </c>
      <c r="Y348" s="15">
        <f t="shared" si="108"/>
        <v>0.10901304371910053</v>
      </c>
      <c r="Z348" s="15">
        <f t="shared" si="109"/>
        <v>0.1127724217757739</v>
      </c>
      <c r="AA348" s="15">
        <f t="shared" si="110"/>
        <v>0.12029117788912079</v>
      </c>
      <c r="AC348" s="1"/>
      <c r="AD348" s="1"/>
      <c r="AE348" s="1"/>
    </row>
    <row r="349" spans="1:31">
      <c r="A349">
        <v>860</v>
      </c>
      <c r="B349">
        <f t="shared" si="90"/>
        <v>0.2733176403871076</v>
      </c>
      <c r="C349">
        <v>0.27355906344920067</v>
      </c>
      <c r="D349">
        <f t="shared" si="91"/>
        <v>3.6555177057246282</v>
      </c>
      <c r="E349" s="1">
        <f t="shared" si="92"/>
        <v>0.20178914904188872</v>
      </c>
      <c r="F349" s="1">
        <f t="shared" si="93"/>
        <v>0.23407541288859088</v>
      </c>
      <c r="G349" s="1">
        <f t="shared" si="94"/>
        <v>7.2644093655079928E-2</v>
      </c>
      <c r="H349" s="1">
        <f t="shared" si="95"/>
        <v>7.0392620686357252E-2</v>
      </c>
      <c r="I349" s="1">
        <f t="shared" si="96"/>
        <v>0.25870269399522711</v>
      </c>
      <c r="J349" s="1">
        <f t="shared" si="97"/>
        <v>0.2802751496601813</v>
      </c>
      <c r="K349" s="1">
        <f t="shared" si="98"/>
        <v>0.17234398051561051</v>
      </c>
      <c r="L349" s="1">
        <f t="shared" si="99"/>
        <v>0.17089279552743403</v>
      </c>
      <c r="M349" s="1">
        <f t="shared" si="100"/>
        <v>0.3725297839019035</v>
      </c>
      <c r="N349" s="1">
        <f t="shared" si="101"/>
        <v>0.37267462320336175</v>
      </c>
      <c r="O349" s="1">
        <f t="shared" si="102"/>
        <v>0.37174375423667139</v>
      </c>
      <c r="P349" s="1">
        <f t="shared" si="103"/>
        <v>0.37189314520958749</v>
      </c>
      <c r="Q349" s="1">
        <f t="shared" si="104"/>
        <v>5.6500961731728836</v>
      </c>
      <c r="T349">
        <v>0.27967243073230252</v>
      </c>
      <c r="U349">
        <f t="shared" si="111"/>
        <v>3.5756116445999719</v>
      </c>
      <c r="V349" s="15">
        <f t="shared" si="105"/>
        <v>7.2291993076905758E-2</v>
      </c>
      <c r="W349" s="15">
        <f t="shared" si="106"/>
        <v>7.6821304488343664E-2</v>
      </c>
      <c r="X349" s="15">
        <f t="shared" si="107"/>
        <v>8.5879927311219503E-2</v>
      </c>
      <c r="Y349" s="15">
        <f t="shared" si="108"/>
        <v>0.10216686659229726</v>
      </c>
      <c r="Z349" s="15">
        <f t="shared" si="109"/>
        <v>0.1061104204031461</v>
      </c>
      <c r="AA349" s="15">
        <f t="shared" si="110"/>
        <v>0.11399752802484386</v>
      </c>
      <c r="AC349" s="1"/>
      <c r="AD349" s="1"/>
      <c r="AE349" s="1"/>
    </row>
    <row r="350" spans="1:31">
      <c r="A350">
        <v>337</v>
      </c>
      <c r="B350">
        <f t="shared" si="90"/>
        <v>0.27894777406851573</v>
      </c>
      <c r="C350">
        <v>0.27605898336824541</v>
      </c>
      <c r="D350">
        <f t="shared" si="91"/>
        <v>3.6224142674106083</v>
      </c>
      <c r="E350" s="1">
        <f t="shared" si="92"/>
        <v>0.20109472684215404</v>
      </c>
      <c r="F350" s="1">
        <f t="shared" si="93"/>
        <v>0.2332698831368987</v>
      </c>
      <c r="G350" s="1">
        <f t="shared" si="94"/>
        <v>7.2394101663175461E-2</v>
      </c>
      <c r="H350" s="1">
        <f t="shared" si="95"/>
        <v>7.0150376746411988E-2</v>
      </c>
      <c r="I350" s="1">
        <f t="shared" si="96"/>
        <v>0.25781241374629188</v>
      </c>
      <c r="J350" s="1">
        <f t="shared" si="97"/>
        <v>0.27931063156353386</v>
      </c>
      <c r="K350" s="1">
        <f t="shared" si="98"/>
        <v>0.17175088873327768</v>
      </c>
      <c r="L350" s="1">
        <f t="shared" si="99"/>
        <v>0.17030469774540546</v>
      </c>
      <c r="M350" s="1">
        <f t="shared" si="100"/>
        <v>0.371247787554567</v>
      </c>
      <c r="N350" s="1">
        <f t="shared" si="101"/>
        <v>0.37139212841680391</v>
      </c>
      <c r="O350" s="1">
        <f t="shared" si="102"/>
        <v>0.37046446287348184</v>
      </c>
      <c r="P350" s="1">
        <f t="shared" si="103"/>
        <v>0.37061333974339228</v>
      </c>
      <c r="Q350" s="1">
        <f t="shared" si="104"/>
        <v>5.6306523515803137</v>
      </c>
      <c r="T350">
        <v>0.34532796529000975</v>
      </c>
      <c r="U350">
        <f t="shared" si="111"/>
        <v>2.8957979095616841</v>
      </c>
      <c r="V350" s="15">
        <f t="shared" si="105"/>
        <v>6.7996902476351803E-2</v>
      </c>
      <c r="W350" s="15">
        <f t="shared" si="106"/>
        <v>7.2697369278187526E-2</v>
      </c>
      <c r="X350" s="15">
        <f t="shared" si="107"/>
        <v>8.2098302881858931E-2</v>
      </c>
      <c r="Y350" s="15">
        <f t="shared" si="108"/>
        <v>9.5809951451135383E-2</v>
      </c>
      <c r="Z350" s="15">
        <f t="shared" si="109"/>
        <v>9.992451889757499E-2</v>
      </c>
      <c r="AA350" s="15">
        <f t="shared" si="110"/>
        <v>0.10815365379045422</v>
      </c>
      <c r="AC350" s="1"/>
      <c r="AD350" s="1"/>
      <c r="AE350" s="1"/>
    </row>
    <row r="351" spans="1:31">
      <c r="A351">
        <v>602</v>
      </c>
      <c r="B351">
        <f t="shared" si="90"/>
        <v>0.2817221473305615</v>
      </c>
      <c r="C351">
        <v>0.27974872755819491</v>
      </c>
      <c r="D351">
        <f t="shared" si="91"/>
        <v>3.5746364558243591</v>
      </c>
      <c r="E351" s="1">
        <f t="shared" si="92"/>
        <v>0.20006979790050142</v>
      </c>
      <c r="F351" s="1">
        <f t="shared" si="93"/>
        <v>0.23208096556458163</v>
      </c>
      <c r="G351" s="1">
        <f t="shared" si="94"/>
        <v>7.2025127244180503E-2</v>
      </c>
      <c r="H351" s="1">
        <f t="shared" si="95"/>
        <v>6.9792838025609677E-2</v>
      </c>
      <c r="I351" s="1">
        <f t="shared" si="96"/>
        <v>0.25649840910521887</v>
      </c>
      <c r="J351" s="1">
        <f t="shared" si="97"/>
        <v>0.27788705594573337</v>
      </c>
      <c r="K351" s="1">
        <f t="shared" si="98"/>
        <v>0.17087551790987726</v>
      </c>
      <c r="L351" s="1">
        <f t="shared" si="99"/>
        <v>0.16943669779155446</v>
      </c>
      <c r="M351" s="1">
        <f t="shared" si="100"/>
        <v>0.36935563151465328</v>
      </c>
      <c r="N351" s="1">
        <f t="shared" si="101"/>
        <v>0.36949923670803653</v>
      </c>
      <c r="O351" s="1">
        <f t="shared" si="102"/>
        <v>0.3685762992412705</v>
      </c>
      <c r="P351" s="1">
        <f t="shared" si="103"/>
        <v>0.36872441732344391</v>
      </c>
      <c r="Q351" s="1">
        <f t="shared" si="104"/>
        <v>5.6019543412140393</v>
      </c>
      <c r="T351">
        <v>0.2935027795346371</v>
      </c>
      <c r="U351">
        <f t="shared" si="111"/>
        <v>3.4071227590605737</v>
      </c>
      <c r="V351" s="15">
        <f t="shared" si="105"/>
        <v>7.1387231558422054E-2</v>
      </c>
      <c r="W351" s="15">
        <f t="shared" si="106"/>
        <v>7.5952596880083198E-2</v>
      </c>
      <c r="X351" s="15">
        <f t="shared" si="107"/>
        <v>8.5083327523405486E-2</v>
      </c>
      <c r="Y351" s="15">
        <f t="shared" si="108"/>
        <v>0.10082778140623673</v>
      </c>
      <c r="Z351" s="15">
        <f t="shared" si="109"/>
        <v>0.10480735926663613</v>
      </c>
      <c r="AA351" s="15">
        <f t="shared" si="110"/>
        <v>0.11276651498743502</v>
      </c>
      <c r="AC351" s="1"/>
      <c r="AD351" s="1"/>
      <c r="AE351" s="1"/>
    </row>
    <row r="352" spans="1:31">
      <c r="A352">
        <v>462</v>
      </c>
      <c r="B352">
        <f t="shared" si="90"/>
        <v>0.28228553448578841</v>
      </c>
      <c r="C352">
        <v>0.28131035426404605</v>
      </c>
      <c r="D352">
        <f t="shared" si="91"/>
        <v>3.5547927221383788</v>
      </c>
      <c r="E352" s="1">
        <f t="shared" si="92"/>
        <v>0.19963601270443165</v>
      </c>
      <c r="F352" s="1">
        <f t="shared" si="93"/>
        <v>0.2315777747371407</v>
      </c>
      <c r="G352" s="1">
        <f t="shared" si="94"/>
        <v>7.1868964573595401E-2</v>
      </c>
      <c r="H352" s="1">
        <f t="shared" si="95"/>
        <v>6.9641515336003823E-2</v>
      </c>
      <c r="I352" s="1">
        <f t="shared" si="96"/>
        <v>0.25594227712601514</v>
      </c>
      <c r="J352" s="1">
        <f t="shared" si="97"/>
        <v>0.27728454975882444</v>
      </c>
      <c r="K352" s="1">
        <f t="shared" si="98"/>
        <v>0.17050503085576968</v>
      </c>
      <c r="L352" s="1">
        <f t="shared" si="99"/>
        <v>0.16906933034307292</v>
      </c>
      <c r="M352" s="1">
        <f t="shared" si="100"/>
        <v>0.36855480596918172</v>
      </c>
      <c r="N352" s="1">
        <f t="shared" si="101"/>
        <v>0.36869809980219165</v>
      </c>
      <c r="O352" s="1">
        <f t="shared" si="102"/>
        <v>0.36777716342011796</v>
      </c>
      <c r="P352" s="1">
        <f t="shared" si="103"/>
        <v>0.36792496035721101</v>
      </c>
      <c r="Q352" s="1">
        <f t="shared" si="104"/>
        <v>5.5898083557240863</v>
      </c>
      <c r="T352">
        <v>0.73679843176902826</v>
      </c>
      <c r="U352">
        <f t="shared" si="111"/>
        <v>1.3572233013567003</v>
      </c>
      <c r="V352" s="15">
        <f t="shared" si="105"/>
        <v>0</v>
      </c>
      <c r="W352" s="15">
        <f t="shared" si="106"/>
        <v>0</v>
      </c>
      <c r="X352" s="15">
        <f t="shared" si="107"/>
        <v>0</v>
      </c>
      <c r="Y352" s="15">
        <f t="shared" si="108"/>
        <v>0</v>
      </c>
      <c r="Z352" s="15">
        <f t="shared" si="109"/>
        <v>0</v>
      </c>
      <c r="AA352" s="15">
        <f t="shared" si="110"/>
        <v>0</v>
      </c>
      <c r="AC352" s="1"/>
      <c r="AD352" s="1"/>
      <c r="AE352" s="1"/>
    </row>
    <row r="353" spans="1:31">
      <c r="A353">
        <v>672</v>
      </c>
      <c r="B353">
        <f t="shared" si="90"/>
        <v>0.28234967299436869</v>
      </c>
      <c r="C353">
        <v>0.28138658933868033</v>
      </c>
      <c r="D353">
        <f t="shared" si="91"/>
        <v>3.5538296347036917</v>
      </c>
      <c r="E353" s="1">
        <f t="shared" si="92"/>
        <v>0.19961483629481103</v>
      </c>
      <c r="F353" s="1">
        <f t="shared" si="93"/>
        <v>0.23155321010198077</v>
      </c>
      <c r="G353" s="1">
        <f t="shared" si="94"/>
        <v>7.186134106613197E-2</v>
      </c>
      <c r="H353" s="1">
        <f t="shared" si="95"/>
        <v>6.9634128105436663E-2</v>
      </c>
      <c r="I353" s="1">
        <f t="shared" si="96"/>
        <v>0.25591512802387556</v>
      </c>
      <c r="J353" s="1">
        <f t="shared" si="97"/>
        <v>0.27725513677302283</v>
      </c>
      <c r="K353" s="1">
        <f t="shared" si="98"/>
        <v>0.17048694451790475</v>
      </c>
      <c r="L353" s="1">
        <f t="shared" si="99"/>
        <v>0.16905139629728064</v>
      </c>
      <c r="M353" s="1">
        <f t="shared" si="100"/>
        <v>0.36851571148200413</v>
      </c>
      <c r="N353" s="1">
        <f t="shared" si="101"/>
        <v>0.36865899011510667</v>
      </c>
      <c r="O353" s="1">
        <f t="shared" si="102"/>
        <v>0.36773815142145</v>
      </c>
      <c r="P353" s="1">
        <f t="shared" si="103"/>
        <v>0.36788593268096847</v>
      </c>
      <c r="Q353" s="1">
        <f t="shared" si="104"/>
        <v>5.5892154162547083</v>
      </c>
      <c r="T353">
        <v>0.98293470230597157</v>
      </c>
      <c r="U353">
        <f t="shared" si="111"/>
        <v>1.0173615781943532</v>
      </c>
      <c r="V353" s="15">
        <f t="shared" si="105"/>
        <v>0</v>
      </c>
      <c r="W353" s="15">
        <f t="shared" si="106"/>
        <v>0</v>
      </c>
      <c r="X353" s="15">
        <f t="shared" si="107"/>
        <v>0</v>
      </c>
      <c r="Y353" s="15">
        <f t="shared" si="108"/>
        <v>0</v>
      </c>
      <c r="Z353" s="15">
        <f t="shared" si="109"/>
        <v>0</v>
      </c>
      <c r="AA353" s="15">
        <f t="shared" si="110"/>
        <v>0</v>
      </c>
      <c r="AC353" s="1"/>
      <c r="AD353" s="1"/>
      <c r="AE353" s="1"/>
    </row>
    <row r="354" spans="1:31">
      <c r="A354">
        <v>118</v>
      </c>
      <c r="B354">
        <f t="shared" si="90"/>
        <v>0.28237698500747005</v>
      </c>
      <c r="C354">
        <v>0.28141905241590615</v>
      </c>
      <c r="D354">
        <f t="shared" si="91"/>
        <v>3.5534196829080034</v>
      </c>
      <c r="E354" s="1">
        <f t="shared" si="92"/>
        <v>0.19960581877335939</v>
      </c>
      <c r="F354" s="1">
        <f t="shared" si="93"/>
        <v>0.23154274977709691</v>
      </c>
      <c r="G354" s="1">
        <f t="shared" si="94"/>
        <v>7.1858094758409388E-2</v>
      </c>
      <c r="H354" s="1">
        <f t="shared" si="95"/>
        <v>6.9630982411180611E-2</v>
      </c>
      <c r="I354" s="1">
        <f t="shared" si="96"/>
        <v>0.25590356715896401</v>
      </c>
      <c r="J354" s="1">
        <f t="shared" si="97"/>
        <v>0.27724261188163785</v>
      </c>
      <c r="K354" s="1">
        <f t="shared" si="98"/>
        <v>0.17047924283746882</v>
      </c>
      <c r="L354" s="1">
        <f t="shared" si="99"/>
        <v>0.16904375946716904</v>
      </c>
      <c r="M354" s="1">
        <f t="shared" si="100"/>
        <v>0.36849906393017268</v>
      </c>
      <c r="N354" s="1">
        <f t="shared" si="101"/>
        <v>0.3686423360907195</v>
      </c>
      <c r="O354" s="1">
        <f t="shared" si="102"/>
        <v>0.36772153899558746</v>
      </c>
      <c r="P354" s="1">
        <f t="shared" si="103"/>
        <v>0.36786931357914582</v>
      </c>
      <c r="Q354" s="1">
        <f t="shared" si="104"/>
        <v>5.5889629256540641</v>
      </c>
      <c r="T354">
        <v>0.70249215582078883</v>
      </c>
      <c r="U354">
        <f t="shared" si="111"/>
        <v>1.4235034394535042</v>
      </c>
      <c r="V354" s="15">
        <f t="shared" si="105"/>
        <v>0</v>
      </c>
      <c r="W354" s="15">
        <f t="shared" si="106"/>
        <v>0</v>
      </c>
      <c r="X354" s="15">
        <f t="shared" si="107"/>
        <v>0</v>
      </c>
      <c r="Y354" s="15">
        <f t="shared" si="108"/>
        <v>0</v>
      </c>
      <c r="Z354" s="15">
        <f t="shared" si="109"/>
        <v>0</v>
      </c>
      <c r="AA354" s="15">
        <f t="shared" si="110"/>
        <v>0</v>
      </c>
      <c r="AC354" s="1"/>
      <c r="AD354" s="1"/>
      <c r="AE354" s="1"/>
    </row>
    <row r="355" spans="1:31">
      <c r="A355">
        <v>365</v>
      </c>
      <c r="B355">
        <f t="shared" si="90"/>
        <v>0.28292072269718099</v>
      </c>
      <c r="C355">
        <v>0.28206533940127787</v>
      </c>
      <c r="D355">
        <f t="shared" si="91"/>
        <v>3.5452778498862578</v>
      </c>
      <c r="E355" s="1">
        <f t="shared" si="92"/>
        <v>0.19942629461075614</v>
      </c>
      <c r="F355" s="1">
        <f t="shared" si="93"/>
        <v>0.23133450174847711</v>
      </c>
      <c r="G355" s="1">
        <f t="shared" si="94"/>
        <v>7.1793466059872219E-2</v>
      </c>
      <c r="H355" s="1">
        <f t="shared" si="95"/>
        <v>6.9568356762863201E-2</v>
      </c>
      <c r="I355" s="1">
        <f t="shared" si="96"/>
        <v>0.25567340917116721</v>
      </c>
      <c r="J355" s="1">
        <f t="shared" si="97"/>
        <v>0.27699326169715</v>
      </c>
      <c r="K355" s="1">
        <f t="shared" si="98"/>
        <v>0.17032591492598953</v>
      </c>
      <c r="L355" s="1">
        <f t="shared" si="99"/>
        <v>0.16889172262000623</v>
      </c>
      <c r="M355" s="1">
        <f t="shared" si="100"/>
        <v>0.36816763829198895</v>
      </c>
      <c r="N355" s="1">
        <f t="shared" si="101"/>
        <v>0.36831078159449543</v>
      </c>
      <c r="O355" s="1">
        <f t="shared" si="102"/>
        <v>0.36739081265822388</v>
      </c>
      <c r="P355" s="1">
        <f t="shared" si="103"/>
        <v>0.36753845433429227</v>
      </c>
      <c r="Q355" s="1">
        <f t="shared" si="104"/>
        <v>5.5839362491011721</v>
      </c>
      <c r="T355">
        <v>0.76551360095513188</v>
      </c>
      <c r="U355">
        <f t="shared" si="111"/>
        <v>1.3063125184873257</v>
      </c>
      <c r="V355" s="15">
        <f t="shared" si="105"/>
        <v>0</v>
      </c>
      <c r="W355" s="15">
        <f t="shared" si="106"/>
        <v>0</v>
      </c>
      <c r="X355" s="15">
        <f t="shared" si="107"/>
        <v>0</v>
      </c>
      <c r="Y355" s="15">
        <f t="shared" si="108"/>
        <v>0</v>
      </c>
      <c r="Z355" s="15">
        <f t="shared" si="109"/>
        <v>0</v>
      </c>
      <c r="AA355" s="15">
        <f t="shared" si="110"/>
        <v>0</v>
      </c>
      <c r="AC355" s="1"/>
      <c r="AD355" s="1"/>
      <c r="AE355" s="1"/>
    </row>
    <row r="356" spans="1:31">
      <c r="A356">
        <v>716</v>
      </c>
      <c r="B356">
        <f t="shared" si="90"/>
        <v>0.28308539973983332</v>
      </c>
      <c r="C356">
        <v>0.28226107464543992</v>
      </c>
      <c r="D356">
        <f t="shared" si="91"/>
        <v>3.5428193606084095</v>
      </c>
      <c r="E356" s="1">
        <f t="shared" si="92"/>
        <v>0.19937192370960002</v>
      </c>
      <c r="F356" s="1">
        <f t="shared" si="93"/>
        <v>0.231271431503136</v>
      </c>
      <c r="G356" s="1">
        <f t="shared" si="94"/>
        <v>7.1773892535456005E-2</v>
      </c>
      <c r="H356" s="1">
        <f t="shared" si="95"/>
        <v>6.954938988461612E-2</v>
      </c>
      <c r="I356" s="1">
        <f t="shared" si="96"/>
        <v>0.25560370324956133</v>
      </c>
      <c r="J356" s="1">
        <f t="shared" si="97"/>
        <v>0.27691774320405438</v>
      </c>
      <c r="K356" s="1">
        <f t="shared" si="98"/>
        <v>0.17027947785256928</v>
      </c>
      <c r="L356" s="1">
        <f t="shared" si="99"/>
        <v>0.16884567655985866</v>
      </c>
      <c r="M356" s="1">
        <f t="shared" si="100"/>
        <v>0.36806726232948345</v>
      </c>
      <c r="N356" s="1">
        <f t="shared" si="101"/>
        <v>0.36821036660589079</v>
      </c>
      <c r="O356" s="1">
        <f t="shared" si="102"/>
        <v>0.36729064848679555</v>
      </c>
      <c r="P356" s="1">
        <f t="shared" si="103"/>
        <v>0.36743824991034363</v>
      </c>
      <c r="Q356" s="1">
        <f t="shared" si="104"/>
        <v>5.5824138638688012</v>
      </c>
      <c r="T356">
        <v>0.32346743501362285</v>
      </c>
      <c r="U356">
        <f t="shared" si="111"/>
        <v>3.0915013128226803</v>
      </c>
      <c r="V356" s="15">
        <f t="shared" si="105"/>
        <v>6.9426986912427907E-2</v>
      </c>
      <c r="W356" s="15">
        <f t="shared" si="106"/>
        <v>7.407046617134036E-2</v>
      </c>
      <c r="X356" s="15">
        <f t="shared" si="107"/>
        <v>8.3357424689165224E-2</v>
      </c>
      <c r="Y356" s="15">
        <f t="shared" si="108"/>
        <v>9.7926536699339387E-2</v>
      </c>
      <c r="Z356" s="15">
        <f t="shared" si="109"/>
        <v>0.10198416380124153</v>
      </c>
      <c r="AA356" s="15">
        <f t="shared" si="110"/>
        <v>0.11009941800504587</v>
      </c>
      <c r="AC356" s="1"/>
      <c r="AD356" s="1"/>
      <c r="AE356" s="1"/>
    </row>
    <row r="357" spans="1:31">
      <c r="A357">
        <v>174</v>
      </c>
      <c r="B357">
        <f t="shared" si="90"/>
        <v>0.28357228844440219</v>
      </c>
      <c r="C357">
        <v>0.28310324226447314</v>
      </c>
      <c r="D357">
        <f t="shared" si="91"/>
        <v>3.5322802805126714</v>
      </c>
      <c r="E357" s="1">
        <f t="shared" si="92"/>
        <v>0.19913798825986856</v>
      </c>
      <c r="F357" s="1">
        <f t="shared" si="93"/>
        <v>0.23100006638144754</v>
      </c>
      <c r="G357" s="1">
        <f t="shared" si="94"/>
        <v>7.1689675773552688E-2</v>
      </c>
      <c r="H357" s="1">
        <f t="shared" si="95"/>
        <v>6.9467783269710287E-2</v>
      </c>
      <c r="I357" s="1">
        <f t="shared" si="96"/>
        <v>0.25530378756354022</v>
      </c>
      <c r="J357" s="1">
        <f t="shared" si="97"/>
        <v>0.27659281843235273</v>
      </c>
      <c r="K357" s="1">
        <f t="shared" si="98"/>
        <v>0.17007967837483789</v>
      </c>
      <c r="L357" s="1">
        <f t="shared" si="99"/>
        <v>0.1686475594501558</v>
      </c>
      <c r="M357" s="1">
        <f t="shared" si="100"/>
        <v>0.36763538617088304</v>
      </c>
      <c r="N357" s="1">
        <f t="shared" si="101"/>
        <v>0.36777832253416282</v>
      </c>
      <c r="O357" s="1">
        <f t="shared" si="102"/>
        <v>0.36685968357740806</v>
      </c>
      <c r="P357" s="1">
        <f t="shared" si="103"/>
        <v>0.36700711181104678</v>
      </c>
      <c r="Q357" s="1">
        <f t="shared" si="104"/>
        <v>5.5758636712763199</v>
      </c>
      <c r="T357">
        <v>0.66764347753607478</v>
      </c>
      <c r="U357">
        <f t="shared" si="111"/>
        <v>1.4978053911205431</v>
      </c>
      <c r="V357" s="15">
        <f t="shared" si="105"/>
        <v>0</v>
      </c>
      <c r="W357" s="15">
        <f t="shared" si="106"/>
        <v>0</v>
      </c>
      <c r="X357" s="15">
        <f t="shared" si="107"/>
        <v>0</v>
      </c>
      <c r="Y357" s="15">
        <f t="shared" si="108"/>
        <v>0</v>
      </c>
      <c r="Z357" s="15">
        <f t="shared" si="109"/>
        <v>0</v>
      </c>
      <c r="AA357" s="15">
        <f t="shared" si="110"/>
        <v>0</v>
      </c>
      <c r="AC357" s="1"/>
      <c r="AD357" s="1"/>
      <c r="AE357" s="1"/>
    </row>
    <row r="358" spans="1:31">
      <c r="A358">
        <v>588</v>
      </c>
      <c r="B358">
        <f t="shared" si="90"/>
        <v>0.2837018713287443</v>
      </c>
      <c r="C358">
        <v>0.28367515283966549</v>
      </c>
      <c r="D358">
        <f t="shared" si="91"/>
        <v>3.5251589361624656</v>
      </c>
      <c r="E358" s="1">
        <f t="shared" si="92"/>
        <v>0.19897912421120403</v>
      </c>
      <c r="F358" s="1">
        <f t="shared" si="93"/>
        <v>0.23081578408499667</v>
      </c>
      <c r="G358" s="1">
        <f t="shared" si="94"/>
        <v>7.1632484716033451E-2</v>
      </c>
      <c r="H358" s="1">
        <f t="shared" si="95"/>
        <v>6.941236474611058E-2</v>
      </c>
      <c r="I358" s="1">
        <f t="shared" si="96"/>
        <v>0.25510011676377897</v>
      </c>
      <c r="J358" s="1">
        <f t="shared" si="97"/>
        <v>0.27637216412449483</v>
      </c>
      <c r="K358" s="1">
        <f t="shared" si="98"/>
        <v>0.16994399584365288</v>
      </c>
      <c r="L358" s="1">
        <f t="shared" si="99"/>
        <v>0.16851301940420194</v>
      </c>
      <c r="M358" s="1">
        <f t="shared" si="100"/>
        <v>0.36734210186892835</v>
      </c>
      <c r="N358" s="1">
        <f t="shared" si="101"/>
        <v>0.36748492420349077</v>
      </c>
      <c r="O358" s="1">
        <f t="shared" si="102"/>
        <v>0.36656701809889153</v>
      </c>
      <c r="P358" s="1">
        <f t="shared" si="103"/>
        <v>0.36671432872038456</v>
      </c>
      <c r="Q358" s="1">
        <f t="shared" si="104"/>
        <v>5.5714154779137131</v>
      </c>
      <c r="T358">
        <v>0.88141143182763926</v>
      </c>
      <c r="U358">
        <f t="shared" si="111"/>
        <v>1.1345439415579883</v>
      </c>
      <c r="V358" s="15">
        <f t="shared" si="105"/>
        <v>0</v>
      </c>
      <c r="W358" s="15">
        <f t="shared" si="106"/>
        <v>0</v>
      </c>
      <c r="X358" s="15">
        <f t="shared" si="107"/>
        <v>0</v>
      </c>
      <c r="Y358" s="15">
        <f t="shared" si="108"/>
        <v>0</v>
      </c>
      <c r="Z358" s="15">
        <f t="shared" si="109"/>
        <v>0</v>
      </c>
      <c r="AA358" s="15">
        <f t="shared" si="110"/>
        <v>0</v>
      </c>
      <c r="AC358" s="1"/>
      <c r="AD358" s="1"/>
      <c r="AE358" s="1"/>
    </row>
    <row r="359" spans="1:31">
      <c r="A359">
        <v>668</v>
      </c>
      <c r="B359">
        <f t="shared" si="90"/>
        <v>0.28370652478088682</v>
      </c>
      <c r="C359">
        <v>0.28374340318950142</v>
      </c>
      <c r="D359">
        <f t="shared" si="91"/>
        <v>3.5243110104383222</v>
      </c>
      <c r="E359" s="1">
        <f t="shared" si="92"/>
        <v>0.19896016578069406</v>
      </c>
      <c r="F359" s="1">
        <f t="shared" si="93"/>
        <v>0.23079379230560509</v>
      </c>
      <c r="G359" s="1">
        <f t="shared" si="94"/>
        <v>7.1625659681049864E-2</v>
      </c>
      <c r="H359" s="1">
        <f t="shared" si="95"/>
        <v>6.9405751240805488E-2</v>
      </c>
      <c r="I359" s="1">
        <f t="shared" si="96"/>
        <v>0.25507581120983747</v>
      </c>
      <c r="J359" s="1">
        <f t="shared" si="97"/>
        <v>0.27634583180200006</v>
      </c>
      <c r="K359" s="1">
        <f t="shared" si="98"/>
        <v>0.16992780383633271</v>
      </c>
      <c r="L359" s="1">
        <f t="shared" si="99"/>
        <v>0.16849696373815623</v>
      </c>
      <c r="M359" s="1">
        <f t="shared" si="100"/>
        <v>0.36730710206812373</v>
      </c>
      <c r="N359" s="1">
        <f t="shared" si="101"/>
        <v>0.36744991079478978</v>
      </c>
      <c r="O359" s="1">
        <f t="shared" si="102"/>
        <v>0.36653209214689819</v>
      </c>
      <c r="P359" s="1">
        <f t="shared" si="103"/>
        <v>0.3666793887328576</v>
      </c>
      <c r="Q359" s="1">
        <f t="shared" si="104"/>
        <v>5.5708846418594336</v>
      </c>
      <c r="T359">
        <v>0.98487471242140145</v>
      </c>
      <c r="U359">
        <f t="shared" si="111"/>
        <v>1.0153575753218516</v>
      </c>
      <c r="V359" s="15">
        <f t="shared" si="105"/>
        <v>0</v>
      </c>
      <c r="W359" s="15">
        <f t="shared" si="106"/>
        <v>0</v>
      </c>
      <c r="X359" s="15">
        <f t="shared" si="107"/>
        <v>0</v>
      </c>
      <c r="Y359" s="15">
        <f t="shared" si="108"/>
        <v>0</v>
      </c>
      <c r="Z359" s="15">
        <f t="shared" si="109"/>
        <v>0</v>
      </c>
      <c r="AA359" s="15">
        <f t="shared" si="110"/>
        <v>0</v>
      </c>
      <c r="AC359" s="1"/>
      <c r="AD359" s="1"/>
      <c r="AE359" s="1"/>
    </row>
    <row r="360" spans="1:31">
      <c r="A360">
        <v>552</v>
      </c>
      <c r="B360">
        <f t="shared" si="90"/>
        <v>0.28429163126352691</v>
      </c>
      <c r="C360">
        <v>0.28480245957527661</v>
      </c>
      <c r="D360">
        <f t="shared" si="91"/>
        <v>3.5112056317606637</v>
      </c>
      <c r="E360" s="1">
        <f t="shared" si="92"/>
        <v>0.19866598345131206</v>
      </c>
      <c r="F360" s="1">
        <f t="shared" si="93"/>
        <v>0.23045254080352195</v>
      </c>
      <c r="G360" s="1">
        <f t="shared" si="94"/>
        <v>7.1519754042472336E-2</v>
      </c>
      <c r="H360" s="1">
        <f t="shared" si="95"/>
        <v>6.9303127956931498E-2</v>
      </c>
      <c r="I360" s="1">
        <f t="shared" si="96"/>
        <v>0.25469865633556266</v>
      </c>
      <c r="J360" s="1">
        <f t="shared" si="97"/>
        <v>0.27593722709363788</v>
      </c>
      <c r="K360" s="1">
        <f t="shared" si="98"/>
        <v>0.16967654873226107</v>
      </c>
      <c r="L360" s="1">
        <f t="shared" si="99"/>
        <v>0.16824782427301865</v>
      </c>
      <c r="M360" s="1">
        <f t="shared" si="100"/>
        <v>0.36676400210406329</v>
      </c>
      <c r="N360" s="1">
        <f t="shared" si="101"/>
        <v>0.36690659967386935</v>
      </c>
      <c r="O360" s="1">
        <f t="shared" si="102"/>
        <v>0.36599013811183828</v>
      </c>
      <c r="P360" s="1">
        <f t="shared" si="103"/>
        <v>0.36613721690519285</v>
      </c>
      <c r="Q360" s="1">
        <f t="shared" si="104"/>
        <v>5.5626475366367378</v>
      </c>
      <c r="T360">
        <v>0.18114688044936866</v>
      </c>
      <c r="U360">
        <f t="shared" si="111"/>
        <v>5.5203821204059009</v>
      </c>
      <c r="V360" s="15">
        <f t="shared" si="105"/>
        <v>8.0067738674572772E-2</v>
      </c>
      <c r="W360" s="15">
        <f t="shared" si="106"/>
        <v>8.4239929839747485E-2</v>
      </c>
      <c r="X360" s="15">
        <f t="shared" si="107"/>
        <v>9.258431217009698E-2</v>
      </c>
      <c r="Y360" s="15">
        <f t="shared" si="108"/>
        <v>0.1136728753744996</v>
      </c>
      <c r="Z360" s="15">
        <f t="shared" si="109"/>
        <v>0.1172527860491359</v>
      </c>
      <c r="AA360" s="15">
        <f t="shared" si="110"/>
        <v>0.12441260739840858</v>
      </c>
      <c r="AC360" s="1"/>
      <c r="AD360" s="1"/>
      <c r="AE360" s="1"/>
    </row>
    <row r="361" spans="1:31">
      <c r="A361">
        <v>170</v>
      </c>
      <c r="B361">
        <f t="shared" si="90"/>
        <v>0.28486295372705744</v>
      </c>
      <c r="C361">
        <v>0.28538859677384931</v>
      </c>
      <c r="D361">
        <f t="shared" si="91"/>
        <v>3.5039942426025896</v>
      </c>
      <c r="E361" s="1">
        <f t="shared" si="92"/>
        <v>0.19850316756281963</v>
      </c>
      <c r="F361" s="1">
        <f t="shared" si="93"/>
        <v>0.23026367437287076</v>
      </c>
      <c r="G361" s="1">
        <f t="shared" si="94"/>
        <v>7.1461140322615066E-2</v>
      </c>
      <c r="H361" s="1">
        <f t="shared" si="95"/>
        <v>6.9246330863853026E-2</v>
      </c>
      <c r="I361" s="1">
        <f t="shared" si="96"/>
        <v>0.25448991910078955</v>
      </c>
      <c r="J361" s="1">
        <f t="shared" si="97"/>
        <v>0.27571108387567528</v>
      </c>
      <c r="K361" s="1">
        <f t="shared" si="98"/>
        <v>0.16953749101559396</v>
      </c>
      <c r="L361" s="1">
        <f t="shared" si="99"/>
        <v>0.16810993746159761</v>
      </c>
      <c r="M361" s="1">
        <f t="shared" si="100"/>
        <v>0.36646342217672889</v>
      </c>
      <c r="N361" s="1">
        <f t="shared" si="101"/>
        <v>0.36660590288128397</v>
      </c>
      <c r="O361" s="1">
        <f t="shared" si="102"/>
        <v>0.36569019240155143</v>
      </c>
      <c r="P361" s="1">
        <f t="shared" si="103"/>
        <v>0.36583715065708666</v>
      </c>
      <c r="Q361" s="1">
        <f t="shared" si="104"/>
        <v>5.5580886917589503</v>
      </c>
      <c r="T361">
        <v>0.3667069197320002</v>
      </c>
      <c r="U361">
        <f t="shared" si="111"/>
        <v>2.7269733571726116</v>
      </c>
      <c r="V361" s="15">
        <f t="shared" si="105"/>
        <v>6.6598322038433716E-2</v>
      </c>
      <c r="W361" s="15">
        <f t="shared" si="106"/>
        <v>7.1354520977985864E-2</v>
      </c>
      <c r="X361" s="15">
        <f t="shared" si="107"/>
        <v>8.0866918857090117E-2</v>
      </c>
      <c r="Y361" s="15">
        <f t="shared" si="108"/>
        <v>9.3739993448203468E-2</v>
      </c>
      <c r="Z361" s="15">
        <f t="shared" si="109"/>
        <v>9.7910246873728971E-2</v>
      </c>
      <c r="AA361" s="15">
        <f t="shared" si="110"/>
        <v>0.10625075372477999</v>
      </c>
      <c r="AC361" s="1"/>
      <c r="AD361" s="1"/>
      <c r="AE361" s="1"/>
    </row>
    <row r="362" spans="1:31">
      <c r="A362">
        <v>739</v>
      </c>
      <c r="B362">
        <f t="shared" si="90"/>
        <v>0.28489513047465864</v>
      </c>
      <c r="C362">
        <v>0.28544354799795901</v>
      </c>
      <c r="D362">
        <f t="shared" si="91"/>
        <v>3.5033196826965947</v>
      </c>
      <c r="E362" s="1">
        <f t="shared" si="92"/>
        <v>0.19848790333390026</v>
      </c>
      <c r="F362" s="1">
        <f t="shared" si="93"/>
        <v>0.23024596786732432</v>
      </c>
      <c r="G362" s="1">
        <f t="shared" si="94"/>
        <v>7.1455645200204101E-2</v>
      </c>
      <c r="H362" s="1">
        <f t="shared" si="95"/>
        <v>6.9241006052873394E-2</v>
      </c>
      <c r="I362" s="1">
        <f t="shared" si="96"/>
        <v>0.25447034967814247</v>
      </c>
      <c r="J362" s="1">
        <f t="shared" si="97"/>
        <v>0.27568988261651373</v>
      </c>
      <c r="K362" s="1">
        <f t="shared" si="98"/>
        <v>0.16952445415021267</v>
      </c>
      <c r="L362" s="1">
        <f t="shared" si="99"/>
        <v>0.16809701037030461</v>
      </c>
      <c r="M362" s="1">
        <f t="shared" si="100"/>
        <v>0.36643524236662633</v>
      </c>
      <c r="N362" s="1">
        <f t="shared" si="101"/>
        <v>0.36657771211489232</v>
      </c>
      <c r="O362" s="1">
        <f t="shared" si="102"/>
        <v>0.36566207205022949</v>
      </c>
      <c r="P362" s="1">
        <f t="shared" si="103"/>
        <v>0.36580901900516699</v>
      </c>
      <c r="Q362" s="1">
        <f t="shared" si="104"/>
        <v>5.5576612933492076</v>
      </c>
      <c r="T362">
        <v>0.35455209269854726</v>
      </c>
      <c r="U362">
        <f t="shared" si="111"/>
        <v>2.8204600130515529</v>
      </c>
      <c r="V362" s="15">
        <f t="shared" si="105"/>
        <v>6.7393473333666201E-2</v>
      </c>
      <c r="W362" s="15">
        <f t="shared" si="106"/>
        <v>7.2117986229076878E-2</v>
      </c>
      <c r="X362" s="15">
        <f t="shared" si="107"/>
        <v>8.1567012019898161E-2</v>
      </c>
      <c r="Y362" s="15">
        <f t="shared" si="108"/>
        <v>9.4916850883417059E-2</v>
      </c>
      <c r="Z362" s="15">
        <f t="shared" si="109"/>
        <v>9.9055444507907195E-2</v>
      </c>
      <c r="AA362" s="15">
        <f t="shared" si="110"/>
        <v>0.10733263175688749</v>
      </c>
      <c r="AC362" s="1"/>
      <c r="AD362" s="1"/>
      <c r="AE362" s="1"/>
    </row>
    <row r="363" spans="1:31">
      <c r="A363">
        <v>108</v>
      </c>
      <c r="B363">
        <f t="shared" si="90"/>
        <v>0.28512273750873107</v>
      </c>
      <c r="C363">
        <v>0.28583225369603815</v>
      </c>
      <c r="D363">
        <f t="shared" si="91"/>
        <v>3.4985554886448447</v>
      </c>
      <c r="E363" s="1">
        <f t="shared" si="92"/>
        <v>0.19837992952887828</v>
      </c>
      <c r="F363" s="1">
        <f t="shared" si="93"/>
        <v>0.23012071825349881</v>
      </c>
      <c r="G363" s="1">
        <f t="shared" si="94"/>
        <v>7.1416774630396182E-2</v>
      </c>
      <c r="H363" s="1">
        <f t="shared" si="95"/>
        <v>6.9203340206433858E-2</v>
      </c>
      <c r="I363" s="1">
        <f t="shared" si="96"/>
        <v>0.25433192244172897</v>
      </c>
      <c r="J363" s="1">
        <f t="shared" si="97"/>
        <v>0.27553991234058162</v>
      </c>
      <c r="K363" s="1">
        <f t="shared" si="98"/>
        <v>0.16943223593413284</v>
      </c>
      <c r="L363" s="1">
        <f t="shared" si="99"/>
        <v>0.16800556865764785</v>
      </c>
      <c r="M363" s="1">
        <f t="shared" si="100"/>
        <v>0.3662359082674298</v>
      </c>
      <c r="N363" s="1">
        <f t="shared" si="101"/>
        <v>0.36637830051474701</v>
      </c>
      <c r="O363" s="1">
        <f t="shared" si="102"/>
        <v>0.36546315854160594</v>
      </c>
      <c r="P363" s="1">
        <f t="shared" si="103"/>
        <v>0.36561002556007577</v>
      </c>
      <c r="Q363" s="1">
        <f t="shared" si="104"/>
        <v>5.5546380268085924</v>
      </c>
      <c r="T363">
        <v>0.74117181562301093</v>
      </c>
      <c r="U363">
        <f t="shared" si="111"/>
        <v>1.3492148229616967</v>
      </c>
      <c r="V363" s="15">
        <f t="shared" si="105"/>
        <v>0</v>
      </c>
      <c r="W363" s="15">
        <f t="shared" si="106"/>
        <v>0</v>
      </c>
      <c r="X363" s="15">
        <f t="shared" si="107"/>
        <v>0</v>
      </c>
      <c r="Y363" s="15">
        <f t="shared" si="108"/>
        <v>0</v>
      </c>
      <c r="Z363" s="15">
        <f t="shared" si="109"/>
        <v>0</v>
      </c>
      <c r="AA363" s="15">
        <f t="shared" si="110"/>
        <v>0</v>
      </c>
      <c r="AC363" s="1"/>
      <c r="AD363" s="1"/>
      <c r="AE363" s="1"/>
    </row>
    <row r="364" spans="1:31">
      <c r="A364">
        <v>239</v>
      </c>
      <c r="B364">
        <f t="shared" si="90"/>
        <v>0.28953310509440494</v>
      </c>
      <c r="C364">
        <v>0.28950583091755433</v>
      </c>
      <c r="D364">
        <f t="shared" si="91"/>
        <v>3.4541618620620484</v>
      </c>
      <c r="E364" s="1">
        <f t="shared" si="92"/>
        <v>0.19735949141179046</v>
      </c>
      <c r="F364" s="1">
        <f t="shared" si="93"/>
        <v>0.22893701003767691</v>
      </c>
      <c r="G364" s="1">
        <f t="shared" si="94"/>
        <v>7.1049416908244567E-2</v>
      </c>
      <c r="H364" s="1">
        <f t="shared" si="95"/>
        <v>6.8847368075865265E-2</v>
      </c>
      <c r="I364" s="1">
        <f t="shared" si="96"/>
        <v>0.25302367523815295</v>
      </c>
      <c r="J364" s="1">
        <f t="shared" si="97"/>
        <v>0.27412257425603292</v>
      </c>
      <c r="K364" s="1">
        <f t="shared" si="98"/>
        <v>0.16856070063204254</v>
      </c>
      <c r="L364" s="1">
        <f t="shared" si="99"/>
        <v>0.1671413719289343</v>
      </c>
      <c r="M364" s="1">
        <f t="shared" si="100"/>
        <v>0.36435204289087736</v>
      </c>
      <c r="N364" s="1">
        <f t="shared" si="101"/>
        <v>0.36449370269274461</v>
      </c>
      <c r="O364" s="1">
        <f t="shared" si="102"/>
        <v>0.3635832680796382</v>
      </c>
      <c r="P364" s="1">
        <f t="shared" si="103"/>
        <v>0.36372937963507229</v>
      </c>
      <c r="Q364" s="1">
        <f t="shared" si="104"/>
        <v>5.526065759530133</v>
      </c>
      <c r="T364">
        <v>0.25946661030922202</v>
      </c>
      <c r="U364">
        <f t="shared" si="111"/>
        <v>3.8540604465763035</v>
      </c>
      <c r="V364" s="15">
        <f t="shared" si="105"/>
        <v>7.3613828775301829E-2</v>
      </c>
      <c r="W364" s="15">
        <f t="shared" si="106"/>
        <v>7.8090466255956628E-2</v>
      </c>
      <c r="X364" s="15">
        <f t="shared" si="107"/>
        <v>8.7043741217266282E-2</v>
      </c>
      <c r="Y364" s="15">
        <f t="shared" si="108"/>
        <v>0.10412323914569079</v>
      </c>
      <c r="Z364" s="15">
        <f t="shared" si="109"/>
        <v>0.10801416265151015</v>
      </c>
      <c r="AA364" s="15">
        <f t="shared" si="110"/>
        <v>0.115796009663149</v>
      </c>
      <c r="AC364" s="1"/>
      <c r="AD364" s="1"/>
      <c r="AE364" s="1"/>
    </row>
    <row r="365" spans="1:31">
      <c r="A365">
        <v>561</v>
      </c>
      <c r="B365">
        <f t="shared" si="90"/>
        <v>0.28954898525975037</v>
      </c>
      <c r="C365">
        <v>0.28963191050117842</v>
      </c>
      <c r="D365">
        <f t="shared" si="91"/>
        <v>3.4526582318557448</v>
      </c>
      <c r="E365" s="1">
        <f t="shared" si="92"/>
        <v>0.19732446930522821</v>
      </c>
      <c r="F365" s="1">
        <f t="shared" si="93"/>
        <v>0.22889638439406473</v>
      </c>
      <c r="G365" s="1">
        <f t="shared" si="94"/>
        <v>7.1036808949882152E-2</v>
      </c>
      <c r="H365" s="1">
        <f t="shared" si="95"/>
        <v>6.8835150878485823E-2</v>
      </c>
      <c r="I365" s="1">
        <f t="shared" si="96"/>
        <v>0.25297877533466429</v>
      </c>
      <c r="J365" s="1">
        <f t="shared" si="97"/>
        <v>0.27407393028184129</v>
      </c>
      <c r="K365" s="1">
        <f t="shared" si="98"/>
        <v>0.16853078896791371</v>
      </c>
      <c r="L365" s="1">
        <f t="shared" si="99"/>
        <v>0.16711171212946491</v>
      </c>
      <c r="M365" s="1">
        <f t="shared" si="100"/>
        <v>0.36428738739353583</v>
      </c>
      <c r="N365" s="1">
        <f t="shared" si="101"/>
        <v>0.36442902205739414</v>
      </c>
      <c r="O365" s="1">
        <f t="shared" si="102"/>
        <v>0.36351874900397657</v>
      </c>
      <c r="P365" s="1">
        <f t="shared" si="103"/>
        <v>0.36366483463142296</v>
      </c>
      <c r="Q365" s="1">
        <f t="shared" si="104"/>
        <v>5.5250851405463903</v>
      </c>
      <c r="T365">
        <v>0.38382912966282423</v>
      </c>
      <c r="U365">
        <f t="shared" si="111"/>
        <v>2.6053259711644419</v>
      </c>
      <c r="V365" s="15">
        <f t="shared" si="105"/>
        <v>6.5478211701506125E-2</v>
      </c>
      <c r="W365" s="15">
        <f t="shared" si="106"/>
        <v>7.0279046002645479E-2</v>
      </c>
      <c r="X365" s="15">
        <f t="shared" si="107"/>
        <v>7.9880714604924088E-2</v>
      </c>
      <c r="Y365" s="15">
        <f t="shared" si="108"/>
        <v>9.2082182933177659E-2</v>
      </c>
      <c r="Z365" s="15">
        <f t="shared" si="109"/>
        <v>9.6297034752263491E-2</v>
      </c>
      <c r="AA365" s="15">
        <f t="shared" si="110"/>
        <v>0.10472673839043516</v>
      </c>
      <c r="AC365" s="1"/>
      <c r="AD365" s="1"/>
      <c r="AE365" s="1"/>
    </row>
    <row r="366" spans="1:31">
      <c r="A366">
        <v>459</v>
      </c>
      <c r="B366">
        <f t="shared" si="90"/>
        <v>0.29624710212139294</v>
      </c>
      <c r="C366">
        <v>0.29379743532342351</v>
      </c>
      <c r="D366">
        <f t="shared" si="91"/>
        <v>3.4037056821110832</v>
      </c>
      <c r="E366" s="1">
        <f t="shared" si="92"/>
        <v>0.1961673790768268</v>
      </c>
      <c r="F366" s="1">
        <f t="shared" si="93"/>
        <v>0.22755415972911908</v>
      </c>
      <c r="G366" s="1">
        <f t="shared" si="94"/>
        <v>7.0620256467657655E-2</v>
      </c>
      <c r="H366" s="1">
        <f t="shared" si="95"/>
        <v>6.8431508690912884E-2</v>
      </c>
      <c r="I366" s="1">
        <f t="shared" si="96"/>
        <v>0.2514953340262277</v>
      </c>
      <c r="J366" s="1">
        <f t="shared" si="97"/>
        <v>0.27246678917204742</v>
      </c>
      <c r="K366" s="1">
        <f t="shared" si="98"/>
        <v>0.16754254189553511</v>
      </c>
      <c r="L366" s="1">
        <f t="shared" si="99"/>
        <v>0.16613178637652987</v>
      </c>
      <c r="M366" s="1">
        <f t="shared" si="100"/>
        <v>0.36215124392502901</v>
      </c>
      <c r="N366" s="1">
        <f t="shared" si="101"/>
        <v>0.36229204805790383</v>
      </c>
      <c r="O366" s="1">
        <f t="shared" si="102"/>
        <v>0.36138711275128976</v>
      </c>
      <c r="P366" s="1">
        <f t="shared" si="103"/>
        <v>0.36153234174776372</v>
      </c>
      <c r="Q366" s="1">
        <f t="shared" si="104"/>
        <v>5.4926866141511503</v>
      </c>
      <c r="T366">
        <v>0.23038508068228425</v>
      </c>
      <c r="U366">
        <f t="shared" si="111"/>
        <v>4.3405588462521321</v>
      </c>
      <c r="V366" s="15">
        <f t="shared" si="105"/>
        <v>7.5516300598764102E-2</v>
      </c>
      <c r="W366" s="15">
        <f t="shared" si="106"/>
        <v>7.9917126335744965E-2</v>
      </c>
      <c r="X366" s="15">
        <f t="shared" si="107"/>
        <v>8.8718777809706773E-2</v>
      </c>
      <c r="Y366" s="15">
        <f t="shared" si="108"/>
        <v>0.10693897763992451</v>
      </c>
      <c r="Z366" s="15">
        <f t="shared" si="109"/>
        <v>0.11075415219108915</v>
      </c>
      <c r="AA366" s="15">
        <f t="shared" si="110"/>
        <v>0.11838450129341858</v>
      </c>
      <c r="AC366" s="1"/>
      <c r="AD366" s="1"/>
      <c r="AE366" s="1"/>
    </row>
    <row r="367" spans="1:31">
      <c r="A367">
        <v>596</v>
      </c>
      <c r="B367">
        <f t="shared" si="90"/>
        <v>0.29693933027278741</v>
      </c>
      <c r="C367">
        <v>0.29488703489111179</v>
      </c>
      <c r="D367">
        <f t="shared" si="91"/>
        <v>3.3911290822577329</v>
      </c>
      <c r="E367" s="1">
        <f t="shared" si="92"/>
        <v>0.19586471253024673</v>
      </c>
      <c r="F367" s="1">
        <f t="shared" si="93"/>
        <v>0.22720306653508621</v>
      </c>
      <c r="G367" s="1">
        <f t="shared" si="94"/>
        <v>7.0511296510888818E-2</v>
      </c>
      <c r="H367" s="1">
        <f t="shared" si="95"/>
        <v>6.8325925751944058E-2</v>
      </c>
      <c r="I367" s="1">
        <f t="shared" si="96"/>
        <v>0.2511073020068933</v>
      </c>
      <c r="J367" s="1">
        <f t="shared" si="97"/>
        <v>0.27204640030553684</v>
      </c>
      <c r="K367" s="1">
        <f t="shared" si="98"/>
        <v>0.16728404059527097</v>
      </c>
      <c r="L367" s="1">
        <f t="shared" si="99"/>
        <v>0.16587546173021817</v>
      </c>
      <c r="M367" s="1">
        <f t="shared" si="100"/>
        <v>0.36159248096018592</v>
      </c>
      <c r="N367" s="1">
        <f t="shared" si="101"/>
        <v>0.36173306784643777</v>
      </c>
      <c r="O367" s="1">
        <f t="shared" si="102"/>
        <v>0.36082952876403496</v>
      </c>
      <c r="P367" s="1">
        <f t="shared" si="103"/>
        <v>0.36097453368676624</v>
      </c>
      <c r="Q367" s="1">
        <f t="shared" si="104"/>
        <v>5.4842119508469089</v>
      </c>
      <c r="T367">
        <v>0.12341761281240859</v>
      </c>
      <c r="U367">
        <f t="shared" si="111"/>
        <v>8.1025712393252398</v>
      </c>
      <c r="V367" s="15">
        <f t="shared" si="105"/>
        <v>8.7917894997052604E-2</v>
      </c>
      <c r="W367" s="15">
        <f t="shared" si="106"/>
        <v>9.1632539862197826E-2</v>
      </c>
      <c r="X367" s="15">
        <f t="shared" si="107"/>
        <v>9.9061829592488132E-2</v>
      </c>
      <c r="Y367" s="15">
        <f t="shared" si="108"/>
        <v>0.12528401989036439</v>
      </c>
      <c r="Z367" s="15">
        <f t="shared" si="109"/>
        <v>0.12838588409543109</v>
      </c>
      <c r="AA367" s="15">
        <f t="shared" si="110"/>
        <v>0.13458961250556439</v>
      </c>
      <c r="AC367" s="1"/>
      <c r="AD367" s="1"/>
      <c r="AE367" s="1"/>
    </row>
    <row r="368" spans="1:31">
      <c r="A368">
        <v>423</v>
      </c>
      <c r="B368">
        <f t="shared" si="90"/>
        <v>0.29770407720101044</v>
      </c>
      <c r="C368">
        <v>0.29608312080097499</v>
      </c>
      <c r="D368">
        <f t="shared" si="91"/>
        <v>3.3774299503962371</v>
      </c>
      <c r="E368" s="1">
        <f t="shared" si="92"/>
        <v>0.1955324664441736</v>
      </c>
      <c r="F368" s="1">
        <f t="shared" si="93"/>
        <v>0.22681766107524137</v>
      </c>
      <c r="G368" s="1">
        <f t="shared" si="94"/>
        <v>7.0391687919902496E-2</v>
      </c>
      <c r="H368" s="1">
        <f t="shared" si="95"/>
        <v>6.8210024214014398E-2</v>
      </c>
      <c r="I368" s="1">
        <f t="shared" si="96"/>
        <v>0.25068134769792971</v>
      </c>
      <c r="J368" s="1">
        <f t="shared" si="97"/>
        <v>0.27158492692136182</v>
      </c>
      <c r="K368" s="1">
        <f t="shared" si="98"/>
        <v>0.16700027601597395</v>
      </c>
      <c r="L368" s="1">
        <f t="shared" si="99"/>
        <v>0.16559408652881771</v>
      </c>
      <c r="M368" s="1">
        <f t="shared" si="100"/>
        <v>0.36097911020544143</v>
      </c>
      <c r="N368" s="1">
        <f t="shared" si="101"/>
        <v>0.3611194586136024</v>
      </c>
      <c r="O368" s="1">
        <f t="shared" si="102"/>
        <v>0.36021745220811663</v>
      </c>
      <c r="P368" s="1">
        <f t="shared" si="103"/>
        <v>0.36036221115842426</v>
      </c>
      <c r="Q368" s="1">
        <f t="shared" si="104"/>
        <v>5.4749090604368611</v>
      </c>
      <c r="T368">
        <v>0.90074475858076986</v>
      </c>
      <c r="U368">
        <f t="shared" si="111"/>
        <v>1.1101924163018373</v>
      </c>
      <c r="V368" s="15">
        <f t="shared" si="105"/>
        <v>0</v>
      </c>
      <c r="W368" s="15">
        <f t="shared" si="106"/>
        <v>0</v>
      </c>
      <c r="X368" s="15">
        <f t="shared" si="107"/>
        <v>0</v>
      </c>
      <c r="Y368" s="15">
        <f t="shared" si="108"/>
        <v>0</v>
      </c>
      <c r="Z368" s="15">
        <f t="shared" si="109"/>
        <v>0</v>
      </c>
      <c r="AA368" s="15">
        <f t="shared" si="110"/>
        <v>0</v>
      </c>
      <c r="AC368" s="1"/>
      <c r="AD368" s="1"/>
      <c r="AE368" s="1"/>
    </row>
    <row r="369" spans="1:31">
      <c r="A369">
        <v>947</v>
      </c>
      <c r="B369">
        <f t="shared" si="90"/>
        <v>0.29792799836379896</v>
      </c>
      <c r="C369">
        <v>0.29640871449496131</v>
      </c>
      <c r="D369">
        <f t="shared" si="91"/>
        <v>3.37371997211303</v>
      </c>
      <c r="E369" s="1">
        <f t="shared" si="92"/>
        <v>0.19544202375139963</v>
      </c>
      <c r="F369" s="1">
        <f t="shared" si="93"/>
        <v>0.22671274755162357</v>
      </c>
      <c r="G369" s="1">
        <f t="shared" si="94"/>
        <v>7.0359128550503872E-2</v>
      </c>
      <c r="H369" s="1">
        <f t="shared" si="95"/>
        <v>6.8178473963683706E-2</v>
      </c>
      <c r="I369" s="1">
        <f t="shared" si="96"/>
        <v>0.25056539612975121</v>
      </c>
      <c r="J369" s="1">
        <f t="shared" si="97"/>
        <v>0.27145930649343863</v>
      </c>
      <c r="K369" s="1">
        <f t="shared" si="98"/>
        <v>0.16692303076391146</v>
      </c>
      <c r="L369" s="1">
        <f t="shared" si="99"/>
        <v>0.16551749170359267</v>
      </c>
      <c r="M369" s="1">
        <f t="shared" si="100"/>
        <v>0.36081214088645391</v>
      </c>
      <c r="N369" s="1">
        <f t="shared" si="101"/>
        <v>0.36095242437706848</v>
      </c>
      <c r="O369" s="1">
        <f t="shared" si="102"/>
        <v>0.36005083519072639</v>
      </c>
      <c r="P369" s="1">
        <f t="shared" si="103"/>
        <v>0.36019552718341058</v>
      </c>
      <c r="Q369" s="1">
        <f t="shared" si="104"/>
        <v>5.4723766650391905</v>
      </c>
      <c r="T369">
        <v>0.15532840865889819</v>
      </c>
      <c r="U369">
        <f t="shared" si="111"/>
        <v>6.4379723492564969</v>
      </c>
      <c r="V369" s="15">
        <f t="shared" si="105"/>
        <v>8.357859283675112E-2</v>
      </c>
      <c r="W369" s="15">
        <f t="shared" si="106"/>
        <v>8.7546153894465711E-2</v>
      </c>
      <c r="X369" s="15">
        <f t="shared" si="107"/>
        <v>9.5481276009894853E-2</v>
      </c>
      <c r="Y369" s="15">
        <f t="shared" si="108"/>
        <v>0.11886577006048729</v>
      </c>
      <c r="Z369" s="15">
        <f t="shared" si="109"/>
        <v>0.1222318822617611</v>
      </c>
      <c r="AA369" s="15">
        <f t="shared" si="110"/>
        <v>0.12896410666430871</v>
      </c>
      <c r="AC369" s="1"/>
      <c r="AD369" s="1"/>
      <c r="AE369" s="1"/>
    </row>
    <row r="370" spans="1:31">
      <c r="A370">
        <v>987</v>
      </c>
      <c r="B370">
        <f t="shared" si="90"/>
        <v>0.29885186468382163</v>
      </c>
      <c r="C370">
        <v>0.29730480112645352</v>
      </c>
      <c r="D370">
        <f t="shared" si="91"/>
        <v>3.3635514670840014</v>
      </c>
      <c r="E370" s="1">
        <f t="shared" si="92"/>
        <v>0.19519311079820736</v>
      </c>
      <c r="F370" s="1">
        <f t="shared" si="93"/>
        <v>0.22642400852592054</v>
      </c>
      <c r="G370" s="1">
        <f t="shared" si="94"/>
        <v>7.0269519887354651E-2</v>
      </c>
      <c r="H370" s="1">
        <f t="shared" si="95"/>
        <v>6.8091642559809012E-2</v>
      </c>
      <c r="I370" s="1">
        <f t="shared" si="96"/>
        <v>0.25024627861591608</v>
      </c>
      <c r="J370" s="1">
        <f t="shared" si="97"/>
        <v>0.27111357871005898</v>
      </c>
      <c r="K370" s="1">
        <f t="shared" si="98"/>
        <v>0.16671043930714216</v>
      </c>
      <c r="L370" s="1">
        <f t="shared" si="99"/>
        <v>0.16530669032692802</v>
      </c>
      <c r="M370" s="1">
        <f t="shared" si="100"/>
        <v>0.36035261425133314</v>
      </c>
      <c r="N370" s="1">
        <f t="shared" si="101"/>
        <v>0.36049271907833552</v>
      </c>
      <c r="O370" s="1">
        <f t="shared" si="102"/>
        <v>0.3595922781467169</v>
      </c>
      <c r="P370" s="1">
        <f t="shared" si="103"/>
        <v>0.35973678586116598</v>
      </c>
      <c r="Q370" s="1">
        <f t="shared" si="104"/>
        <v>5.4654071023498059</v>
      </c>
      <c r="T370">
        <v>8.7257096475480411E-3</v>
      </c>
      <c r="U370">
        <f t="shared" si="111"/>
        <v>114.60385921516469</v>
      </c>
      <c r="V370" s="15">
        <f t="shared" si="105"/>
        <v>0.10304197639427203</v>
      </c>
      <c r="W370" s="15">
        <f t="shared" si="106"/>
        <v>0.1057753682453844</v>
      </c>
      <c r="X370" s="15">
        <f t="shared" si="107"/>
        <v>0.11124215194760896</v>
      </c>
      <c r="Y370" s="15">
        <f t="shared" si="108"/>
        <v>0.14763297309330198</v>
      </c>
      <c r="Z370" s="15">
        <f t="shared" si="109"/>
        <v>0.14970192057754048</v>
      </c>
      <c r="AA370" s="15">
        <f t="shared" si="110"/>
        <v>0.15383981554601778</v>
      </c>
      <c r="AC370" s="1"/>
      <c r="AD370" s="1"/>
      <c r="AE370" s="1"/>
    </row>
    <row r="371" spans="1:31">
      <c r="A371">
        <v>555</v>
      </c>
      <c r="B371">
        <f t="shared" si="90"/>
        <v>0.29938619319200621</v>
      </c>
      <c r="C371">
        <v>0.29781211619486125</v>
      </c>
      <c r="D371">
        <f t="shared" si="91"/>
        <v>3.3578217460625095</v>
      </c>
      <c r="E371" s="1">
        <f t="shared" si="92"/>
        <v>0.19505218994587187</v>
      </c>
      <c r="F371" s="1">
        <f t="shared" si="93"/>
        <v>0.22626054033721138</v>
      </c>
      <c r="G371" s="1">
        <f t="shared" si="94"/>
        <v>7.0218788380513875E-2</v>
      </c>
      <c r="H371" s="1">
        <f t="shared" si="95"/>
        <v>6.8042483384737659E-2</v>
      </c>
      <c r="I371" s="1">
        <f t="shared" si="96"/>
        <v>0.25006561179457121</v>
      </c>
      <c r="J371" s="1">
        <f t="shared" si="97"/>
        <v>0.2709178466146212</v>
      </c>
      <c r="K371" s="1">
        <f t="shared" si="98"/>
        <v>0.16659008169255057</v>
      </c>
      <c r="L371" s="1">
        <f t="shared" si="99"/>
        <v>0.16518734615744191</v>
      </c>
      <c r="M371" s="1">
        <f t="shared" si="100"/>
        <v>0.36009245549196933</v>
      </c>
      <c r="N371" s="1">
        <f t="shared" si="101"/>
        <v>0.36023245916944063</v>
      </c>
      <c r="O371" s="1">
        <f t="shared" si="102"/>
        <v>0.35933266831662369</v>
      </c>
      <c r="P371" s="1">
        <f t="shared" si="103"/>
        <v>0.35947707170285026</v>
      </c>
      <c r="Q371" s="1">
        <f t="shared" si="104"/>
        <v>5.461461318484413</v>
      </c>
      <c r="T371">
        <v>0.79547777829536359</v>
      </c>
      <c r="U371">
        <f t="shared" si="111"/>
        <v>1.2571061408439452</v>
      </c>
      <c r="V371" s="15">
        <f t="shared" si="105"/>
        <v>0</v>
      </c>
      <c r="W371" s="15">
        <f t="shared" si="106"/>
        <v>0</v>
      </c>
      <c r="X371" s="15">
        <f t="shared" si="107"/>
        <v>0</v>
      </c>
      <c r="Y371" s="15">
        <f t="shared" si="108"/>
        <v>0</v>
      </c>
      <c r="Z371" s="15">
        <f t="shared" si="109"/>
        <v>0</v>
      </c>
      <c r="AA371" s="15">
        <f t="shared" si="110"/>
        <v>0</v>
      </c>
      <c r="AC371" s="1"/>
      <c r="AD371" s="1"/>
      <c r="AE371" s="1"/>
    </row>
    <row r="372" spans="1:31">
      <c r="A372">
        <v>334</v>
      </c>
      <c r="B372">
        <f t="shared" si="90"/>
        <v>0.29990825404455684</v>
      </c>
      <c r="C372">
        <v>0.29884396129185009</v>
      </c>
      <c r="D372">
        <f t="shared" si="91"/>
        <v>3.3462278965824681</v>
      </c>
      <c r="E372" s="1">
        <f t="shared" si="92"/>
        <v>0.19476556630781941</v>
      </c>
      <c r="F372" s="1">
        <f t="shared" si="93"/>
        <v>0.22592805691707052</v>
      </c>
      <c r="G372" s="1">
        <f t="shared" si="94"/>
        <v>7.0115603870814988E-2</v>
      </c>
      <c r="H372" s="1">
        <f t="shared" si="95"/>
        <v>6.7942496893249049E-2</v>
      </c>
      <c r="I372" s="1">
        <f t="shared" si="96"/>
        <v>0.24969814749989055</v>
      </c>
      <c r="J372" s="1">
        <f t="shared" si="97"/>
        <v>0.27051974055474276</v>
      </c>
      <c r="K372" s="1">
        <f t="shared" si="98"/>
        <v>0.16634528231197748</v>
      </c>
      <c r="L372" s="1">
        <f t="shared" si="99"/>
        <v>0.16494460805678782</v>
      </c>
      <c r="M372" s="1">
        <f t="shared" si="100"/>
        <v>0.35956330988403234</v>
      </c>
      <c r="N372" s="1">
        <f t="shared" si="101"/>
        <v>0.35970310783008691</v>
      </c>
      <c r="O372" s="1">
        <f t="shared" si="102"/>
        <v>0.35880463919430217</v>
      </c>
      <c r="P372" s="1">
        <f t="shared" si="103"/>
        <v>0.35894883038386532</v>
      </c>
      <c r="Q372" s="1">
        <f t="shared" si="104"/>
        <v>5.4534358566189436</v>
      </c>
      <c r="T372">
        <v>0.25888768924394734</v>
      </c>
      <c r="U372">
        <f t="shared" si="111"/>
        <v>3.862678843170908</v>
      </c>
      <c r="V372" s="15">
        <f t="shared" si="105"/>
        <v>7.3651700958396127E-2</v>
      </c>
      <c r="W372" s="15">
        <f t="shared" si="106"/>
        <v>7.8126829267560607E-2</v>
      </c>
      <c r="X372" s="15">
        <f t="shared" si="107"/>
        <v>8.707708588588961E-2</v>
      </c>
      <c r="Y372" s="15">
        <f t="shared" si="108"/>
        <v>0.10417929157310873</v>
      </c>
      <c r="Z372" s="15">
        <f t="shared" si="109"/>
        <v>0.1080687071573681</v>
      </c>
      <c r="AA372" s="15">
        <f t="shared" si="110"/>
        <v>0.11584753832588696</v>
      </c>
      <c r="AC372" s="1"/>
      <c r="AD372" s="1"/>
      <c r="AE372" s="1"/>
    </row>
    <row r="373" spans="1:31">
      <c r="A373">
        <v>318</v>
      </c>
      <c r="B373">
        <f t="shared" si="90"/>
        <v>0.30030757678058667</v>
      </c>
      <c r="C373">
        <v>0.2998982634501417</v>
      </c>
      <c r="D373">
        <f t="shared" si="91"/>
        <v>3.3344641229183067</v>
      </c>
      <c r="E373" s="1">
        <f t="shared" si="92"/>
        <v>0.19447270459718285</v>
      </c>
      <c r="F373" s="1">
        <f t="shared" si="93"/>
        <v>0.22558833733273209</v>
      </c>
      <c r="G373" s="1">
        <f t="shared" si="94"/>
        <v>7.0010173654985824E-2</v>
      </c>
      <c r="H373" s="1">
        <f t="shared" si="95"/>
        <v>6.7840334297250809E-2</v>
      </c>
      <c r="I373" s="1">
        <f t="shared" si="96"/>
        <v>0.24932268571778055</v>
      </c>
      <c r="J373" s="1">
        <f t="shared" si="97"/>
        <v>0.27011297012051411</v>
      </c>
      <c r="K373" s="1">
        <f t="shared" si="98"/>
        <v>0.16609515512133632</v>
      </c>
      <c r="L373" s="1">
        <f t="shared" si="99"/>
        <v>0.16469658700773113</v>
      </c>
      <c r="M373" s="1">
        <f t="shared" si="100"/>
        <v>0.35902264795897548</v>
      </c>
      <c r="N373" s="1">
        <f t="shared" si="101"/>
        <v>0.35916223569607775</v>
      </c>
      <c r="O373" s="1">
        <f t="shared" si="102"/>
        <v>0.35826511805403705</v>
      </c>
      <c r="P373" s="1">
        <f t="shared" si="103"/>
        <v>0.35840909242869168</v>
      </c>
      <c r="Q373" s="1">
        <f t="shared" si="104"/>
        <v>5.4452357287211202</v>
      </c>
      <c r="T373">
        <v>0.2416210154709898</v>
      </c>
      <c r="U373">
        <f t="shared" si="111"/>
        <v>4.1387128435442939</v>
      </c>
      <c r="V373" s="15">
        <f t="shared" si="105"/>
        <v>7.4781261912010455E-2</v>
      </c>
      <c r="W373" s="15">
        <f t="shared" si="106"/>
        <v>7.9211378261248147E-2</v>
      </c>
      <c r="X373" s="15">
        <f t="shared" si="107"/>
        <v>8.8071610959723629E-2</v>
      </c>
      <c r="Y373" s="15">
        <f t="shared" si="108"/>
        <v>0.1058510893992058</v>
      </c>
      <c r="Z373" s="15">
        <f t="shared" si="109"/>
        <v>0.10969553030347262</v>
      </c>
      <c r="AA373" s="15">
        <f t="shared" si="110"/>
        <v>0.11738441211200637</v>
      </c>
      <c r="AC373" s="1"/>
      <c r="AD373" s="1"/>
      <c r="AE373" s="1"/>
    </row>
    <row r="374" spans="1:31">
      <c r="A374">
        <v>539</v>
      </c>
      <c r="B374">
        <f t="shared" si="90"/>
        <v>0.30031954037320974</v>
      </c>
      <c r="C374">
        <v>0.29991659087041456</v>
      </c>
      <c r="D374">
        <f t="shared" si="91"/>
        <v>3.334260359181235</v>
      </c>
      <c r="E374" s="1">
        <f t="shared" si="92"/>
        <v>0.19446761364710707</v>
      </c>
      <c r="F374" s="1">
        <f t="shared" si="93"/>
        <v>0.22558243183064419</v>
      </c>
      <c r="G374" s="1">
        <f t="shared" si="94"/>
        <v>7.0008340912958544E-2</v>
      </c>
      <c r="H374" s="1">
        <f t="shared" si="95"/>
        <v>6.7838558357764867E-2</v>
      </c>
      <c r="I374" s="1">
        <f t="shared" si="96"/>
        <v>0.24931615889259767</v>
      </c>
      <c r="J374" s="1">
        <f t="shared" si="97"/>
        <v>0.2701058990426034</v>
      </c>
      <c r="K374" s="1">
        <f t="shared" si="98"/>
        <v>0.166090807045115</v>
      </c>
      <c r="L374" s="1">
        <f t="shared" si="99"/>
        <v>0.16469227554353955</v>
      </c>
      <c r="M374" s="1">
        <f t="shared" si="100"/>
        <v>0.35901324938357837</v>
      </c>
      <c r="N374" s="1">
        <f t="shared" si="101"/>
        <v>0.35915283346652155</v>
      </c>
      <c r="O374" s="1">
        <f t="shared" si="102"/>
        <v>0.35825573930942767</v>
      </c>
      <c r="P374" s="1">
        <f t="shared" si="103"/>
        <v>0.35839970991508885</v>
      </c>
      <c r="Q374" s="1">
        <f t="shared" si="104"/>
        <v>5.4450931821189981</v>
      </c>
      <c r="T374">
        <v>0.90779662760085267</v>
      </c>
      <c r="U374">
        <f t="shared" si="111"/>
        <v>1.1015683134259098</v>
      </c>
      <c r="V374" s="15">
        <f t="shared" si="105"/>
        <v>0</v>
      </c>
      <c r="W374" s="15">
        <f t="shared" si="106"/>
        <v>0</v>
      </c>
      <c r="X374" s="15">
        <f t="shared" si="107"/>
        <v>0</v>
      </c>
      <c r="Y374" s="15">
        <f t="shared" si="108"/>
        <v>0</v>
      </c>
      <c r="Z374" s="15">
        <f t="shared" si="109"/>
        <v>0</v>
      </c>
      <c r="AA374" s="15">
        <f t="shared" si="110"/>
        <v>0</v>
      </c>
      <c r="AC374" s="1"/>
      <c r="AD374" s="1"/>
      <c r="AE374" s="1"/>
    </row>
    <row r="375" spans="1:31">
      <c r="A375">
        <v>646</v>
      </c>
      <c r="B375">
        <f t="shared" si="90"/>
        <v>0.30072147579088909</v>
      </c>
      <c r="C375">
        <v>0.30057001442991993</v>
      </c>
      <c r="D375">
        <f t="shared" si="91"/>
        <v>3.3270118507884532</v>
      </c>
      <c r="E375" s="1">
        <f t="shared" si="92"/>
        <v>0.19428610710280003</v>
      </c>
      <c r="F375" s="1">
        <f t="shared" si="93"/>
        <v>0.225371884239248</v>
      </c>
      <c r="G375" s="1">
        <f t="shared" si="94"/>
        <v>6.9942998557008002E-2</v>
      </c>
      <c r="H375" s="1">
        <f t="shared" si="95"/>
        <v>6.7775241170561468E-2</v>
      </c>
      <c r="I375" s="1">
        <f t="shared" si="96"/>
        <v>0.24908345940299204</v>
      </c>
      <c r="J375" s="1">
        <f t="shared" si="97"/>
        <v>0.26985379542795662</v>
      </c>
      <c r="K375" s="1">
        <f t="shared" si="98"/>
        <v>0.16593578602201225</v>
      </c>
      <c r="L375" s="1">
        <f t="shared" si="99"/>
        <v>0.16453855984123131</v>
      </c>
      <c r="M375" s="1">
        <f t="shared" si="100"/>
        <v>0.3586781640033756</v>
      </c>
      <c r="N375" s="1">
        <f t="shared" si="101"/>
        <v>0.35881761780537358</v>
      </c>
      <c r="O375" s="1">
        <f t="shared" si="102"/>
        <v>0.35792136095202043</v>
      </c>
      <c r="P375" s="1">
        <f t="shared" si="103"/>
        <v>0.3580651971825709</v>
      </c>
      <c r="Q375" s="1">
        <f t="shared" si="104"/>
        <v>5.4400109988784013</v>
      </c>
      <c r="T375">
        <v>0.26145437606268718</v>
      </c>
      <c r="U375">
        <f t="shared" si="111"/>
        <v>3.8247590843927455</v>
      </c>
      <c r="V375" s="15">
        <f t="shared" si="105"/>
        <v>7.3483791999859729E-2</v>
      </c>
      <c r="W375" s="15">
        <f t="shared" si="106"/>
        <v>7.796561132582043E-2</v>
      </c>
      <c r="X375" s="15">
        <f t="shared" si="107"/>
        <v>8.692924997774186E-2</v>
      </c>
      <c r="Y375" s="15">
        <f t="shared" si="108"/>
        <v>0.10393077923655426</v>
      </c>
      <c r="Z375" s="15">
        <f t="shared" si="109"/>
        <v>0.10782688029595679</v>
      </c>
      <c r="AA375" s="15">
        <f t="shared" si="110"/>
        <v>0.11561908241476193</v>
      </c>
      <c r="AC375" s="1"/>
      <c r="AD375" s="1"/>
      <c r="AE375" s="1"/>
    </row>
    <row r="376" spans="1:31">
      <c r="A376">
        <v>69</v>
      </c>
      <c r="B376">
        <f t="shared" si="90"/>
        <v>0.3010371439839985</v>
      </c>
      <c r="C376">
        <v>0.30113213912897407</v>
      </c>
      <c r="D376">
        <f t="shared" si="91"/>
        <v>3.3208013030176855</v>
      </c>
      <c r="E376" s="1">
        <f t="shared" si="92"/>
        <v>0.19412996135306276</v>
      </c>
      <c r="F376" s="1">
        <f t="shared" si="93"/>
        <v>0.22519075516955278</v>
      </c>
      <c r="G376" s="1">
        <f t="shared" si="94"/>
        <v>6.9886786087102595E-2</v>
      </c>
      <c r="H376" s="1">
        <f t="shared" si="95"/>
        <v>6.7720770905013342E-2</v>
      </c>
      <c r="I376" s="1">
        <f t="shared" si="96"/>
        <v>0.24888327358376078</v>
      </c>
      <c r="J376" s="1">
        <f t="shared" si="97"/>
        <v>0.26963691670289036</v>
      </c>
      <c r="K376" s="1">
        <f t="shared" si="98"/>
        <v>0.1658024251342832</v>
      </c>
      <c r="L376" s="1">
        <f t="shared" si="99"/>
        <v>0.16440632188983983</v>
      </c>
      <c r="M376" s="1">
        <f t="shared" si="100"/>
        <v>0.35838989804515631</v>
      </c>
      <c r="N376" s="1">
        <f t="shared" si="101"/>
        <v>0.35852923976956519</v>
      </c>
      <c r="O376" s="1">
        <f t="shared" si="102"/>
        <v>0.35763370322864418</v>
      </c>
      <c r="P376" s="1">
        <f t="shared" si="103"/>
        <v>0.35777742385949274</v>
      </c>
      <c r="Q376" s="1">
        <f t="shared" si="104"/>
        <v>5.4356389178857576</v>
      </c>
      <c r="T376">
        <v>0.82867479817249645</v>
      </c>
      <c r="U376">
        <f t="shared" si="111"/>
        <v>1.2067460024189618</v>
      </c>
      <c r="V376" s="15">
        <f t="shared" si="105"/>
        <v>0</v>
      </c>
      <c r="W376" s="15">
        <f t="shared" si="106"/>
        <v>0</v>
      </c>
      <c r="X376" s="15">
        <f t="shared" si="107"/>
        <v>0</v>
      </c>
      <c r="Y376" s="15">
        <f t="shared" si="108"/>
        <v>0</v>
      </c>
      <c r="Z376" s="15">
        <f t="shared" si="109"/>
        <v>0</v>
      </c>
      <c r="AA376" s="15">
        <f t="shared" si="110"/>
        <v>0</v>
      </c>
      <c r="AC376" s="1"/>
      <c r="AD376" s="1"/>
      <c r="AE376" s="1"/>
    </row>
    <row r="377" spans="1:31">
      <c r="A377">
        <v>431</v>
      </c>
      <c r="B377">
        <f t="shared" si="90"/>
        <v>0.30151783411701727</v>
      </c>
      <c r="C377">
        <v>0.30184380476226746</v>
      </c>
      <c r="D377">
        <f t="shared" si="91"/>
        <v>3.3129717563280821</v>
      </c>
      <c r="E377" s="1">
        <f t="shared" si="92"/>
        <v>0.19393227645492569</v>
      </c>
      <c r="F377" s="1">
        <f t="shared" si="93"/>
        <v>0.22496144068771379</v>
      </c>
      <c r="G377" s="1">
        <f t="shared" si="94"/>
        <v>6.9815619523773256E-2</v>
      </c>
      <c r="H377" s="1">
        <f t="shared" si="95"/>
        <v>6.7651810021258918E-2</v>
      </c>
      <c r="I377" s="1">
        <f t="shared" si="96"/>
        <v>0.24862983272257944</v>
      </c>
      <c r="J377" s="1">
        <f t="shared" si="97"/>
        <v>0.26936234215478411</v>
      </c>
      <c r="K377" s="1">
        <f t="shared" si="98"/>
        <v>0.16563358651042989</v>
      </c>
      <c r="L377" s="1">
        <f t="shared" si="99"/>
        <v>0.16423890493488166</v>
      </c>
      <c r="M377" s="1">
        <f t="shared" si="100"/>
        <v>0.35802494525788636</v>
      </c>
      <c r="N377" s="1">
        <f t="shared" si="101"/>
        <v>0.35816414508892441</v>
      </c>
      <c r="O377" s="1">
        <f t="shared" si="102"/>
        <v>0.35726952048374294</v>
      </c>
      <c r="P377" s="1">
        <f t="shared" si="103"/>
        <v>0.35741309476212707</v>
      </c>
      <c r="Q377" s="1">
        <f t="shared" si="104"/>
        <v>5.4301037407379198</v>
      </c>
      <c r="T377">
        <v>0.81345457320351533</v>
      </c>
      <c r="U377">
        <f t="shared" si="111"/>
        <v>1.2293249468889684</v>
      </c>
      <c r="V377" s="15">
        <f t="shared" si="105"/>
        <v>0</v>
      </c>
      <c r="W377" s="15">
        <f t="shared" si="106"/>
        <v>0</v>
      </c>
      <c r="X377" s="15">
        <f t="shared" si="107"/>
        <v>0</v>
      </c>
      <c r="Y377" s="15">
        <f t="shared" si="108"/>
        <v>0</v>
      </c>
      <c r="Z377" s="15">
        <f t="shared" si="109"/>
        <v>0</v>
      </c>
      <c r="AA377" s="15">
        <f t="shared" si="110"/>
        <v>0</v>
      </c>
      <c r="AC377" s="1"/>
      <c r="AD377" s="1"/>
      <c r="AE377" s="1"/>
    </row>
    <row r="378" spans="1:31">
      <c r="A378">
        <v>728</v>
      </c>
      <c r="B378">
        <f t="shared" si="90"/>
        <v>0.30204814682972075</v>
      </c>
      <c r="C378">
        <v>0.30258010541584501</v>
      </c>
      <c r="D378">
        <f t="shared" si="91"/>
        <v>3.3049099464939036</v>
      </c>
      <c r="E378" s="1">
        <f t="shared" si="92"/>
        <v>0.1937277484955986</v>
      </c>
      <c r="F378" s="1">
        <f t="shared" si="93"/>
        <v>0.22472418825489437</v>
      </c>
      <c r="G378" s="1">
        <f t="shared" si="94"/>
        <v>6.9741989458415504E-2</v>
      </c>
      <c r="H378" s="1">
        <f t="shared" si="95"/>
        <v>6.7580461987288676E-2</v>
      </c>
      <c r="I378" s="1">
        <f t="shared" si="96"/>
        <v>0.24836761875157803</v>
      </c>
      <c r="J378" s="1">
        <f t="shared" si="97"/>
        <v>0.26907826293307036</v>
      </c>
      <c r="K378" s="1">
        <f t="shared" si="98"/>
        <v>0.16545890336812746</v>
      </c>
      <c r="L378" s="1">
        <f t="shared" si="99"/>
        <v>0.16406569267397028</v>
      </c>
      <c r="M378" s="1">
        <f t="shared" si="100"/>
        <v>0.35764735926353636</v>
      </c>
      <c r="N378" s="1">
        <f t="shared" si="101"/>
        <v>0.3577864122894221</v>
      </c>
      <c r="O378" s="1">
        <f t="shared" si="102"/>
        <v>0.35689273118755116</v>
      </c>
      <c r="P378" s="1">
        <f t="shared" si="103"/>
        <v>0.35703615404733341</v>
      </c>
      <c r="Q378" s="1">
        <f t="shared" si="104"/>
        <v>5.4243769578767616</v>
      </c>
      <c r="T378">
        <v>0.23654255093376908</v>
      </c>
      <c r="U378">
        <f t="shared" si="111"/>
        <v>4.2275691880907962</v>
      </c>
      <c r="V378" s="15">
        <f t="shared" si="105"/>
        <v>7.5113487754751726E-2</v>
      </c>
      <c r="W378" s="15">
        <f t="shared" si="106"/>
        <v>7.9530365211238879E-2</v>
      </c>
      <c r="X378" s="15">
        <f t="shared" si="107"/>
        <v>8.8364120124213255E-2</v>
      </c>
      <c r="Y378" s="15">
        <f t="shared" si="108"/>
        <v>0.10634279765088619</v>
      </c>
      <c r="Z378" s="15">
        <f t="shared" si="109"/>
        <v>0.11017401062715609</v>
      </c>
      <c r="AA378" s="15">
        <f t="shared" si="110"/>
        <v>0.117836436579696</v>
      </c>
      <c r="AC378" s="1"/>
      <c r="AD378" s="1"/>
      <c r="AE378" s="1"/>
    </row>
    <row r="379" spans="1:31">
      <c r="A379">
        <v>53</v>
      </c>
      <c r="B379">
        <f t="shared" si="90"/>
        <v>0.30237119163794385</v>
      </c>
      <c r="C379">
        <v>0.30301928494777708</v>
      </c>
      <c r="D379">
        <f t="shared" si="91"/>
        <v>3.3001199912815511</v>
      </c>
      <c r="E379" s="1">
        <f t="shared" si="92"/>
        <v>0.19360575418117304</v>
      </c>
      <c r="F379" s="1">
        <f t="shared" si="93"/>
        <v>0.2245826748501607</v>
      </c>
      <c r="G379" s="1">
        <f t="shared" si="94"/>
        <v>6.9698071505222295E-2</v>
      </c>
      <c r="H379" s="1">
        <f t="shared" si="95"/>
        <v>6.7537905192029735E-2</v>
      </c>
      <c r="I379" s="1">
        <f t="shared" si="96"/>
        <v>0.24821121659643813</v>
      </c>
      <c r="J379" s="1">
        <f t="shared" si="97"/>
        <v>0.26890881886288293</v>
      </c>
      <c r="K379" s="1">
        <f t="shared" si="98"/>
        <v>0.16535471052203934</v>
      </c>
      <c r="L379" s="1">
        <f t="shared" si="99"/>
        <v>0.16396237716107165</v>
      </c>
      <c r="M379" s="1">
        <f t="shared" si="100"/>
        <v>0.35742214142696782</v>
      </c>
      <c r="N379" s="1">
        <f t="shared" si="101"/>
        <v>0.3575611068883271</v>
      </c>
      <c r="O379" s="1">
        <f t="shared" si="102"/>
        <v>0.35666798855567322</v>
      </c>
      <c r="P379" s="1">
        <f t="shared" si="103"/>
        <v>0.35681132109915542</v>
      </c>
      <c r="Q379" s="1">
        <f t="shared" si="104"/>
        <v>5.4209611170728449</v>
      </c>
      <c r="T379">
        <v>0.85084508593774433</v>
      </c>
      <c r="U379">
        <f t="shared" si="111"/>
        <v>1.175302080869242</v>
      </c>
      <c r="V379" s="15">
        <f t="shared" si="105"/>
        <v>0</v>
      </c>
      <c r="W379" s="15">
        <f t="shared" si="106"/>
        <v>0</v>
      </c>
      <c r="X379" s="15">
        <f t="shared" si="107"/>
        <v>0</v>
      </c>
      <c r="Y379" s="15">
        <f t="shared" si="108"/>
        <v>0</v>
      </c>
      <c r="Z379" s="15">
        <f t="shared" si="109"/>
        <v>0</v>
      </c>
      <c r="AA379" s="15">
        <f t="shared" si="110"/>
        <v>0</v>
      </c>
      <c r="AC379" s="1"/>
      <c r="AD379" s="1"/>
      <c r="AE379" s="1"/>
    </row>
    <row r="380" spans="1:31">
      <c r="A380">
        <v>916</v>
      </c>
      <c r="B380">
        <f t="shared" si="90"/>
        <v>0.30292347706362599</v>
      </c>
      <c r="C380">
        <v>0.30408593395467276</v>
      </c>
      <c r="D380">
        <f t="shared" si="91"/>
        <v>3.2885440868470446</v>
      </c>
      <c r="E380" s="1">
        <f t="shared" si="92"/>
        <v>0.19330946279036867</v>
      </c>
      <c r="F380" s="1">
        <f t="shared" si="93"/>
        <v>0.22423897683682764</v>
      </c>
      <c r="G380" s="1">
        <f t="shared" si="94"/>
        <v>6.9591406604532724E-2</v>
      </c>
      <c r="H380" s="1">
        <f t="shared" si="95"/>
        <v>6.7434546178006663E-2</v>
      </c>
      <c r="I380" s="1">
        <f t="shared" si="96"/>
        <v>0.24783135781130211</v>
      </c>
      <c r="J380" s="1">
        <f t="shared" si="97"/>
        <v>0.26849728477249696</v>
      </c>
      <c r="K380" s="1">
        <f t="shared" si="98"/>
        <v>0.1651016541117904</v>
      </c>
      <c r="L380" s="1">
        <f t="shared" si="99"/>
        <v>0.16371145155726352</v>
      </c>
      <c r="M380" s="1">
        <f t="shared" si="100"/>
        <v>0.35687514785316854</v>
      </c>
      <c r="N380" s="1">
        <f t="shared" si="101"/>
        <v>0.35701390064383531</v>
      </c>
      <c r="O380" s="1">
        <f t="shared" si="102"/>
        <v>0.35612214912630552</v>
      </c>
      <c r="P380" s="1">
        <f t="shared" si="103"/>
        <v>0.35626526231577715</v>
      </c>
      <c r="Q380" s="1">
        <f t="shared" si="104"/>
        <v>5.412664958130323</v>
      </c>
      <c r="T380">
        <v>0.25742478163815252</v>
      </c>
      <c r="U380">
        <f t="shared" si="111"/>
        <v>3.8846298854227777</v>
      </c>
      <c r="V380" s="15">
        <f t="shared" si="105"/>
        <v>7.3747402269023737E-2</v>
      </c>
      <c r="W380" s="15">
        <f t="shared" si="106"/>
        <v>7.8218716969418248E-2</v>
      </c>
      <c r="X380" s="15">
        <f t="shared" si="107"/>
        <v>8.7161346370207324E-2</v>
      </c>
      <c r="Y380" s="15">
        <f t="shared" si="108"/>
        <v>0.10432093354696585</v>
      </c>
      <c r="Z380" s="15">
        <f t="shared" si="109"/>
        <v>0.10820653868097323</v>
      </c>
      <c r="AA380" s="15">
        <f t="shared" si="110"/>
        <v>0.11597774894898809</v>
      </c>
      <c r="AC380" s="1"/>
      <c r="AD380" s="1"/>
      <c r="AE380" s="1"/>
    </row>
    <row r="381" spans="1:31">
      <c r="A381">
        <v>466</v>
      </c>
      <c r="B381">
        <f t="shared" si="90"/>
        <v>0.30668741400195698</v>
      </c>
      <c r="C381">
        <v>0.3066100447190061</v>
      </c>
      <c r="D381">
        <f t="shared" si="91"/>
        <v>3.2614717528789825</v>
      </c>
      <c r="E381" s="1">
        <f t="shared" si="92"/>
        <v>0.19260832091138719</v>
      </c>
      <c r="F381" s="1">
        <f t="shared" si="93"/>
        <v>0.22342565225720912</v>
      </c>
      <c r="G381" s="1">
        <f t="shared" si="94"/>
        <v>6.9338995528099384E-2</v>
      </c>
      <c r="H381" s="1">
        <f t="shared" si="95"/>
        <v>6.718995812870468E-2</v>
      </c>
      <c r="I381" s="1">
        <f t="shared" si="96"/>
        <v>0.246932462633704</v>
      </c>
      <c r="J381" s="1">
        <f t="shared" si="97"/>
        <v>0.26752343337366002</v>
      </c>
      <c r="K381" s="1">
        <f t="shared" si="98"/>
        <v>0.16450282318899992</v>
      </c>
      <c r="L381" s="1">
        <f t="shared" si="99"/>
        <v>0.16311766295996072</v>
      </c>
      <c r="M381" s="1">
        <f t="shared" si="100"/>
        <v>0.35558074607833712</v>
      </c>
      <c r="N381" s="1">
        <f t="shared" si="101"/>
        <v>0.35571899560656156</v>
      </c>
      <c r="O381" s="1">
        <f t="shared" si="102"/>
        <v>0.35483047851080068</v>
      </c>
      <c r="P381" s="1">
        <f t="shared" si="103"/>
        <v>0.3549730726224728</v>
      </c>
      <c r="Q381" s="1">
        <f t="shared" si="104"/>
        <v>5.3930329855188415</v>
      </c>
      <c r="T381">
        <v>0.51127551908286339</v>
      </c>
      <c r="U381">
        <f t="shared" si="111"/>
        <v>1.9558925915205576</v>
      </c>
      <c r="V381" s="15">
        <f t="shared" si="105"/>
        <v>0</v>
      </c>
      <c r="W381" s="15">
        <f t="shared" si="106"/>
        <v>0</v>
      </c>
      <c r="X381" s="15">
        <f t="shared" si="107"/>
        <v>0</v>
      </c>
      <c r="Y381" s="15">
        <f t="shared" si="108"/>
        <v>0</v>
      </c>
      <c r="Z381" s="15">
        <f t="shared" si="109"/>
        <v>0</v>
      </c>
      <c r="AA381" s="15">
        <f t="shared" si="110"/>
        <v>0</v>
      </c>
      <c r="AC381" s="1"/>
      <c r="AD381" s="1"/>
      <c r="AE381" s="1"/>
    </row>
    <row r="382" spans="1:31">
      <c r="A382">
        <v>357</v>
      </c>
      <c r="B382">
        <f t="shared" si="90"/>
        <v>0.30675236296437453</v>
      </c>
      <c r="C382">
        <v>0.30686502310317609</v>
      </c>
      <c r="D382">
        <f t="shared" si="91"/>
        <v>3.2587617509727518</v>
      </c>
      <c r="E382" s="1">
        <f t="shared" si="92"/>
        <v>0.19253749358245109</v>
      </c>
      <c r="F382" s="1">
        <f t="shared" si="93"/>
        <v>0.22334349255564323</v>
      </c>
      <c r="G382" s="1">
        <f t="shared" si="94"/>
        <v>6.9313497689682396E-2</v>
      </c>
      <c r="H382" s="1">
        <f t="shared" si="95"/>
        <v>6.7165250549909183E-2</v>
      </c>
      <c r="I382" s="1">
        <f t="shared" si="96"/>
        <v>0.2468416588373093</v>
      </c>
      <c r="J382" s="1">
        <f t="shared" si="97"/>
        <v>0.26742505771613906</v>
      </c>
      <c r="K382" s="1">
        <f t="shared" si="98"/>
        <v>0.16444233101756206</v>
      </c>
      <c r="L382" s="1">
        <f t="shared" si="99"/>
        <v>0.16305768014969019</v>
      </c>
      <c r="M382" s="1">
        <f t="shared" si="100"/>
        <v>0.35544998934702526</v>
      </c>
      <c r="N382" s="1">
        <f t="shared" si="101"/>
        <v>0.35558818803713033</v>
      </c>
      <c r="O382" s="1">
        <f t="shared" si="102"/>
        <v>0.35469999767332117</v>
      </c>
      <c r="P382" s="1">
        <f t="shared" si="103"/>
        <v>0.35484253934925214</v>
      </c>
      <c r="Q382" s="1">
        <f t="shared" si="104"/>
        <v>5.3910498203086306</v>
      </c>
      <c r="T382">
        <v>0.42687793083640968</v>
      </c>
      <c r="U382">
        <f t="shared" si="111"/>
        <v>2.3425900655970548</v>
      </c>
      <c r="V382" s="15">
        <f t="shared" si="105"/>
        <v>6.2662021070642115E-2</v>
      </c>
      <c r="W382" s="15">
        <f t="shared" si="106"/>
        <v>6.757507796536262E-2</v>
      </c>
      <c r="X382" s="15">
        <f t="shared" si="107"/>
        <v>7.7401191754803506E-2</v>
      </c>
      <c r="Y382" s="15">
        <f t="shared" si="108"/>
        <v>8.7914102087705226E-2</v>
      </c>
      <c r="Z382" s="15">
        <f t="shared" si="109"/>
        <v>9.2241083555054726E-2</v>
      </c>
      <c r="AA382" s="15">
        <f t="shared" si="110"/>
        <v>0.10089504648975368</v>
      </c>
      <c r="AC382" s="1"/>
      <c r="AD382" s="1"/>
      <c r="AE382" s="1"/>
    </row>
    <row r="383" spans="1:31">
      <c r="A383">
        <v>172</v>
      </c>
      <c r="B383">
        <f t="shared" si="90"/>
        <v>0.30681820231588675</v>
      </c>
      <c r="C383">
        <v>0.30712349700081065</v>
      </c>
      <c r="D383">
        <f t="shared" si="91"/>
        <v>3.2560191902131166</v>
      </c>
      <c r="E383" s="1">
        <f t="shared" si="92"/>
        <v>0.19246569527755258</v>
      </c>
      <c r="F383" s="1">
        <f t="shared" si="93"/>
        <v>0.22326020652196099</v>
      </c>
      <c r="G383" s="1">
        <f t="shared" si="94"/>
        <v>6.9287650299918929E-2</v>
      </c>
      <c r="H383" s="1">
        <f t="shared" si="95"/>
        <v>6.7140204253482244E-2</v>
      </c>
      <c r="I383" s="1">
        <f t="shared" si="96"/>
        <v>0.24674961020640063</v>
      </c>
      <c r="J383" s="1">
        <f t="shared" si="97"/>
        <v>0.26732533342102049</v>
      </c>
      <c r="K383" s="1">
        <f t="shared" si="98"/>
        <v>0.16438100955543572</v>
      </c>
      <c r="L383" s="1">
        <f t="shared" si="99"/>
        <v>0.16299687503159296</v>
      </c>
      <c r="M383" s="1">
        <f t="shared" si="100"/>
        <v>0.35531744006409627</v>
      </c>
      <c r="N383" s="1">
        <f t="shared" si="101"/>
        <v>0.35545558721913922</v>
      </c>
      <c r="O383" s="1">
        <f t="shared" si="102"/>
        <v>0.35456772806646908</v>
      </c>
      <c r="P383" s="1">
        <f t="shared" si="103"/>
        <v>0.35471021658781432</v>
      </c>
      <c r="Q383" s="1">
        <f t="shared" si="104"/>
        <v>5.3890394677714735</v>
      </c>
      <c r="T383">
        <v>0.88344339685193873</v>
      </c>
      <c r="U383">
        <f t="shared" si="111"/>
        <v>1.1319344324304181</v>
      </c>
      <c r="V383" s="15">
        <f t="shared" si="105"/>
        <v>0</v>
      </c>
      <c r="W383" s="15">
        <f t="shared" si="106"/>
        <v>0</v>
      </c>
      <c r="X383" s="15">
        <f t="shared" si="107"/>
        <v>0</v>
      </c>
      <c r="Y383" s="15">
        <f t="shared" si="108"/>
        <v>0</v>
      </c>
      <c r="Z383" s="15">
        <f t="shared" si="109"/>
        <v>0</v>
      </c>
      <c r="AA383" s="15">
        <f t="shared" si="110"/>
        <v>0</v>
      </c>
      <c r="AC383" s="1"/>
      <c r="AD383" s="1"/>
      <c r="AE383" s="1"/>
    </row>
    <row r="384" spans="1:31">
      <c r="A384">
        <v>758</v>
      </c>
      <c r="B384">
        <f t="shared" si="90"/>
        <v>0.30690504122291151</v>
      </c>
      <c r="C384">
        <v>0.30746228689433697</v>
      </c>
      <c r="D384">
        <f t="shared" si="91"/>
        <v>3.2524314123236251</v>
      </c>
      <c r="E384" s="1">
        <f t="shared" si="92"/>
        <v>0.19237158697379528</v>
      </c>
      <c r="F384" s="1">
        <f t="shared" si="93"/>
        <v>0.22315104088960253</v>
      </c>
      <c r="G384" s="1">
        <f t="shared" si="94"/>
        <v>6.9253771310566301E-2</v>
      </c>
      <c r="H384" s="1">
        <f t="shared" si="95"/>
        <v>6.7107375282443524E-2</v>
      </c>
      <c r="I384" s="1">
        <f t="shared" si="96"/>
        <v>0.24662895916136213</v>
      </c>
      <c r="J384" s="1">
        <f t="shared" si="97"/>
        <v>0.26719462164070384</v>
      </c>
      <c r="K384" s="1">
        <f t="shared" si="98"/>
        <v>0.16430063358008662</v>
      </c>
      <c r="L384" s="1">
        <f t="shared" si="99"/>
        <v>0.16291717584465554</v>
      </c>
      <c r="M384" s="1">
        <f t="shared" si="100"/>
        <v>0.35514370353649527</v>
      </c>
      <c r="N384" s="1">
        <f t="shared" si="101"/>
        <v>0.35528178314290626</v>
      </c>
      <c r="O384" s="1">
        <f t="shared" si="102"/>
        <v>0.35439435811912701</v>
      </c>
      <c r="P384" s="1">
        <f t="shared" si="103"/>
        <v>0.35453677696907948</v>
      </c>
      <c r="Q384" s="1">
        <f t="shared" si="104"/>
        <v>5.3864044352662681</v>
      </c>
      <c r="T384">
        <v>1.4981272102709386E-2</v>
      </c>
      <c r="U384">
        <f t="shared" si="111"/>
        <v>66.750005816872417</v>
      </c>
      <c r="V384" s="15">
        <f t="shared" si="105"/>
        <v>0.10304197639427203</v>
      </c>
      <c r="W384" s="15">
        <f t="shared" si="106"/>
        <v>0.1057753682453844</v>
      </c>
      <c r="X384" s="15">
        <f t="shared" si="107"/>
        <v>0.11124215194760896</v>
      </c>
      <c r="Y384" s="15">
        <f t="shared" si="108"/>
        <v>0.14763297309330198</v>
      </c>
      <c r="Z384" s="15">
        <f t="shared" si="109"/>
        <v>0.14970192057754048</v>
      </c>
      <c r="AA384" s="15">
        <f t="shared" si="110"/>
        <v>0.15383981554601778</v>
      </c>
      <c r="AC384" s="1"/>
      <c r="AD384" s="1"/>
      <c r="AE384" s="1"/>
    </row>
    <row r="385" spans="1:31">
      <c r="A385">
        <v>428</v>
      </c>
      <c r="B385">
        <f t="shared" si="90"/>
        <v>0.30738094310364872</v>
      </c>
      <c r="C385">
        <v>0.30906896797251016</v>
      </c>
      <c r="D385">
        <f t="shared" si="91"/>
        <v>3.2355237944462418</v>
      </c>
      <c r="E385" s="1">
        <f t="shared" si="92"/>
        <v>0.19192528667430273</v>
      </c>
      <c r="F385" s="1">
        <f t="shared" si="93"/>
        <v>0.22263333254219114</v>
      </c>
      <c r="G385" s="1">
        <f t="shared" si="94"/>
        <v>6.9093103202748987E-2</v>
      </c>
      <c r="H385" s="1">
        <f t="shared" si="95"/>
        <v>6.6951686793525492E-2</v>
      </c>
      <c r="I385" s="1">
        <f t="shared" si="96"/>
        <v>0.2460567822610788</v>
      </c>
      <c r="J385" s="1">
        <f t="shared" si="97"/>
        <v>0.26657473259400544</v>
      </c>
      <c r="K385" s="1">
        <f t="shared" si="98"/>
        <v>0.16391945763239535</v>
      </c>
      <c r="L385" s="1">
        <f t="shared" si="99"/>
        <v>0.16253920950609299</v>
      </c>
      <c r="M385" s="1">
        <f t="shared" si="100"/>
        <v>0.35431977343463039</v>
      </c>
      <c r="N385" s="1">
        <f t="shared" si="101"/>
        <v>0.35445753269763375</v>
      </c>
      <c r="O385" s="1">
        <f t="shared" si="102"/>
        <v>0.35357216649168788</v>
      </c>
      <c r="P385" s="1">
        <f t="shared" si="103"/>
        <v>0.35371425493122793</v>
      </c>
      <c r="Q385" s="1">
        <f t="shared" si="104"/>
        <v>5.3739080268804766</v>
      </c>
      <c r="T385">
        <v>0.80064219528987068</v>
      </c>
      <c r="U385">
        <f t="shared" si="111"/>
        <v>1.2489973747111245</v>
      </c>
      <c r="V385" s="15">
        <f t="shared" si="105"/>
        <v>0</v>
      </c>
      <c r="W385" s="15">
        <f t="shared" si="106"/>
        <v>0</v>
      </c>
      <c r="X385" s="15">
        <f t="shared" si="107"/>
        <v>0</v>
      </c>
      <c r="Y385" s="15">
        <f t="shared" si="108"/>
        <v>0</v>
      </c>
      <c r="Z385" s="15">
        <f t="shared" si="109"/>
        <v>0</v>
      </c>
      <c r="AA385" s="15">
        <f t="shared" si="110"/>
        <v>0</v>
      </c>
      <c r="AC385" s="1"/>
      <c r="AD385" s="1"/>
      <c r="AE385" s="1"/>
    </row>
    <row r="386" spans="1:31">
      <c r="A386">
        <v>580</v>
      </c>
      <c r="B386">
        <f t="shared" si="90"/>
        <v>0.3092634561603107</v>
      </c>
      <c r="C386">
        <v>0.31045116101934611</v>
      </c>
      <c r="D386">
        <f t="shared" si="91"/>
        <v>3.2211185705235095</v>
      </c>
      <c r="E386" s="1">
        <f t="shared" si="92"/>
        <v>0.19154134416129276</v>
      </c>
      <c r="F386" s="1">
        <f t="shared" si="93"/>
        <v>0.22218795922709958</v>
      </c>
      <c r="G386" s="1">
        <f t="shared" si="94"/>
        <v>6.8954883898065394E-2</v>
      </c>
      <c r="H386" s="1">
        <f t="shared" si="95"/>
        <v>6.6817751347481913E-2</v>
      </c>
      <c r="I386" s="1">
        <f t="shared" si="96"/>
        <v>0.24556455082580789</v>
      </c>
      <c r="J386" s="1">
        <f t="shared" si="97"/>
        <v>0.26604145542917412</v>
      </c>
      <c r="K386" s="1">
        <f t="shared" si="98"/>
        <v>0.16359154019334826</v>
      </c>
      <c r="L386" s="1">
        <f t="shared" si="99"/>
        <v>0.16221405322449095</v>
      </c>
      <c r="M386" s="1">
        <f t="shared" si="100"/>
        <v>0.35361096415483773</v>
      </c>
      <c r="N386" s="1">
        <f t="shared" si="101"/>
        <v>0.35374844783332299</v>
      </c>
      <c r="O386" s="1">
        <f t="shared" si="102"/>
        <v>0.35286485278391377</v>
      </c>
      <c r="P386" s="1">
        <f t="shared" si="103"/>
        <v>0.35300665697850891</v>
      </c>
      <c r="Q386" s="1">
        <f t="shared" si="104"/>
        <v>5.3631576365161973</v>
      </c>
      <c r="T386">
        <v>0.70200089603091165</v>
      </c>
      <c r="U386">
        <f t="shared" si="111"/>
        <v>1.424499606273959</v>
      </c>
      <c r="V386" s="15">
        <f t="shared" si="105"/>
        <v>0</v>
      </c>
      <c r="W386" s="15">
        <f t="shared" si="106"/>
        <v>0</v>
      </c>
      <c r="X386" s="15">
        <f t="shared" si="107"/>
        <v>0</v>
      </c>
      <c r="Y386" s="15">
        <f t="shared" si="108"/>
        <v>0</v>
      </c>
      <c r="Z386" s="15">
        <f t="shared" si="109"/>
        <v>0</v>
      </c>
      <c r="AA386" s="15">
        <f t="shared" si="110"/>
        <v>0</v>
      </c>
      <c r="AC386" s="1"/>
      <c r="AD386" s="1"/>
      <c r="AE386" s="1"/>
    </row>
    <row r="387" spans="1:31">
      <c r="A387">
        <v>576</v>
      </c>
      <c r="B387">
        <f t="shared" si="90"/>
        <v>0.31056668113082964</v>
      </c>
      <c r="C387">
        <v>0.3114295065169097</v>
      </c>
      <c r="D387">
        <f t="shared" si="91"/>
        <v>3.2109995330378336</v>
      </c>
      <c r="E387" s="1">
        <f t="shared" si="92"/>
        <v>0.19126958152308063</v>
      </c>
      <c r="F387" s="1">
        <f t="shared" si="93"/>
        <v>0.22187271456677354</v>
      </c>
      <c r="G387" s="1">
        <f t="shared" si="94"/>
        <v>6.8857049348309024E-2</v>
      </c>
      <c r="H387" s="1">
        <f t="shared" si="95"/>
        <v>6.6722949003554008E-2</v>
      </c>
      <c r="I387" s="1">
        <f t="shared" si="96"/>
        <v>0.24521613899610079</v>
      </c>
      <c r="J387" s="1">
        <f t="shared" si="97"/>
        <v>0.26566399056320589</v>
      </c>
      <c r="K387" s="1">
        <f t="shared" si="98"/>
        <v>0.16335943328845631</v>
      </c>
      <c r="L387" s="1">
        <f t="shared" si="99"/>
        <v>0.16198390072528823</v>
      </c>
      <c r="M387" s="1">
        <f t="shared" si="100"/>
        <v>0.3531092539421406</v>
      </c>
      <c r="N387" s="1">
        <f t="shared" si="101"/>
        <v>0.35324654255607035</v>
      </c>
      <c r="O387" s="1">
        <f t="shared" si="102"/>
        <v>0.35236420116875056</v>
      </c>
      <c r="P387" s="1">
        <f t="shared" si="103"/>
        <v>0.3525058041687566</v>
      </c>
      <c r="Q387" s="1">
        <f t="shared" si="104"/>
        <v>5.3555482826462582</v>
      </c>
      <c r="T387">
        <v>0.37902689560403569</v>
      </c>
      <c r="U387">
        <f t="shared" si="111"/>
        <v>2.6383351988949264</v>
      </c>
      <c r="V387" s="15">
        <f t="shared" si="105"/>
        <v>6.5792366943809938E-2</v>
      </c>
      <c r="W387" s="15">
        <f t="shared" si="106"/>
        <v>7.0580682448923168E-2</v>
      </c>
      <c r="X387" s="15">
        <f t="shared" si="107"/>
        <v>8.015731345914956E-2</v>
      </c>
      <c r="Y387" s="15">
        <f t="shared" si="108"/>
        <v>9.2547145934474745E-2</v>
      </c>
      <c r="Z387" s="15">
        <f t="shared" si="109"/>
        <v>9.6749489325887505E-2</v>
      </c>
      <c r="AA387" s="15">
        <f t="shared" si="110"/>
        <v>0.10515417610871305</v>
      </c>
      <c r="AC387" s="1"/>
      <c r="AD387" s="1"/>
      <c r="AE387" s="1"/>
    </row>
    <row r="388" spans="1:31">
      <c r="A388">
        <v>124</v>
      </c>
      <c r="B388">
        <f t="shared" si="90"/>
        <v>0.31323167139333624</v>
      </c>
      <c r="C388">
        <v>0.3132847005460625</v>
      </c>
      <c r="D388">
        <f t="shared" si="91"/>
        <v>3.1919847929278919</v>
      </c>
      <c r="E388" s="1">
        <f t="shared" si="92"/>
        <v>0.19075424984831596</v>
      </c>
      <c r="F388" s="1">
        <f t="shared" si="93"/>
        <v>0.22127492982404651</v>
      </c>
      <c r="G388" s="1">
        <f t="shared" si="94"/>
        <v>6.8671529945393744E-2</v>
      </c>
      <c r="H388" s="1">
        <f t="shared" si="95"/>
        <v>6.6543179440712724E-2</v>
      </c>
      <c r="I388" s="1">
        <f t="shared" si="96"/>
        <v>0.24455546079216517</v>
      </c>
      <c r="J388" s="1">
        <f t="shared" si="97"/>
        <v>0.26494822034981691</v>
      </c>
      <c r="K388" s="1">
        <f t="shared" si="98"/>
        <v>0.16291929905657904</v>
      </c>
      <c r="L388" s="1">
        <f t="shared" si="99"/>
        <v>0.16154747254794313</v>
      </c>
      <c r="M388" s="1">
        <f t="shared" si="100"/>
        <v>0.35215788267986309</v>
      </c>
      <c r="N388" s="1">
        <f t="shared" si="101"/>
        <v>0.35229480140135733</v>
      </c>
      <c r="O388" s="1">
        <f t="shared" si="102"/>
        <v>0.35141483727894934</v>
      </c>
      <c r="P388" s="1">
        <f t="shared" si="103"/>
        <v>0.35155605876240387</v>
      </c>
      <c r="Q388" s="1">
        <f t="shared" si="104"/>
        <v>5.3411189957528471</v>
      </c>
      <c r="T388">
        <v>0.79119832590090378</v>
      </c>
      <c r="U388">
        <f t="shared" si="111"/>
        <v>1.2639056065511043</v>
      </c>
      <c r="V388" s="15">
        <f t="shared" si="105"/>
        <v>0</v>
      </c>
      <c r="W388" s="15">
        <f t="shared" si="106"/>
        <v>0</v>
      </c>
      <c r="X388" s="15">
        <f t="shared" si="107"/>
        <v>0</v>
      </c>
      <c r="Y388" s="15">
        <f t="shared" si="108"/>
        <v>0</v>
      </c>
      <c r="Z388" s="15">
        <f t="shared" si="109"/>
        <v>0</v>
      </c>
      <c r="AA388" s="15">
        <f t="shared" si="110"/>
        <v>0</v>
      </c>
      <c r="AC388" s="1"/>
      <c r="AD388" s="1"/>
      <c r="AE388" s="1"/>
    </row>
    <row r="389" spans="1:31">
      <c r="A389">
        <v>117</v>
      </c>
      <c r="B389">
        <f t="shared" si="90"/>
        <v>0.3158524404742063</v>
      </c>
      <c r="C389">
        <v>0.31497838253856181</v>
      </c>
      <c r="D389">
        <f t="shared" si="91"/>
        <v>3.1748210526085012</v>
      </c>
      <c r="E389" s="1">
        <f t="shared" si="92"/>
        <v>0.19028378262817727</v>
      </c>
      <c r="F389" s="1">
        <f t="shared" si="93"/>
        <v>0.22072918784868562</v>
      </c>
      <c r="G389" s="1">
        <f t="shared" si="94"/>
        <v>6.8502161746143819E-2</v>
      </c>
      <c r="H389" s="1">
        <f t="shared" si="95"/>
        <v>6.6379060504041298E-2</v>
      </c>
      <c r="I389" s="1">
        <f t="shared" si="96"/>
        <v>0.24395230082115474</v>
      </c>
      <c r="J389" s="1">
        <f t="shared" si="97"/>
        <v>0.26429476464538149</v>
      </c>
      <c r="K389" s="1">
        <f t="shared" si="98"/>
        <v>0.16251748263678739</v>
      </c>
      <c r="L389" s="1">
        <f t="shared" si="99"/>
        <v>0.16114903953588444</v>
      </c>
      <c r="M389" s="1">
        <f t="shared" si="100"/>
        <v>0.3512893372071092</v>
      </c>
      <c r="N389" s="1">
        <f t="shared" si="101"/>
        <v>0.35142591823877301</v>
      </c>
      <c r="O389" s="1">
        <f t="shared" si="102"/>
        <v>0.35054812441807426</v>
      </c>
      <c r="P389" s="1">
        <f t="shared" si="103"/>
        <v>0.35068899759957062</v>
      </c>
      <c r="Q389" s="1">
        <f t="shared" si="104"/>
        <v>5.3279459135889642</v>
      </c>
      <c r="T389">
        <v>0.97054421685747838</v>
      </c>
      <c r="U389">
        <f t="shared" si="111"/>
        <v>1.0303497590639368</v>
      </c>
      <c r="V389" s="15">
        <f t="shared" si="105"/>
        <v>0</v>
      </c>
      <c r="W389" s="15">
        <f t="shared" si="106"/>
        <v>0</v>
      </c>
      <c r="X389" s="15">
        <f t="shared" si="107"/>
        <v>0</v>
      </c>
      <c r="Y389" s="15">
        <f t="shared" si="108"/>
        <v>0</v>
      </c>
      <c r="Z389" s="15">
        <f t="shared" si="109"/>
        <v>0</v>
      </c>
      <c r="AA389" s="15">
        <f t="shared" si="110"/>
        <v>0</v>
      </c>
      <c r="AC389" s="1"/>
      <c r="AD389" s="1"/>
      <c r="AE389" s="1"/>
    </row>
    <row r="390" spans="1:31">
      <c r="A390">
        <v>608</v>
      </c>
      <c r="B390">
        <f t="shared" si="90"/>
        <v>0.31728634481316881</v>
      </c>
      <c r="C390">
        <v>0.31629591714805838</v>
      </c>
      <c r="D390">
        <f t="shared" si="91"/>
        <v>3.1615962956989394</v>
      </c>
      <c r="E390" s="1">
        <f t="shared" si="92"/>
        <v>0.18991780079220599</v>
      </c>
      <c r="F390" s="1">
        <f t="shared" si="93"/>
        <v>0.22030464891895896</v>
      </c>
      <c r="G390" s="1">
        <f t="shared" si="94"/>
        <v>6.8370408285194167E-2</v>
      </c>
      <c r="H390" s="1">
        <f t="shared" si="95"/>
        <v>6.6251390504539626E-2</v>
      </c>
      <c r="I390" s="1">
        <f t="shared" si="96"/>
        <v>0.24348309577535004</v>
      </c>
      <c r="J390" s="1">
        <f t="shared" si="97"/>
        <v>0.26378643397281171</v>
      </c>
      <c r="K390" s="1">
        <f t="shared" si="98"/>
        <v>0.16220490504424989</v>
      </c>
      <c r="L390" s="1">
        <f t="shared" si="99"/>
        <v>0.16083909393495219</v>
      </c>
      <c r="M390" s="1">
        <f t="shared" si="100"/>
        <v>0.3506136857416377</v>
      </c>
      <c r="N390" s="1">
        <f t="shared" si="101"/>
        <v>0.35075000408051688</v>
      </c>
      <c r="O390" s="1">
        <f t="shared" si="102"/>
        <v>0.34987389856236112</v>
      </c>
      <c r="P390" s="1">
        <f t="shared" si="103"/>
        <v>0.35001450079577728</v>
      </c>
      <c r="Q390" s="1">
        <f t="shared" si="104"/>
        <v>5.3176984221817687</v>
      </c>
      <c r="T390">
        <v>0.81585977807296606</v>
      </c>
      <c r="U390">
        <f t="shared" si="111"/>
        <v>1.2257008212391192</v>
      </c>
      <c r="V390" s="15">
        <f t="shared" si="105"/>
        <v>0</v>
      </c>
      <c r="W390" s="15">
        <f t="shared" si="106"/>
        <v>0</v>
      </c>
      <c r="X390" s="15">
        <f t="shared" si="107"/>
        <v>0</v>
      </c>
      <c r="Y390" s="15">
        <f t="shared" si="108"/>
        <v>0</v>
      </c>
      <c r="Z390" s="15">
        <f t="shared" si="109"/>
        <v>0</v>
      </c>
      <c r="AA390" s="15">
        <f t="shared" si="110"/>
        <v>0</v>
      </c>
      <c r="AC390" s="1"/>
      <c r="AD390" s="1"/>
      <c r="AE390" s="1"/>
    </row>
    <row r="391" spans="1:31">
      <c r="A391">
        <v>963</v>
      </c>
      <c r="B391">
        <f t="shared" si="90"/>
        <v>0.31769282864029136</v>
      </c>
      <c r="C391">
        <v>0.31730694838529494</v>
      </c>
      <c r="D391">
        <f t="shared" si="91"/>
        <v>3.1515225402052471</v>
      </c>
      <c r="E391" s="1">
        <f t="shared" si="92"/>
        <v>0.18963695878186251</v>
      </c>
      <c r="F391" s="1">
        <f t="shared" si="93"/>
        <v>0.21997887218696049</v>
      </c>
      <c r="G391" s="1">
        <f t="shared" si="94"/>
        <v>6.8269305161470506E-2</v>
      </c>
      <c r="H391" s="1">
        <f t="shared" si="95"/>
        <v>6.615342089021313E-2</v>
      </c>
      <c r="I391" s="1">
        <f t="shared" si="96"/>
        <v>0.24312304378539984</v>
      </c>
      <c r="J391" s="1">
        <f t="shared" si="97"/>
        <v>0.26339635830792274</v>
      </c>
      <c r="K391" s="1">
        <f t="shared" si="98"/>
        <v>0.16196504363352282</v>
      </c>
      <c r="L391" s="1">
        <f t="shared" si="99"/>
        <v>0.16060125222504351</v>
      </c>
      <c r="M391" s="1">
        <f t="shared" si="100"/>
        <v>0.35009521379247399</v>
      </c>
      <c r="N391" s="1">
        <f t="shared" si="101"/>
        <v>0.35023133054984695</v>
      </c>
      <c r="O391" s="1">
        <f t="shared" si="102"/>
        <v>0.34935652057762723</v>
      </c>
      <c r="P391" s="1">
        <f t="shared" si="103"/>
        <v>0.34949691489470414</v>
      </c>
      <c r="Q391" s="1">
        <f t="shared" si="104"/>
        <v>5.3098348458921505</v>
      </c>
      <c r="T391">
        <v>0.5046851505384865</v>
      </c>
      <c r="U391">
        <f t="shared" si="111"/>
        <v>1.9814333727335247</v>
      </c>
      <c r="V391" s="15">
        <f t="shared" si="105"/>
        <v>0</v>
      </c>
      <c r="W391" s="15">
        <f t="shared" si="106"/>
        <v>0</v>
      </c>
      <c r="X391" s="15">
        <f t="shared" si="107"/>
        <v>0</v>
      </c>
      <c r="Y391" s="15">
        <f t="shared" si="108"/>
        <v>0</v>
      </c>
      <c r="Z391" s="15">
        <f t="shared" si="109"/>
        <v>0</v>
      </c>
      <c r="AA391" s="15">
        <f t="shared" si="110"/>
        <v>0</v>
      </c>
      <c r="AC391" s="1"/>
      <c r="AD391" s="1"/>
      <c r="AE391" s="1"/>
    </row>
    <row r="392" spans="1:31">
      <c r="A392">
        <v>595</v>
      </c>
      <c r="B392">
        <f t="shared" si="90"/>
        <v>0.317820302531164</v>
      </c>
      <c r="C392">
        <v>0.31769686764352789</v>
      </c>
      <c r="D392">
        <f t="shared" si="91"/>
        <v>3.147654578458265</v>
      </c>
      <c r="E392" s="1">
        <f t="shared" si="92"/>
        <v>0.1895286478767978</v>
      </c>
      <c r="F392" s="1">
        <f t="shared" si="93"/>
        <v>0.21985323153708544</v>
      </c>
      <c r="G392" s="1">
        <f t="shared" si="94"/>
        <v>6.8230313235647211E-2</v>
      </c>
      <c r="H392" s="1">
        <f t="shared" si="95"/>
        <v>6.6115637448969561E-2</v>
      </c>
      <c r="I392" s="1">
        <f t="shared" si="96"/>
        <v>0.24298418437168831</v>
      </c>
      <c r="J392" s="1">
        <f t="shared" si="97"/>
        <v>0.2632459198167007</v>
      </c>
      <c r="K392" s="1">
        <f t="shared" si="98"/>
        <v>0.16187253750719874</v>
      </c>
      <c r="L392" s="1">
        <f t="shared" si="99"/>
        <v>0.16050952502642801</v>
      </c>
      <c r="M392" s="1">
        <f t="shared" si="100"/>
        <v>0.34989525736146887</v>
      </c>
      <c r="N392" s="1">
        <f t="shared" si="101"/>
        <v>0.35003129637593094</v>
      </c>
      <c r="O392" s="1">
        <f t="shared" si="102"/>
        <v>0.34915698605030154</v>
      </c>
      <c r="P392" s="1">
        <f t="shared" si="103"/>
        <v>0.34929730018134486</v>
      </c>
      <c r="Q392" s="1">
        <f t="shared" si="104"/>
        <v>5.3068021405503387</v>
      </c>
      <c r="T392">
        <v>0.91097405056871184</v>
      </c>
      <c r="U392">
        <f t="shared" si="111"/>
        <v>1.0977261090760051</v>
      </c>
      <c r="V392" s="15">
        <f t="shared" si="105"/>
        <v>0</v>
      </c>
      <c r="W392" s="15">
        <f t="shared" si="106"/>
        <v>0</v>
      </c>
      <c r="X392" s="15">
        <f t="shared" si="107"/>
        <v>0</v>
      </c>
      <c r="Y392" s="15">
        <f t="shared" si="108"/>
        <v>0</v>
      </c>
      <c r="Z392" s="15">
        <f t="shared" si="109"/>
        <v>0</v>
      </c>
      <c r="AA392" s="15">
        <f t="shared" si="110"/>
        <v>0</v>
      </c>
      <c r="AC392" s="1"/>
      <c r="AD392" s="1"/>
      <c r="AE392" s="1"/>
    </row>
    <row r="393" spans="1:31">
      <c r="A393">
        <v>979</v>
      </c>
      <c r="B393">
        <f t="shared" si="90"/>
        <v>0.31792617221735914</v>
      </c>
      <c r="C393">
        <v>0.31802240667629811</v>
      </c>
      <c r="D393">
        <f t="shared" si="91"/>
        <v>3.1444325274157765</v>
      </c>
      <c r="E393" s="1">
        <f t="shared" si="92"/>
        <v>0.18943822036769498</v>
      </c>
      <c r="F393" s="1">
        <f t="shared" si="93"/>
        <v>0.21974833562652615</v>
      </c>
      <c r="G393" s="1">
        <f t="shared" si="94"/>
        <v>6.8197759332370184E-2</v>
      </c>
      <c r="H393" s="1">
        <f t="shared" si="95"/>
        <v>6.6084092495347857E-2</v>
      </c>
      <c r="I393" s="1">
        <f t="shared" si="96"/>
        <v>0.24286825226965381</v>
      </c>
      <c r="J393" s="1">
        <f t="shared" si="97"/>
        <v>0.26312032047814593</v>
      </c>
      <c r="K393" s="1">
        <f t="shared" si="98"/>
        <v>0.16179530522319885</v>
      </c>
      <c r="L393" s="1">
        <f t="shared" si="99"/>
        <v>0.16043294306007086</v>
      </c>
      <c r="M393" s="1">
        <f t="shared" si="100"/>
        <v>0.34972831607357097</v>
      </c>
      <c r="N393" s="1">
        <f t="shared" si="101"/>
        <v>0.34986429018138515</v>
      </c>
      <c r="O393" s="1">
        <f t="shared" si="102"/>
        <v>0.34899039700485596</v>
      </c>
      <c r="P393" s="1">
        <f t="shared" si="103"/>
        <v>0.34913064418951678</v>
      </c>
      <c r="Q393" s="1">
        <f t="shared" si="104"/>
        <v>5.3042701702954593</v>
      </c>
      <c r="T393">
        <v>0.91018261414056778</v>
      </c>
      <c r="U393">
        <f t="shared" si="111"/>
        <v>1.0986806212995417</v>
      </c>
      <c r="V393" s="15">
        <f t="shared" si="105"/>
        <v>0</v>
      </c>
      <c r="W393" s="15">
        <f t="shared" si="106"/>
        <v>0</v>
      </c>
      <c r="X393" s="15">
        <f t="shared" si="107"/>
        <v>0</v>
      </c>
      <c r="Y393" s="15">
        <f t="shared" si="108"/>
        <v>0</v>
      </c>
      <c r="Z393" s="15">
        <f t="shared" si="109"/>
        <v>0</v>
      </c>
      <c r="AA393" s="15">
        <f t="shared" si="110"/>
        <v>0</v>
      </c>
      <c r="AC393" s="1"/>
      <c r="AD393" s="1"/>
      <c r="AE393" s="1"/>
    </row>
    <row r="394" spans="1:31">
      <c r="A394">
        <v>702</v>
      </c>
      <c r="B394">
        <f t="shared" si="90"/>
        <v>0.31877272895002084</v>
      </c>
      <c r="C394">
        <v>0.31904954636433525</v>
      </c>
      <c r="D394">
        <f t="shared" si="91"/>
        <v>3.134309424336434</v>
      </c>
      <c r="E394" s="1">
        <f t="shared" si="92"/>
        <v>0.18915290378768465</v>
      </c>
      <c r="F394" s="1">
        <f t="shared" si="93"/>
        <v>0.21941736839371417</v>
      </c>
      <c r="G394" s="1">
        <f t="shared" si="94"/>
        <v>6.8095045363566475E-2</v>
      </c>
      <c r="H394" s="1">
        <f t="shared" si="95"/>
        <v>6.5984561961186058E-2</v>
      </c>
      <c r="I394" s="1">
        <f t="shared" si="96"/>
        <v>0.24250246368171119</v>
      </c>
      <c r="J394" s="1">
        <f t="shared" si="97"/>
        <v>0.26272402985725468</v>
      </c>
      <c r="K394" s="1">
        <f t="shared" si="98"/>
        <v>0.16155162217413724</v>
      </c>
      <c r="L394" s="1">
        <f t="shared" si="99"/>
        <v>0.16019131189110167</v>
      </c>
      <c r="M394" s="1">
        <f t="shared" si="100"/>
        <v>0.34920158346976377</v>
      </c>
      <c r="N394" s="1">
        <f t="shared" si="101"/>
        <v>0.34933735278433542</v>
      </c>
      <c r="O394" s="1">
        <f t="shared" si="102"/>
        <v>0.34846477579527851</v>
      </c>
      <c r="P394" s="1">
        <f t="shared" si="103"/>
        <v>0.34860481175093283</v>
      </c>
      <c r="Q394" s="1">
        <f t="shared" si="104"/>
        <v>5.296281306055171</v>
      </c>
      <c r="T394">
        <v>0.81116486593742865</v>
      </c>
      <c r="U394">
        <f t="shared" si="111"/>
        <v>1.2327950112143264</v>
      </c>
      <c r="V394" s="15">
        <f t="shared" si="105"/>
        <v>0</v>
      </c>
      <c r="W394" s="15">
        <f t="shared" si="106"/>
        <v>0</v>
      </c>
      <c r="X394" s="15">
        <f t="shared" si="107"/>
        <v>0</v>
      </c>
      <c r="Y394" s="15">
        <f t="shared" si="108"/>
        <v>0</v>
      </c>
      <c r="Z394" s="15">
        <f t="shared" si="109"/>
        <v>0</v>
      </c>
      <c r="AA394" s="15">
        <f t="shared" si="110"/>
        <v>0</v>
      </c>
      <c r="AC394" s="1"/>
      <c r="AD394" s="1"/>
      <c r="AE394" s="1"/>
    </row>
    <row r="395" spans="1:31">
      <c r="A395">
        <v>543</v>
      </c>
      <c r="B395">
        <f t="shared" ref="B395:B458" si="112">PERCENTILE($C$75:$C$1074,$C395)</f>
        <v>0.32111842684141773</v>
      </c>
      <c r="C395">
        <v>0.32070095276766775</v>
      </c>
      <c r="D395">
        <f t="shared" ref="D395:D458" si="113">1/C395</f>
        <v>3.1181697197028639</v>
      </c>
      <c r="E395" s="1">
        <f t="shared" ref="E395:E458" si="114">IF($C395&lt;=0.005,$F$14,IF($C395&lt;=0.01,$F$14+($C395-0.005)*SLOPE($E$14:$F$14,$E$11:$F$11),IF($C395&lt;=0.04,$E$14+($C395-0.01)*SLOPE($D$14:$E$14,$D$11:$E$11),IF($C395&lt;=0.1,$D$14+($C395-0.04)*SLOPE($C$14:$D$14,$C$11:$D$11),IF($C395&lt;=1,$C$14+($C395-0.1)*SLOPE($B$14:$C$14,$B$11:$C$11),)))))</f>
        <v>0.18869417978675895</v>
      </c>
      <c r="F395" s="1">
        <f t="shared" ref="F395:F458" si="115">IF($C395&lt;=0.005,$F$27,IF($C395&lt;=0.01,$F$27+($C395-0.005)*SLOPE($E$27:$F$27,$E$24:$F$24),IF($C395&lt;=0.04,$E$27+($C395-0.01)*SLOPE($D$27:$E$27,$D$24:$E$24),IF($C395&lt;=0.1,$D$27+($C395-0.04)*SLOPE($C$27:$D$27,$C$24:$D$24),IF($C395&lt;=1,$C$27+($C395-0.1)*SLOPE($B$27:$C$27,$B$24:$C$24),)))))</f>
        <v>0.21888524855264038</v>
      </c>
      <c r="G395" s="1">
        <f t="shared" ref="G395:G458" si="116">IF($C395&lt;=0.005,$F$15,IF($C395&lt;=0.01,$F$15+($C395-0.005)*SLOPE($E$15:$F$15,$E$11:$F$11),IF($C395&lt;=0.04,$E$15+($C395-0.01)*SLOPE($D$15:$E$15,$D$11:$E$11),IF($C395&lt;=0.1,$D$15+($C395-0.04)*SLOPE($C$15:$D$15,$C$11:$D$11),IF($C395&lt;=1,$C$15+($C395-0.1)*SLOPE($B$15:$C$15,$B$11:$C$11),)))))</f>
        <v>6.7929904723233223E-2</v>
      </c>
      <c r="H395" s="1">
        <f t="shared" ref="H395:H458" si="117">IF($C395&lt;=0.005,$F$28,IF($C395&lt;=0.01,$F$28+($C395-0.005)*SLOPE($E$28:$F$28,$E$24:$F$24),IF($C395&lt;=0.04,$E$28+($C395-0.01)*SLOPE($D$28:$E$28,$D$24:$E$24),IF($C395&lt;=0.1,$D$28+($C395-0.04)*SLOPE($C$28:$D$28,$C$24:$D$24),IF($C395&lt;=1,$C$28+($C395-0.1)*SLOPE($B$28:$C$28,$B$24:$C$24),)))))</f>
        <v>6.5824539557849657E-2</v>
      </c>
      <c r="I395" s="1">
        <f t="shared" ref="I395:I458" si="118">IF($C395&lt;=0.005,$F$16,IF($C395&lt;=0.01,$F$16+($C395-0.005)*SLOPE($E$16:$F$16,$E$11:$F$11),IF($C395&lt;=0.04,$E$16+($C395-0.01)*SLOPE($D$16:$E$16,$D$11:$E$11),IF($C395&lt;=0.1,$D$16+($C395-0.04)*SLOPE($C$16:$D$16,$C$11:$D$11),IF($C395&lt;=1,$C$16+($C395-0.1)*SLOPE($B$16:$C$16,$B$11:$C$11),)))))</f>
        <v>0.24191435904177777</v>
      </c>
      <c r="J395" s="1">
        <f t="shared" ref="J395:J458" si="119">IF($C395&lt;=0.005,$F$29,IF($C395&lt;=0.01,$F$29+($C395-0.005)*SLOPE($E$29:$F$29,$E$24:$F$24),IF($C395&lt;=0.04,$E$29+($C395-0.01)*SLOPE($D$29:$E$29,$D$24:$E$24),IF($C395&lt;=0.1,$D$29+($C395-0.04)*SLOPE($C$29:$D$29,$C$24:$D$24),IF($C395&lt;=1,$C$29+($C395-0.1)*SLOPE($B$29:$C$29,$B$24:$C$24),)))))</f>
        <v>0.26208688490361065</v>
      </c>
      <c r="K395" s="1">
        <f t="shared" ref="K395:K458" si="120">IF($C395&lt;=0.005,$F$17,IF($C395&lt;=0.01,$F$17+($C395-0.005)*SLOPE($E$17:$F$17,$E$11:$F$11),IF($C395&lt;=0.04,$E$17+($C395-0.01)*SLOPE($D$17:$E$17,$D$11:$E$11),IF($C395&lt;=0.1,$D$17+($C395-0.04)*SLOPE($C$17:$D$17,$C$11:$D$11),IF($C395&lt;=1,$C$17+($C395-0.1)*SLOPE($B$17:$C$17,$B$11:$C$11),)))))</f>
        <v>0.16115983539743017</v>
      </c>
      <c r="L395" s="1">
        <f t="shared" ref="L395:L458" si="121">IF($C395&lt;=0.005,$F$30,IF($C395&lt;=0.01,$F$30+($C395-0.005)*SLOPE($E$30:$F$30,$E$24:$F$24),IF($C395&lt;=0.04,$E$30+($C395-0.01)*SLOPE($D$30:$E$30,$D$24:$E$24),IF($C395&lt;=0.1,$D$30+($C395-0.04)*SLOPE($C$30:$D$30,$C$24:$D$24),IF($C395&lt;=1,$C$30+($C395-0.1)*SLOPE($B$30:$C$30,$B$24:$C$24),)))))</f>
        <v>0.15980282406970028</v>
      </c>
      <c r="M395" s="1">
        <f t="shared" ref="M395:M458" si="122">IF($C395&lt;=0.005,$F$18,IF($C395&lt;=0.01,$F$18+($C395-0.005)*SLOPE($E$18:$F$18,$E$11:$F$11),IF($C395&lt;=0.04,$E$18+($C395-0.01)*SLOPE($D$18:$E$18,$D$11:$E$11),IF($C395&lt;=0.1,$D$18+($C395-0.04)*SLOPE($C$18:$D$18,$C$11:$D$11),IF($C395&lt;=1,$C$18+($C395-0.1)*SLOPE($B$18:$C$18,$B$11:$C$11),)))))</f>
        <v>0.34835471755181502</v>
      </c>
      <c r="N395" s="1">
        <f t="shared" ref="N395:N458" si="123">IF($C395&lt;=0.005,$F$31,IF($C395&lt;=0.01,$F$31+($C395-0.005)*SLOPE($E$31:$F$31,$E$24:$F$24),IF($C395&lt;=0.04,$E$31+($C395-0.01)*SLOPE($D$31:$E$31,$D$24:$E$24),IF($C395&lt;=0.1,$D$31+($C395-0.04)*SLOPE($C$31:$D$31,$C$24:$D$24),IF($C395&lt;=1,$C$31+($C395-0.1)*SLOPE($B$31:$C$31,$B$24:$C$24),)))))</f>
        <v>0.34849015760555091</v>
      </c>
      <c r="O395" s="1">
        <f t="shared" ref="O395:O458" si="124">IF($C395&lt;=0.005,$F$19,IF($C395&lt;=0.01,$F$19+($C395-0.005)*SLOPE($E$19:$F$19,$E$11:$F$11),IF($C395&lt;=0.04,$E$19+($C395-0.01)*SLOPE($D$19:$E$19,$D$11:$E$11),IF($C395&lt;=0.1,$D$19+($C395-0.04)*SLOPE($C$19:$D$19,$C$11:$D$11),IF($C395&lt;=1,$C$19+($C395-0.1)*SLOPE($B$19:$C$19,$B$11:$C$11),)))))</f>
        <v>0.34761969674582383</v>
      </c>
      <c r="P395" s="1">
        <f t="shared" ref="P395:P458" si="125">IF($C395&lt;=0.005,$F$32,IF($C395&lt;=0.01,$F$32+($C395-0.005)*SLOPE($E$32:$F$32,$E$24:$F$24),IF($C395&lt;=0.04,$E$32+($C395-0.01)*SLOPE($D$32:$E$32,$D$24:$E$24),IF($C395&lt;=0.1,$D$32+($C395-0.04)*SLOPE($C$32:$D$32,$C$24:$D$24),IF($C395&lt;=1,$C$32+($C395-0.1)*SLOPE($B$32:$C$32,$B$24:$C$24),)))))</f>
        <v>0.34775939309340148</v>
      </c>
      <c r="Q395" s="1">
        <f t="shared" ref="Q395:Q458" si="126">IF($C395&lt;=0.005,$F$20,IF($C395&lt;=0.01,$F$20+($C395-0.005)*SLOPE($E$20:$F$20,$E$11:$F$11),IF($C395&lt;=0.04,$E$20+($C395-0.01)*SLOPE($D$20:$E$20,$D$11:$E$11),IF($C395&lt;=0.1,$D$20+($C395-0.04)*SLOPE($C$20:$D$20,$C$11:$D$11),IF($C395&lt;=1,$C$20+($C395-0.1)*SLOPE($B$20:$C$20,$B$11:$C$11),)))))</f>
        <v>5.2834370340292516</v>
      </c>
      <c r="T395">
        <v>0.6671962039004975</v>
      </c>
      <c r="U395">
        <f t="shared" si="111"/>
        <v>1.4988094868554367</v>
      </c>
      <c r="V395" s="15">
        <f t="shared" ref="V395:V458" si="127">IF($T395&lt;=0.05,$F$63,IF($T395&lt;=0.07,$F$63+($T395-0.05)*SLOPE($E$63:$F$63,$E$62:$F$62),IF($T395&lt;=0.1,$E$63+($T395-0.07)*SLOPE($D$63:$E$63,$D$62:$E$62),IF($T395&lt;=0.2,$D$63+($T395-0.1)*SLOPE($C$63:$D$63,$C$62:$D$62),IF($T395&lt;=0.5,$C$63+($T395-0.2)*SLOPE($B$63:$C$63,$B$62:$C$62),)))))</f>
        <v>0</v>
      </c>
      <c r="W395" s="15">
        <f t="shared" ref="W395:W458" si="128">IF($T395&lt;=0.05,$F$64,IF($T395&lt;=0.07,$F$64+($T395-0.05)*SLOPE($E$64:$F$64,$E$62:$F$62),IF($T395&lt;=0.1,$E$64+($T395-0.07)*SLOPE($D$64:$E$64,$D$62:$E$62),IF($T395&lt;=0.2,$D$64+($T395-0.1)*SLOPE($C$64:$D$64,$C$62:$D$62),IF($T395&lt;=0.5,$C$64+($T395-0.2)*SLOPE($B$64:$C$64,$B$62:$C$62),)))))</f>
        <v>0</v>
      </c>
      <c r="X395" s="15">
        <f t="shared" ref="X395:X458" si="129">IF($T395&lt;=0.05,$F$65,IF($T395&lt;=0.07,$F$65+($T395-0.05)*SLOPE($E$65:$F$65,$E$62:$F$62),IF($T395&lt;=0.1,$E$65+($T395-0.07)*SLOPE($D$65:$E$65,$D$62:$E$62),IF($T395&lt;=0.2,$D$65+($T395-0.1)*SLOPE($C$65:$D$65,$C$62:$D$62),IF($T395&lt;=0.5,$C$65+($T395-0.2)*SLOPE($B$65:$C$65,$B$62:$C$62),)))))</f>
        <v>0</v>
      </c>
      <c r="Y395" s="15">
        <f t="shared" ref="Y395:Y458" si="130">IF($T395&lt;=0.05,$F$66,IF($T395&lt;=0.07,$F$66+($T395-0.05)*SLOPE($E$66:$F$66,$E$62:$F$62),IF($T395&lt;=0.1,$E$66+($T395-0.07)*SLOPE($D$66:$E$66,$D$62:$E$62),IF($T395&lt;=0.2,$D$66+($T395-0.1)*SLOPE($C$66:$D$66,$C$62:$D$62),IF($T395&lt;=0.5,$C$66+($T395-0.2)*SLOPE($B$66:$C$66,$B$62:$C$62),)))))</f>
        <v>0</v>
      </c>
      <c r="Z395" s="15">
        <f t="shared" ref="Z395:Z458" si="131">IF($T395&lt;=0.05,$F$67,IF($T395&lt;=0.07,$F$67+($T395-0.05)*SLOPE($E$67:$F$67,$E$62:$F$62),IF($T395&lt;=0.1,$E$67+($T395-0.07)*SLOPE($D$67:$E$67,$D$62:$E$62),IF($T395&lt;=0.2,$D$67+($T395-0.1)*SLOPE($C$67:$D$67,$C$62:$D$62),IF($T395&lt;=0.5,$C$67+($T395-0.2)*SLOPE($B$67:$C$67,$B$62:$C$62),)))))</f>
        <v>0</v>
      </c>
      <c r="AA395" s="15">
        <f t="shared" ref="AA395:AA458" si="132">IF($T395&lt;=0.05,$F$68,IF($T395&lt;=0.07,$F$68+($T395-0.05)*SLOPE($E$68:$F$68,$E$62:$F$62),IF($T395&lt;=0.1,$E$68+($T395-0.07)*SLOPE($D$68:$E$68,$D$62:$E$62),IF($T395&lt;=0.2,$D$68+($T395-0.1)*SLOPE($C$68:$D$68,$C$62:$D$62),IF($T395&lt;=0.5,$C$68+($T395-0.2)*SLOPE($B$68:$C$68,$B$62:$C$62),)))))</f>
        <v>0</v>
      </c>
      <c r="AC395" s="1"/>
      <c r="AD395" s="1"/>
      <c r="AE395" s="1"/>
    </row>
    <row r="396" spans="1:31">
      <c r="A396">
        <v>223</v>
      </c>
      <c r="B396">
        <f t="shared" si="112"/>
        <v>0.32209896846370295</v>
      </c>
      <c r="C396">
        <v>0.32179884121261748</v>
      </c>
      <c r="D396">
        <f t="shared" si="113"/>
        <v>3.1075313889625988</v>
      </c>
      <c r="E396" s="1">
        <f t="shared" si="114"/>
        <v>0.18838921077427292</v>
      </c>
      <c r="F396" s="1">
        <f t="shared" si="115"/>
        <v>0.21853148449815657</v>
      </c>
      <c r="G396" s="1">
        <f t="shared" si="116"/>
        <v>6.7820115878738249E-2</v>
      </c>
      <c r="H396" s="1">
        <f t="shared" si="117"/>
        <v>6.5718153421038275E-2</v>
      </c>
      <c r="I396" s="1">
        <f t="shared" si="118"/>
        <v>0.24152337515840344</v>
      </c>
      <c r="J396" s="1">
        <f t="shared" si="119"/>
        <v>0.26166329802581229</v>
      </c>
      <c r="K396" s="1">
        <f t="shared" si="120"/>
        <v>0.1608993676081793</v>
      </c>
      <c r="L396" s="1">
        <f t="shared" si="121"/>
        <v>0.15954454949279445</v>
      </c>
      <c r="M396" s="1">
        <f t="shared" si="122"/>
        <v>0.34779170392666403</v>
      </c>
      <c r="N396" s="1">
        <f t="shared" si="123"/>
        <v>0.34792692508112344</v>
      </c>
      <c r="O396" s="1">
        <f t="shared" si="124"/>
        <v>0.34705787106706115</v>
      </c>
      <c r="P396" s="1">
        <f t="shared" si="125"/>
        <v>0.34719734163630678</v>
      </c>
      <c r="Q396" s="1">
        <f t="shared" si="126"/>
        <v>5.2748979016796422</v>
      </c>
      <c r="T396">
        <v>0.4956649840110009</v>
      </c>
      <c r="U396">
        <f t="shared" ref="U396:U459" si="133">1/T396</f>
        <v>2.0174917177078737</v>
      </c>
      <c r="V396" s="15">
        <f t="shared" si="127"/>
        <v>5.816207102804042E-2</v>
      </c>
      <c r="W396" s="15">
        <f t="shared" si="128"/>
        <v>6.3254446772568848E-2</v>
      </c>
      <c r="X396" s="15">
        <f t="shared" si="129"/>
        <v>7.343919826162551E-2</v>
      </c>
      <c r="Y396" s="15">
        <f t="shared" si="130"/>
        <v>8.1253986336806444E-2</v>
      </c>
      <c r="Z396" s="15">
        <f t="shared" si="131"/>
        <v>8.5760138137993103E-2</v>
      </c>
      <c r="AA396" s="15">
        <f t="shared" si="132"/>
        <v>9.4772441740366337E-2</v>
      </c>
      <c r="AC396" s="1"/>
      <c r="AD396" s="1"/>
      <c r="AE396" s="1"/>
    </row>
    <row r="397" spans="1:31">
      <c r="A397">
        <v>723</v>
      </c>
      <c r="B397">
        <f t="shared" si="112"/>
        <v>0.32248092611376006</v>
      </c>
      <c r="C397">
        <v>0.32242798291800012</v>
      </c>
      <c r="D397">
        <f t="shared" si="113"/>
        <v>3.1014677787886669</v>
      </c>
      <c r="E397" s="1">
        <f t="shared" si="114"/>
        <v>0.18821444918944441</v>
      </c>
      <c r="F397" s="1">
        <f t="shared" si="115"/>
        <v>0.21832876105975552</v>
      </c>
      <c r="G397" s="1">
        <f t="shared" si="116"/>
        <v>6.7757201708199988E-2</v>
      </c>
      <c r="H397" s="1">
        <f t="shared" si="117"/>
        <v>6.5657189162009522E-2</v>
      </c>
      <c r="I397" s="1">
        <f t="shared" si="118"/>
        <v>0.2412993230078459</v>
      </c>
      <c r="J397" s="1">
        <f t="shared" si="119"/>
        <v>0.26142056282634674</v>
      </c>
      <c r="K397" s="1">
        <f t="shared" si="120"/>
        <v>0.16075010731686248</v>
      </c>
      <c r="L397" s="1">
        <f t="shared" si="121"/>
        <v>0.15939654601528364</v>
      </c>
      <c r="M397" s="1">
        <f t="shared" si="122"/>
        <v>0.34746907064464844</v>
      </c>
      <c r="N397" s="1">
        <f t="shared" si="123"/>
        <v>0.34760416635952895</v>
      </c>
      <c r="O397" s="1">
        <f t="shared" si="124"/>
        <v>0.34673591853418728</v>
      </c>
      <c r="P397" s="1">
        <f t="shared" si="125"/>
        <v>0.34687525972183181</v>
      </c>
      <c r="Q397" s="1">
        <f t="shared" si="126"/>
        <v>5.2700045773044435</v>
      </c>
      <c r="T397">
        <v>0.15375641368150683</v>
      </c>
      <c r="U397">
        <f t="shared" si="133"/>
        <v>6.5037937348838915</v>
      </c>
      <c r="V397" s="15">
        <f t="shared" si="127"/>
        <v>8.3792356267603549E-2</v>
      </c>
      <c r="W397" s="15">
        <f t="shared" si="128"/>
        <v>8.7747458125418135E-2</v>
      </c>
      <c r="X397" s="15">
        <f t="shared" si="129"/>
        <v>9.5657661841047237E-2</v>
      </c>
      <c r="Y397" s="15">
        <f t="shared" si="130"/>
        <v>0.11918194696014051</v>
      </c>
      <c r="Z397" s="15">
        <f t="shared" si="131"/>
        <v>0.12253504173230281</v>
      </c>
      <c r="AA397" s="15">
        <f t="shared" si="132"/>
        <v>0.12924123127662743</v>
      </c>
      <c r="AC397" s="1"/>
      <c r="AD397" s="1"/>
      <c r="AE397" s="1"/>
    </row>
    <row r="398" spans="1:31">
      <c r="A398">
        <v>564</v>
      </c>
      <c r="B398">
        <f t="shared" si="112"/>
        <v>0.32273224707237597</v>
      </c>
      <c r="C398">
        <v>0.3229295529840398</v>
      </c>
      <c r="D398">
        <f t="shared" si="113"/>
        <v>3.0966506185620712</v>
      </c>
      <c r="E398" s="1">
        <f t="shared" si="114"/>
        <v>0.18807512417110006</v>
      </c>
      <c r="F398" s="1">
        <f t="shared" si="115"/>
        <v>0.21816714403847604</v>
      </c>
      <c r="G398" s="1">
        <f t="shared" si="116"/>
        <v>6.7707044701596025E-2</v>
      </c>
      <c r="H398" s="1">
        <f t="shared" si="117"/>
        <v>6.5608586681573877E-2</v>
      </c>
      <c r="I398" s="1">
        <f t="shared" si="118"/>
        <v>0.24112070211689235</v>
      </c>
      <c r="J398" s="1">
        <f t="shared" si="119"/>
        <v>0.26122704726540963</v>
      </c>
      <c r="K398" s="1">
        <f t="shared" si="120"/>
        <v>0.16063111267140764</v>
      </c>
      <c r="L398" s="1">
        <f t="shared" si="121"/>
        <v>0.1592785533383492</v>
      </c>
      <c r="M398" s="1">
        <f t="shared" si="122"/>
        <v>0.34721185800847654</v>
      </c>
      <c r="N398" s="1">
        <f t="shared" si="123"/>
        <v>0.34734685371927643</v>
      </c>
      <c r="O398" s="1">
        <f t="shared" si="124"/>
        <v>0.34647924861103063</v>
      </c>
      <c r="P398" s="1">
        <f t="shared" si="125"/>
        <v>0.34661848665189976</v>
      </c>
      <c r="Q398" s="1">
        <f t="shared" si="126"/>
        <v>5.2661034767908017</v>
      </c>
      <c r="T398">
        <v>0.62124684113612227</v>
      </c>
      <c r="U398">
        <f t="shared" si="133"/>
        <v>1.6096661323399608</v>
      </c>
      <c r="V398" s="15">
        <f t="shared" si="127"/>
        <v>0</v>
      </c>
      <c r="W398" s="15">
        <f t="shared" si="128"/>
        <v>0</v>
      </c>
      <c r="X398" s="15">
        <f t="shared" si="129"/>
        <v>0</v>
      </c>
      <c r="Y398" s="15">
        <f t="shared" si="130"/>
        <v>0</v>
      </c>
      <c r="Z398" s="15">
        <f t="shared" si="131"/>
        <v>0</v>
      </c>
      <c r="AA398" s="15">
        <f t="shared" si="132"/>
        <v>0</v>
      </c>
      <c r="AC398" s="1"/>
      <c r="AD398" s="1"/>
      <c r="AE398" s="1"/>
    </row>
    <row r="399" spans="1:31">
      <c r="A399">
        <v>284</v>
      </c>
      <c r="B399">
        <f t="shared" si="112"/>
        <v>0.32277071545196057</v>
      </c>
      <c r="C399">
        <v>0.32300632568057464</v>
      </c>
      <c r="D399">
        <f t="shared" si="113"/>
        <v>3.0959146013410082</v>
      </c>
      <c r="E399" s="1">
        <f t="shared" si="114"/>
        <v>0.1880537984220626</v>
      </c>
      <c r="F399" s="1">
        <f t="shared" si="115"/>
        <v>0.2181424061695926</v>
      </c>
      <c r="G399" s="1">
        <f t="shared" si="116"/>
        <v>6.7699367431942534E-2</v>
      </c>
      <c r="H399" s="1">
        <f t="shared" si="117"/>
        <v>6.5601147355079006E-2</v>
      </c>
      <c r="I399" s="1">
        <f t="shared" si="118"/>
        <v>0.24109336155495603</v>
      </c>
      <c r="J399" s="1">
        <f t="shared" si="119"/>
        <v>0.26119742685454278</v>
      </c>
      <c r="K399" s="1">
        <f t="shared" si="120"/>
        <v>0.16061289878580456</v>
      </c>
      <c r="L399" s="1">
        <f t="shared" si="121"/>
        <v>0.15926049281880672</v>
      </c>
      <c r="M399" s="1">
        <f t="shared" si="122"/>
        <v>0.3471724878207425</v>
      </c>
      <c r="N399" s="1">
        <f t="shared" si="123"/>
        <v>0.34730746822444286</v>
      </c>
      <c r="O399" s="1">
        <f t="shared" si="124"/>
        <v>0.34643996149352835</v>
      </c>
      <c r="P399" s="1">
        <f t="shared" si="125"/>
        <v>0.34657918374626212</v>
      </c>
      <c r="Q399" s="1">
        <f t="shared" si="126"/>
        <v>5.2655063558177533</v>
      </c>
      <c r="T399">
        <v>1.4241292800759808E-2</v>
      </c>
      <c r="U399">
        <f t="shared" si="133"/>
        <v>70.218344218486081</v>
      </c>
      <c r="V399" s="15">
        <f t="shared" si="127"/>
        <v>0.10304197639427203</v>
      </c>
      <c r="W399" s="15">
        <f t="shared" si="128"/>
        <v>0.1057753682453844</v>
      </c>
      <c r="X399" s="15">
        <f t="shared" si="129"/>
        <v>0.11124215194760896</v>
      </c>
      <c r="Y399" s="15">
        <f t="shared" si="130"/>
        <v>0.14763297309330198</v>
      </c>
      <c r="Z399" s="15">
        <f t="shared" si="131"/>
        <v>0.14970192057754048</v>
      </c>
      <c r="AA399" s="15">
        <f t="shared" si="132"/>
        <v>0.15383981554601778</v>
      </c>
      <c r="AC399" s="1"/>
      <c r="AD399" s="1"/>
      <c r="AE399" s="1"/>
    </row>
    <row r="400" spans="1:31">
      <c r="A400">
        <v>206</v>
      </c>
      <c r="B400">
        <f t="shared" si="112"/>
        <v>0.32296592448597694</v>
      </c>
      <c r="C400">
        <v>0.32379755324477011</v>
      </c>
      <c r="D400">
        <f t="shared" si="113"/>
        <v>3.0883494639753017</v>
      </c>
      <c r="E400" s="1">
        <f t="shared" si="114"/>
        <v>0.18783401298756386</v>
      </c>
      <c r="F400" s="1">
        <f t="shared" si="115"/>
        <v>0.21788745506557405</v>
      </c>
      <c r="G400" s="1">
        <f t="shared" si="116"/>
        <v>6.7620244675522995E-2</v>
      </c>
      <c r="H400" s="1">
        <f t="shared" si="117"/>
        <v>6.5524476866123005E-2</v>
      </c>
      <c r="I400" s="1">
        <f t="shared" si="118"/>
        <v>0.24081158681991352</v>
      </c>
      <c r="J400" s="1">
        <f t="shared" si="119"/>
        <v>0.26089215575428915</v>
      </c>
      <c r="K400" s="1">
        <f t="shared" si="120"/>
        <v>0.16042518454635848</v>
      </c>
      <c r="L400" s="1">
        <f t="shared" si="121"/>
        <v>0.1590743591862698</v>
      </c>
      <c r="M400" s="1">
        <f t="shared" si="122"/>
        <v>0.34676673448461237</v>
      </c>
      <c r="N400" s="1">
        <f t="shared" si="123"/>
        <v>0.346901557131719</v>
      </c>
      <c r="O400" s="1">
        <f t="shared" si="124"/>
        <v>0.34603506428802927</v>
      </c>
      <c r="P400" s="1">
        <f t="shared" si="125"/>
        <v>0.34617412382656332</v>
      </c>
      <c r="Q400" s="1">
        <f t="shared" si="126"/>
        <v>5.2593523636517885</v>
      </c>
      <c r="T400">
        <v>0.13934550496604492</v>
      </c>
      <c r="U400">
        <f t="shared" si="133"/>
        <v>7.1764065891014956</v>
      </c>
      <c r="V400" s="15">
        <f t="shared" si="127"/>
        <v>8.5751984213635821E-2</v>
      </c>
      <c r="W400" s="15">
        <f t="shared" si="128"/>
        <v>8.9592869171899764E-2</v>
      </c>
      <c r="X400" s="15">
        <f t="shared" si="129"/>
        <v>9.7274639088427553E-2</v>
      </c>
      <c r="Y400" s="15">
        <f t="shared" si="130"/>
        <v>0.1220804272379855</v>
      </c>
      <c r="Z400" s="15">
        <f t="shared" si="131"/>
        <v>0.12531418767044961</v>
      </c>
      <c r="AA400" s="15">
        <f t="shared" si="132"/>
        <v>0.13178170853537782</v>
      </c>
      <c r="AC400" s="1"/>
      <c r="AD400" s="1"/>
      <c r="AE400" s="1"/>
    </row>
    <row r="401" spans="1:31">
      <c r="A401">
        <v>403</v>
      </c>
      <c r="B401">
        <f t="shared" si="112"/>
        <v>0.32495843433213334</v>
      </c>
      <c r="C401">
        <v>0.32588263760968517</v>
      </c>
      <c r="D401">
        <f t="shared" si="113"/>
        <v>3.0685893772521751</v>
      </c>
      <c r="E401" s="1">
        <f t="shared" si="114"/>
        <v>0.18725482288619855</v>
      </c>
      <c r="F401" s="1">
        <f t="shared" si="115"/>
        <v>0.21721559454799033</v>
      </c>
      <c r="G401" s="1">
        <f t="shared" si="116"/>
        <v>6.7411736239031489E-2</v>
      </c>
      <c r="H401" s="1">
        <f t="shared" si="117"/>
        <v>6.5322430773435247E-2</v>
      </c>
      <c r="I401" s="1">
        <f t="shared" si="118"/>
        <v>0.24006903926336742</v>
      </c>
      <c r="J401" s="1">
        <f t="shared" si="119"/>
        <v>0.26008768934411486</v>
      </c>
      <c r="K401" s="1">
        <f t="shared" si="120"/>
        <v>0.15993051013983817</v>
      </c>
      <c r="L401" s="1">
        <f t="shared" si="121"/>
        <v>0.15858385007795503</v>
      </c>
      <c r="M401" s="1">
        <f t="shared" si="122"/>
        <v>0.34569747201770468</v>
      </c>
      <c r="N401" s="1">
        <f t="shared" si="123"/>
        <v>0.34583187893636363</v>
      </c>
      <c r="O401" s="1">
        <f t="shared" si="124"/>
        <v>0.34496805794145136</v>
      </c>
      <c r="P401" s="1">
        <f t="shared" si="125"/>
        <v>0.34510668868699457</v>
      </c>
      <c r="Q401" s="1">
        <f t="shared" si="126"/>
        <v>5.2431350408135602</v>
      </c>
      <c r="T401">
        <v>0.77372583296777997</v>
      </c>
      <c r="U401">
        <f t="shared" si="133"/>
        <v>1.2924474760837443</v>
      </c>
      <c r="V401" s="15">
        <f t="shared" si="127"/>
        <v>0</v>
      </c>
      <c r="W401" s="15">
        <f t="shared" si="128"/>
        <v>0</v>
      </c>
      <c r="X401" s="15">
        <f t="shared" si="129"/>
        <v>0</v>
      </c>
      <c r="Y401" s="15">
        <f t="shared" si="130"/>
        <v>0</v>
      </c>
      <c r="Z401" s="15">
        <f t="shared" si="131"/>
        <v>0</v>
      </c>
      <c r="AA401" s="15">
        <f t="shared" si="132"/>
        <v>0</v>
      </c>
      <c r="AC401" s="1"/>
      <c r="AD401" s="1"/>
      <c r="AE401" s="1"/>
    </row>
    <row r="402" spans="1:31">
      <c r="A402">
        <v>924</v>
      </c>
      <c r="B402">
        <f t="shared" si="112"/>
        <v>0.32591501870822398</v>
      </c>
      <c r="C402">
        <v>0.32639018886566407</v>
      </c>
      <c r="D402">
        <f t="shared" si="113"/>
        <v>3.0638175843318036</v>
      </c>
      <c r="E402" s="1">
        <f t="shared" si="114"/>
        <v>0.18711383642620444</v>
      </c>
      <c r="F402" s="1">
        <f t="shared" si="115"/>
        <v>0.21705205025439711</v>
      </c>
      <c r="G402" s="1">
        <f t="shared" si="116"/>
        <v>6.7360981113433596E-2</v>
      </c>
      <c r="H402" s="1">
        <f t="shared" si="117"/>
        <v>6.5273248711627666E-2</v>
      </c>
      <c r="I402" s="1">
        <f t="shared" si="118"/>
        <v>0.23988828833007636</v>
      </c>
      <c r="J402" s="1">
        <f t="shared" si="119"/>
        <v>0.25989186612288351</v>
      </c>
      <c r="K402" s="1">
        <f t="shared" si="120"/>
        <v>0.15981009649108865</v>
      </c>
      <c r="L402" s="1">
        <f t="shared" si="121"/>
        <v>0.15846445034613441</v>
      </c>
      <c r="M402" s="1">
        <f t="shared" si="122"/>
        <v>0.34543719213781976</v>
      </c>
      <c r="N402" s="1">
        <f t="shared" si="123"/>
        <v>0.34557149785985597</v>
      </c>
      <c r="O402" s="1">
        <f t="shared" si="124"/>
        <v>0.34470832724639855</v>
      </c>
      <c r="P402" s="1">
        <f t="shared" si="125"/>
        <v>0.34484685361514783</v>
      </c>
      <c r="Q402" s="1">
        <f t="shared" si="126"/>
        <v>5.2391874199337245</v>
      </c>
      <c r="T402">
        <v>0.91402628707428568</v>
      </c>
      <c r="U402">
        <f t="shared" si="133"/>
        <v>1.0940604380218739</v>
      </c>
      <c r="V402" s="15">
        <f t="shared" si="127"/>
        <v>0</v>
      </c>
      <c r="W402" s="15">
        <f t="shared" si="128"/>
        <v>0</v>
      </c>
      <c r="X402" s="15">
        <f t="shared" si="129"/>
        <v>0</v>
      </c>
      <c r="Y402" s="15">
        <f t="shared" si="130"/>
        <v>0</v>
      </c>
      <c r="Z402" s="15">
        <f t="shared" si="131"/>
        <v>0</v>
      </c>
      <c r="AA402" s="15">
        <f t="shared" si="132"/>
        <v>0</v>
      </c>
      <c r="AC402" s="1"/>
      <c r="AD402" s="1"/>
      <c r="AE402" s="1"/>
    </row>
    <row r="403" spans="1:31">
      <c r="A403">
        <v>941</v>
      </c>
      <c r="B403">
        <f t="shared" si="112"/>
        <v>0.33140154901260088</v>
      </c>
      <c r="C403">
        <v>0.32915694123702244</v>
      </c>
      <c r="D403">
        <f t="shared" si="113"/>
        <v>3.038064445008652</v>
      </c>
      <c r="E403" s="1">
        <f t="shared" si="114"/>
        <v>0.18634529410082712</v>
      </c>
      <c r="F403" s="1">
        <f t="shared" si="115"/>
        <v>0.21616054115695943</v>
      </c>
      <c r="G403" s="1">
        <f t="shared" si="116"/>
        <v>6.7084305876297753E-2</v>
      </c>
      <c r="H403" s="1">
        <f t="shared" si="117"/>
        <v>6.5005148525623779E-2</v>
      </c>
      <c r="I403" s="1">
        <f t="shared" si="118"/>
        <v>0.23890298277242616</v>
      </c>
      <c r="J403" s="1">
        <f t="shared" si="119"/>
        <v>0.2588243988369166</v>
      </c>
      <c r="K403" s="1">
        <f t="shared" si="120"/>
        <v>0.15915370022707173</v>
      </c>
      <c r="L403" s="1">
        <f t="shared" si="121"/>
        <v>0.15781358112403554</v>
      </c>
      <c r="M403" s="1">
        <f t="shared" si="122"/>
        <v>0.34401836011562387</v>
      </c>
      <c r="N403" s="1">
        <f t="shared" si="123"/>
        <v>0.34415211419683067</v>
      </c>
      <c r="O403" s="1">
        <f t="shared" si="124"/>
        <v>0.34329248892861941</v>
      </c>
      <c r="P403" s="1">
        <f t="shared" si="125"/>
        <v>0.34343044632085901</v>
      </c>
      <c r="Q403" s="1">
        <f t="shared" si="126"/>
        <v>5.2176682348231589</v>
      </c>
      <c r="T403">
        <v>0.3721140313851109</v>
      </c>
      <c r="U403">
        <f t="shared" si="133"/>
        <v>2.6873482740699797</v>
      </c>
      <c r="V403" s="15">
        <f t="shared" si="127"/>
        <v>6.624459657425355E-2</v>
      </c>
      <c r="W403" s="15">
        <f t="shared" si="128"/>
        <v>7.1014891146598078E-2</v>
      </c>
      <c r="X403" s="15">
        <f t="shared" si="129"/>
        <v>8.055548029128709E-2</v>
      </c>
      <c r="Y403" s="15">
        <f t="shared" si="130"/>
        <v>9.3216464850513034E-2</v>
      </c>
      <c r="Z403" s="15">
        <f t="shared" si="131"/>
        <v>9.7400802234505604E-2</v>
      </c>
      <c r="AA403" s="15">
        <f t="shared" si="132"/>
        <v>0.10576947700249074</v>
      </c>
      <c r="AC403" s="1"/>
      <c r="AD403" s="1"/>
      <c r="AE403" s="1"/>
    </row>
    <row r="404" spans="1:31">
      <c r="A404">
        <v>948</v>
      </c>
      <c r="B404">
        <f t="shared" si="112"/>
        <v>0.33565003065509919</v>
      </c>
      <c r="C404">
        <v>0.33186852659447197</v>
      </c>
      <c r="D404">
        <f t="shared" si="113"/>
        <v>3.0132414491415567</v>
      </c>
      <c r="E404" s="1">
        <f t="shared" si="114"/>
        <v>0.18559207594598001</v>
      </c>
      <c r="F404" s="1">
        <f t="shared" si="115"/>
        <v>0.2152868080973368</v>
      </c>
      <c r="G404" s="1">
        <f t="shared" si="116"/>
        <v>6.6813147340552798E-2</v>
      </c>
      <c r="H404" s="1">
        <f t="shared" si="117"/>
        <v>6.474239406077778E-2</v>
      </c>
      <c r="I404" s="1">
        <f t="shared" si="118"/>
        <v>0.23793732348524316</v>
      </c>
      <c r="J404" s="1">
        <f t="shared" si="119"/>
        <v>0.25777821606604467</v>
      </c>
      <c r="K404" s="1">
        <f t="shared" si="120"/>
        <v>0.15851039202333861</v>
      </c>
      <c r="L404" s="1">
        <f t="shared" si="121"/>
        <v>0.15717568975705665</v>
      </c>
      <c r="M404" s="1">
        <f t="shared" si="122"/>
        <v>0.342627818563769</v>
      </c>
      <c r="N404" s="1">
        <f t="shared" si="123"/>
        <v>0.34276103200346009</v>
      </c>
      <c r="O404" s="1">
        <f t="shared" si="124"/>
        <v>0.34190488138891001</v>
      </c>
      <c r="P404" s="1">
        <f t="shared" si="125"/>
        <v>0.34204228114961432</v>
      </c>
      <c r="Q404" s="1">
        <f t="shared" si="126"/>
        <v>5.1965781264874407</v>
      </c>
      <c r="T404">
        <v>0.43981379240327645</v>
      </c>
      <c r="U404">
        <f t="shared" si="133"/>
        <v>2.2736894960380747</v>
      </c>
      <c r="V404" s="15">
        <f t="shared" si="127"/>
        <v>6.181577562004599E-2</v>
      </c>
      <c r="W404" s="15">
        <f t="shared" si="128"/>
        <v>6.6762554613771924E-2</v>
      </c>
      <c r="X404" s="15">
        <f t="shared" si="129"/>
        <v>7.6656112601223639E-2</v>
      </c>
      <c r="Y404" s="15">
        <f t="shared" si="130"/>
        <v>8.6661623148765021E-2</v>
      </c>
      <c r="Z404" s="15">
        <f t="shared" si="131"/>
        <v>9.102229878570664E-2</v>
      </c>
      <c r="AA404" s="15">
        <f t="shared" si="132"/>
        <v>9.9743650059589822E-2</v>
      </c>
      <c r="AC404" s="1"/>
      <c r="AD404" s="1"/>
      <c r="AE404" s="1"/>
    </row>
    <row r="405" spans="1:31">
      <c r="A405">
        <v>406</v>
      </c>
      <c r="B405">
        <f t="shared" si="112"/>
        <v>0.33732818345442273</v>
      </c>
      <c r="C405">
        <v>0.33432135281174602</v>
      </c>
      <c r="D405">
        <f t="shared" si="113"/>
        <v>2.9911341037289141</v>
      </c>
      <c r="E405" s="1">
        <f t="shared" si="114"/>
        <v>0.18491073533007055</v>
      </c>
      <c r="F405" s="1">
        <f t="shared" si="115"/>
        <v>0.21449645298288184</v>
      </c>
      <c r="G405" s="1">
        <f t="shared" si="116"/>
        <v>6.6567864718825392E-2</v>
      </c>
      <c r="H405" s="1">
        <f t="shared" si="117"/>
        <v>6.4504713532554894E-2</v>
      </c>
      <c r="I405" s="1">
        <f t="shared" si="118"/>
        <v>0.23706381441054286</v>
      </c>
      <c r="J405" s="1">
        <f t="shared" si="119"/>
        <v>0.25683186764245358</v>
      </c>
      <c r="K405" s="1">
        <f t="shared" si="120"/>
        <v>0.15792847295390233</v>
      </c>
      <c r="L405" s="1">
        <f t="shared" si="121"/>
        <v>0.15659867061052674</v>
      </c>
      <c r="M405" s="1">
        <f t="shared" si="122"/>
        <v>0.34136997257148699</v>
      </c>
      <c r="N405" s="1">
        <f t="shared" si="123"/>
        <v>0.34150269696159674</v>
      </c>
      <c r="O405" s="1">
        <f t="shared" si="124"/>
        <v>0.34064968942405599</v>
      </c>
      <c r="P405" s="1">
        <f t="shared" si="125"/>
        <v>0.34078658476647034</v>
      </c>
      <c r="Q405" s="1">
        <f t="shared" si="126"/>
        <v>5.1775005892419754</v>
      </c>
      <c r="T405">
        <v>2.896324261831551E-2</v>
      </c>
      <c r="U405">
        <f t="shared" si="133"/>
        <v>34.526520844997833</v>
      </c>
      <c r="V405" s="15">
        <f t="shared" si="127"/>
        <v>0.10304197639427203</v>
      </c>
      <c r="W405" s="15">
        <f t="shared" si="128"/>
        <v>0.1057753682453844</v>
      </c>
      <c r="X405" s="15">
        <f t="shared" si="129"/>
        <v>0.11124215194760896</v>
      </c>
      <c r="Y405" s="15">
        <f t="shared" si="130"/>
        <v>0.14763297309330198</v>
      </c>
      <c r="Z405" s="15">
        <f t="shared" si="131"/>
        <v>0.14970192057754048</v>
      </c>
      <c r="AA405" s="15">
        <f t="shared" si="132"/>
        <v>0.15383981554601778</v>
      </c>
      <c r="AC405" s="1"/>
      <c r="AD405" s="1"/>
      <c r="AE405" s="1"/>
    </row>
    <row r="406" spans="1:31">
      <c r="A406">
        <v>681</v>
      </c>
      <c r="B406">
        <f t="shared" si="112"/>
        <v>0.33758966771511906</v>
      </c>
      <c r="C406">
        <v>0.33491673100032027</v>
      </c>
      <c r="D406">
        <f t="shared" si="113"/>
        <v>2.9858167939631648</v>
      </c>
      <c r="E406" s="1">
        <f t="shared" si="114"/>
        <v>0.18474535249991103</v>
      </c>
      <c r="F406" s="1">
        <f t="shared" si="115"/>
        <v>0.21430460889989678</v>
      </c>
      <c r="G406" s="1">
        <f t="shared" si="116"/>
        <v>6.6508326899967968E-2</v>
      </c>
      <c r="H406" s="1">
        <f t="shared" si="117"/>
        <v>6.4447020981261968E-2</v>
      </c>
      <c r="I406" s="1">
        <f t="shared" si="118"/>
        <v>0.23685178624200176</v>
      </c>
      <c r="J406" s="1">
        <f t="shared" si="119"/>
        <v>0.25660215906944916</v>
      </c>
      <c r="K406" s="1">
        <f t="shared" si="120"/>
        <v>0.15778722286491609</v>
      </c>
      <c r="L406" s="1">
        <f t="shared" si="121"/>
        <v>0.15645860988718063</v>
      </c>
      <c r="M406" s="1">
        <f t="shared" si="122"/>
        <v>0.34106465372618266</v>
      </c>
      <c r="N406" s="1">
        <f t="shared" si="123"/>
        <v>0.34119725940855361</v>
      </c>
      <c r="O406" s="1">
        <f t="shared" si="124"/>
        <v>0.34034501479481205</v>
      </c>
      <c r="P406" s="1">
        <f t="shared" si="125"/>
        <v>0.34048178769901793</v>
      </c>
      <c r="Q406" s="1">
        <f t="shared" si="126"/>
        <v>5.1728698699975091</v>
      </c>
      <c r="T406">
        <v>0.62677838856998291</v>
      </c>
      <c r="U406">
        <f t="shared" si="133"/>
        <v>1.5954602427845916</v>
      </c>
      <c r="V406" s="15">
        <f t="shared" si="127"/>
        <v>0</v>
      </c>
      <c r="W406" s="15">
        <f t="shared" si="128"/>
        <v>0</v>
      </c>
      <c r="X406" s="15">
        <f t="shared" si="129"/>
        <v>0</v>
      </c>
      <c r="Y406" s="15">
        <f t="shared" si="130"/>
        <v>0</v>
      </c>
      <c r="Z406" s="15">
        <f t="shared" si="131"/>
        <v>0</v>
      </c>
      <c r="AA406" s="15">
        <f t="shared" si="132"/>
        <v>0</v>
      </c>
      <c r="AC406" s="1"/>
      <c r="AD406" s="1"/>
      <c r="AE406" s="1"/>
    </row>
    <row r="407" spans="1:31">
      <c r="A407">
        <v>360</v>
      </c>
      <c r="B407">
        <f t="shared" si="112"/>
        <v>0.33896614285780052</v>
      </c>
      <c r="C407">
        <v>0.33628314976614471</v>
      </c>
      <c r="D407">
        <f t="shared" si="113"/>
        <v>2.9736845295264183</v>
      </c>
      <c r="E407" s="1">
        <f t="shared" si="114"/>
        <v>0.18436579173162648</v>
      </c>
      <c r="F407" s="1">
        <f t="shared" si="115"/>
        <v>0.21386431840868669</v>
      </c>
      <c r="G407" s="1">
        <f t="shared" si="116"/>
        <v>6.6371685023385529E-2</v>
      </c>
      <c r="H407" s="1">
        <f t="shared" si="117"/>
        <v>6.4314614073773937E-2</v>
      </c>
      <c r="I407" s="1">
        <f t="shared" si="118"/>
        <v>0.23636517239900601</v>
      </c>
      <c r="J407" s="1">
        <f t="shared" si="119"/>
        <v>0.25607496793136669</v>
      </c>
      <c r="K407" s="1">
        <f t="shared" si="120"/>
        <v>0.15746304778432171</v>
      </c>
      <c r="L407" s="1">
        <f t="shared" si="121"/>
        <v>0.15613716445231623</v>
      </c>
      <c r="M407" s="1">
        <f t="shared" si="122"/>
        <v>0.34036393373376461</v>
      </c>
      <c r="N407" s="1">
        <f t="shared" si="123"/>
        <v>0.34049626697672636</v>
      </c>
      <c r="O407" s="1">
        <f t="shared" si="124"/>
        <v>0.33964577330619383</v>
      </c>
      <c r="P407" s="1">
        <f t="shared" si="125"/>
        <v>0.33978226520940075</v>
      </c>
      <c r="Q407" s="1">
        <f t="shared" si="126"/>
        <v>5.1622421684855411</v>
      </c>
      <c r="T407">
        <v>8.3544630279543619E-2</v>
      </c>
      <c r="U407">
        <f t="shared" si="133"/>
        <v>11.969650193602638</v>
      </c>
      <c r="V407" s="15">
        <f t="shared" si="127"/>
        <v>9.5371552467241646E-2</v>
      </c>
      <c r="W407" s="15">
        <f t="shared" si="128"/>
        <v>9.8621055445948277E-2</v>
      </c>
      <c r="X407" s="15">
        <f t="shared" si="129"/>
        <v>0.1051200614033615</v>
      </c>
      <c r="Y407" s="15">
        <f t="shared" si="130"/>
        <v>0.13630254028849428</v>
      </c>
      <c r="Z407" s="15">
        <f t="shared" si="131"/>
        <v>0.13891600453016317</v>
      </c>
      <c r="AA407" s="15">
        <f t="shared" si="132"/>
        <v>0.14414293301350078</v>
      </c>
      <c r="AC407" s="1"/>
      <c r="AD407" s="1"/>
      <c r="AE407" s="1"/>
    </row>
    <row r="408" spans="1:31">
      <c r="A408">
        <v>823</v>
      </c>
      <c r="B408">
        <f t="shared" si="112"/>
        <v>0.33981546476521762</v>
      </c>
      <c r="C408">
        <v>0.33673114289843342</v>
      </c>
      <c r="D408">
        <f t="shared" si="113"/>
        <v>2.9697282864674777</v>
      </c>
      <c r="E408" s="1">
        <f t="shared" si="114"/>
        <v>0.18424134919487961</v>
      </c>
      <c r="F408" s="1">
        <f t="shared" si="115"/>
        <v>0.21371996506606034</v>
      </c>
      <c r="G408" s="1">
        <f t="shared" si="116"/>
        <v>6.6326885710156658E-2</v>
      </c>
      <c r="H408" s="1">
        <f t="shared" si="117"/>
        <v>6.4271203234647731E-2</v>
      </c>
      <c r="I408" s="1">
        <f t="shared" si="118"/>
        <v>0.23620563151359728</v>
      </c>
      <c r="J408" s="1">
        <f t="shared" si="119"/>
        <v>0.25590212340143814</v>
      </c>
      <c r="K408" s="1">
        <f t="shared" si="120"/>
        <v>0.15735676396167689</v>
      </c>
      <c r="L408" s="1">
        <f t="shared" si="121"/>
        <v>0.15603177556947406</v>
      </c>
      <c r="M408" s="1">
        <f t="shared" si="122"/>
        <v>0.34013419615103213</v>
      </c>
      <c r="N408" s="1">
        <f t="shared" si="123"/>
        <v>0.34026644007219353</v>
      </c>
      <c r="O408" s="1">
        <f t="shared" si="124"/>
        <v>0.33941652046471715</v>
      </c>
      <c r="P408" s="1">
        <f t="shared" si="125"/>
        <v>0.33955292023912664</v>
      </c>
      <c r="Q408" s="1">
        <f t="shared" si="126"/>
        <v>5.1587577774566293</v>
      </c>
      <c r="T408">
        <v>4.6776479713666941E-2</v>
      </c>
      <c r="U408">
        <f t="shared" si="133"/>
        <v>21.378265447107268</v>
      </c>
      <c r="V408" s="15">
        <f t="shared" si="127"/>
        <v>0.10304197639427203</v>
      </c>
      <c r="W408" s="15">
        <f t="shared" si="128"/>
        <v>0.1057753682453844</v>
      </c>
      <c r="X408" s="15">
        <f t="shared" si="129"/>
        <v>0.11124215194760896</v>
      </c>
      <c r="Y408" s="15">
        <f t="shared" si="130"/>
        <v>0.14763297309330198</v>
      </c>
      <c r="Z408" s="15">
        <f t="shared" si="131"/>
        <v>0.14970192057754048</v>
      </c>
      <c r="AA408" s="15">
        <f t="shared" si="132"/>
        <v>0.15383981554601778</v>
      </c>
      <c r="AC408" s="1"/>
      <c r="AD408" s="1"/>
      <c r="AE408" s="1"/>
    </row>
    <row r="409" spans="1:31">
      <c r="A409">
        <v>158</v>
      </c>
      <c r="B409">
        <f t="shared" si="112"/>
        <v>0.34101404748863945</v>
      </c>
      <c r="C409">
        <v>0.33733602793080508</v>
      </c>
      <c r="D409">
        <f t="shared" si="113"/>
        <v>2.9644031980038656</v>
      </c>
      <c r="E409" s="1">
        <f t="shared" si="114"/>
        <v>0.18407332557477635</v>
      </c>
      <c r="F409" s="1">
        <f t="shared" si="115"/>
        <v>0.21352505766674057</v>
      </c>
      <c r="G409" s="1">
        <f t="shared" si="116"/>
        <v>6.6266397206919486E-2</v>
      </c>
      <c r="H409" s="1">
        <f t="shared" si="117"/>
        <v>6.421258946372678E-2</v>
      </c>
      <c r="I409" s="1">
        <f t="shared" si="118"/>
        <v>0.23599021773450196</v>
      </c>
      <c r="J409" s="1">
        <f t="shared" si="119"/>
        <v>0.25566874690178754</v>
      </c>
      <c r="K409" s="1">
        <f t="shared" si="120"/>
        <v>0.15721325842807052</v>
      </c>
      <c r="L409" s="1">
        <f t="shared" si="121"/>
        <v>0.1558894783929885</v>
      </c>
      <c r="M409" s="1">
        <f t="shared" si="122"/>
        <v>0.33982400205395275</v>
      </c>
      <c r="N409" s="1">
        <f t="shared" si="123"/>
        <v>0.33995612537188108</v>
      </c>
      <c r="O409" s="1">
        <f t="shared" si="124"/>
        <v>0.33910698087037228</v>
      </c>
      <c r="P409" s="1">
        <f t="shared" si="125"/>
        <v>0.33924325625151192</v>
      </c>
      <c r="Q409" s="1">
        <f t="shared" si="126"/>
        <v>5.1540531160937384</v>
      </c>
      <c r="T409">
        <v>7.9914891375198582E-2</v>
      </c>
      <c r="U409">
        <f t="shared" si="133"/>
        <v>12.51331238511009</v>
      </c>
      <c r="V409" s="15">
        <f t="shared" si="127"/>
        <v>9.6154643847027099E-2</v>
      </c>
      <c r="W409" s="15">
        <f t="shared" si="128"/>
        <v>9.9352872197096417E-2</v>
      </c>
      <c r="X409" s="15">
        <f t="shared" si="129"/>
        <v>0.10574932889723504</v>
      </c>
      <c r="Y409" s="15">
        <f t="shared" si="130"/>
        <v>0.13745967799688302</v>
      </c>
      <c r="Z409" s="15">
        <f t="shared" si="131"/>
        <v>0.14001912682571369</v>
      </c>
      <c r="AA409" s="15">
        <f t="shared" si="132"/>
        <v>0.1451380244833749</v>
      </c>
      <c r="AC409" s="1"/>
      <c r="AD409" s="1"/>
      <c r="AE409" s="1"/>
    </row>
    <row r="410" spans="1:31">
      <c r="A410">
        <v>593</v>
      </c>
      <c r="B410">
        <f t="shared" si="112"/>
        <v>0.34188796328443866</v>
      </c>
      <c r="C410">
        <v>0.33777197424166205</v>
      </c>
      <c r="D410">
        <f t="shared" si="113"/>
        <v>2.9605771830096859</v>
      </c>
      <c r="E410" s="1">
        <f t="shared" si="114"/>
        <v>0.18395222937731609</v>
      </c>
      <c r="F410" s="1">
        <f t="shared" si="115"/>
        <v>0.21338458607768668</v>
      </c>
      <c r="G410" s="1">
        <f t="shared" si="116"/>
        <v>6.6222802575833795E-2</v>
      </c>
      <c r="H410" s="1">
        <f t="shared" si="117"/>
        <v>6.4170345969788406E-2</v>
      </c>
      <c r="I410" s="1">
        <f t="shared" si="118"/>
        <v>0.23583496700539042</v>
      </c>
      <c r="J410" s="1">
        <f t="shared" si="119"/>
        <v>0.25550055027165353</v>
      </c>
      <c r="K410" s="1">
        <f t="shared" si="120"/>
        <v>0.15710983264529327</v>
      </c>
      <c r="L410" s="1">
        <f t="shared" si="121"/>
        <v>0.15578692348451109</v>
      </c>
      <c r="M410" s="1">
        <f t="shared" si="122"/>
        <v>0.33960044226153868</v>
      </c>
      <c r="N410" s="1">
        <f t="shared" si="123"/>
        <v>0.33973247865958689</v>
      </c>
      <c r="O410" s="1">
        <f t="shared" si="124"/>
        <v>0.33888389278421205</v>
      </c>
      <c r="P410" s="1">
        <f t="shared" si="125"/>
        <v>0.33902007851395638</v>
      </c>
      <c r="Q410" s="1">
        <f t="shared" si="126"/>
        <v>5.1506624225648512</v>
      </c>
      <c r="T410">
        <v>0.23267062863994625</v>
      </c>
      <c r="U410">
        <f t="shared" si="133"/>
        <v>4.2979210820265701</v>
      </c>
      <c r="V410" s="15">
        <f t="shared" si="127"/>
        <v>7.5366783339995289E-2</v>
      </c>
      <c r="W410" s="15">
        <f t="shared" si="128"/>
        <v>7.977356720153643E-2</v>
      </c>
      <c r="X410" s="15">
        <f t="shared" si="129"/>
        <v>8.8587134924618796E-2</v>
      </c>
      <c r="Y410" s="15">
        <f t="shared" si="130"/>
        <v>0.10671768579429734</v>
      </c>
      <c r="Z410" s="15">
        <f t="shared" si="131"/>
        <v>0.11053881353536731</v>
      </c>
      <c r="AA410" s="15">
        <f t="shared" si="132"/>
        <v>0.11818106901750736</v>
      </c>
      <c r="AC410" s="1"/>
      <c r="AD410" s="1"/>
      <c r="AE410" s="1"/>
    </row>
    <row r="411" spans="1:31">
      <c r="A411">
        <v>111</v>
      </c>
      <c r="B411">
        <f t="shared" si="112"/>
        <v>0.34407194048761663</v>
      </c>
      <c r="C411">
        <v>0.33903315358359065</v>
      </c>
      <c r="D411">
        <f t="shared" si="113"/>
        <v>2.9495640453742351</v>
      </c>
      <c r="E411" s="1">
        <f t="shared" si="114"/>
        <v>0.18360190178233593</v>
      </c>
      <c r="F411" s="1">
        <f t="shared" si="115"/>
        <v>0.21297820606750967</v>
      </c>
      <c r="G411" s="1">
        <f t="shared" si="116"/>
        <v>6.6096684641640938E-2</v>
      </c>
      <c r="H411" s="1">
        <f t="shared" si="117"/>
        <v>6.4048136834032127E-2</v>
      </c>
      <c r="I411" s="1">
        <f t="shared" si="118"/>
        <v>0.23538583139511327</v>
      </c>
      <c r="J411" s="1">
        <f t="shared" si="119"/>
        <v>0.25501396256572695</v>
      </c>
      <c r="K411" s="1">
        <f t="shared" si="120"/>
        <v>0.15681062501946197</v>
      </c>
      <c r="L411" s="1">
        <f t="shared" si="121"/>
        <v>0.1554902352713895</v>
      </c>
      <c r="M411" s="1">
        <f t="shared" si="122"/>
        <v>0.33895369062066749</v>
      </c>
      <c r="N411" s="1">
        <f t="shared" si="123"/>
        <v>0.33908547556216129</v>
      </c>
      <c r="O411" s="1">
        <f t="shared" si="124"/>
        <v>0.33823850577510384</v>
      </c>
      <c r="P411" s="1">
        <f t="shared" si="125"/>
        <v>0.33837443214610419</v>
      </c>
      <c r="Q411" s="1">
        <f t="shared" si="126"/>
        <v>5.1408532499054065</v>
      </c>
      <c r="T411">
        <v>0.60240084766856006</v>
      </c>
      <c r="U411">
        <f t="shared" si="133"/>
        <v>1.6600242245180212</v>
      </c>
      <c r="V411" s="15">
        <f t="shared" si="127"/>
        <v>0</v>
      </c>
      <c r="W411" s="15">
        <f t="shared" si="128"/>
        <v>0</v>
      </c>
      <c r="X411" s="15">
        <f t="shared" si="129"/>
        <v>0</v>
      </c>
      <c r="Y411" s="15">
        <f t="shared" si="130"/>
        <v>0</v>
      </c>
      <c r="Z411" s="15">
        <f t="shared" si="131"/>
        <v>0</v>
      </c>
      <c r="AA411" s="15">
        <f t="shared" si="132"/>
        <v>0</v>
      </c>
      <c r="AC411" s="1"/>
      <c r="AD411" s="1"/>
      <c r="AE411" s="1"/>
    </row>
    <row r="412" spans="1:31">
      <c r="A412">
        <v>34</v>
      </c>
      <c r="B412">
        <f t="shared" si="112"/>
        <v>0.34525796451333002</v>
      </c>
      <c r="C412">
        <v>0.34101664208424609</v>
      </c>
      <c r="D412">
        <f t="shared" si="113"/>
        <v>2.9324082070837942</v>
      </c>
      <c r="E412" s="1">
        <f t="shared" si="114"/>
        <v>0.18305093275437609</v>
      </c>
      <c r="F412" s="1">
        <f t="shared" si="115"/>
        <v>0.21233908199507626</v>
      </c>
      <c r="G412" s="1">
        <f t="shared" si="116"/>
        <v>6.5898335791575391E-2</v>
      </c>
      <c r="H412" s="1">
        <f t="shared" si="117"/>
        <v>6.3855935449669998E-2</v>
      </c>
      <c r="I412" s="1">
        <f t="shared" si="118"/>
        <v>0.23467946451404995</v>
      </c>
      <c r="J412" s="1">
        <f t="shared" si="119"/>
        <v>0.2542486938309968</v>
      </c>
      <c r="K412" s="1">
        <f t="shared" si="120"/>
        <v>0.15634005365390405</v>
      </c>
      <c r="L412" s="1">
        <f t="shared" si="121"/>
        <v>0.15502362624962518</v>
      </c>
      <c r="M412" s="1">
        <f t="shared" si="122"/>
        <v>0.33793652803339719</v>
      </c>
      <c r="N412" s="1">
        <f t="shared" si="123"/>
        <v>0.33806791750283749</v>
      </c>
      <c r="O412" s="1">
        <f t="shared" si="124"/>
        <v>0.33722348937856111</v>
      </c>
      <c r="P412" s="1">
        <f t="shared" si="125"/>
        <v>0.33735900784953549</v>
      </c>
      <c r="Q412" s="1">
        <f t="shared" si="126"/>
        <v>5.1254261171225304</v>
      </c>
      <c r="T412">
        <v>0.70688885004003499</v>
      </c>
      <c r="U412">
        <f t="shared" si="133"/>
        <v>1.414649559040809</v>
      </c>
      <c r="V412" s="15">
        <f t="shared" si="127"/>
        <v>0</v>
      </c>
      <c r="W412" s="15">
        <f t="shared" si="128"/>
        <v>0</v>
      </c>
      <c r="X412" s="15">
        <f t="shared" si="129"/>
        <v>0</v>
      </c>
      <c r="Y412" s="15">
        <f t="shared" si="130"/>
        <v>0</v>
      </c>
      <c r="Z412" s="15">
        <f t="shared" si="131"/>
        <v>0</v>
      </c>
      <c r="AA412" s="15">
        <f t="shared" si="132"/>
        <v>0</v>
      </c>
      <c r="AC412" s="1"/>
      <c r="AD412" s="1"/>
      <c r="AE412" s="1"/>
    </row>
    <row r="413" spans="1:31">
      <c r="A413">
        <v>237</v>
      </c>
      <c r="B413">
        <f t="shared" si="112"/>
        <v>0.34805281997511045</v>
      </c>
      <c r="C413">
        <v>0.34302335938070128</v>
      </c>
      <c r="D413">
        <f t="shared" si="113"/>
        <v>2.9152533571049291</v>
      </c>
      <c r="E413" s="1">
        <f t="shared" si="114"/>
        <v>0.18249351128313854</v>
      </c>
      <c r="F413" s="1">
        <f t="shared" si="115"/>
        <v>0.21169247308844069</v>
      </c>
      <c r="G413" s="1">
        <f t="shared" si="116"/>
        <v>6.5697664061929867E-2</v>
      </c>
      <c r="H413" s="1">
        <f t="shared" si="117"/>
        <v>6.3661483179200729E-2</v>
      </c>
      <c r="I413" s="1">
        <f t="shared" si="118"/>
        <v>0.23396482531276164</v>
      </c>
      <c r="J413" s="1">
        <f t="shared" si="119"/>
        <v>0.25347446297162352</v>
      </c>
      <c r="K413" s="1">
        <f t="shared" si="120"/>
        <v>0.15586397138865793</v>
      </c>
      <c r="L413" s="1">
        <f t="shared" si="121"/>
        <v>0.15455155273150442</v>
      </c>
      <c r="M413" s="1">
        <f t="shared" si="122"/>
        <v>0.33690745337200745</v>
      </c>
      <c r="N413" s="1">
        <f t="shared" si="123"/>
        <v>0.33703844273798883</v>
      </c>
      <c r="O413" s="1">
        <f t="shared" si="124"/>
        <v>0.33619658604211378</v>
      </c>
      <c r="P413" s="1">
        <f t="shared" si="125"/>
        <v>0.33633169183611172</v>
      </c>
      <c r="Q413" s="1">
        <f t="shared" si="126"/>
        <v>5.1098183159278792</v>
      </c>
      <c r="T413">
        <v>0.28053097639083258</v>
      </c>
      <c r="U413">
        <f t="shared" si="133"/>
        <v>3.5646687323641983</v>
      </c>
      <c r="V413" s="15">
        <f t="shared" si="127"/>
        <v>7.2235828255265963E-2</v>
      </c>
      <c r="W413" s="15">
        <f t="shared" si="128"/>
        <v>7.6767377782931995E-2</v>
      </c>
      <c r="X413" s="15">
        <f t="shared" si="129"/>
        <v>8.58304768382641E-2</v>
      </c>
      <c r="Y413" s="15">
        <f t="shared" si="130"/>
        <v>0.1020837402887365</v>
      </c>
      <c r="Z413" s="15">
        <f t="shared" si="131"/>
        <v>0.10602953036215444</v>
      </c>
      <c r="AA413" s="15">
        <f t="shared" si="132"/>
        <v>0.11392111050899041</v>
      </c>
      <c r="AC413" s="1"/>
      <c r="AD413" s="1"/>
      <c r="AE413" s="1"/>
    </row>
    <row r="414" spans="1:31">
      <c r="A414">
        <v>225</v>
      </c>
      <c r="B414">
        <f t="shared" si="112"/>
        <v>0.35017153087154984</v>
      </c>
      <c r="C414">
        <v>0.34453402102036046</v>
      </c>
      <c r="D414">
        <f t="shared" si="113"/>
        <v>2.9024709868663576</v>
      </c>
      <c r="E414" s="1">
        <f t="shared" si="114"/>
        <v>0.18207388304989985</v>
      </c>
      <c r="F414" s="1">
        <f t="shared" si="115"/>
        <v>0.21120570433788383</v>
      </c>
      <c r="G414" s="1">
        <f t="shared" si="116"/>
        <v>6.5546597897963965E-2</v>
      </c>
      <c r="H414" s="1">
        <f t="shared" si="117"/>
        <v>6.3515099039161943E-2</v>
      </c>
      <c r="I414" s="1">
        <f t="shared" si="118"/>
        <v>0.2334268431916677</v>
      </c>
      <c r="J414" s="1">
        <f t="shared" si="119"/>
        <v>0.25289162010603317</v>
      </c>
      <c r="K414" s="1">
        <f t="shared" si="120"/>
        <v>0.15550557550663718</v>
      </c>
      <c r="L414" s="1">
        <f t="shared" si="121"/>
        <v>0.15419617464402605</v>
      </c>
      <c r="M414" s="1">
        <f t="shared" si="122"/>
        <v>0.33613276347520293</v>
      </c>
      <c r="N414" s="1">
        <f t="shared" si="123"/>
        <v>0.33626345164233162</v>
      </c>
      <c r="O414" s="1">
        <f t="shared" si="124"/>
        <v>0.3354235307239834</v>
      </c>
      <c r="P414" s="1">
        <f t="shared" si="125"/>
        <v>0.33555832585375422</v>
      </c>
      <c r="Q414" s="1">
        <f t="shared" si="126"/>
        <v>5.098068725397197</v>
      </c>
      <c r="T414">
        <v>0.51766393754309059</v>
      </c>
      <c r="U414">
        <f t="shared" si="133"/>
        <v>1.931755193815794</v>
      </c>
      <c r="V414" s="15">
        <f t="shared" si="127"/>
        <v>0</v>
      </c>
      <c r="W414" s="15">
        <f t="shared" si="128"/>
        <v>0</v>
      </c>
      <c r="X414" s="15">
        <f t="shared" si="129"/>
        <v>0</v>
      </c>
      <c r="Y414" s="15">
        <f t="shared" si="130"/>
        <v>0</v>
      </c>
      <c r="Z414" s="15">
        <f t="shared" si="131"/>
        <v>0</v>
      </c>
      <c r="AA414" s="15">
        <f t="shared" si="132"/>
        <v>0</v>
      </c>
      <c r="AC414" s="1"/>
      <c r="AD414" s="1"/>
      <c r="AE414" s="1"/>
    </row>
    <row r="415" spans="1:31">
      <c r="A415">
        <v>81</v>
      </c>
      <c r="B415">
        <f t="shared" si="112"/>
        <v>0.35024218603404705</v>
      </c>
      <c r="C415">
        <v>0.34466192115034133</v>
      </c>
      <c r="D415">
        <f t="shared" si="113"/>
        <v>2.9013939128012942</v>
      </c>
      <c r="E415" s="1">
        <f t="shared" si="114"/>
        <v>0.1820383552360163</v>
      </c>
      <c r="F415" s="1">
        <f t="shared" si="115"/>
        <v>0.21116449207377891</v>
      </c>
      <c r="G415" s="1">
        <f t="shared" si="116"/>
        <v>6.5533807884965878E-2</v>
      </c>
      <c r="H415" s="1">
        <f t="shared" si="117"/>
        <v>6.3502705429602679E-2</v>
      </c>
      <c r="I415" s="1">
        <f t="shared" si="118"/>
        <v>0.2333812949488257</v>
      </c>
      <c r="J415" s="1">
        <f t="shared" si="119"/>
        <v>0.25284227372937917</v>
      </c>
      <c r="K415" s="1">
        <f t="shared" si="120"/>
        <v>0.1554752319282397</v>
      </c>
      <c r="L415" s="1">
        <f t="shared" si="121"/>
        <v>0.1541660865671281</v>
      </c>
      <c r="M415" s="1">
        <f t="shared" si="122"/>
        <v>0.33606717437444406</v>
      </c>
      <c r="N415" s="1">
        <f t="shared" si="123"/>
        <v>0.33619783704057937</v>
      </c>
      <c r="O415" s="1">
        <f t="shared" si="124"/>
        <v>0.33535808001478717</v>
      </c>
      <c r="P415" s="1">
        <f t="shared" si="125"/>
        <v>0.33549284884217889</v>
      </c>
      <c r="Q415" s="1">
        <f t="shared" si="126"/>
        <v>5.0970739466084565</v>
      </c>
      <c r="T415">
        <v>6.1587699552015263E-2</v>
      </c>
      <c r="U415">
        <f t="shared" si="133"/>
        <v>16.237008481789903</v>
      </c>
      <c r="V415" s="15">
        <f t="shared" si="127"/>
        <v>9.9740690077518207E-2</v>
      </c>
      <c r="W415" s="15">
        <f t="shared" si="128"/>
        <v>0.10269988645931566</v>
      </c>
      <c r="X415" s="15">
        <f t="shared" si="129"/>
        <v>0.10861827922291059</v>
      </c>
      <c r="Y415" s="15">
        <f t="shared" si="130"/>
        <v>0.14275745497236661</v>
      </c>
      <c r="Z415" s="15">
        <f t="shared" si="131"/>
        <v>0.14506484559682173</v>
      </c>
      <c r="AA415" s="15">
        <f t="shared" si="132"/>
        <v>0.14967962684573194</v>
      </c>
      <c r="AC415" s="1"/>
      <c r="AD415" s="1"/>
      <c r="AE415" s="1"/>
    </row>
    <row r="416" spans="1:31">
      <c r="A416">
        <v>535</v>
      </c>
      <c r="B416">
        <f t="shared" si="112"/>
        <v>0.35077801425298405</v>
      </c>
      <c r="C416">
        <v>0.34554413091597935</v>
      </c>
      <c r="D416">
        <f t="shared" si="113"/>
        <v>2.89398635522811</v>
      </c>
      <c r="E416" s="1">
        <f t="shared" si="114"/>
        <v>0.18179329696778351</v>
      </c>
      <c r="F416" s="1">
        <f t="shared" si="115"/>
        <v>0.21088022448262886</v>
      </c>
      <c r="G416" s="1">
        <f t="shared" si="116"/>
        <v>6.5445586908402076E-2</v>
      </c>
      <c r="H416" s="1">
        <f t="shared" si="117"/>
        <v>6.3417218703464673E-2</v>
      </c>
      <c r="I416" s="1">
        <f t="shared" si="118"/>
        <v>0.23306711931312557</v>
      </c>
      <c r="J416" s="1">
        <f t="shared" si="119"/>
        <v>0.25250189991279626</v>
      </c>
      <c r="K416" s="1">
        <f t="shared" si="120"/>
        <v>0.15526593267896871</v>
      </c>
      <c r="L416" s="1">
        <f t="shared" si="121"/>
        <v>0.15395854967664488</v>
      </c>
      <c r="M416" s="1">
        <f t="shared" si="122"/>
        <v>0.33561476400380919</v>
      </c>
      <c r="N416" s="1">
        <f t="shared" si="123"/>
        <v>0.33574525077313067</v>
      </c>
      <c r="O416" s="1">
        <f t="shared" si="124"/>
        <v>0.33490662422010176</v>
      </c>
      <c r="P416" s="1">
        <f t="shared" si="125"/>
        <v>0.33504121162300521</v>
      </c>
      <c r="Q416" s="1">
        <f t="shared" si="126"/>
        <v>5.0902123150979381</v>
      </c>
      <c r="T416">
        <v>8.8994976060067899E-2</v>
      </c>
      <c r="U416">
        <f t="shared" si="133"/>
        <v>11.236589347751964</v>
      </c>
      <c r="V416" s="15">
        <f t="shared" si="127"/>
        <v>9.4195677587516999E-2</v>
      </c>
      <c r="W416" s="15">
        <f t="shared" si="128"/>
        <v>9.7522173557512012E-2</v>
      </c>
      <c r="X416" s="15">
        <f t="shared" si="129"/>
        <v>0.10417516549750196</v>
      </c>
      <c r="Y416" s="15">
        <f t="shared" si="130"/>
        <v>0.13456500467157914</v>
      </c>
      <c r="Z416" s="15">
        <f t="shared" si="131"/>
        <v>0.13725957741311659</v>
      </c>
      <c r="AA416" s="15">
        <f t="shared" si="132"/>
        <v>0.14264872289619135</v>
      </c>
      <c r="AC416" s="1"/>
      <c r="AD416" s="1"/>
      <c r="AE416" s="1"/>
    </row>
    <row r="417" spans="1:31">
      <c r="A417">
        <v>205</v>
      </c>
      <c r="B417">
        <f t="shared" si="112"/>
        <v>0.35175347377138239</v>
      </c>
      <c r="C417">
        <v>0.34661815249929051</v>
      </c>
      <c r="D417">
        <f t="shared" si="113"/>
        <v>2.885019127790911</v>
      </c>
      <c r="E417" s="1">
        <f t="shared" si="114"/>
        <v>0.18149495763908596</v>
      </c>
      <c r="F417" s="1">
        <f t="shared" si="115"/>
        <v>0.2105341508613397</v>
      </c>
      <c r="G417" s="1">
        <f t="shared" si="116"/>
        <v>6.5338184750070943E-2</v>
      </c>
      <c r="H417" s="1">
        <f t="shared" si="117"/>
        <v>6.3313145281774036E-2</v>
      </c>
      <c r="I417" s="1">
        <f t="shared" si="118"/>
        <v>0.23268463498022041</v>
      </c>
      <c r="J417" s="1">
        <f t="shared" si="119"/>
        <v>0.25208752133794599</v>
      </c>
      <c r="K417" s="1">
        <f t="shared" si="120"/>
        <v>0.15501112716689722</v>
      </c>
      <c r="L417" s="1">
        <f t="shared" si="121"/>
        <v>0.1537058896989455</v>
      </c>
      <c r="M417" s="1">
        <f t="shared" si="122"/>
        <v>0.33506398966248885</v>
      </c>
      <c r="N417" s="1">
        <f t="shared" si="123"/>
        <v>0.33519426229115823</v>
      </c>
      <c r="O417" s="1">
        <f t="shared" si="124"/>
        <v>0.33435701200054951</v>
      </c>
      <c r="P417" s="1">
        <f t="shared" si="125"/>
        <v>0.33449137853328831</v>
      </c>
      <c r="Q417" s="1">
        <f t="shared" si="126"/>
        <v>5.0818588138944074</v>
      </c>
      <c r="T417">
        <v>0.64038823672745915</v>
      </c>
      <c r="U417">
        <f t="shared" si="133"/>
        <v>1.5615527310592792</v>
      </c>
      <c r="V417" s="15">
        <f t="shared" si="127"/>
        <v>0</v>
      </c>
      <c r="W417" s="15">
        <f t="shared" si="128"/>
        <v>0</v>
      </c>
      <c r="X417" s="15">
        <f t="shared" si="129"/>
        <v>0</v>
      </c>
      <c r="Y417" s="15">
        <f t="shared" si="130"/>
        <v>0</v>
      </c>
      <c r="Z417" s="15">
        <f t="shared" si="131"/>
        <v>0</v>
      </c>
      <c r="AA417" s="15">
        <f t="shared" si="132"/>
        <v>0</v>
      </c>
      <c r="AC417" s="1"/>
      <c r="AD417" s="1"/>
      <c r="AE417" s="1"/>
    </row>
    <row r="418" spans="1:31">
      <c r="A418">
        <v>679</v>
      </c>
      <c r="B418">
        <f t="shared" si="112"/>
        <v>0.35489422322870184</v>
      </c>
      <c r="C418">
        <v>0.34872691556762725</v>
      </c>
      <c r="D418">
        <f t="shared" si="113"/>
        <v>2.8675733227310181</v>
      </c>
      <c r="E418" s="1">
        <f t="shared" si="114"/>
        <v>0.18090919012010354</v>
      </c>
      <c r="F418" s="1">
        <f t="shared" si="115"/>
        <v>0.20985466053932011</v>
      </c>
      <c r="G418" s="1">
        <f t="shared" si="116"/>
        <v>6.5127308443237275E-2</v>
      </c>
      <c r="H418" s="1">
        <f t="shared" si="117"/>
        <v>6.3108804706624694E-2</v>
      </c>
      <c r="I418" s="1">
        <f t="shared" si="118"/>
        <v>0.2319336548807692</v>
      </c>
      <c r="J418" s="1">
        <f t="shared" si="119"/>
        <v>0.25127391921995107</v>
      </c>
      <c r="K418" s="1">
        <f t="shared" si="120"/>
        <v>0.15451083512266431</v>
      </c>
      <c r="L418" s="1">
        <f t="shared" si="121"/>
        <v>0.15320981025501415</v>
      </c>
      <c r="M418" s="1">
        <f t="shared" si="122"/>
        <v>0.33398258440210005</v>
      </c>
      <c r="N418" s="1">
        <f t="shared" si="123"/>
        <v>0.3341124365812127</v>
      </c>
      <c r="O418" s="1">
        <f t="shared" si="124"/>
        <v>0.33327788848151813</v>
      </c>
      <c r="P418" s="1">
        <f t="shared" si="125"/>
        <v>0.33341182135179304</v>
      </c>
      <c r="Q418" s="1">
        <f t="shared" si="126"/>
        <v>5.0654573233628994</v>
      </c>
      <c r="T418">
        <v>0.79115352313459708</v>
      </c>
      <c r="U418">
        <f t="shared" si="133"/>
        <v>1.2639771811139016</v>
      </c>
      <c r="V418" s="15">
        <f t="shared" si="127"/>
        <v>0</v>
      </c>
      <c r="W418" s="15">
        <f t="shared" si="128"/>
        <v>0</v>
      </c>
      <c r="X418" s="15">
        <f t="shared" si="129"/>
        <v>0</v>
      </c>
      <c r="Y418" s="15">
        <f t="shared" si="130"/>
        <v>0</v>
      </c>
      <c r="Z418" s="15">
        <f t="shared" si="131"/>
        <v>0</v>
      </c>
      <c r="AA418" s="15">
        <f t="shared" si="132"/>
        <v>0</v>
      </c>
      <c r="AC418" s="1"/>
      <c r="AD418" s="1"/>
      <c r="AE418" s="1"/>
    </row>
    <row r="419" spans="1:31">
      <c r="A419">
        <v>177</v>
      </c>
      <c r="B419">
        <f t="shared" si="112"/>
        <v>0.35615490794967197</v>
      </c>
      <c r="C419">
        <v>0.35006674883287758</v>
      </c>
      <c r="D419">
        <f t="shared" si="113"/>
        <v>2.8565980726075804</v>
      </c>
      <c r="E419" s="1">
        <f t="shared" si="114"/>
        <v>0.18053701421308954</v>
      </c>
      <c r="F419" s="1">
        <f t="shared" si="115"/>
        <v>0.20942293648718385</v>
      </c>
      <c r="G419" s="1">
        <f t="shared" si="116"/>
        <v>6.4993325116712242E-2</v>
      </c>
      <c r="H419" s="1">
        <f t="shared" si="117"/>
        <v>6.297897395221877E-2</v>
      </c>
      <c r="I419" s="1">
        <f t="shared" si="118"/>
        <v>0.23145650875947479</v>
      </c>
      <c r="J419" s="1">
        <f t="shared" si="119"/>
        <v>0.2507569852889962</v>
      </c>
      <c r="K419" s="1">
        <f t="shared" si="120"/>
        <v>0.15419296730087434</v>
      </c>
      <c r="L419" s="1">
        <f t="shared" si="121"/>
        <v>0.15289461897005374</v>
      </c>
      <c r="M419" s="1">
        <f t="shared" si="122"/>
        <v>0.33329549785224483</v>
      </c>
      <c r="N419" s="1">
        <f t="shared" si="123"/>
        <v>0.33342508289262063</v>
      </c>
      <c r="O419" s="1">
        <f t="shared" si="124"/>
        <v>0.33259225166919826</v>
      </c>
      <c r="P419" s="1">
        <f t="shared" si="125"/>
        <v>0.33272590900572363</v>
      </c>
      <c r="Q419" s="1">
        <f t="shared" si="126"/>
        <v>5.0550363979665081</v>
      </c>
      <c r="T419">
        <v>0.97326000106774535</v>
      </c>
      <c r="U419">
        <f t="shared" si="133"/>
        <v>1.0274746716220935</v>
      </c>
      <c r="V419" s="15">
        <f t="shared" si="127"/>
        <v>0</v>
      </c>
      <c r="W419" s="15">
        <f t="shared" si="128"/>
        <v>0</v>
      </c>
      <c r="X419" s="15">
        <f t="shared" si="129"/>
        <v>0</v>
      </c>
      <c r="Y419" s="15">
        <f t="shared" si="130"/>
        <v>0</v>
      </c>
      <c r="Z419" s="15">
        <f t="shared" si="131"/>
        <v>0</v>
      </c>
      <c r="AA419" s="15">
        <f t="shared" si="132"/>
        <v>0</v>
      </c>
      <c r="AC419" s="1"/>
      <c r="AD419" s="1"/>
      <c r="AE419" s="1"/>
    </row>
    <row r="420" spans="1:31">
      <c r="A420">
        <v>331</v>
      </c>
      <c r="B420">
        <f t="shared" si="112"/>
        <v>0.35643937065531794</v>
      </c>
      <c r="C420">
        <v>0.35061972628799165</v>
      </c>
      <c r="D420">
        <f t="shared" si="113"/>
        <v>2.8520928088872588</v>
      </c>
      <c r="E420" s="1">
        <f t="shared" si="114"/>
        <v>0.18038340936444675</v>
      </c>
      <c r="F420" s="1">
        <f t="shared" si="115"/>
        <v>0.20924475486275823</v>
      </c>
      <c r="G420" s="1">
        <f t="shared" si="116"/>
        <v>6.4938027371200829E-2</v>
      </c>
      <c r="H420" s="1">
        <f t="shared" si="117"/>
        <v>6.2925390060827993E-2</v>
      </c>
      <c r="I420" s="1">
        <f t="shared" si="118"/>
        <v>0.23125958048883538</v>
      </c>
      <c r="J420" s="1">
        <f t="shared" si="119"/>
        <v>0.25054363574990401</v>
      </c>
      <c r="K420" s="1">
        <f t="shared" si="120"/>
        <v>0.15406177654474451</v>
      </c>
      <c r="L420" s="1">
        <f t="shared" si="121"/>
        <v>0.15276453287714056</v>
      </c>
      <c r="M420" s="1">
        <f t="shared" si="122"/>
        <v>0.33301192273761215</v>
      </c>
      <c r="N420" s="1">
        <f t="shared" si="123"/>
        <v>0.33314139752419536</v>
      </c>
      <c r="O420" s="1">
        <f t="shared" si="124"/>
        <v>0.3323092748918316</v>
      </c>
      <c r="P420" s="1">
        <f t="shared" si="125"/>
        <v>0.33244281850976565</v>
      </c>
      <c r="Q420" s="1">
        <f t="shared" si="126"/>
        <v>5.0507354622045098</v>
      </c>
      <c r="T420">
        <v>1.2399291959278691E-2</v>
      </c>
      <c r="U420">
        <f t="shared" si="133"/>
        <v>80.649766396675233</v>
      </c>
      <c r="V420" s="15">
        <f t="shared" si="127"/>
        <v>0.10304197639427203</v>
      </c>
      <c r="W420" s="15">
        <f t="shared" si="128"/>
        <v>0.1057753682453844</v>
      </c>
      <c r="X420" s="15">
        <f t="shared" si="129"/>
        <v>0.11124215194760896</v>
      </c>
      <c r="Y420" s="15">
        <f t="shared" si="130"/>
        <v>0.14763297309330198</v>
      </c>
      <c r="Z420" s="15">
        <f t="shared" si="131"/>
        <v>0.14970192057754048</v>
      </c>
      <c r="AA420" s="15">
        <f t="shared" si="132"/>
        <v>0.15383981554601778</v>
      </c>
      <c r="AC420" s="1"/>
      <c r="AD420" s="1"/>
      <c r="AE420" s="1"/>
    </row>
    <row r="421" spans="1:31">
      <c r="A421">
        <v>222</v>
      </c>
      <c r="B421">
        <f t="shared" si="112"/>
        <v>0.35710347077165516</v>
      </c>
      <c r="C421">
        <v>0.35141679828319972</v>
      </c>
      <c r="D421">
        <f t="shared" si="113"/>
        <v>2.8456237860152607</v>
      </c>
      <c r="E421" s="1">
        <f t="shared" si="114"/>
        <v>0.18016200047688896</v>
      </c>
      <c r="F421" s="1">
        <f t="shared" si="115"/>
        <v>0.20898792055319118</v>
      </c>
      <c r="G421" s="1">
        <f t="shared" si="116"/>
        <v>6.4858320171680028E-2</v>
      </c>
      <c r="H421" s="1">
        <f t="shared" si="117"/>
        <v>6.2848153242533025E-2</v>
      </c>
      <c r="I421" s="1">
        <f t="shared" si="118"/>
        <v>0.23097572441452385</v>
      </c>
      <c r="J421" s="1">
        <f t="shared" si="119"/>
        <v>0.2502361097536302</v>
      </c>
      <c r="K421" s="1">
        <f t="shared" si="120"/>
        <v>0.15387267574728131</v>
      </c>
      <c r="L421" s="1">
        <f t="shared" si="121"/>
        <v>0.1525770243617966</v>
      </c>
      <c r="M421" s="1">
        <f t="shared" si="122"/>
        <v>0.33260317228979325</v>
      </c>
      <c r="N421" s="1">
        <f t="shared" si="123"/>
        <v>0.33273248815450795</v>
      </c>
      <c r="O421" s="1">
        <f t="shared" si="124"/>
        <v>0.33190138689848359</v>
      </c>
      <c r="P421" s="1">
        <f t="shared" si="125"/>
        <v>0.33203476660032361</v>
      </c>
      <c r="Q421" s="1">
        <f t="shared" si="126"/>
        <v>5.0445360133528911</v>
      </c>
      <c r="T421">
        <v>0.23492231940062602</v>
      </c>
      <c r="U421">
        <f t="shared" si="133"/>
        <v>4.2567262342350904</v>
      </c>
      <c r="V421" s="15">
        <f t="shared" si="127"/>
        <v>7.5219480970336733E-2</v>
      </c>
      <c r="W421" s="15">
        <f t="shared" si="128"/>
        <v>7.9632134695154372E-2</v>
      </c>
      <c r="X421" s="15">
        <f t="shared" si="129"/>
        <v>8.8457442144789747E-2</v>
      </c>
      <c r="Y421" s="15">
        <f t="shared" si="130"/>
        <v>0.10649967207791827</v>
      </c>
      <c r="Z421" s="15">
        <f t="shared" si="131"/>
        <v>0.11032666482070978</v>
      </c>
      <c r="AA421" s="15">
        <f t="shared" si="132"/>
        <v>0.11798065030629293</v>
      </c>
      <c r="AC421" s="1"/>
      <c r="AD421" s="1"/>
      <c r="AE421" s="1"/>
    </row>
    <row r="422" spans="1:31">
      <c r="A422">
        <v>94</v>
      </c>
      <c r="B422">
        <f t="shared" si="112"/>
        <v>0.35879340047752156</v>
      </c>
      <c r="C422">
        <v>0.35265669847321701</v>
      </c>
      <c r="D422">
        <f t="shared" si="113"/>
        <v>2.8356189016949762</v>
      </c>
      <c r="E422" s="1">
        <f t="shared" si="114"/>
        <v>0.17981758375743973</v>
      </c>
      <c r="F422" s="1">
        <f t="shared" si="115"/>
        <v>0.20858839715863006</v>
      </c>
      <c r="G422" s="1">
        <f t="shared" si="116"/>
        <v>6.4734330152678293E-2</v>
      </c>
      <c r="H422" s="1">
        <f t="shared" si="117"/>
        <v>6.2728006071065462E-2</v>
      </c>
      <c r="I422" s="1">
        <f t="shared" si="118"/>
        <v>0.23053416681045258</v>
      </c>
      <c r="J422" s="1">
        <f t="shared" si="119"/>
        <v>0.24975773196152667</v>
      </c>
      <c r="K422" s="1">
        <f t="shared" si="120"/>
        <v>0.15357851647921436</v>
      </c>
      <c r="L422" s="1">
        <f t="shared" si="121"/>
        <v>0.15228534199784127</v>
      </c>
      <c r="M422" s="1">
        <f t="shared" si="122"/>
        <v>0.3319673329164779</v>
      </c>
      <c r="N422" s="1">
        <f t="shared" si="123"/>
        <v>0.33209640156731968</v>
      </c>
      <c r="O422" s="1">
        <f t="shared" si="124"/>
        <v>0.3312668891322863</v>
      </c>
      <c r="P422" s="1">
        <f t="shared" si="125"/>
        <v>0.33140001385139284</v>
      </c>
      <c r="Q422" s="1">
        <f t="shared" si="126"/>
        <v>5.0348923452083127</v>
      </c>
      <c r="T422">
        <v>0.48211940220985861</v>
      </c>
      <c r="U422">
        <f t="shared" si="133"/>
        <v>2.0741749770209759</v>
      </c>
      <c r="V422" s="15">
        <f t="shared" si="127"/>
        <v>5.9048203499050683E-2</v>
      </c>
      <c r="W422" s="15">
        <f t="shared" si="128"/>
        <v>6.4105267683678524E-2</v>
      </c>
      <c r="X422" s="15">
        <f t="shared" si="129"/>
        <v>7.4219396052933997E-2</v>
      </c>
      <c r="Y422" s="15">
        <f t="shared" si="130"/>
        <v>8.2565499747330032E-2</v>
      </c>
      <c r="Z422" s="15">
        <f t="shared" si="131"/>
        <v>8.7036369234457248E-2</v>
      </c>
      <c r="AA422" s="15">
        <f t="shared" si="132"/>
        <v>9.597810820871161E-2</v>
      </c>
      <c r="AC422" s="1"/>
      <c r="AD422" s="1"/>
      <c r="AE422" s="1"/>
    </row>
    <row r="423" spans="1:31">
      <c r="A423">
        <v>276</v>
      </c>
      <c r="B423">
        <f t="shared" si="112"/>
        <v>0.36151103579555471</v>
      </c>
      <c r="C423">
        <v>0.35422413767714278</v>
      </c>
      <c r="D423">
        <f t="shared" si="113"/>
        <v>2.8230713089107691</v>
      </c>
      <c r="E423" s="1">
        <f t="shared" si="114"/>
        <v>0.17938218397857145</v>
      </c>
      <c r="F423" s="1">
        <f t="shared" si="115"/>
        <v>0.20808333341514285</v>
      </c>
      <c r="G423" s="1">
        <f t="shared" si="116"/>
        <v>6.4577586232285725E-2</v>
      </c>
      <c r="H423" s="1">
        <f t="shared" si="117"/>
        <v>6.2576120146444036E-2</v>
      </c>
      <c r="I423" s="1">
        <f t="shared" si="118"/>
        <v>0.22997596486404978</v>
      </c>
      <c r="J423" s="1">
        <f t="shared" si="119"/>
        <v>0.24915298319895085</v>
      </c>
      <c r="K423" s="1">
        <f t="shared" si="120"/>
        <v>0.15320665044299753</v>
      </c>
      <c r="L423" s="1">
        <f t="shared" si="121"/>
        <v>0.15191660717866931</v>
      </c>
      <c r="M423" s="1">
        <f t="shared" si="122"/>
        <v>0.33116352663500603</v>
      </c>
      <c r="N423" s="1">
        <f t="shared" si="123"/>
        <v>0.33129228276656653</v>
      </c>
      <c r="O423" s="1">
        <f t="shared" si="124"/>
        <v>0.33046477886442094</v>
      </c>
      <c r="P423" s="1">
        <f t="shared" si="125"/>
        <v>0.33059758124311978</v>
      </c>
      <c r="Q423" s="1">
        <f t="shared" si="126"/>
        <v>5.0227011514000006</v>
      </c>
      <c r="T423">
        <v>0.56059940096259275</v>
      </c>
      <c r="U423">
        <f t="shared" si="133"/>
        <v>1.7838049742524202</v>
      </c>
      <c r="V423" s="15">
        <f t="shared" si="127"/>
        <v>0</v>
      </c>
      <c r="W423" s="15">
        <f t="shared" si="128"/>
        <v>0</v>
      </c>
      <c r="X423" s="15">
        <f t="shared" si="129"/>
        <v>0</v>
      </c>
      <c r="Y423" s="15">
        <f t="shared" si="130"/>
        <v>0</v>
      </c>
      <c r="Z423" s="15">
        <f t="shared" si="131"/>
        <v>0</v>
      </c>
      <c r="AA423" s="15">
        <f t="shared" si="132"/>
        <v>0</v>
      </c>
      <c r="AC423" s="1"/>
      <c r="AD423" s="1"/>
      <c r="AE423" s="1"/>
    </row>
    <row r="424" spans="1:31">
      <c r="A424">
        <v>567</v>
      </c>
      <c r="B424">
        <f t="shared" si="112"/>
        <v>0.36268324999827656</v>
      </c>
      <c r="C424">
        <v>0.35599596649302545</v>
      </c>
      <c r="D424">
        <f t="shared" si="113"/>
        <v>2.8090205904610768</v>
      </c>
      <c r="E424" s="1">
        <f t="shared" si="114"/>
        <v>0.17889000930749294</v>
      </c>
      <c r="F424" s="1">
        <f t="shared" si="115"/>
        <v>0.20751241079669178</v>
      </c>
      <c r="G424" s="1">
        <f t="shared" si="116"/>
        <v>6.4400403350697452E-2</v>
      </c>
      <c r="H424" s="1">
        <f t="shared" si="117"/>
        <v>6.2404428729451782E-2</v>
      </c>
      <c r="I424" s="1">
        <f t="shared" si="118"/>
        <v>0.22934497497223061</v>
      </c>
      <c r="J424" s="1">
        <f t="shared" si="119"/>
        <v>0.24846937691858118</v>
      </c>
      <c r="K424" s="1">
        <f t="shared" si="120"/>
        <v>0.15278629413382341</v>
      </c>
      <c r="L424" s="1">
        <f t="shared" si="121"/>
        <v>0.15149979038833267</v>
      </c>
      <c r="M424" s="1">
        <f t="shared" si="122"/>
        <v>0.33025490630170551</v>
      </c>
      <c r="N424" s="1">
        <f t="shared" si="123"/>
        <v>0.3303833091623597</v>
      </c>
      <c r="O424" s="1">
        <f t="shared" si="124"/>
        <v>0.32955807570007511</v>
      </c>
      <c r="P424" s="1">
        <f t="shared" si="125"/>
        <v>0.32969051370609437</v>
      </c>
      <c r="Q424" s="1">
        <f t="shared" si="126"/>
        <v>5.008920260609802</v>
      </c>
      <c r="T424">
        <v>0.15102082009619378</v>
      </c>
      <c r="U424">
        <f t="shared" si="133"/>
        <v>6.621603560112062</v>
      </c>
      <c r="V424" s="15">
        <f t="shared" si="127"/>
        <v>8.4164348467721681E-2</v>
      </c>
      <c r="W424" s="15">
        <f t="shared" si="128"/>
        <v>8.8097768763053669E-2</v>
      </c>
      <c r="X424" s="15">
        <f t="shared" si="129"/>
        <v>9.5964609353717603E-2</v>
      </c>
      <c r="Y424" s="15">
        <f t="shared" si="130"/>
        <v>0.11973215959501216</v>
      </c>
      <c r="Z424" s="15">
        <f t="shared" si="131"/>
        <v>0.12306260137140358</v>
      </c>
      <c r="AA424" s="15">
        <f t="shared" si="132"/>
        <v>0.12972348492418642</v>
      </c>
      <c r="AC424" s="1"/>
      <c r="AD424" s="1"/>
      <c r="AE424" s="1"/>
    </row>
    <row r="425" spans="1:31">
      <c r="A425">
        <v>609</v>
      </c>
      <c r="B425">
        <f t="shared" si="112"/>
        <v>0.36286740950441265</v>
      </c>
      <c r="C425">
        <v>0.35621774049880151</v>
      </c>
      <c r="D425">
        <f t="shared" si="113"/>
        <v>2.8072717506986842</v>
      </c>
      <c r="E425" s="1">
        <f t="shared" si="114"/>
        <v>0.17882840541699957</v>
      </c>
      <c r="F425" s="1">
        <f t="shared" si="115"/>
        <v>0.20744095028371951</v>
      </c>
      <c r="G425" s="1">
        <f t="shared" si="116"/>
        <v>6.4378225950119855E-2</v>
      </c>
      <c r="H425" s="1">
        <f t="shared" si="117"/>
        <v>6.2382938677499569E-2</v>
      </c>
      <c r="I425" s="1">
        <f t="shared" si="118"/>
        <v>0.22926599603551923</v>
      </c>
      <c r="J425" s="1">
        <f t="shared" si="119"/>
        <v>0.24838381216096339</v>
      </c>
      <c r="K425" s="1">
        <f t="shared" si="120"/>
        <v>0.15273367951230743</v>
      </c>
      <c r="L425" s="1">
        <f t="shared" si="121"/>
        <v>0.15144761879678892</v>
      </c>
      <c r="M425" s="1">
        <f t="shared" si="122"/>
        <v>0.33014117727255815</v>
      </c>
      <c r="N425" s="1">
        <f t="shared" si="123"/>
        <v>0.33026953591545088</v>
      </c>
      <c r="O425" s="1">
        <f t="shared" si="124"/>
        <v>0.32944458663668241</v>
      </c>
      <c r="P425" s="1">
        <f t="shared" si="125"/>
        <v>0.32957697903536753</v>
      </c>
      <c r="Q425" s="1">
        <f t="shared" si="126"/>
        <v>5.0071953516759882</v>
      </c>
      <c r="T425">
        <v>3.2033008007224084E-2</v>
      </c>
      <c r="U425">
        <f t="shared" si="133"/>
        <v>31.217798833455792</v>
      </c>
      <c r="V425" s="15">
        <f t="shared" si="127"/>
        <v>0.10304197639427203</v>
      </c>
      <c r="W425" s="15">
        <f t="shared" si="128"/>
        <v>0.1057753682453844</v>
      </c>
      <c r="X425" s="15">
        <f t="shared" si="129"/>
        <v>0.11124215194760896</v>
      </c>
      <c r="Y425" s="15">
        <f t="shared" si="130"/>
        <v>0.14763297309330198</v>
      </c>
      <c r="Z425" s="15">
        <f t="shared" si="131"/>
        <v>0.14970192057754048</v>
      </c>
      <c r="AA425" s="15">
        <f t="shared" si="132"/>
        <v>0.15383981554601778</v>
      </c>
      <c r="AC425" s="1"/>
      <c r="AD425" s="1"/>
      <c r="AE425" s="1"/>
    </row>
    <row r="426" spans="1:31">
      <c r="A426">
        <v>184</v>
      </c>
      <c r="B426">
        <f t="shared" si="112"/>
        <v>0.36301185489590987</v>
      </c>
      <c r="C426">
        <v>0.35704131817417784</v>
      </c>
      <c r="D426">
        <f t="shared" si="113"/>
        <v>2.8007962919074911</v>
      </c>
      <c r="E426" s="1">
        <f t="shared" si="114"/>
        <v>0.17859963384050614</v>
      </c>
      <c r="F426" s="1">
        <f t="shared" si="115"/>
        <v>0.20717557525498714</v>
      </c>
      <c r="G426" s="1">
        <f t="shared" si="116"/>
        <v>6.4295868182582219E-2</v>
      </c>
      <c r="H426" s="1">
        <f t="shared" si="117"/>
        <v>6.2303133440774094E-2</v>
      </c>
      <c r="I426" s="1">
        <f t="shared" si="118"/>
        <v>0.22897270066542924</v>
      </c>
      <c r="J426" s="1">
        <f t="shared" si="119"/>
        <v>0.24806605975383877</v>
      </c>
      <c r="K426" s="1">
        <f t="shared" si="120"/>
        <v>0.15253829039297712</v>
      </c>
      <c r="L426" s="1">
        <f t="shared" si="121"/>
        <v>0.15125387490902384</v>
      </c>
      <c r="M426" s="1">
        <f t="shared" si="122"/>
        <v>0.32971883431527504</v>
      </c>
      <c r="N426" s="1">
        <f t="shared" si="123"/>
        <v>0.3298470287515417</v>
      </c>
      <c r="O426" s="1">
        <f t="shared" si="124"/>
        <v>0.32902313481376672</v>
      </c>
      <c r="P426" s="1">
        <f t="shared" si="125"/>
        <v>0.3291553578455233</v>
      </c>
      <c r="Q426" s="1">
        <f t="shared" si="126"/>
        <v>5.0007897475341725</v>
      </c>
      <c r="T426">
        <v>0.36052109797082166</v>
      </c>
      <c r="U426">
        <f t="shared" si="133"/>
        <v>2.7737627718002065</v>
      </c>
      <c r="V426" s="15">
        <f t="shared" si="127"/>
        <v>6.7002989597415921E-2</v>
      </c>
      <c r="W426" s="15">
        <f t="shared" si="128"/>
        <v>7.1743062908784599E-2</v>
      </c>
      <c r="X426" s="15">
        <f t="shared" si="129"/>
        <v>8.1223209531521873E-2</v>
      </c>
      <c r="Y426" s="15">
        <f t="shared" si="130"/>
        <v>9.4338918493579532E-2</v>
      </c>
      <c r="Z426" s="15">
        <f t="shared" si="131"/>
        <v>9.8493059646535444E-2</v>
      </c>
      <c r="AA426" s="15">
        <f t="shared" si="132"/>
        <v>0.10680134195244731</v>
      </c>
      <c r="AC426" s="1"/>
      <c r="AD426" s="1"/>
      <c r="AE426" s="1"/>
    </row>
    <row r="427" spans="1:31">
      <c r="A427">
        <v>954</v>
      </c>
      <c r="B427">
        <f t="shared" si="112"/>
        <v>0.36596644943400836</v>
      </c>
      <c r="C427">
        <v>0.35799193282535402</v>
      </c>
      <c r="D427">
        <f t="shared" si="113"/>
        <v>2.7933590349586144</v>
      </c>
      <c r="E427" s="1">
        <f t="shared" si="114"/>
        <v>0.17833557421517943</v>
      </c>
      <c r="F427" s="1">
        <f t="shared" si="115"/>
        <v>0.20686926608960815</v>
      </c>
      <c r="G427" s="1">
        <f t="shared" si="116"/>
        <v>6.4200806717464601E-2</v>
      </c>
      <c r="H427" s="1">
        <f t="shared" si="117"/>
        <v>6.2211018234716371E-2</v>
      </c>
      <c r="I427" s="1">
        <f t="shared" si="118"/>
        <v>0.22863416444199133</v>
      </c>
      <c r="J427" s="1">
        <f t="shared" si="119"/>
        <v>0.24769929399185869</v>
      </c>
      <c r="K427" s="1">
        <f t="shared" si="120"/>
        <v>0.15231276247366954</v>
      </c>
      <c r="L427" s="1">
        <f t="shared" si="121"/>
        <v>0.15103024599848891</v>
      </c>
      <c r="M427" s="1">
        <f t="shared" si="122"/>
        <v>0.32923134489561473</v>
      </c>
      <c r="N427" s="1">
        <f t="shared" si="123"/>
        <v>0.3293593497963595</v>
      </c>
      <c r="O427" s="1">
        <f t="shared" si="124"/>
        <v>0.32853667398607916</v>
      </c>
      <c r="P427" s="1">
        <f t="shared" si="125"/>
        <v>0.32866870152603389</v>
      </c>
      <c r="Q427" s="1">
        <f t="shared" si="126"/>
        <v>4.9933960780250244</v>
      </c>
      <c r="T427">
        <v>0.29586376223681776</v>
      </c>
      <c r="U427">
        <f t="shared" si="133"/>
        <v>3.3799340359890766</v>
      </c>
      <c r="V427" s="15">
        <f t="shared" si="127"/>
        <v>7.1232779467208129E-2</v>
      </c>
      <c r="W427" s="15">
        <f t="shared" si="128"/>
        <v>7.5804299561941124E-2</v>
      </c>
      <c r="X427" s="15">
        <f t="shared" si="129"/>
        <v>8.4947339751407114E-2</v>
      </c>
      <c r="Y427" s="15">
        <f t="shared" si="130"/>
        <v>0.1005991858005712</v>
      </c>
      <c r="Z427" s="15">
        <f t="shared" si="131"/>
        <v>0.1045849133365187</v>
      </c>
      <c r="AA427" s="15">
        <f t="shared" si="132"/>
        <v>0.11255636840841378</v>
      </c>
      <c r="AC427" s="1"/>
      <c r="AD427" s="1"/>
      <c r="AE427" s="1"/>
    </row>
    <row r="428" spans="1:31">
      <c r="A428">
        <v>379</v>
      </c>
      <c r="B428">
        <f t="shared" si="112"/>
        <v>0.37415496956548977</v>
      </c>
      <c r="C428">
        <v>0.36062797733878627</v>
      </c>
      <c r="D428">
        <f t="shared" si="113"/>
        <v>2.7729407113097211</v>
      </c>
      <c r="E428" s="1">
        <f t="shared" si="114"/>
        <v>0.17760333962811492</v>
      </c>
      <c r="F428" s="1">
        <f t="shared" si="115"/>
        <v>0.20601987396861329</v>
      </c>
      <c r="G428" s="1">
        <f t="shared" si="116"/>
        <v>6.3937202266121373E-2</v>
      </c>
      <c r="H428" s="1">
        <f t="shared" si="117"/>
        <v>6.1955583729018729E-2</v>
      </c>
      <c r="I428" s="1">
        <f t="shared" si="118"/>
        <v>0.22769540702510591</v>
      </c>
      <c r="J428" s="1">
        <f t="shared" si="119"/>
        <v>0.24668225635901123</v>
      </c>
      <c r="K428" s="1">
        <f t="shared" si="120"/>
        <v>0.15168737590553594</v>
      </c>
      <c r="L428" s="1">
        <f t="shared" si="121"/>
        <v>0.15041012536187651</v>
      </c>
      <c r="M428" s="1">
        <f t="shared" si="122"/>
        <v>0.32787954181908746</v>
      </c>
      <c r="N428" s="1">
        <f t="shared" si="123"/>
        <v>0.32800702113980679</v>
      </c>
      <c r="O428" s="1">
        <f t="shared" si="124"/>
        <v>0.32718772318436484</v>
      </c>
      <c r="P428" s="1">
        <f t="shared" si="125"/>
        <v>0.32731920862759201</v>
      </c>
      <c r="Q428" s="1">
        <f t="shared" si="126"/>
        <v>4.9728935095872178</v>
      </c>
      <c r="T428">
        <v>0.61021277500767435</v>
      </c>
      <c r="U428">
        <f t="shared" si="133"/>
        <v>1.6387726395721942</v>
      </c>
      <c r="V428" s="15">
        <f t="shared" si="127"/>
        <v>0</v>
      </c>
      <c r="W428" s="15">
        <f t="shared" si="128"/>
        <v>0</v>
      </c>
      <c r="X428" s="15">
        <f t="shared" si="129"/>
        <v>0</v>
      </c>
      <c r="Y428" s="15">
        <f t="shared" si="130"/>
        <v>0</v>
      </c>
      <c r="Z428" s="15">
        <f t="shared" si="131"/>
        <v>0</v>
      </c>
      <c r="AA428" s="15">
        <f t="shared" si="132"/>
        <v>0</v>
      </c>
      <c r="AC428" s="1"/>
      <c r="AD428" s="1"/>
      <c r="AE428" s="1"/>
    </row>
    <row r="429" spans="1:31">
      <c r="A429">
        <v>590</v>
      </c>
      <c r="B429">
        <f t="shared" si="112"/>
        <v>0.37449394886758114</v>
      </c>
      <c r="C429">
        <v>0.36164308794082478</v>
      </c>
      <c r="D429">
        <f t="shared" si="113"/>
        <v>2.7651572319381059</v>
      </c>
      <c r="E429" s="1">
        <f t="shared" si="114"/>
        <v>0.17732136446088198</v>
      </c>
      <c r="F429" s="1">
        <f t="shared" si="115"/>
        <v>0.20569278277462311</v>
      </c>
      <c r="G429" s="1">
        <f t="shared" si="116"/>
        <v>6.3835691205917519E-2</v>
      </c>
      <c r="H429" s="1">
        <f t="shared" si="117"/>
        <v>6.1857218821469218E-2</v>
      </c>
      <c r="I429" s="1">
        <f t="shared" si="118"/>
        <v>0.22733390227745584</v>
      </c>
      <c r="J429" s="1">
        <f t="shared" si="119"/>
        <v>0.24629060679523684</v>
      </c>
      <c r="K429" s="1">
        <f t="shared" si="120"/>
        <v>0.15144654668871127</v>
      </c>
      <c r="L429" s="1">
        <f t="shared" si="121"/>
        <v>0.15017132399507085</v>
      </c>
      <c r="M429" s="1">
        <f t="shared" si="122"/>
        <v>0.32735897791060309</v>
      </c>
      <c r="N429" s="1">
        <f t="shared" si="123"/>
        <v>0.32748625483646399</v>
      </c>
      <c r="O429" s="1">
        <f t="shared" si="124"/>
        <v>0.32666825765429852</v>
      </c>
      <c r="P429" s="1">
        <f t="shared" si="125"/>
        <v>0.3267995343422741</v>
      </c>
      <c r="Q429" s="1">
        <f t="shared" si="126"/>
        <v>4.9649982049046963</v>
      </c>
      <c r="T429">
        <v>0.85871041415002014</v>
      </c>
      <c r="U429">
        <f t="shared" si="133"/>
        <v>1.16453694228203</v>
      </c>
      <c r="V429" s="15">
        <f t="shared" si="127"/>
        <v>0</v>
      </c>
      <c r="W429" s="15">
        <f t="shared" si="128"/>
        <v>0</v>
      </c>
      <c r="X429" s="15">
        <f t="shared" si="129"/>
        <v>0</v>
      </c>
      <c r="Y429" s="15">
        <f t="shared" si="130"/>
        <v>0</v>
      </c>
      <c r="Z429" s="15">
        <f t="shared" si="131"/>
        <v>0</v>
      </c>
      <c r="AA429" s="15">
        <f t="shared" si="132"/>
        <v>0</v>
      </c>
      <c r="AC429" s="1"/>
      <c r="AD429" s="1"/>
      <c r="AE429" s="1"/>
    </row>
    <row r="430" spans="1:31">
      <c r="A430">
        <v>694</v>
      </c>
      <c r="B430">
        <f t="shared" si="112"/>
        <v>0.37460291577532218</v>
      </c>
      <c r="C430">
        <v>0.36215129121290968</v>
      </c>
      <c r="D430">
        <f t="shared" si="113"/>
        <v>2.7612769145481173</v>
      </c>
      <c r="E430" s="1">
        <f t="shared" si="114"/>
        <v>0.17718019688530284</v>
      </c>
      <c r="F430" s="1">
        <f t="shared" si="115"/>
        <v>0.20552902838695131</v>
      </c>
      <c r="G430" s="1">
        <f t="shared" si="116"/>
        <v>6.378487087870903E-2</v>
      </c>
      <c r="H430" s="1">
        <f t="shared" si="117"/>
        <v>6.1807973578857624E-2</v>
      </c>
      <c r="I430" s="1">
        <f t="shared" si="118"/>
        <v>0.22715291914590244</v>
      </c>
      <c r="J430" s="1">
        <f t="shared" si="119"/>
        <v>0.24609453201341397</v>
      </c>
      <c r="K430" s="1">
        <f t="shared" si="120"/>
        <v>0.151325978352849</v>
      </c>
      <c r="L430" s="1">
        <f t="shared" si="121"/>
        <v>0.15005177087864663</v>
      </c>
      <c r="M430" s="1">
        <f t="shared" si="122"/>
        <v>0.32709836366710116</v>
      </c>
      <c r="N430" s="1">
        <f t="shared" si="123"/>
        <v>0.32722553926633902</v>
      </c>
      <c r="O430" s="1">
        <f t="shared" si="124"/>
        <v>0.32640819330112869</v>
      </c>
      <c r="P430" s="1">
        <f t="shared" si="125"/>
        <v>0.3265393654782246</v>
      </c>
      <c r="Q430" s="1">
        <f t="shared" si="126"/>
        <v>4.9610455127884805</v>
      </c>
      <c r="T430">
        <v>0.48106956671121237</v>
      </c>
      <c r="U430">
        <f t="shared" si="133"/>
        <v>2.0787014377908117</v>
      </c>
      <c r="V430" s="15">
        <f t="shared" si="127"/>
        <v>5.9116882226788403E-2</v>
      </c>
      <c r="W430" s="15">
        <f t="shared" si="128"/>
        <v>6.4171209627596953E-2</v>
      </c>
      <c r="X430" s="15">
        <f t="shared" si="129"/>
        <v>7.427986442921386E-2</v>
      </c>
      <c r="Y430" s="15">
        <f t="shared" si="130"/>
        <v>8.2667147159418461E-2</v>
      </c>
      <c r="Z430" s="15">
        <f t="shared" si="131"/>
        <v>8.713528212939331E-2</v>
      </c>
      <c r="AA430" s="15">
        <f t="shared" si="132"/>
        <v>9.6071552069342953E-2</v>
      </c>
      <c r="AC430" s="1"/>
      <c r="AD430" s="1"/>
      <c r="AE430" s="1"/>
    </row>
    <row r="431" spans="1:31">
      <c r="A431">
        <v>166</v>
      </c>
      <c r="B431">
        <f t="shared" si="112"/>
        <v>0.3749631565296021</v>
      </c>
      <c r="C431">
        <v>0.36298251509481128</v>
      </c>
      <c r="D431">
        <f t="shared" si="113"/>
        <v>2.7549536366477581</v>
      </c>
      <c r="E431" s="1">
        <f t="shared" si="114"/>
        <v>0.17694930136255241</v>
      </c>
      <c r="F431" s="1">
        <f t="shared" si="115"/>
        <v>0.20526118958056078</v>
      </c>
      <c r="G431" s="1">
        <f t="shared" si="116"/>
        <v>6.3701748490518878E-2</v>
      </c>
      <c r="H431" s="1">
        <f t="shared" si="117"/>
        <v>6.1727427419520899E-2</v>
      </c>
      <c r="I431" s="1">
        <f t="shared" si="118"/>
        <v>0.22685690078192899</v>
      </c>
      <c r="J431" s="1">
        <f t="shared" si="119"/>
        <v>0.24577382954996629</v>
      </c>
      <c r="K431" s="1">
        <f t="shared" si="120"/>
        <v>0.15112877521450885</v>
      </c>
      <c r="L431" s="1">
        <f t="shared" si="121"/>
        <v>0.14985622824642414</v>
      </c>
      <c r="M431" s="1">
        <f t="shared" si="122"/>
        <v>0.32667209962068167</v>
      </c>
      <c r="N431" s="1">
        <f t="shared" si="123"/>
        <v>0.326799109488777</v>
      </c>
      <c r="O431" s="1">
        <f t="shared" si="124"/>
        <v>0.32598282866248862</v>
      </c>
      <c r="P431" s="1">
        <f t="shared" si="125"/>
        <v>0.32611382990023052</v>
      </c>
      <c r="Q431" s="1">
        <f t="shared" si="126"/>
        <v>4.954580438151468</v>
      </c>
      <c r="T431">
        <v>0.8507452994329292</v>
      </c>
      <c r="U431">
        <f t="shared" si="133"/>
        <v>1.1754399356265119</v>
      </c>
      <c r="V431" s="15">
        <f t="shared" si="127"/>
        <v>0</v>
      </c>
      <c r="W431" s="15">
        <f t="shared" si="128"/>
        <v>0</v>
      </c>
      <c r="X431" s="15">
        <f t="shared" si="129"/>
        <v>0</v>
      </c>
      <c r="Y431" s="15">
        <f t="shared" si="130"/>
        <v>0</v>
      </c>
      <c r="Z431" s="15">
        <f t="shared" si="131"/>
        <v>0</v>
      </c>
      <c r="AA431" s="15">
        <f t="shared" si="132"/>
        <v>0</v>
      </c>
      <c r="AC431" s="1"/>
      <c r="AD431" s="1"/>
      <c r="AE431" s="1"/>
    </row>
    <row r="432" spans="1:31">
      <c r="A432">
        <v>488</v>
      </c>
      <c r="B432">
        <f t="shared" si="112"/>
        <v>0.374984934367801</v>
      </c>
      <c r="C432">
        <v>0.36302539218592023</v>
      </c>
      <c r="D432">
        <f t="shared" si="113"/>
        <v>2.7546282478440487</v>
      </c>
      <c r="E432" s="1">
        <f t="shared" si="114"/>
        <v>0.1769373910594666</v>
      </c>
      <c r="F432" s="1">
        <f t="shared" si="115"/>
        <v>0.20524737362898124</v>
      </c>
      <c r="G432" s="1">
        <f t="shared" si="116"/>
        <v>6.3697460781407977E-2</v>
      </c>
      <c r="H432" s="1">
        <f t="shared" si="117"/>
        <v>6.1723272600238688E-2</v>
      </c>
      <c r="I432" s="1">
        <f t="shared" si="118"/>
        <v>0.22684163124187079</v>
      </c>
      <c r="J432" s="1">
        <f t="shared" si="119"/>
        <v>0.24575728672793784</v>
      </c>
      <c r="K432" s="1">
        <f t="shared" si="120"/>
        <v>0.15111860286850956</v>
      </c>
      <c r="L432" s="1">
        <f t="shared" si="121"/>
        <v>0.14984614155445097</v>
      </c>
      <c r="M432" s="1">
        <f t="shared" si="122"/>
        <v>0.32665011160667878</v>
      </c>
      <c r="N432" s="1">
        <f t="shared" si="123"/>
        <v>0.32677711292585065</v>
      </c>
      <c r="O432" s="1">
        <f t="shared" si="124"/>
        <v>0.32596088704271253</v>
      </c>
      <c r="P432" s="1">
        <f t="shared" si="125"/>
        <v>0.32609187946287543</v>
      </c>
      <c r="Q432" s="1">
        <f t="shared" si="126"/>
        <v>4.9542469496650652</v>
      </c>
      <c r="T432">
        <v>0.2816071473481544</v>
      </c>
      <c r="U432">
        <f t="shared" si="133"/>
        <v>3.5510462337935182</v>
      </c>
      <c r="V432" s="15">
        <f t="shared" si="127"/>
        <v>7.2165426699715166E-2</v>
      </c>
      <c r="W432" s="15">
        <f t="shared" si="128"/>
        <v>7.669978166429639E-2</v>
      </c>
      <c r="X432" s="15">
        <f t="shared" si="129"/>
        <v>8.5768491593458895E-2</v>
      </c>
      <c r="Y432" s="15">
        <f t="shared" si="130"/>
        <v>0.10197954301886178</v>
      </c>
      <c r="Z432" s="15">
        <f t="shared" si="131"/>
        <v>0.10592813620566793</v>
      </c>
      <c r="AA432" s="15">
        <f t="shared" si="132"/>
        <v>0.11382532257928032</v>
      </c>
      <c r="AC432" s="1"/>
      <c r="AD432" s="1"/>
      <c r="AE432" s="1"/>
    </row>
    <row r="433" spans="1:31">
      <c r="A433">
        <v>346</v>
      </c>
      <c r="B433">
        <f t="shared" si="112"/>
        <v>0.37835470249130043</v>
      </c>
      <c r="C433">
        <v>0.36766471626605168</v>
      </c>
      <c r="D433">
        <f t="shared" si="113"/>
        <v>2.7198693694511991</v>
      </c>
      <c r="E433" s="1">
        <f t="shared" si="114"/>
        <v>0.17564868992609675</v>
      </c>
      <c r="F433" s="1">
        <f t="shared" si="115"/>
        <v>0.20375248031427223</v>
      </c>
      <c r="G433" s="1">
        <f t="shared" si="116"/>
        <v>6.3233528373394826E-2</v>
      </c>
      <c r="H433" s="1">
        <f t="shared" si="117"/>
        <v>6.1273718942422575E-2</v>
      </c>
      <c r="I433" s="1">
        <f t="shared" si="118"/>
        <v>0.22518945888007411</v>
      </c>
      <c r="J433" s="1">
        <f t="shared" si="119"/>
        <v>0.24396734457922742</v>
      </c>
      <c r="K433" s="1">
        <f t="shared" si="120"/>
        <v>0.15001794961696216</v>
      </c>
      <c r="L433" s="1">
        <f t="shared" si="121"/>
        <v>0.1487547561141207</v>
      </c>
      <c r="M433" s="1">
        <f t="shared" si="122"/>
        <v>0.3242709967880284</v>
      </c>
      <c r="N433" s="1">
        <f t="shared" si="123"/>
        <v>0.32439707310913757</v>
      </c>
      <c r="O433" s="1">
        <f t="shared" si="124"/>
        <v>0.32358679210409658</v>
      </c>
      <c r="P433" s="1">
        <f t="shared" si="125"/>
        <v>0.32371683045751692</v>
      </c>
      <c r="Q433" s="1">
        <f t="shared" si="126"/>
        <v>4.9181633179307092</v>
      </c>
      <c r="T433">
        <v>0.6180789962748221</v>
      </c>
      <c r="U433">
        <f t="shared" si="133"/>
        <v>1.6179161661001678</v>
      </c>
      <c r="V433" s="15">
        <f t="shared" si="127"/>
        <v>0</v>
      </c>
      <c r="W433" s="15">
        <f t="shared" si="128"/>
        <v>0</v>
      </c>
      <c r="X433" s="15">
        <f t="shared" si="129"/>
        <v>0</v>
      </c>
      <c r="Y433" s="15">
        <f t="shared" si="130"/>
        <v>0</v>
      </c>
      <c r="Z433" s="15">
        <f t="shared" si="131"/>
        <v>0</v>
      </c>
      <c r="AA433" s="15">
        <f t="shared" si="132"/>
        <v>0</v>
      </c>
      <c r="AC433" s="1"/>
      <c r="AD433" s="1"/>
      <c r="AE433" s="1"/>
    </row>
    <row r="434" spans="1:31">
      <c r="A434">
        <v>96</v>
      </c>
      <c r="B434">
        <f t="shared" si="112"/>
        <v>0.38249986063852215</v>
      </c>
      <c r="C434">
        <v>0.36915537466713588</v>
      </c>
      <c r="D434">
        <f t="shared" si="113"/>
        <v>2.708886470640421</v>
      </c>
      <c r="E434" s="1">
        <f t="shared" si="114"/>
        <v>0.1752346181480178</v>
      </c>
      <c r="F434" s="1">
        <f t="shared" si="115"/>
        <v>0.20327215705170065</v>
      </c>
      <c r="G434" s="1">
        <f t="shared" si="116"/>
        <v>6.3084462533286409E-2</v>
      </c>
      <c r="H434" s="1">
        <f t="shared" si="117"/>
        <v>6.112927312980266E-2</v>
      </c>
      <c r="I434" s="1">
        <f t="shared" si="118"/>
        <v>0.224658600382454</v>
      </c>
      <c r="J434" s="1">
        <f t="shared" si="119"/>
        <v>0.24339221935509042</v>
      </c>
      <c r="K434" s="1">
        <f t="shared" si="120"/>
        <v>0.14966429938952358</v>
      </c>
      <c r="L434" s="1">
        <f t="shared" si="121"/>
        <v>0.14840408372147271</v>
      </c>
      <c r="M434" s="1">
        <f t="shared" si="122"/>
        <v>0.32350656485132595</v>
      </c>
      <c r="N434" s="1">
        <f t="shared" si="123"/>
        <v>0.32363234396186968</v>
      </c>
      <c r="O434" s="1">
        <f t="shared" si="124"/>
        <v>0.32282397310199767</v>
      </c>
      <c r="P434" s="1">
        <f t="shared" si="125"/>
        <v>0.32295370490481268</v>
      </c>
      <c r="Q434" s="1">
        <f t="shared" si="126"/>
        <v>4.9065693081444994</v>
      </c>
      <c r="T434">
        <v>0.20514821264782079</v>
      </c>
      <c r="U434">
        <f t="shared" si="133"/>
        <v>4.8745245551649345</v>
      </c>
      <c r="V434" s="15">
        <f t="shared" si="127"/>
        <v>7.7167260192840245E-2</v>
      </c>
      <c r="W434" s="15">
        <f t="shared" si="128"/>
        <v>8.1502296716010655E-2</v>
      </c>
      <c r="X434" s="15">
        <f t="shared" si="129"/>
        <v>9.0172369762351587E-2</v>
      </c>
      <c r="Y434" s="15">
        <f t="shared" si="130"/>
        <v>0.10938246743259046</v>
      </c>
      <c r="Z434" s="15">
        <f t="shared" si="131"/>
        <v>0.11313190725807552</v>
      </c>
      <c r="AA434" s="15">
        <f t="shared" si="132"/>
        <v>0.12063078690904579</v>
      </c>
      <c r="AC434" s="1"/>
      <c r="AD434" s="1"/>
      <c r="AE434" s="1"/>
    </row>
    <row r="435" spans="1:31">
      <c r="A435">
        <v>889</v>
      </c>
      <c r="B435">
        <f t="shared" si="112"/>
        <v>0.39069858223474657</v>
      </c>
      <c r="C435">
        <v>0.37405331646128481</v>
      </c>
      <c r="D435">
        <f t="shared" si="113"/>
        <v>2.6734156763010595</v>
      </c>
      <c r="E435" s="1">
        <f t="shared" si="114"/>
        <v>0.17387407876075422</v>
      </c>
      <c r="F435" s="1">
        <f t="shared" si="115"/>
        <v>0.20169393136247488</v>
      </c>
      <c r="G435" s="1">
        <f t="shared" si="116"/>
        <v>6.2594668353871522E-2</v>
      </c>
      <c r="H435" s="1">
        <f t="shared" si="117"/>
        <v>6.065465923965431E-2</v>
      </c>
      <c r="I435" s="1">
        <f t="shared" si="118"/>
        <v>0.22291432817335399</v>
      </c>
      <c r="J435" s="1">
        <f t="shared" si="119"/>
        <v>0.24150249742408253</v>
      </c>
      <c r="K435" s="1">
        <f t="shared" si="120"/>
        <v>0.14850229055623093</v>
      </c>
      <c r="L435" s="1">
        <f t="shared" si="121"/>
        <v>0.14725185933072316</v>
      </c>
      <c r="M435" s="1">
        <f t="shared" si="122"/>
        <v>0.32099482699855308</v>
      </c>
      <c r="N435" s="1">
        <f t="shared" si="123"/>
        <v>0.32111962954729756</v>
      </c>
      <c r="O435" s="1">
        <f t="shared" si="124"/>
        <v>0.32031753496094961</v>
      </c>
      <c r="P435" s="1">
        <f t="shared" si="125"/>
        <v>0.32044625951286076</v>
      </c>
      <c r="Q435" s="1">
        <f t="shared" si="126"/>
        <v>4.8684742053011183</v>
      </c>
      <c r="T435">
        <v>0.68130767882179444</v>
      </c>
      <c r="U435">
        <f t="shared" si="133"/>
        <v>1.4677656381758821</v>
      </c>
      <c r="V435" s="15">
        <f t="shared" si="127"/>
        <v>0</v>
      </c>
      <c r="W435" s="15">
        <f t="shared" si="128"/>
        <v>0</v>
      </c>
      <c r="X435" s="15">
        <f t="shared" si="129"/>
        <v>0</v>
      </c>
      <c r="Y435" s="15">
        <f t="shared" si="130"/>
        <v>0</v>
      </c>
      <c r="Z435" s="15">
        <f t="shared" si="131"/>
        <v>0</v>
      </c>
      <c r="AA435" s="15">
        <f t="shared" si="132"/>
        <v>0</v>
      </c>
      <c r="AC435" s="1"/>
      <c r="AD435" s="1"/>
      <c r="AE435" s="1"/>
    </row>
    <row r="436" spans="1:31">
      <c r="A436">
        <v>339</v>
      </c>
      <c r="B436">
        <f t="shared" si="112"/>
        <v>0.39093574788414087</v>
      </c>
      <c r="C436">
        <v>0.3744335421841164</v>
      </c>
      <c r="D436">
        <f t="shared" si="113"/>
        <v>2.6707009050708392</v>
      </c>
      <c r="E436" s="1">
        <f t="shared" si="114"/>
        <v>0.17376846050441211</v>
      </c>
      <c r="F436" s="1">
        <f t="shared" si="115"/>
        <v>0.20157141418511804</v>
      </c>
      <c r="G436" s="1">
        <f t="shared" si="116"/>
        <v>6.2556645781588358E-2</v>
      </c>
      <c r="H436" s="1">
        <f t="shared" si="117"/>
        <v>6.0617815108582128E-2</v>
      </c>
      <c r="I436" s="1">
        <f t="shared" si="118"/>
        <v>0.22277892085546541</v>
      </c>
      <c r="J436" s="1">
        <f t="shared" si="119"/>
        <v>0.24135579888878622</v>
      </c>
      <c r="K436" s="1">
        <f t="shared" si="120"/>
        <v>0.1484120841660482</v>
      </c>
      <c r="L436" s="1">
        <f t="shared" si="121"/>
        <v>0.14716241250382123</v>
      </c>
      <c r="M436" s="1">
        <f t="shared" si="122"/>
        <v>0.32079984155757157</v>
      </c>
      <c r="N436" s="1">
        <f t="shared" si="123"/>
        <v>0.32092456829612237</v>
      </c>
      <c r="O436" s="1">
        <f t="shared" si="124"/>
        <v>0.32012296093496767</v>
      </c>
      <c r="P436" s="1">
        <f t="shared" si="125"/>
        <v>0.32025160729429941</v>
      </c>
      <c r="Q436" s="1">
        <f t="shared" si="126"/>
        <v>4.8655168941235392</v>
      </c>
      <c r="T436">
        <v>0.52801932166903809</v>
      </c>
      <c r="U436">
        <f t="shared" si="133"/>
        <v>1.8938700895244869</v>
      </c>
      <c r="V436" s="15">
        <f t="shared" si="127"/>
        <v>0</v>
      </c>
      <c r="W436" s="15">
        <f t="shared" si="128"/>
        <v>0</v>
      </c>
      <c r="X436" s="15">
        <f t="shared" si="129"/>
        <v>0</v>
      </c>
      <c r="Y436" s="15">
        <f t="shared" si="130"/>
        <v>0</v>
      </c>
      <c r="Z436" s="15">
        <f t="shared" si="131"/>
        <v>0</v>
      </c>
      <c r="AA436" s="15">
        <f t="shared" si="132"/>
        <v>0</v>
      </c>
      <c r="AC436" s="1"/>
      <c r="AD436" s="1"/>
      <c r="AE436" s="1"/>
    </row>
    <row r="437" spans="1:31">
      <c r="A437">
        <v>740</v>
      </c>
      <c r="B437">
        <f t="shared" si="112"/>
        <v>0.39095407997878112</v>
      </c>
      <c r="C437">
        <v>0.37464817280480733</v>
      </c>
      <c r="D437">
        <f t="shared" si="113"/>
        <v>2.6691708984284905</v>
      </c>
      <c r="E437" s="1">
        <f t="shared" si="114"/>
        <v>0.17370884088755351</v>
      </c>
      <c r="F437" s="1">
        <f t="shared" si="115"/>
        <v>0.20150225542956207</v>
      </c>
      <c r="G437" s="1">
        <f t="shared" si="116"/>
        <v>6.2535182719519272E-2</v>
      </c>
      <c r="H437" s="1">
        <f t="shared" si="117"/>
        <v>6.059701725550172E-2</v>
      </c>
      <c r="I437" s="1">
        <f t="shared" si="118"/>
        <v>0.22270248584610283</v>
      </c>
      <c r="J437" s="1">
        <f t="shared" si="119"/>
        <v>0.2412729901891259</v>
      </c>
      <c r="K437" s="1">
        <f t="shared" si="120"/>
        <v>0.14836116427201518</v>
      </c>
      <c r="L437" s="1">
        <f t="shared" si="121"/>
        <v>0.14711192136967643</v>
      </c>
      <c r="M437" s="1">
        <f t="shared" si="122"/>
        <v>0.32068977576320101</v>
      </c>
      <c r="N437" s="1">
        <f t="shared" si="123"/>
        <v>0.32081445970825329</v>
      </c>
      <c r="O437" s="1">
        <f t="shared" si="124"/>
        <v>0.32001312737700682</v>
      </c>
      <c r="P437" s="1">
        <f t="shared" si="125"/>
        <v>0.32014172959802578</v>
      </c>
      <c r="Q437" s="1">
        <f t="shared" si="126"/>
        <v>4.8638475448514988</v>
      </c>
      <c r="T437">
        <v>0.47739056385473122</v>
      </c>
      <c r="U437">
        <f t="shared" si="133"/>
        <v>2.0947209176599846</v>
      </c>
      <c r="V437" s="15">
        <f t="shared" si="127"/>
        <v>5.9357557300028341E-2</v>
      </c>
      <c r="W437" s="15">
        <f t="shared" si="128"/>
        <v>6.4402294021628836E-2</v>
      </c>
      <c r="X437" s="15">
        <f t="shared" si="129"/>
        <v>7.4491767464829661E-2</v>
      </c>
      <c r="Y437" s="15">
        <f t="shared" si="130"/>
        <v>8.3023356413067698E-2</v>
      </c>
      <c r="Z437" s="15">
        <f t="shared" si="131"/>
        <v>8.7481908647054282E-2</v>
      </c>
      <c r="AA437" s="15">
        <f t="shared" si="132"/>
        <v>9.6399013115027368E-2</v>
      </c>
      <c r="AC437" s="1"/>
      <c r="AD437" s="1"/>
      <c r="AE437" s="1"/>
    </row>
    <row r="438" spans="1:31">
      <c r="A438">
        <v>556</v>
      </c>
      <c r="B438">
        <f t="shared" si="112"/>
        <v>0.39099750543339573</v>
      </c>
      <c r="C438">
        <v>0.37515659437149707</v>
      </c>
      <c r="D438">
        <f t="shared" si="113"/>
        <v>2.66555357150341</v>
      </c>
      <c r="E438" s="1">
        <f t="shared" si="114"/>
        <v>0.17356761267458415</v>
      </c>
      <c r="F438" s="1">
        <f t="shared" si="115"/>
        <v>0.20133843070251761</v>
      </c>
      <c r="G438" s="1">
        <f t="shared" si="116"/>
        <v>6.2484340562850293E-2</v>
      </c>
      <c r="H438" s="1">
        <f t="shared" si="117"/>
        <v>6.054775085999449E-2</v>
      </c>
      <c r="I438" s="1">
        <f t="shared" si="118"/>
        <v>0.22252142497470917</v>
      </c>
      <c r="J438" s="1">
        <f t="shared" si="119"/>
        <v>0.24107683118496651</v>
      </c>
      <c r="K438" s="1">
        <f t="shared" si="120"/>
        <v>0.14824054414699947</v>
      </c>
      <c r="L438" s="1">
        <f t="shared" si="121"/>
        <v>0.14699231690017808</v>
      </c>
      <c r="M438" s="1">
        <f t="shared" si="122"/>
        <v>0.32042904957495882</v>
      </c>
      <c r="N438" s="1">
        <f t="shared" si="123"/>
        <v>0.32055363214986399</v>
      </c>
      <c r="O438" s="1">
        <f t="shared" si="124"/>
        <v>0.31975295131529757</v>
      </c>
      <c r="P438" s="1">
        <f t="shared" si="125"/>
        <v>0.31988144898054521</v>
      </c>
      <c r="Q438" s="1">
        <f t="shared" si="126"/>
        <v>4.8598931548883559</v>
      </c>
      <c r="T438">
        <v>0.18901741965026186</v>
      </c>
      <c r="U438">
        <f t="shared" si="133"/>
        <v>5.2905176774198681</v>
      </c>
      <c r="V438" s="15">
        <f t="shared" si="127"/>
        <v>7.8997484961018632E-2</v>
      </c>
      <c r="W438" s="15">
        <f t="shared" si="128"/>
        <v>8.3232055855540554E-2</v>
      </c>
      <c r="X438" s="15">
        <f t="shared" si="129"/>
        <v>9.1701197644584481E-2</v>
      </c>
      <c r="Y438" s="15">
        <f t="shared" si="130"/>
        <v>0.11208986606535601</v>
      </c>
      <c r="Z438" s="15">
        <f t="shared" si="131"/>
        <v>0.11573495136687753</v>
      </c>
      <c r="AA438" s="15">
        <f t="shared" si="132"/>
        <v>0.12302512196992069</v>
      </c>
      <c r="AC438" s="1"/>
      <c r="AD438" s="1"/>
      <c r="AE438" s="1"/>
    </row>
    <row r="439" spans="1:31">
      <c r="A439">
        <v>338</v>
      </c>
      <c r="B439">
        <f t="shared" si="112"/>
        <v>0.39117247187505128</v>
      </c>
      <c r="C439">
        <v>0.37577033301724272</v>
      </c>
      <c r="D439">
        <f t="shared" si="113"/>
        <v>2.6611999727879359</v>
      </c>
      <c r="E439" s="1">
        <f t="shared" si="114"/>
        <v>0.17339712971743257</v>
      </c>
      <c r="F439" s="1">
        <f t="shared" si="115"/>
        <v>0.20114067047222178</v>
      </c>
      <c r="G439" s="1">
        <f t="shared" si="116"/>
        <v>6.2422966698275725E-2</v>
      </c>
      <c r="H439" s="1">
        <f t="shared" si="117"/>
        <v>6.0488279167917693E-2</v>
      </c>
      <c r="I439" s="1">
        <f t="shared" si="118"/>
        <v>0.22230285821576901</v>
      </c>
      <c r="J439" s="1">
        <f t="shared" si="119"/>
        <v>0.24084003878776855</v>
      </c>
      <c r="K439" s="1">
        <f t="shared" si="120"/>
        <v>0.14809493814397562</v>
      </c>
      <c r="L439" s="1">
        <f t="shared" si="121"/>
        <v>0.14684793694082077</v>
      </c>
      <c r="M439" s="1">
        <f t="shared" si="122"/>
        <v>0.32011431521244138</v>
      </c>
      <c r="N439" s="1">
        <f t="shared" si="123"/>
        <v>0.32023877541886181</v>
      </c>
      <c r="O439" s="1">
        <f t="shared" si="124"/>
        <v>0.31943888103537521</v>
      </c>
      <c r="P439" s="1">
        <f t="shared" si="125"/>
        <v>0.31956725248662687</v>
      </c>
      <c r="Q439" s="1">
        <f t="shared" si="126"/>
        <v>4.8551196320881118</v>
      </c>
      <c r="T439">
        <v>0.87326780153155315</v>
      </c>
      <c r="U439">
        <f t="shared" si="133"/>
        <v>1.1451240939448146</v>
      </c>
      <c r="V439" s="15">
        <f t="shared" si="127"/>
        <v>0</v>
      </c>
      <c r="W439" s="15">
        <f t="shared" si="128"/>
        <v>0</v>
      </c>
      <c r="X439" s="15">
        <f t="shared" si="129"/>
        <v>0</v>
      </c>
      <c r="Y439" s="15">
        <f t="shared" si="130"/>
        <v>0</v>
      </c>
      <c r="Z439" s="15">
        <f t="shared" si="131"/>
        <v>0</v>
      </c>
      <c r="AA439" s="15">
        <f t="shared" si="132"/>
        <v>0</v>
      </c>
      <c r="AC439" s="1"/>
      <c r="AD439" s="1"/>
      <c r="AE439" s="1"/>
    </row>
    <row r="440" spans="1:31">
      <c r="A440">
        <v>279</v>
      </c>
      <c r="B440">
        <f t="shared" si="112"/>
        <v>0.39117614352434338</v>
      </c>
      <c r="C440">
        <v>0.37577961217841449</v>
      </c>
      <c r="D440">
        <f t="shared" si="113"/>
        <v>2.6611342595276697</v>
      </c>
      <c r="E440" s="1">
        <f t="shared" si="114"/>
        <v>0.17339455217266264</v>
      </c>
      <c r="F440" s="1">
        <f t="shared" si="115"/>
        <v>0.20113768052028863</v>
      </c>
      <c r="G440" s="1">
        <f t="shared" si="116"/>
        <v>6.2422038782158552E-2</v>
      </c>
      <c r="H440" s="1">
        <f t="shared" si="117"/>
        <v>6.0487380010890893E-2</v>
      </c>
      <c r="I440" s="1">
        <f t="shared" si="118"/>
        <v>0.22229955368834994</v>
      </c>
      <c r="J440" s="1">
        <f t="shared" si="119"/>
        <v>0.24083645870554121</v>
      </c>
      <c r="K440" s="1">
        <f t="shared" si="120"/>
        <v>0.14809273671576345</v>
      </c>
      <c r="L440" s="1">
        <f t="shared" si="121"/>
        <v>0.14684575404925587</v>
      </c>
      <c r="M440" s="1">
        <f t="shared" si="122"/>
        <v>0.32010955671972413</v>
      </c>
      <c r="N440" s="1">
        <f t="shared" si="123"/>
        <v>0.3202340150760461</v>
      </c>
      <c r="O440" s="1">
        <f t="shared" si="124"/>
        <v>0.31943413258297304</v>
      </c>
      <c r="P440" s="1">
        <f t="shared" si="125"/>
        <v>0.31956250212598575</v>
      </c>
      <c r="Q440" s="1">
        <f t="shared" si="126"/>
        <v>4.8550474608345535</v>
      </c>
      <c r="T440">
        <v>0.50757222779410893</v>
      </c>
      <c r="U440">
        <f t="shared" si="133"/>
        <v>1.9701629546320232</v>
      </c>
      <c r="V440" s="15">
        <f t="shared" si="127"/>
        <v>0</v>
      </c>
      <c r="W440" s="15">
        <f t="shared" si="128"/>
        <v>0</v>
      </c>
      <c r="X440" s="15">
        <f t="shared" si="129"/>
        <v>0</v>
      </c>
      <c r="Y440" s="15">
        <f t="shared" si="130"/>
        <v>0</v>
      </c>
      <c r="Z440" s="15">
        <f t="shared" si="131"/>
        <v>0</v>
      </c>
      <c r="AA440" s="15">
        <f t="shared" si="132"/>
        <v>0</v>
      </c>
      <c r="AC440" s="1"/>
      <c r="AD440" s="1"/>
      <c r="AE440" s="1"/>
    </row>
    <row r="441" spans="1:31">
      <c r="A441">
        <v>388</v>
      </c>
      <c r="B441">
        <f t="shared" si="112"/>
        <v>0.39163748518034835</v>
      </c>
      <c r="C441">
        <v>0.37683695025038566</v>
      </c>
      <c r="D441">
        <f t="shared" si="113"/>
        <v>2.6536675857703438</v>
      </c>
      <c r="E441" s="1">
        <f t="shared" si="114"/>
        <v>0.17310084715267066</v>
      </c>
      <c r="F441" s="1">
        <f t="shared" si="115"/>
        <v>0.20079698269709795</v>
      </c>
      <c r="G441" s="1">
        <f t="shared" si="116"/>
        <v>6.2316304974961434E-2</v>
      </c>
      <c r="H441" s="1">
        <f t="shared" si="117"/>
        <v>6.0384923232792861E-2</v>
      </c>
      <c r="I441" s="1">
        <f t="shared" si="118"/>
        <v>0.22192301074601323</v>
      </c>
      <c r="J441" s="1">
        <f t="shared" si="119"/>
        <v>0.24042851695631906</v>
      </c>
      <c r="K441" s="1">
        <f t="shared" si="120"/>
        <v>0.14784188927186881</v>
      </c>
      <c r="L441" s="1">
        <f t="shared" si="121"/>
        <v>0.14659701881168147</v>
      </c>
      <c r="M441" s="1">
        <f t="shared" si="122"/>
        <v>0.31956733793269804</v>
      </c>
      <c r="N441" s="1">
        <f t="shared" si="123"/>
        <v>0.31969158547476095</v>
      </c>
      <c r="O441" s="1">
        <f t="shared" si="124"/>
        <v>0.31889305786568334</v>
      </c>
      <c r="P441" s="1">
        <f t="shared" si="125"/>
        <v>0.3190212099694586</v>
      </c>
      <c r="Q441" s="1">
        <f t="shared" si="126"/>
        <v>4.8468237202747781</v>
      </c>
      <c r="T441">
        <v>0.93080431844562128</v>
      </c>
      <c r="U441">
        <f t="shared" si="133"/>
        <v>1.0743396653658963</v>
      </c>
      <c r="V441" s="15">
        <f t="shared" si="127"/>
        <v>0</v>
      </c>
      <c r="W441" s="15">
        <f t="shared" si="128"/>
        <v>0</v>
      </c>
      <c r="X441" s="15">
        <f t="shared" si="129"/>
        <v>0</v>
      </c>
      <c r="Y441" s="15">
        <f t="shared" si="130"/>
        <v>0</v>
      </c>
      <c r="Z441" s="15">
        <f t="shared" si="131"/>
        <v>0</v>
      </c>
      <c r="AA441" s="15">
        <f t="shared" si="132"/>
        <v>0</v>
      </c>
      <c r="AC441" s="1"/>
      <c r="AD441" s="1"/>
      <c r="AE441" s="1"/>
    </row>
    <row r="442" spans="1:31">
      <c r="A442">
        <v>996</v>
      </c>
      <c r="B442">
        <f t="shared" si="112"/>
        <v>0.3918097717164874</v>
      </c>
      <c r="C442">
        <v>0.37718929194474438</v>
      </c>
      <c r="D442">
        <f t="shared" si="113"/>
        <v>2.6511887303165889</v>
      </c>
      <c r="E442" s="1">
        <f t="shared" si="114"/>
        <v>0.17300297445979324</v>
      </c>
      <c r="F442" s="1">
        <f t="shared" si="115"/>
        <v>0.20068345037336013</v>
      </c>
      <c r="G442" s="1">
        <f t="shared" si="116"/>
        <v>6.2281070805525564E-2</v>
      </c>
      <c r="H442" s="1">
        <f t="shared" si="117"/>
        <v>6.0350781083039103E-2</v>
      </c>
      <c r="I442" s="1">
        <f t="shared" si="118"/>
        <v>0.22179753358613535</v>
      </c>
      <c r="J442" s="1">
        <f t="shared" si="119"/>
        <v>0.24029257662566147</v>
      </c>
      <c r="K442" s="1">
        <f t="shared" si="120"/>
        <v>0.14775829820884898</v>
      </c>
      <c r="L442" s="1">
        <f t="shared" si="121"/>
        <v>0.14651413160901949</v>
      </c>
      <c r="M442" s="1">
        <f t="shared" si="122"/>
        <v>0.31938665183881915</v>
      </c>
      <c r="N442" s="1">
        <f t="shared" si="123"/>
        <v>0.31951082913026385</v>
      </c>
      <c r="O442" s="1">
        <f t="shared" si="124"/>
        <v>0.31871275301549562</v>
      </c>
      <c r="P442" s="1">
        <f t="shared" si="125"/>
        <v>0.31884083266098018</v>
      </c>
      <c r="Q442" s="1">
        <f t="shared" si="126"/>
        <v>4.8440832848742108</v>
      </c>
      <c r="T442">
        <v>0.88174871825964463</v>
      </c>
      <c r="U442">
        <f t="shared" si="133"/>
        <v>1.1341099559223113</v>
      </c>
      <c r="V442" s="15">
        <f t="shared" si="127"/>
        <v>0</v>
      </c>
      <c r="W442" s="15">
        <f t="shared" si="128"/>
        <v>0</v>
      </c>
      <c r="X442" s="15">
        <f t="shared" si="129"/>
        <v>0</v>
      </c>
      <c r="Y442" s="15">
        <f t="shared" si="130"/>
        <v>0</v>
      </c>
      <c r="Z442" s="15">
        <f t="shared" si="131"/>
        <v>0</v>
      </c>
      <c r="AA442" s="15">
        <f t="shared" si="132"/>
        <v>0</v>
      </c>
      <c r="AC442" s="1"/>
      <c r="AD442" s="1"/>
      <c r="AE442" s="1"/>
    </row>
    <row r="443" spans="1:31">
      <c r="A443">
        <v>704</v>
      </c>
      <c r="B443">
        <f t="shared" si="112"/>
        <v>0.39402137951581512</v>
      </c>
      <c r="C443">
        <v>0.38111255222531548</v>
      </c>
      <c r="D443">
        <f t="shared" si="113"/>
        <v>2.623896783669291</v>
      </c>
      <c r="E443" s="1">
        <f t="shared" si="114"/>
        <v>0.17191317993741234</v>
      </c>
      <c r="F443" s="1">
        <f t="shared" si="115"/>
        <v>0.19941928872739834</v>
      </c>
      <c r="G443" s="1">
        <f t="shared" si="116"/>
        <v>6.1888744777468453E-2</v>
      </c>
      <c r="H443" s="1">
        <f t="shared" si="117"/>
        <v>5.9970614494279165E-2</v>
      </c>
      <c r="I443" s="1">
        <f t="shared" si="118"/>
        <v>0.22040036837591559</v>
      </c>
      <c r="J443" s="1">
        <f t="shared" si="119"/>
        <v>0.23877890592379564</v>
      </c>
      <c r="K443" s="1">
        <f t="shared" si="120"/>
        <v>0.14682752702108687</v>
      </c>
      <c r="L443" s="1">
        <f t="shared" si="121"/>
        <v>0.1455911977775205</v>
      </c>
      <c r="M443" s="1">
        <f t="shared" si="122"/>
        <v>0.3173747452529217</v>
      </c>
      <c r="N443" s="1">
        <f t="shared" si="123"/>
        <v>0.31749814031659002</v>
      </c>
      <c r="O443" s="1">
        <f t="shared" si="124"/>
        <v>0.31670509150832349</v>
      </c>
      <c r="P443" s="1">
        <f t="shared" si="125"/>
        <v>0.31683236434400314</v>
      </c>
      <c r="Q443" s="1">
        <f t="shared" si="126"/>
        <v>4.8135690382475467</v>
      </c>
      <c r="T443">
        <v>0.9072684697337281</v>
      </c>
      <c r="U443">
        <f t="shared" si="133"/>
        <v>1.1022095811325698</v>
      </c>
      <c r="V443" s="15">
        <f t="shared" si="127"/>
        <v>0</v>
      </c>
      <c r="W443" s="15">
        <f t="shared" si="128"/>
        <v>0</v>
      </c>
      <c r="X443" s="15">
        <f t="shared" si="129"/>
        <v>0</v>
      </c>
      <c r="Y443" s="15">
        <f t="shared" si="130"/>
        <v>0</v>
      </c>
      <c r="Z443" s="15">
        <f t="shared" si="131"/>
        <v>0</v>
      </c>
      <c r="AA443" s="15">
        <f t="shared" si="132"/>
        <v>0</v>
      </c>
      <c r="AC443" s="1"/>
      <c r="AD443" s="1"/>
      <c r="AE443" s="1"/>
    </row>
    <row r="444" spans="1:31">
      <c r="A444">
        <v>944</v>
      </c>
      <c r="B444">
        <f t="shared" si="112"/>
        <v>0.39449008175981393</v>
      </c>
      <c r="C444">
        <v>0.38287708335104065</v>
      </c>
      <c r="D444">
        <f t="shared" si="113"/>
        <v>2.6118042669144304</v>
      </c>
      <c r="E444" s="1">
        <f t="shared" si="114"/>
        <v>0.17142303240248868</v>
      </c>
      <c r="F444" s="1">
        <f t="shared" si="115"/>
        <v>0.19885071758688688</v>
      </c>
      <c r="G444" s="1">
        <f t="shared" si="116"/>
        <v>6.1712291664895932E-2</v>
      </c>
      <c r="H444" s="1">
        <f t="shared" si="117"/>
        <v>5.9799630228425146E-2</v>
      </c>
      <c r="I444" s="1">
        <f t="shared" si="118"/>
        <v>0.21977197736310872</v>
      </c>
      <c r="J444" s="1">
        <f t="shared" si="119"/>
        <v>0.23809811523530439</v>
      </c>
      <c r="K444" s="1">
        <f t="shared" si="120"/>
        <v>0.14640890204739651</v>
      </c>
      <c r="L444" s="1">
        <f t="shared" si="121"/>
        <v>0.1451760977443339</v>
      </c>
      <c r="M444" s="1">
        <f t="shared" si="122"/>
        <v>0.31646986728434834</v>
      </c>
      <c r="N444" s="1">
        <f t="shared" si="123"/>
        <v>0.31659291053213906</v>
      </c>
      <c r="O444" s="1">
        <f t="shared" si="124"/>
        <v>0.31580212281239745</v>
      </c>
      <c r="P444" s="1">
        <f t="shared" si="125"/>
        <v>0.31592903277615136</v>
      </c>
      <c r="Q444" s="1">
        <f t="shared" si="126"/>
        <v>4.7998449072696836</v>
      </c>
      <c r="T444">
        <v>0.96576764051168762</v>
      </c>
      <c r="U444">
        <f t="shared" si="133"/>
        <v>1.035445751185218</v>
      </c>
      <c r="V444" s="15">
        <f t="shared" si="127"/>
        <v>0</v>
      </c>
      <c r="W444" s="15">
        <f t="shared" si="128"/>
        <v>0</v>
      </c>
      <c r="X444" s="15">
        <f t="shared" si="129"/>
        <v>0</v>
      </c>
      <c r="Y444" s="15">
        <f t="shared" si="130"/>
        <v>0</v>
      </c>
      <c r="Z444" s="15">
        <f t="shared" si="131"/>
        <v>0</v>
      </c>
      <c r="AA444" s="15">
        <f t="shared" si="132"/>
        <v>0</v>
      </c>
      <c r="AC444" s="1"/>
      <c r="AD444" s="1"/>
      <c r="AE444" s="1"/>
    </row>
    <row r="445" spans="1:31">
      <c r="A445">
        <v>78</v>
      </c>
      <c r="B445">
        <f t="shared" si="112"/>
        <v>0.39530943968206372</v>
      </c>
      <c r="C445">
        <v>0.38490659167978092</v>
      </c>
      <c r="D445">
        <f t="shared" si="113"/>
        <v>2.5980329295891607</v>
      </c>
      <c r="E445" s="1">
        <f t="shared" si="114"/>
        <v>0.17085928008894974</v>
      </c>
      <c r="F445" s="1">
        <f t="shared" si="115"/>
        <v>0.19819676490318169</v>
      </c>
      <c r="G445" s="1">
        <f t="shared" si="116"/>
        <v>6.1509340832021905E-2</v>
      </c>
      <c r="H445" s="1">
        <f t="shared" si="117"/>
        <v>5.9602969491430971E-2</v>
      </c>
      <c r="I445" s="1">
        <f t="shared" si="118"/>
        <v>0.21904922173947361</v>
      </c>
      <c r="J445" s="1">
        <f t="shared" si="119"/>
        <v>0.23731509114903099</v>
      </c>
      <c r="K445" s="1">
        <f t="shared" si="120"/>
        <v>0.14592741273936627</v>
      </c>
      <c r="L445" s="1">
        <f t="shared" si="121"/>
        <v>0.14469866271225629</v>
      </c>
      <c r="M445" s="1">
        <f t="shared" si="122"/>
        <v>0.31542910504052091</v>
      </c>
      <c r="N445" s="1">
        <f t="shared" si="123"/>
        <v>0.31555174364072935</v>
      </c>
      <c r="O445" s="1">
        <f t="shared" si="124"/>
        <v>0.3147635565540548</v>
      </c>
      <c r="P445" s="1">
        <f t="shared" si="125"/>
        <v>0.31489004915390684</v>
      </c>
      <c r="Q445" s="1">
        <f t="shared" si="126"/>
        <v>4.7840598424905929</v>
      </c>
      <c r="T445">
        <v>0.92848330113972566</v>
      </c>
      <c r="U445">
        <f t="shared" si="133"/>
        <v>1.0770252935863107</v>
      </c>
      <c r="V445" s="15">
        <f t="shared" si="127"/>
        <v>0</v>
      </c>
      <c r="W445" s="15">
        <f t="shared" si="128"/>
        <v>0</v>
      </c>
      <c r="X445" s="15">
        <f t="shared" si="129"/>
        <v>0</v>
      </c>
      <c r="Y445" s="15">
        <f t="shared" si="130"/>
        <v>0</v>
      </c>
      <c r="Z445" s="15">
        <f t="shared" si="131"/>
        <v>0</v>
      </c>
      <c r="AA445" s="15">
        <f t="shared" si="132"/>
        <v>0</v>
      </c>
      <c r="AC445" s="1"/>
      <c r="AD445" s="1"/>
      <c r="AE445" s="1"/>
    </row>
    <row r="446" spans="1:31">
      <c r="A446">
        <v>394</v>
      </c>
      <c r="B446">
        <f t="shared" si="112"/>
        <v>0.39534348817385689</v>
      </c>
      <c r="C446">
        <v>0.38631665183478459</v>
      </c>
      <c r="D446">
        <f t="shared" si="113"/>
        <v>2.5885500799682544</v>
      </c>
      <c r="E446" s="1">
        <f t="shared" si="114"/>
        <v>0.17046759671255984</v>
      </c>
      <c r="F446" s="1">
        <f t="shared" si="115"/>
        <v>0.19774241218656941</v>
      </c>
      <c r="G446" s="1">
        <f t="shared" si="116"/>
        <v>6.1368334816521541E-2</v>
      </c>
      <c r="H446" s="1">
        <f t="shared" si="117"/>
        <v>5.9466333703658045E-2</v>
      </c>
      <c r="I446" s="1">
        <f t="shared" si="118"/>
        <v>0.21854706617191044</v>
      </c>
      <c r="J446" s="1">
        <f t="shared" si="119"/>
        <v>0.23677106230774631</v>
      </c>
      <c r="K446" s="1">
        <f t="shared" si="120"/>
        <v>0.14559288398740244</v>
      </c>
      <c r="L446" s="1">
        <f t="shared" si="121"/>
        <v>0.14436695078685935</v>
      </c>
      <c r="M446" s="1">
        <f t="shared" si="122"/>
        <v>0.31470600509061131</v>
      </c>
      <c r="N446" s="1">
        <f t="shared" si="123"/>
        <v>0.31482836255009983</v>
      </c>
      <c r="O446" s="1">
        <f t="shared" si="124"/>
        <v>0.31404198232916397</v>
      </c>
      <c r="P446" s="1">
        <f t="shared" si="125"/>
        <v>0.31416818495326182</v>
      </c>
      <c r="Q446" s="1">
        <f t="shared" si="126"/>
        <v>4.7730927079516761</v>
      </c>
      <c r="T446">
        <v>2.1267252815735715E-2</v>
      </c>
      <c r="U446">
        <f t="shared" si="133"/>
        <v>47.020647596764192</v>
      </c>
      <c r="V446" s="15">
        <f t="shared" si="127"/>
        <v>0.10304197639427203</v>
      </c>
      <c r="W446" s="15">
        <f t="shared" si="128"/>
        <v>0.1057753682453844</v>
      </c>
      <c r="X446" s="15">
        <f t="shared" si="129"/>
        <v>0.11124215194760896</v>
      </c>
      <c r="Y446" s="15">
        <f t="shared" si="130"/>
        <v>0.14763297309330198</v>
      </c>
      <c r="Z446" s="15">
        <f t="shared" si="131"/>
        <v>0.14970192057754048</v>
      </c>
      <c r="AA446" s="15">
        <f t="shared" si="132"/>
        <v>0.15383981554601778</v>
      </c>
      <c r="AC446" s="1"/>
      <c r="AD446" s="1"/>
      <c r="AE446" s="1"/>
    </row>
    <row r="447" spans="1:31">
      <c r="A447">
        <v>297</v>
      </c>
      <c r="B447">
        <f t="shared" si="112"/>
        <v>0.39714061722090932</v>
      </c>
      <c r="C447">
        <v>0.38891790128907733</v>
      </c>
      <c r="D447">
        <f t="shared" si="113"/>
        <v>2.5712367486440635</v>
      </c>
      <c r="E447" s="1">
        <f t="shared" si="114"/>
        <v>0.16974502741970074</v>
      </c>
      <c r="F447" s="1">
        <f t="shared" si="115"/>
        <v>0.19690423180685285</v>
      </c>
      <c r="G447" s="1">
        <f t="shared" si="116"/>
        <v>6.1108209871092264E-2</v>
      </c>
      <c r="H447" s="1">
        <f t="shared" si="117"/>
        <v>5.9214270862849493E-2</v>
      </c>
      <c r="I447" s="1">
        <f t="shared" si="118"/>
        <v>0.21762070009351409</v>
      </c>
      <c r="J447" s="1">
        <f t="shared" si="119"/>
        <v>0.23576744929060683</v>
      </c>
      <c r="K447" s="1">
        <f t="shared" si="120"/>
        <v>0.1449757523491505</v>
      </c>
      <c r="L447" s="1">
        <f t="shared" si="121"/>
        <v>0.14375501557128767</v>
      </c>
      <c r="M447" s="1">
        <f t="shared" si="122"/>
        <v>0.31337204544114039</v>
      </c>
      <c r="N447" s="1">
        <f t="shared" si="123"/>
        <v>0.31349388425811453</v>
      </c>
      <c r="O447" s="1">
        <f t="shared" si="124"/>
        <v>0.31271083730526672</v>
      </c>
      <c r="P447" s="1">
        <f t="shared" si="125"/>
        <v>0.31283650498816395</v>
      </c>
      <c r="Q447" s="1">
        <f t="shared" si="126"/>
        <v>4.7528607677516206</v>
      </c>
      <c r="T447">
        <v>3.0702449736313087E-2</v>
      </c>
      <c r="U447">
        <f t="shared" si="133"/>
        <v>32.570690892370642</v>
      </c>
      <c r="V447" s="15">
        <f t="shared" si="127"/>
        <v>0.10304197639427203</v>
      </c>
      <c r="W447" s="15">
        <f t="shared" si="128"/>
        <v>0.1057753682453844</v>
      </c>
      <c r="X447" s="15">
        <f t="shared" si="129"/>
        <v>0.11124215194760896</v>
      </c>
      <c r="Y447" s="15">
        <f t="shared" si="130"/>
        <v>0.14763297309330198</v>
      </c>
      <c r="Z447" s="15">
        <f t="shared" si="131"/>
        <v>0.14970192057754048</v>
      </c>
      <c r="AA447" s="15">
        <f t="shared" si="132"/>
        <v>0.15383981554601778</v>
      </c>
      <c r="AC447" s="1"/>
      <c r="AD447" s="1"/>
      <c r="AE447" s="1"/>
    </row>
    <row r="448" spans="1:31">
      <c r="A448">
        <v>171</v>
      </c>
      <c r="B448">
        <f t="shared" si="112"/>
        <v>0.40020802312289538</v>
      </c>
      <c r="C448">
        <v>0.39020701066055641</v>
      </c>
      <c r="D448">
        <f t="shared" si="113"/>
        <v>2.5627422693076789</v>
      </c>
      <c r="E448" s="1">
        <f t="shared" si="114"/>
        <v>0.16938694148317876</v>
      </c>
      <c r="F448" s="1">
        <f t="shared" si="115"/>
        <v>0.19648885212048736</v>
      </c>
      <c r="G448" s="1">
        <f t="shared" si="116"/>
        <v>6.0979298933944361E-2</v>
      </c>
      <c r="H448" s="1">
        <f t="shared" si="117"/>
        <v>5.9089355288239095E-2</v>
      </c>
      <c r="I448" s="1">
        <f t="shared" si="118"/>
        <v>0.21716161794316116</v>
      </c>
      <c r="J448" s="1">
        <f t="shared" si="119"/>
        <v>0.23527008563192434</v>
      </c>
      <c r="K448" s="1">
        <f t="shared" si="120"/>
        <v>0.14466991848266222</v>
      </c>
      <c r="L448" s="1">
        <f t="shared" si="121"/>
        <v>0.14345175691232681</v>
      </c>
      <c r="M448" s="1">
        <f t="shared" si="122"/>
        <v>0.31271097086312555</v>
      </c>
      <c r="N448" s="1">
        <f t="shared" si="123"/>
        <v>0.31283255265479804</v>
      </c>
      <c r="O448" s="1">
        <f t="shared" si="124"/>
        <v>0.31205115758009772</v>
      </c>
      <c r="P448" s="1">
        <f t="shared" si="125"/>
        <v>0.3121765601605021</v>
      </c>
      <c r="Q448" s="1">
        <f t="shared" si="126"/>
        <v>4.7428343615290061</v>
      </c>
      <c r="T448">
        <v>0.15284909543081615</v>
      </c>
      <c r="U448">
        <f t="shared" si="133"/>
        <v>6.5424005106567895</v>
      </c>
      <c r="V448" s="15">
        <f t="shared" si="127"/>
        <v>8.3915735454517068E-2</v>
      </c>
      <c r="W448" s="15">
        <f t="shared" si="128"/>
        <v>8.7863646157384678E-2</v>
      </c>
      <c r="X448" s="15">
        <f t="shared" si="129"/>
        <v>9.5759467563119829E-2</v>
      </c>
      <c r="Y448" s="15">
        <f t="shared" si="130"/>
        <v>0.11936443677443891</v>
      </c>
      <c r="Z448" s="15">
        <f t="shared" si="131"/>
        <v>0.12271001819498126</v>
      </c>
      <c r="AA448" s="15">
        <f t="shared" si="132"/>
        <v>0.12940118103606596</v>
      </c>
      <c r="AC448" s="1"/>
      <c r="AD448" s="1"/>
      <c r="AE448" s="1"/>
    </row>
    <row r="449" spans="1:31">
      <c r="A449">
        <v>563</v>
      </c>
      <c r="B449">
        <f t="shared" si="112"/>
        <v>0.40085068300089799</v>
      </c>
      <c r="C449">
        <v>0.39093069422551396</v>
      </c>
      <c r="D449">
        <f t="shared" si="113"/>
        <v>2.5579981689110749</v>
      </c>
      <c r="E449" s="1">
        <f t="shared" si="114"/>
        <v>0.16918591827069057</v>
      </c>
      <c r="F449" s="1">
        <f t="shared" si="115"/>
        <v>0.19625566519400103</v>
      </c>
      <c r="G449" s="1">
        <f t="shared" si="116"/>
        <v>6.0906930577448601E-2</v>
      </c>
      <c r="H449" s="1">
        <f t="shared" si="117"/>
        <v>5.9019229858734965E-2</v>
      </c>
      <c r="I449" s="1">
        <f t="shared" si="118"/>
        <v>0.21690389721400799</v>
      </c>
      <c r="J449" s="1">
        <f t="shared" si="119"/>
        <v>0.23499087433026208</v>
      </c>
      <c r="K449" s="1">
        <f t="shared" si="120"/>
        <v>0.14449822867287437</v>
      </c>
      <c r="L449" s="1">
        <f t="shared" si="121"/>
        <v>0.14328151277922485</v>
      </c>
      <c r="M449" s="1">
        <f t="shared" si="122"/>
        <v>0.31233985510064244</v>
      </c>
      <c r="N449" s="1">
        <f t="shared" si="123"/>
        <v>0.31246129260278388</v>
      </c>
      <c r="O449" s="1">
        <f t="shared" si="124"/>
        <v>0.31168082486372573</v>
      </c>
      <c r="P449" s="1">
        <f t="shared" si="125"/>
        <v>0.31180607862020454</v>
      </c>
      <c r="Q449" s="1">
        <f t="shared" si="126"/>
        <v>4.7372057115793353</v>
      </c>
      <c r="T449">
        <v>0.83063178237704227</v>
      </c>
      <c r="U449">
        <f t="shared" si="133"/>
        <v>1.2039028859915184</v>
      </c>
      <c r="V449" s="15">
        <f t="shared" si="127"/>
        <v>0</v>
      </c>
      <c r="W449" s="15">
        <f t="shared" si="128"/>
        <v>0</v>
      </c>
      <c r="X449" s="15">
        <f t="shared" si="129"/>
        <v>0</v>
      </c>
      <c r="Y449" s="15">
        <f t="shared" si="130"/>
        <v>0</v>
      </c>
      <c r="Z449" s="15">
        <f t="shared" si="131"/>
        <v>0</v>
      </c>
      <c r="AA449" s="15">
        <f t="shared" si="132"/>
        <v>0</v>
      </c>
      <c r="AC449" s="1"/>
      <c r="AD449" s="1"/>
      <c r="AE449" s="1"/>
    </row>
    <row r="450" spans="1:31">
      <c r="A450">
        <v>29</v>
      </c>
      <c r="B450">
        <f t="shared" si="112"/>
        <v>0.40086292676058144</v>
      </c>
      <c r="C450">
        <v>0.39101619202180371</v>
      </c>
      <c r="D450">
        <f t="shared" si="113"/>
        <v>2.5574388488347775</v>
      </c>
      <c r="E450" s="1">
        <f t="shared" si="114"/>
        <v>0.16916216888283231</v>
      </c>
      <c r="F450" s="1">
        <f t="shared" si="115"/>
        <v>0.19622811590408545</v>
      </c>
      <c r="G450" s="1">
        <f t="shared" si="116"/>
        <v>6.0898380797819632E-2</v>
      </c>
      <c r="H450" s="1">
        <f t="shared" si="117"/>
        <v>5.9010945064141312E-2</v>
      </c>
      <c r="I450" s="1">
        <f t="shared" si="118"/>
        <v>0.21687344943894751</v>
      </c>
      <c r="J450" s="1">
        <f t="shared" si="119"/>
        <v>0.23495788760492073</v>
      </c>
      <c r="K450" s="1">
        <f t="shared" si="120"/>
        <v>0.14447794480697901</v>
      </c>
      <c r="L450" s="1">
        <f t="shared" si="121"/>
        <v>0.14326139970920876</v>
      </c>
      <c r="M450" s="1">
        <f t="shared" si="122"/>
        <v>0.31229601055117756</v>
      </c>
      <c r="N450" s="1">
        <f t="shared" si="123"/>
        <v>0.31241743100659103</v>
      </c>
      <c r="O450" s="1">
        <f t="shared" si="124"/>
        <v>0.31163707282529762</v>
      </c>
      <c r="P450" s="1">
        <f t="shared" si="125"/>
        <v>0.31176230899934365</v>
      </c>
      <c r="Q450" s="1">
        <f t="shared" si="126"/>
        <v>4.7365407287193051</v>
      </c>
      <c r="T450">
        <v>0.70048031856688542</v>
      </c>
      <c r="U450">
        <f t="shared" si="133"/>
        <v>1.427591858749012</v>
      </c>
      <c r="V450" s="15">
        <f t="shared" si="127"/>
        <v>0</v>
      </c>
      <c r="W450" s="15">
        <f t="shared" si="128"/>
        <v>0</v>
      </c>
      <c r="X450" s="15">
        <f t="shared" si="129"/>
        <v>0</v>
      </c>
      <c r="Y450" s="15">
        <f t="shared" si="130"/>
        <v>0</v>
      </c>
      <c r="Z450" s="15">
        <f t="shared" si="131"/>
        <v>0</v>
      </c>
      <c r="AA450" s="15">
        <f t="shared" si="132"/>
        <v>0</v>
      </c>
      <c r="AC450" s="1"/>
      <c r="AD450" s="1"/>
      <c r="AE450" s="1"/>
    </row>
    <row r="451" spans="1:31">
      <c r="A451">
        <v>993</v>
      </c>
      <c r="B451">
        <f t="shared" si="112"/>
        <v>0.40092534251633161</v>
      </c>
      <c r="C451">
        <v>0.39141227573548365</v>
      </c>
      <c r="D451">
        <f t="shared" si="113"/>
        <v>2.5548508873947524</v>
      </c>
      <c r="E451" s="1">
        <f t="shared" si="114"/>
        <v>0.16905214562903231</v>
      </c>
      <c r="F451" s="1">
        <f t="shared" si="115"/>
        <v>0.19610048892967746</v>
      </c>
      <c r="G451" s="1">
        <f t="shared" si="116"/>
        <v>6.0858772426451636E-2</v>
      </c>
      <c r="H451" s="1">
        <f t="shared" si="117"/>
        <v>5.8972564282973483E-2</v>
      </c>
      <c r="I451" s="1">
        <f t="shared" si="118"/>
        <v>0.21673239471774314</v>
      </c>
      <c r="J451" s="1">
        <f t="shared" si="119"/>
        <v>0.23480507074598006</v>
      </c>
      <c r="K451" s="1">
        <f t="shared" si="120"/>
        <v>0.14438397619866089</v>
      </c>
      <c r="L451" s="1">
        <f t="shared" si="121"/>
        <v>0.14316822234311066</v>
      </c>
      <c r="M451" s="1">
        <f t="shared" si="122"/>
        <v>0.31209289289516434</v>
      </c>
      <c r="N451" s="1">
        <f t="shared" si="123"/>
        <v>0.31221423437858498</v>
      </c>
      <c r="O451" s="1">
        <f t="shared" si="124"/>
        <v>0.31143438374307919</v>
      </c>
      <c r="P451" s="1">
        <f t="shared" si="125"/>
        <v>0.31155953846338491</v>
      </c>
      <c r="Q451" s="1">
        <f t="shared" si="126"/>
        <v>4.7334600776129054</v>
      </c>
      <c r="T451">
        <v>0.16917488157552107</v>
      </c>
      <c r="U451">
        <f t="shared" si="133"/>
        <v>5.9110430028797847</v>
      </c>
      <c r="V451" s="15">
        <f t="shared" si="127"/>
        <v>8.1695718146671356E-2</v>
      </c>
      <c r="W451" s="15">
        <f t="shared" si="128"/>
        <v>8.5773022541012017E-2</v>
      </c>
      <c r="X451" s="15">
        <f t="shared" si="129"/>
        <v>9.392763132969334E-2</v>
      </c>
      <c r="Y451" s="15">
        <f t="shared" si="130"/>
        <v>0.11608081531134747</v>
      </c>
      <c r="Z451" s="15">
        <f t="shared" si="131"/>
        <v>0.11956158785328952</v>
      </c>
      <c r="AA451" s="15">
        <f t="shared" si="132"/>
        <v>0.12652313293717368</v>
      </c>
      <c r="AC451" s="1"/>
      <c r="AD451" s="1"/>
      <c r="AE451" s="1"/>
    </row>
    <row r="452" spans="1:31">
      <c r="A452">
        <v>92</v>
      </c>
      <c r="B452">
        <f t="shared" si="112"/>
        <v>0.40112889519257705</v>
      </c>
      <c r="C452">
        <v>0.39190174092764063</v>
      </c>
      <c r="D452">
        <f t="shared" si="113"/>
        <v>2.5516600095548863</v>
      </c>
      <c r="E452" s="1">
        <f t="shared" si="114"/>
        <v>0.16891618307565537</v>
      </c>
      <c r="F452" s="1">
        <f t="shared" si="115"/>
        <v>0.19594277236776023</v>
      </c>
      <c r="G452" s="1">
        <f t="shared" si="116"/>
        <v>6.0809825907235937E-2</v>
      </c>
      <c r="H452" s="1">
        <f t="shared" si="117"/>
        <v>5.892513477304763E-2</v>
      </c>
      <c r="I452" s="1">
        <f t="shared" si="118"/>
        <v>0.21655808465692919</v>
      </c>
      <c r="J452" s="1">
        <f t="shared" si="119"/>
        <v>0.23461622548261069</v>
      </c>
      <c r="K452" s="1">
        <f t="shared" si="120"/>
        <v>0.14426785336568743</v>
      </c>
      <c r="L452" s="1">
        <f t="shared" si="121"/>
        <v>0.14305307729718547</v>
      </c>
      <c r="M452" s="1">
        <f t="shared" si="122"/>
        <v>0.31184188781947642</v>
      </c>
      <c r="N452" s="1">
        <f t="shared" si="123"/>
        <v>0.31196313171231127</v>
      </c>
      <c r="O452" s="1">
        <f t="shared" si="124"/>
        <v>0.31118390828259018</v>
      </c>
      <c r="P452" s="1">
        <f t="shared" si="125"/>
        <v>0.31130896234546107</v>
      </c>
      <c r="Q452" s="1">
        <f t="shared" si="126"/>
        <v>4.7296531261183503</v>
      </c>
      <c r="T452">
        <v>0.53242264592575805</v>
      </c>
      <c r="U452">
        <f t="shared" si="133"/>
        <v>1.8782071116851813</v>
      </c>
      <c r="V452" s="15">
        <f t="shared" si="127"/>
        <v>0</v>
      </c>
      <c r="W452" s="15">
        <f t="shared" si="128"/>
        <v>0</v>
      </c>
      <c r="X452" s="15">
        <f t="shared" si="129"/>
        <v>0</v>
      </c>
      <c r="Y452" s="15">
        <f t="shared" si="130"/>
        <v>0</v>
      </c>
      <c r="Z452" s="15">
        <f t="shared" si="131"/>
        <v>0</v>
      </c>
      <c r="AA452" s="15">
        <f t="shared" si="132"/>
        <v>0</v>
      </c>
      <c r="AC452" s="1"/>
      <c r="AD452" s="1"/>
      <c r="AE452" s="1"/>
    </row>
    <row r="453" spans="1:31">
      <c r="A453">
        <v>470</v>
      </c>
      <c r="B453">
        <f t="shared" si="112"/>
        <v>0.4014347861712016</v>
      </c>
      <c r="C453">
        <v>0.39268830084721584</v>
      </c>
      <c r="D453">
        <f t="shared" si="113"/>
        <v>2.5465490004222771</v>
      </c>
      <c r="E453" s="1">
        <f t="shared" si="114"/>
        <v>0.16869769420910669</v>
      </c>
      <c r="F453" s="1">
        <f t="shared" si="115"/>
        <v>0.19568932528256378</v>
      </c>
      <c r="G453" s="1">
        <f t="shared" si="116"/>
        <v>6.0731169915278417E-2</v>
      </c>
      <c r="H453" s="1">
        <f t="shared" si="117"/>
        <v>5.8848916582029037E-2</v>
      </c>
      <c r="I453" s="1">
        <f t="shared" si="118"/>
        <v>0.21627797217985853</v>
      </c>
      <c r="J453" s="1">
        <f t="shared" si="119"/>
        <v>0.23431275525112513</v>
      </c>
      <c r="K453" s="1">
        <f t="shared" si="120"/>
        <v>0.14408124649838</v>
      </c>
      <c r="L453" s="1">
        <f t="shared" si="121"/>
        <v>0.14286804171240103</v>
      </c>
      <c r="M453" s="1">
        <f t="shared" si="122"/>
        <v>0.31143852812136175</v>
      </c>
      <c r="N453" s="1">
        <f t="shared" si="123"/>
        <v>0.3115596151882476</v>
      </c>
      <c r="O453" s="1">
        <f t="shared" si="124"/>
        <v>0.3107813996645829</v>
      </c>
      <c r="P453" s="1">
        <f t="shared" si="125"/>
        <v>0.3109062919731449</v>
      </c>
      <c r="Q453" s="1">
        <f t="shared" si="126"/>
        <v>4.7235354378549879</v>
      </c>
      <c r="T453">
        <v>7.2856752297667193E-2</v>
      </c>
      <c r="U453">
        <f t="shared" si="133"/>
        <v>13.725563773613597</v>
      </c>
      <c r="V453" s="15">
        <f t="shared" si="127"/>
        <v>9.7677389150367055E-2</v>
      </c>
      <c r="W453" s="15">
        <f t="shared" si="128"/>
        <v>0.10077591240604576</v>
      </c>
      <c r="X453" s="15">
        <f t="shared" si="129"/>
        <v>0.10697295891740324</v>
      </c>
      <c r="Y453" s="15">
        <f t="shared" si="130"/>
        <v>0.13970976790497172</v>
      </c>
      <c r="Z453" s="15">
        <f t="shared" si="131"/>
        <v>0.14216418210013052</v>
      </c>
      <c r="AA453" s="15">
        <f t="shared" si="132"/>
        <v>0.14707301049044802</v>
      </c>
      <c r="AC453" s="1"/>
      <c r="AD453" s="1"/>
      <c r="AE453" s="1"/>
    </row>
    <row r="454" spans="1:31">
      <c r="A454">
        <v>27</v>
      </c>
      <c r="B454">
        <f t="shared" si="112"/>
        <v>0.4016791778933127</v>
      </c>
      <c r="C454">
        <v>0.39343269088775112</v>
      </c>
      <c r="D454">
        <f t="shared" si="113"/>
        <v>2.5417308301035573</v>
      </c>
      <c r="E454" s="1">
        <f t="shared" si="114"/>
        <v>0.16849091919784689</v>
      </c>
      <c r="F454" s="1">
        <f t="shared" si="115"/>
        <v>0.19544946626950238</v>
      </c>
      <c r="G454" s="1">
        <f t="shared" si="116"/>
        <v>6.0656730911224893E-2</v>
      </c>
      <c r="H454" s="1">
        <f t="shared" si="117"/>
        <v>5.8776784680962313E-2</v>
      </c>
      <c r="I454" s="1">
        <f t="shared" si="118"/>
        <v>0.21601287738800379</v>
      </c>
      <c r="J454" s="1">
        <f t="shared" si="119"/>
        <v>0.23402555498539235</v>
      </c>
      <c r="K454" s="1">
        <f t="shared" si="120"/>
        <v>0.14390464419503077</v>
      </c>
      <c r="L454" s="1">
        <f t="shared" si="121"/>
        <v>0.14269292645032083</v>
      </c>
      <c r="M454" s="1">
        <f t="shared" si="122"/>
        <v>0.31105679376831719</v>
      </c>
      <c r="N454" s="1">
        <f t="shared" si="123"/>
        <v>0.31117773241717189</v>
      </c>
      <c r="O454" s="1">
        <f t="shared" si="124"/>
        <v>0.31040047076264232</v>
      </c>
      <c r="P454" s="1">
        <f t="shared" si="125"/>
        <v>0.31052520998903788</v>
      </c>
      <c r="Q454" s="1">
        <f t="shared" si="126"/>
        <v>4.7177457375397136</v>
      </c>
      <c r="T454">
        <v>0.70065109621296251</v>
      </c>
      <c r="U454">
        <f t="shared" si="133"/>
        <v>1.4272438955780218</v>
      </c>
      <c r="V454" s="15">
        <f t="shared" si="127"/>
        <v>0</v>
      </c>
      <c r="W454" s="15">
        <f t="shared" si="128"/>
        <v>0</v>
      </c>
      <c r="X454" s="15">
        <f t="shared" si="129"/>
        <v>0</v>
      </c>
      <c r="Y454" s="15">
        <f t="shared" si="130"/>
        <v>0</v>
      </c>
      <c r="Z454" s="15">
        <f t="shared" si="131"/>
        <v>0</v>
      </c>
      <c r="AA454" s="15">
        <f t="shared" si="132"/>
        <v>0</v>
      </c>
      <c r="AC454" s="1"/>
      <c r="AD454" s="1"/>
      <c r="AE454" s="1"/>
    </row>
    <row r="455" spans="1:31">
      <c r="A455">
        <v>995</v>
      </c>
      <c r="B455">
        <f t="shared" si="112"/>
        <v>0.4017018679303937</v>
      </c>
      <c r="C455">
        <v>0.39395264650836948</v>
      </c>
      <c r="D455">
        <f t="shared" si="113"/>
        <v>2.538376144602839</v>
      </c>
      <c r="E455" s="1">
        <f t="shared" si="114"/>
        <v>0.16834648708100847</v>
      </c>
      <c r="F455" s="1">
        <f t="shared" si="115"/>
        <v>0.19528192501396982</v>
      </c>
      <c r="G455" s="1">
        <f t="shared" si="116"/>
        <v>6.0604735349163052E-2</v>
      </c>
      <c r="H455" s="1">
        <f t="shared" si="117"/>
        <v>5.8726400627786959E-2</v>
      </c>
      <c r="I455" s="1">
        <f t="shared" si="118"/>
        <v>0.21582770896887449</v>
      </c>
      <c r="J455" s="1">
        <f t="shared" si="119"/>
        <v>0.23382494591719002</v>
      </c>
      <c r="K455" s="1">
        <f t="shared" si="120"/>
        <v>0.1437812876813212</v>
      </c>
      <c r="L455" s="1">
        <f t="shared" si="121"/>
        <v>0.14257060863329424</v>
      </c>
      <c r="M455" s="1">
        <f t="shared" si="122"/>
        <v>0.31079015274460609</v>
      </c>
      <c r="N455" s="1">
        <f t="shared" si="123"/>
        <v>0.31091098772363018</v>
      </c>
      <c r="O455" s="1">
        <f t="shared" si="124"/>
        <v>0.31013439234563722</v>
      </c>
      <c r="P455" s="1">
        <f t="shared" si="125"/>
        <v>0.31025902464430866</v>
      </c>
      <c r="Q455" s="1">
        <f t="shared" si="126"/>
        <v>4.7137016382682377</v>
      </c>
      <c r="T455">
        <v>0.94952759593992775</v>
      </c>
      <c r="U455">
        <f t="shared" si="133"/>
        <v>1.0531552787679752</v>
      </c>
      <c r="V455" s="15">
        <f t="shared" si="127"/>
        <v>0</v>
      </c>
      <c r="W455" s="15">
        <f t="shared" si="128"/>
        <v>0</v>
      </c>
      <c r="X455" s="15">
        <f t="shared" si="129"/>
        <v>0</v>
      </c>
      <c r="Y455" s="15">
        <f t="shared" si="130"/>
        <v>0</v>
      </c>
      <c r="Z455" s="15">
        <f t="shared" si="131"/>
        <v>0</v>
      </c>
      <c r="AA455" s="15">
        <f t="shared" si="132"/>
        <v>0</v>
      </c>
      <c r="AC455" s="1"/>
      <c r="AD455" s="1"/>
      <c r="AE455" s="1"/>
    </row>
    <row r="456" spans="1:31">
      <c r="A456">
        <v>122</v>
      </c>
      <c r="B456">
        <f t="shared" si="112"/>
        <v>0.40170596860928687</v>
      </c>
      <c r="C456">
        <v>0.39404661599071278</v>
      </c>
      <c r="D456">
        <f t="shared" si="113"/>
        <v>2.5377708104047487</v>
      </c>
      <c r="E456" s="1">
        <f t="shared" si="114"/>
        <v>0.16832038444702421</v>
      </c>
      <c r="F456" s="1">
        <f t="shared" si="115"/>
        <v>0.1952516459585481</v>
      </c>
      <c r="G456" s="1">
        <f t="shared" si="116"/>
        <v>6.0595338400928719E-2</v>
      </c>
      <c r="H456" s="1">
        <f t="shared" si="117"/>
        <v>5.87172949210545E-2</v>
      </c>
      <c r="I456" s="1">
        <f t="shared" si="118"/>
        <v>0.21579424422726592</v>
      </c>
      <c r="J456" s="1">
        <f t="shared" si="119"/>
        <v>0.23378869064934638</v>
      </c>
      <c r="K456" s="1">
        <f t="shared" si="120"/>
        <v>0.14375899395609293</v>
      </c>
      <c r="L456" s="1">
        <f t="shared" si="121"/>
        <v>0.14254850262752841</v>
      </c>
      <c r="M456" s="1">
        <f t="shared" si="122"/>
        <v>0.31074196378774888</v>
      </c>
      <c r="N456" s="1">
        <f t="shared" si="123"/>
        <v>0.31086278003094259</v>
      </c>
      <c r="O456" s="1">
        <f t="shared" si="124"/>
        <v>0.3100863050664211</v>
      </c>
      <c r="P456" s="1">
        <f t="shared" si="125"/>
        <v>0.31021091804047618</v>
      </c>
      <c r="Q456" s="1">
        <f t="shared" si="126"/>
        <v>4.7129707645166778</v>
      </c>
      <c r="T456">
        <v>0.93654863232661756</v>
      </c>
      <c r="U456">
        <f t="shared" si="133"/>
        <v>1.0677502112364989</v>
      </c>
      <c r="V456" s="15">
        <f t="shared" si="127"/>
        <v>0</v>
      </c>
      <c r="W456" s="15">
        <f t="shared" si="128"/>
        <v>0</v>
      </c>
      <c r="X456" s="15">
        <f t="shared" si="129"/>
        <v>0</v>
      </c>
      <c r="Y456" s="15">
        <f t="shared" si="130"/>
        <v>0</v>
      </c>
      <c r="Z456" s="15">
        <f t="shared" si="131"/>
        <v>0</v>
      </c>
      <c r="AA456" s="15">
        <f t="shared" si="132"/>
        <v>0</v>
      </c>
      <c r="AC456" s="1"/>
      <c r="AD456" s="1"/>
      <c r="AE456" s="1"/>
    </row>
    <row r="457" spans="1:31">
      <c r="A457">
        <v>802</v>
      </c>
      <c r="B457">
        <f t="shared" si="112"/>
        <v>0.40171458695031304</v>
      </c>
      <c r="C457">
        <v>0.39424411037298124</v>
      </c>
      <c r="D457">
        <f t="shared" si="113"/>
        <v>2.5364995283098417</v>
      </c>
      <c r="E457" s="1">
        <f t="shared" si="114"/>
        <v>0.1682655248963941</v>
      </c>
      <c r="F457" s="1">
        <f t="shared" si="115"/>
        <v>0.19518800887981713</v>
      </c>
      <c r="G457" s="1">
        <f t="shared" si="116"/>
        <v>6.0575588962701876E-2</v>
      </c>
      <c r="H457" s="1">
        <f t="shared" si="117"/>
        <v>5.8698157581128813E-2</v>
      </c>
      <c r="I457" s="1">
        <f t="shared" si="118"/>
        <v>0.21572391183522815</v>
      </c>
      <c r="J457" s="1">
        <f t="shared" si="119"/>
        <v>0.2337124934462948</v>
      </c>
      <c r="K457" s="1">
        <f t="shared" si="120"/>
        <v>0.14371213953716214</v>
      </c>
      <c r="L457" s="1">
        <f t="shared" si="121"/>
        <v>0.14250204273603734</v>
      </c>
      <c r="M457" s="1">
        <f t="shared" si="122"/>
        <v>0.31064068571289583</v>
      </c>
      <c r="N457" s="1">
        <f t="shared" si="123"/>
        <v>0.31076146257924975</v>
      </c>
      <c r="O457" s="1">
        <f t="shared" si="124"/>
        <v>0.30998524068608246</v>
      </c>
      <c r="P457" s="1">
        <f t="shared" si="125"/>
        <v>0.31010981304585433</v>
      </c>
      <c r="Q457" s="1">
        <f t="shared" si="126"/>
        <v>4.7114346970990351</v>
      </c>
      <c r="T457">
        <v>0.57616205889455863</v>
      </c>
      <c r="U457">
        <f t="shared" si="133"/>
        <v>1.7356227897384102</v>
      </c>
      <c r="V457" s="15">
        <f t="shared" si="127"/>
        <v>0</v>
      </c>
      <c r="W457" s="15">
        <f t="shared" si="128"/>
        <v>0</v>
      </c>
      <c r="X457" s="15">
        <f t="shared" si="129"/>
        <v>0</v>
      </c>
      <c r="Y457" s="15">
        <f t="shared" si="130"/>
        <v>0</v>
      </c>
      <c r="Z457" s="15">
        <f t="shared" si="131"/>
        <v>0</v>
      </c>
      <c r="AA457" s="15">
        <f t="shared" si="132"/>
        <v>0</v>
      </c>
      <c r="AC457" s="1"/>
      <c r="AD457" s="1"/>
      <c r="AE457" s="1"/>
    </row>
    <row r="458" spans="1:31">
      <c r="A458">
        <v>326</v>
      </c>
      <c r="B458">
        <f t="shared" si="112"/>
        <v>0.40201512834979863</v>
      </c>
      <c r="C458">
        <v>0.39474182034331928</v>
      </c>
      <c r="D458">
        <f t="shared" si="113"/>
        <v>2.533301384510688</v>
      </c>
      <c r="E458" s="1">
        <f t="shared" si="114"/>
        <v>0.16812727212685574</v>
      </c>
      <c r="F458" s="1">
        <f t="shared" si="115"/>
        <v>0.19502763566715264</v>
      </c>
      <c r="G458" s="1">
        <f t="shared" si="116"/>
        <v>6.0525817965668069E-2</v>
      </c>
      <c r="H458" s="1">
        <f t="shared" si="117"/>
        <v>5.8649929146591284E-2</v>
      </c>
      <c r="I458" s="1">
        <f t="shared" si="118"/>
        <v>0.21554666561509345</v>
      </c>
      <c r="J458" s="1">
        <f t="shared" si="119"/>
        <v>0.23352046718592706</v>
      </c>
      <c r="K458" s="1">
        <f t="shared" si="120"/>
        <v>0.14359406067745795</v>
      </c>
      <c r="L458" s="1">
        <f t="shared" si="121"/>
        <v>0.14238495813367891</v>
      </c>
      <c r="M458" s="1">
        <f t="shared" si="122"/>
        <v>0.31038545259156847</v>
      </c>
      <c r="N458" s="1">
        <f t="shared" si="123"/>
        <v>0.31050613022347562</v>
      </c>
      <c r="O458" s="1">
        <f t="shared" si="124"/>
        <v>0.30973054610103745</v>
      </c>
      <c r="P458" s="1">
        <f t="shared" si="125"/>
        <v>0.30985501610785404</v>
      </c>
      <c r="Q458" s="1">
        <f t="shared" si="126"/>
        <v>4.7075636195519612</v>
      </c>
      <c r="T458">
        <v>0.7573317006435567</v>
      </c>
      <c r="U458">
        <f t="shared" si="133"/>
        <v>1.3204253818376168</v>
      </c>
      <c r="V458" s="15">
        <f t="shared" si="127"/>
        <v>0</v>
      </c>
      <c r="W458" s="15">
        <f t="shared" si="128"/>
        <v>0</v>
      </c>
      <c r="X458" s="15">
        <f t="shared" si="129"/>
        <v>0</v>
      </c>
      <c r="Y458" s="15">
        <f t="shared" si="130"/>
        <v>0</v>
      </c>
      <c r="Z458" s="15">
        <f t="shared" si="131"/>
        <v>0</v>
      </c>
      <c r="AA458" s="15">
        <f t="shared" si="132"/>
        <v>0</v>
      </c>
      <c r="AC458" s="1"/>
      <c r="AD458" s="1"/>
      <c r="AE458" s="1"/>
    </row>
    <row r="459" spans="1:31">
      <c r="A459">
        <v>101</v>
      </c>
      <c r="B459">
        <f t="shared" ref="B459:B522" si="134">PERCENTILE($C$75:$C$1074,$C459)</f>
        <v>0.40248881440427281</v>
      </c>
      <c r="C459">
        <v>0.39530161696627719</v>
      </c>
      <c r="D459">
        <f t="shared" ref="D459:D522" si="135">1/C459</f>
        <v>2.5297139123144774</v>
      </c>
      <c r="E459" s="1">
        <f t="shared" ref="E459:E522" si="136">IF($C459&lt;=0.005,$F$14,IF($C459&lt;=0.01,$F$14+($C459-0.005)*SLOPE($E$14:$F$14,$E$11:$F$11),IF($C459&lt;=0.04,$E$14+($C459-0.01)*SLOPE($D$14:$E$14,$D$11:$E$11),IF($C459&lt;=0.1,$D$14+($C459-0.04)*SLOPE($C$14:$D$14,$C$11:$D$11),IF($C459&lt;=1,$C$14+($C459-0.1)*SLOPE($B$14:$C$14,$B$11:$C$11),)))))</f>
        <v>0.167971773064923</v>
      </c>
      <c r="F459" s="1">
        <f t="shared" ref="F459:F522" si="137">IF($C459&lt;=0.005,$F$27,IF($C459&lt;=0.01,$F$27+($C459-0.005)*SLOPE($E$27:$F$27,$E$24:$F$24),IF($C459&lt;=0.04,$E$27+($C459-0.01)*SLOPE($D$27:$E$27,$D$24:$E$24),IF($C459&lt;=0.1,$D$27+($C459-0.04)*SLOPE($C$27:$D$27,$C$24:$D$24),IF($C459&lt;=1,$C$27+($C459-0.1)*SLOPE($B$27:$C$27,$B$24:$C$24),)))))</f>
        <v>0.19484725675531067</v>
      </c>
      <c r="G459" s="1">
        <f t="shared" ref="G459:G522" si="138">IF($C459&lt;=0.005,$F$15,IF($C459&lt;=0.01,$F$15+($C459-0.005)*SLOPE($E$15:$F$15,$E$11:$F$11),IF($C459&lt;=0.04,$E$15+($C459-0.01)*SLOPE($D$15:$E$15,$D$11:$E$11),IF($C459&lt;=0.1,$D$15+($C459-0.04)*SLOPE($C$15:$D$15,$C$11:$D$11),IF($C459&lt;=1,$C$15+($C459-0.1)*SLOPE($B$15:$C$15,$B$11:$C$11),)))))</f>
        <v>6.0469838303372284E-2</v>
      </c>
      <c r="H459" s="1">
        <f t="shared" ref="H459:H522" si="139">IF($C459&lt;=0.005,$F$28,IF($C459&lt;=0.01,$F$28+($C459-0.005)*SLOPE($E$28:$F$28,$E$24:$F$24),IF($C459&lt;=0.04,$E$28+($C459-0.01)*SLOPE($D$28:$E$28,$D$24:$E$24),IF($C459&lt;=0.1,$D$28+($C459-0.04)*SLOPE($C$28:$D$28,$C$24:$D$24),IF($C459&lt;=1,$C$28+($C459-0.1)*SLOPE($B$28:$C$28,$B$24:$C$24),)))))</f>
        <v>5.8595684473199822E-2</v>
      </c>
      <c r="I459" s="1">
        <f t="shared" ref="I459:I522" si="140">IF($C459&lt;=0.005,$F$16,IF($C459&lt;=0.01,$F$16+($C459-0.005)*SLOPE($E$16:$F$16,$E$11:$F$11),IF($C459&lt;=0.04,$E$16+($C459-0.01)*SLOPE($D$16:$E$16,$D$11:$E$11),IF($C459&lt;=0.1,$D$16+($C459-0.04)*SLOPE($C$16:$D$16,$C$11:$D$11),IF($C459&lt;=1,$C$16+($C459-0.1)*SLOPE($B$16:$C$16,$B$11:$C$11),)))))</f>
        <v>0.21534730887848627</v>
      </c>
      <c r="J459" s="1">
        <f t="shared" ref="J459:J522" si="141">IF($C459&lt;=0.005,$F$29,IF($C459&lt;=0.01,$F$29+($C459-0.005)*SLOPE($E$29:$F$29,$E$24:$F$24),IF($C459&lt;=0.04,$E$29+($C459-0.01)*SLOPE($D$29:$E$29,$D$24:$E$24),IF($C459&lt;=0.1,$D$29+($C459-0.04)*SLOPE($C$29:$D$29,$C$24:$D$24),IF($C459&lt;=1,$C$29+($C459-0.1)*SLOPE($B$29:$C$29,$B$24:$C$24),)))))</f>
        <v>0.23330448667824294</v>
      </c>
      <c r="K459" s="1">
        <f t="shared" ref="K459:K522" si="142">IF($C459&lt;=0.005,$F$17,IF($C459&lt;=0.01,$F$17+($C459-0.005)*SLOPE($E$17:$F$17,$E$11:$F$11),IF($C459&lt;=0.04,$E$17+($C459-0.01)*SLOPE($D$17:$E$17,$D$11:$E$11),IF($C459&lt;=0.1,$D$17+($C459-0.04)*SLOPE($C$17:$D$17,$C$11:$D$11),IF($C459&lt;=1,$C$17+($C459-0.1)*SLOPE($B$17:$C$17,$B$11:$C$11),)))))</f>
        <v>0.14346125211254163</v>
      </c>
      <c r="L459" s="1">
        <f t="shared" ref="L459:L522" si="143">IF($C459&lt;=0.005,$F$30,IF($C459&lt;=0.01,$F$30+($C459-0.005)*SLOPE($E$30:$F$30,$E$24:$F$24),IF($C459&lt;=0.04,$E$30+($C459-0.01)*SLOPE($D$30:$E$30,$D$24:$E$24),IF($C459&lt;=0.1,$D$30+($C459-0.04)*SLOPE($C$30:$D$30,$C$24:$D$24),IF($C459&lt;=1,$C$30+($C459-0.1)*SLOPE($B$30:$C$30,$B$24:$C$24),)))))</f>
        <v>0.14225326785438611</v>
      </c>
      <c r="M459" s="1">
        <f t="shared" ref="M459:M522" si="144">IF($C459&lt;=0.005,$F$18,IF($C459&lt;=0.01,$F$18+($C459-0.005)*SLOPE($E$18:$F$18,$E$11:$F$11),IF($C459&lt;=0.04,$E$18+($C459-0.01)*SLOPE($D$18:$E$18,$D$11:$E$11),IF($C459&lt;=0.1,$D$18+($C459-0.04)*SLOPE($C$18:$D$18,$C$11:$D$11),IF($C459&lt;=1,$C$18+($C459-0.1)*SLOPE($B$18:$C$18,$B$11:$C$11),)))))</f>
        <v>0.31009838050561239</v>
      </c>
      <c r="N459" s="1">
        <f t="shared" ref="N459:N522" si="145">IF($C459&lt;=0.005,$F$31,IF($C459&lt;=0.01,$F$31+($C459-0.005)*SLOPE($E$31:$F$31,$E$24:$F$24),IF($C459&lt;=0.04,$E$31+($C459-0.01)*SLOPE($D$31:$E$31,$D$24:$E$24),IF($C459&lt;=0.1,$D$31+($C459-0.04)*SLOPE($C$31:$D$31,$C$24:$D$24),IF($C459&lt;=1,$C$31+($C459-0.1)*SLOPE($B$31:$C$31,$B$24:$C$24),)))))</f>
        <v>0.3102189465241072</v>
      </c>
      <c r="O459" s="1">
        <f t="shared" ref="O459:O522" si="146">IF($C459&lt;=0.005,$F$19,IF($C459&lt;=0.01,$F$19+($C459-0.005)*SLOPE($E$19:$F$19,$E$11:$F$11),IF($C459&lt;=0.04,$E$19+($C459-0.01)*SLOPE($D$19:$E$19,$D$11:$E$11),IF($C459&lt;=0.1,$D$19+($C459-0.04)*SLOPE($C$19:$D$19,$C$11:$D$11),IF($C459&lt;=1,$C$19+($C459-0.1)*SLOPE($B$19:$C$19,$B$11:$C$11),)))))</f>
        <v>0.30944407973088017</v>
      </c>
      <c r="P459" s="1">
        <f t="shared" ref="P459:P522" si="147">IF($C459&lt;=0.005,$F$32,IF($C459&lt;=0.01,$F$32+($C459-0.005)*SLOPE($E$32:$F$32,$E$24:$F$24),IF($C459&lt;=0.04,$E$32+($C459-0.01)*SLOPE($D$32:$E$32,$D$24:$E$24),IF($C459&lt;=0.1,$D$32+($C459-0.04)*SLOPE($C$32:$D$32,$C$24:$D$24),IF($C459&lt;=1,$C$32+($C459-0.1)*SLOPE($B$32:$C$32,$B$24:$C$24),)))))</f>
        <v>0.30956843461675859</v>
      </c>
      <c r="Q459" s="1">
        <f t="shared" ref="Q459:Q522" si="148">IF($C459&lt;=0.005,$F$20,IF($C459&lt;=0.01,$F$20+($C459-0.005)*SLOPE($E$20:$F$20,$E$11:$F$11),IF($C459&lt;=0.04,$E$20+($C459-0.01)*SLOPE($D$20:$E$20,$D$11:$E$11),IF($C459&lt;=0.1,$D$20+($C459-0.04)*SLOPE($C$20:$D$20,$C$11:$D$11),IF($C459&lt;=1,$C$20+($C459-0.1)*SLOPE($B$20:$C$20,$B$11:$C$11),)))))</f>
        <v>4.7032096458178447</v>
      </c>
      <c r="T459">
        <v>0.2322672735913951</v>
      </c>
      <c r="U459">
        <f t="shared" si="133"/>
        <v>4.3053848462491597</v>
      </c>
      <c r="V459" s="15">
        <f t="shared" ref="V459:V522" si="149">IF($T459&lt;=0.05,$F$63,IF($T459&lt;=0.07,$F$63+($T459-0.05)*SLOPE($E$63:$F$63,$E$62:$F$62),IF($T459&lt;=0.1,$E$63+($T459-0.07)*SLOPE($D$63:$E$63,$D$62:$E$62),IF($T459&lt;=0.2,$D$63+($T459-0.1)*SLOPE($C$63:$D$63,$C$62:$D$62),IF($T459&lt;=0.5,$C$63+($T459-0.2)*SLOPE($B$63:$C$63,$B$62:$C$62),)))))</f>
        <v>7.5393170246893376E-2</v>
      </c>
      <c r="W459" s="15">
        <f t="shared" ref="W459:W522" si="150">IF($T459&lt;=0.05,$F$64,IF($T459&lt;=0.07,$F$64+($T459-0.05)*SLOPE($E$64:$F$64,$E$62:$F$62),IF($T459&lt;=0.1,$E$64+($T459-0.07)*SLOPE($D$64:$E$64,$D$62:$E$62),IF($T459&lt;=0.2,$D$64+($T459-0.1)*SLOPE($C$64:$D$64,$C$62:$D$62),IF($T459&lt;=0.5,$C$64+($T459-0.2)*SLOPE($B$64:$C$64,$B$62:$C$62),)))))</f>
        <v>7.9798902614584555E-2</v>
      </c>
      <c r="X459" s="15">
        <f t="shared" ref="X459:X522" si="151">IF($T459&lt;=0.05,$F$65,IF($T459&lt;=0.07,$F$65+($T459-0.05)*SLOPE($E$65:$F$65,$E$62:$F$62),IF($T459&lt;=0.1,$E$65+($T459-0.07)*SLOPE($D$65:$E$65,$D$62:$E$62),IF($T459&lt;=0.2,$D$65+($T459-0.1)*SLOPE($C$65:$D$65,$C$62:$D$62),IF($T459&lt;=0.5,$C$65+($T459-0.2)*SLOPE($B$65:$C$65,$B$62:$C$62),)))))</f>
        <v>8.8610367349966981E-2</v>
      </c>
      <c r="Y459" s="15">
        <f t="shared" ref="Y459:Y522" si="152">IF($T459&lt;=0.05,$F$66,IF($T459&lt;=0.07,$F$66+($T459-0.05)*SLOPE($E$66:$F$66,$E$62:$F$62),IF($T459&lt;=0.1,$E$66+($T459-0.07)*SLOPE($D$66:$E$66,$D$62:$E$62),IF($T459&lt;=0.2,$D$66+($T459-0.1)*SLOPE($C$66:$D$66,$C$62:$D$62),IF($T459&lt;=0.5,$C$66+($T459-0.2)*SLOPE($B$66:$C$66,$B$62:$C$62),)))))</f>
        <v>0.10675673952880231</v>
      </c>
      <c r="Z459" s="15">
        <f t="shared" ref="Z459:Z522" si="153">IF($T459&lt;=0.05,$F$67,IF($T459&lt;=0.07,$F$67+($T459-0.05)*SLOPE($E$67:$F$67,$E$62:$F$62),IF($T459&lt;=0.1,$E$67+($T459-0.07)*SLOPE($D$67:$E$67,$D$62:$E$62),IF($T459&lt;=0.2,$D$67+($T459-0.1)*SLOPE($C$67:$D$67,$C$62:$D$62),IF($T459&lt;=0.5,$C$67+($T459-0.2)*SLOPE($B$67:$C$67,$B$62:$C$62),)))))</f>
        <v>0.11057681664689355</v>
      </c>
      <c r="AA459" s="15">
        <f t="shared" ref="AA459:AA522" si="154">IF($T459&lt;=0.05,$F$68,IF($T459&lt;=0.07,$F$68+($T459-0.05)*SLOPE($E$68:$F$68,$E$62:$F$62),IF($T459&lt;=0.1,$E$68+($T459-0.07)*SLOPE($D$68:$E$68,$D$62:$E$62),IF($T459&lt;=0.2,$D$68+($T459-0.1)*SLOPE($C$68:$D$68,$C$62:$D$62),IF($T459&lt;=0.5,$C$68+($T459-0.2)*SLOPE($B$68:$C$68,$B$62:$C$62),)))))</f>
        <v>0.11821697088307616</v>
      </c>
      <c r="AC459" s="1"/>
      <c r="AD459" s="1"/>
      <c r="AE459" s="1"/>
    </row>
    <row r="460" spans="1:31">
      <c r="A460">
        <v>457</v>
      </c>
      <c r="B460">
        <f t="shared" si="134"/>
        <v>0.40250150288001513</v>
      </c>
      <c r="C460">
        <v>0.39531661205807678</v>
      </c>
      <c r="D460">
        <f t="shared" si="135"/>
        <v>2.5296179555770553</v>
      </c>
      <c r="E460" s="1">
        <f t="shared" si="136"/>
        <v>0.16796760776164532</v>
      </c>
      <c r="F460" s="1">
        <f t="shared" si="137"/>
        <v>0.19484242500350857</v>
      </c>
      <c r="G460" s="1">
        <f t="shared" si="138"/>
        <v>6.0468338794192319E-2</v>
      </c>
      <c r="H460" s="1">
        <f t="shared" si="139"/>
        <v>5.8594231438608715E-2</v>
      </c>
      <c r="I460" s="1">
        <f t="shared" si="140"/>
        <v>0.21534196877380593</v>
      </c>
      <c r="J460" s="1">
        <f t="shared" si="141"/>
        <v>0.23329870127796215</v>
      </c>
      <c r="K460" s="1">
        <f t="shared" si="142"/>
        <v>0.14345769461229779</v>
      </c>
      <c r="L460" s="1">
        <f t="shared" si="143"/>
        <v>0.14224974030929899</v>
      </c>
      <c r="M460" s="1">
        <f t="shared" si="144"/>
        <v>0.31009069079812673</v>
      </c>
      <c r="N460" s="1">
        <f t="shared" si="145"/>
        <v>0.31021125382686898</v>
      </c>
      <c r="O460" s="1">
        <f t="shared" si="146"/>
        <v>0.30943640624850843</v>
      </c>
      <c r="P460" s="1">
        <f t="shared" si="147"/>
        <v>0.3095607580506794</v>
      </c>
      <c r="Q460" s="1">
        <f t="shared" si="148"/>
        <v>4.7030930173260694</v>
      </c>
      <c r="T460">
        <v>0.94588260375101818</v>
      </c>
      <c r="U460">
        <f t="shared" ref="U460:U523" si="155">1/T460</f>
        <v>1.0572136500178482</v>
      </c>
      <c r="V460" s="15">
        <f t="shared" si="149"/>
        <v>0</v>
      </c>
      <c r="W460" s="15">
        <f t="shared" si="150"/>
        <v>0</v>
      </c>
      <c r="X460" s="15">
        <f t="shared" si="151"/>
        <v>0</v>
      </c>
      <c r="Y460" s="15">
        <f t="shared" si="152"/>
        <v>0</v>
      </c>
      <c r="Z460" s="15">
        <f t="shared" si="153"/>
        <v>0</v>
      </c>
      <c r="AA460" s="15">
        <f t="shared" si="154"/>
        <v>0</v>
      </c>
      <c r="AC460" s="1"/>
      <c r="AD460" s="1"/>
      <c r="AE460" s="1"/>
    </row>
    <row r="461" spans="1:31">
      <c r="A461">
        <v>450</v>
      </c>
      <c r="B461">
        <f t="shared" si="134"/>
        <v>0.40252594773037298</v>
      </c>
      <c r="C461">
        <v>0.39534550069549768</v>
      </c>
      <c r="D461">
        <f t="shared" si="135"/>
        <v>2.5294331116473696</v>
      </c>
      <c r="E461" s="1">
        <f t="shared" si="136"/>
        <v>0.16795958314013953</v>
      </c>
      <c r="F461" s="1">
        <f t="shared" si="137"/>
        <v>0.19483311644256185</v>
      </c>
      <c r="G461" s="1">
        <f t="shared" si="138"/>
        <v>6.0465449930450235E-2</v>
      </c>
      <c r="H461" s="1">
        <f t="shared" si="139"/>
        <v>5.8591432110000161E-2</v>
      </c>
      <c r="I461" s="1">
        <f t="shared" si="140"/>
        <v>0.21533168085093346</v>
      </c>
      <c r="J461" s="1">
        <f t="shared" si="141"/>
        <v>0.23328755547550356</v>
      </c>
      <c r="K461" s="1">
        <f t="shared" si="142"/>
        <v>0.1434508409473757</v>
      </c>
      <c r="L461" s="1">
        <f t="shared" si="143"/>
        <v>0.14224294435417112</v>
      </c>
      <c r="M461" s="1">
        <f t="shared" si="144"/>
        <v>0.31007587627252092</v>
      </c>
      <c r="N461" s="1">
        <f t="shared" si="145"/>
        <v>0.31019643354138671</v>
      </c>
      <c r="O461" s="1">
        <f t="shared" si="146"/>
        <v>0.30942162298122644</v>
      </c>
      <c r="P461" s="1">
        <f t="shared" si="147"/>
        <v>0.30954596884251295</v>
      </c>
      <c r="Q461" s="1">
        <f t="shared" si="148"/>
        <v>4.7028683279239072</v>
      </c>
      <c r="T461">
        <v>0.96933103878996396</v>
      </c>
      <c r="U461">
        <f t="shared" si="155"/>
        <v>1.0316393058539843</v>
      </c>
      <c r="V461" s="15">
        <f t="shared" si="149"/>
        <v>0</v>
      </c>
      <c r="W461" s="15">
        <f t="shared" si="150"/>
        <v>0</v>
      </c>
      <c r="X461" s="15">
        <f t="shared" si="151"/>
        <v>0</v>
      </c>
      <c r="Y461" s="15">
        <f t="shared" si="152"/>
        <v>0</v>
      </c>
      <c r="Z461" s="15">
        <f t="shared" si="153"/>
        <v>0</v>
      </c>
      <c r="AA461" s="15">
        <f t="shared" si="154"/>
        <v>0</v>
      </c>
      <c r="AC461" s="1"/>
      <c r="AD461" s="1"/>
      <c r="AE461" s="1"/>
    </row>
    <row r="462" spans="1:31">
      <c r="A462">
        <v>624</v>
      </c>
      <c r="B462">
        <f t="shared" si="134"/>
        <v>0.40299258806323368</v>
      </c>
      <c r="C462">
        <v>0.39626855645057224</v>
      </c>
      <c r="D462">
        <f t="shared" si="135"/>
        <v>2.5235411281609799</v>
      </c>
      <c r="E462" s="1">
        <f t="shared" si="136"/>
        <v>0.16770317876372992</v>
      </c>
      <c r="F462" s="1">
        <f t="shared" si="137"/>
        <v>0.19453568736592669</v>
      </c>
      <c r="G462" s="1">
        <f t="shared" si="138"/>
        <v>6.0373144354942773E-2</v>
      </c>
      <c r="H462" s="1">
        <f t="shared" si="139"/>
        <v>5.8501987379713016E-2</v>
      </c>
      <c r="I462" s="1">
        <f t="shared" si="140"/>
        <v>0.21500295899822591</v>
      </c>
      <c r="J462" s="1">
        <f t="shared" si="141"/>
        <v>0.23293142247572166</v>
      </c>
      <c r="K462" s="1">
        <f t="shared" si="142"/>
        <v>0.14323185121942517</v>
      </c>
      <c r="L462" s="1">
        <f t="shared" si="143"/>
        <v>0.14202579858157555</v>
      </c>
      <c r="M462" s="1">
        <f t="shared" si="144"/>
        <v>0.30960251946721751</v>
      </c>
      <c r="N462" s="1">
        <f t="shared" si="145"/>
        <v>0.30972289269531128</v>
      </c>
      <c r="O462" s="1">
        <f t="shared" si="146"/>
        <v>0.30894926494838976</v>
      </c>
      <c r="P462" s="1">
        <f t="shared" si="147"/>
        <v>0.30907342098530055</v>
      </c>
      <c r="Q462" s="1">
        <f t="shared" si="148"/>
        <v>4.6956890053844385</v>
      </c>
      <c r="T462">
        <v>0.42312993632407314</v>
      </c>
      <c r="U462">
        <f t="shared" si="155"/>
        <v>2.3633402275609847</v>
      </c>
      <c r="V462" s="15">
        <f t="shared" si="149"/>
        <v>6.2907209478737638E-2</v>
      </c>
      <c r="W462" s="15">
        <f t="shared" si="150"/>
        <v>6.7810495842027863E-2</v>
      </c>
      <c r="X462" s="15">
        <f t="shared" si="151"/>
        <v>7.7617068568608186E-2</v>
      </c>
      <c r="Y462" s="15">
        <f t="shared" si="152"/>
        <v>8.8276991267192795E-2</v>
      </c>
      <c r="Z462" s="15">
        <f t="shared" si="153"/>
        <v>9.2594210295289497E-2</v>
      </c>
      <c r="AA462" s="15">
        <f t="shared" si="154"/>
        <v>0.1012286483514829</v>
      </c>
      <c r="AC462" s="1"/>
      <c r="AD462" s="1"/>
      <c r="AE462" s="1"/>
    </row>
    <row r="463" spans="1:31">
      <c r="A463">
        <v>468</v>
      </c>
      <c r="B463">
        <f t="shared" si="134"/>
        <v>0.40332490289305478</v>
      </c>
      <c r="C463">
        <v>0.39652628703342696</v>
      </c>
      <c r="D463">
        <f t="shared" si="135"/>
        <v>2.5219008996387182</v>
      </c>
      <c r="E463" s="1">
        <f t="shared" si="136"/>
        <v>0.16763158693515917</v>
      </c>
      <c r="F463" s="1">
        <f t="shared" si="137"/>
        <v>0.19445264084478464</v>
      </c>
      <c r="G463" s="1">
        <f t="shared" si="138"/>
        <v>6.0347371296657307E-2</v>
      </c>
      <c r="H463" s="1">
        <f t="shared" si="139"/>
        <v>5.8477013110993653E-2</v>
      </c>
      <c r="I463" s="1">
        <f t="shared" si="140"/>
        <v>0.2149111750791835</v>
      </c>
      <c r="J463" s="1">
        <f t="shared" si="141"/>
        <v>0.23283198496601221</v>
      </c>
      <c r="K463" s="1">
        <f t="shared" si="142"/>
        <v>0.14317070610450269</v>
      </c>
      <c r="L463" s="1">
        <f t="shared" si="143"/>
        <v>0.14196516832578893</v>
      </c>
      <c r="M463" s="1">
        <f t="shared" si="144"/>
        <v>0.30947035136723178</v>
      </c>
      <c r="N463" s="1">
        <f t="shared" si="145"/>
        <v>0.30959067320846706</v>
      </c>
      <c r="O463" s="1">
        <f t="shared" si="146"/>
        <v>0.3088173757201933</v>
      </c>
      <c r="P463" s="1">
        <f t="shared" si="147"/>
        <v>0.30894147875537936</v>
      </c>
      <c r="Q463" s="1">
        <f t="shared" si="148"/>
        <v>4.6936844341844566</v>
      </c>
      <c r="T463">
        <v>0.74803361959932724</v>
      </c>
      <c r="U463">
        <f t="shared" si="155"/>
        <v>1.3368383102027348</v>
      </c>
      <c r="V463" s="15">
        <f t="shared" si="149"/>
        <v>0</v>
      </c>
      <c r="W463" s="15">
        <f t="shared" si="150"/>
        <v>0</v>
      </c>
      <c r="X463" s="15">
        <f t="shared" si="151"/>
        <v>0</v>
      </c>
      <c r="Y463" s="15">
        <f t="shared" si="152"/>
        <v>0</v>
      </c>
      <c r="Z463" s="15">
        <f t="shared" si="153"/>
        <v>0</v>
      </c>
      <c r="AA463" s="15">
        <f t="shared" si="154"/>
        <v>0</v>
      </c>
      <c r="AC463" s="1"/>
      <c r="AD463" s="1"/>
      <c r="AE463" s="1"/>
    </row>
    <row r="464" spans="1:31">
      <c r="A464">
        <v>161</v>
      </c>
      <c r="B464">
        <f t="shared" si="134"/>
        <v>0.40548620367179183</v>
      </c>
      <c r="C464">
        <v>0.39768762820531323</v>
      </c>
      <c r="D464">
        <f t="shared" si="135"/>
        <v>2.5145363573737636</v>
      </c>
      <c r="E464" s="1">
        <f t="shared" si="136"/>
        <v>0.16730899216519077</v>
      </c>
      <c r="F464" s="1">
        <f t="shared" si="137"/>
        <v>0.19407843091162127</v>
      </c>
      <c r="G464" s="1">
        <f t="shared" si="138"/>
        <v>6.0231237179468683E-2</v>
      </c>
      <c r="H464" s="1">
        <f t="shared" si="139"/>
        <v>5.8364478361798228E-2</v>
      </c>
      <c r="I464" s="1">
        <f t="shared" si="140"/>
        <v>0.21449759418816011</v>
      </c>
      <c r="J464" s="1">
        <f t="shared" si="141"/>
        <v>0.23238391678265455</v>
      </c>
      <c r="K464" s="1">
        <f t="shared" si="142"/>
        <v>0.14289518451667771</v>
      </c>
      <c r="L464" s="1">
        <f t="shared" si="143"/>
        <v>0.14169196670754436</v>
      </c>
      <c r="M464" s="1">
        <f t="shared" si="144"/>
        <v>0.30887479823409836</v>
      </c>
      <c r="N464" s="1">
        <f t="shared" si="145"/>
        <v>0.30899488852472079</v>
      </c>
      <c r="O464" s="1">
        <f t="shared" si="146"/>
        <v>0.30822307919109559</v>
      </c>
      <c r="P464" s="1">
        <f t="shared" si="147"/>
        <v>0.30834694339903662</v>
      </c>
      <c r="Q464" s="1">
        <f t="shared" si="148"/>
        <v>4.6846517806253418</v>
      </c>
      <c r="T464">
        <v>0.86525858903663322</v>
      </c>
      <c r="U464">
        <f t="shared" si="155"/>
        <v>1.1557238641379868</v>
      </c>
      <c r="V464" s="15">
        <f t="shared" si="149"/>
        <v>0</v>
      </c>
      <c r="W464" s="15">
        <f t="shared" si="150"/>
        <v>0</v>
      </c>
      <c r="X464" s="15">
        <f t="shared" si="151"/>
        <v>0</v>
      </c>
      <c r="Y464" s="15">
        <f t="shared" si="152"/>
        <v>0</v>
      </c>
      <c r="Z464" s="15">
        <f t="shared" si="153"/>
        <v>0</v>
      </c>
      <c r="AA464" s="15">
        <f t="shared" si="154"/>
        <v>0</v>
      </c>
      <c r="AC464" s="1"/>
      <c r="AD464" s="1"/>
      <c r="AE464" s="1"/>
    </row>
    <row r="465" spans="1:31">
      <c r="A465">
        <v>901</v>
      </c>
      <c r="B465">
        <f t="shared" si="134"/>
        <v>0.40724338271493032</v>
      </c>
      <c r="C465">
        <v>0.40077330848833292</v>
      </c>
      <c r="D465">
        <f t="shared" si="135"/>
        <v>2.4951761477626233</v>
      </c>
      <c r="E465" s="1">
        <f t="shared" si="136"/>
        <v>0.16645185875324084</v>
      </c>
      <c r="F465" s="1">
        <f t="shared" si="137"/>
        <v>0.19308415615375937</v>
      </c>
      <c r="G465" s="1">
        <f t="shared" si="138"/>
        <v>5.9922669151166709E-2</v>
      </c>
      <c r="H465" s="1">
        <f t="shared" si="139"/>
        <v>5.8065473844303238E-2</v>
      </c>
      <c r="I465" s="1">
        <f t="shared" si="140"/>
        <v>0.21339871090411031</v>
      </c>
      <c r="J465" s="1">
        <f t="shared" si="141"/>
        <v>0.23119340085821732</v>
      </c>
      <c r="K465" s="1">
        <f t="shared" si="142"/>
        <v>0.14216312441954282</v>
      </c>
      <c r="L465" s="1">
        <f t="shared" si="143"/>
        <v>0.14096607076317086</v>
      </c>
      <c r="M465" s="1">
        <f t="shared" si="144"/>
        <v>0.30729241520584882</v>
      </c>
      <c r="N465" s="1">
        <f t="shared" si="145"/>
        <v>0.30741189026713289</v>
      </c>
      <c r="O465" s="1">
        <f t="shared" si="146"/>
        <v>0.30664403495629478</v>
      </c>
      <c r="P465" s="1">
        <f t="shared" si="147"/>
        <v>0.30676726460090609</v>
      </c>
      <c r="Q465" s="1">
        <f t="shared" si="148"/>
        <v>4.6606520450907443</v>
      </c>
      <c r="T465">
        <v>0.58017440910804463</v>
      </c>
      <c r="U465">
        <f t="shared" si="155"/>
        <v>1.723619629375573</v>
      </c>
      <c r="V465" s="15">
        <f t="shared" si="149"/>
        <v>0</v>
      </c>
      <c r="W465" s="15">
        <f t="shared" si="150"/>
        <v>0</v>
      </c>
      <c r="X465" s="15">
        <f t="shared" si="151"/>
        <v>0</v>
      </c>
      <c r="Y465" s="15">
        <f t="shared" si="152"/>
        <v>0</v>
      </c>
      <c r="Z465" s="15">
        <f t="shared" si="153"/>
        <v>0</v>
      </c>
      <c r="AA465" s="15">
        <f t="shared" si="154"/>
        <v>0</v>
      </c>
      <c r="AC465" s="1"/>
      <c r="AD465" s="1"/>
      <c r="AE465" s="1"/>
    </row>
    <row r="466" spans="1:31">
      <c r="A466">
        <v>772</v>
      </c>
      <c r="B466">
        <f t="shared" si="134"/>
        <v>0.40726780310094807</v>
      </c>
      <c r="C466">
        <v>0.40091665739591908</v>
      </c>
      <c r="D466">
        <f t="shared" si="135"/>
        <v>2.4942839903318492</v>
      </c>
      <c r="E466" s="1">
        <f t="shared" si="136"/>
        <v>0.16641203961224468</v>
      </c>
      <c r="F466" s="1">
        <f t="shared" si="137"/>
        <v>0.19303796595020384</v>
      </c>
      <c r="G466" s="1">
        <f t="shared" si="138"/>
        <v>5.9908334260408092E-2</v>
      </c>
      <c r="H466" s="1">
        <f t="shared" si="139"/>
        <v>5.8051583237689816E-2</v>
      </c>
      <c r="I466" s="1">
        <f t="shared" si="140"/>
        <v>0.21334766098840774</v>
      </c>
      <c r="J466" s="1">
        <f t="shared" si="141"/>
        <v>0.23113809404040761</v>
      </c>
      <c r="K466" s="1">
        <f t="shared" si="142"/>
        <v>0.14212911570652442</v>
      </c>
      <c r="L466" s="1">
        <f t="shared" si="143"/>
        <v>0.14093234841312061</v>
      </c>
      <c r="M466" s="1">
        <f t="shared" si="144"/>
        <v>0.30721890374073346</v>
      </c>
      <c r="N466" s="1">
        <f t="shared" si="145"/>
        <v>0.3073383502208149</v>
      </c>
      <c r="O466" s="1">
        <f t="shared" si="146"/>
        <v>0.30657067859875686</v>
      </c>
      <c r="P466" s="1">
        <f t="shared" si="147"/>
        <v>0.30669387876398213</v>
      </c>
      <c r="Q466" s="1">
        <f t="shared" si="148"/>
        <v>4.6595371091428515</v>
      </c>
      <c r="T466">
        <v>0.72042491792910068</v>
      </c>
      <c r="U466">
        <f t="shared" si="155"/>
        <v>1.3880697004131293</v>
      </c>
      <c r="V466" s="15">
        <f t="shared" si="149"/>
        <v>0</v>
      </c>
      <c r="W466" s="15">
        <f t="shared" si="150"/>
        <v>0</v>
      </c>
      <c r="X466" s="15">
        <f t="shared" si="151"/>
        <v>0</v>
      </c>
      <c r="Y466" s="15">
        <f t="shared" si="152"/>
        <v>0</v>
      </c>
      <c r="Z466" s="15">
        <f t="shared" si="153"/>
        <v>0</v>
      </c>
      <c r="AA466" s="15">
        <f t="shared" si="154"/>
        <v>0</v>
      </c>
      <c r="AC466" s="1"/>
      <c r="AD466" s="1"/>
      <c r="AE466" s="1"/>
    </row>
    <row r="467" spans="1:31">
      <c r="A467">
        <v>847</v>
      </c>
      <c r="B467">
        <f t="shared" si="134"/>
        <v>0.4073387196596146</v>
      </c>
      <c r="C467">
        <v>0.40133294120106611</v>
      </c>
      <c r="D467">
        <f t="shared" si="135"/>
        <v>2.4916967867310054</v>
      </c>
      <c r="E467" s="1">
        <f t="shared" si="136"/>
        <v>0.16629640522192607</v>
      </c>
      <c r="F467" s="1">
        <f t="shared" si="137"/>
        <v>0.19290383005743422</v>
      </c>
      <c r="G467" s="1">
        <f t="shared" si="138"/>
        <v>5.9866705879893387E-2</v>
      </c>
      <c r="H467" s="1">
        <f t="shared" si="139"/>
        <v>5.8011245053924007E-2</v>
      </c>
      <c r="I467" s="1">
        <f t="shared" si="140"/>
        <v>0.21319941253978719</v>
      </c>
      <c r="J467" s="1">
        <f t="shared" si="141"/>
        <v>0.23097748359031006</v>
      </c>
      <c r="K467" s="1">
        <f t="shared" si="142"/>
        <v>0.14203035474139508</v>
      </c>
      <c r="L467" s="1">
        <f t="shared" si="143"/>
        <v>0.14083441904320906</v>
      </c>
      <c r="M467" s="1">
        <f t="shared" si="144"/>
        <v>0.30700542717550899</v>
      </c>
      <c r="N467" s="1">
        <f t="shared" si="145"/>
        <v>0.30712479065606146</v>
      </c>
      <c r="O467" s="1">
        <f t="shared" si="146"/>
        <v>0.30635765246439828</v>
      </c>
      <c r="P467" s="1">
        <f t="shared" si="147"/>
        <v>0.30648076702177912</v>
      </c>
      <c r="Q467" s="1">
        <f t="shared" si="148"/>
        <v>4.656299346213931</v>
      </c>
      <c r="T467">
        <v>0.54119667826625306</v>
      </c>
      <c r="U467">
        <f t="shared" si="155"/>
        <v>1.8477570911993459</v>
      </c>
      <c r="V467" s="15">
        <f t="shared" si="149"/>
        <v>0</v>
      </c>
      <c r="W467" s="15">
        <f t="shared" si="150"/>
        <v>0</v>
      </c>
      <c r="X467" s="15">
        <f t="shared" si="151"/>
        <v>0</v>
      </c>
      <c r="Y467" s="15">
        <f t="shared" si="152"/>
        <v>0</v>
      </c>
      <c r="Z467" s="15">
        <f t="shared" si="153"/>
        <v>0</v>
      </c>
      <c r="AA467" s="15">
        <f t="shared" si="154"/>
        <v>0</v>
      </c>
      <c r="AC467" s="1"/>
      <c r="AD467" s="1"/>
      <c r="AE467" s="1"/>
    </row>
    <row r="468" spans="1:31">
      <c r="A468">
        <v>479</v>
      </c>
      <c r="B468">
        <f t="shared" si="134"/>
        <v>0.40757289883134612</v>
      </c>
      <c r="C468">
        <v>0.40167746301310214</v>
      </c>
      <c r="D468">
        <f t="shared" si="135"/>
        <v>2.4895596394647153</v>
      </c>
      <c r="E468" s="1">
        <f t="shared" si="136"/>
        <v>0.16620070471858273</v>
      </c>
      <c r="F468" s="1">
        <f t="shared" si="137"/>
        <v>0.19279281747355598</v>
      </c>
      <c r="G468" s="1">
        <f t="shared" si="138"/>
        <v>5.9832253698689788E-2</v>
      </c>
      <c r="H468" s="1">
        <f t="shared" si="139"/>
        <v>5.7977860656084346E-2</v>
      </c>
      <c r="I468" s="1">
        <f t="shared" si="140"/>
        <v>0.21307672022382682</v>
      </c>
      <c r="J468" s="1">
        <f t="shared" si="141"/>
        <v>0.23084456032350181</v>
      </c>
      <c r="K468" s="1">
        <f t="shared" si="142"/>
        <v>0.14194861890098021</v>
      </c>
      <c r="L468" s="1">
        <f t="shared" si="143"/>
        <v>0.14075337144165379</v>
      </c>
      <c r="M468" s="1">
        <f t="shared" si="144"/>
        <v>0.30682875123431452</v>
      </c>
      <c r="N468" s="1">
        <f t="shared" si="145"/>
        <v>0.30694804602339321</v>
      </c>
      <c r="O468" s="1">
        <f t="shared" si="146"/>
        <v>0.30618134930556085</v>
      </c>
      <c r="P468" s="1">
        <f t="shared" si="147"/>
        <v>0.30630439301279255</v>
      </c>
      <c r="Q468" s="1">
        <f t="shared" si="148"/>
        <v>4.6536197321203172</v>
      </c>
      <c r="T468">
        <v>0.45073529842417648</v>
      </c>
      <c r="U468">
        <f t="shared" si="155"/>
        <v>2.2185970424240513</v>
      </c>
      <c r="V468" s="15">
        <f t="shared" si="149"/>
        <v>6.1101306410857981E-2</v>
      </c>
      <c r="W468" s="15">
        <f t="shared" si="150"/>
        <v>6.6076556342172521E-2</v>
      </c>
      <c r="X468" s="15">
        <f t="shared" si="151"/>
        <v>7.6027056204801449E-2</v>
      </c>
      <c r="Y468" s="15">
        <f t="shared" si="152"/>
        <v>8.5604178601915312E-2</v>
      </c>
      <c r="Z468" s="15">
        <f t="shared" si="153"/>
        <v>8.9993301596164171E-2</v>
      </c>
      <c r="AA468" s="15">
        <f t="shared" si="154"/>
        <v>9.8771547584661806E-2</v>
      </c>
      <c r="AC468" s="1"/>
      <c r="AD468" s="1"/>
      <c r="AE468" s="1"/>
    </row>
    <row r="469" spans="1:31">
      <c r="A469">
        <v>701</v>
      </c>
      <c r="B469">
        <f t="shared" si="134"/>
        <v>0.40760810832122241</v>
      </c>
      <c r="C469">
        <v>0.40172114510620816</v>
      </c>
      <c r="D469">
        <f t="shared" si="135"/>
        <v>2.4892889313446949</v>
      </c>
      <c r="E469" s="1">
        <f t="shared" si="136"/>
        <v>0.16618857080383106</v>
      </c>
      <c r="F469" s="1">
        <f t="shared" si="137"/>
        <v>0.192778742132444</v>
      </c>
      <c r="G469" s="1">
        <f t="shared" si="138"/>
        <v>5.9827885489379187E-2</v>
      </c>
      <c r="H469" s="1">
        <f t="shared" si="139"/>
        <v>5.7973627831561271E-2</v>
      </c>
      <c r="I469" s="1">
        <f t="shared" si="140"/>
        <v>0.21306116400363423</v>
      </c>
      <c r="J469" s="1">
        <f t="shared" si="141"/>
        <v>0.23082770691592694</v>
      </c>
      <c r="K469" s="1">
        <f t="shared" si="142"/>
        <v>0.14193825557283563</v>
      </c>
      <c r="L469" s="1">
        <f t="shared" si="143"/>
        <v>0.14074309537565891</v>
      </c>
      <c r="M469" s="1">
        <f t="shared" si="144"/>
        <v>0.30680635040324022</v>
      </c>
      <c r="N469" s="1">
        <f t="shared" si="145"/>
        <v>0.30692563648289251</v>
      </c>
      <c r="O469" s="1">
        <f t="shared" si="146"/>
        <v>0.30615899573974825</v>
      </c>
      <c r="P469" s="1">
        <f t="shared" si="147"/>
        <v>0.3062820304638541</v>
      </c>
      <c r="Q469" s="1">
        <f t="shared" si="148"/>
        <v>4.6532799825072697</v>
      </c>
      <c r="T469">
        <v>0.2781453699879276</v>
      </c>
      <c r="U469">
        <f t="shared" si="155"/>
        <v>3.5952423009716221</v>
      </c>
      <c r="V469" s="15">
        <f t="shared" si="149"/>
        <v>7.2391891193550814E-2</v>
      </c>
      <c r="W469" s="15">
        <f t="shared" si="150"/>
        <v>7.6917221757378154E-2</v>
      </c>
      <c r="X469" s="15">
        <f t="shared" si="151"/>
        <v>8.5967882885032862E-2</v>
      </c>
      <c r="Y469" s="15">
        <f t="shared" si="152"/>
        <v>0.10231472001596954</v>
      </c>
      <c r="Z469" s="15">
        <f t="shared" si="153"/>
        <v>0.10625429627623681</v>
      </c>
      <c r="AA469" s="15">
        <f t="shared" si="154"/>
        <v>0.11413344879677144</v>
      </c>
      <c r="AC469" s="1"/>
      <c r="AD469" s="1"/>
      <c r="AE469" s="1"/>
    </row>
    <row r="470" spans="1:31">
      <c r="A470">
        <v>913</v>
      </c>
      <c r="B470">
        <f t="shared" si="134"/>
        <v>0.40835231606312311</v>
      </c>
      <c r="C470">
        <v>0.40256816739116486</v>
      </c>
      <c r="D470">
        <f t="shared" si="135"/>
        <v>2.4840513508071949</v>
      </c>
      <c r="E470" s="1">
        <f t="shared" si="136"/>
        <v>0.16595328683578753</v>
      </c>
      <c r="F470" s="1">
        <f t="shared" si="137"/>
        <v>0.19250581272951353</v>
      </c>
      <c r="G470" s="1">
        <f t="shared" si="138"/>
        <v>5.9743183260883514E-2</v>
      </c>
      <c r="H470" s="1">
        <f t="shared" si="139"/>
        <v>5.7891550796226578E-2</v>
      </c>
      <c r="I470" s="1">
        <f t="shared" si="140"/>
        <v>0.21275951945695887</v>
      </c>
      <c r="J470" s="1">
        <f t="shared" si="141"/>
        <v>0.23050090911897331</v>
      </c>
      <c r="K470" s="1">
        <f t="shared" si="142"/>
        <v>0.14173730435322512</v>
      </c>
      <c r="L470" s="1">
        <f t="shared" si="143"/>
        <v>0.14054383622206884</v>
      </c>
      <c r="M470" s="1">
        <f t="shared" si="144"/>
        <v>0.30637198469930116</v>
      </c>
      <c r="N470" s="1">
        <f t="shared" si="145"/>
        <v>0.30649110189789253</v>
      </c>
      <c r="O470" s="1">
        <f t="shared" si="146"/>
        <v>0.30572554653790818</v>
      </c>
      <c r="P470" s="1">
        <f t="shared" si="147"/>
        <v>0.30584840707375327</v>
      </c>
      <c r="Q470" s="1">
        <f t="shared" si="148"/>
        <v>4.6466920314020514</v>
      </c>
      <c r="T470">
        <v>0.34840762020996763</v>
      </c>
      <c r="U470">
        <f t="shared" si="155"/>
        <v>2.870201287208789</v>
      </c>
      <c r="V470" s="15">
        <f t="shared" si="149"/>
        <v>6.77954358827315E-2</v>
      </c>
      <c r="W470" s="15">
        <f t="shared" si="150"/>
        <v>7.2503930942103584E-2</v>
      </c>
      <c r="X470" s="15">
        <f t="shared" si="151"/>
        <v>8.1920921060847682E-2</v>
      </c>
      <c r="Y470" s="15">
        <f t="shared" si="152"/>
        <v>9.5511772400090927E-2</v>
      </c>
      <c r="Z470" s="15">
        <f t="shared" si="153"/>
        <v>9.9634361454880443E-2</v>
      </c>
      <c r="AA470" s="15">
        <f t="shared" si="154"/>
        <v>0.10787953956445955</v>
      </c>
      <c r="AC470" s="1"/>
      <c r="AD470" s="1"/>
      <c r="AE470" s="1"/>
    </row>
    <row r="471" spans="1:31">
      <c r="A471">
        <v>364</v>
      </c>
      <c r="B471">
        <f t="shared" si="134"/>
        <v>0.40892494501369714</v>
      </c>
      <c r="C471">
        <v>0.403054727705631</v>
      </c>
      <c r="D471">
        <f t="shared" si="135"/>
        <v>2.4810526493323879</v>
      </c>
      <c r="E471" s="1">
        <f t="shared" si="136"/>
        <v>0.16581813119288027</v>
      </c>
      <c r="F471" s="1">
        <f t="shared" si="137"/>
        <v>0.19234903218374111</v>
      </c>
      <c r="G471" s="1">
        <f t="shared" si="138"/>
        <v>5.9694527229436897E-2</v>
      </c>
      <c r="H471" s="1">
        <f t="shared" si="139"/>
        <v>5.7844402770924105E-2</v>
      </c>
      <c r="I471" s="1">
        <f t="shared" si="140"/>
        <v>0.21258624389137579</v>
      </c>
      <c r="J471" s="1">
        <f t="shared" si="141"/>
        <v>0.23031318461434502</v>
      </c>
      <c r="K471" s="1">
        <f t="shared" si="142"/>
        <v>0.14162187068596213</v>
      </c>
      <c r="L471" s="1">
        <f t="shared" si="143"/>
        <v>0.14042937453888421</v>
      </c>
      <c r="M471" s="1">
        <f t="shared" si="144"/>
        <v>0.30612246928836639</v>
      </c>
      <c r="N471" s="1">
        <f t="shared" si="145"/>
        <v>0.30624148947555252</v>
      </c>
      <c r="O471" s="1">
        <f t="shared" si="146"/>
        <v>0.30547655759901238</v>
      </c>
      <c r="P471" s="1">
        <f t="shared" si="147"/>
        <v>0.30559931807480434</v>
      </c>
      <c r="Q471" s="1">
        <f t="shared" si="148"/>
        <v>4.6429076734006482</v>
      </c>
      <c r="T471">
        <v>0.70402482792102972</v>
      </c>
      <c r="U471">
        <f t="shared" si="155"/>
        <v>1.4204044521454999</v>
      </c>
      <c r="V471" s="15">
        <f t="shared" si="149"/>
        <v>0</v>
      </c>
      <c r="W471" s="15">
        <f t="shared" si="150"/>
        <v>0</v>
      </c>
      <c r="X471" s="15">
        <f t="shared" si="151"/>
        <v>0</v>
      </c>
      <c r="Y471" s="15">
        <f t="shared" si="152"/>
        <v>0</v>
      </c>
      <c r="Z471" s="15">
        <f t="shared" si="153"/>
        <v>0</v>
      </c>
      <c r="AA471" s="15">
        <f t="shared" si="154"/>
        <v>0</v>
      </c>
      <c r="AC471" s="1"/>
      <c r="AD471" s="1"/>
      <c r="AE471" s="1"/>
    </row>
    <row r="472" spans="1:31">
      <c r="A472">
        <v>35</v>
      </c>
      <c r="B472">
        <f t="shared" si="134"/>
        <v>0.4108915877559931</v>
      </c>
      <c r="C472">
        <v>0.40513683030547631</v>
      </c>
      <c r="D472">
        <f t="shared" si="135"/>
        <v>2.4683018802462176</v>
      </c>
      <c r="E472" s="1">
        <f t="shared" si="136"/>
        <v>0.16523976935958989</v>
      </c>
      <c r="F472" s="1">
        <f t="shared" si="137"/>
        <v>0.19167813245712428</v>
      </c>
      <c r="G472" s="1">
        <f t="shared" si="138"/>
        <v>5.948631696945237E-2</v>
      </c>
      <c r="H472" s="1">
        <f t="shared" si="139"/>
        <v>5.7642645613299022E-2</v>
      </c>
      <c r="I472" s="1">
        <f t="shared" si="140"/>
        <v>0.21184475821146354</v>
      </c>
      <c r="J472" s="1">
        <f t="shared" si="141"/>
        <v>0.22950986862756939</v>
      </c>
      <c r="K472" s="1">
        <f t="shared" si="142"/>
        <v>0.14112790368624564</v>
      </c>
      <c r="L472" s="1">
        <f t="shared" si="143"/>
        <v>0.13993956688080816</v>
      </c>
      <c r="M472" s="1">
        <f t="shared" si="144"/>
        <v>0.30505473591521043</v>
      </c>
      <c r="N472" s="1">
        <f t="shared" si="145"/>
        <v>0.30517334096845938</v>
      </c>
      <c r="O472" s="1">
        <f t="shared" si="146"/>
        <v>0.30441107711983195</v>
      </c>
      <c r="P472" s="1">
        <f t="shared" si="147"/>
        <v>0.30453340941582641</v>
      </c>
      <c r="Q472" s="1">
        <f t="shared" si="148"/>
        <v>4.6267135420685177</v>
      </c>
      <c r="T472">
        <v>0.19398344403465129</v>
      </c>
      <c r="U472">
        <f t="shared" si="155"/>
        <v>5.155079109851096</v>
      </c>
      <c r="V472" s="15">
        <f t="shared" si="149"/>
        <v>7.8322193738482065E-2</v>
      </c>
      <c r="W472" s="15">
        <f t="shared" si="150"/>
        <v>8.2596123976642677E-2</v>
      </c>
      <c r="X472" s="15">
        <f t="shared" si="151"/>
        <v>9.1143984452964025E-2</v>
      </c>
      <c r="Y472" s="15">
        <f t="shared" si="152"/>
        <v>0.11109104468485512</v>
      </c>
      <c r="Z472" s="15">
        <f t="shared" si="153"/>
        <v>0.11477725280885349</v>
      </c>
      <c r="AA472" s="15">
        <f t="shared" si="154"/>
        <v>0.12214966905685039</v>
      </c>
      <c r="AC472" s="1"/>
      <c r="AD472" s="1"/>
      <c r="AE472" s="1"/>
    </row>
    <row r="473" spans="1:31">
      <c r="A473">
        <v>227</v>
      </c>
      <c r="B473">
        <f t="shared" si="134"/>
        <v>0.4116129343009875</v>
      </c>
      <c r="C473">
        <v>0.40634181296019956</v>
      </c>
      <c r="D473">
        <f t="shared" si="135"/>
        <v>2.4609822767561167</v>
      </c>
      <c r="E473" s="1">
        <f t="shared" si="136"/>
        <v>0.16490505195550012</v>
      </c>
      <c r="F473" s="1">
        <f t="shared" si="137"/>
        <v>0.19128986026838013</v>
      </c>
      <c r="G473" s="1">
        <f t="shared" si="138"/>
        <v>5.9365818703980042E-2</v>
      </c>
      <c r="H473" s="1">
        <f t="shared" si="139"/>
        <v>5.7525881974743197E-2</v>
      </c>
      <c r="I473" s="1">
        <f t="shared" si="140"/>
        <v>0.21141563556251902</v>
      </c>
      <c r="J473" s="1">
        <f t="shared" si="141"/>
        <v>0.22904496270487451</v>
      </c>
      <c r="K473" s="1">
        <f t="shared" si="142"/>
        <v>0.1408420284048314</v>
      </c>
      <c r="L473" s="1">
        <f t="shared" si="143"/>
        <v>0.13965609874999846</v>
      </c>
      <c r="M473" s="1">
        <f t="shared" si="144"/>
        <v>0.30443680277655644</v>
      </c>
      <c r="N473" s="1">
        <f t="shared" si="145"/>
        <v>0.30455516757786305</v>
      </c>
      <c r="O473" s="1">
        <f t="shared" si="146"/>
        <v>0.30379444780653397</v>
      </c>
      <c r="P473" s="1">
        <f t="shared" si="147"/>
        <v>0.30391653230050886</v>
      </c>
      <c r="Q473" s="1">
        <f t="shared" si="148"/>
        <v>4.617341454754003</v>
      </c>
      <c r="T473">
        <v>6.6868203798127079E-2</v>
      </c>
      <c r="U473">
        <f t="shared" si="155"/>
        <v>14.954790815362221</v>
      </c>
      <c r="V473" s="15">
        <f t="shared" si="149"/>
        <v>9.8236296877211443E-2</v>
      </c>
      <c r="W473" s="15">
        <f t="shared" si="150"/>
        <v>0.10129839218020734</v>
      </c>
      <c r="X473" s="15">
        <f t="shared" si="151"/>
        <v>0.10742258278619922</v>
      </c>
      <c r="Y473" s="15">
        <f t="shared" si="152"/>
        <v>0.14053568575717179</v>
      </c>
      <c r="Z473" s="15">
        <f t="shared" si="153"/>
        <v>0.1429517347058023</v>
      </c>
      <c r="AA473" s="15">
        <f t="shared" si="154"/>
        <v>0.14778383260306321</v>
      </c>
      <c r="AC473" s="1"/>
      <c r="AD473" s="1"/>
      <c r="AE473" s="1"/>
    </row>
    <row r="474" spans="1:31">
      <c r="A474">
        <v>404</v>
      </c>
      <c r="B474">
        <f t="shared" si="134"/>
        <v>0.41169835393340098</v>
      </c>
      <c r="C474">
        <v>0.40669844074878381</v>
      </c>
      <c r="D474">
        <f t="shared" si="135"/>
        <v>2.4588242781528056</v>
      </c>
      <c r="E474" s="1">
        <f t="shared" si="136"/>
        <v>0.16480598868089338</v>
      </c>
      <c r="F474" s="1">
        <f t="shared" si="137"/>
        <v>0.19117494686983633</v>
      </c>
      <c r="G474" s="1">
        <f t="shared" si="138"/>
        <v>5.9330155925121621E-2</v>
      </c>
      <c r="H474" s="1">
        <f t="shared" si="139"/>
        <v>5.7491324499544708E-2</v>
      </c>
      <c r="I474" s="1">
        <f t="shared" si="140"/>
        <v>0.21128863202373394</v>
      </c>
      <c r="J474" s="1">
        <f t="shared" si="141"/>
        <v>0.22890736871506853</v>
      </c>
      <c r="K474" s="1">
        <f t="shared" si="142"/>
        <v>0.14075742049033402</v>
      </c>
      <c r="L474" s="1">
        <f t="shared" si="143"/>
        <v>0.13957220325803554</v>
      </c>
      <c r="M474" s="1">
        <f t="shared" si="144"/>
        <v>0.30425391870941465</v>
      </c>
      <c r="N474" s="1">
        <f t="shared" si="145"/>
        <v>0.30437221240553269</v>
      </c>
      <c r="O474" s="1">
        <f t="shared" si="146"/>
        <v>0.30361194962075866</v>
      </c>
      <c r="P474" s="1">
        <f t="shared" si="147"/>
        <v>0.30373396077501713</v>
      </c>
      <c r="Q474" s="1">
        <f t="shared" si="148"/>
        <v>4.6145676830650153</v>
      </c>
      <c r="T474">
        <v>0.96339248111292752</v>
      </c>
      <c r="U474">
        <f t="shared" si="155"/>
        <v>1.037998551581784</v>
      </c>
      <c r="V474" s="15">
        <f t="shared" si="149"/>
        <v>0</v>
      </c>
      <c r="W474" s="15">
        <f t="shared" si="150"/>
        <v>0</v>
      </c>
      <c r="X474" s="15">
        <f t="shared" si="151"/>
        <v>0</v>
      </c>
      <c r="Y474" s="15">
        <f t="shared" si="152"/>
        <v>0</v>
      </c>
      <c r="Z474" s="15">
        <f t="shared" si="153"/>
        <v>0</v>
      </c>
      <c r="AA474" s="15">
        <f t="shared" si="154"/>
        <v>0</v>
      </c>
      <c r="AC474" s="1"/>
      <c r="AD474" s="1"/>
      <c r="AE474" s="1"/>
    </row>
    <row r="475" spans="1:31">
      <c r="A475">
        <v>363</v>
      </c>
      <c r="B475">
        <f t="shared" si="134"/>
        <v>0.41179973210769877</v>
      </c>
      <c r="C475">
        <v>0.40717985548190294</v>
      </c>
      <c r="D475">
        <f t="shared" si="135"/>
        <v>2.4559171740372232</v>
      </c>
      <c r="E475" s="1">
        <f t="shared" si="136"/>
        <v>0.16467226236613808</v>
      </c>
      <c r="F475" s="1">
        <f t="shared" si="137"/>
        <v>0.19101982434472015</v>
      </c>
      <c r="G475" s="1">
        <f t="shared" si="138"/>
        <v>5.9282014451809709E-2</v>
      </c>
      <c r="H475" s="1">
        <f t="shared" si="139"/>
        <v>5.7444675084573432E-2</v>
      </c>
      <c r="I475" s="1">
        <f t="shared" si="140"/>
        <v>0.21111718892062598</v>
      </c>
      <c r="J475" s="1">
        <f t="shared" si="141"/>
        <v>0.22872162947656383</v>
      </c>
      <c r="K475" s="1">
        <f t="shared" si="142"/>
        <v>0.14064320758297977</v>
      </c>
      <c r="L475" s="1">
        <f t="shared" si="143"/>
        <v>0.13945895205561645</v>
      </c>
      <c r="M475" s="1">
        <f t="shared" si="144"/>
        <v>0.30400704202960144</v>
      </c>
      <c r="N475" s="1">
        <f t="shared" si="145"/>
        <v>0.30412523974025096</v>
      </c>
      <c r="O475" s="1">
        <f t="shared" si="146"/>
        <v>0.30336559384531969</v>
      </c>
      <c r="P475" s="1">
        <f t="shared" si="147"/>
        <v>0.30348750599770247</v>
      </c>
      <c r="Q475" s="1">
        <f t="shared" si="148"/>
        <v>4.6108233462518662</v>
      </c>
      <c r="T475">
        <v>0.97257494469833439</v>
      </c>
      <c r="U475">
        <f t="shared" si="155"/>
        <v>1.028198397924154</v>
      </c>
      <c r="V475" s="15">
        <f t="shared" si="149"/>
        <v>0</v>
      </c>
      <c r="W475" s="15">
        <f t="shared" si="150"/>
        <v>0</v>
      </c>
      <c r="X475" s="15">
        <f t="shared" si="151"/>
        <v>0</v>
      </c>
      <c r="Y475" s="15">
        <f t="shared" si="152"/>
        <v>0</v>
      </c>
      <c r="Z475" s="15">
        <f t="shared" si="153"/>
        <v>0</v>
      </c>
      <c r="AA475" s="15">
        <f t="shared" si="154"/>
        <v>0</v>
      </c>
      <c r="AC475" s="1"/>
      <c r="AD475" s="1"/>
      <c r="AE475" s="1"/>
    </row>
    <row r="476" spans="1:31">
      <c r="A476">
        <v>914</v>
      </c>
      <c r="B476">
        <f t="shared" si="134"/>
        <v>0.4118356423005412</v>
      </c>
      <c r="C476">
        <v>0.40735038228437537</v>
      </c>
      <c r="D476">
        <f t="shared" si="135"/>
        <v>2.4548890672253991</v>
      </c>
      <c r="E476" s="1">
        <f t="shared" si="136"/>
        <v>0.16462489380989573</v>
      </c>
      <c r="F476" s="1">
        <f t="shared" si="137"/>
        <v>0.19096487681947905</v>
      </c>
      <c r="G476" s="1">
        <f t="shared" si="138"/>
        <v>5.9264961771562465E-2</v>
      </c>
      <c r="H476" s="1">
        <f t="shared" si="139"/>
        <v>5.7428150921466248E-2</v>
      </c>
      <c r="I476" s="1">
        <f t="shared" si="140"/>
        <v>0.21105646031768205</v>
      </c>
      <c r="J476" s="1">
        <f t="shared" si="141"/>
        <v>0.22865583689429148</v>
      </c>
      <c r="K476" s="1">
        <f t="shared" si="142"/>
        <v>0.14060275106897571</v>
      </c>
      <c r="L476" s="1">
        <f t="shared" si="143"/>
        <v>0.13941883619688578</v>
      </c>
      <c r="M476" s="1">
        <f t="shared" si="144"/>
        <v>0.30391959333325436</v>
      </c>
      <c r="N476" s="1">
        <f t="shared" si="145"/>
        <v>0.30403775704391611</v>
      </c>
      <c r="O476" s="1">
        <f t="shared" si="146"/>
        <v>0.30327832966380197</v>
      </c>
      <c r="P476" s="1">
        <f t="shared" si="147"/>
        <v>0.30340020674772472</v>
      </c>
      <c r="Q476" s="1">
        <f t="shared" si="148"/>
        <v>4.6094970266770812</v>
      </c>
      <c r="T476">
        <v>0.3399785658310831</v>
      </c>
      <c r="U476">
        <f t="shared" si="155"/>
        <v>2.9413618989640828</v>
      </c>
      <c r="V476" s="15">
        <f t="shared" si="149"/>
        <v>6.834685249182916E-2</v>
      </c>
      <c r="W476" s="15">
        <f t="shared" si="150"/>
        <v>7.3033374109013602E-2</v>
      </c>
      <c r="X476" s="15">
        <f t="shared" si="151"/>
        <v>8.2406417343382429E-2</v>
      </c>
      <c r="Y476" s="15">
        <f t="shared" si="152"/>
        <v>9.6327892225597969E-2</v>
      </c>
      <c r="Z476" s="15">
        <f t="shared" si="153"/>
        <v>0.100428526037107</v>
      </c>
      <c r="AA476" s="15">
        <f t="shared" si="154"/>
        <v>0.10862979366012511</v>
      </c>
      <c r="AC476" s="1"/>
      <c r="AD476" s="1"/>
      <c r="AE476" s="1"/>
    </row>
    <row r="477" spans="1:31">
      <c r="A477">
        <v>575</v>
      </c>
      <c r="B477">
        <f t="shared" si="134"/>
        <v>0.41277401472666619</v>
      </c>
      <c r="C477">
        <v>0.40815722857091541</v>
      </c>
      <c r="D477">
        <f t="shared" si="135"/>
        <v>2.4500362360390113</v>
      </c>
      <c r="E477" s="1">
        <f t="shared" si="136"/>
        <v>0.16440076984141239</v>
      </c>
      <c r="F477" s="1">
        <f t="shared" si="137"/>
        <v>0.19070489301603835</v>
      </c>
      <c r="G477" s="1">
        <f t="shared" si="138"/>
        <v>5.9184277142908456E-2</v>
      </c>
      <c r="H477" s="1">
        <f t="shared" si="139"/>
        <v>5.7349966967695301E-2</v>
      </c>
      <c r="I477" s="1">
        <f t="shared" si="140"/>
        <v>0.2107691233884624</v>
      </c>
      <c r="J477" s="1">
        <f t="shared" si="141"/>
        <v>0.22834453978487126</v>
      </c>
      <c r="K477" s="1">
        <f t="shared" si="142"/>
        <v>0.14041133137648593</v>
      </c>
      <c r="L477" s="1">
        <f t="shared" si="143"/>
        <v>0.13922902831226619</v>
      </c>
      <c r="M477" s="1">
        <f t="shared" si="144"/>
        <v>0.30350583048256208</v>
      </c>
      <c r="N477" s="1">
        <f t="shared" si="145"/>
        <v>0.30362383332253684</v>
      </c>
      <c r="O477" s="1">
        <f t="shared" si="146"/>
        <v>0.30286543984364062</v>
      </c>
      <c r="P477" s="1">
        <f t="shared" si="147"/>
        <v>0.30298715100140794</v>
      </c>
      <c r="Q477" s="1">
        <f t="shared" si="148"/>
        <v>4.6032215555595464</v>
      </c>
      <c r="T477">
        <v>0.81891466122150147</v>
      </c>
      <c r="U477">
        <f t="shared" si="155"/>
        <v>1.2211284610638058</v>
      </c>
      <c r="V477" s="15">
        <f t="shared" si="149"/>
        <v>0</v>
      </c>
      <c r="W477" s="15">
        <f t="shared" si="150"/>
        <v>0</v>
      </c>
      <c r="X477" s="15">
        <f t="shared" si="151"/>
        <v>0</v>
      </c>
      <c r="Y477" s="15">
        <f t="shared" si="152"/>
        <v>0</v>
      </c>
      <c r="Z477" s="15">
        <f t="shared" si="153"/>
        <v>0</v>
      </c>
      <c r="AA477" s="15">
        <f t="shared" si="154"/>
        <v>0</v>
      </c>
      <c r="AC477" s="1"/>
      <c r="AD477" s="1"/>
      <c r="AE477" s="1"/>
    </row>
    <row r="478" spans="1:31">
      <c r="A478">
        <v>229</v>
      </c>
      <c r="B478">
        <f t="shared" si="134"/>
        <v>0.41824671784799056</v>
      </c>
      <c r="C478">
        <v>0.40933529865942175</v>
      </c>
      <c r="D478">
        <f t="shared" si="135"/>
        <v>2.4429850132031432</v>
      </c>
      <c r="E478" s="1">
        <f t="shared" si="136"/>
        <v>0.16407352815016063</v>
      </c>
      <c r="F478" s="1">
        <f t="shared" si="137"/>
        <v>0.1903252926541863</v>
      </c>
      <c r="G478" s="1">
        <f t="shared" si="138"/>
        <v>5.906647013405783E-2</v>
      </c>
      <c r="H478" s="1">
        <f t="shared" si="139"/>
        <v>5.7235811175104762E-2</v>
      </c>
      <c r="I478" s="1">
        <f t="shared" si="140"/>
        <v>0.21034958493698297</v>
      </c>
      <c r="J478" s="1">
        <f t="shared" si="141"/>
        <v>0.22789001725763863</v>
      </c>
      <c r="K478" s="1">
        <f t="shared" si="142"/>
        <v>0.14013184094833964</v>
      </c>
      <c r="L478" s="1">
        <f t="shared" si="143"/>
        <v>0.13895189127245675</v>
      </c>
      <c r="M478" s="1">
        <f t="shared" si="144"/>
        <v>0.30290169851062732</v>
      </c>
      <c r="N478" s="1">
        <f t="shared" si="145"/>
        <v>0.30301946646454303</v>
      </c>
      <c r="O478" s="1">
        <f t="shared" si="146"/>
        <v>0.30226258257690308</v>
      </c>
      <c r="P478" s="1">
        <f t="shared" si="147"/>
        <v>0.30238405146716063</v>
      </c>
      <c r="Q478" s="1">
        <f t="shared" si="148"/>
        <v>4.5940587882044976</v>
      </c>
      <c r="T478">
        <v>2.9904487498103371E-2</v>
      </c>
      <c r="U478">
        <f t="shared" si="155"/>
        <v>33.439797290069691</v>
      </c>
      <c r="V478" s="15">
        <f t="shared" si="149"/>
        <v>0.10304197639427203</v>
      </c>
      <c r="W478" s="15">
        <f t="shared" si="150"/>
        <v>0.1057753682453844</v>
      </c>
      <c r="X478" s="15">
        <f t="shared" si="151"/>
        <v>0.11124215194760896</v>
      </c>
      <c r="Y478" s="15">
        <f t="shared" si="152"/>
        <v>0.14763297309330198</v>
      </c>
      <c r="Z478" s="15">
        <f t="shared" si="153"/>
        <v>0.14970192057754048</v>
      </c>
      <c r="AA478" s="15">
        <f t="shared" si="154"/>
        <v>0.15383981554601778</v>
      </c>
      <c r="AC478" s="1"/>
      <c r="AD478" s="1"/>
      <c r="AE478" s="1"/>
    </row>
    <row r="479" spans="1:31">
      <c r="A479">
        <v>216</v>
      </c>
      <c r="B479">
        <f t="shared" si="134"/>
        <v>0.41881034359488878</v>
      </c>
      <c r="C479">
        <v>0.40987015452315345</v>
      </c>
      <c r="D479">
        <f t="shared" si="135"/>
        <v>2.439797064910493</v>
      </c>
      <c r="E479" s="1">
        <f t="shared" si="136"/>
        <v>0.1639249570769018</v>
      </c>
      <c r="F479" s="1">
        <f t="shared" si="137"/>
        <v>0.19015295020920608</v>
      </c>
      <c r="G479" s="1">
        <f t="shared" si="138"/>
        <v>5.9012984547684652E-2</v>
      </c>
      <c r="H479" s="1">
        <f t="shared" si="139"/>
        <v>5.7183983278240494E-2</v>
      </c>
      <c r="I479" s="1">
        <f t="shared" si="140"/>
        <v>0.21015911019102013</v>
      </c>
      <c r="J479" s="1">
        <f t="shared" si="141"/>
        <v>0.22768365938363749</v>
      </c>
      <c r="K479" s="1">
        <f t="shared" si="142"/>
        <v>0.14000494943669756</v>
      </c>
      <c r="L479" s="1">
        <f t="shared" si="143"/>
        <v>0.1388260682231785</v>
      </c>
      <c r="M479" s="1">
        <f t="shared" si="144"/>
        <v>0.30262741641925633</v>
      </c>
      <c r="N479" s="1">
        <f t="shared" si="145"/>
        <v>0.30274507773250003</v>
      </c>
      <c r="O479" s="1">
        <f t="shared" si="146"/>
        <v>0.30198887921472312</v>
      </c>
      <c r="P479" s="1">
        <f t="shared" si="147"/>
        <v>0.30211023811305449</v>
      </c>
      <c r="Q479" s="1">
        <f t="shared" si="148"/>
        <v>4.5898987981532509</v>
      </c>
      <c r="T479">
        <v>0.49400597000308044</v>
      </c>
      <c r="U479">
        <f t="shared" si="155"/>
        <v>2.0242670346549949</v>
      </c>
      <c r="V479" s="15">
        <f t="shared" si="149"/>
        <v>5.8270601337322168E-2</v>
      </c>
      <c r="W479" s="15">
        <f t="shared" si="150"/>
        <v>6.3358652249342354E-2</v>
      </c>
      <c r="X479" s="15">
        <f t="shared" si="151"/>
        <v>7.353475407338253E-2</v>
      </c>
      <c r="Y479" s="15">
        <f t="shared" si="152"/>
        <v>8.1414615769456619E-2</v>
      </c>
      <c r="Z479" s="15">
        <f t="shared" si="153"/>
        <v>8.5916446320060194E-2</v>
      </c>
      <c r="AA479" s="15">
        <f t="shared" si="154"/>
        <v>9.4920107421267247E-2</v>
      </c>
      <c r="AC479" s="1"/>
      <c r="AD479" s="1"/>
      <c r="AE479" s="1"/>
    </row>
    <row r="480" spans="1:31">
      <c r="A480">
        <v>217</v>
      </c>
      <c r="B480">
        <f t="shared" si="134"/>
        <v>0.41961809442174092</v>
      </c>
      <c r="C480">
        <v>0.41126613968292425</v>
      </c>
      <c r="D480">
        <f t="shared" si="135"/>
        <v>2.4315155163782136</v>
      </c>
      <c r="E480" s="1">
        <f t="shared" si="136"/>
        <v>0.16353718342140994</v>
      </c>
      <c r="F480" s="1">
        <f t="shared" si="137"/>
        <v>0.18970313276883549</v>
      </c>
      <c r="G480" s="1">
        <f t="shared" si="138"/>
        <v>5.8873386031707581E-2</v>
      </c>
      <c r="H480" s="1">
        <f t="shared" si="139"/>
        <v>5.7048711367075754E-2</v>
      </c>
      <c r="I480" s="1">
        <f t="shared" si="140"/>
        <v>0.20966196706012113</v>
      </c>
      <c r="J480" s="1">
        <f t="shared" si="141"/>
        <v>0.22714506095134665</v>
      </c>
      <c r="K480" s="1">
        <f t="shared" si="142"/>
        <v>0.13967375989730021</v>
      </c>
      <c r="L480" s="1">
        <f t="shared" si="143"/>
        <v>0.13849766739323527</v>
      </c>
      <c r="M480" s="1">
        <f t="shared" si="144"/>
        <v>0.30191153433754314</v>
      </c>
      <c r="N480" s="1">
        <f t="shared" si="145"/>
        <v>0.30202891731636872</v>
      </c>
      <c r="O480" s="1">
        <f t="shared" si="146"/>
        <v>0.30127450762848529</v>
      </c>
      <c r="P480" s="1">
        <f t="shared" si="147"/>
        <v>0.30139557944555417</v>
      </c>
      <c r="Q480" s="1">
        <f t="shared" si="148"/>
        <v>4.5790411357994785</v>
      </c>
      <c r="T480">
        <v>6.6211608499007424E-2</v>
      </c>
      <c r="U480">
        <f t="shared" si="155"/>
        <v>15.103091779064558</v>
      </c>
      <c r="V480" s="15">
        <f t="shared" si="149"/>
        <v>9.8423358085253529E-2</v>
      </c>
      <c r="W480" s="15">
        <f t="shared" si="150"/>
        <v>0.10147265859729869</v>
      </c>
      <c r="X480" s="15">
        <f t="shared" si="151"/>
        <v>0.10757125962138914</v>
      </c>
      <c r="Y480" s="15">
        <f t="shared" si="152"/>
        <v>0.14081194786291668</v>
      </c>
      <c r="Z480" s="15">
        <f t="shared" si="153"/>
        <v>0.14321448587745103</v>
      </c>
      <c r="AA480" s="15">
        <f t="shared" si="154"/>
        <v>0.14801956190651958</v>
      </c>
      <c r="AC480" s="1"/>
      <c r="AD480" s="1"/>
      <c r="AE480" s="1"/>
    </row>
    <row r="481" spans="1:31">
      <c r="A481">
        <v>773</v>
      </c>
      <c r="B481">
        <f t="shared" si="134"/>
        <v>0.41987848577714265</v>
      </c>
      <c r="C481">
        <v>0.41163685621339841</v>
      </c>
      <c r="D481">
        <f t="shared" si="135"/>
        <v>2.4293257149004797</v>
      </c>
      <c r="E481" s="1">
        <f t="shared" si="136"/>
        <v>0.16343420660738933</v>
      </c>
      <c r="F481" s="1">
        <f t="shared" si="137"/>
        <v>0.18958367966457162</v>
      </c>
      <c r="G481" s="1">
        <f t="shared" si="138"/>
        <v>5.8836314378660159E-2</v>
      </c>
      <c r="H481" s="1">
        <f t="shared" si="139"/>
        <v>5.7012788683208665E-2</v>
      </c>
      <c r="I481" s="1">
        <f t="shared" si="140"/>
        <v>0.20952994618916415</v>
      </c>
      <c r="J481" s="1">
        <f t="shared" si="141"/>
        <v>0.22700203124881713</v>
      </c>
      <c r="K481" s="1">
        <f t="shared" si="142"/>
        <v>0.13958580950892011</v>
      </c>
      <c r="L481" s="1">
        <f t="shared" si="143"/>
        <v>0.13841045757196369</v>
      </c>
      <c r="M481" s="1">
        <f t="shared" si="144"/>
        <v>0.30172142535271346</v>
      </c>
      <c r="N481" s="1">
        <f t="shared" si="145"/>
        <v>0.3018387344173078</v>
      </c>
      <c r="O481" s="1">
        <f t="shared" si="146"/>
        <v>0.3010847997694398</v>
      </c>
      <c r="P481" s="1">
        <f t="shared" si="147"/>
        <v>0.30120579534947362</v>
      </c>
      <c r="Q481" s="1">
        <f t="shared" si="148"/>
        <v>4.5761577850069015</v>
      </c>
      <c r="T481">
        <v>0.88627572092082763</v>
      </c>
      <c r="U481">
        <f t="shared" si="155"/>
        <v>1.1283170421965463</v>
      </c>
      <c r="V481" s="15">
        <f t="shared" si="149"/>
        <v>0</v>
      </c>
      <c r="W481" s="15">
        <f t="shared" si="150"/>
        <v>0</v>
      </c>
      <c r="X481" s="15">
        <f t="shared" si="151"/>
        <v>0</v>
      </c>
      <c r="Y481" s="15">
        <f t="shared" si="152"/>
        <v>0</v>
      </c>
      <c r="Z481" s="15">
        <f t="shared" si="153"/>
        <v>0</v>
      </c>
      <c r="AA481" s="15">
        <f t="shared" si="154"/>
        <v>0</v>
      </c>
      <c r="AC481" s="1"/>
      <c r="AD481" s="1"/>
      <c r="AE481" s="1"/>
    </row>
    <row r="482" spans="1:31">
      <c r="A482">
        <v>618</v>
      </c>
      <c r="B482">
        <f t="shared" si="134"/>
        <v>0.42002181903904845</v>
      </c>
      <c r="C482">
        <v>0.41184765087124831</v>
      </c>
      <c r="D482">
        <f t="shared" si="135"/>
        <v>2.428082320937214</v>
      </c>
      <c r="E482" s="1">
        <f t="shared" si="136"/>
        <v>0.16337565253576436</v>
      </c>
      <c r="F482" s="1">
        <f t="shared" si="137"/>
        <v>0.18951575694148665</v>
      </c>
      <c r="G482" s="1">
        <f t="shared" si="138"/>
        <v>5.8815234912875172E-2</v>
      </c>
      <c r="H482" s="1">
        <f t="shared" si="139"/>
        <v>5.6992362537535771E-2</v>
      </c>
      <c r="I482" s="1">
        <f t="shared" si="140"/>
        <v>0.20945487725634149</v>
      </c>
      <c r="J482" s="1">
        <f t="shared" si="141"/>
        <v>0.22692070253879565</v>
      </c>
      <c r="K482" s="1">
        <f t="shared" si="142"/>
        <v>0.13953579967525384</v>
      </c>
      <c r="L482" s="1">
        <f t="shared" si="143"/>
        <v>0.13836086883522031</v>
      </c>
      <c r="M482" s="1">
        <f t="shared" si="144"/>
        <v>0.30161332669749541</v>
      </c>
      <c r="N482" s="1">
        <f t="shared" si="145"/>
        <v>0.30173059373341343</v>
      </c>
      <c r="O482" s="1">
        <f t="shared" si="146"/>
        <v>0.30097692920001096</v>
      </c>
      <c r="P482" s="1">
        <f t="shared" si="147"/>
        <v>0.3010978814305893</v>
      </c>
      <c r="Q482" s="1">
        <f t="shared" si="148"/>
        <v>4.5745182710014021</v>
      </c>
      <c r="T482">
        <v>0.45338557617588571</v>
      </c>
      <c r="U482">
        <f t="shared" si="155"/>
        <v>2.2056281728999281</v>
      </c>
      <c r="V482" s="15">
        <f t="shared" si="149"/>
        <v>6.0927929053763763E-2</v>
      </c>
      <c r="W482" s="15">
        <f t="shared" si="150"/>
        <v>6.5910087912502496E-2</v>
      </c>
      <c r="X482" s="15">
        <f t="shared" si="151"/>
        <v>7.5874405629979824E-2</v>
      </c>
      <c r="Y482" s="15">
        <f t="shared" si="152"/>
        <v>8.5347572804984104E-2</v>
      </c>
      <c r="Z482" s="15">
        <f t="shared" si="153"/>
        <v>8.9743599004525526E-2</v>
      </c>
      <c r="AA482" s="15">
        <f t="shared" si="154"/>
        <v>9.8535651403608315E-2</v>
      </c>
      <c r="AC482" s="1"/>
      <c r="AD482" s="1"/>
      <c r="AE482" s="1"/>
    </row>
    <row r="483" spans="1:31">
      <c r="A483">
        <v>498</v>
      </c>
      <c r="B483">
        <f t="shared" si="134"/>
        <v>0.42152766009401155</v>
      </c>
      <c r="C483">
        <v>0.4130843339520861</v>
      </c>
      <c r="D483">
        <f t="shared" si="135"/>
        <v>2.4208131797997225</v>
      </c>
      <c r="E483" s="1">
        <f t="shared" si="136"/>
        <v>0.16303212945775386</v>
      </c>
      <c r="F483" s="1">
        <f t="shared" si="137"/>
        <v>0.18911727017099444</v>
      </c>
      <c r="G483" s="1">
        <f t="shared" si="138"/>
        <v>5.8691566604791391E-2</v>
      </c>
      <c r="H483" s="1">
        <f t="shared" si="139"/>
        <v>5.6872527106135128E-2</v>
      </c>
      <c r="I483" s="1">
        <f t="shared" si="140"/>
        <v>0.2090144653404738</v>
      </c>
      <c r="J483" s="1">
        <f t="shared" si="141"/>
        <v>0.2264435659704605</v>
      </c>
      <c r="K483" s="1">
        <f t="shared" si="142"/>
        <v>0.13924240364804222</v>
      </c>
      <c r="L483" s="1">
        <f t="shared" si="143"/>
        <v>0.13806994328541675</v>
      </c>
      <c r="M483" s="1">
        <f t="shared" si="144"/>
        <v>0.30097913710591329</v>
      </c>
      <c r="N483" s="1">
        <f t="shared" si="145"/>
        <v>0.30109615756939234</v>
      </c>
      <c r="O483" s="1">
        <f t="shared" si="146"/>
        <v>0.30034407773454364</v>
      </c>
      <c r="P483" s="1">
        <f t="shared" si="147"/>
        <v>0.30046477564397989</v>
      </c>
      <c r="Q483" s="1">
        <f t="shared" si="148"/>
        <v>4.5648996248171088</v>
      </c>
      <c r="T483">
        <v>0.61305924659787914</v>
      </c>
      <c r="U483">
        <f t="shared" si="155"/>
        <v>1.6311637179431124</v>
      </c>
      <c r="V483" s="15">
        <f t="shared" si="149"/>
        <v>0</v>
      </c>
      <c r="W483" s="15">
        <f t="shared" si="150"/>
        <v>0</v>
      </c>
      <c r="X483" s="15">
        <f t="shared" si="151"/>
        <v>0</v>
      </c>
      <c r="Y483" s="15">
        <f t="shared" si="152"/>
        <v>0</v>
      </c>
      <c r="Z483" s="15">
        <f t="shared" si="153"/>
        <v>0</v>
      </c>
      <c r="AA483" s="15">
        <f t="shared" si="154"/>
        <v>0</v>
      </c>
      <c r="AC483" s="1"/>
      <c r="AD483" s="1"/>
      <c r="AE483" s="1"/>
    </row>
    <row r="484" spans="1:31">
      <c r="A484">
        <v>719</v>
      </c>
      <c r="B484">
        <f t="shared" si="134"/>
        <v>0.42902958477286485</v>
      </c>
      <c r="C484">
        <v>0.41865948315848045</v>
      </c>
      <c r="D484">
        <f t="shared" si="135"/>
        <v>2.3885760151799964</v>
      </c>
      <c r="E484" s="1">
        <f t="shared" si="136"/>
        <v>0.16148347690042208</v>
      </c>
      <c r="F484" s="1">
        <f t="shared" si="137"/>
        <v>0.18732083320448961</v>
      </c>
      <c r="G484" s="1">
        <f t="shared" si="138"/>
        <v>5.8134051684151956E-2</v>
      </c>
      <c r="H484" s="1">
        <f t="shared" si="139"/>
        <v>5.633229135728135E-2</v>
      </c>
      <c r="I484" s="1">
        <f t="shared" si="140"/>
        <v>0.20702902365271902</v>
      </c>
      <c r="J484" s="1">
        <f t="shared" si="141"/>
        <v>0.22429256414831755</v>
      </c>
      <c r="K484" s="1">
        <f t="shared" si="142"/>
        <v>0.1379197312078565</v>
      </c>
      <c r="L484" s="1">
        <f t="shared" si="143"/>
        <v>0.13675840812071771</v>
      </c>
      <c r="M484" s="1">
        <f t="shared" si="144"/>
        <v>0.29812011715731257</v>
      </c>
      <c r="N484" s="1">
        <f t="shared" si="145"/>
        <v>0.2982360260359731</v>
      </c>
      <c r="O484" s="1">
        <f t="shared" si="146"/>
        <v>0.29749109025526532</v>
      </c>
      <c r="P484" s="1">
        <f t="shared" si="147"/>
        <v>0.29761064164759032</v>
      </c>
      <c r="Q484" s="1">
        <f t="shared" si="148"/>
        <v>4.5215373532118193</v>
      </c>
      <c r="T484">
        <v>0.14602697585313762</v>
      </c>
      <c r="U484">
        <f t="shared" si="155"/>
        <v>6.8480497809234979</v>
      </c>
      <c r="V484" s="15">
        <f t="shared" si="149"/>
        <v>8.4843422697532422E-2</v>
      </c>
      <c r="W484" s="15">
        <f t="shared" si="150"/>
        <v>8.8737263156676238E-2</v>
      </c>
      <c r="X484" s="15">
        <f t="shared" si="151"/>
        <v>9.6524944074963814E-2</v>
      </c>
      <c r="Y484" s="15">
        <f t="shared" si="152"/>
        <v>0.12073657641111465</v>
      </c>
      <c r="Z484" s="15">
        <f t="shared" si="153"/>
        <v>0.12402566499340381</v>
      </c>
      <c r="AA484" s="15">
        <f t="shared" si="154"/>
        <v>0.13060384215798207</v>
      </c>
      <c r="AC484" s="1"/>
      <c r="AD484" s="1"/>
      <c r="AE484" s="1"/>
    </row>
    <row r="485" spans="1:31">
      <c r="A485">
        <v>455</v>
      </c>
      <c r="B485">
        <f t="shared" si="134"/>
        <v>0.42914352775879078</v>
      </c>
      <c r="C485">
        <v>0.41898723801328308</v>
      </c>
      <c r="D485">
        <f t="shared" si="135"/>
        <v>2.3867075396895432</v>
      </c>
      <c r="E485" s="1">
        <f t="shared" si="136"/>
        <v>0.16139243388519914</v>
      </c>
      <c r="F485" s="1">
        <f t="shared" si="137"/>
        <v>0.18721522330683099</v>
      </c>
      <c r="G485" s="1">
        <f t="shared" si="138"/>
        <v>5.8101276198671691E-2</v>
      </c>
      <c r="H485" s="1">
        <f t="shared" si="139"/>
        <v>5.6300531688998089E-2</v>
      </c>
      <c r="I485" s="1">
        <f t="shared" si="140"/>
        <v>0.20691230244437131</v>
      </c>
      <c r="J485" s="1">
        <f t="shared" si="141"/>
        <v>0.22416610990219832</v>
      </c>
      <c r="K485" s="1">
        <f t="shared" si="142"/>
        <v>0.13784197323268207</v>
      </c>
      <c r="L485" s="1">
        <f t="shared" si="143"/>
        <v>0.13668130488965413</v>
      </c>
      <c r="M485" s="1">
        <f t="shared" si="144"/>
        <v>0.29795203956271532</v>
      </c>
      <c r="N485" s="1">
        <f t="shared" si="145"/>
        <v>0.29806788309293275</v>
      </c>
      <c r="O485" s="1">
        <f t="shared" si="146"/>
        <v>0.29732336730070263</v>
      </c>
      <c r="P485" s="1">
        <f t="shared" si="147"/>
        <v>0.29744285129096615</v>
      </c>
      <c r="Q485" s="1">
        <f t="shared" si="148"/>
        <v>4.5189881487855761</v>
      </c>
      <c r="T485">
        <v>0.52691047357874454</v>
      </c>
      <c r="U485">
        <f t="shared" si="155"/>
        <v>1.8978556133228091</v>
      </c>
      <c r="V485" s="15">
        <f t="shared" si="149"/>
        <v>0</v>
      </c>
      <c r="W485" s="15">
        <f t="shared" si="150"/>
        <v>0</v>
      </c>
      <c r="X485" s="15">
        <f t="shared" si="151"/>
        <v>0</v>
      </c>
      <c r="Y485" s="15">
        <f t="shared" si="152"/>
        <v>0</v>
      </c>
      <c r="Z485" s="15">
        <f t="shared" si="153"/>
        <v>0</v>
      </c>
      <c r="AA485" s="15">
        <f t="shared" si="154"/>
        <v>0</v>
      </c>
      <c r="AC485" s="1"/>
      <c r="AD485" s="1"/>
      <c r="AE485" s="1"/>
    </row>
    <row r="486" spans="1:31">
      <c r="A486">
        <v>786</v>
      </c>
      <c r="B486">
        <f t="shared" si="134"/>
        <v>0.42931020013902604</v>
      </c>
      <c r="C486">
        <v>0.41972519091104843</v>
      </c>
      <c r="D486">
        <f t="shared" si="135"/>
        <v>2.3825112756025359</v>
      </c>
      <c r="E486" s="1">
        <f t="shared" si="136"/>
        <v>0.16118744696915321</v>
      </c>
      <c r="F486" s="1">
        <f t="shared" si="137"/>
        <v>0.18697743848421772</v>
      </c>
      <c r="G486" s="1">
        <f t="shared" si="138"/>
        <v>5.802748090889516E-2</v>
      </c>
      <c r="H486" s="1">
        <f t="shared" si="139"/>
        <v>5.6229023551442624E-2</v>
      </c>
      <c r="I486" s="1">
        <f t="shared" si="140"/>
        <v>0.20664950007037525</v>
      </c>
      <c r="J486" s="1">
        <f t="shared" si="141"/>
        <v>0.2238813932122973</v>
      </c>
      <c r="K486" s="1">
        <f t="shared" si="142"/>
        <v>0.13766689810484334</v>
      </c>
      <c r="L486" s="1">
        <f t="shared" si="143"/>
        <v>0.13650770394383538</v>
      </c>
      <c r="M486" s="1">
        <f t="shared" si="144"/>
        <v>0.29757360627281892</v>
      </c>
      <c r="N486" s="1">
        <f t="shared" si="145"/>
        <v>0.29768930266845617</v>
      </c>
      <c r="O486" s="1">
        <f t="shared" si="146"/>
        <v>0.2969457324967395</v>
      </c>
      <c r="P486" s="1">
        <f t="shared" si="147"/>
        <v>0.29706506472862076</v>
      </c>
      <c r="Q486" s="1">
        <f t="shared" si="148"/>
        <v>4.51324851513629</v>
      </c>
      <c r="T486">
        <v>0.68342705262589676</v>
      </c>
      <c r="U486">
        <f t="shared" si="155"/>
        <v>1.4632139540829576</v>
      </c>
      <c r="V486" s="15">
        <f t="shared" si="149"/>
        <v>0</v>
      </c>
      <c r="W486" s="15">
        <f t="shared" si="150"/>
        <v>0</v>
      </c>
      <c r="X486" s="15">
        <f t="shared" si="151"/>
        <v>0</v>
      </c>
      <c r="Y486" s="15">
        <f t="shared" si="152"/>
        <v>0</v>
      </c>
      <c r="Z486" s="15">
        <f t="shared" si="153"/>
        <v>0</v>
      </c>
      <c r="AA486" s="15">
        <f t="shared" si="154"/>
        <v>0</v>
      </c>
      <c r="AC486" s="1"/>
      <c r="AD486" s="1"/>
      <c r="AE486" s="1"/>
    </row>
    <row r="487" spans="1:31">
      <c r="A487">
        <v>317</v>
      </c>
      <c r="B487">
        <f t="shared" si="134"/>
        <v>0.42934676399046556</v>
      </c>
      <c r="C487">
        <v>0.4204058378501494</v>
      </c>
      <c r="D487">
        <f t="shared" si="135"/>
        <v>2.378653933812505</v>
      </c>
      <c r="E487" s="1">
        <f t="shared" si="136"/>
        <v>0.16099837837495851</v>
      </c>
      <c r="F487" s="1">
        <f t="shared" si="137"/>
        <v>0.18675811891495184</v>
      </c>
      <c r="G487" s="1">
        <f t="shared" si="138"/>
        <v>5.7959416214985064E-2</v>
      </c>
      <c r="H487" s="1">
        <f t="shared" si="139"/>
        <v>5.6163068400246222E-2</v>
      </c>
      <c r="I487" s="1">
        <f t="shared" si="140"/>
        <v>0.20640710569535409</v>
      </c>
      <c r="J487" s="1">
        <f t="shared" si="141"/>
        <v>0.2236187862842956</v>
      </c>
      <c r="K487" s="1">
        <f t="shared" si="142"/>
        <v>0.13750541848976633</v>
      </c>
      <c r="L487" s="1">
        <f t="shared" si="143"/>
        <v>0.13634758403272126</v>
      </c>
      <c r="M487" s="1">
        <f t="shared" si="144"/>
        <v>0.29722456033614486</v>
      </c>
      <c r="N487" s="1">
        <f t="shared" si="145"/>
        <v>0.29734012102298291</v>
      </c>
      <c r="O487" s="1">
        <f t="shared" si="146"/>
        <v>0.29659742303932857</v>
      </c>
      <c r="P487" s="1">
        <f t="shared" si="147"/>
        <v>0.29671661529767129</v>
      </c>
      <c r="Q487" s="1">
        <f t="shared" si="148"/>
        <v>4.5079545944988375</v>
      </c>
      <c r="T487">
        <v>0.50334470233676454</v>
      </c>
      <c r="U487">
        <f t="shared" si="155"/>
        <v>1.9867100922241285</v>
      </c>
      <c r="V487" s="15">
        <f t="shared" si="149"/>
        <v>0</v>
      </c>
      <c r="W487" s="15">
        <f t="shared" si="150"/>
        <v>0</v>
      </c>
      <c r="X487" s="15">
        <f t="shared" si="151"/>
        <v>0</v>
      </c>
      <c r="Y487" s="15">
        <f t="shared" si="152"/>
        <v>0</v>
      </c>
      <c r="Z487" s="15">
        <f t="shared" si="153"/>
        <v>0</v>
      </c>
      <c r="AA487" s="15">
        <f t="shared" si="154"/>
        <v>0</v>
      </c>
      <c r="AC487" s="1"/>
      <c r="AD487" s="1"/>
      <c r="AE487" s="1"/>
    </row>
    <row r="488" spans="1:31">
      <c r="A488">
        <v>855</v>
      </c>
      <c r="B488">
        <f t="shared" si="134"/>
        <v>0.42995650001572161</v>
      </c>
      <c r="C488">
        <v>0.42207708236717523</v>
      </c>
      <c r="D488">
        <f t="shared" si="135"/>
        <v>2.3692354827502231</v>
      </c>
      <c r="E488" s="1">
        <f t="shared" si="136"/>
        <v>0.16053414378689576</v>
      </c>
      <c r="F488" s="1">
        <f t="shared" si="137"/>
        <v>0.18621960679279909</v>
      </c>
      <c r="G488" s="1">
        <f t="shared" si="138"/>
        <v>5.7792291763282481E-2</v>
      </c>
      <c r="H488" s="1">
        <f t="shared" si="139"/>
        <v>5.6001123670204253E-2</v>
      </c>
      <c r="I488" s="1">
        <f t="shared" si="140"/>
        <v>0.20581193623679878</v>
      </c>
      <c r="J488" s="1">
        <f t="shared" si="141"/>
        <v>0.22297398739761365</v>
      </c>
      <c r="K488" s="1">
        <f t="shared" si="142"/>
        <v>0.13710892523341611</v>
      </c>
      <c r="L488" s="1">
        <f t="shared" si="143"/>
        <v>0.13595442936156449</v>
      </c>
      <c r="M488" s="1">
        <f t="shared" si="144"/>
        <v>0.29636752113660447</v>
      </c>
      <c r="N488" s="1">
        <f t="shared" si="145"/>
        <v>0.2964827486072425</v>
      </c>
      <c r="O488" s="1">
        <f t="shared" si="146"/>
        <v>0.29574219217368314</v>
      </c>
      <c r="P488" s="1">
        <f t="shared" si="147"/>
        <v>0.29586104074428493</v>
      </c>
      <c r="Q488" s="1">
        <f t="shared" si="148"/>
        <v>4.4949560260330816</v>
      </c>
      <c r="T488">
        <v>0.88066600960470276</v>
      </c>
      <c r="U488">
        <f t="shared" si="155"/>
        <v>1.1355042537055129</v>
      </c>
      <c r="V488" s="15">
        <f t="shared" si="149"/>
        <v>0</v>
      </c>
      <c r="W488" s="15">
        <f t="shared" si="150"/>
        <v>0</v>
      </c>
      <c r="X488" s="15">
        <f t="shared" si="151"/>
        <v>0</v>
      </c>
      <c r="Y488" s="15">
        <f t="shared" si="152"/>
        <v>0</v>
      </c>
      <c r="Z488" s="15">
        <f t="shared" si="153"/>
        <v>0</v>
      </c>
      <c r="AA488" s="15">
        <f t="shared" si="154"/>
        <v>0</v>
      </c>
      <c r="AC488" s="1"/>
      <c r="AD488" s="1"/>
      <c r="AE488" s="1"/>
    </row>
    <row r="489" spans="1:31">
      <c r="A489">
        <v>910</v>
      </c>
      <c r="B489">
        <f t="shared" si="134"/>
        <v>0.43011536462450384</v>
      </c>
      <c r="C489">
        <v>0.42264908244448174</v>
      </c>
      <c r="D489">
        <f t="shared" si="135"/>
        <v>2.3660290333916856</v>
      </c>
      <c r="E489" s="1">
        <f t="shared" si="136"/>
        <v>0.16037525487653284</v>
      </c>
      <c r="F489" s="1">
        <f t="shared" si="137"/>
        <v>0.18603529565677809</v>
      </c>
      <c r="G489" s="1">
        <f t="shared" si="138"/>
        <v>5.7735091755551825E-2</v>
      </c>
      <c r="H489" s="1">
        <f t="shared" si="139"/>
        <v>5.5945696473788831E-2</v>
      </c>
      <c r="I489" s="1">
        <f t="shared" si="140"/>
        <v>0.20560823356323077</v>
      </c>
      <c r="J489" s="1">
        <f t="shared" si="141"/>
        <v>0.22275329855808607</v>
      </c>
      <c r="K489" s="1">
        <f t="shared" si="142"/>
        <v>0.13697322146836355</v>
      </c>
      <c r="L489" s="1">
        <f t="shared" si="143"/>
        <v>0.13581986826053827</v>
      </c>
      <c r="M489" s="1">
        <f t="shared" si="144"/>
        <v>0.29607419093662618</v>
      </c>
      <c r="N489" s="1">
        <f t="shared" si="145"/>
        <v>0.29618930436070173</v>
      </c>
      <c r="O489" s="1">
        <f t="shared" si="146"/>
        <v>0.29544948089398682</v>
      </c>
      <c r="P489" s="1">
        <f t="shared" si="147"/>
        <v>0.29556821183403703</v>
      </c>
      <c r="Q489" s="1">
        <f t="shared" si="148"/>
        <v>4.4905071365429201</v>
      </c>
      <c r="T489">
        <v>0.10039217006296164</v>
      </c>
      <c r="U489">
        <f t="shared" si="155"/>
        <v>9.9609361902710454</v>
      </c>
      <c r="V489" s="15">
        <f t="shared" si="149"/>
        <v>9.1048946756000337E-2</v>
      </c>
      <c r="W489" s="15">
        <f t="shared" si="150"/>
        <v>9.4581098293795518E-2</v>
      </c>
      <c r="X489" s="15">
        <f t="shared" si="151"/>
        <v>0.10164540136938564</v>
      </c>
      <c r="Y489" s="15">
        <f t="shared" si="152"/>
        <v>0.12991514989164701</v>
      </c>
      <c r="Z489" s="15">
        <f t="shared" si="153"/>
        <v>0.13282634423258394</v>
      </c>
      <c r="AA489" s="15">
        <f t="shared" si="154"/>
        <v>0.13864873291445765</v>
      </c>
      <c r="AC489" s="1"/>
      <c r="AD489" s="1"/>
      <c r="AE489" s="1"/>
    </row>
    <row r="490" spans="1:31">
      <c r="A490">
        <v>907</v>
      </c>
      <c r="B490">
        <f t="shared" si="134"/>
        <v>0.43153110296773561</v>
      </c>
      <c r="C490">
        <v>0.42561054941976717</v>
      </c>
      <c r="D490">
        <f t="shared" si="135"/>
        <v>2.3495658210617552</v>
      </c>
      <c r="E490" s="1">
        <f t="shared" si="136"/>
        <v>0.15955262516117577</v>
      </c>
      <c r="F490" s="1">
        <f t="shared" si="137"/>
        <v>0.18508104518696389</v>
      </c>
      <c r="G490" s="1">
        <f t="shared" si="138"/>
        <v>5.7438945058023286E-2</v>
      </c>
      <c r="H490" s="1">
        <f t="shared" si="139"/>
        <v>5.5658728310270605E-2</v>
      </c>
      <c r="I490" s="1">
        <f t="shared" si="140"/>
        <v>0.20455358555795461</v>
      </c>
      <c r="J490" s="1">
        <f t="shared" si="141"/>
        <v>0.22161070656202808</v>
      </c>
      <c r="K490" s="1">
        <f t="shared" si="142"/>
        <v>0.13627063027201719</v>
      </c>
      <c r="L490" s="1">
        <f t="shared" si="143"/>
        <v>0.1351231930804862</v>
      </c>
      <c r="M490" s="1">
        <f t="shared" si="144"/>
        <v>0.29455550635151184</v>
      </c>
      <c r="N490" s="1">
        <f t="shared" si="145"/>
        <v>0.29467002931215619</v>
      </c>
      <c r="O490" s="1">
        <f t="shared" si="146"/>
        <v>0.29393400070000475</v>
      </c>
      <c r="P490" s="1">
        <f t="shared" si="147"/>
        <v>0.29405212262091734</v>
      </c>
      <c r="Q490" s="1">
        <f t="shared" si="148"/>
        <v>4.4674735045129221</v>
      </c>
      <c r="T490">
        <v>0.50630064939322317</v>
      </c>
      <c r="U490">
        <f t="shared" si="155"/>
        <v>1.9751110357027029</v>
      </c>
      <c r="V490" s="15">
        <f t="shared" si="149"/>
        <v>0</v>
      </c>
      <c r="W490" s="15">
        <f t="shared" si="150"/>
        <v>0</v>
      </c>
      <c r="X490" s="15">
        <f t="shared" si="151"/>
        <v>0</v>
      </c>
      <c r="Y490" s="15">
        <f t="shared" si="152"/>
        <v>0</v>
      </c>
      <c r="Z490" s="15">
        <f t="shared" si="153"/>
        <v>0</v>
      </c>
      <c r="AA490" s="15">
        <f t="shared" si="154"/>
        <v>0</v>
      </c>
      <c r="AC490" s="1"/>
      <c r="AD490" s="1"/>
      <c r="AE490" s="1"/>
    </row>
    <row r="491" spans="1:31">
      <c r="A491">
        <v>603</v>
      </c>
      <c r="B491">
        <f t="shared" si="134"/>
        <v>0.43498300331933665</v>
      </c>
      <c r="C491">
        <v>0.42805352042719813</v>
      </c>
      <c r="D491">
        <f t="shared" si="135"/>
        <v>2.336156467074487</v>
      </c>
      <c r="E491" s="1">
        <f t="shared" si="136"/>
        <v>0.15887402210355606</v>
      </c>
      <c r="F491" s="1">
        <f t="shared" si="137"/>
        <v>0.18429386564012504</v>
      </c>
      <c r="G491" s="1">
        <f t="shared" si="138"/>
        <v>5.7194647957280187E-2</v>
      </c>
      <c r="H491" s="1">
        <f t="shared" si="139"/>
        <v>5.5422002758582445E-2</v>
      </c>
      <c r="I491" s="1">
        <f t="shared" si="140"/>
        <v>0.2036835861551464</v>
      </c>
      <c r="J491" s="1">
        <f t="shared" si="141"/>
        <v>0.22066816047153073</v>
      </c>
      <c r="K491" s="1">
        <f t="shared" si="142"/>
        <v>0.13569104929506401</v>
      </c>
      <c r="L491" s="1">
        <f t="shared" si="143"/>
        <v>0.13454849233904037</v>
      </c>
      <c r="M491" s="1">
        <f t="shared" si="144"/>
        <v>0.29330271425832666</v>
      </c>
      <c r="N491" s="1">
        <f t="shared" si="145"/>
        <v>0.29341675013434187</v>
      </c>
      <c r="O491" s="1">
        <f t="shared" si="146"/>
        <v>0.29268385197063146</v>
      </c>
      <c r="P491" s="1">
        <f t="shared" si="147"/>
        <v>0.29280147149995617</v>
      </c>
      <c r="Q491" s="1">
        <f t="shared" si="148"/>
        <v>4.4484726188995705</v>
      </c>
      <c r="T491">
        <v>0.85136676881418916</v>
      </c>
      <c r="U491">
        <f t="shared" si="155"/>
        <v>1.1745819036287168</v>
      </c>
      <c r="V491" s="15">
        <f t="shared" si="149"/>
        <v>0</v>
      </c>
      <c r="W491" s="15">
        <f t="shared" si="150"/>
        <v>0</v>
      </c>
      <c r="X491" s="15">
        <f t="shared" si="151"/>
        <v>0</v>
      </c>
      <c r="Y491" s="15">
        <f t="shared" si="152"/>
        <v>0</v>
      </c>
      <c r="Z491" s="15">
        <f t="shared" si="153"/>
        <v>0</v>
      </c>
      <c r="AA491" s="15">
        <f t="shared" si="154"/>
        <v>0</v>
      </c>
      <c r="AC491" s="1"/>
      <c r="AD491" s="1"/>
      <c r="AE491" s="1"/>
    </row>
    <row r="492" spans="1:31">
      <c r="A492">
        <v>737</v>
      </c>
      <c r="B492">
        <f t="shared" si="134"/>
        <v>0.43623914684268739</v>
      </c>
      <c r="C492">
        <v>0.42873832812169843</v>
      </c>
      <c r="D492">
        <f t="shared" si="135"/>
        <v>2.3324250117338412</v>
      </c>
      <c r="E492" s="1">
        <f t="shared" si="136"/>
        <v>0.15868379774397265</v>
      </c>
      <c r="F492" s="1">
        <f t="shared" si="137"/>
        <v>0.18407320538300825</v>
      </c>
      <c r="G492" s="1">
        <f t="shared" si="138"/>
        <v>5.712616718783016E-2</v>
      </c>
      <c r="H492" s="1">
        <f t="shared" si="139"/>
        <v>5.535564442735879E-2</v>
      </c>
      <c r="I492" s="1">
        <f t="shared" si="140"/>
        <v>0.20343971003732042</v>
      </c>
      <c r="J492" s="1">
        <f t="shared" si="141"/>
        <v>0.22040394824255607</v>
      </c>
      <c r="K492" s="1">
        <f t="shared" si="142"/>
        <v>0.13552858256443306</v>
      </c>
      <c r="L492" s="1">
        <f t="shared" si="143"/>
        <v>0.1343873936241641</v>
      </c>
      <c r="M492" s="1">
        <f t="shared" si="144"/>
        <v>0.29295153462401557</v>
      </c>
      <c r="N492" s="1">
        <f t="shared" si="145"/>
        <v>0.29306543396165141</v>
      </c>
      <c r="O492" s="1">
        <f t="shared" si="146"/>
        <v>0.29233341331763862</v>
      </c>
      <c r="P492" s="1">
        <f t="shared" si="147"/>
        <v>0.29245089201777463</v>
      </c>
      <c r="Q492" s="1">
        <f t="shared" si="148"/>
        <v>4.4431463368312345</v>
      </c>
      <c r="T492">
        <v>0.15509630210766634</v>
      </c>
      <c r="U492">
        <f t="shared" si="155"/>
        <v>6.44760697973192</v>
      </c>
      <c r="V492" s="15">
        <f t="shared" si="149"/>
        <v>8.3610155210313522E-2</v>
      </c>
      <c r="W492" s="15">
        <f t="shared" si="150"/>
        <v>8.7575876655331189E-2</v>
      </c>
      <c r="X492" s="15">
        <f t="shared" si="151"/>
        <v>9.5507319545366495E-2</v>
      </c>
      <c r="Y492" s="15">
        <f t="shared" si="152"/>
        <v>0.11891245387997346</v>
      </c>
      <c r="Z492" s="15">
        <f t="shared" si="153"/>
        <v>0.12227664404547715</v>
      </c>
      <c r="AA492" s="15">
        <f t="shared" si="154"/>
        <v>0.12900502437648456</v>
      </c>
      <c r="AC492" s="1"/>
      <c r="AD492" s="1"/>
      <c r="AE492" s="1"/>
    </row>
    <row r="493" spans="1:31">
      <c r="A493">
        <v>632</v>
      </c>
      <c r="B493">
        <f t="shared" si="134"/>
        <v>0.43632516616082662</v>
      </c>
      <c r="C493">
        <v>0.42894577934364964</v>
      </c>
      <c r="D493">
        <f t="shared" si="135"/>
        <v>2.3312969800755416</v>
      </c>
      <c r="E493" s="1">
        <f t="shared" si="136"/>
        <v>0.15862617240454174</v>
      </c>
      <c r="F493" s="1">
        <f t="shared" si="137"/>
        <v>0.18400635998926845</v>
      </c>
      <c r="G493" s="1">
        <f t="shared" si="138"/>
        <v>5.7105422065635035E-2</v>
      </c>
      <c r="H493" s="1">
        <f t="shared" si="139"/>
        <v>5.5335542262897809E-2</v>
      </c>
      <c r="I493" s="1">
        <f t="shared" si="140"/>
        <v>0.2033658317806156</v>
      </c>
      <c r="J493" s="1">
        <f t="shared" si="141"/>
        <v>0.22032390949562694</v>
      </c>
      <c r="K493" s="1">
        <f t="shared" si="142"/>
        <v>0.13547936594191773</v>
      </c>
      <c r="L493" s="1">
        <f t="shared" si="143"/>
        <v>0.13433859141950977</v>
      </c>
      <c r="M493" s="1">
        <f t="shared" si="144"/>
        <v>0.29284515053276294</v>
      </c>
      <c r="N493" s="1">
        <f t="shared" si="145"/>
        <v>0.29295900850834367</v>
      </c>
      <c r="O493" s="1">
        <f t="shared" si="146"/>
        <v>0.29222725369448288</v>
      </c>
      <c r="P493" s="1">
        <f t="shared" si="147"/>
        <v>0.29234468973273364</v>
      </c>
      <c r="Q493" s="1">
        <f t="shared" si="148"/>
        <v>4.441532827327169</v>
      </c>
      <c r="T493">
        <v>0.72487570764773634</v>
      </c>
      <c r="U493">
        <f t="shared" si="155"/>
        <v>1.3795468512044056</v>
      </c>
      <c r="V493" s="15">
        <f t="shared" si="149"/>
        <v>0</v>
      </c>
      <c r="W493" s="15">
        <f t="shared" si="150"/>
        <v>0</v>
      </c>
      <c r="X493" s="15">
        <f t="shared" si="151"/>
        <v>0</v>
      </c>
      <c r="Y493" s="15">
        <f t="shared" si="152"/>
        <v>0</v>
      </c>
      <c r="Z493" s="15">
        <f t="shared" si="153"/>
        <v>0</v>
      </c>
      <c r="AA493" s="15">
        <f t="shared" si="154"/>
        <v>0</v>
      </c>
      <c r="AC493" s="1"/>
      <c r="AD493" s="1"/>
      <c r="AE493" s="1"/>
    </row>
    <row r="494" spans="1:31">
      <c r="A494">
        <v>509</v>
      </c>
      <c r="B494">
        <f t="shared" si="134"/>
        <v>0.4364694617224823</v>
      </c>
      <c r="C494">
        <v>0.42929377432007043</v>
      </c>
      <c r="D494">
        <f t="shared" si="135"/>
        <v>2.3294071794631375</v>
      </c>
      <c r="E494" s="1">
        <f t="shared" si="136"/>
        <v>0.15852950713331376</v>
      </c>
      <c r="F494" s="1">
        <f t="shared" si="137"/>
        <v>0.18389422827464397</v>
      </c>
      <c r="G494" s="1">
        <f t="shared" si="138"/>
        <v>5.707062256799296E-2</v>
      </c>
      <c r="H494" s="1">
        <f t="shared" si="139"/>
        <v>5.5301821313067726E-2</v>
      </c>
      <c r="I494" s="1">
        <f t="shared" si="140"/>
        <v>0.20324190258917393</v>
      </c>
      <c r="J494" s="1">
        <f t="shared" si="141"/>
        <v>0.22018964621393411</v>
      </c>
      <c r="K494" s="1">
        <f t="shared" si="142"/>
        <v>0.13539680611300642</v>
      </c>
      <c r="L494" s="1">
        <f t="shared" si="143"/>
        <v>0.13425672676767392</v>
      </c>
      <c r="M494" s="1">
        <f t="shared" si="144"/>
        <v>0.29266669350089392</v>
      </c>
      <c r="N494" s="1">
        <f t="shared" si="145"/>
        <v>0.29278048209251406</v>
      </c>
      <c r="O494" s="1">
        <f t="shared" si="146"/>
        <v>0.29204917320303314</v>
      </c>
      <c r="P494" s="1">
        <f t="shared" si="147"/>
        <v>0.29216653767688627</v>
      </c>
      <c r="Q494" s="1">
        <f t="shared" si="148"/>
        <v>4.4388261997327856</v>
      </c>
      <c r="T494">
        <v>0.75154424302820644</v>
      </c>
      <c r="U494">
        <f t="shared" si="155"/>
        <v>1.330593653369877</v>
      </c>
      <c r="V494" s="15">
        <f t="shared" si="149"/>
        <v>0</v>
      </c>
      <c r="W494" s="15">
        <f t="shared" si="150"/>
        <v>0</v>
      </c>
      <c r="X494" s="15">
        <f t="shared" si="151"/>
        <v>0</v>
      </c>
      <c r="Y494" s="15">
        <f t="shared" si="152"/>
        <v>0</v>
      </c>
      <c r="Z494" s="15">
        <f t="shared" si="153"/>
        <v>0</v>
      </c>
      <c r="AA494" s="15">
        <f t="shared" si="154"/>
        <v>0</v>
      </c>
      <c r="AC494" s="1"/>
      <c r="AD494" s="1"/>
      <c r="AE494" s="1"/>
    </row>
    <row r="495" spans="1:31">
      <c r="A495">
        <v>32</v>
      </c>
      <c r="B495">
        <f t="shared" si="134"/>
        <v>0.4364917586257655</v>
      </c>
      <c r="C495">
        <v>0.42934754735538261</v>
      </c>
      <c r="D495">
        <f t="shared" si="135"/>
        <v>2.3291154361067608</v>
      </c>
      <c r="E495" s="1">
        <f t="shared" si="136"/>
        <v>0.15851457017906037</v>
      </c>
      <c r="F495" s="1">
        <f t="shared" si="137"/>
        <v>0.18387690140771001</v>
      </c>
      <c r="G495" s="1">
        <f t="shared" si="138"/>
        <v>5.7065245264461738E-2</v>
      </c>
      <c r="H495" s="1">
        <f t="shared" si="139"/>
        <v>5.5296610669383663E-2</v>
      </c>
      <c r="I495" s="1">
        <f t="shared" si="140"/>
        <v>0.20322275274725338</v>
      </c>
      <c r="J495" s="1">
        <f t="shared" si="141"/>
        <v>0.22016889952310006</v>
      </c>
      <c r="K495" s="1">
        <f t="shared" si="142"/>
        <v>0.13538404876621632</v>
      </c>
      <c r="L495" s="1">
        <f t="shared" si="143"/>
        <v>0.13424407684134665</v>
      </c>
      <c r="M495" s="1">
        <f t="shared" si="144"/>
        <v>0.29263911788363905</v>
      </c>
      <c r="N495" s="1">
        <f t="shared" si="145"/>
        <v>0.29275289575387986</v>
      </c>
      <c r="O495" s="1">
        <f t="shared" si="146"/>
        <v>0.29202165576972527</v>
      </c>
      <c r="P495" s="1">
        <f t="shared" si="147"/>
        <v>0.29213900918527247</v>
      </c>
      <c r="Q495" s="1">
        <f t="shared" si="148"/>
        <v>4.4384079650136909</v>
      </c>
      <c r="T495">
        <v>0.47307882704253634</v>
      </c>
      <c r="U495">
        <f t="shared" si="155"/>
        <v>2.1138126308706817</v>
      </c>
      <c r="V495" s="15">
        <f t="shared" si="149"/>
        <v>5.9639624918224998E-2</v>
      </c>
      <c r="W495" s="15">
        <f t="shared" si="150"/>
        <v>6.4673121505960857E-2</v>
      </c>
      <c r="X495" s="15">
        <f t="shared" si="151"/>
        <v>7.4740114681432365E-2</v>
      </c>
      <c r="Y495" s="15">
        <f t="shared" si="152"/>
        <v>8.344082837808621E-2</v>
      </c>
      <c r="Z495" s="15">
        <f t="shared" si="153"/>
        <v>8.7888149787543959E-2</v>
      </c>
      <c r="AA495" s="15">
        <f t="shared" si="154"/>
        <v>9.6782792606459403E-2</v>
      </c>
      <c r="AC495" s="1"/>
      <c r="AD495" s="1"/>
      <c r="AE495" s="1"/>
    </row>
    <row r="496" spans="1:31">
      <c r="A496">
        <v>551</v>
      </c>
      <c r="B496">
        <f t="shared" si="134"/>
        <v>0.43721405522569756</v>
      </c>
      <c r="C496">
        <v>0.42982238327713962</v>
      </c>
      <c r="D496">
        <f t="shared" si="135"/>
        <v>2.3265424019465804</v>
      </c>
      <c r="E496" s="1">
        <f t="shared" si="136"/>
        <v>0.15838267131190564</v>
      </c>
      <c r="F496" s="1">
        <f t="shared" si="137"/>
        <v>0.18372389872181055</v>
      </c>
      <c r="G496" s="1">
        <f t="shared" si="138"/>
        <v>5.7017761672286039E-2</v>
      </c>
      <c r="H496" s="1">
        <f t="shared" si="139"/>
        <v>5.5250598745706564E-2</v>
      </c>
      <c r="I496" s="1">
        <f t="shared" si="140"/>
        <v>0.20305365251352001</v>
      </c>
      <c r="J496" s="1">
        <f t="shared" si="141"/>
        <v>0.21998569851894634</v>
      </c>
      <c r="K496" s="1">
        <f t="shared" si="142"/>
        <v>0.13527139664444032</v>
      </c>
      <c r="L496" s="1">
        <f t="shared" si="143"/>
        <v>0.13413237328225042</v>
      </c>
      <c r="M496" s="1">
        <f t="shared" si="144"/>
        <v>0.29239561491674831</v>
      </c>
      <c r="N496" s="1">
        <f t="shared" si="145"/>
        <v>0.29250929811321769</v>
      </c>
      <c r="O496" s="1">
        <f t="shared" si="146"/>
        <v>0.29177866658874863</v>
      </c>
      <c r="P496" s="1">
        <f t="shared" si="147"/>
        <v>0.29189592235533812</v>
      </c>
      <c r="Q496" s="1">
        <f t="shared" si="148"/>
        <v>4.4347147967333589</v>
      </c>
      <c r="T496">
        <v>2.2362120719039313E-2</v>
      </c>
      <c r="U496">
        <f t="shared" si="155"/>
        <v>44.718477847612675</v>
      </c>
      <c r="V496" s="15">
        <f t="shared" si="149"/>
        <v>0.10304197639427203</v>
      </c>
      <c r="W496" s="15">
        <f t="shared" si="150"/>
        <v>0.1057753682453844</v>
      </c>
      <c r="X496" s="15">
        <f t="shared" si="151"/>
        <v>0.11124215194760896</v>
      </c>
      <c r="Y496" s="15">
        <f t="shared" si="152"/>
        <v>0.14763297309330198</v>
      </c>
      <c r="Z496" s="15">
        <f t="shared" si="153"/>
        <v>0.14970192057754048</v>
      </c>
      <c r="AA496" s="15">
        <f t="shared" si="154"/>
        <v>0.15383981554601778</v>
      </c>
      <c r="AC496" s="1"/>
      <c r="AD496" s="1"/>
      <c r="AE496" s="1"/>
    </row>
    <row r="497" spans="1:31">
      <c r="A497">
        <v>505</v>
      </c>
      <c r="B497">
        <f t="shared" si="134"/>
        <v>0.43757273127100199</v>
      </c>
      <c r="C497">
        <v>0.43002714000459308</v>
      </c>
      <c r="D497">
        <f t="shared" si="135"/>
        <v>2.3254346225434031</v>
      </c>
      <c r="E497" s="1">
        <f t="shared" si="136"/>
        <v>0.15832579444316858</v>
      </c>
      <c r="F497" s="1">
        <f t="shared" si="137"/>
        <v>0.18365792155407556</v>
      </c>
      <c r="G497" s="1">
        <f t="shared" si="138"/>
        <v>5.6997285999540695E-2</v>
      </c>
      <c r="H497" s="1">
        <f t="shared" si="139"/>
        <v>5.5230757679594504E-2</v>
      </c>
      <c r="I497" s="1">
        <f t="shared" si="140"/>
        <v>0.20298073382964549</v>
      </c>
      <c r="J497" s="1">
        <f t="shared" si="141"/>
        <v>0.21990669936079946</v>
      </c>
      <c r="K497" s="1">
        <f t="shared" si="142"/>
        <v>0.13522281927541946</v>
      </c>
      <c r="L497" s="1">
        <f t="shared" si="143"/>
        <v>0.13408420494839562</v>
      </c>
      <c r="M497" s="1">
        <f t="shared" si="144"/>
        <v>0.29229061260259892</v>
      </c>
      <c r="N497" s="1">
        <f t="shared" si="145"/>
        <v>0.29240425497424705</v>
      </c>
      <c r="O497" s="1">
        <f t="shared" si="146"/>
        <v>0.29167388582717679</v>
      </c>
      <c r="P497" s="1">
        <f t="shared" si="147"/>
        <v>0.2917910994859978</v>
      </c>
      <c r="Q497" s="1">
        <f t="shared" si="148"/>
        <v>4.4331222444087208</v>
      </c>
      <c r="T497">
        <v>0.7249512216466153</v>
      </c>
      <c r="U497">
        <f t="shared" si="155"/>
        <v>1.3794031517439942</v>
      </c>
      <c r="V497" s="15">
        <f t="shared" si="149"/>
        <v>0</v>
      </c>
      <c r="W497" s="15">
        <f t="shared" si="150"/>
        <v>0</v>
      </c>
      <c r="X497" s="15">
        <f t="shared" si="151"/>
        <v>0</v>
      </c>
      <c r="Y497" s="15">
        <f t="shared" si="152"/>
        <v>0</v>
      </c>
      <c r="Z497" s="15">
        <f t="shared" si="153"/>
        <v>0</v>
      </c>
      <c r="AA497" s="15">
        <f t="shared" si="154"/>
        <v>0</v>
      </c>
      <c r="AC497" s="1"/>
      <c r="AD497" s="1"/>
      <c r="AE497" s="1"/>
    </row>
    <row r="498" spans="1:31">
      <c r="A498">
        <v>288</v>
      </c>
      <c r="B498">
        <f t="shared" si="134"/>
        <v>0.43825524842941815</v>
      </c>
      <c r="C498">
        <v>0.43041676730649314</v>
      </c>
      <c r="D498">
        <f t="shared" si="135"/>
        <v>2.3233295632461162</v>
      </c>
      <c r="E498" s="1">
        <f t="shared" si="136"/>
        <v>0.15821756463708522</v>
      </c>
      <c r="F498" s="1">
        <f t="shared" si="137"/>
        <v>0.18353237497901886</v>
      </c>
      <c r="G498" s="1">
        <f t="shared" si="138"/>
        <v>5.6958323269350686E-2</v>
      </c>
      <c r="H498" s="1">
        <f t="shared" si="139"/>
        <v>5.5193002529118095E-2</v>
      </c>
      <c r="I498" s="1">
        <f t="shared" si="140"/>
        <v>0.20284197838844714</v>
      </c>
      <c r="J498" s="1">
        <f t="shared" si="141"/>
        <v>0.21975637351205224</v>
      </c>
      <c r="K498" s="1">
        <f t="shared" si="142"/>
        <v>0.13513038241407482</v>
      </c>
      <c r="L498" s="1">
        <f t="shared" si="143"/>
        <v>0.13399254643152891</v>
      </c>
      <c r="M498" s="1">
        <f t="shared" si="144"/>
        <v>0.29209080589117059</v>
      </c>
      <c r="N498" s="1">
        <f t="shared" si="145"/>
        <v>0.29220437057811866</v>
      </c>
      <c r="O498" s="1">
        <f t="shared" si="146"/>
        <v>0.29147450070352288</v>
      </c>
      <c r="P498" s="1">
        <f t="shared" si="147"/>
        <v>0.29159163423635048</v>
      </c>
      <c r="Q498" s="1">
        <f t="shared" si="148"/>
        <v>4.4300918098383875</v>
      </c>
      <c r="T498">
        <v>2.9078164788489236E-2</v>
      </c>
      <c r="U498">
        <f t="shared" si="155"/>
        <v>34.390065785577221</v>
      </c>
      <c r="V498" s="15">
        <f t="shared" si="149"/>
        <v>0.10304197639427203</v>
      </c>
      <c r="W498" s="15">
        <f t="shared" si="150"/>
        <v>0.1057753682453844</v>
      </c>
      <c r="X498" s="15">
        <f t="shared" si="151"/>
        <v>0.11124215194760896</v>
      </c>
      <c r="Y498" s="15">
        <f t="shared" si="152"/>
        <v>0.14763297309330198</v>
      </c>
      <c r="Z498" s="15">
        <f t="shared" si="153"/>
        <v>0.14970192057754048</v>
      </c>
      <c r="AA498" s="15">
        <f t="shared" si="154"/>
        <v>0.15383981554601778</v>
      </c>
      <c r="AC498" s="1"/>
      <c r="AD498" s="1"/>
      <c r="AE498" s="1"/>
    </row>
    <row r="499" spans="1:31">
      <c r="A499">
        <v>483</v>
      </c>
      <c r="B499">
        <f t="shared" si="134"/>
        <v>0.43830893817647748</v>
      </c>
      <c r="C499">
        <v>0.4311467739808551</v>
      </c>
      <c r="D499">
        <f t="shared" si="135"/>
        <v>2.3193957611391163</v>
      </c>
      <c r="E499" s="1">
        <f t="shared" si="136"/>
        <v>0.15801478500531801</v>
      </c>
      <c r="F499" s="1">
        <f t="shared" si="137"/>
        <v>0.18329715060616891</v>
      </c>
      <c r="G499" s="1">
        <f t="shared" si="138"/>
        <v>5.6885322601914493E-2</v>
      </c>
      <c r="H499" s="1">
        <f t="shared" si="139"/>
        <v>5.512226438601335E-2</v>
      </c>
      <c r="I499" s="1">
        <f t="shared" si="140"/>
        <v>0.20258200585139735</v>
      </c>
      <c r="J499" s="1">
        <f t="shared" si="141"/>
        <v>0.21947472263086537</v>
      </c>
      <c r="K499" s="1">
        <f t="shared" si="142"/>
        <v>0.1349571924825439</v>
      </c>
      <c r="L499" s="1">
        <f t="shared" si="143"/>
        <v>0.13382081480813263</v>
      </c>
      <c r="M499" s="1">
        <f t="shared" si="144"/>
        <v>0.29171644754355563</v>
      </c>
      <c r="N499" s="1">
        <f t="shared" si="145"/>
        <v>0.29182986668025812</v>
      </c>
      <c r="O499" s="1">
        <f t="shared" si="146"/>
        <v>0.29110093224380251</v>
      </c>
      <c r="P499" s="1">
        <f t="shared" si="147"/>
        <v>0.2912179156523711</v>
      </c>
      <c r="Q499" s="1">
        <f t="shared" si="148"/>
        <v>4.4244139801489055</v>
      </c>
      <c r="T499">
        <v>0.25089610419195407</v>
      </c>
      <c r="U499">
        <f t="shared" si="155"/>
        <v>3.9857135415499561</v>
      </c>
      <c r="V499" s="15">
        <f t="shared" si="149"/>
        <v>7.4174498953592932E-2</v>
      </c>
      <c r="W499" s="15">
        <f t="shared" si="150"/>
        <v>7.8628794245880984E-2</v>
      </c>
      <c r="X499" s="15">
        <f t="shared" si="151"/>
        <v>8.7537384830457157E-2</v>
      </c>
      <c r="Y499" s="15">
        <f t="shared" si="152"/>
        <v>0.10495305464367283</v>
      </c>
      <c r="Z499" s="15">
        <f t="shared" si="153"/>
        <v>0.10882165446543661</v>
      </c>
      <c r="AA499" s="15">
        <f t="shared" si="154"/>
        <v>0.11655885410896429</v>
      </c>
      <c r="AC499" s="1"/>
      <c r="AD499" s="1"/>
      <c r="AE499" s="1"/>
    </row>
    <row r="500" spans="1:31">
      <c r="A500">
        <v>671</v>
      </c>
      <c r="B500">
        <f t="shared" si="134"/>
        <v>0.43831706779763546</v>
      </c>
      <c r="C500">
        <v>0.43134248709667755</v>
      </c>
      <c r="D500">
        <f t="shared" si="135"/>
        <v>2.3183433812210303</v>
      </c>
      <c r="E500" s="1">
        <f t="shared" si="136"/>
        <v>0.15796042025092288</v>
      </c>
      <c r="F500" s="1">
        <f t="shared" si="137"/>
        <v>0.18323408749107056</v>
      </c>
      <c r="G500" s="1">
        <f t="shared" si="138"/>
        <v>5.6865751290332243E-2</v>
      </c>
      <c r="H500" s="1">
        <f t="shared" si="139"/>
        <v>5.5103299652017428E-2</v>
      </c>
      <c r="I500" s="1">
        <f t="shared" si="140"/>
        <v>0.20251230781021334</v>
      </c>
      <c r="J500" s="1">
        <f t="shared" si="141"/>
        <v>0.21939921267531684</v>
      </c>
      <c r="K500" s="1">
        <f t="shared" si="142"/>
        <v>0.13491076065894636</v>
      </c>
      <c r="L500" s="1">
        <f t="shared" si="143"/>
        <v>0.13377477395360274</v>
      </c>
      <c r="M500" s="1">
        <f t="shared" si="144"/>
        <v>0.29161608292879387</v>
      </c>
      <c r="N500" s="1">
        <f t="shared" si="145"/>
        <v>0.29172946304380909</v>
      </c>
      <c r="O500" s="1">
        <f t="shared" si="146"/>
        <v>0.29100077939617441</v>
      </c>
      <c r="P500" s="1">
        <f t="shared" si="147"/>
        <v>0.29111772255677326</v>
      </c>
      <c r="Q500" s="1">
        <f t="shared" si="148"/>
        <v>4.4228917670258419</v>
      </c>
      <c r="T500">
        <v>0.53809537695370357</v>
      </c>
      <c r="U500">
        <f t="shared" si="155"/>
        <v>1.8584066000738706</v>
      </c>
      <c r="V500" s="15">
        <f t="shared" si="149"/>
        <v>0</v>
      </c>
      <c r="W500" s="15">
        <f t="shared" si="150"/>
        <v>0</v>
      </c>
      <c r="X500" s="15">
        <f t="shared" si="151"/>
        <v>0</v>
      </c>
      <c r="Y500" s="15">
        <f t="shared" si="152"/>
        <v>0</v>
      </c>
      <c r="Z500" s="15">
        <f t="shared" si="153"/>
        <v>0</v>
      </c>
      <c r="AA500" s="15">
        <f t="shared" si="154"/>
        <v>0</v>
      </c>
      <c r="AC500" s="1"/>
      <c r="AD500" s="1"/>
      <c r="AE500" s="1"/>
    </row>
    <row r="501" spans="1:31">
      <c r="A501">
        <v>438</v>
      </c>
      <c r="B501">
        <f t="shared" si="134"/>
        <v>0.43841646777201404</v>
      </c>
      <c r="C501">
        <v>0.43236236934589722</v>
      </c>
      <c r="D501">
        <f t="shared" si="135"/>
        <v>2.3128747340173423</v>
      </c>
      <c r="E501" s="1">
        <f t="shared" si="136"/>
        <v>0.15767711962613964</v>
      </c>
      <c r="F501" s="1">
        <f t="shared" si="137"/>
        <v>0.18290545876632197</v>
      </c>
      <c r="G501" s="1">
        <f t="shared" si="138"/>
        <v>5.6763763065410276E-2</v>
      </c>
      <c r="H501" s="1">
        <f t="shared" si="139"/>
        <v>5.5004472368611647E-2</v>
      </c>
      <c r="I501" s="1">
        <f t="shared" si="140"/>
        <v>0.20214910376683468</v>
      </c>
      <c r="J501" s="1">
        <f t="shared" si="141"/>
        <v>0.21900572211654817</v>
      </c>
      <c r="K501" s="1">
        <f t="shared" si="142"/>
        <v>0.13466879939596699</v>
      </c>
      <c r="L501" s="1">
        <f t="shared" si="143"/>
        <v>0.13353485007279076</v>
      </c>
      <c r="M501" s="1">
        <f t="shared" si="144"/>
        <v>0.29109307204822432</v>
      </c>
      <c r="N501" s="1">
        <f t="shared" si="145"/>
        <v>0.29120624881700025</v>
      </c>
      <c r="O501" s="1">
        <f t="shared" si="146"/>
        <v>0.29047887205708023</v>
      </c>
      <c r="P501" s="1">
        <f t="shared" si="147"/>
        <v>0.29059560548114893</v>
      </c>
      <c r="Q501" s="1">
        <f t="shared" si="148"/>
        <v>4.4149593495319106</v>
      </c>
      <c r="T501">
        <v>0.10208374466281045</v>
      </c>
      <c r="U501">
        <f t="shared" si="155"/>
        <v>9.7958788963225043</v>
      </c>
      <c r="V501" s="15">
        <f t="shared" si="149"/>
        <v>9.0818922617751138E-2</v>
      </c>
      <c r="W501" s="15">
        <f t="shared" si="150"/>
        <v>9.4364481110650128E-2</v>
      </c>
      <c r="X501" s="15">
        <f t="shared" si="151"/>
        <v>0.10145559809644787</v>
      </c>
      <c r="Y501" s="15">
        <f t="shared" si="152"/>
        <v>0.12957492182463382</v>
      </c>
      <c r="Z501" s="15">
        <f t="shared" si="153"/>
        <v>0.13250012381365936</v>
      </c>
      <c r="AA501" s="15">
        <f t="shared" si="154"/>
        <v>0.13835052779171025</v>
      </c>
      <c r="AC501" s="1"/>
      <c r="AD501" s="1"/>
      <c r="AE501" s="1"/>
    </row>
    <row r="502" spans="1:31">
      <c r="A502">
        <v>446</v>
      </c>
      <c r="B502">
        <f t="shared" si="134"/>
        <v>0.44041012366395721</v>
      </c>
      <c r="C502">
        <v>0.43309984776857202</v>
      </c>
      <c r="D502">
        <f t="shared" si="135"/>
        <v>2.3089363922712631</v>
      </c>
      <c r="E502" s="1">
        <f t="shared" si="136"/>
        <v>0.15747226450872998</v>
      </c>
      <c r="F502" s="1">
        <f t="shared" si="137"/>
        <v>0.18266782683012678</v>
      </c>
      <c r="G502" s="1">
        <f t="shared" si="138"/>
        <v>5.6690015223142799E-2</v>
      </c>
      <c r="H502" s="1">
        <f t="shared" si="139"/>
        <v>5.4933010208015068E-2</v>
      </c>
      <c r="I502" s="1">
        <f t="shared" si="140"/>
        <v>0.20188647036457186</v>
      </c>
      <c r="J502" s="1">
        <f t="shared" si="141"/>
        <v>0.21872118848843555</v>
      </c>
      <c r="K502" s="1">
        <f t="shared" si="142"/>
        <v>0.13449383683464491</v>
      </c>
      <c r="L502" s="1">
        <f t="shared" si="143"/>
        <v>0.13336136074564675</v>
      </c>
      <c r="M502" s="1">
        <f t="shared" si="144"/>
        <v>0.29071488207625523</v>
      </c>
      <c r="N502" s="1">
        <f t="shared" si="145"/>
        <v>0.2908279118050528</v>
      </c>
      <c r="O502" s="1">
        <f t="shared" si="146"/>
        <v>0.29010148005764891</v>
      </c>
      <c r="P502" s="1">
        <f t="shared" si="147"/>
        <v>0.29021806182091003</v>
      </c>
      <c r="Q502" s="1">
        <f t="shared" si="148"/>
        <v>4.4092234062444398</v>
      </c>
      <c r="T502">
        <v>0.14604281620193948</v>
      </c>
      <c r="U502">
        <f t="shared" si="155"/>
        <v>6.8473070158908627</v>
      </c>
      <c r="V502" s="15">
        <f t="shared" si="149"/>
        <v>8.484126869109189E-2</v>
      </c>
      <c r="W502" s="15">
        <f t="shared" si="150"/>
        <v>8.8735234696484297E-2</v>
      </c>
      <c r="X502" s="15">
        <f t="shared" si="151"/>
        <v>9.6523166707269042E-2</v>
      </c>
      <c r="Y502" s="15">
        <f t="shared" si="152"/>
        <v>0.12073339042614294</v>
      </c>
      <c r="Z502" s="15">
        <f t="shared" si="153"/>
        <v>0.12402261017972753</v>
      </c>
      <c r="AA502" s="15">
        <f t="shared" si="154"/>
        <v>0.1306010496868967</v>
      </c>
      <c r="AC502" s="1"/>
      <c r="AD502" s="1"/>
      <c r="AE502" s="1"/>
    </row>
    <row r="503" spans="1:31">
      <c r="A503">
        <v>327</v>
      </c>
      <c r="B503">
        <f t="shared" si="134"/>
        <v>0.44277075833301927</v>
      </c>
      <c r="C503">
        <v>0.4361106474293992</v>
      </c>
      <c r="D503">
        <f t="shared" si="135"/>
        <v>2.2929960685307216</v>
      </c>
      <c r="E503" s="1">
        <f t="shared" si="136"/>
        <v>0.15663593126961134</v>
      </c>
      <c r="F503" s="1">
        <f t="shared" si="137"/>
        <v>0.18169768027274913</v>
      </c>
      <c r="G503" s="1">
        <f t="shared" si="138"/>
        <v>5.6388935257060083E-2</v>
      </c>
      <c r="H503" s="1">
        <f t="shared" si="139"/>
        <v>5.4641261673724698E-2</v>
      </c>
      <c r="I503" s="1">
        <f t="shared" si="140"/>
        <v>0.20081425383030799</v>
      </c>
      <c r="J503" s="1">
        <f t="shared" si="141"/>
        <v>0.21755956297550419</v>
      </c>
      <c r="K503" s="1">
        <f t="shared" si="142"/>
        <v>0.13377954173923667</v>
      </c>
      <c r="L503" s="1">
        <f t="shared" si="143"/>
        <v>0.13265308021666827</v>
      </c>
      <c r="M503" s="1">
        <f t="shared" si="144"/>
        <v>0.28917089895170089</v>
      </c>
      <c r="N503" s="1">
        <f t="shared" si="145"/>
        <v>0.289283328381014</v>
      </c>
      <c r="O503" s="1">
        <f t="shared" si="146"/>
        <v>0.28856075470358966</v>
      </c>
      <c r="P503" s="1">
        <f t="shared" si="147"/>
        <v>0.2886767173025554</v>
      </c>
      <c r="Q503" s="1">
        <f t="shared" si="148"/>
        <v>4.3858060755491177</v>
      </c>
      <c r="T503">
        <v>0.60674045325053039</v>
      </c>
      <c r="U503">
        <f t="shared" si="155"/>
        <v>1.6481511899241834</v>
      </c>
      <c r="V503" s="15">
        <f t="shared" si="149"/>
        <v>0</v>
      </c>
      <c r="W503" s="15">
        <f t="shared" si="150"/>
        <v>0</v>
      </c>
      <c r="X503" s="15">
        <f t="shared" si="151"/>
        <v>0</v>
      </c>
      <c r="Y503" s="15">
        <f t="shared" si="152"/>
        <v>0</v>
      </c>
      <c r="Z503" s="15">
        <f t="shared" si="153"/>
        <v>0</v>
      </c>
      <c r="AA503" s="15">
        <f t="shared" si="154"/>
        <v>0</v>
      </c>
      <c r="AC503" s="1"/>
      <c r="AD503" s="1"/>
      <c r="AE503" s="1"/>
    </row>
    <row r="504" spans="1:31">
      <c r="A504">
        <v>587</v>
      </c>
      <c r="B504">
        <f t="shared" si="134"/>
        <v>0.44332994076826621</v>
      </c>
      <c r="C504">
        <v>0.43652571089710468</v>
      </c>
      <c r="D504">
        <f t="shared" si="135"/>
        <v>2.2908158100124236</v>
      </c>
      <c r="E504" s="1">
        <f t="shared" si="136"/>
        <v>0.15652063586191534</v>
      </c>
      <c r="F504" s="1">
        <f t="shared" si="137"/>
        <v>0.18156393759982181</v>
      </c>
      <c r="G504" s="1">
        <f t="shared" si="138"/>
        <v>5.6347428910289536E-2</v>
      </c>
      <c r="H504" s="1">
        <f t="shared" si="139"/>
        <v>5.4601041741486736E-2</v>
      </c>
      <c r="I504" s="1">
        <f t="shared" si="140"/>
        <v>0.20066643997253691</v>
      </c>
      <c r="J504" s="1">
        <f t="shared" si="141"/>
        <v>0.21739942335550702</v>
      </c>
      <c r="K504" s="1">
        <f t="shared" si="142"/>
        <v>0.13368107029222459</v>
      </c>
      <c r="L504" s="1">
        <f t="shared" si="143"/>
        <v>0.13255543792704971</v>
      </c>
      <c r="M504" s="1">
        <f t="shared" si="144"/>
        <v>0.28895804819377957</v>
      </c>
      <c r="N504" s="1">
        <f t="shared" si="145"/>
        <v>0.28907039486687713</v>
      </c>
      <c r="O504" s="1">
        <f t="shared" si="146"/>
        <v>0.28834835305609452</v>
      </c>
      <c r="P504" s="1">
        <f t="shared" si="147"/>
        <v>0.28846423029817558</v>
      </c>
      <c r="Q504" s="1">
        <f t="shared" si="148"/>
        <v>4.3825778041336303</v>
      </c>
      <c r="T504">
        <v>0.75689584467339943</v>
      </c>
      <c r="U504">
        <f t="shared" si="155"/>
        <v>1.3211857444289445</v>
      </c>
      <c r="V504" s="15">
        <f t="shared" si="149"/>
        <v>0</v>
      </c>
      <c r="W504" s="15">
        <f t="shared" si="150"/>
        <v>0</v>
      </c>
      <c r="X504" s="15">
        <f t="shared" si="151"/>
        <v>0</v>
      </c>
      <c r="Y504" s="15">
        <f t="shared" si="152"/>
        <v>0</v>
      </c>
      <c r="Z504" s="15">
        <f t="shared" si="153"/>
        <v>0</v>
      </c>
      <c r="AA504" s="15">
        <f t="shared" si="154"/>
        <v>0</v>
      </c>
      <c r="AC504" s="1"/>
      <c r="AD504" s="1"/>
      <c r="AE504" s="1"/>
    </row>
    <row r="505" spans="1:31">
      <c r="A505">
        <v>732</v>
      </c>
      <c r="B505">
        <f t="shared" si="134"/>
        <v>0.44495866595624828</v>
      </c>
      <c r="C505">
        <v>0.43827918236956886</v>
      </c>
      <c r="D505">
        <f t="shared" si="135"/>
        <v>2.281650692587021</v>
      </c>
      <c r="E505" s="1">
        <f t="shared" si="136"/>
        <v>0.15603356045289751</v>
      </c>
      <c r="F505" s="1">
        <f t="shared" si="137"/>
        <v>0.18099893012536111</v>
      </c>
      <c r="G505" s="1">
        <f t="shared" si="138"/>
        <v>5.6172081763043114E-2</v>
      </c>
      <c r="H505" s="1">
        <f t="shared" si="139"/>
        <v>5.4431129163553582E-2</v>
      </c>
      <c r="I505" s="1">
        <f t="shared" si="140"/>
        <v>0.20004198756223618</v>
      </c>
      <c r="J505" s="1">
        <f t="shared" si="141"/>
        <v>0.21672289969798406</v>
      </c>
      <c r="K505" s="1">
        <f t="shared" si="142"/>
        <v>0.13326506915836789</v>
      </c>
      <c r="L505" s="1">
        <f t="shared" si="143"/>
        <v>0.13214293964022433</v>
      </c>
      <c r="M505" s="1">
        <f t="shared" si="144"/>
        <v>0.28805884178091312</v>
      </c>
      <c r="N505" s="1">
        <f t="shared" si="145"/>
        <v>0.28817083884322964</v>
      </c>
      <c r="O505" s="1">
        <f t="shared" si="146"/>
        <v>0.28745104394901722</v>
      </c>
      <c r="P505" s="1">
        <f t="shared" si="147"/>
        <v>0.28756656059356578</v>
      </c>
      <c r="Q505" s="1">
        <f t="shared" si="148"/>
        <v>4.3689396926811312</v>
      </c>
      <c r="T505">
        <v>0.5198084367680208</v>
      </c>
      <c r="U505">
        <f t="shared" si="155"/>
        <v>1.92378562806259</v>
      </c>
      <c r="V505" s="15">
        <f t="shared" si="149"/>
        <v>0</v>
      </c>
      <c r="W505" s="15">
        <f t="shared" si="150"/>
        <v>0</v>
      </c>
      <c r="X505" s="15">
        <f t="shared" si="151"/>
        <v>0</v>
      </c>
      <c r="Y505" s="15">
        <f t="shared" si="152"/>
        <v>0</v>
      </c>
      <c r="Z505" s="15">
        <f t="shared" si="153"/>
        <v>0</v>
      </c>
      <c r="AA505" s="15">
        <f t="shared" si="154"/>
        <v>0</v>
      </c>
      <c r="AC505" s="1"/>
      <c r="AD505" s="1"/>
      <c r="AE505" s="1"/>
    </row>
    <row r="506" spans="1:31">
      <c r="A506">
        <v>131</v>
      </c>
      <c r="B506">
        <f t="shared" si="134"/>
        <v>0.44496717776801814</v>
      </c>
      <c r="C506">
        <v>0.43832076240820184</v>
      </c>
      <c r="D506">
        <f t="shared" si="135"/>
        <v>2.2814342503554834</v>
      </c>
      <c r="E506" s="1">
        <f t="shared" si="136"/>
        <v>0.15602201044216613</v>
      </c>
      <c r="F506" s="1">
        <f t="shared" si="137"/>
        <v>0.18098553211291274</v>
      </c>
      <c r="G506" s="1">
        <f t="shared" si="138"/>
        <v>5.6167923759179818E-2</v>
      </c>
      <c r="H506" s="1">
        <f t="shared" si="139"/>
        <v>5.4427100029538211E-2</v>
      </c>
      <c r="I506" s="1">
        <f t="shared" si="140"/>
        <v>0.20002717993305458</v>
      </c>
      <c r="J506" s="1">
        <f t="shared" si="141"/>
        <v>0.21670685730421965</v>
      </c>
      <c r="K506" s="1">
        <f t="shared" si="142"/>
        <v>0.13325520453069145</v>
      </c>
      <c r="L506" s="1">
        <f t="shared" si="143"/>
        <v>0.13213315807549883</v>
      </c>
      <c r="M506" s="1">
        <f t="shared" si="144"/>
        <v>0.28803751891483109</v>
      </c>
      <c r="N506" s="1">
        <f t="shared" si="145"/>
        <v>0.28814950768683323</v>
      </c>
      <c r="O506" s="1">
        <f t="shared" si="146"/>
        <v>0.28742976607371451</v>
      </c>
      <c r="P506" s="1">
        <f t="shared" si="147"/>
        <v>0.28754527416742004</v>
      </c>
      <c r="Q506" s="1">
        <f t="shared" si="148"/>
        <v>4.3686162923806524</v>
      </c>
      <c r="T506">
        <v>0.48984960711503667</v>
      </c>
      <c r="U506">
        <f t="shared" si="155"/>
        <v>2.041442894870301</v>
      </c>
      <c r="V506" s="15">
        <f t="shared" si="149"/>
        <v>5.8542504616964759E-2</v>
      </c>
      <c r="W506" s="15">
        <f t="shared" si="150"/>
        <v>6.3619720434616583E-2</v>
      </c>
      <c r="X506" s="15">
        <f t="shared" si="151"/>
        <v>7.3774152069920038E-2</v>
      </c>
      <c r="Y506" s="15">
        <f t="shared" si="152"/>
        <v>8.1817044084954466E-2</v>
      </c>
      <c r="Z506" s="15">
        <f t="shared" si="153"/>
        <v>8.6308048515062533E-2</v>
      </c>
      <c r="AA506" s="15">
        <f t="shared" si="154"/>
        <v>9.529005737527857E-2</v>
      </c>
      <c r="AC506" s="1"/>
      <c r="AD506" s="1"/>
      <c r="AE506" s="1"/>
    </row>
    <row r="507" spans="1:31">
      <c r="A507">
        <v>410</v>
      </c>
      <c r="B507">
        <f t="shared" si="134"/>
        <v>0.44498824401611725</v>
      </c>
      <c r="C507">
        <v>0.438423670629565</v>
      </c>
      <c r="D507">
        <f t="shared" si="135"/>
        <v>2.2808987447325233</v>
      </c>
      <c r="E507" s="1">
        <f t="shared" si="136"/>
        <v>0.15599342482512082</v>
      </c>
      <c r="F507" s="1">
        <f t="shared" si="137"/>
        <v>0.18095237279714016</v>
      </c>
      <c r="G507" s="1">
        <f t="shared" si="138"/>
        <v>5.6157632937043504E-2</v>
      </c>
      <c r="H507" s="1">
        <f t="shared" si="139"/>
        <v>5.4417128152916938E-2</v>
      </c>
      <c r="I507" s="1">
        <f t="shared" si="140"/>
        <v>0.1999905318963576</v>
      </c>
      <c r="J507" s="1">
        <f t="shared" si="141"/>
        <v>0.21666715329568625</v>
      </c>
      <c r="K507" s="1">
        <f t="shared" si="142"/>
        <v>0.1332307901404704</v>
      </c>
      <c r="L507" s="1">
        <f t="shared" si="143"/>
        <v>0.13210894926133837</v>
      </c>
      <c r="M507" s="1">
        <f t="shared" si="144"/>
        <v>0.28798474603883073</v>
      </c>
      <c r="N507" s="1">
        <f t="shared" si="145"/>
        <v>0.28809671429277817</v>
      </c>
      <c r="O507" s="1">
        <f t="shared" si="146"/>
        <v>0.28737710454732396</v>
      </c>
      <c r="P507" s="1">
        <f t="shared" si="147"/>
        <v>0.28749259147818118</v>
      </c>
      <c r="Q507" s="1">
        <f t="shared" si="148"/>
        <v>4.3678158951033836</v>
      </c>
      <c r="T507">
        <v>0.34747213245739716</v>
      </c>
      <c r="U507">
        <f t="shared" si="155"/>
        <v>2.8779286353923879</v>
      </c>
      <c r="V507" s="15">
        <f t="shared" si="149"/>
        <v>6.7856634145453246E-2</v>
      </c>
      <c r="W507" s="15">
        <f t="shared" si="150"/>
        <v>7.2562690510622571E-2</v>
      </c>
      <c r="X507" s="15">
        <f t="shared" si="151"/>
        <v>8.1974803240961208E-2</v>
      </c>
      <c r="Y507" s="15">
        <f t="shared" si="152"/>
        <v>9.5602348408629245E-2</v>
      </c>
      <c r="Z507" s="15">
        <f t="shared" si="153"/>
        <v>9.9722500788998317E-2</v>
      </c>
      <c r="AA507" s="15">
        <f t="shared" si="154"/>
        <v>0.1079628055497365</v>
      </c>
      <c r="AC507" s="1"/>
      <c r="AD507" s="1"/>
      <c r="AE507" s="1"/>
    </row>
    <row r="508" spans="1:31">
      <c r="A508">
        <v>302</v>
      </c>
      <c r="B508">
        <f t="shared" si="134"/>
        <v>0.44758776239486414</v>
      </c>
      <c r="C508">
        <v>0.44140298705847636</v>
      </c>
      <c r="D508">
        <f t="shared" si="135"/>
        <v>2.2655034726068166</v>
      </c>
      <c r="E508" s="1">
        <f t="shared" si="136"/>
        <v>0.15516583692820102</v>
      </c>
      <c r="F508" s="1">
        <f t="shared" si="137"/>
        <v>0.17999237083671316</v>
      </c>
      <c r="G508" s="1">
        <f t="shared" si="138"/>
        <v>5.5859701294152367E-2</v>
      </c>
      <c r="H508" s="1">
        <f t="shared" si="139"/>
        <v>5.412843036520585E-2</v>
      </c>
      <c r="I508" s="1">
        <f t="shared" si="140"/>
        <v>0.19892952728105712</v>
      </c>
      <c r="J508" s="1">
        <f t="shared" si="141"/>
        <v>0.21551767463061686</v>
      </c>
      <c r="K508" s="1">
        <f t="shared" si="142"/>
        <v>0.13252396426277119</v>
      </c>
      <c r="L508" s="1">
        <f t="shared" si="143"/>
        <v>0.13140807505714647</v>
      </c>
      <c r="M508" s="1">
        <f t="shared" si="144"/>
        <v>0.28645690798676893</v>
      </c>
      <c r="N508" s="1">
        <f t="shared" si="145"/>
        <v>0.28656828221842401</v>
      </c>
      <c r="O508" s="1">
        <f t="shared" si="146"/>
        <v>0.28585249020000869</v>
      </c>
      <c r="P508" s="1">
        <f t="shared" si="147"/>
        <v>0.2859673644410276</v>
      </c>
      <c r="Q508" s="1">
        <f t="shared" si="148"/>
        <v>4.3446434339896278</v>
      </c>
      <c r="T508">
        <v>0.64314745261796602</v>
      </c>
      <c r="U508">
        <f t="shared" si="155"/>
        <v>1.5548533947066829</v>
      </c>
      <c r="V508" s="15">
        <f t="shared" si="149"/>
        <v>0</v>
      </c>
      <c r="W508" s="15">
        <f t="shared" si="150"/>
        <v>0</v>
      </c>
      <c r="X508" s="15">
        <f t="shared" si="151"/>
        <v>0</v>
      </c>
      <c r="Y508" s="15">
        <f t="shared" si="152"/>
        <v>0</v>
      </c>
      <c r="Z508" s="15">
        <f t="shared" si="153"/>
        <v>0</v>
      </c>
      <c r="AA508" s="15">
        <f t="shared" si="154"/>
        <v>0</v>
      </c>
      <c r="AC508" s="1"/>
      <c r="AD508" s="1"/>
      <c r="AE508" s="1"/>
    </row>
    <row r="509" spans="1:31">
      <c r="A509">
        <v>904</v>
      </c>
      <c r="B509">
        <f t="shared" si="134"/>
        <v>0.44771874888604085</v>
      </c>
      <c r="C509">
        <v>0.4417551593126936</v>
      </c>
      <c r="D509">
        <f t="shared" si="135"/>
        <v>2.263697387385025</v>
      </c>
      <c r="E509" s="1">
        <f t="shared" si="136"/>
        <v>0.15506801130202955</v>
      </c>
      <c r="F509" s="1">
        <f t="shared" si="137"/>
        <v>0.17987889311035427</v>
      </c>
      <c r="G509" s="1">
        <f t="shared" si="138"/>
        <v>5.582448406873064E-2</v>
      </c>
      <c r="H509" s="1">
        <f t="shared" si="139"/>
        <v>5.4094304634317004E-2</v>
      </c>
      <c r="I509" s="1">
        <f t="shared" si="140"/>
        <v>0.19880411046279661</v>
      </c>
      <c r="J509" s="1">
        <f t="shared" si="141"/>
        <v>0.21538179967328644</v>
      </c>
      <c r="K509" s="1">
        <f t="shared" si="142"/>
        <v>0.13244041339846124</v>
      </c>
      <c r="L509" s="1">
        <f t="shared" si="143"/>
        <v>0.13132522771470986</v>
      </c>
      <c r="M509" s="1">
        <f t="shared" si="144"/>
        <v>0.28627630878433036</v>
      </c>
      <c r="N509" s="1">
        <f t="shared" si="145"/>
        <v>0.28638761279915054</v>
      </c>
      <c r="O509" s="1">
        <f t="shared" si="146"/>
        <v>0.28567227205792223</v>
      </c>
      <c r="P509" s="1">
        <f t="shared" si="147"/>
        <v>0.28578707387549551</v>
      </c>
      <c r="Q509" s="1">
        <f t="shared" si="148"/>
        <v>4.3419043164568283</v>
      </c>
      <c r="T509">
        <v>0.65961469005198659</v>
      </c>
      <c r="U509">
        <f t="shared" si="155"/>
        <v>1.5160365817825956</v>
      </c>
      <c r="V509" s="15">
        <f t="shared" si="149"/>
        <v>0</v>
      </c>
      <c r="W509" s="15">
        <f t="shared" si="150"/>
        <v>0</v>
      </c>
      <c r="X509" s="15">
        <f t="shared" si="151"/>
        <v>0</v>
      </c>
      <c r="Y509" s="15">
        <f t="shared" si="152"/>
        <v>0</v>
      </c>
      <c r="Z509" s="15">
        <f t="shared" si="153"/>
        <v>0</v>
      </c>
      <c r="AA509" s="15">
        <f t="shared" si="154"/>
        <v>0</v>
      </c>
      <c r="AC509" s="1"/>
      <c r="AD509" s="1"/>
      <c r="AE509" s="1"/>
    </row>
    <row r="510" spans="1:31">
      <c r="A510">
        <v>116</v>
      </c>
      <c r="B510">
        <f t="shared" si="134"/>
        <v>0.44776359311162728</v>
      </c>
      <c r="C510">
        <v>0.4419073916717281</v>
      </c>
      <c r="D510">
        <f t="shared" si="135"/>
        <v>2.262917567902671</v>
      </c>
      <c r="E510" s="1">
        <f t="shared" si="136"/>
        <v>0.15502572453563107</v>
      </c>
      <c r="F510" s="1">
        <f t="shared" si="137"/>
        <v>0.17982984046133205</v>
      </c>
      <c r="G510" s="1">
        <f t="shared" si="138"/>
        <v>5.5809260832827189E-2</v>
      </c>
      <c r="H510" s="1">
        <f t="shared" si="139"/>
        <v>5.407955321521804E-2</v>
      </c>
      <c r="I510" s="1">
        <f t="shared" si="140"/>
        <v>0.19874989694120948</v>
      </c>
      <c r="J510" s="1">
        <f t="shared" si="141"/>
        <v>0.21532306544581559</v>
      </c>
      <c r="K510" s="1">
        <f t="shared" si="142"/>
        <v>0.13240429713711194</v>
      </c>
      <c r="L510" s="1">
        <f t="shared" si="143"/>
        <v>0.13128941556248086</v>
      </c>
      <c r="M510" s="1">
        <f t="shared" si="144"/>
        <v>0.28619824175236591</v>
      </c>
      <c r="N510" s="1">
        <f t="shared" si="145"/>
        <v>0.28630951541478245</v>
      </c>
      <c r="O510" s="1">
        <f t="shared" si="146"/>
        <v>0.28559436974568131</v>
      </c>
      <c r="P510" s="1">
        <f t="shared" si="147"/>
        <v>0.28570914025700644</v>
      </c>
      <c r="Q510" s="1">
        <f t="shared" si="148"/>
        <v>4.3407202869976711</v>
      </c>
      <c r="T510">
        <v>4.1760536345513133E-2</v>
      </c>
      <c r="U510">
        <f t="shared" si="155"/>
        <v>23.94605260158357</v>
      </c>
      <c r="V510" s="15">
        <f t="shared" si="149"/>
        <v>0.10304197639427203</v>
      </c>
      <c r="W510" s="15">
        <f t="shared" si="150"/>
        <v>0.1057753682453844</v>
      </c>
      <c r="X510" s="15">
        <f t="shared" si="151"/>
        <v>0.11124215194760896</v>
      </c>
      <c r="Y510" s="15">
        <f t="shared" si="152"/>
        <v>0.14763297309330198</v>
      </c>
      <c r="Z510" s="15">
        <f t="shared" si="153"/>
        <v>0.14970192057754048</v>
      </c>
      <c r="AA510" s="15">
        <f t="shared" si="154"/>
        <v>0.15383981554601778</v>
      </c>
      <c r="AC510" s="1"/>
      <c r="AD510" s="1"/>
      <c r="AE510" s="1"/>
    </row>
    <row r="511" spans="1:31">
      <c r="A511">
        <v>316</v>
      </c>
      <c r="B511">
        <f t="shared" si="134"/>
        <v>0.44865576585663969</v>
      </c>
      <c r="C511">
        <v>0.44318733174967306</v>
      </c>
      <c r="D511">
        <f t="shared" si="135"/>
        <v>2.2563821850504366</v>
      </c>
      <c r="E511" s="1">
        <f t="shared" si="136"/>
        <v>0.1546701856250908</v>
      </c>
      <c r="F511" s="1">
        <f t="shared" si="137"/>
        <v>0.17941741532510533</v>
      </c>
      <c r="G511" s="1">
        <f t="shared" si="138"/>
        <v>5.5681266825032695E-2</v>
      </c>
      <c r="H511" s="1">
        <f t="shared" si="139"/>
        <v>5.3955526151385651E-2</v>
      </c>
      <c r="I511" s="1">
        <f t="shared" si="140"/>
        <v>0.19829408019182718</v>
      </c>
      <c r="J511" s="1">
        <f t="shared" si="141"/>
        <v>0.21482923948027269</v>
      </c>
      <c r="K511" s="1">
        <f t="shared" si="142"/>
        <v>0.13210063863336369</v>
      </c>
      <c r="L511" s="1">
        <f t="shared" si="143"/>
        <v>0.13098831394909138</v>
      </c>
      <c r="M511" s="1">
        <f t="shared" si="144"/>
        <v>0.28554186932529957</v>
      </c>
      <c r="N511" s="1">
        <f t="shared" si="145"/>
        <v>0.28565288779060716</v>
      </c>
      <c r="O511" s="1">
        <f t="shared" si="146"/>
        <v>0.28493938225002552</v>
      </c>
      <c r="P511" s="1">
        <f t="shared" si="147"/>
        <v>0.28505388954450273</v>
      </c>
      <c r="Q511" s="1">
        <f t="shared" si="148"/>
        <v>4.3307651975025436</v>
      </c>
      <c r="T511">
        <v>0.80263154515767288</v>
      </c>
      <c r="U511">
        <f t="shared" si="155"/>
        <v>1.2459016917950254</v>
      </c>
      <c r="V511" s="15">
        <f t="shared" si="149"/>
        <v>0</v>
      </c>
      <c r="W511" s="15">
        <f t="shared" si="150"/>
        <v>0</v>
      </c>
      <c r="X511" s="15">
        <f t="shared" si="151"/>
        <v>0</v>
      </c>
      <c r="Y511" s="15">
        <f t="shared" si="152"/>
        <v>0</v>
      </c>
      <c r="Z511" s="15">
        <f t="shared" si="153"/>
        <v>0</v>
      </c>
      <c r="AA511" s="15">
        <f t="shared" si="154"/>
        <v>0</v>
      </c>
      <c r="AC511" s="1"/>
      <c r="AD511" s="1"/>
      <c r="AE511" s="1"/>
    </row>
    <row r="512" spans="1:31">
      <c r="A512">
        <v>518</v>
      </c>
      <c r="B512">
        <f t="shared" si="134"/>
        <v>0.44963180759727045</v>
      </c>
      <c r="C512">
        <v>0.44478635311922177</v>
      </c>
      <c r="D512">
        <f t="shared" si="135"/>
        <v>2.2482704178919746</v>
      </c>
      <c r="E512" s="1">
        <f t="shared" si="136"/>
        <v>0.15422601302243838</v>
      </c>
      <c r="F512" s="1">
        <f t="shared" si="137"/>
        <v>0.17890217510602852</v>
      </c>
      <c r="G512" s="1">
        <f t="shared" si="138"/>
        <v>5.5521364688077827E-2</v>
      </c>
      <c r="H512" s="1">
        <f t="shared" si="139"/>
        <v>5.3800579893441454E-2</v>
      </c>
      <c r="I512" s="1">
        <f t="shared" si="140"/>
        <v>0.19772463109384225</v>
      </c>
      <c r="J512" s="1">
        <f t="shared" si="141"/>
        <v>0.21421230569927183</v>
      </c>
      <c r="K512" s="1">
        <f t="shared" si="142"/>
        <v>0.13172127990797849</v>
      </c>
      <c r="L512" s="1">
        <f t="shared" si="143"/>
        <v>0.13061214953130987</v>
      </c>
      <c r="M512" s="1">
        <f t="shared" si="144"/>
        <v>0.28472186723664955</v>
      </c>
      <c r="N512" s="1">
        <f t="shared" si="145"/>
        <v>0.2848325668857582</v>
      </c>
      <c r="O512" s="1">
        <f t="shared" si="146"/>
        <v>0.28412111034777965</v>
      </c>
      <c r="P512" s="1">
        <f t="shared" si="147"/>
        <v>0.28423528880704663</v>
      </c>
      <c r="Q512" s="1">
        <f t="shared" si="148"/>
        <v>4.3183283646282753</v>
      </c>
      <c r="T512">
        <v>0.1352658569542039</v>
      </c>
      <c r="U512">
        <f t="shared" si="155"/>
        <v>7.3928485910421848</v>
      </c>
      <c r="V512" s="15">
        <f t="shared" si="149"/>
        <v>8.6306743973192199E-2</v>
      </c>
      <c r="W512" s="15">
        <f t="shared" si="150"/>
        <v>9.0115294763197185E-2</v>
      </c>
      <c r="X512" s="15">
        <f t="shared" si="151"/>
        <v>9.7732396343207018E-2</v>
      </c>
      <c r="Y512" s="15">
        <f t="shared" si="152"/>
        <v>0.12290097086478563</v>
      </c>
      <c r="Z512" s="15">
        <f t="shared" si="153"/>
        <v>0.12610094841018088</v>
      </c>
      <c r="AA512" s="15">
        <f t="shared" si="154"/>
        <v>0.13250090350097135</v>
      </c>
      <c r="AC512" s="1"/>
      <c r="AD512" s="1"/>
      <c r="AE512" s="1"/>
    </row>
    <row r="513" spans="1:31">
      <c r="A513">
        <v>639</v>
      </c>
      <c r="B513">
        <f t="shared" si="134"/>
        <v>0.44979834747983716</v>
      </c>
      <c r="C513">
        <v>0.44499126712079717</v>
      </c>
      <c r="D513">
        <f t="shared" si="135"/>
        <v>2.2472351119837604</v>
      </c>
      <c r="E513" s="1">
        <f t="shared" si="136"/>
        <v>0.15416909246644522</v>
      </c>
      <c r="F513" s="1">
        <f t="shared" si="137"/>
        <v>0.17883614726107644</v>
      </c>
      <c r="G513" s="1">
        <f t="shared" si="138"/>
        <v>5.5500873287920284E-2</v>
      </c>
      <c r="H513" s="1">
        <f t="shared" si="139"/>
        <v>5.3780723587360045E-2</v>
      </c>
      <c r="I513" s="1">
        <f t="shared" si="140"/>
        <v>0.19765165640095583</v>
      </c>
      <c r="J513" s="1">
        <f t="shared" si="141"/>
        <v>0.21413324586168653</v>
      </c>
      <c r="K513" s="1">
        <f t="shared" si="142"/>
        <v>0.13167266522656673</v>
      </c>
      <c r="L513" s="1">
        <f t="shared" si="143"/>
        <v>0.130563944199245</v>
      </c>
      <c r="M513" s="1">
        <f t="shared" si="144"/>
        <v>0.28461678426997672</v>
      </c>
      <c r="N513" s="1">
        <f t="shared" si="145"/>
        <v>0.28472744306290643</v>
      </c>
      <c r="O513" s="1">
        <f t="shared" si="146"/>
        <v>0.28401624910385936</v>
      </c>
      <c r="P513" s="1">
        <f t="shared" si="147"/>
        <v>0.28413038542301489</v>
      </c>
      <c r="Q513" s="1">
        <f t="shared" si="148"/>
        <v>4.3167345890604665</v>
      </c>
      <c r="T513">
        <v>0.57310169408241529</v>
      </c>
      <c r="U513">
        <f t="shared" si="155"/>
        <v>1.7448910207831183</v>
      </c>
      <c r="V513" s="15">
        <f t="shared" si="149"/>
        <v>0</v>
      </c>
      <c r="W513" s="15">
        <f t="shared" si="150"/>
        <v>0</v>
      </c>
      <c r="X513" s="15">
        <f t="shared" si="151"/>
        <v>0</v>
      </c>
      <c r="Y513" s="15">
        <f t="shared" si="152"/>
        <v>0</v>
      </c>
      <c r="Z513" s="15">
        <f t="shared" si="153"/>
        <v>0</v>
      </c>
      <c r="AA513" s="15">
        <f t="shared" si="154"/>
        <v>0</v>
      </c>
      <c r="AC513" s="1"/>
      <c r="AD513" s="1"/>
      <c r="AE513" s="1"/>
    </row>
    <row r="514" spans="1:31">
      <c r="A514">
        <v>615</v>
      </c>
      <c r="B514">
        <f t="shared" si="134"/>
        <v>0.45022529099786213</v>
      </c>
      <c r="C514">
        <v>0.4456941734862494</v>
      </c>
      <c r="D514">
        <f t="shared" si="135"/>
        <v>2.2436909869786579</v>
      </c>
      <c r="E514" s="1">
        <f t="shared" si="136"/>
        <v>0.15397384069826403</v>
      </c>
      <c r="F514" s="1">
        <f t="shared" si="137"/>
        <v>0.17860965520998628</v>
      </c>
      <c r="G514" s="1">
        <f t="shared" si="138"/>
        <v>5.5430582651375064E-2</v>
      </c>
      <c r="H514" s="1">
        <f t="shared" si="139"/>
        <v>5.3712611482615177E-2</v>
      </c>
      <c r="I514" s="1">
        <f t="shared" si="140"/>
        <v>0.19740133492095735</v>
      </c>
      <c r="J514" s="1">
        <f t="shared" si="141"/>
        <v>0.21386205081077211</v>
      </c>
      <c r="K514" s="1">
        <f t="shared" si="142"/>
        <v>0.13150590468918982</v>
      </c>
      <c r="L514" s="1">
        <f t="shared" si="143"/>
        <v>0.13039858783268821</v>
      </c>
      <c r="M514" s="1">
        <f t="shared" si="144"/>
        <v>0.2842563233663436</v>
      </c>
      <c r="N514" s="1">
        <f t="shared" si="145"/>
        <v>0.28436684201234352</v>
      </c>
      <c r="O514" s="1">
        <f t="shared" si="146"/>
        <v>0.28365654876481916</v>
      </c>
      <c r="P514" s="1">
        <f t="shared" si="147"/>
        <v>0.28377054053283424</v>
      </c>
      <c r="Q514" s="1">
        <f t="shared" si="148"/>
        <v>4.3112675395513937</v>
      </c>
      <c r="T514">
        <v>0.59949016955685908</v>
      </c>
      <c r="U514">
        <f t="shared" si="155"/>
        <v>1.6680840667315635</v>
      </c>
      <c r="V514" s="15">
        <f t="shared" si="149"/>
        <v>0</v>
      </c>
      <c r="W514" s="15">
        <f t="shared" si="150"/>
        <v>0</v>
      </c>
      <c r="X514" s="15">
        <f t="shared" si="151"/>
        <v>0</v>
      </c>
      <c r="Y514" s="15">
        <f t="shared" si="152"/>
        <v>0</v>
      </c>
      <c r="Z514" s="15">
        <f t="shared" si="153"/>
        <v>0</v>
      </c>
      <c r="AA514" s="15">
        <f t="shared" si="154"/>
        <v>0</v>
      </c>
      <c r="AC514" s="1"/>
      <c r="AD514" s="1"/>
      <c r="AE514" s="1"/>
    </row>
    <row r="515" spans="1:31">
      <c r="A515">
        <v>315</v>
      </c>
      <c r="B515">
        <f t="shared" si="134"/>
        <v>0.45044399174572647</v>
      </c>
      <c r="C515">
        <v>0.44662226497685253</v>
      </c>
      <c r="D515">
        <f t="shared" si="135"/>
        <v>2.2390285447408851</v>
      </c>
      <c r="E515" s="1">
        <f t="shared" si="136"/>
        <v>0.15371603750642984</v>
      </c>
      <c r="F515" s="1">
        <f t="shared" si="137"/>
        <v>0.17831060350745861</v>
      </c>
      <c r="G515" s="1">
        <f t="shared" si="138"/>
        <v>5.5337773502314752E-2</v>
      </c>
      <c r="H515" s="1">
        <f t="shared" si="139"/>
        <v>5.3622678786131334E-2</v>
      </c>
      <c r="I515" s="1">
        <f t="shared" si="140"/>
        <v>0.19707081972445273</v>
      </c>
      <c r="J515" s="1">
        <f t="shared" si="141"/>
        <v>0.21350397492553608</v>
      </c>
      <c r="K515" s="1">
        <f t="shared" si="142"/>
        <v>0.13128572026162622</v>
      </c>
      <c r="L515" s="1">
        <f t="shared" si="143"/>
        <v>0.13018025742018768</v>
      </c>
      <c r="M515" s="1">
        <f t="shared" si="144"/>
        <v>0.28378038416049817</v>
      </c>
      <c r="N515" s="1">
        <f t="shared" si="145"/>
        <v>0.28389071776169073</v>
      </c>
      <c r="O515" s="1">
        <f t="shared" si="146"/>
        <v>0.28318161378024892</v>
      </c>
      <c r="P515" s="1">
        <f t="shared" si="147"/>
        <v>0.28329541468830033</v>
      </c>
      <c r="Q515" s="1">
        <f t="shared" si="148"/>
        <v>4.3040490501800361</v>
      </c>
      <c r="T515">
        <v>0.96868889719750351</v>
      </c>
      <c r="U515">
        <f t="shared" si="155"/>
        <v>1.03232317712434</v>
      </c>
      <c r="V515" s="15">
        <f t="shared" si="149"/>
        <v>0</v>
      </c>
      <c r="W515" s="15">
        <f t="shared" si="150"/>
        <v>0</v>
      </c>
      <c r="X515" s="15">
        <f t="shared" si="151"/>
        <v>0</v>
      </c>
      <c r="Y515" s="15">
        <f t="shared" si="152"/>
        <v>0</v>
      </c>
      <c r="Z515" s="15">
        <f t="shared" si="153"/>
        <v>0</v>
      </c>
      <c r="AA515" s="15">
        <f t="shared" si="154"/>
        <v>0</v>
      </c>
      <c r="AC515" s="1"/>
      <c r="AD515" s="1"/>
      <c r="AE515" s="1"/>
    </row>
    <row r="516" spans="1:31">
      <c r="A516">
        <v>961</v>
      </c>
      <c r="B516">
        <f t="shared" si="134"/>
        <v>0.45078612382816291</v>
      </c>
      <c r="C516">
        <v>0.44762633466426738</v>
      </c>
      <c r="D516">
        <f t="shared" si="135"/>
        <v>2.2340061845334205</v>
      </c>
      <c r="E516" s="1">
        <f t="shared" si="136"/>
        <v>0.1534371292599257</v>
      </c>
      <c r="F516" s="1">
        <f t="shared" si="137"/>
        <v>0.17798706994151381</v>
      </c>
      <c r="G516" s="1">
        <f t="shared" si="138"/>
        <v>5.5237366533573265E-2</v>
      </c>
      <c r="H516" s="1">
        <f t="shared" si="139"/>
        <v>5.3525383750715999E-2</v>
      </c>
      <c r="I516" s="1">
        <f t="shared" si="140"/>
        <v>0.19671324690603958</v>
      </c>
      <c r="J516" s="1">
        <f t="shared" si="141"/>
        <v>0.21311658516299647</v>
      </c>
      <c r="K516" s="1">
        <f t="shared" si="142"/>
        <v>0.13104751043900004</v>
      </c>
      <c r="L516" s="1">
        <f t="shared" si="143"/>
        <v>0.12994405339154169</v>
      </c>
      <c r="M516" s="1">
        <f t="shared" si="144"/>
        <v>0.28326548219826697</v>
      </c>
      <c r="N516" s="1">
        <f t="shared" si="145"/>
        <v>0.28337561560596147</v>
      </c>
      <c r="O516" s="1">
        <f t="shared" si="146"/>
        <v>0.28266779824985344</v>
      </c>
      <c r="P516" s="1">
        <f t="shared" si="147"/>
        <v>0.28278139267319302</v>
      </c>
      <c r="Q516" s="1">
        <f t="shared" si="148"/>
        <v>4.2962396192779204</v>
      </c>
      <c r="T516">
        <v>3.2261248904156492E-2</v>
      </c>
      <c r="U516">
        <f t="shared" si="155"/>
        <v>30.996940105166278</v>
      </c>
      <c r="V516" s="15">
        <f t="shared" si="149"/>
        <v>0.10304197639427203</v>
      </c>
      <c r="W516" s="15">
        <f t="shared" si="150"/>
        <v>0.1057753682453844</v>
      </c>
      <c r="X516" s="15">
        <f t="shared" si="151"/>
        <v>0.11124215194760896</v>
      </c>
      <c r="Y516" s="15">
        <f t="shared" si="152"/>
        <v>0.14763297309330198</v>
      </c>
      <c r="Z516" s="15">
        <f t="shared" si="153"/>
        <v>0.14970192057754048</v>
      </c>
      <c r="AA516" s="15">
        <f t="shared" si="154"/>
        <v>0.15383981554601778</v>
      </c>
      <c r="AC516" s="1"/>
      <c r="AD516" s="1"/>
      <c r="AE516" s="1"/>
    </row>
    <row r="517" spans="1:31">
      <c r="A517">
        <v>729</v>
      </c>
      <c r="B517">
        <f t="shared" si="134"/>
        <v>0.45101100702599306</v>
      </c>
      <c r="C517">
        <v>0.44792120702245586</v>
      </c>
      <c r="D517">
        <f t="shared" si="135"/>
        <v>2.2325355091969703</v>
      </c>
      <c r="E517" s="1">
        <f t="shared" si="136"/>
        <v>0.15335522027154003</v>
      </c>
      <c r="F517" s="1">
        <f t="shared" si="137"/>
        <v>0.17789205551498644</v>
      </c>
      <c r="G517" s="1">
        <f t="shared" si="138"/>
        <v>5.520787929775442E-2</v>
      </c>
      <c r="H517" s="1">
        <f t="shared" si="139"/>
        <v>5.3496810418712695E-2</v>
      </c>
      <c r="I517" s="1">
        <f t="shared" si="140"/>
        <v>0.19660823592770693</v>
      </c>
      <c r="J517" s="1">
        <f t="shared" si="141"/>
        <v>0.21300281762848178</v>
      </c>
      <c r="K517" s="1">
        <f t="shared" si="142"/>
        <v>0.13097755364912594</v>
      </c>
      <c r="L517" s="1">
        <f t="shared" si="143"/>
        <v>0.12987468565759508</v>
      </c>
      <c r="M517" s="1">
        <f t="shared" si="144"/>
        <v>0.28311426724004041</v>
      </c>
      <c r="N517" s="1">
        <f t="shared" si="145"/>
        <v>0.28322434185547224</v>
      </c>
      <c r="O517" s="1">
        <f t="shared" si="146"/>
        <v>0.28251690235186888</v>
      </c>
      <c r="P517" s="1">
        <f t="shared" si="147"/>
        <v>0.28263043613535971</v>
      </c>
      <c r="Q517" s="1">
        <f t="shared" si="148"/>
        <v>4.2939461676031208</v>
      </c>
      <c r="T517">
        <v>0.75618491487814987</v>
      </c>
      <c r="U517">
        <f t="shared" si="155"/>
        <v>1.3224278616575391</v>
      </c>
      <c r="V517" s="15">
        <f t="shared" si="149"/>
        <v>0</v>
      </c>
      <c r="W517" s="15">
        <f t="shared" si="150"/>
        <v>0</v>
      </c>
      <c r="X517" s="15">
        <f t="shared" si="151"/>
        <v>0</v>
      </c>
      <c r="Y517" s="15">
        <f t="shared" si="152"/>
        <v>0</v>
      </c>
      <c r="Z517" s="15">
        <f t="shared" si="153"/>
        <v>0</v>
      </c>
      <c r="AA517" s="15">
        <f t="shared" si="154"/>
        <v>0</v>
      </c>
      <c r="AC517" s="1"/>
      <c r="AD517" s="1"/>
      <c r="AE517" s="1"/>
    </row>
    <row r="518" spans="1:31">
      <c r="A518">
        <v>487</v>
      </c>
      <c r="B518">
        <f t="shared" si="134"/>
        <v>0.45232878470017546</v>
      </c>
      <c r="C518">
        <v>0.44890832567374361</v>
      </c>
      <c r="D518">
        <f t="shared" si="135"/>
        <v>2.2276263165739931</v>
      </c>
      <c r="E518" s="1">
        <f t="shared" si="136"/>
        <v>0.15308102064618231</v>
      </c>
      <c r="F518" s="1">
        <f t="shared" si="137"/>
        <v>0.17757398394957147</v>
      </c>
      <c r="G518" s="1">
        <f t="shared" si="138"/>
        <v>5.5109167432625644E-2</v>
      </c>
      <c r="H518" s="1">
        <f t="shared" si="139"/>
        <v>5.3401157950223724E-2</v>
      </c>
      <c r="I518" s="1">
        <f t="shared" si="140"/>
        <v>0.19625669977172763</v>
      </c>
      <c r="J518" s="1">
        <f t="shared" si="141"/>
        <v>0.21262196790787594</v>
      </c>
      <c r="K518" s="1">
        <f t="shared" si="142"/>
        <v>0.1307433653634108</v>
      </c>
      <c r="L518" s="1">
        <f t="shared" si="143"/>
        <v>0.12964246930338352</v>
      </c>
      <c r="M518" s="1">
        <f t="shared" si="144"/>
        <v>0.28260805802281785</v>
      </c>
      <c r="N518" s="1">
        <f t="shared" si="145"/>
        <v>0.28271793582448457</v>
      </c>
      <c r="O518" s="1">
        <f t="shared" si="146"/>
        <v>0.28201176122498095</v>
      </c>
      <c r="P518" s="1">
        <f t="shared" si="147"/>
        <v>0.28212509200970309</v>
      </c>
      <c r="Q518" s="1">
        <f t="shared" si="148"/>
        <v>4.2862685780931056</v>
      </c>
      <c r="T518">
        <v>0.89357330494489606</v>
      </c>
      <c r="U518">
        <f t="shared" si="155"/>
        <v>1.1191023662705175</v>
      </c>
      <c r="V518" s="15">
        <f t="shared" si="149"/>
        <v>0</v>
      </c>
      <c r="W518" s="15">
        <f t="shared" si="150"/>
        <v>0</v>
      </c>
      <c r="X518" s="15">
        <f t="shared" si="151"/>
        <v>0</v>
      </c>
      <c r="Y518" s="15">
        <f t="shared" si="152"/>
        <v>0</v>
      </c>
      <c r="Z518" s="15">
        <f t="shared" si="153"/>
        <v>0</v>
      </c>
      <c r="AA518" s="15">
        <f t="shared" si="154"/>
        <v>0</v>
      </c>
      <c r="AC518" s="1"/>
      <c r="AD518" s="1"/>
      <c r="AE518" s="1"/>
    </row>
    <row r="519" spans="1:31">
      <c r="A519">
        <v>353</v>
      </c>
      <c r="B519">
        <f t="shared" si="134"/>
        <v>0.45321604045900887</v>
      </c>
      <c r="C519">
        <v>0.44935392794967122</v>
      </c>
      <c r="D519">
        <f t="shared" si="135"/>
        <v>2.2254172886900916</v>
      </c>
      <c r="E519" s="1">
        <f t="shared" si="136"/>
        <v>0.15295724223620244</v>
      </c>
      <c r="F519" s="1">
        <f t="shared" si="137"/>
        <v>0.17743040099399482</v>
      </c>
      <c r="G519" s="1">
        <f t="shared" si="138"/>
        <v>5.5064607205032881E-2</v>
      </c>
      <c r="H519" s="1">
        <f t="shared" si="139"/>
        <v>5.3357978786704549E-2</v>
      </c>
      <c r="I519" s="1">
        <f t="shared" si="140"/>
        <v>0.19609801032647112</v>
      </c>
      <c r="J519" s="1">
        <f t="shared" si="141"/>
        <v>0.21245004581718605</v>
      </c>
      <c r="K519" s="1">
        <f t="shared" si="142"/>
        <v>0.13063764875783951</v>
      </c>
      <c r="L519" s="1">
        <f t="shared" si="143"/>
        <v>0.12953764286148695</v>
      </c>
      <c r="M519" s="1">
        <f t="shared" si="144"/>
        <v>0.28237954650700808</v>
      </c>
      <c r="N519" s="1">
        <f t="shared" si="145"/>
        <v>0.28248933546356825</v>
      </c>
      <c r="O519" s="1">
        <f t="shared" si="146"/>
        <v>0.28178373186345262</v>
      </c>
      <c r="P519" s="1">
        <f t="shared" si="147"/>
        <v>0.2818969710110516</v>
      </c>
      <c r="Q519" s="1">
        <f t="shared" si="148"/>
        <v>4.2828027826136683</v>
      </c>
      <c r="T519">
        <v>0.17992116423384641</v>
      </c>
      <c r="U519">
        <f t="shared" si="155"/>
        <v>5.5579898243670991</v>
      </c>
      <c r="V519" s="15">
        <f t="shared" si="149"/>
        <v>8.0234414336549945E-2</v>
      </c>
      <c r="W519" s="15">
        <f t="shared" si="150"/>
        <v>8.4396890812066291E-2</v>
      </c>
      <c r="X519" s="15">
        <f t="shared" si="151"/>
        <v>9.2721843763099027E-2</v>
      </c>
      <c r="Y519" s="15">
        <f t="shared" si="152"/>
        <v>0.11391940488537732</v>
      </c>
      <c r="Z519" s="15">
        <f t="shared" si="153"/>
        <v>0.11748916560777084</v>
      </c>
      <c r="AA519" s="15">
        <f t="shared" si="154"/>
        <v>0.124628687052558</v>
      </c>
      <c r="AC519" s="1"/>
      <c r="AD519" s="1"/>
      <c r="AE519" s="1"/>
    </row>
    <row r="520" spans="1:31">
      <c r="A520">
        <v>571</v>
      </c>
      <c r="B520">
        <f t="shared" si="134"/>
        <v>0.45522772731910988</v>
      </c>
      <c r="C520">
        <v>0.45016747210904606</v>
      </c>
      <c r="D520">
        <f t="shared" si="135"/>
        <v>2.2213955071319891</v>
      </c>
      <c r="E520" s="1">
        <f t="shared" si="136"/>
        <v>0.15273125774748719</v>
      </c>
      <c r="F520" s="1">
        <f t="shared" si="137"/>
        <v>0.17716825898708516</v>
      </c>
      <c r="G520" s="1">
        <f t="shared" si="138"/>
        <v>5.4983252789095396E-2</v>
      </c>
      <c r="H520" s="1">
        <f t="shared" si="139"/>
        <v>5.3279145804501778E-2</v>
      </c>
      <c r="I520" s="1">
        <f t="shared" si="140"/>
        <v>0.19580828812728768</v>
      </c>
      <c r="J520" s="1">
        <f t="shared" si="141"/>
        <v>0.21213616453716541</v>
      </c>
      <c r="K520" s="1">
        <f t="shared" si="142"/>
        <v>0.13044464003311429</v>
      </c>
      <c r="L520" s="1">
        <f t="shared" si="143"/>
        <v>0.12934625932473209</v>
      </c>
      <c r="M520" s="1">
        <f t="shared" si="144"/>
        <v>0.28196234888688831</v>
      </c>
      <c r="N520" s="1">
        <f t="shared" si="145"/>
        <v>0.28207197563732567</v>
      </c>
      <c r="O520" s="1">
        <f t="shared" si="146"/>
        <v>0.28136741452115188</v>
      </c>
      <c r="P520" s="1">
        <f t="shared" si="147"/>
        <v>0.28148048636519268</v>
      </c>
      <c r="Q520" s="1">
        <f t="shared" si="148"/>
        <v>4.2764752169296418</v>
      </c>
      <c r="T520">
        <v>0.88930295217338329</v>
      </c>
      <c r="U520">
        <f t="shared" si="155"/>
        <v>1.1244761951549607</v>
      </c>
      <c r="V520" s="15">
        <f t="shared" si="149"/>
        <v>0</v>
      </c>
      <c r="W520" s="15">
        <f t="shared" si="150"/>
        <v>0</v>
      </c>
      <c r="X520" s="15">
        <f t="shared" si="151"/>
        <v>0</v>
      </c>
      <c r="Y520" s="15">
        <f t="shared" si="152"/>
        <v>0</v>
      </c>
      <c r="Z520" s="15">
        <f t="shared" si="153"/>
        <v>0</v>
      </c>
      <c r="AA520" s="15">
        <f t="shared" si="154"/>
        <v>0</v>
      </c>
      <c r="AC520" s="1"/>
      <c r="AD520" s="1"/>
      <c r="AE520" s="1"/>
    </row>
    <row r="521" spans="1:31">
      <c r="A521">
        <v>151</v>
      </c>
      <c r="B521">
        <f t="shared" si="134"/>
        <v>0.45581802112604214</v>
      </c>
      <c r="C521">
        <v>0.45040016306497754</v>
      </c>
      <c r="D521">
        <f t="shared" si="135"/>
        <v>2.2202478640216072</v>
      </c>
      <c r="E521" s="1">
        <f t="shared" si="136"/>
        <v>0.15266662137083956</v>
      </c>
      <c r="F521" s="1">
        <f t="shared" si="137"/>
        <v>0.17709328079017389</v>
      </c>
      <c r="G521" s="1">
        <f t="shared" si="138"/>
        <v>5.4959983693502246E-2</v>
      </c>
      <c r="H521" s="1">
        <f t="shared" si="139"/>
        <v>5.325659789265666E-2</v>
      </c>
      <c r="I521" s="1">
        <f t="shared" si="140"/>
        <v>0.19572542140800062</v>
      </c>
      <c r="J521" s="1">
        <f t="shared" si="141"/>
        <v>0.21204638780623403</v>
      </c>
      <c r="K521" s="1">
        <f t="shared" si="142"/>
        <v>0.13038943542726478</v>
      </c>
      <c r="L521" s="1">
        <f t="shared" si="143"/>
        <v>0.12929151955725438</v>
      </c>
      <c r="M521" s="1">
        <f t="shared" si="144"/>
        <v>0.28184302148232232</v>
      </c>
      <c r="N521" s="1">
        <f t="shared" si="145"/>
        <v>0.28195260183835402</v>
      </c>
      <c r="O521" s="1">
        <f t="shared" si="146"/>
        <v>0.28124833889478973</v>
      </c>
      <c r="P521" s="1">
        <f t="shared" si="147"/>
        <v>0.28136136288644975</v>
      </c>
      <c r="Q521" s="1">
        <f t="shared" si="148"/>
        <v>4.2746653983835081</v>
      </c>
      <c r="T521">
        <v>0.89722830541718868</v>
      </c>
      <c r="U521">
        <f t="shared" si="155"/>
        <v>1.1145435269510642</v>
      </c>
      <c r="V521" s="15">
        <f t="shared" si="149"/>
        <v>0</v>
      </c>
      <c r="W521" s="15">
        <f t="shared" si="150"/>
        <v>0</v>
      </c>
      <c r="X521" s="15">
        <f t="shared" si="151"/>
        <v>0</v>
      </c>
      <c r="Y521" s="15">
        <f t="shared" si="152"/>
        <v>0</v>
      </c>
      <c r="Z521" s="15">
        <f t="shared" si="153"/>
        <v>0</v>
      </c>
      <c r="AA521" s="15">
        <f t="shared" si="154"/>
        <v>0</v>
      </c>
      <c r="AC521" s="1"/>
      <c r="AD521" s="1"/>
      <c r="AE521" s="1"/>
    </row>
    <row r="522" spans="1:31">
      <c r="A522">
        <v>936</v>
      </c>
      <c r="B522">
        <f t="shared" si="134"/>
        <v>0.45606808257878739</v>
      </c>
      <c r="C522">
        <v>0.45064969622397322</v>
      </c>
      <c r="D522">
        <f t="shared" si="135"/>
        <v>2.2190184712850649</v>
      </c>
      <c r="E522" s="1">
        <f t="shared" si="136"/>
        <v>0.15259730660445187</v>
      </c>
      <c r="F522" s="1">
        <f t="shared" si="137"/>
        <v>0.17701287566116417</v>
      </c>
      <c r="G522" s="1">
        <f t="shared" si="138"/>
        <v>5.4935030377602681E-2</v>
      </c>
      <c r="H522" s="1">
        <f t="shared" si="139"/>
        <v>5.3232417959882976E-2</v>
      </c>
      <c r="I522" s="1">
        <f t="shared" si="140"/>
        <v>0.1956365567842917</v>
      </c>
      <c r="J522" s="1">
        <f t="shared" si="141"/>
        <v>0.21195011302329744</v>
      </c>
      <c r="K522" s="1">
        <f t="shared" si="142"/>
        <v>0.13033023510452948</v>
      </c>
      <c r="L522" s="1">
        <f t="shared" si="143"/>
        <v>0.12923281771795547</v>
      </c>
      <c r="M522" s="1">
        <f t="shared" si="144"/>
        <v>0.28171505714397105</v>
      </c>
      <c r="N522" s="1">
        <f t="shared" si="145"/>
        <v>0.28182458774756369</v>
      </c>
      <c r="O522" s="1">
        <f t="shared" si="146"/>
        <v>0.28112064455838293</v>
      </c>
      <c r="P522" s="1">
        <f t="shared" si="147"/>
        <v>0.2812336172341004</v>
      </c>
      <c r="Q522" s="1">
        <f t="shared" si="148"/>
        <v>4.2727245849246529</v>
      </c>
      <c r="T522">
        <v>0.3506533816053744</v>
      </c>
      <c r="U522">
        <f t="shared" si="155"/>
        <v>2.8518190682256153</v>
      </c>
      <c r="V522" s="15">
        <f t="shared" si="149"/>
        <v>6.7648521403617476E-2</v>
      </c>
      <c r="W522" s="15">
        <f t="shared" si="150"/>
        <v>7.2362870869186385E-2</v>
      </c>
      <c r="X522" s="15">
        <f t="shared" si="151"/>
        <v>8.1791569800324163E-2</v>
      </c>
      <c r="Y522" s="15">
        <f t="shared" si="152"/>
        <v>9.5294332778068647E-2</v>
      </c>
      <c r="Z522" s="15">
        <f t="shared" si="153"/>
        <v>9.9422771390301964E-2</v>
      </c>
      <c r="AA522" s="15">
        <f t="shared" si="154"/>
        <v>0.10767964861476863</v>
      </c>
      <c r="AC522" s="1"/>
      <c r="AD522" s="1"/>
      <c r="AE522" s="1"/>
    </row>
    <row r="523" spans="1:31">
      <c r="A523">
        <v>813</v>
      </c>
      <c r="B523">
        <f t="shared" ref="B523:B586" si="156">PERCENTILE($C$75:$C$1074,$C523)</f>
        <v>0.45653740892315059</v>
      </c>
      <c r="C523">
        <v>0.45141310554290448</v>
      </c>
      <c r="D523">
        <f t="shared" ref="D523:D586" si="157">1/C523</f>
        <v>2.2152657681422925</v>
      </c>
      <c r="E523" s="1">
        <f t="shared" ref="E523:E586" si="158">IF($C523&lt;=0.005,$F$14,IF($C523&lt;=0.01,$F$14+($C523-0.005)*SLOPE($E$14:$F$14,$E$11:$F$11),IF($C523&lt;=0.04,$E$14+($C523-0.01)*SLOPE($D$14:$E$14,$D$11:$E$11),IF($C523&lt;=0.1,$D$14+($C523-0.04)*SLOPE($C$14:$D$14,$C$11:$D$11),IF($C523&lt;=1,$C$14+($C523-0.1)*SLOPE($B$14:$C$14,$B$11:$C$11),)))))</f>
        <v>0.1523852484603043</v>
      </c>
      <c r="F523" s="1">
        <f t="shared" ref="F523:F586" si="159">IF($C523&lt;=0.005,$F$27,IF($C523&lt;=0.01,$F$27+($C523-0.005)*SLOPE($E$27:$F$27,$E$24:$F$24),IF($C523&lt;=0.04,$E$27+($C523-0.01)*SLOPE($D$27:$E$27,$D$24:$E$24),IF($C523&lt;=0.1,$D$27+($C523-0.04)*SLOPE($C$27:$D$27,$C$24:$D$24),IF($C523&lt;=1,$C$27+($C523-0.1)*SLOPE($B$27:$C$27,$B$24:$C$24),)))))</f>
        <v>0.17676688821395298</v>
      </c>
      <c r="G523" s="1">
        <f t="shared" ref="G523:G586" si="160">IF($C523&lt;=0.005,$F$15,IF($C523&lt;=0.01,$F$15+($C523-0.005)*SLOPE($E$15:$F$15,$E$11:$F$11),IF($C523&lt;=0.04,$E$15+($C523-0.01)*SLOPE($D$15:$E$15,$D$11:$E$11),IF($C523&lt;=0.1,$D$15+($C523-0.04)*SLOPE($C$15:$D$15,$C$11:$D$11),IF($C523&lt;=1,$C$15+($C523-0.1)*SLOPE($B$15:$C$15,$B$11:$C$11),)))))</f>
        <v>5.4858689445709555E-2</v>
      </c>
      <c r="H523" s="1">
        <f t="shared" ref="H523:H586" si="161">IF($C523&lt;=0.005,$F$28,IF($C523&lt;=0.01,$F$28+($C523-0.005)*SLOPE($E$28:$F$28,$E$24:$F$24),IF($C523&lt;=0.04,$E$28+($C523-0.01)*SLOPE($D$28:$E$28,$D$24:$E$24),IF($C523&lt;=0.1,$D$28+($C523-0.04)*SLOPE($C$28:$D$28,$C$24:$D$24),IF($C523&lt;=1,$C$28+($C523-0.1)*SLOPE($B$28:$C$28,$B$24:$C$24),)))))</f>
        <v>5.3158443077807753E-2</v>
      </c>
      <c r="I523" s="1">
        <f t="shared" ref="I523:I586" si="162">IF($C523&lt;=0.005,$F$16,IF($C523&lt;=0.01,$F$16+($C523-0.005)*SLOPE($E$16:$F$16,$E$11:$F$11),IF($C523&lt;=0.04,$E$16+($C523-0.01)*SLOPE($D$16:$E$16,$D$11:$E$11),IF($C523&lt;=0.1,$D$16+($C523-0.04)*SLOPE($C$16:$D$16,$C$11:$D$11),IF($C523&lt;=1,$C$16+($C523-0.1)*SLOPE($B$16:$C$16,$B$11:$C$11),)))))</f>
        <v>0.19536468878031288</v>
      </c>
      <c r="J523" s="1">
        <f t="shared" ref="J523:J586" si="163">IF($C523&lt;=0.005,$F$29,IF($C523&lt;=0.01,$F$29+($C523-0.005)*SLOPE($E$29:$F$29,$E$24:$F$24),IF($C523&lt;=0.04,$E$29+($C523-0.01)*SLOPE($D$29:$E$29,$D$24:$E$24),IF($C523&lt;=0.1,$D$29+($C523-0.04)*SLOPE($C$29:$D$29,$C$24:$D$24),IF($C523&lt;=1,$C$29+($C523-0.1)*SLOPE($B$29:$C$29,$B$24:$C$24),)))))</f>
        <v>0.21165557474723143</v>
      </c>
      <c r="K523" s="1">
        <f t="shared" ref="K523:K586" si="164">IF($C523&lt;=0.005,$F$17,IF($C523&lt;=0.01,$F$17+($C523-0.005)*SLOPE($E$17:$F$17,$E$11:$F$11),IF($C523&lt;=0.04,$E$17+($C523-0.01)*SLOPE($D$17:$E$17,$D$11:$E$11),IF($C523&lt;=0.1,$D$17+($C523-0.04)*SLOPE($C$17:$D$17,$C$11:$D$11),IF($C523&lt;=1,$C$17+($C523-0.1)*SLOPE($B$17:$C$17,$B$11:$C$11),)))))</f>
        <v>0.13014912058555422</v>
      </c>
      <c r="L523" s="1">
        <f t="shared" ref="L523:L586" si="165">IF($C523&lt;=0.005,$F$30,IF($C523&lt;=0.01,$F$30+($C523-0.005)*SLOPE($E$30:$F$30,$E$24:$F$24),IF($C523&lt;=0.04,$E$30+($C523-0.01)*SLOPE($D$30:$E$30,$D$24:$E$24),IF($C523&lt;=0.1,$D$30+($C523-0.04)*SLOPE($C$30:$D$30,$C$24:$D$24),IF($C523&lt;=1,$C$30+($C523-0.1)*SLOPE($B$30:$C$30,$B$24:$C$24),)))))</f>
        <v>0.12905322823437915</v>
      </c>
      <c r="M523" s="1">
        <f t="shared" ref="M523:M586" si="166">IF($C523&lt;=0.005,$F$18,IF($C523&lt;=0.01,$F$18+($C523-0.005)*SLOPE($E$18:$F$18,$E$11:$F$11),IF($C523&lt;=0.04,$E$18+($C523-0.01)*SLOPE($D$18:$E$18,$D$11:$E$11),IF($C523&lt;=0.1,$D$18+($C523-0.04)*SLOPE($C$18:$D$18,$C$11:$D$11),IF($C523&lt;=1,$C$18+($C523-0.1)*SLOPE($B$18:$C$18,$B$11:$C$11),)))))</f>
        <v>0.28132356942032966</v>
      </c>
      <c r="N523" s="1">
        <f t="shared" ref="N523:N586" si="167">IF($C523&lt;=0.005,$F$31,IF($C523&lt;=0.01,$F$31+($C523-0.005)*SLOPE($E$31:$F$31,$E$24:$F$24),IF($C523&lt;=0.04,$E$31+($C523-0.01)*SLOPE($D$31:$E$31,$D$24:$E$24),IF($C523&lt;=0.1,$D$31+($C523-0.04)*SLOPE($C$31:$D$31,$C$24:$D$24),IF($C523&lt;=1,$C$31+($C523-0.1)*SLOPE($B$31:$C$31,$B$24:$C$24),)))))</f>
        <v>0.28143294781378808</v>
      </c>
      <c r="O523" s="1">
        <f t="shared" ref="O523:O586" si="168">IF($C523&lt;=0.005,$F$19,IF($C523&lt;=0.01,$F$19+($C523-0.005)*SLOPE($E$19:$F$19,$E$11:$F$11),IF($C523&lt;=0.04,$E$19+($C523-0.01)*SLOPE($D$19:$E$19,$D$11:$E$11),IF($C523&lt;=0.1,$D$19+($C523-0.04)*SLOPE($C$19:$D$19,$C$11:$D$11),IF($C523&lt;=1,$C$19+($C523-0.1)*SLOPE($B$19:$C$19,$B$11:$C$11),)))))</f>
        <v>0.28072998286524342</v>
      </c>
      <c r="P523" s="1">
        <f t="shared" ref="P523:P586" si="169">IF($C523&lt;=0.005,$F$32,IF($C523&lt;=0.01,$F$32+($C523-0.005)*SLOPE($E$32:$F$32,$E$24:$F$24),IF($C523&lt;=0.04,$E$32+($C523-0.01)*SLOPE($D$32:$E$32,$D$24:$E$24),IF($C523&lt;=0.1,$D$32+($C523-0.04)*SLOPE($C$32:$D$32,$C$24:$D$24),IF($C523&lt;=1,$C$32+($C523-0.1)*SLOPE($B$32:$C$32,$B$24:$C$24),)))))</f>
        <v>0.28084279854752187</v>
      </c>
      <c r="Q523" s="1">
        <f t="shared" ref="Q523:Q586" si="170">IF($C523&lt;=0.005,$F$20,IF($C523&lt;=0.01,$F$20+($C523-0.005)*SLOPE($E$20:$F$20,$E$11:$F$11),IF($C523&lt;=0.04,$E$20+($C523-0.01)*SLOPE($D$20:$E$20,$D$11:$E$11),IF($C523&lt;=0.1,$D$20+($C523-0.04)*SLOPE($C$20:$D$20,$C$11:$D$11),IF($C523&lt;=1,$C$20+($C523-0.1)*SLOPE($B$20:$C$20,$B$11:$C$11),)))))</f>
        <v>4.2667869568885211</v>
      </c>
      <c r="T523">
        <v>0.63078559285455649</v>
      </c>
      <c r="U523">
        <f t="shared" si="155"/>
        <v>1.5853247305072411</v>
      </c>
      <c r="V523" s="15">
        <f t="shared" ref="V523:V586" si="171">IF($T523&lt;=0.05,$F$63,IF($T523&lt;=0.07,$F$63+($T523-0.05)*SLOPE($E$63:$F$63,$E$62:$F$62),IF($T523&lt;=0.1,$E$63+($T523-0.07)*SLOPE($D$63:$E$63,$D$62:$E$62),IF($T523&lt;=0.2,$D$63+($T523-0.1)*SLOPE($C$63:$D$63,$C$62:$D$62),IF($T523&lt;=0.5,$C$63+($T523-0.2)*SLOPE($B$63:$C$63,$B$62:$C$62),)))))</f>
        <v>0</v>
      </c>
      <c r="W523" s="15">
        <f t="shared" ref="W523:W586" si="172">IF($T523&lt;=0.05,$F$64,IF($T523&lt;=0.07,$F$64+($T523-0.05)*SLOPE($E$64:$F$64,$E$62:$F$62),IF($T523&lt;=0.1,$E$64+($T523-0.07)*SLOPE($D$64:$E$64,$D$62:$E$62),IF($T523&lt;=0.2,$D$64+($T523-0.1)*SLOPE($C$64:$D$64,$C$62:$D$62),IF($T523&lt;=0.5,$C$64+($T523-0.2)*SLOPE($B$64:$C$64,$B$62:$C$62),)))))</f>
        <v>0</v>
      </c>
      <c r="X523" s="15">
        <f t="shared" ref="X523:X586" si="173">IF($T523&lt;=0.05,$F$65,IF($T523&lt;=0.07,$F$65+($T523-0.05)*SLOPE($E$65:$F$65,$E$62:$F$62),IF($T523&lt;=0.1,$E$65+($T523-0.07)*SLOPE($D$65:$E$65,$D$62:$E$62),IF($T523&lt;=0.2,$D$65+($T523-0.1)*SLOPE($C$65:$D$65,$C$62:$D$62),IF($T523&lt;=0.5,$C$65+($T523-0.2)*SLOPE($B$65:$C$65,$B$62:$C$62),)))))</f>
        <v>0</v>
      </c>
      <c r="Y523" s="15">
        <f t="shared" ref="Y523:Y586" si="174">IF($T523&lt;=0.05,$F$66,IF($T523&lt;=0.07,$F$66+($T523-0.05)*SLOPE($E$66:$F$66,$E$62:$F$62),IF($T523&lt;=0.1,$E$66+($T523-0.07)*SLOPE($D$66:$E$66,$D$62:$E$62),IF($T523&lt;=0.2,$D$66+($T523-0.1)*SLOPE($C$66:$D$66,$C$62:$D$62),IF($T523&lt;=0.5,$C$66+($T523-0.2)*SLOPE($B$66:$C$66,$B$62:$C$62),)))))</f>
        <v>0</v>
      </c>
      <c r="Z523" s="15">
        <f t="shared" ref="Z523:Z586" si="175">IF($T523&lt;=0.05,$F$67,IF($T523&lt;=0.07,$F$67+($T523-0.05)*SLOPE($E$67:$F$67,$E$62:$F$62),IF($T523&lt;=0.1,$E$67+($T523-0.07)*SLOPE($D$67:$E$67,$D$62:$E$62),IF($T523&lt;=0.2,$D$67+($T523-0.1)*SLOPE($C$67:$D$67,$C$62:$D$62),IF($T523&lt;=0.5,$C$67+($T523-0.2)*SLOPE($B$67:$C$67,$B$62:$C$62),)))))</f>
        <v>0</v>
      </c>
      <c r="AA523" s="15">
        <f t="shared" ref="AA523:AA586" si="176">IF($T523&lt;=0.05,$F$68,IF($T523&lt;=0.07,$F$68+($T523-0.05)*SLOPE($E$68:$F$68,$E$62:$F$62),IF($T523&lt;=0.1,$E$68+($T523-0.07)*SLOPE($D$68:$E$68,$D$62:$E$62),IF($T523&lt;=0.2,$D$68+($T523-0.1)*SLOPE($C$68:$D$68,$C$62:$D$62),IF($T523&lt;=0.5,$C$68+($T523-0.2)*SLOPE($B$68:$C$68,$B$62:$C$62),)))))</f>
        <v>0</v>
      </c>
      <c r="AC523" s="1"/>
      <c r="AD523" s="1"/>
      <c r="AE523" s="1"/>
    </row>
    <row r="524" spans="1:31">
      <c r="A524">
        <v>474</v>
      </c>
      <c r="B524">
        <f t="shared" si="156"/>
        <v>0.4573356389486215</v>
      </c>
      <c r="C524">
        <v>0.45340623697583371</v>
      </c>
      <c r="D524">
        <f t="shared" si="157"/>
        <v>2.2055276669105446</v>
      </c>
      <c r="E524" s="1">
        <f t="shared" si="158"/>
        <v>0.15183160084004618</v>
      </c>
      <c r="F524" s="1">
        <f t="shared" si="159"/>
        <v>0.17612465697445356</v>
      </c>
      <c r="G524" s="1">
        <f t="shared" si="160"/>
        <v>5.4659376302416629E-2</v>
      </c>
      <c r="H524" s="1">
        <f t="shared" si="161"/>
        <v>5.2965307286751695E-2</v>
      </c>
      <c r="I524" s="1">
        <f t="shared" si="162"/>
        <v>0.19465488782438989</v>
      </c>
      <c r="J524" s="1">
        <f t="shared" si="163"/>
        <v>0.2108865855802538</v>
      </c>
      <c r="K524" s="1">
        <f t="shared" si="164"/>
        <v>0.12967626148915917</v>
      </c>
      <c r="L524" s="1">
        <f t="shared" si="165"/>
        <v>0.12858435074511743</v>
      </c>
      <c r="M524" s="1">
        <f t="shared" si="166"/>
        <v>0.28030146179307691</v>
      </c>
      <c r="N524" s="1">
        <f t="shared" si="167"/>
        <v>0.28041044279185401</v>
      </c>
      <c r="O524" s="1">
        <f t="shared" si="168"/>
        <v>0.27971003186264404</v>
      </c>
      <c r="P524" s="1">
        <f t="shared" si="169"/>
        <v>0.27982243766184878</v>
      </c>
      <c r="Q524" s="1">
        <f t="shared" si="170"/>
        <v>4.2512848235212939</v>
      </c>
      <c r="T524">
        <v>0.93676827203010804</v>
      </c>
      <c r="U524">
        <f t="shared" ref="U524:U587" si="177">1/T524</f>
        <v>1.0674998608064084</v>
      </c>
      <c r="V524" s="15">
        <f t="shared" si="171"/>
        <v>0</v>
      </c>
      <c r="W524" s="15">
        <f t="shared" si="172"/>
        <v>0</v>
      </c>
      <c r="X524" s="15">
        <f t="shared" si="173"/>
        <v>0</v>
      </c>
      <c r="Y524" s="15">
        <f t="shared" si="174"/>
        <v>0</v>
      </c>
      <c r="Z524" s="15">
        <f t="shared" si="175"/>
        <v>0</v>
      </c>
      <c r="AA524" s="15">
        <f t="shared" si="176"/>
        <v>0</v>
      </c>
      <c r="AC524" s="1"/>
      <c r="AD524" s="1"/>
      <c r="AE524" s="1"/>
    </row>
    <row r="525" spans="1:31">
      <c r="A525">
        <v>809</v>
      </c>
      <c r="B525">
        <f t="shared" si="156"/>
        <v>0.46133500294608026</v>
      </c>
      <c r="C525">
        <v>0.45594559089811448</v>
      </c>
      <c r="D525">
        <f t="shared" si="157"/>
        <v>2.1932441500974176</v>
      </c>
      <c r="E525" s="1">
        <f t="shared" si="158"/>
        <v>0.15112622475052373</v>
      </c>
      <c r="F525" s="1">
        <f t="shared" si="159"/>
        <v>0.17530642071060754</v>
      </c>
      <c r="G525" s="1">
        <f t="shared" si="160"/>
        <v>5.4405440910188556E-2</v>
      </c>
      <c r="H525" s="1">
        <f t="shared" si="161"/>
        <v>5.2719242165080206E-2</v>
      </c>
      <c r="I525" s="1">
        <f t="shared" si="162"/>
        <v>0.19375056419992487</v>
      </c>
      <c r="J525" s="1">
        <f t="shared" si="163"/>
        <v>0.20990685307235479</v>
      </c>
      <c r="K525" s="1">
        <f t="shared" si="164"/>
        <v>0.12907381421384212</v>
      </c>
      <c r="L525" s="1">
        <f t="shared" si="165"/>
        <v>0.12798697624599767</v>
      </c>
      <c r="M525" s="1">
        <f t="shared" si="166"/>
        <v>0.2789992430987267</v>
      </c>
      <c r="N525" s="1">
        <f t="shared" si="167"/>
        <v>0.27910771779584909</v>
      </c>
      <c r="O525" s="1">
        <f t="shared" si="168"/>
        <v>0.27841056082114901</v>
      </c>
      <c r="P525" s="1">
        <f t="shared" si="169"/>
        <v>0.27852244440783253</v>
      </c>
      <c r="Q525" s="1">
        <f t="shared" si="170"/>
        <v>4.2315342930146649</v>
      </c>
      <c r="T525">
        <v>0.26482488894380363</v>
      </c>
      <c r="U525">
        <f t="shared" si="177"/>
        <v>3.7760801259590142</v>
      </c>
      <c r="V525" s="15">
        <f t="shared" si="171"/>
        <v>7.3263297896929147E-2</v>
      </c>
      <c r="W525" s="15">
        <f t="shared" si="172"/>
        <v>7.7753903709084721E-2</v>
      </c>
      <c r="X525" s="15">
        <f t="shared" si="173"/>
        <v>8.6735115333395896E-2</v>
      </c>
      <c r="Y525" s="15">
        <f t="shared" si="174"/>
        <v>0.10360443866965784</v>
      </c>
      <c r="Z525" s="15">
        <f t="shared" si="175"/>
        <v>0.1075093189380865</v>
      </c>
      <c r="AA525" s="15">
        <f t="shared" si="176"/>
        <v>0.11531907947494392</v>
      </c>
      <c r="AC525" s="1"/>
      <c r="AD525" s="1"/>
      <c r="AE525" s="1"/>
    </row>
    <row r="526" spans="1:31">
      <c r="A526">
        <v>519</v>
      </c>
      <c r="B526">
        <f t="shared" si="156"/>
        <v>0.4614973593640484</v>
      </c>
      <c r="C526">
        <v>0.45656098309841064</v>
      </c>
      <c r="D526">
        <f t="shared" si="157"/>
        <v>2.1902879068062027</v>
      </c>
      <c r="E526" s="1">
        <f t="shared" si="158"/>
        <v>0.15095528247266371</v>
      </c>
      <c r="F526" s="1">
        <f t="shared" si="159"/>
        <v>0.17510812766828987</v>
      </c>
      <c r="G526" s="1">
        <f t="shared" si="160"/>
        <v>5.4343901690158937E-2</v>
      </c>
      <c r="H526" s="1">
        <f t="shared" si="161"/>
        <v>5.2659610242443144E-2</v>
      </c>
      <c r="I526" s="1">
        <f t="shared" si="162"/>
        <v>0.19353140857133905</v>
      </c>
      <c r="J526" s="1">
        <f t="shared" si="163"/>
        <v>0.20966942270140593</v>
      </c>
      <c r="K526" s="1">
        <f t="shared" si="164"/>
        <v>0.12892781591440583</v>
      </c>
      <c r="L526" s="1">
        <f t="shared" si="165"/>
        <v>0.12784220729347451</v>
      </c>
      <c r="M526" s="1">
        <f t="shared" si="166"/>
        <v>0.27868366076868933</v>
      </c>
      <c r="N526" s="1">
        <f t="shared" si="167"/>
        <v>0.27879201276763771</v>
      </c>
      <c r="O526" s="1">
        <f t="shared" si="168"/>
        <v>0.27809564436289946</v>
      </c>
      <c r="P526" s="1">
        <f t="shared" si="169"/>
        <v>0.27820740139553723</v>
      </c>
      <c r="Q526" s="1">
        <f t="shared" si="170"/>
        <v>4.2267479092345841</v>
      </c>
      <c r="T526">
        <v>0.76816456371152131</v>
      </c>
      <c r="U526">
        <f t="shared" si="177"/>
        <v>1.3018043883309656</v>
      </c>
      <c r="V526" s="15">
        <f t="shared" si="171"/>
        <v>0</v>
      </c>
      <c r="W526" s="15">
        <f t="shared" si="172"/>
        <v>0</v>
      </c>
      <c r="X526" s="15">
        <f t="shared" si="173"/>
        <v>0</v>
      </c>
      <c r="Y526" s="15">
        <f t="shared" si="174"/>
        <v>0</v>
      </c>
      <c r="Z526" s="15">
        <f t="shared" si="175"/>
        <v>0</v>
      </c>
      <c r="AA526" s="15">
        <f t="shared" si="176"/>
        <v>0</v>
      </c>
      <c r="AC526" s="1"/>
      <c r="AD526" s="1"/>
      <c r="AE526" s="1"/>
    </row>
    <row r="527" spans="1:31">
      <c r="A527">
        <v>141</v>
      </c>
      <c r="B527">
        <f t="shared" si="156"/>
        <v>0.46159749529972643</v>
      </c>
      <c r="C527">
        <v>0.45667861939864285</v>
      </c>
      <c r="D527">
        <f t="shared" si="157"/>
        <v>2.189723708363676</v>
      </c>
      <c r="E527" s="1">
        <f t="shared" si="158"/>
        <v>0.15092260572259919</v>
      </c>
      <c r="F527" s="1">
        <f t="shared" si="159"/>
        <v>0.17507022263821506</v>
      </c>
      <c r="G527" s="1">
        <f t="shared" si="160"/>
        <v>5.4332138060135718E-2</v>
      </c>
      <c r="H527" s="1">
        <f t="shared" si="161"/>
        <v>5.2648211204965288E-2</v>
      </c>
      <c r="I527" s="1">
        <f t="shared" si="162"/>
        <v>0.19348951551954297</v>
      </c>
      <c r="J527" s="1">
        <f t="shared" si="163"/>
        <v>0.20962403631141308</v>
      </c>
      <c r="K527" s="1">
        <f t="shared" si="164"/>
        <v>0.12889990737124002</v>
      </c>
      <c r="L527" s="1">
        <f t="shared" si="165"/>
        <v>0.1278145337481239</v>
      </c>
      <c r="M527" s="1">
        <f t="shared" si="166"/>
        <v>0.27862333511343018</v>
      </c>
      <c r="N527" s="1">
        <f t="shared" si="167"/>
        <v>0.27873166365780888</v>
      </c>
      <c r="O527" s="1">
        <f t="shared" si="168"/>
        <v>0.27803544599344843</v>
      </c>
      <c r="P527" s="1">
        <f t="shared" si="169"/>
        <v>0.27814717883444107</v>
      </c>
      <c r="Q527" s="1">
        <f t="shared" si="170"/>
        <v>4.2258329602327782</v>
      </c>
      <c r="T527">
        <v>0.58921615869609811</v>
      </c>
      <c r="U527">
        <f t="shared" si="177"/>
        <v>1.6971700202739572</v>
      </c>
      <c r="V527" s="15">
        <f t="shared" si="171"/>
        <v>0</v>
      </c>
      <c r="W527" s="15">
        <f t="shared" si="172"/>
        <v>0</v>
      </c>
      <c r="X527" s="15">
        <f t="shared" si="173"/>
        <v>0</v>
      </c>
      <c r="Y527" s="15">
        <f t="shared" si="174"/>
        <v>0</v>
      </c>
      <c r="Z527" s="15">
        <f t="shared" si="175"/>
        <v>0</v>
      </c>
      <c r="AA527" s="15">
        <f t="shared" si="176"/>
        <v>0</v>
      </c>
      <c r="AC527" s="1"/>
      <c r="AD527" s="1"/>
      <c r="AE527" s="1"/>
    </row>
    <row r="528" spans="1:31">
      <c r="A528">
        <v>144</v>
      </c>
      <c r="B528">
        <f t="shared" si="156"/>
        <v>0.46218445885456011</v>
      </c>
      <c r="C528">
        <v>0.45736816427076377</v>
      </c>
      <c r="D528">
        <f t="shared" si="157"/>
        <v>2.186422401293318</v>
      </c>
      <c r="E528" s="1">
        <f t="shared" si="158"/>
        <v>0.15073106548034337</v>
      </c>
      <c r="F528" s="1">
        <f t="shared" si="159"/>
        <v>0.17484803595719833</v>
      </c>
      <c r="G528" s="1">
        <f t="shared" si="160"/>
        <v>5.4263183572923625E-2</v>
      </c>
      <c r="H528" s="1">
        <f t="shared" si="161"/>
        <v>5.2581393838009208E-2</v>
      </c>
      <c r="I528" s="1">
        <f t="shared" si="162"/>
        <v>0.19324395238140918</v>
      </c>
      <c r="J528" s="1">
        <f t="shared" si="163"/>
        <v>0.20935799638647615</v>
      </c>
      <c r="K528" s="1">
        <f t="shared" si="164"/>
        <v>0.12873631677216157</v>
      </c>
      <c r="L528" s="1">
        <f t="shared" si="165"/>
        <v>0.12765232062808987</v>
      </c>
      <c r="M528" s="1">
        <f t="shared" si="166"/>
        <v>0.2782697261835404</v>
      </c>
      <c r="N528" s="1">
        <f t="shared" si="167"/>
        <v>0.27837791724503147</v>
      </c>
      <c r="O528" s="1">
        <f t="shared" si="168"/>
        <v>0.27768258317063732</v>
      </c>
      <c r="P528" s="1">
        <f t="shared" si="169"/>
        <v>0.27779417420825114</v>
      </c>
      <c r="Q528" s="1">
        <f t="shared" si="170"/>
        <v>4.2204698334496147</v>
      </c>
      <c r="T528">
        <v>0.47803220792365497</v>
      </c>
      <c r="U528">
        <f t="shared" si="177"/>
        <v>2.0919092551180292</v>
      </c>
      <c r="V528" s="15">
        <f t="shared" si="171"/>
        <v>5.9315581868285977E-2</v>
      </c>
      <c r="W528" s="15">
        <f t="shared" si="172"/>
        <v>6.4361991272042715E-2</v>
      </c>
      <c r="X528" s="15">
        <f t="shared" si="173"/>
        <v>7.4454810079556011E-2</v>
      </c>
      <c r="Y528" s="15">
        <f t="shared" si="174"/>
        <v>8.2961231004685054E-2</v>
      </c>
      <c r="Z528" s="15">
        <f t="shared" si="175"/>
        <v>8.7421454535474286E-2</v>
      </c>
      <c r="AA528" s="15">
        <f t="shared" si="176"/>
        <v>9.6341901597052651E-2</v>
      </c>
      <c r="AC528" s="1"/>
      <c r="AD528" s="1"/>
      <c r="AE528" s="1"/>
    </row>
    <row r="529" spans="1:31">
      <c r="A529">
        <v>240</v>
      </c>
      <c r="B529">
        <f t="shared" si="156"/>
        <v>0.4641409892376952</v>
      </c>
      <c r="C529">
        <v>0.46061138295860593</v>
      </c>
      <c r="D529">
        <f t="shared" si="157"/>
        <v>2.1710275451222785</v>
      </c>
      <c r="E529" s="1">
        <f t="shared" si="158"/>
        <v>0.14983017140038724</v>
      </c>
      <c r="F529" s="1">
        <f t="shared" si="159"/>
        <v>0.17380299882444919</v>
      </c>
      <c r="G529" s="1">
        <f t="shared" si="160"/>
        <v>5.3938861704139411E-2</v>
      </c>
      <c r="H529" s="1">
        <f t="shared" si="161"/>
        <v>5.2267123741970629E-2</v>
      </c>
      <c r="I529" s="1">
        <f t="shared" si="162"/>
        <v>0.19208896596813763</v>
      </c>
      <c r="J529" s="1">
        <f t="shared" si="163"/>
        <v>0.20810669905811846</v>
      </c>
      <c r="K529" s="1">
        <f t="shared" si="164"/>
        <v>0.12796688158449271</v>
      </c>
      <c r="L529" s="1">
        <f t="shared" si="165"/>
        <v>0.12688936430199987</v>
      </c>
      <c r="M529" s="1">
        <f t="shared" si="166"/>
        <v>0.27660655510363802</v>
      </c>
      <c r="N529" s="1">
        <f t="shared" si="167"/>
        <v>0.27671409952545678</v>
      </c>
      <c r="O529" s="1">
        <f t="shared" si="168"/>
        <v>0.27602292134519907</v>
      </c>
      <c r="P529" s="1">
        <f t="shared" si="169"/>
        <v>0.27613384542205832</v>
      </c>
      <c r="Q529" s="1">
        <f t="shared" si="170"/>
        <v>4.195244799210843</v>
      </c>
      <c r="T529">
        <v>0.59641417775328998</v>
      </c>
      <c r="U529">
        <f t="shared" si="177"/>
        <v>1.6766871702598183</v>
      </c>
      <c r="V529" s="15">
        <f t="shared" si="171"/>
        <v>0</v>
      </c>
      <c r="W529" s="15">
        <f t="shared" si="172"/>
        <v>0</v>
      </c>
      <c r="X529" s="15">
        <f t="shared" si="173"/>
        <v>0</v>
      </c>
      <c r="Y529" s="15">
        <f t="shared" si="174"/>
        <v>0</v>
      </c>
      <c r="Z529" s="15">
        <f t="shared" si="175"/>
        <v>0</v>
      </c>
      <c r="AA529" s="15">
        <f t="shared" si="176"/>
        <v>0</v>
      </c>
      <c r="AC529" s="1"/>
      <c r="AD529" s="1"/>
      <c r="AE529" s="1"/>
    </row>
    <row r="530" spans="1:31">
      <c r="A530">
        <v>21</v>
      </c>
      <c r="B530">
        <f t="shared" si="156"/>
        <v>0.46419050302056519</v>
      </c>
      <c r="C530">
        <v>0.46126460072471243</v>
      </c>
      <c r="D530">
        <f t="shared" si="157"/>
        <v>2.167953054339868</v>
      </c>
      <c r="E530" s="1">
        <f t="shared" si="158"/>
        <v>0.1496487220209132</v>
      </c>
      <c r="F530" s="1">
        <f t="shared" si="159"/>
        <v>0.17359251754425931</v>
      </c>
      <c r="G530" s="1">
        <f t="shared" si="160"/>
        <v>5.387353992752876E-2</v>
      </c>
      <c r="H530" s="1">
        <f t="shared" si="161"/>
        <v>5.220382649628752E-2</v>
      </c>
      <c r="I530" s="1">
        <f t="shared" si="162"/>
        <v>0.19185633976639896</v>
      </c>
      <c r="J530" s="1">
        <f t="shared" si="163"/>
        <v>0.20785467484259798</v>
      </c>
      <c r="K530" s="1">
        <f t="shared" si="164"/>
        <v>0.12781190938470333</v>
      </c>
      <c r="L530" s="1">
        <f t="shared" si="165"/>
        <v>0.12673569701189899</v>
      </c>
      <c r="M530" s="1">
        <f t="shared" si="166"/>
        <v>0.27627157525737006</v>
      </c>
      <c r="N530" s="1">
        <f t="shared" si="167"/>
        <v>0.27637898943927502</v>
      </c>
      <c r="O530" s="1">
        <f t="shared" si="168"/>
        <v>0.27568864829905237</v>
      </c>
      <c r="P530" s="1">
        <f t="shared" si="169"/>
        <v>0.27579943804312185</v>
      </c>
      <c r="Q530" s="1">
        <f t="shared" si="170"/>
        <v>4.1901642165855701</v>
      </c>
      <c r="T530">
        <v>0.14537041652339622</v>
      </c>
      <c r="U530">
        <f t="shared" si="177"/>
        <v>6.8789787077418048</v>
      </c>
      <c r="V530" s="15">
        <f t="shared" si="171"/>
        <v>8.4932703119481728E-2</v>
      </c>
      <c r="W530" s="15">
        <f t="shared" si="172"/>
        <v>8.8821339869928573E-2</v>
      </c>
      <c r="X530" s="15">
        <f t="shared" si="173"/>
        <v>9.6598613370822178E-2</v>
      </c>
      <c r="Y530" s="15">
        <f t="shared" si="174"/>
        <v>0.12086863083641601</v>
      </c>
      <c r="Z530" s="15">
        <f t="shared" si="175"/>
        <v>0.12415228256002855</v>
      </c>
      <c r="AA530" s="15">
        <f t="shared" si="176"/>
        <v>0.13071958600725361</v>
      </c>
      <c r="AC530" s="1"/>
      <c r="AD530" s="1"/>
      <c r="AE530" s="1"/>
    </row>
    <row r="531" spans="1:31">
      <c r="A531">
        <v>667</v>
      </c>
      <c r="B531">
        <f t="shared" si="156"/>
        <v>0.46420140167507712</v>
      </c>
      <c r="C531">
        <v>0.46140838280600727</v>
      </c>
      <c r="D531">
        <f t="shared" si="157"/>
        <v>2.1672774862012769</v>
      </c>
      <c r="E531" s="1">
        <f t="shared" si="158"/>
        <v>0.14960878255388688</v>
      </c>
      <c r="F531" s="1">
        <f t="shared" si="159"/>
        <v>0.17354618776250874</v>
      </c>
      <c r="G531" s="1">
        <f t="shared" si="160"/>
        <v>5.3859161719399279E-2</v>
      </c>
      <c r="H531" s="1">
        <f t="shared" si="161"/>
        <v>5.2189893914847185E-2</v>
      </c>
      <c r="I531" s="1">
        <f t="shared" si="162"/>
        <v>0.1918051355873561</v>
      </c>
      <c r="J531" s="1">
        <f t="shared" si="163"/>
        <v>0.20779920089788237</v>
      </c>
      <c r="K531" s="1">
        <f t="shared" si="164"/>
        <v>0.12777779790368626</v>
      </c>
      <c r="L531" s="1">
        <f t="shared" si="165"/>
        <v>0.12670187275918562</v>
      </c>
      <c r="M531" s="1">
        <f t="shared" si="166"/>
        <v>0.27619784165429417</v>
      </c>
      <c r="N531" s="1">
        <f t="shared" si="167"/>
        <v>0.27630522716862937</v>
      </c>
      <c r="O531" s="1">
        <f t="shared" si="168"/>
        <v>0.27561507027226012</v>
      </c>
      <c r="P531" s="1">
        <f t="shared" si="169"/>
        <v>0.27572583044786242</v>
      </c>
      <c r="Q531" s="1">
        <f t="shared" si="170"/>
        <v>4.189045911508833</v>
      </c>
      <c r="T531">
        <v>4.2790297605424188E-2</v>
      </c>
      <c r="U531">
        <f t="shared" si="177"/>
        <v>23.369783711745857</v>
      </c>
      <c r="V531" s="15">
        <f t="shared" si="171"/>
        <v>0.10304197639427203</v>
      </c>
      <c r="W531" s="15">
        <f t="shared" si="172"/>
        <v>0.1057753682453844</v>
      </c>
      <c r="X531" s="15">
        <f t="shared" si="173"/>
        <v>0.11124215194760896</v>
      </c>
      <c r="Y531" s="15">
        <f t="shared" si="174"/>
        <v>0.14763297309330198</v>
      </c>
      <c r="Z531" s="15">
        <f t="shared" si="175"/>
        <v>0.14970192057754048</v>
      </c>
      <c r="AA531" s="15">
        <f t="shared" si="176"/>
        <v>0.15383981554601778</v>
      </c>
      <c r="AC531" s="1"/>
      <c r="AD531" s="1"/>
      <c r="AE531" s="1"/>
    </row>
    <row r="532" spans="1:31">
      <c r="A532">
        <v>496</v>
      </c>
      <c r="B532">
        <f t="shared" si="156"/>
        <v>0.46536993592360487</v>
      </c>
      <c r="C532">
        <v>0.46226046818825717</v>
      </c>
      <c r="D532">
        <f t="shared" si="157"/>
        <v>2.1632825405107896</v>
      </c>
      <c r="E532" s="1">
        <f t="shared" si="158"/>
        <v>0.14937209216992856</v>
      </c>
      <c r="F532" s="1">
        <f t="shared" si="159"/>
        <v>0.17327162691711712</v>
      </c>
      <c r="G532" s="1">
        <f t="shared" si="160"/>
        <v>5.3773953181174283E-2</v>
      </c>
      <c r="H532" s="1">
        <f t="shared" si="161"/>
        <v>5.2107326261942193E-2</v>
      </c>
      <c r="I532" s="1">
        <f t="shared" si="162"/>
        <v>0.19150168795271608</v>
      </c>
      <c r="J532" s="1">
        <f t="shared" si="163"/>
        <v>0.20747044965876957</v>
      </c>
      <c r="K532" s="1">
        <f t="shared" si="164"/>
        <v>0.12757564549303968</v>
      </c>
      <c r="L532" s="1">
        <f t="shared" si="165"/>
        <v>0.12650142252892721</v>
      </c>
      <c r="M532" s="1">
        <f t="shared" si="166"/>
        <v>0.27576087951829076</v>
      </c>
      <c r="N532" s="1">
        <f t="shared" si="167"/>
        <v>0.27586809514207422</v>
      </c>
      <c r="O532" s="1">
        <f t="shared" si="168"/>
        <v>0.27517903011677031</v>
      </c>
      <c r="P532" s="1">
        <f t="shared" si="169"/>
        <v>0.27528961506289717</v>
      </c>
      <c r="Q532" s="1">
        <f t="shared" si="170"/>
        <v>4.1824185807580001</v>
      </c>
      <c r="T532">
        <v>0.62571362192568536</v>
      </c>
      <c r="U532">
        <f t="shared" si="177"/>
        <v>1.5981752114048875</v>
      </c>
      <c r="V532" s="15">
        <f t="shared" si="171"/>
        <v>0</v>
      </c>
      <c r="W532" s="15">
        <f t="shared" si="172"/>
        <v>0</v>
      </c>
      <c r="X532" s="15">
        <f t="shared" si="173"/>
        <v>0</v>
      </c>
      <c r="Y532" s="15">
        <f t="shared" si="174"/>
        <v>0</v>
      </c>
      <c r="Z532" s="15">
        <f t="shared" si="175"/>
        <v>0</v>
      </c>
      <c r="AA532" s="15">
        <f t="shared" si="176"/>
        <v>0</v>
      </c>
      <c r="AC532" s="1"/>
      <c r="AD532" s="1"/>
      <c r="AE532" s="1"/>
    </row>
    <row r="533" spans="1:31">
      <c r="A533">
        <v>408</v>
      </c>
      <c r="B533">
        <f t="shared" si="156"/>
        <v>0.465411921238156</v>
      </c>
      <c r="C533">
        <v>0.46228927560333044</v>
      </c>
      <c r="D533">
        <f t="shared" si="157"/>
        <v>2.1631477362197233</v>
      </c>
      <c r="E533" s="1">
        <f t="shared" si="158"/>
        <v>0.14936409011018598</v>
      </c>
      <c r="F533" s="1">
        <f t="shared" si="159"/>
        <v>0.17326234452781575</v>
      </c>
      <c r="G533" s="1">
        <f t="shared" si="160"/>
        <v>5.3771072439666959E-2</v>
      </c>
      <c r="H533" s="1">
        <f t="shared" si="161"/>
        <v>5.2104534803834347E-2</v>
      </c>
      <c r="I533" s="1">
        <f t="shared" si="162"/>
        <v>0.19149142895503091</v>
      </c>
      <c r="J533" s="1">
        <f t="shared" si="163"/>
        <v>0.20745933519348445</v>
      </c>
      <c r="K533" s="1">
        <f t="shared" si="164"/>
        <v>0.12756881109765764</v>
      </c>
      <c r="L533" s="1">
        <f t="shared" si="165"/>
        <v>0.1264946456810844</v>
      </c>
      <c r="M533" s="1">
        <f t="shared" si="166"/>
        <v>0.27574610664472043</v>
      </c>
      <c r="N533" s="1">
        <f t="shared" si="167"/>
        <v>0.27585331652482159</v>
      </c>
      <c r="O533" s="1">
        <f t="shared" si="168"/>
        <v>0.27516428841363882</v>
      </c>
      <c r="P533" s="1">
        <f t="shared" si="169"/>
        <v>0.27527486743558444</v>
      </c>
      <c r="Q533" s="1">
        <f t="shared" si="170"/>
        <v>4.182194523085208</v>
      </c>
      <c r="T533">
        <v>3.6671100784268384E-2</v>
      </c>
      <c r="U533">
        <f t="shared" si="177"/>
        <v>27.269429567519069</v>
      </c>
      <c r="V533" s="15">
        <f t="shared" si="171"/>
        <v>0.10304197639427203</v>
      </c>
      <c r="W533" s="15">
        <f t="shared" si="172"/>
        <v>0.1057753682453844</v>
      </c>
      <c r="X533" s="15">
        <f t="shared" si="173"/>
        <v>0.11124215194760896</v>
      </c>
      <c r="Y533" s="15">
        <f t="shared" si="174"/>
        <v>0.14763297309330198</v>
      </c>
      <c r="Z533" s="15">
        <f t="shared" si="175"/>
        <v>0.14970192057754048</v>
      </c>
      <c r="AA533" s="15">
        <f t="shared" si="176"/>
        <v>0.15383981554601778</v>
      </c>
      <c r="AC533" s="1"/>
      <c r="AD533" s="1"/>
      <c r="AE533" s="1"/>
    </row>
    <row r="534" spans="1:31">
      <c r="A534">
        <v>54</v>
      </c>
      <c r="B534">
        <f t="shared" si="156"/>
        <v>0.46553488210000116</v>
      </c>
      <c r="C534">
        <v>0.46237364283084359</v>
      </c>
      <c r="D534">
        <f t="shared" si="157"/>
        <v>2.1627530364351748</v>
      </c>
      <c r="E534" s="1">
        <f t="shared" si="158"/>
        <v>0.1493406547692101</v>
      </c>
      <c r="F534" s="1">
        <f t="shared" si="159"/>
        <v>0.17323515953228372</v>
      </c>
      <c r="G534" s="1">
        <f t="shared" si="160"/>
        <v>5.3762635716915641E-2</v>
      </c>
      <c r="H534" s="1">
        <f t="shared" si="161"/>
        <v>5.2096359562123863E-2</v>
      </c>
      <c r="I534" s="1">
        <f t="shared" si="162"/>
        <v>0.19146138380208813</v>
      </c>
      <c r="J534" s="1">
        <f t="shared" si="163"/>
        <v>0.20742678466373329</v>
      </c>
      <c r="K534" s="1">
        <f t="shared" si="164"/>
        <v>0.12754879545277437</v>
      </c>
      <c r="L534" s="1">
        <f t="shared" si="165"/>
        <v>0.12647479857358371</v>
      </c>
      <c r="M534" s="1">
        <f t="shared" si="166"/>
        <v>0.27570284186784383</v>
      </c>
      <c r="N534" s="1">
        <f t="shared" si="167"/>
        <v>0.27581003492663214</v>
      </c>
      <c r="O534" s="1">
        <f t="shared" si="168"/>
        <v>0.27512111492449159</v>
      </c>
      <c r="P534" s="1">
        <f t="shared" si="169"/>
        <v>0.27523167659650338</v>
      </c>
      <c r="Q534" s="1">
        <f t="shared" si="170"/>
        <v>4.1815383335378833</v>
      </c>
      <c r="T534">
        <v>0.95061800017608988</v>
      </c>
      <c r="U534">
        <f t="shared" si="177"/>
        <v>1.0519472593773342</v>
      </c>
      <c r="V534" s="15">
        <f t="shared" si="171"/>
        <v>0</v>
      </c>
      <c r="W534" s="15">
        <f t="shared" si="172"/>
        <v>0</v>
      </c>
      <c r="X534" s="15">
        <f t="shared" si="173"/>
        <v>0</v>
      </c>
      <c r="Y534" s="15">
        <f t="shared" si="174"/>
        <v>0</v>
      </c>
      <c r="Z534" s="15">
        <f t="shared" si="175"/>
        <v>0</v>
      </c>
      <c r="AA534" s="15">
        <f t="shared" si="176"/>
        <v>0</v>
      </c>
      <c r="AC534" s="1"/>
      <c r="AD534" s="1"/>
      <c r="AE534" s="1"/>
    </row>
    <row r="535" spans="1:31">
      <c r="A535">
        <v>710</v>
      </c>
      <c r="B535">
        <f t="shared" si="156"/>
        <v>0.46665691526249636</v>
      </c>
      <c r="C535">
        <v>0.46412954934093931</v>
      </c>
      <c r="D535">
        <f t="shared" si="157"/>
        <v>2.1545708550985236</v>
      </c>
      <c r="E535" s="1">
        <f t="shared" si="158"/>
        <v>0.14885290296085019</v>
      </c>
      <c r="F535" s="1">
        <f t="shared" si="159"/>
        <v>0.17266936743458622</v>
      </c>
      <c r="G535" s="1">
        <f t="shared" si="160"/>
        <v>5.3587045065906072E-2</v>
      </c>
      <c r="H535" s="1">
        <f t="shared" si="161"/>
        <v>5.1926211027388536E-2</v>
      </c>
      <c r="I535" s="1">
        <f t="shared" si="162"/>
        <v>0.19083606421764626</v>
      </c>
      <c r="J535" s="1">
        <f t="shared" si="163"/>
        <v>0.20674932152097172</v>
      </c>
      <c r="K535" s="1">
        <f t="shared" si="164"/>
        <v>0.12713221662008903</v>
      </c>
      <c r="L535" s="1">
        <f t="shared" si="165"/>
        <v>0.126061727452317</v>
      </c>
      <c r="M535" s="1">
        <f t="shared" si="166"/>
        <v>0.27480238673123802</v>
      </c>
      <c r="N535" s="1">
        <f t="shared" si="167"/>
        <v>0.27490922969374243</v>
      </c>
      <c r="O535" s="1">
        <f t="shared" si="168"/>
        <v>0.27422255972845477</v>
      </c>
      <c r="P535" s="1">
        <f t="shared" si="169"/>
        <v>0.27433276030217385</v>
      </c>
      <c r="Q535" s="1">
        <f t="shared" si="170"/>
        <v>4.1678812829038057</v>
      </c>
      <c r="T535">
        <v>0.27469762646520035</v>
      </c>
      <c r="U535">
        <f t="shared" si="177"/>
        <v>3.6403663652575586</v>
      </c>
      <c r="V535" s="15">
        <f t="shared" si="171"/>
        <v>7.2617437613930219E-2</v>
      </c>
      <c r="W535" s="15">
        <f t="shared" si="172"/>
        <v>7.7133780361382298E-2</v>
      </c>
      <c r="X535" s="15">
        <f t="shared" si="173"/>
        <v>8.6166465856286498E-2</v>
      </c>
      <c r="Y535" s="15">
        <f t="shared" si="174"/>
        <v>0.10264853822566219</v>
      </c>
      <c r="Z535" s="15">
        <f t="shared" si="175"/>
        <v>0.1065791341134692</v>
      </c>
      <c r="AA535" s="15">
        <f t="shared" si="176"/>
        <v>0.11444032588908329</v>
      </c>
      <c r="AC535" s="1"/>
      <c r="AD535" s="1"/>
      <c r="AE535" s="1"/>
    </row>
    <row r="536" spans="1:31">
      <c r="A536">
        <v>779</v>
      </c>
      <c r="B536">
        <f t="shared" si="156"/>
        <v>0.46671802006244045</v>
      </c>
      <c r="C536">
        <v>0.46420542502710083</v>
      </c>
      <c r="D536">
        <f t="shared" si="157"/>
        <v>2.1542186844145972</v>
      </c>
      <c r="E536" s="1">
        <f t="shared" si="158"/>
        <v>0.14883182638136089</v>
      </c>
      <c r="F536" s="1">
        <f t="shared" si="159"/>
        <v>0.17264491860237863</v>
      </c>
      <c r="G536" s="1">
        <f t="shared" si="160"/>
        <v>5.3579457497289922E-2</v>
      </c>
      <c r="H536" s="1">
        <f t="shared" si="161"/>
        <v>5.1918858621808749E-2</v>
      </c>
      <c r="I536" s="1">
        <f t="shared" si="162"/>
        <v>0.19080904310218996</v>
      </c>
      <c r="J536" s="1">
        <f t="shared" si="163"/>
        <v>0.20672004719428597</v>
      </c>
      <c r="K536" s="1">
        <f t="shared" si="164"/>
        <v>0.12711421554509522</v>
      </c>
      <c r="L536" s="1">
        <f t="shared" si="165"/>
        <v>0.12604387795145838</v>
      </c>
      <c r="M536" s="1">
        <f t="shared" si="166"/>
        <v>0.27476347654384775</v>
      </c>
      <c r="N536" s="1">
        <f t="shared" si="167"/>
        <v>0.27487030437810045</v>
      </c>
      <c r="O536" s="1">
        <f t="shared" si="168"/>
        <v>0.27418373164070559</v>
      </c>
      <c r="P536" s="1">
        <f t="shared" si="169"/>
        <v>0.27429391661075753</v>
      </c>
      <c r="Q536" s="1">
        <f t="shared" si="170"/>
        <v>4.1672911386781051</v>
      </c>
      <c r="T536">
        <v>0.94683433829975983</v>
      </c>
      <c r="U536">
        <f t="shared" si="177"/>
        <v>1.0561509649044947</v>
      </c>
      <c r="V536" s="15">
        <f t="shared" si="171"/>
        <v>0</v>
      </c>
      <c r="W536" s="15">
        <f t="shared" si="172"/>
        <v>0</v>
      </c>
      <c r="X536" s="15">
        <f t="shared" si="173"/>
        <v>0</v>
      </c>
      <c r="Y536" s="15">
        <f t="shared" si="174"/>
        <v>0</v>
      </c>
      <c r="Z536" s="15">
        <f t="shared" si="175"/>
        <v>0</v>
      </c>
      <c r="AA536" s="15">
        <f t="shared" si="176"/>
        <v>0</v>
      </c>
      <c r="AC536" s="1"/>
      <c r="AD536" s="1"/>
      <c r="AE536" s="1"/>
    </row>
    <row r="537" spans="1:31">
      <c r="A537">
        <v>234</v>
      </c>
      <c r="B537">
        <f t="shared" si="156"/>
        <v>0.47012597885459484</v>
      </c>
      <c r="C537">
        <v>0.46566433211008862</v>
      </c>
      <c r="D537">
        <f t="shared" si="157"/>
        <v>2.1474696064193899</v>
      </c>
      <c r="E537" s="1">
        <f t="shared" si="158"/>
        <v>0.14842657441386425</v>
      </c>
      <c r="F537" s="1">
        <f t="shared" si="159"/>
        <v>0.17217482632008255</v>
      </c>
      <c r="G537" s="1">
        <f t="shared" si="160"/>
        <v>5.3433566788991138E-2</v>
      </c>
      <c r="H537" s="1">
        <f t="shared" si="161"/>
        <v>5.1777489533501295E-2</v>
      </c>
      <c r="I537" s="1">
        <f t="shared" si="162"/>
        <v>0.19028949199532405</v>
      </c>
      <c r="J537" s="1">
        <f t="shared" si="163"/>
        <v>0.20615717225091318</v>
      </c>
      <c r="K537" s="1">
        <f t="shared" si="164"/>
        <v>0.12676809813728726</v>
      </c>
      <c r="L537" s="1">
        <f t="shared" si="165"/>
        <v>0.12570067494997234</v>
      </c>
      <c r="M537" s="1">
        <f t="shared" si="166"/>
        <v>0.27401532715824328</v>
      </c>
      <c r="N537" s="1">
        <f t="shared" si="167"/>
        <v>0.27412186411257422</v>
      </c>
      <c r="O537" s="1">
        <f t="shared" si="168"/>
        <v>0.27343716083387937</v>
      </c>
      <c r="P537" s="1">
        <f t="shared" si="169"/>
        <v>0.27354704578291439</v>
      </c>
      <c r="Q537" s="1">
        <f t="shared" si="170"/>
        <v>4.1559440835881993</v>
      </c>
      <c r="T537">
        <v>0.70297947529090488</v>
      </c>
      <c r="U537">
        <f t="shared" si="177"/>
        <v>1.4225166383217418</v>
      </c>
      <c r="V537" s="15">
        <f t="shared" si="171"/>
        <v>0</v>
      </c>
      <c r="W537" s="15">
        <f t="shared" si="172"/>
        <v>0</v>
      </c>
      <c r="X537" s="15">
        <f t="shared" si="173"/>
        <v>0</v>
      </c>
      <c r="Y537" s="15">
        <f t="shared" si="174"/>
        <v>0</v>
      </c>
      <c r="Z537" s="15">
        <f t="shared" si="175"/>
        <v>0</v>
      </c>
      <c r="AA537" s="15">
        <f t="shared" si="176"/>
        <v>0</v>
      </c>
      <c r="AC537" s="1"/>
      <c r="AD537" s="1"/>
      <c r="AE537" s="1"/>
    </row>
    <row r="538" spans="1:31">
      <c r="A538">
        <v>399</v>
      </c>
      <c r="B538">
        <f t="shared" si="156"/>
        <v>0.47163608547115099</v>
      </c>
      <c r="C538">
        <v>0.46612049778348874</v>
      </c>
      <c r="D538">
        <f t="shared" si="157"/>
        <v>2.1453679998095607</v>
      </c>
      <c r="E538" s="1">
        <f t="shared" si="158"/>
        <v>0.14829986172680867</v>
      </c>
      <c r="F538" s="1">
        <f t="shared" si="159"/>
        <v>0.17202783960309806</v>
      </c>
      <c r="G538" s="1">
        <f t="shared" si="160"/>
        <v>5.3387950221651131E-2</v>
      </c>
      <c r="H538" s="1">
        <f t="shared" si="161"/>
        <v>5.173328676958458E-2</v>
      </c>
      <c r="I538" s="1">
        <f t="shared" si="162"/>
        <v>0.19012704067591318</v>
      </c>
      <c r="J538" s="1">
        <f t="shared" si="163"/>
        <v>0.2059811745944635</v>
      </c>
      <c r="K538" s="1">
        <f t="shared" si="164"/>
        <v>0.12665987542574564</v>
      </c>
      <c r="L538" s="1">
        <f t="shared" si="165"/>
        <v>0.12559336350422545</v>
      </c>
      <c r="M538" s="1">
        <f t="shared" si="166"/>
        <v>0.27378139857412181</v>
      </c>
      <c r="N538" s="1">
        <f t="shared" si="167"/>
        <v>0.27388784457719412</v>
      </c>
      <c r="O538" s="1">
        <f t="shared" si="168"/>
        <v>0.27320372583393449</v>
      </c>
      <c r="P538" s="1">
        <f t="shared" si="169"/>
        <v>0.27331351697350709</v>
      </c>
      <c r="Q538" s="1">
        <f t="shared" si="170"/>
        <v>4.1523961283506434</v>
      </c>
      <c r="T538">
        <v>0.42057399642199189</v>
      </c>
      <c r="U538">
        <f t="shared" si="177"/>
        <v>2.37770287394713</v>
      </c>
      <c r="V538" s="15">
        <f t="shared" si="171"/>
        <v>6.3074415389449717E-2</v>
      </c>
      <c r="W538" s="15">
        <f t="shared" si="172"/>
        <v>6.7971038751749688E-2</v>
      </c>
      <c r="X538" s="15">
        <f t="shared" si="173"/>
        <v>7.776428547634949E-2</v>
      </c>
      <c r="Y538" s="15">
        <f t="shared" si="174"/>
        <v>8.8524463063331463E-2</v>
      </c>
      <c r="Z538" s="15">
        <f t="shared" si="175"/>
        <v>9.2835024608887651E-2</v>
      </c>
      <c r="AA538" s="15">
        <f t="shared" si="176"/>
        <v>0.1014561477</v>
      </c>
      <c r="AC538" s="1"/>
      <c r="AD538" s="1"/>
      <c r="AE538" s="1"/>
    </row>
    <row r="539" spans="1:31">
      <c r="A539">
        <v>180</v>
      </c>
      <c r="B539">
        <f t="shared" si="156"/>
        <v>0.47281167778629563</v>
      </c>
      <c r="C539">
        <v>0.46692663172446924</v>
      </c>
      <c r="D539">
        <f t="shared" si="157"/>
        <v>2.1416640903663304</v>
      </c>
      <c r="E539" s="1">
        <f t="shared" si="158"/>
        <v>0.14807593563209187</v>
      </c>
      <c r="F539" s="1">
        <f t="shared" si="159"/>
        <v>0.17176808533322657</v>
      </c>
      <c r="G539" s="1">
        <f t="shared" si="160"/>
        <v>5.3307336827553078E-2</v>
      </c>
      <c r="H539" s="1">
        <f t="shared" si="161"/>
        <v>5.1655171842582705E-2</v>
      </c>
      <c r="I539" s="1">
        <f t="shared" si="162"/>
        <v>0.18983995742969242</v>
      </c>
      <c r="J539" s="1">
        <f t="shared" si="163"/>
        <v>0.20567015232192026</v>
      </c>
      <c r="K539" s="1">
        <f t="shared" si="164"/>
        <v>0.12646862473318835</v>
      </c>
      <c r="L539" s="1">
        <f t="shared" si="165"/>
        <v>0.12540372319651122</v>
      </c>
      <c r="M539" s="1">
        <f t="shared" si="166"/>
        <v>0.27336800102489317</v>
      </c>
      <c r="N539" s="1">
        <f t="shared" si="167"/>
        <v>0.27347428629930737</v>
      </c>
      <c r="O539" s="1">
        <f t="shared" si="168"/>
        <v>0.27279120054445871</v>
      </c>
      <c r="P539" s="1">
        <f t="shared" si="169"/>
        <v>0.27290082590436815</v>
      </c>
      <c r="Q539" s="1">
        <f t="shared" si="170"/>
        <v>4.1461261976985728</v>
      </c>
      <c r="T539">
        <v>0.32341738098953654</v>
      </c>
      <c r="U539">
        <f t="shared" si="177"/>
        <v>3.0919797722075821</v>
      </c>
      <c r="V539" s="15">
        <f t="shared" si="171"/>
        <v>6.9430261374662072E-2</v>
      </c>
      <c r="W539" s="15">
        <f t="shared" si="172"/>
        <v>7.4073610149281141E-2</v>
      </c>
      <c r="X539" s="15">
        <f t="shared" si="173"/>
        <v>8.3360307698519237E-2</v>
      </c>
      <c r="Y539" s="15">
        <f t="shared" si="174"/>
        <v>9.7931383041475417E-2</v>
      </c>
      <c r="Z539" s="15">
        <f t="shared" si="175"/>
        <v>0.10198887976715425</v>
      </c>
      <c r="AA539" s="15">
        <f t="shared" si="176"/>
        <v>0.11010387321851198</v>
      </c>
      <c r="AC539" s="1"/>
      <c r="AD539" s="1"/>
      <c r="AE539" s="1"/>
    </row>
    <row r="540" spans="1:31">
      <c r="A540">
        <v>90</v>
      </c>
      <c r="B540">
        <f t="shared" si="156"/>
        <v>0.47882291396564713</v>
      </c>
      <c r="C540">
        <v>0.46946764383867989</v>
      </c>
      <c r="D540">
        <f t="shared" si="157"/>
        <v>2.1300722491188839</v>
      </c>
      <c r="E540" s="1">
        <f t="shared" si="158"/>
        <v>0.14737009893370001</v>
      </c>
      <c r="F540" s="1">
        <f t="shared" si="159"/>
        <v>0.17094931476309203</v>
      </c>
      <c r="G540" s="1">
        <f t="shared" si="160"/>
        <v>5.3053235616132011E-2</v>
      </c>
      <c r="H540" s="1">
        <f t="shared" si="161"/>
        <v>5.140894604098574E-2</v>
      </c>
      <c r="I540" s="1">
        <f t="shared" si="162"/>
        <v>0.18893504328410196</v>
      </c>
      <c r="J540" s="1">
        <f t="shared" si="163"/>
        <v>0.20468978005107852</v>
      </c>
      <c r="K540" s="1">
        <f t="shared" si="164"/>
        <v>0.125865784061267</v>
      </c>
      <c r="L540" s="1">
        <f t="shared" si="165"/>
        <v>0.12480595861329769</v>
      </c>
      <c r="M540" s="1">
        <f t="shared" si="166"/>
        <v>0.27206493198490544</v>
      </c>
      <c r="N540" s="1">
        <f t="shared" si="167"/>
        <v>0.27217071062705123</v>
      </c>
      <c r="O540" s="1">
        <f t="shared" si="168"/>
        <v>0.27149088095153684</v>
      </c>
      <c r="P540" s="1">
        <f t="shared" si="169"/>
        <v>0.27159998375792149</v>
      </c>
      <c r="Q540" s="1">
        <f t="shared" si="170"/>
        <v>4.1263627701436008</v>
      </c>
      <c r="T540">
        <v>0.36344254065534132</v>
      </c>
      <c r="U540">
        <f t="shared" si="177"/>
        <v>2.7514665679940777</v>
      </c>
      <c r="V540" s="15">
        <f t="shared" si="171"/>
        <v>6.6811873020590121E-2</v>
      </c>
      <c r="W540" s="15">
        <f t="shared" si="172"/>
        <v>7.1559562150892597E-2</v>
      </c>
      <c r="X540" s="15">
        <f t="shared" si="173"/>
        <v>8.1054940411497481E-2</v>
      </c>
      <c r="Y540" s="15">
        <f t="shared" si="174"/>
        <v>9.4056057903678519E-2</v>
      </c>
      <c r="Z540" s="15">
        <f t="shared" si="175"/>
        <v>9.8217808567972895E-2</v>
      </c>
      <c r="AA540" s="15">
        <f t="shared" si="176"/>
        <v>0.10654130989656167</v>
      </c>
      <c r="AC540" s="1"/>
      <c r="AD540" s="1"/>
      <c r="AE540" s="1"/>
    </row>
    <row r="541" spans="1:31">
      <c r="A541">
        <v>915</v>
      </c>
      <c r="B541">
        <f t="shared" si="156"/>
        <v>0.48385947365953352</v>
      </c>
      <c r="C541">
        <v>0.4727813921606957</v>
      </c>
      <c r="D541">
        <f t="shared" si="157"/>
        <v>2.1151424666478955</v>
      </c>
      <c r="E541" s="1">
        <f t="shared" si="158"/>
        <v>0.14644961328869563</v>
      </c>
      <c r="F541" s="1">
        <f t="shared" si="159"/>
        <v>0.16988155141488692</v>
      </c>
      <c r="G541" s="1">
        <f t="shared" si="160"/>
        <v>5.272186078393043E-2</v>
      </c>
      <c r="H541" s="1">
        <f t="shared" si="161"/>
        <v>5.1087841575439975E-2</v>
      </c>
      <c r="I541" s="1">
        <f t="shared" si="162"/>
        <v>0.18775493961015696</v>
      </c>
      <c r="J541" s="1">
        <f t="shared" si="163"/>
        <v>0.20341127100766063</v>
      </c>
      <c r="K541" s="1">
        <f t="shared" si="164"/>
        <v>0.1250796161190324</v>
      </c>
      <c r="L541" s="1">
        <f t="shared" si="165"/>
        <v>0.12402641042716098</v>
      </c>
      <c r="M541" s="1">
        <f t="shared" si="166"/>
        <v>0.27036559225307921</v>
      </c>
      <c r="N541" s="1">
        <f t="shared" si="167"/>
        <v>0.27047071019320773</v>
      </c>
      <c r="O541" s="1">
        <f t="shared" si="168"/>
        <v>0.26979512678923612</v>
      </c>
      <c r="P541" s="1">
        <f t="shared" si="169"/>
        <v>0.26990354813060291</v>
      </c>
      <c r="Q541" s="1">
        <f t="shared" si="170"/>
        <v>4.1005891720834775</v>
      </c>
      <c r="T541">
        <v>0.20219354611050422</v>
      </c>
      <c r="U541">
        <f t="shared" si="177"/>
        <v>4.9457562777670114</v>
      </c>
      <c r="V541" s="15">
        <f t="shared" si="171"/>
        <v>7.7360550226311012E-2</v>
      </c>
      <c r="W541" s="15">
        <f t="shared" si="172"/>
        <v>8.1687884320309267E-2</v>
      </c>
      <c r="X541" s="15">
        <f t="shared" si="173"/>
        <v>9.0342552508305918E-2</v>
      </c>
      <c r="Y541" s="15">
        <f t="shared" si="174"/>
        <v>0.10966854482994443</v>
      </c>
      <c r="Z541" s="15">
        <f t="shared" si="175"/>
        <v>0.11341028860558527</v>
      </c>
      <c r="AA541" s="15">
        <f t="shared" si="176"/>
        <v>0.1208937761568671</v>
      </c>
      <c r="AC541" s="1"/>
      <c r="AD541" s="1"/>
      <c r="AE541" s="1"/>
    </row>
    <row r="542" spans="1:31">
      <c r="A542">
        <v>872</v>
      </c>
      <c r="B542">
        <f t="shared" si="156"/>
        <v>0.48396791168094538</v>
      </c>
      <c r="C542">
        <v>0.47284727271341942</v>
      </c>
      <c r="D542">
        <f t="shared" si="157"/>
        <v>2.1148477694743399</v>
      </c>
      <c r="E542" s="1">
        <f t="shared" si="158"/>
        <v>0.14643131313516128</v>
      </c>
      <c r="F542" s="1">
        <f t="shared" si="159"/>
        <v>0.16986032323678707</v>
      </c>
      <c r="G542" s="1">
        <f t="shared" si="160"/>
        <v>5.2715272728658058E-2</v>
      </c>
      <c r="H542" s="1">
        <f t="shared" si="161"/>
        <v>5.1081457705086375E-2</v>
      </c>
      <c r="I542" s="1">
        <f t="shared" si="162"/>
        <v>0.18773147799667403</v>
      </c>
      <c r="J542" s="1">
        <f t="shared" si="163"/>
        <v>0.20338585299933359</v>
      </c>
      <c r="K542" s="1">
        <f t="shared" si="164"/>
        <v>0.12506398633259869</v>
      </c>
      <c r="L542" s="1">
        <f t="shared" si="165"/>
        <v>0.12401091224794313</v>
      </c>
      <c r="M542" s="1">
        <f t="shared" si="166"/>
        <v>0.27033180771969922</v>
      </c>
      <c r="N542" s="1">
        <f t="shared" si="167"/>
        <v>0.27043691252442642</v>
      </c>
      <c r="O542" s="1">
        <f t="shared" si="168"/>
        <v>0.26976141354047983</v>
      </c>
      <c r="P542" s="1">
        <f t="shared" si="169"/>
        <v>0.26986982133365656</v>
      </c>
      <c r="Q542" s="1">
        <f t="shared" si="170"/>
        <v>4.1000767677845165</v>
      </c>
      <c r="T542">
        <v>0.55067521742506342</v>
      </c>
      <c r="U542">
        <f t="shared" si="177"/>
        <v>1.8159524314095019</v>
      </c>
      <c r="V542" s="15">
        <f t="shared" si="171"/>
        <v>0</v>
      </c>
      <c r="W542" s="15">
        <f t="shared" si="172"/>
        <v>0</v>
      </c>
      <c r="X542" s="15">
        <f t="shared" si="173"/>
        <v>0</v>
      </c>
      <c r="Y542" s="15">
        <f t="shared" si="174"/>
        <v>0</v>
      </c>
      <c r="Z542" s="15">
        <f t="shared" si="175"/>
        <v>0</v>
      </c>
      <c r="AA542" s="15">
        <f t="shared" si="176"/>
        <v>0</v>
      </c>
      <c r="AC542" s="1"/>
      <c r="AD542" s="1"/>
      <c r="AE542" s="1"/>
    </row>
    <row r="543" spans="1:31">
      <c r="A543">
        <v>789</v>
      </c>
      <c r="B543">
        <f t="shared" si="156"/>
        <v>0.48607270191233648</v>
      </c>
      <c r="C543">
        <v>0.47549171878423702</v>
      </c>
      <c r="D543">
        <f t="shared" si="157"/>
        <v>2.1030860486000771</v>
      </c>
      <c r="E543" s="1">
        <f t="shared" si="158"/>
        <v>0.14569674478215638</v>
      </c>
      <c r="F543" s="1">
        <f t="shared" si="159"/>
        <v>0.16900822394730139</v>
      </c>
      <c r="G543" s="1">
        <f t="shared" si="160"/>
        <v>5.2450828121576303E-2</v>
      </c>
      <c r="H543" s="1">
        <f t="shared" si="161"/>
        <v>5.0825209082765554E-2</v>
      </c>
      <c r="I543" s="1">
        <f t="shared" si="162"/>
        <v>0.18678972858770779</v>
      </c>
      <c r="J543" s="1">
        <f t="shared" si="163"/>
        <v>0.20236557388099835</v>
      </c>
      <c r="K543" s="1">
        <f t="shared" si="164"/>
        <v>0.12443660654275987</v>
      </c>
      <c r="L543" s="1">
        <f t="shared" si="165"/>
        <v>0.12338881517311513</v>
      </c>
      <c r="M543" s="1">
        <f t="shared" si="166"/>
        <v>0.26897569619881023</v>
      </c>
      <c r="N543" s="1">
        <f t="shared" si="167"/>
        <v>0.26908027374839205</v>
      </c>
      <c r="O543" s="1">
        <f t="shared" si="168"/>
        <v>0.26840816338512685</v>
      </c>
      <c r="P543" s="1">
        <f t="shared" si="169"/>
        <v>0.26851602735381425</v>
      </c>
      <c r="Q543" s="1">
        <f t="shared" si="170"/>
        <v>4.0795088539003785</v>
      </c>
      <c r="T543">
        <v>0.13393586888838627</v>
      </c>
      <c r="U543">
        <f t="shared" si="177"/>
        <v>7.4662598473403499</v>
      </c>
      <c r="V543" s="15">
        <f t="shared" si="171"/>
        <v>8.6487598757101103E-2</v>
      </c>
      <c r="W543" s="15">
        <f t="shared" si="172"/>
        <v>9.0285608427436492E-2</v>
      </c>
      <c r="X543" s="15">
        <f t="shared" si="173"/>
        <v>9.7881627768107174E-2</v>
      </c>
      <c r="Y543" s="15">
        <f t="shared" si="174"/>
        <v>0.12316847267571622</v>
      </c>
      <c r="Z543" s="15">
        <f t="shared" si="175"/>
        <v>0.12635743681100844</v>
      </c>
      <c r="AA543" s="15">
        <f t="shared" si="176"/>
        <v>0.13273536508159284</v>
      </c>
      <c r="AC543" s="1"/>
      <c r="AD543" s="1"/>
      <c r="AE543" s="1"/>
    </row>
    <row r="544" spans="1:31">
      <c r="A544">
        <v>706</v>
      </c>
      <c r="B544">
        <f t="shared" si="156"/>
        <v>0.48818990928537154</v>
      </c>
      <c r="C544">
        <v>0.47882900051728816</v>
      </c>
      <c r="D544">
        <f t="shared" si="157"/>
        <v>2.0884282257751323</v>
      </c>
      <c r="E544" s="1">
        <f t="shared" si="158"/>
        <v>0.14476972207853106</v>
      </c>
      <c r="F544" s="1">
        <f t="shared" si="159"/>
        <v>0.16793287761109604</v>
      </c>
      <c r="G544" s="1">
        <f t="shared" si="160"/>
        <v>5.2117099948271184E-2</v>
      </c>
      <c r="H544" s="1">
        <f t="shared" si="161"/>
        <v>5.0501824213689206E-2</v>
      </c>
      <c r="I544" s="1">
        <f t="shared" si="162"/>
        <v>0.18560124411289183</v>
      </c>
      <c r="J544" s="1">
        <f t="shared" si="163"/>
        <v>0.20107798518640985</v>
      </c>
      <c r="K544" s="1">
        <f t="shared" si="164"/>
        <v>0.12364485543260495</v>
      </c>
      <c r="L544" s="1">
        <f t="shared" si="165"/>
        <v>0.12260373083090878</v>
      </c>
      <c r="M544" s="1">
        <f t="shared" si="166"/>
        <v>0.26726428818161296</v>
      </c>
      <c r="N544" s="1">
        <f t="shared" si="167"/>
        <v>0.26736820033703723</v>
      </c>
      <c r="O544" s="1">
        <f t="shared" si="168"/>
        <v>0.26670036640127232</v>
      </c>
      <c r="P544" s="1">
        <f t="shared" si="169"/>
        <v>0.2668075440653479</v>
      </c>
      <c r="Q544" s="1">
        <f t="shared" si="170"/>
        <v>4.0535522181988703</v>
      </c>
      <c r="T544">
        <v>0.55029758899624659</v>
      </c>
      <c r="U544">
        <f t="shared" si="177"/>
        <v>1.8171985849038867</v>
      </c>
      <c r="V544" s="15">
        <f t="shared" si="171"/>
        <v>0</v>
      </c>
      <c r="W544" s="15">
        <f t="shared" si="172"/>
        <v>0</v>
      </c>
      <c r="X544" s="15">
        <f t="shared" si="173"/>
        <v>0</v>
      </c>
      <c r="Y544" s="15">
        <f t="shared" si="174"/>
        <v>0</v>
      </c>
      <c r="Z544" s="15">
        <f t="shared" si="175"/>
        <v>0</v>
      </c>
      <c r="AA544" s="15">
        <f t="shared" si="176"/>
        <v>0</v>
      </c>
      <c r="AC544" s="1"/>
      <c r="AD544" s="1"/>
      <c r="AE544" s="1"/>
    </row>
    <row r="545" spans="1:31">
      <c r="A545">
        <v>768</v>
      </c>
      <c r="B545">
        <f t="shared" si="156"/>
        <v>0.48833235703541394</v>
      </c>
      <c r="C545">
        <v>0.47958117277352152</v>
      </c>
      <c r="D545">
        <f t="shared" si="157"/>
        <v>2.0851527473791016</v>
      </c>
      <c r="E545" s="1">
        <f t="shared" si="158"/>
        <v>0.14456078534068845</v>
      </c>
      <c r="F545" s="1">
        <f t="shared" si="159"/>
        <v>0.16769051099519861</v>
      </c>
      <c r="G545" s="1">
        <f t="shared" si="160"/>
        <v>5.2041882722647849E-2</v>
      </c>
      <c r="H545" s="1">
        <f t="shared" si="161"/>
        <v>5.0428938210629916E-2</v>
      </c>
      <c r="I545" s="1">
        <f t="shared" si="162"/>
        <v>0.18533337789109</v>
      </c>
      <c r="J545" s="1">
        <f t="shared" si="163"/>
        <v>0.20078778238934969</v>
      </c>
      <c r="K545" s="1">
        <f t="shared" si="164"/>
        <v>0.12346640684284324</v>
      </c>
      <c r="L545" s="1">
        <f t="shared" si="165"/>
        <v>0.12242678482866913</v>
      </c>
      <c r="M545" s="1">
        <f t="shared" si="166"/>
        <v>0.26687856299189272</v>
      </c>
      <c r="N545" s="1">
        <f t="shared" si="167"/>
        <v>0.26698232517765158</v>
      </c>
      <c r="O545" s="1">
        <f t="shared" si="168"/>
        <v>0.26631545508323384</v>
      </c>
      <c r="P545" s="1">
        <f t="shared" si="169"/>
        <v>0.2664224780647475</v>
      </c>
      <c r="Q545" s="1">
        <f t="shared" si="170"/>
        <v>4.0477019895392772</v>
      </c>
      <c r="T545">
        <v>0.74476821019106854</v>
      </c>
      <c r="U545">
        <f t="shared" si="177"/>
        <v>1.3426996296518245</v>
      </c>
      <c r="V545" s="15">
        <f t="shared" si="171"/>
        <v>0</v>
      </c>
      <c r="W545" s="15">
        <f t="shared" si="172"/>
        <v>0</v>
      </c>
      <c r="X545" s="15">
        <f t="shared" si="173"/>
        <v>0</v>
      </c>
      <c r="Y545" s="15">
        <f t="shared" si="174"/>
        <v>0</v>
      </c>
      <c r="Z545" s="15">
        <f t="shared" si="175"/>
        <v>0</v>
      </c>
      <c r="AA545" s="15">
        <f t="shared" si="176"/>
        <v>0</v>
      </c>
      <c r="AC545" s="1"/>
      <c r="AD545" s="1"/>
      <c r="AE545" s="1"/>
    </row>
    <row r="546" spans="1:31">
      <c r="A546">
        <v>526</v>
      </c>
      <c r="B546">
        <f t="shared" si="156"/>
        <v>0.48930273820049169</v>
      </c>
      <c r="C546">
        <v>0.48041705820847047</v>
      </c>
      <c r="D546">
        <f t="shared" si="157"/>
        <v>2.0815247562797063</v>
      </c>
      <c r="E546" s="1">
        <f t="shared" si="158"/>
        <v>0.14432859494209152</v>
      </c>
      <c r="F546" s="1">
        <f t="shared" si="159"/>
        <v>0.16742117013282615</v>
      </c>
      <c r="G546" s="1">
        <f t="shared" si="160"/>
        <v>5.1958294179152958E-2</v>
      </c>
      <c r="H546" s="1">
        <f t="shared" si="161"/>
        <v>5.0347940343633338E-2</v>
      </c>
      <c r="I546" s="1">
        <f t="shared" si="162"/>
        <v>0.18503569943849699</v>
      </c>
      <c r="J546" s="1">
        <f t="shared" si="163"/>
        <v>0.2004652814073821</v>
      </c>
      <c r="K546" s="1">
        <f t="shared" si="164"/>
        <v>0.12326809777755553</v>
      </c>
      <c r="L546" s="1">
        <f t="shared" si="165"/>
        <v>0.12223014558171626</v>
      </c>
      <c r="M546" s="1">
        <f t="shared" si="166"/>
        <v>0.26644990843130756</v>
      </c>
      <c r="N546" s="1">
        <f t="shared" si="167"/>
        <v>0.26655350395649369</v>
      </c>
      <c r="O546" s="1">
        <f t="shared" si="168"/>
        <v>0.26588770497436048</v>
      </c>
      <c r="P546" s="1">
        <f t="shared" si="169"/>
        <v>0.26599455605788203</v>
      </c>
      <c r="Q546" s="1">
        <f t="shared" si="170"/>
        <v>4.0412006583785631</v>
      </c>
      <c r="T546">
        <v>2.0633785690357787E-2</v>
      </c>
      <c r="U546">
        <f t="shared" si="177"/>
        <v>48.464204048959481</v>
      </c>
      <c r="V546" s="15">
        <f t="shared" si="171"/>
        <v>0.10304197639427203</v>
      </c>
      <c r="W546" s="15">
        <f t="shared" si="172"/>
        <v>0.1057753682453844</v>
      </c>
      <c r="X546" s="15">
        <f t="shared" si="173"/>
        <v>0.11124215194760896</v>
      </c>
      <c r="Y546" s="15">
        <f t="shared" si="174"/>
        <v>0.14763297309330198</v>
      </c>
      <c r="Z546" s="15">
        <f t="shared" si="175"/>
        <v>0.14970192057754048</v>
      </c>
      <c r="AA546" s="15">
        <f t="shared" si="176"/>
        <v>0.15383981554601778</v>
      </c>
      <c r="AC546" s="1"/>
      <c r="AD546" s="1"/>
      <c r="AE546" s="1"/>
    </row>
    <row r="547" spans="1:31">
      <c r="A547">
        <v>734</v>
      </c>
      <c r="B547">
        <f t="shared" si="156"/>
        <v>0.49306910742636506</v>
      </c>
      <c r="C547">
        <v>0.4833509982691313</v>
      </c>
      <c r="D547">
        <f t="shared" si="157"/>
        <v>2.0688899031572849</v>
      </c>
      <c r="E547" s="1">
        <f t="shared" si="158"/>
        <v>0.14351361159190795</v>
      </c>
      <c r="F547" s="1">
        <f t="shared" si="159"/>
        <v>0.16647578944661323</v>
      </c>
      <c r="G547" s="1">
        <f t="shared" si="160"/>
        <v>5.1664900173086871E-2</v>
      </c>
      <c r="H547" s="1">
        <f t="shared" si="161"/>
        <v>5.0063639556858823E-2</v>
      </c>
      <c r="I547" s="1">
        <f t="shared" si="162"/>
        <v>0.18399085441459545</v>
      </c>
      <c r="J547" s="1">
        <f t="shared" si="163"/>
        <v>0.1993333098344417</v>
      </c>
      <c r="K547" s="1">
        <f t="shared" si="164"/>
        <v>0.12257203718514267</v>
      </c>
      <c r="L547" s="1">
        <f t="shared" si="165"/>
        <v>0.1215399460160683</v>
      </c>
      <c r="M547" s="1">
        <f t="shared" si="166"/>
        <v>0.26494534005997006</v>
      </c>
      <c r="N547" s="1">
        <f t="shared" si="167"/>
        <v>0.26504835061009835</v>
      </c>
      <c r="O547" s="1">
        <f t="shared" si="168"/>
        <v>0.2643863112092541</v>
      </c>
      <c r="P547" s="1">
        <f t="shared" si="169"/>
        <v>0.2644925589344872</v>
      </c>
      <c r="Q547" s="1">
        <f t="shared" si="170"/>
        <v>4.0183811245734233</v>
      </c>
      <c r="T547">
        <v>3.4505486597395718E-2</v>
      </c>
      <c r="U547">
        <f t="shared" si="177"/>
        <v>28.980898361696322</v>
      </c>
      <c r="V547" s="15">
        <f t="shared" si="171"/>
        <v>0.10304197639427203</v>
      </c>
      <c r="W547" s="15">
        <f t="shared" si="172"/>
        <v>0.1057753682453844</v>
      </c>
      <c r="X547" s="15">
        <f t="shared" si="173"/>
        <v>0.11124215194760896</v>
      </c>
      <c r="Y547" s="15">
        <f t="shared" si="174"/>
        <v>0.14763297309330198</v>
      </c>
      <c r="Z547" s="15">
        <f t="shared" si="175"/>
        <v>0.14970192057754048</v>
      </c>
      <c r="AA547" s="15">
        <f t="shared" si="176"/>
        <v>0.15383981554601778</v>
      </c>
      <c r="AC547" s="1"/>
      <c r="AD547" s="1"/>
      <c r="AE547" s="1"/>
    </row>
    <row r="548" spans="1:31">
      <c r="A548">
        <v>918</v>
      </c>
      <c r="B548">
        <f t="shared" si="156"/>
        <v>0.49447862745027377</v>
      </c>
      <c r="C548">
        <v>0.48499862512549796</v>
      </c>
      <c r="D548">
        <f t="shared" si="157"/>
        <v>2.0618615150532449</v>
      </c>
      <c r="E548" s="1">
        <f t="shared" si="158"/>
        <v>0.14305593746513945</v>
      </c>
      <c r="F548" s="1">
        <f t="shared" si="159"/>
        <v>0.16594488745956176</v>
      </c>
      <c r="G548" s="1">
        <f t="shared" si="160"/>
        <v>5.1500137487450207E-2</v>
      </c>
      <c r="H548" s="1">
        <f t="shared" si="161"/>
        <v>4.9903983394193267E-2</v>
      </c>
      <c r="I548" s="1">
        <f t="shared" si="162"/>
        <v>0.18340409576018263</v>
      </c>
      <c r="J548" s="1">
        <f t="shared" si="163"/>
        <v>0.19869762310408629</v>
      </c>
      <c r="K548" s="1">
        <f t="shared" si="164"/>
        <v>0.12218114708445683</v>
      </c>
      <c r="L548" s="1">
        <f t="shared" si="165"/>
        <v>0.12115234732042281</v>
      </c>
      <c r="M548" s="1">
        <f t="shared" si="166"/>
        <v>0.2641004123502686</v>
      </c>
      <c r="N548" s="1">
        <f t="shared" si="167"/>
        <v>0.26420309439313505</v>
      </c>
      <c r="O548" s="1">
        <f t="shared" si="168"/>
        <v>0.26354316627846996</v>
      </c>
      <c r="P548" s="1">
        <f t="shared" si="169"/>
        <v>0.26364907517288183</v>
      </c>
      <c r="Q548" s="1">
        <f t="shared" si="170"/>
        <v>4.0055662490239055</v>
      </c>
      <c r="T548">
        <v>0.18734278520933045</v>
      </c>
      <c r="U548">
        <f t="shared" si="177"/>
        <v>5.3378089734421001</v>
      </c>
      <c r="V548" s="15">
        <f t="shared" si="171"/>
        <v>7.9225205538161439E-2</v>
      </c>
      <c r="W548" s="15">
        <f t="shared" si="172"/>
        <v>8.3446503740620667E-2</v>
      </c>
      <c r="X548" s="15">
        <f t="shared" si="173"/>
        <v>9.1889100145539207E-2</v>
      </c>
      <c r="Y548" s="15">
        <f t="shared" si="174"/>
        <v>0.11242668694150464</v>
      </c>
      <c r="Z548" s="15">
        <f t="shared" si="175"/>
        <v>0.11605790487357776</v>
      </c>
      <c r="AA548" s="15">
        <f t="shared" si="176"/>
        <v>0.12332034073772412</v>
      </c>
      <c r="AC548" s="1"/>
      <c r="AD548" s="1"/>
      <c r="AE548" s="1"/>
    </row>
    <row r="549" spans="1:31">
      <c r="A549">
        <v>140</v>
      </c>
      <c r="B549">
        <f t="shared" si="156"/>
        <v>0.49486486461109641</v>
      </c>
      <c r="C549">
        <v>0.48528768720398752</v>
      </c>
      <c r="D549">
        <f t="shared" si="157"/>
        <v>2.0606333652550646</v>
      </c>
      <c r="E549" s="1">
        <f t="shared" si="158"/>
        <v>0.14297564244333677</v>
      </c>
      <c r="F549" s="1">
        <f t="shared" si="159"/>
        <v>0.16585174523427068</v>
      </c>
      <c r="G549" s="1">
        <f t="shared" si="160"/>
        <v>5.1471231279601251E-2</v>
      </c>
      <c r="H549" s="1">
        <f t="shared" si="161"/>
        <v>4.9875973082243424E-2</v>
      </c>
      <c r="I549" s="1">
        <f t="shared" si="162"/>
        <v>0.18330115395903335</v>
      </c>
      <c r="J549" s="1">
        <f t="shared" si="163"/>
        <v>0.1985860972893457</v>
      </c>
      <c r="K549" s="1">
        <f t="shared" si="164"/>
        <v>0.12211256875039496</v>
      </c>
      <c r="L549" s="1">
        <f t="shared" si="165"/>
        <v>0.12108434643530117</v>
      </c>
      <c r="M549" s="1">
        <f t="shared" si="166"/>
        <v>0.26395217699042606</v>
      </c>
      <c r="N549" s="1">
        <f t="shared" si="167"/>
        <v>0.26405480139949544</v>
      </c>
      <c r="O549" s="1">
        <f t="shared" si="168"/>
        <v>0.26339524369198219</v>
      </c>
      <c r="P549" s="1">
        <f t="shared" si="169"/>
        <v>0.26350109314141656</v>
      </c>
      <c r="Q549" s="1">
        <f t="shared" si="170"/>
        <v>4.0033179884134302</v>
      </c>
      <c r="T549">
        <v>0.68572745310994632</v>
      </c>
      <c r="U549">
        <f t="shared" si="177"/>
        <v>1.4583053302952196</v>
      </c>
      <c r="V549" s="15">
        <f t="shared" si="171"/>
        <v>0</v>
      </c>
      <c r="W549" s="15">
        <f t="shared" si="172"/>
        <v>0</v>
      </c>
      <c r="X549" s="15">
        <f t="shared" si="173"/>
        <v>0</v>
      </c>
      <c r="Y549" s="15">
        <f t="shared" si="174"/>
        <v>0</v>
      </c>
      <c r="Z549" s="15">
        <f t="shared" si="175"/>
        <v>0</v>
      </c>
      <c r="AA549" s="15">
        <f t="shared" si="176"/>
        <v>0</v>
      </c>
      <c r="AC549" s="1"/>
      <c r="AD549" s="1"/>
      <c r="AE549" s="1"/>
    </row>
    <row r="550" spans="1:31">
      <c r="A550">
        <v>665</v>
      </c>
      <c r="B550">
        <f t="shared" si="156"/>
        <v>0.4957080094175913</v>
      </c>
      <c r="C550">
        <v>0.48605654346853377</v>
      </c>
      <c r="D550">
        <f t="shared" si="157"/>
        <v>2.057373804421867</v>
      </c>
      <c r="E550" s="1">
        <f t="shared" si="158"/>
        <v>0.1427620712587406</v>
      </c>
      <c r="F550" s="1">
        <f t="shared" si="159"/>
        <v>0.16560400266013908</v>
      </c>
      <c r="G550" s="1">
        <f t="shared" si="160"/>
        <v>5.1394345653146628E-2</v>
      </c>
      <c r="H550" s="1">
        <f t="shared" si="161"/>
        <v>4.9801470387434522E-2</v>
      </c>
      <c r="I550" s="1">
        <f t="shared" si="162"/>
        <v>0.18302734616967933</v>
      </c>
      <c r="J550" s="1">
        <f t="shared" si="163"/>
        <v>0.19828945747491558</v>
      </c>
      <c r="K550" s="1">
        <f t="shared" si="164"/>
        <v>0.12193016197455242</v>
      </c>
      <c r="L550" s="1">
        <f t="shared" si="165"/>
        <v>0.12090347557602532</v>
      </c>
      <c r="M550" s="1">
        <f t="shared" si="166"/>
        <v>0.26355789599155643</v>
      </c>
      <c r="N550" s="1">
        <f t="shared" si="167"/>
        <v>0.26366036710446827</v>
      </c>
      <c r="O550" s="1">
        <f t="shared" si="168"/>
        <v>0.26300179461736384</v>
      </c>
      <c r="P550" s="1">
        <f t="shared" si="169"/>
        <v>0.26310748595320688</v>
      </c>
      <c r="Q550" s="1">
        <f t="shared" si="170"/>
        <v>3.9973379952447377</v>
      </c>
      <c r="T550">
        <v>0.51636035536130276</v>
      </c>
      <c r="U550">
        <f t="shared" si="177"/>
        <v>1.9366320237739583</v>
      </c>
      <c r="V550" s="15">
        <f t="shared" si="171"/>
        <v>0</v>
      </c>
      <c r="W550" s="15">
        <f t="shared" si="172"/>
        <v>0</v>
      </c>
      <c r="X550" s="15">
        <f t="shared" si="173"/>
        <v>0</v>
      </c>
      <c r="Y550" s="15">
        <f t="shared" si="174"/>
        <v>0</v>
      </c>
      <c r="Z550" s="15">
        <f t="shared" si="175"/>
        <v>0</v>
      </c>
      <c r="AA550" s="15">
        <f t="shared" si="176"/>
        <v>0</v>
      </c>
      <c r="AC550" s="1"/>
      <c r="AD550" s="1"/>
      <c r="AE550" s="1"/>
    </row>
    <row r="551" spans="1:31">
      <c r="A551">
        <v>312</v>
      </c>
      <c r="B551">
        <f t="shared" si="156"/>
        <v>0.49627817463631774</v>
      </c>
      <c r="C551">
        <v>0.48705231462936116</v>
      </c>
      <c r="D551">
        <f t="shared" si="157"/>
        <v>2.0531675344998281</v>
      </c>
      <c r="E551" s="1">
        <f t="shared" si="158"/>
        <v>0.14248546815851076</v>
      </c>
      <c r="F551" s="1">
        <f t="shared" si="159"/>
        <v>0.16528314306387248</v>
      </c>
      <c r="G551" s="1">
        <f t="shared" si="160"/>
        <v>5.1294768537063884E-2</v>
      </c>
      <c r="H551" s="1">
        <f t="shared" si="161"/>
        <v>4.9704979484887987E-2</v>
      </c>
      <c r="I551" s="1">
        <f t="shared" si="162"/>
        <v>0.18267272865165793</v>
      </c>
      <c r="J551" s="1">
        <f t="shared" si="163"/>
        <v>0.19790526944656281</v>
      </c>
      <c r="K551" s="1">
        <f t="shared" si="164"/>
        <v>0.12169392093016072</v>
      </c>
      <c r="L551" s="1">
        <f t="shared" si="165"/>
        <v>0.12066922374794502</v>
      </c>
      <c r="M551" s="1">
        <f t="shared" si="166"/>
        <v>0.26304724963795184</v>
      </c>
      <c r="N551" s="1">
        <f t="shared" si="167"/>
        <v>0.26314952221194321</v>
      </c>
      <c r="O551" s="1">
        <f t="shared" si="168"/>
        <v>0.26249222571635422</v>
      </c>
      <c r="P551" s="1">
        <f t="shared" si="169"/>
        <v>0.26259771227405904</v>
      </c>
      <c r="Q551" s="1">
        <f t="shared" si="170"/>
        <v>3.9895931084383025</v>
      </c>
      <c r="T551">
        <v>0.46588148098994864</v>
      </c>
      <c r="U551">
        <f t="shared" si="177"/>
        <v>2.1464686638221941</v>
      </c>
      <c r="V551" s="15">
        <f t="shared" si="171"/>
        <v>6.0110464940892588E-2</v>
      </c>
      <c r="W551" s="15">
        <f t="shared" si="172"/>
        <v>6.5125198988931557E-2</v>
      </c>
      <c r="X551" s="15">
        <f t="shared" si="173"/>
        <v>7.5154667085009327E-2</v>
      </c>
      <c r="Y551" s="15">
        <f t="shared" si="174"/>
        <v>8.4137691459105865E-2</v>
      </c>
      <c r="Z551" s="15">
        <f t="shared" si="175"/>
        <v>8.8566265868431041E-2</v>
      </c>
      <c r="AA551" s="15">
        <f t="shared" si="176"/>
        <v>9.7423414687081322E-2</v>
      </c>
      <c r="AC551" s="1"/>
      <c r="AD551" s="1"/>
      <c r="AE551" s="1"/>
    </row>
    <row r="552" spans="1:31">
      <c r="A552">
        <v>934</v>
      </c>
      <c r="B552">
        <f t="shared" si="156"/>
        <v>0.49691742179381415</v>
      </c>
      <c r="C552">
        <v>0.48796484052674094</v>
      </c>
      <c r="D552">
        <f t="shared" si="157"/>
        <v>2.0493279780578764</v>
      </c>
      <c r="E552" s="1">
        <f t="shared" si="158"/>
        <v>0.14223198874257195</v>
      </c>
      <c r="F552" s="1">
        <f t="shared" si="159"/>
        <v>0.16498910694138347</v>
      </c>
      <c r="G552" s="1">
        <f t="shared" si="160"/>
        <v>5.120351594732591E-2</v>
      </c>
      <c r="H552" s="1">
        <f t="shared" si="161"/>
        <v>4.9616555104971122E-2</v>
      </c>
      <c r="I552" s="1">
        <f t="shared" si="162"/>
        <v>0.18234775672880146</v>
      </c>
      <c r="J552" s="1">
        <f t="shared" si="163"/>
        <v>0.19755319907223717</v>
      </c>
      <c r="K552" s="1">
        <f t="shared" si="164"/>
        <v>0.12147742935105901</v>
      </c>
      <c r="L552" s="1">
        <f t="shared" si="165"/>
        <v>0.12045455508907944</v>
      </c>
      <c r="M552" s="1">
        <f t="shared" si="166"/>
        <v>0.26257929270126013</v>
      </c>
      <c r="N552" s="1">
        <f t="shared" si="167"/>
        <v>0.26268138333394431</v>
      </c>
      <c r="O552" s="1">
        <f t="shared" si="168"/>
        <v>0.26202525615852501</v>
      </c>
      <c r="P552" s="1">
        <f t="shared" si="169"/>
        <v>0.26213055505729604</v>
      </c>
      <c r="Q552" s="1">
        <f t="shared" si="170"/>
        <v>3.9824956847920152</v>
      </c>
      <c r="T552">
        <v>0.12876247841270627</v>
      </c>
      <c r="U552">
        <f t="shared" si="177"/>
        <v>7.7662375897645042</v>
      </c>
      <c r="V552" s="15">
        <f t="shared" si="171"/>
        <v>8.719108808952622E-2</v>
      </c>
      <c r="W552" s="15">
        <f t="shared" si="172"/>
        <v>9.0948094889607992E-2</v>
      </c>
      <c r="X552" s="15">
        <f t="shared" si="173"/>
        <v>9.8462108489771397E-2</v>
      </c>
      <c r="Y552" s="15">
        <f t="shared" si="174"/>
        <v>0.12420900180260334</v>
      </c>
      <c r="Z552" s="15">
        <f t="shared" si="175"/>
        <v>0.12735512595128504</v>
      </c>
      <c r="AA552" s="15">
        <f t="shared" si="176"/>
        <v>0.13364737424864831</v>
      </c>
      <c r="AC552" s="1"/>
      <c r="AD552" s="1"/>
      <c r="AE552" s="1"/>
    </row>
    <row r="553" spans="1:31">
      <c r="A553">
        <v>28</v>
      </c>
      <c r="B553">
        <f t="shared" si="156"/>
        <v>0.49715534640238346</v>
      </c>
      <c r="C553">
        <v>0.48817676533974541</v>
      </c>
      <c r="D553">
        <f t="shared" si="157"/>
        <v>2.0484383342252115</v>
      </c>
      <c r="E553" s="1">
        <f t="shared" si="158"/>
        <v>0.1421731207389596</v>
      </c>
      <c r="F553" s="1">
        <f t="shared" si="159"/>
        <v>0.16492082005719313</v>
      </c>
      <c r="G553" s="1">
        <f t="shared" si="160"/>
        <v>5.1182323466025463E-2</v>
      </c>
      <c r="H553" s="1">
        <f t="shared" si="161"/>
        <v>4.9596019446495318E-2</v>
      </c>
      <c r="I553" s="1">
        <f t="shared" si="162"/>
        <v>0.18227228532116163</v>
      </c>
      <c r="J553" s="1">
        <f t="shared" si="163"/>
        <v>0.19747143432620901</v>
      </c>
      <c r="K553" s="1">
        <f t="shared" si="164"/>
        <v>0.12142715139451014</v>
      </c>
      <c r="L553" s="1">
        <f t="shared" si="165"/>
        <v>0.12040470048712389</v>
      </c>
      <c r="M553" s="1">
        <f t="shared" si="166"/>
        <v>0.2624706144855653</v>
      </c>
      <c r="N553" s="1">
        <f t="shared" si="167"/>
        <v>0.26257266286424052</v>
      </c>
      <c r="O553" s="1">
        <f t="shared" si="168"/>
        <v>0.26191680725147937</v>
      </c>
      <c r="P553" s="1">
        <f t="shared" si="169"/>
        <v>0.26202206256838095</v>
      </c>
      <c r="Q553" s="1">
        <f t="shared" si="170"/>
        <v>3.9808473806908693</v>
      </c>
      <c r="T553">
        <v>0.8426534019834232</v>
      </c>
      <c r="U553">
        <f t="shared" si="177"/>
        <v>1.1867275414140821</v>
      </c>
      <c r="V553" s="15">
        <f t="shared" si="171"/>
        <v>0</v>
      </c>
      <c r="W553" s="15">
        <f t="shared" si="172"/>
        <v>0</v>
      </c>
      <c r="X553" s="15">
        <f t="shared" si="173"/>
        <v>0</v>
      </c>
      <c r="Y553" s="15">
        <f t="shared" si="174"/>
        <v>0</v>
      </c>
      <c r="Z553" s="15">
        <f t="shared" si="175"/>
        <v>0</v>
      </c>
      <c r="AA553" s="15">
        <f t="shared" si="176"/>
        <v>0</v>
      </c>
      <c r="AC553" s="1"/>
      <c r="AD553" s="1"/>
      <c r="AE553" s="1"/>
    </row>
    <row r="554" spans="1:31">
      <c r="A554">
        <v>270</v>
      </c>
      <c r="B554">
        <f t="shared" si="156"/>
        <v>0.49719748717476742</v>
      </c>
      <c r="C554">
        <v>0.48821430107579655</v>
      </c>
      <c r="D554">
        <f t="shared" si="157"/>
        <v>2.0482808426473098</v>
      </c>
      <c r="E554" s="1">
        <f t="shared" si="158"/>
        <v>0.14216269414561206</v>
      </c>
      <c r="F554" s="1">
        <f t="shared" si="159"/>
        <v>0.16490872520890998</v>
      </c>
      <c r="G554" s="1">
        <f t="shared" si="160"/>
        <v>5.1178569892420346E-2</v>
      </c>
      <c r="H554" s="1">
        <f t="shared" si="161"/>
        <v>4.9592382208150002E-2</v>
      </c>
      <c r="I554" s="1">
        <f t="shared" si="162"/>
        <v>0.18225891796319907</v>
      </c>
      <c r="J554" s="1">
        <f t="shared" si="163"/>
        <v>0.19745695230363841</v>
      </c>
      <c r="K554" s="1">
        <f t="shared" si="164"/>
        <v>0.121418246254619</v>
      </c>
      <c r="L554" s="1">
        <f t="shared" si="165"/>
        <v>0.12039587033102556</v>
      </c>
      <c r="M554" s="1">
        <f t="shared" si="166"/>
        <v>0.26245136559837279</v>
      </c>
      <c r="N554" s="1">
        <f t="shared" si="167"/>
        <v>0.262553406493095</v>
      </c>
      <c r="O554" s="1">
        <f t="shared" si="168"/>
        <v>0.26189759897901616</v>
      </c>
      <c r="P554" s="1">
        <f t="shared" si="169"/>
        <v>0.26200284657677664</v>
      </c>
      <c r="Q554" s="1">
        <f t="shared" si="170"/>
        <v>3.9805554360771382</v>
      </c>
      <c r="T554">
        <v>0.98499953959653208</v>
      </c>
      <c r="U554">
        <f t="shared" si="177"/>
        <v>1.0152289009288393</v>
      </c>
      <c r="V554" s="15">
        <f t="shared" si="171"/>
        <v>0</v>
      </c>
      <c r="W554" s="15">
        <f t="shared" si="172"/>
        <v>0</v>
      </c>
      <c r="X554" s="15">
        <f t="shared" si="173"/>
        <v>0</v>
      </c>
      <c r="Y554" s="15">
        <f t="shared" si="174"/>
        <v>0</v>
      </c>
      <c r="Z554" s="15">
        <f t="shared" si="175"/>
        <v>0</v>
      </c>
      <c r="AA554" s="15">
        <f t="shared" si="176"/>
        <v>0</v>
      </c>
      <c r="AC554" s="1"/>
      <c r="AD554" s="1"/>
      <c r="AE554" s="1"/>
    </row>
    <row r="555" spans="1:31">
      <c r="A555">
        <v>31</v>
      </c>
      <c r="B555">
        <f t="shared" si="156"/>
        <v>0.50080059743640648</v>
      </c>
      <c r="C555">
        <v>0.48937636524988359</v>
      </c>
      <c r="D555">
        <f t="shared" si="157"/>
        <v>2.043417032388525</v>
      </c>
      <c r="E555" s="1">
        <f t="shared" si="158"/>
        <v>0.14183989854169898</v>
      </c>
      <c r="F555" s="1">
        <f t="shared" si="159"/>
        <v>0.16453428230837083</v>
      </c>
      <c r="G555" s="1">
        <f t="shared" si="160"/>
        <v>5.1062363475011641E-2</v>
      </c>
      <c r="H555" s="1">
        <f t="shared" si="161"/>
        <v>4.9479777399549715E-2</v>
      </c>
      <c r="I555" s="1">
        <f t="shared" si="162"/>
        <v>0.18184507959409632</v>
      </c>
      <c r="J555" s="1">
        <f t="shared" si="163"/>
        <v>0.19700860517186275</v>
      </c>
      <c r="K555" s="1">
        <f t="shared" si="164"/>
        <v>0.12114255313863401</v>
      </c>
      <c r="L555" s="1">
        <f t="shared" si="165"/>
        <v>0.12012249862893656</v>
      </c>
      <c r="M555" s="1">
        <f t="shared" si="166"/>
        <v>0.26185544169889063</v>
      </c>
      <c r="N555" s="1">
        <f t="shared" si="167"/>
        <v>0.26195725089884631</v>
      </c>
      <c r="O555" s="1">
        <f t="shared" si="168"/>
        <v>0.26130293246587855</v>
      </c>
      <c r="P555" s="1">
        <f t="shared" si="169"/>
        <v>0.2614079410877102</v>
      </c>
      <c r="Q555" s="1">
        <f t="shared" si="170"/>
        <v>3.9715171591675724</v>
      </c>
      <c r="T555">
        <v>0.44115026885170461</v>
      </c>
      <c r="U555">
        <f t="shared" si="177"/>
        <v>2.2668012933619139</v>
      </c>
      <c r="V555" s="15">
        <f t="shared" si="171"/>
        <v>6.1728345253814487E-2</v>
      </c>
      <c r="W555" s="15">
        <f t="shared" si="172"/>
        <v>6.667860826682119E-2</v>
      </c>
      <c r="X555" s="15">
        <f t="shared" si="173"/>
        <v>7.6579134292834444E-2</v>
      </c>
      <c r="Y555" s="15">
        <f t="shared" si="174"/>
        <v>8.6532222521261914E-2</v>
      </c>
      <c r="Z555" s="15">
        <f t="shared" si="175"/>
        <v>9.0896379291939888E-2</v>
      </c>
      <c r="AA555" s="15">
        <f t="shared" si="176"/>
        <v>9.962469283329578E-2</v>
      </c>
      <c r="AC555" s="1"/>
      <c r="AD555" s="1"/>
      <c r="AE555" s="1"/>
    </row>
    <row r="556" spans="1:31">
      <c r="A556">
        <v>414</v>
      </c>
      <c r="B556">
        <f t="shared" si="156"/>
        <v>0.50129345765812039</v>
      </c>
      <c r="C556">
        <v>0.48987847892019176</v>
      </c>
      <c r="D556">
        <f t="shared" si="157"/>
        <v>2.041322579028654</v>
      </c>
      <c r="E556" s="1">
        <f t="shared" si="158"/>
        <v>0.14170042252216894</v>
      </c>
      <c r="F556" s="1">
        <f t="shared" si="159"/>
        <v>0.16437249012571598</v>
      </c>
      <c r="G556" s="1">
        <f t="shared" si="160"/>
        <v>5.1012152107980824E-2</v>
      </c>
      <c r="H556" s="1">
        <f t="shared" si="161"/>
        <v>4.943112224349084E-2</v>
      </c>
      <c r="I556" s="1">
        <f t="shared" si="162"/>
        <v>0.18166626511288422</v>
      </c>
      <c r="J556" s="1">
        <f t="shared" si="163"/>
        <v>0.1968148798777456</v>
      </c>
      <c r="K556" s="1">
        <f t="shared" si="164"/>
        <v>0.12102342952615824</v>
      </c>
      <c r="L556" s="1">
        <f t="shared" si="165"/>
        <v>0.12000437807091995</v>
      </c>
      <c r="M556" s="1">
        <f t="shared" si="166"/>
        <v>0.26159795029431443</v>
      </c>
      <c r="N556" s="1">
        <f t="shared" si="167"/>
        <v>0.26169965938180456</v>
      </c>
      <c r="O556" s="1">
        <f t="shared" si="168"/>
        <v>0.26104598436251292</v>
      </c>
      <c r="P556" s="1">
        <f t="shared" si="169"/>
        <v>0.26115088972577805</v>
      </c>
      <c r="Q556" s="1">
        <f t="shared" si="170"/>
        <v>3.9676118306207311</v>
      </c>
      <c r="T556">
        <v>0.87638288593192248</v>
      </c>
      <c r="U556">
        <f t="shared" si="177"/>
        <v>1.1410537746143072</v>
      </c>
      <c r="V556" s="15">
        <f t="shared" si="171"/>
        <v>0</v>
      </c>
      <c r="W556" s="15">
        <f t="shared" si="172"/>
        <v>0</v>
      </c>
      <c r="X556" s="15">
        <f t="shared" si="173"/>
        <v>0</v>
      </c>
      <c r="Y556" s="15">
        <f t="shared" si="174"/>
        <v>0</v>
      </c>
      <c r="Z556" s="15">
        <f t="shared" si="175"/>
        <v>0</v>
      </c>
      <c r="AA556" s="15">
        <f t="shared" si="176"/>
        <v>0</v>
      </c>
      <c r="AC556" s="1"/>
      <c r="AD556" s="1"/>
      <c r="AE556" s="1"/>
    </row>
    <row r="557" spans="1:31">
      <c r="A557">
        <v>129</v>
      </c>
      <c r="B557">
        <f t="shared" si="156"/>
        <v>0.5017624017468888</v>
      </c>
      <c r="C557">
        <v>0.4912413679745572</v>
      </c>
      <c r="D557">
        <f t="shared" si="157"/>
        <v>2.0356591793625021</v>
      </c>
      <c r="E557" s="1">
        <f t="shared" si="158"/>
        <v>0.14132184222928967</v>
      </c>
      <c r="F557" s="1">
        <f t="shared" si="159"/>
        <v>0.16393333698597601</v>
      </c>
      <c r="G557" s="1">
        <f t="shared" si="160"/>
        <v>5.087586320254428E-2</v>
      </c>
      <c r="H557" s="1">
        <f t="shared" si="161"/>
        <v>4.9299057367443166E-2</v>
      </c>
      <c r="I557" s="1">
        <f t="shared" si="162"/>
        <v>0.18118090828311217</v>
      </c>
      <c r="J557" s="1">
        <f t="shared" si="163"/>
        <v>0.19628905057151708</v>
      </c>
      <c r="K557" s="1">
        <f t="shared" si="164"/>
        <v>0.12070009184953204</v>
      </c>
      <c r="L557" s="1">
        <f t="shared" si="165"/>
        <v>0.1196837629888458</v>
      </c>
      <c r="M557" s="1">
        <f t="shared" si="166"/>
        <v>0.26089904039075684</v>
      </c>
      <c r="N557" s="1">
        <f t="shared" si="167"/>
        <v>0.26100047774259894</v>
      </c>
      <c r="O557" s="1">
        <f t="shared" si="168"/>
        <v>0.26034854914350736</v>
      </c>
      <c r="P557" s="1">
        <f t="shared" si="169"/>
        <v>0.26045317423165099</v>
      </c>
      <c r="Q557" s="1">
        <f t="shared" si="170"/>
        <v>3.9570115824201109</v>
      </c>
      <c r="T557">
        <v>0.71068478064087381</v>
      </c>
      <c r="U557">
        <f t="shared" si="177"/>
        <v>1.4070935909141471</v>
      </c>
      <c r="V557" s="15">
        <f t="shared" si="171"/>
        <v>0</v>
      </c>
      <c r="W557" s="15">
        <f t="shared" si="172"/>
        <v>0</v>
      </c>
      <c r="X557" s="15">
        <f t="shared" si="173"/>
        <v>0</v>
      </c>
      <c r="Y557" s="15">
        <f t="shared" si="174"/>
        <v>0</v>
      </c>
      <c r="Z557" s="15">
        <f t="shared" si="175"/>
        <v>0</v>
      </c>
      <c r="AA557" s="15">
        <f t="shared" si="176"/>
        <v>0</v>
      </c>
      <c r="AC557" s="1"/>
      <c r="AD557" s="1"/>
      <c r="AE557" s="1"/>
    </row>
    <row r="558" spans="1:31">
      <c r="A558">
        <v>669</v>
      </c>
      <c r="B558">
        <f t="shared" si="156"/>
        <v>0.5026638013590603</v>
      </c>
      <c r="C558">
        <v>0.49334791462454741</v>
      </c>
      <c r="D558">
        <f t="shared" si="157"/>
        <v>2.026967116626063</v>
      </c>
      <c r="E558" s="1">
        <f t="shared" si="158"/>
        <v>0.14073669038207015</v>
      </c>
      <c r="F558" s="1">
        <f t="shared" si="159"/>
        <v>0.16325456084320136</v>
      </c>
      <c r="G558" s="1">
        <f t="shared" si="160"/>
        <v>5.0665208537545262E-2</v>
      </c>
      <c r="H558" s="1">
        <f t="shared" si="161"/>
        <v>4.9094931564738618E-2</v>
      </c>
      <c r="I558" s="1">
        <f t="shared" si="162"/>
        <v>0.18043071750233564</v>
      </c>
      <c r="J558" s="1">
        <f t="shared" si="163"/>
        <v>0.19547630359115625</v>
      </c>
      <c r="K558" s="1">
        <f t="shared" si="164"/>
        <v>0.12020032563794582</v>
      </c>
      <c r="L558" s="1">
        <f t="shared" si="165"/>
        <v>0.11918820494990177</v>
      </c>
      <c r="M558" s="1">
        <f t="shared" si="166"/>
        <v>0.25981877174286622</v>
      </c>
      <c r="N558" s="1">
        <f t="shared" si="167"/>
        <v>0.2599197890870657</v>
      </c>
      <c r="O558" s="1">
        <f t="shared" si="168"/>
        <v>0.25927055983874681</v>
      </c>
      <c r="P558" s="1">
        <f t="shared" si="169"/>
        <v>0.259374751720228</v>
      </c>
      <c r="Q558" s="1">
        <f t="shared" si="170"/>
        <v>3.9406273306979647</v>
      </c>
      <c r="T558">
        <v>0.10602171349091027</v>
      </c>
      <c r="U558">
        <f t="shared" si="177"/>
        <v>9.4320301669689073</v>
      </c>
      <c r="V558" s="15">
        <f t="shared" si="171"/>
        <v>9.0283428713895608E-2</v>
      </c>
      <c r="W558" s="15">
        <f t="shared" si="172"/>
        <v>9.3860198464804298E-2</v>
      </c>
      <c r="X558" s="15">
        <f t="shared" si="173"/>
        <v>0.10101373796662148</v>
      </c>
      <c r="Y558" s="15">
        <f t="shared" si="174"/>
        <v>0.12878287427174293</v>
      </c>
      <c r="Z558" s="15">
        <f t="shared" si="175"/>
        <v>0.13174068592606661</v>
      </c>
      <c r="AA558" s="15">
        <f t="shared" si="176"/>
        <v>0.13765630923471381</v>
      </c>
      <c r="AC558" s="1"/>
      <c r="AD558" s="1"/>
      <c r="AE558" s="1"/>
    </row>
    <row r="559" spans="1:31">
      <c r="A559">
        <v>791</v>
      </c>
      <c r="B559">
        <f t="shared" si="156"/>
        <v>0.50335322039067409</v>
      </c>
      <c r="C559">
        <v>0.49379164622296701</v>
      </c>
      <c r="D559">
        <f t="shared" si="157"/>
        <v>2.0251456411809352</v>
      </c>
      <c r="E559" s="1">
        <f t="shared" si="158"/>
        <v>0.14061343160473139</v>
      </c>
      <c r="F559" s="1">
        <f t="shared" si="159"/>
        <v>0.1631115806614884</v>
      </c>
      <c r="G559" s="1">
        <f t="shared" si="160"/>
        <v>5.0620835377703302E-2</v>
      </c>
      <c r="H559" s="1">
        <f t="shared" si="161"/>
        <v>4.9051933671141912E-2</v>
      </c>
      <c r="I559" s="1">
        <f t="shared" si="162"/>
        <v>0.18027269424931383</v>
      </c>
      <c r="J559" s="1">
        <f t="shared" si="163"/>
        <v>0.19530510324450934</v>
      </c>
      <c r="K559" s="1">
        <f t="shared" si="164"/>
        <v>0.12009505283997371</v>
      </c>
      <c r="L559" s="1">
        <f t="shared" si="165"/>
        <v>0.11908381857861902</v>
      </c>
      <c r="M559" s="1">
        <f t="shared" si="166"/>
        <v>0.25959121953847841</v>
      </c>
      <c r="N559" s="1">
        <f t="shared" si="167"/>
        <v>0.25969214841055094</v>
      </c>
      <c r="O559" s="1">
        <f t="shared" si="168"/>
        <v>0.25904348776451436</v>
      </c>
      <c r="P559" s="1">
        <f t="shared" si="169"/>
        <v>0.25914758839357316</v>
      </c>
      <c r="Q559" s="1">
        <f t="shared" si="170"/>
        <v>3.9371760849324788</v>
      </c>
      <c r="T559">
        <v>0.93687068604370616</v>
      </c>
      <c r="U559">
        <f t="shared" si="177"/>
        <v>1.0673831670653304</v>
      </c>
      <c r="V559" s="15">
        <f t="shared" si="171"/>
        <v>0</v>
      </c>
      <c r="W559" s="15">
        <f t="shared" si="172"/>
        <v>0</v>
      </c>
      <c r="X559" s="15">
        <f t="shared" si="173"/>
        <v>0</v>
      </c>
      <c r="Y559" s="15">
        <f t="shared" si="174"/>
        <v>0</v>
      </c>
      <c r="Z559" s="15">
        <f t="shared" si="175"/>
        <v>0</v>
      </c>
      <c r="AA559" s="15">
        <f t="shared" si="176"/>
        <v>0</v>
      </c>
      <c r="AC559" s="1"/>
      <c r="AD559" s="1"/>
      <c r="AE559" s="1"/>
    </row>
    <row r="560" spans="1:31">
      <c r="A560">
        <v>163</v>
      </c>
      <c r="B560">
        <f t="shared" si="156"/>
        <v>0.50565903526502021</v>
      </c>
      <c r="C560">
        <v>0.49512915748223529</v>
      </c>
      <c r="D560">
        <f t="shared" si="157"/>
        <v>2.0196750380952446</v>
      </c>
      <c r="E560" s="1">
        <f t="shared" si="158"/>
        <v>0.14024190069937909</v>
      </c>
      <c r="F560" s="1">
        <f t="shared" si="159"/>
        <v>0.16268060481127972</v>
      </c>
      <c r="G560" s="1">
        <f t="shared" si="160"/>
        <v>5.0487084251776476E-2</v>
      </c>
      <c r="H560" s="1">
        <f t="shared" si="161"/>
        <v>4.8922327920694474E-2</v>
      </c>
      <c r="I560" s="1">
        <f t="shared" si="162"/>
        <v>0.17979637504893317</v>
      </c>
      <c r="J560" s="1">
        <f t="shared" si="163"/>
        <v>0.1947890651889676</v>
      </c>
      <c r="K560" s="1">
        <f t="shared" si="164"/>
        <v>0.11977773590089641</v>
      </c>
      <c r="L560" s="1">
        <f t="shared" si="165"/>
        <v>0.11876917353778328</v>
      </c>
      <c r="M560" s="1">
        <f t="shared" si="166"/>
        <v>0.25890532374804098</v>
      </c>
      <c r="N560" s="1">
        <f t="shared" si="167"/>
        <v>0.2590059859443431</v>
      </c>
      <c r="O560" s="1">
        <f t="shared" si="168"/>
        <v>0.25835903919913611</v>
      </c>
      <c r="P560" s="1">
        <f t="shared" si="169"/>
        <v>0.25846286477196084</v>
      </c>
      <c r="Q560" s="1">
        <f t="shared" si="170"/>
        <v>3.9267732195826146</v>
      </c>
      <c r="T560">
        <v>0.8096004057504943</v>
      </c>
      <c r="U560">
        <f t="shared" si="177"/>
        <v>1.2351772465738904</v>
      </c>
      <c r="V560" s="15">
        <f t="shared" si="171"/>
        <v>0</v>
      </c>
      <c r="W560" s="15">
        <f t="shared" si="172"/>
        <v>0</v>
      </c>
      <c r="X560" s="15">
        <f t="shared" si="173"/>
        <v>0</v>
      </c>
      <c r="Y560" s="15">
        <f t="shared" si="174"/>
        <v>0</v>
      </c>
      <c r="Z560" s="15">
        <f t="shared" si="175"/>
        <v>0</v>
      </c>
      <c r="AA560" s="15">
        <f t="shared" si="176"/>
        <v>0</v>
      </c>
      <c r="AC560" s="1"/>
      <c r="AD560" s="1"/>
      <c r="AE560" s="1"/>
    </row>
    <row r="561" spans="1:31">
      <c r="A561">
        <v>582</v>
      </c>
      <c r="B561">
        <f t="shared" si="156"/>
        <v>0.50676197130033995</v>
      </c>
      <c r="C561">
        <v>0.49614382041301108</v>
      </c>
      <c r="D561">
        <f t="shared" si="157"/>
        <v>2.0155446039165774</v>
      </c>
      <c r="E561" s="1">
        <f t="shared" si="158"/>
        <v>0.13996004988527469</v>
      </c>
      <c r="F561" s="1">
        <f t="shared" si="159"/>
        <v>0.16235365786691863</v>
      </c>
      <c r="G561" s="1">
        <f t="shared" si="160"/>
        <v>5.0385617958698892E-2</v>
      </c>
      <c r="H561" s="1">
        <f t="shared" si="161"/>
        <v>4.8824006392794717E-2</v>
      </c>
      <c r="I561" s="1">
        <f t="shared" si="162"/>
        <v>0.17943502972754319</v>
      </c>
      <c r="J561" s="1">
        <f t="shared" si="163"/>
        <v>0.19439758834553955</v>
      </c>
      <c r="K561" s="1">
        <f t="shared" si="164"/>
        <v>0.11953701289153265</v>
      </c>
      <c r="L561" s="1">
        <f t="shared" si="165"/>
        <v>0.11853047748414175</v>
      </c>
      <c r="M561" s="1">
        <f t="shared" si="166"/>
        <v>0.25838498941207982</v>
      </c>
      <c r="N561" s="1">
        <f t="shared" si="167"/>
        <v>0.25848544930278106</v>
      </c>
      <c r="O561" s="1">
        <f t="shared" si="168"/>
        <v>0.25783980275719998</v>
      </c>
      <c r="P561" s="1">
        <f t="shared" si="169"/>
        <v>0.25794341966683576</v>
      </c>
      <c r="Q561" s="1">
        <f t="shared" si="170"/>
        <v>3.9188813967876919</v>
      </c>
      <c r="T561">
        <v>0.87394666188401116</v>
      </c>
      <c r="U561">
        <f t="shared" si="177"/>
        <v>1.1442345896078479</v>
      </c>
      <c r="V561" s="15">
        <f t="shared" si="171"/>
        <v>0</v>
      </c>
      <c r="W561" s="15">
        <f t="shared" si="172"/>
        <v>0</v>
      </c>
      <c r="X561" s="15">
        <f t="shared" si="173"/>
        <v>0</v>
      </c>
      <c r="Y561" s="15">
        <f t="shared" si="174"/>
        <v>0</v>
      </c>
      <c r="Z561" s="15">
        <f t="shared" si="175"/>
        <v>0</v>
      </c>
      <c r="AA561" s="15">
        <f t="shared" si="176"/>
        <v>0</v>
      </c>
      <c r="AC561" s="1"/>
      <c r="AD561" s="1"/>
      <c r="AE561" s="1"/>
    </row>
    <row r="562" spans="1:31">
      <c r="A562">
        <v>867</v>
      </c>
      <c r="B562">
        <f t="shared" si="156"/>
        <v>0.50699223139267113</v>
      </c>
      <c r="C562">
        <v>0.49638150514769996</v>
      </c>
      <c r="D562">
        <f t="shared" si="157"/>
        <v>2.014579491035724</v>
      </c>
      <c r="E562" s="1">
        <f t="shared" si="158"/>
        <v>0.13989402634786111</v>
      </c>
      <c r="F562" s="1">
        <f t="shared" si="159"/>
        <v>0.16227707056351889</v>
      </c>
      <c r="G562" s="1">
        <f t="shared" si="160"/>
        <v>5.0361849485230009E-2</v>
      </c>
      <c r="H562" s="1">
        <f t="shared" si="161"/>
        <v>4.880097458039255E-2</v>
      </c>
      <c r="I562" s="1">
        <f t="shared" si="162"/>
        <v>0.17935038460625155</v>
      </c>
      <c r="J562" s="1">
        <f t="shared" si="163"/>
        <v>0.19430588491689857</v>
      </c>
      <c r="K562" s="1">
        <f t="shared" si="164"/>
        <v>0.11948062354007544</v>
      </c>
      <c r="L562" s="1">
        <f t="shared" si="165"/>
        <v>0.1184745629469489</v>
      </c>
      <c r="M562" s="1">
        <f t="shared" si="166"/>
        <v>0.25826310112303208</v>
      </c>
      <c r="N562" s="1">
        <f t="shared" si="167"/>
        <v>0.25836351362365767</v>
      </c>
      <c r="O562" s="1">
        <f t="shared" si="168"/>
        <v>0.25771817164976607</v>
      </c>
      <c r="P562" s="1">
        <f t="shared" si="169"/>
        <v>0.2578217396800615</v>
      </c>
      <c r="Q562" s="1">
        <f t="shared" si="170"/>
        <v>3.9170327377401115</v>
      </c>
      <c r="T562">
        <v>0.11881014332175188</v>
      </c>
      <c r="U562">
        <f t="shared" si="177"/>
        <v>8.4167897794036151</v>
      </c>
      <c r="V562" s="15">
        <f t="shared" si="171"/>
        <v>8.8544429114550308E-2</v>
      </c>
      <c r="W562" s="15">
        <f t="shared" si="172"/>
        <v>9.2222556443543754E-2</v>
      </c>
      <c r="X562" s="15">
        <f t="shared" si="173"/>
        <v>9.9578811101530468E-2</v>
      </c>
      <c r="Y562" s="15">
        <f t="shared" si="174"/>
        <v>0.12621072477158485</v>
      </c>
      <c r="Z562" s="15">
        <f t="shared" si="175"/>
        <v>0.12927443528765087</v>
      </c>
      <c r="AA562" s="15">
        <f t="shared" si="176"/>
        <v>0.13540185631978277</v>
      </c>
      <c r="AC562" s="1"/>
      <c r="AD562" s="1"/>
      <c r="AE562" s="1"/>
    </row>
    <row r="563" spans="1:31">
      <c r="A563">
        <v>835</v>
      </c>
      <c r="B563">
        <f t="shared" si="156"/>
        <v>0.50739047381785574</v>
      </c>
      <c r="C563">
        <v>0.49750531301127277</v>
      </c>
      <c r="D563">
        <f t="shared" si="157"/>
        <v>2.0100287853153871</v>
      </c>
      <c r="E563" s="1">
        <f t="shared" si="158"/>
        <v>0.13958185749686866</v>
      </c>
      <c r="F563" s="1">
        <f t="shared" si="159"/>
        <v>0.16191495469636766</v>
      </c>
      <c r="G563" s="1">
        <f t="shared" si="160"/>
        <v>5.0249468698872729E-2</v>
      </c>
      <c r="H563" s="1">
        <f t="shared" si="161"/>
        <v>4.8692076834293004E-2</v>
      </c>
      <c r="I563" s="1">
        <f t="shared" si="162"/>
        <v>0.17895017020861625</v>
      </c>
      <c r="J563" s="1">
        <f t="shared" si="163"/>
        <v>0.19387229781944273</v>
      </c>
      <c r="K563" s="1">
        <f t="shared" si="164"/>
        <v>0.11921400651617464</v>
      </c>
      <c r="L563" s="1">
        <f t="shared" si="165"/>
        <v>0.11821019091368555</v>
      </c>
      <c r="M563" s="1">
        <f t="shared" si="166"/>
        <v>0.25768679563211105</v>
      </c>
      <c r="N563" s="1">
        <f t="shared" si="167"/>
        <v>0.25778698406559264</v>
      </c>
      <c r="O563" s="1">
        <f t="shared" si="168"/>
        <v>0.2571430821507783</v>
      </c>
      <c r="P563" s="1">
        <f t="shared" si="169"/>
        <v>0.25724641907247059</v>
      </c>
      <c r="Q563" s="1">
        <f t="shared" si="170"/>
        <v>3.9082920099123233</v>
      </c>
      <c r="T563">
        <v>0.36114262573049982</v>
      </c>
      <c r="U563">
        <f t="shared" si="177"/>
        <v>2.7689891160791502</v>
      </c>
      <c r="V563" s="15">
        <f t="shared" si="171"/>
        <v>6.6962330145679524E-2</v>
      </c>
      <c r="W563" s="15">
        <f t="shared" si="172"/>
        <v>7.1704023698617572E-2</v>
      </c>
      <c r="X563" s="15">
        <f t="shared" si="173"/>
        <v>8.1187410804493626E-2</v>
      </c>
      <c r="Y563" s="15">
        <f t="shared" si="174"/>
        <v>9.4278740791078647E-2</v>
      </c>
      <c r="Z563" s="15">
        <f t="shared" si="175"/>
        <v>9.843450084368284E-2</v>
      </c>
      <c r="AA563" s="15">
        <f t="shared" si="176"/>
        <v>0.10674602094889125</v>
      </c>
      <c r="AC563" s="1"/>
      <c r="AD563" s="1"/>
      <c r="AE563" s="1"/>
    </row>
    <row r="564" spans="1:31">
      <c r="A564">
        <v>649</v>
      </c>
      <c r="B564">
        <f t="shared" si="156"/>
        <v>0.51325371108998263</v>
      </c>
      <c r="C564">
        <v>0.50122044911074548</v>
      </c>
      <c r="D564">
        <f t="shared" si="157"/>
        <v>1.9951300905104299</v>
      </c>
      <c r="E564" s="1">
        <f t="shared" si="158"/>
        <v>0.13854987524701512</v>
      </c>
      <c r="F564" s="1">
        <f t="shared" si="159"/>
        <v>0.16071785528653756</v>
      </c>
      <c r="G564" s="1">
        <f t="shared" si="160"/>
        <v>4.9877955088925452E-2</v>
      </c>
      <c r="H564" s="1">
        <f t="shared" si="161"/>
        <v>4.8332077620192974E-2</v>
      </c>
      <c r="I564" s="1">
        <f t="shared" si="162"/>
        <v>0.17762712291167293</v>
      </c>
      <c r="J564" s="1">
        <f t="shared" si="163"/>
        <v>0.19243892550533329</v>
      </c>
      <c r="K564" s="1">
        <f t="shared" si="164"/>
        <v>0.11833261160665801</v>
      </c>
      <c r="L564" s="1">
        <f t="shared" si="165"/>
        <v>0.11733621759822471</v>
      </c>
      <c r="M564" s="1">
        <f t="shared" si="166"/>
        <v>0.25578161824098811</v>
      </c>
      <c r="N564" s="1">
        <f t="shared" si="167"/>
        <v>0.25588106594292448</v>
      </c>
      <c r="O564" s="1">
        <f t="shared" si="168"/>
        <v>0.25524192464212292</v>
      </c>
      <c r="P564" s="1">
        <f t="shared" si="169"/>
        <v>0.25534449755428812</v>
      </c>
      <c r="Q564" s="1">
        <f t="shared" si="170"/>
        <v>3.8793965069164242</v>
      </c>
      <c r="T564">
        <v>0.20587124005320412</v>
      </c>
      <c r="U564">
        <f t="shared" si="177"/>
        <v>4.8574050447336212</v>
      </c>
      <c r="V564" s="15">
        <f t="shared" si="171"/>
        <v>7.7119960780327276E-2</v>
      </c>
      <c r="W564" s="15">
        <f t="shared" si="172"/>
        <v>8.1456882141366566E-2</v>
      </c>
      <c r="X564" s="15">
        <f t="shared" si="173"/>
        <v>9.0130724863445283E-2</v>
      </c>
      <c r="Y564" s="15">
        <f t="shared" si="174"/>
        <v>0.10931246230824385</v>
      </c>
      <c r="Z564" s="15">
        <f t="shared" si="175"/>
        <v>0.11306378541053198</v>
      </c>
      <c r="AA564" s="15">
        <f t="shared" si="176"/>
        <v>0.12056643161510841</v>
      </c>
      <c r="AC564" s="1"/>
      <c r="AD564" s="1"/>
      <c r="AE564" s="1"/>
    </row>
    <row r="565" spans="1:31">
      <c r="A565">
        <v>770</v>
      </c>
      <c r="B565">
        <f t="shared" si="156"/>
        <v>0.51390345368746393</v>
      </c>
      <c r="C565">
        <v>0.50140832472698504</v>
      </c>
      <c r="D565">
        <f t="shared" si="157"/>
        <v>1.994382523554024</v>
      </c>
      <c r="E565" s="1">
        <f t="shared" si="158"/>
        <v>0.13849768757583747</v>
      </c>
      <c r="F565" s="1">
        <f t="shared" si="159"/>
        <v>0.16065731758797147</v>
      </c>
      <c r="G565" s="1">
        <f t="shared" si="160"/>
        <v>4.9859167527301497E-2</v>
      </c>
      <c r="H565" s="1">
        <f t="shared" si="161"/>
        <v>4.8313872345235646E-2</v>
      </c>
      <c r="I565" s="1">
        <f t="shared" si="162"/>
        <v>0.17756021598832694</v>
      </c>
      <c r="J565" s="1">
        <f t="shared" si="163"/>
        <v>0.19236643941071827</v>
      </c>
      <c r="K565" s="1">
        <f t="shared" si="164"/>
        <v>0.11828803918526021</v>
      </c>
      <c r="L565" s="1">
        <f t="shared" si="165"/>
        <v>0.11729202048920293</v>
      </c>
      <c r="M565" s="1">
        <f t="shared" si="166"/>
        <v>0.2556852728133055</v>
      </c>
      <c r="N565" s="1">
        <f t="shared" si="167"/>
        <v>0.2557846830562116</v>
      </c>
      <c r="O565" s="1">
        <f t="shared" si="168"/>
        <v>0.25514578250117748</v>
      </c>
      <c r="P565" s="1">
        <f t="shared" si="169"/>
        <v>0.25524831677713744</v>
      </c>
      <c r="Q565" s="1">
        <f t="shared" si="170"/>
        <v>3.87793525212345</v>
      </c>
      <c r="T565">
        <v>0.60630018040449229</v>
      </c>
      <c r="U565">
        <f t="shared" si="177"/>
        <v>1.6493480165762964</v>
      </c>
      <c r="V565" s="15">
        <f t="shared" si="171"/>
        <v>0</v>
      </c>
      <c r="W565" s="15">
        <f t="shared" si="172"/>
        <v>0</v>
      </c>
      <c r="X565" s="15">
        <f t="shared" si="173"/>
        <v>0</v>
      </c>
      <c r="Y565" s="15">
        <f t="shared" si="174"/>
        <v>0</v>
      </c>
      <c r="Z565" s="15">
        <f t="shared" si="175"/>
        <v>0</v>
      </c>
      <c r="AA565" s="15">
        <f t="shared" si="176"/>
        <v>0</v>
      </c>
      <c r="AC565" s="1"/>
      <c r="AD565" s="1"/>
      <c r="AE565" s="1"/>
    </row>
    <row r="566" spans="1:31">
      <c r="A566">
        <v>878</v>
      </c>
      <c r="B566">
        <f t="shared" si="156"/>
        <v>0.51520741921507396</v>
      </c>
      <c r="C566">
        <v>0.50188034773856283</v>
      </c>
      <c r="D566">
        <f t="shared" si="157"/>
        <v>1.9925067887314754</v>
      </c>
      <c r="E566" s="1">
        <f t="shared" si="158"/>
        <v>0.13836657007262143</v>
      </c>
      <c r="F566" s="1">
        <f t="shared" si="159"/>
        <v>0.16050522128424086</v>
      </c>
      <c r="G566" s="1">
        <f t="shared" si="160"/>
        <v>4.9811965226143722E-2</v>
      </c>
      <c r="H566" s="1">
        <f t="shared" si="161"/>
        <v>4.8268132994467514E-2</v>
      </c>
      <c r="I566" s="1">
        <f t="shared" si="162"/>
        <v>0.1773921174980316</v>
      </c>
      <c r="J566" s="1">
        <f t="shared" si="163"/>
        <v>0.19218432368243737</v>
      </c>
      <c r="K566" s="1">
        <f t="shared" si="164"/>
        <v>0.11817605441042561</v>
      </c>
      <c r="L566" s="1">
        <f t="shared" si="165"/>
        <v>0.11718097865779842</v>
      </c>
      <c r="M566" s="1">
        <f t="shared" si="166"/>
        <v>0.25544321234885159</v>
      </c>
      <c r="N566" s="1">
        <f t="shared" si="167"/>
        <v>0.25554252847883013</v>
      </c>
      <c r="O566" s="1">
        <f t="shared" si="168"/>
        <v>0.25490423277898921</v>
      </c>
      <c r="P566" s="1">
        <f t="shared" si="169"/>
        <v>0.2550066699844602</v>
      </c>
      <c r="Q566" s="1">
        <f t="shared" si="170"/>
        <v>3.8742639620334005</v>
      </c>
      <c r="T566">
        <v>9.4543403125745273E-3</v>
      </c>
      <c r="U566">
        <f t="shared" si="177"/>
        <v>105.77152576896064</v>
      </c>
      <c r="V566" s="15">
        <f t="shared" si="171"/>
        <v>0.10304197639427203</v>
      </c>
      <c r="W566" s="15">
        <f t="shared" si="172"/>
        <v>0.1057753682453844</v>
      </c>
      <c r="X566" s="15">
        <f t="shared" si="173"/>
        <v>0.11124215194760896</v>
      </c>
      <c r="Y566" s="15">
        <f t="shared" si="174"/>
        <v>0.14763297309330198</v>
      </c>
      <c r="Z566" s="15">
        <f t="shared" si="175"/>
        <v>0.14970192057754048</v>
      </c>
      <c r="AA566" s="15">
        <f t="shared" si="176"/>
        <v>0.15383981554601778</v>
      </c>
      <c r="AC566" s="1"/>
      <c r="AD566" s="1"/>
      <c r="AE566" s="1"/>
    </row>
    <row r="567" spans="1:31">
      <c r="A567">
        <v>778</v>
      </c>
      <c r="B567">
        <f t="shared" si="156"/>
        <v>0.51632001871163991</v>
      </c>
      <c r="C567">
        <v>0.50230969774388401</v>
      </c>
      <c r="D567">
        <f t="shared" si="157"/>
        <v>1.9908036904154629</v>
      </c>
      <c r="E567" s="1">
        <f t="shared" si="158"/>
        <v>0.13824730618225445</v>
      </c>
      <c r="F567" s="1">
        <f t="shared" si="159"/>
        <v>0.16036687517141515</v>
      </c>
      <c r="G567" s="1">
        <f t="shared" si="160"/>
        <v>4.9769030225611605E-2</v>
      </c>
      <c r="H567" s="1">
        <f t="shared" si="161"/>
        <v>4.8226528687020633E-2</v>
      </c>
      <c r="I567" s="1">
        <f t="shared" si="162"/>
        <v>0.17723921586838109</v>
      </c>
      <c r="J567" s="1">
        <f t="shared" si="163"/>
        <v>0.19201867203624937</v>
      </c>
      <c r="K567" s="1">
        <f t="shared" si="164"/>
        <v>0.11807419356361983</v>
      </c>
      <c r="L567" s="1">
        <f t="shared" si="165"/>
        <v>0.1170799755080896</v>
      </c>
      <c r="M567" s="1">
        <f t="shared" si="166"/>
        <v>0.25522303524063411</v>
      </c>
      <c r="N567" s="1">
        <f t="shared" si="167"/>
        <v>0.25532226576591754</v>
      </c>
      <c r="O567" s="1">
        <f t="shared" si="168"/>
        <v>0.25468452023963611</v>
      </c>
      <c r="P567" s="1">
        <f t="shared" si="169"/>
        <v>0.25478686915022747</v>
      </c>
      <c r="Q567" s="1">
        <f t="shared" si="170"/>
        <v>3.8709245731031245</v>
      </c>
      <c r="T567">
        <v>0.1849066619017844</v>
      </c>
      <c r="U567">
        <f t="shared" si="177"/>
        <v>5.4081339726481197</v>
      </c>
      <c r="V567" s="15">
        <f t="shared" si="171"/>
        <v>7.9556475092892973E-2</v>
      </c>
      <c r="W567" s="15">
        <f t="shared" si="172"/>
        <v>8.3758465251938363E-2</v>
      </c>
      <c r="X567" s="15">
        <f t="shared" si="173"/>
        <v>9.2162445570029228E-2</v>
      </c>
      <c r="Y567" s="15">
        <f t="shared" si="174"/>
        <v>0.11291666682415732</v>
      </c>
      <c r="Z567" s="15">
        <f t="shared" si="175"/>
        <v>0.11652771162405196</v>
      </c>
      <c r="AA567" s="15">
        <f t="shared" si="176"/>
        <v>0.1237498012238413</v>
      </c>
      <c r="AC567" s="1"/>
      <c r="AD567" s="1"/>
      <c r="AE567" s="1"/>
    </row>
    <row r="568" spans="1:31">
      <c r="A568">
        <v>997</v>
      </c>
      <c r="B568">
        <f t="shared" si="156"/>
        <v>0.51690926157403305</v>
      </c>
      <c r="C568">
        <v>0.50272406400817282</v>
      </c>
      <c r="D568">
        <f t="shared" si="157"/>
        <v>1.9891627864938308</v>
      </c>
      <c r="E568" s="1">
        <f t="shared" si="158"/>
        <v>0.13813220444217422</v>
      </c>
      <c r="F568" s="1">
        <f t="shared" si="159"/>
        <v>0.16023335715292208</v>
      </c>
      <c r="G568" s="1">
        <f t="shared" si="160"/>
        <v>4.9727593599182718E-2</v>
      </c>
      <c r="H568" s="1">
        <f t="shared" si="161"/>
        <v>4.8186376314267802E-2</v>
      </c>
      <c r="I568" s="1">
        <f t="shared" si="162"/>
        <v>0.17709165030113591</v>
      </c>
      <c r="J568" s="1">
        <f t="shared" si="163"/>
        <v>0.19185880141099371</v>
      </c>
      <c r="K568" s="1">
        <f t="shared" si="164"/>
        <v>0.11797588752415294</v>
      </c>
      <c r="L568" s="1">
        <f t="shared" si="165"/>
        <v>0.11698249723323798</v>
      </c>
      <c r="M568" s="1">
        <f t="shared" si="166"/>
        <v>0.25501054201905893</v>
      </c>
      <c r="N568" s="1">
        <f t="shared" si="167"/>
        <v>0.25510968992713673</v>
      </c>
      <c r="O568" s="1">
        <f t="shared" si="168"/>
        <v>0.25447247537409323</v>
      </c>
      <c r="P568" s="1">
        <f t="shared" si="169"/>
        <v>0.25457473907117822</v>
      </c>
      <c r="Q568" s="1">
        <f t="shared" si="170"/>
        <v>3.8677017243808782</v>
      </c>
      <c r="T568">
        <v>0.56037273467007553</v>
      </c>
      <c r="U568">
        <f t="shared" si="177"/>
        <v>1.7845265091078333</v>
      </c>
      <c r="V568" s="15">
        <f t="shared" si="171"/>
        <v>0</v>
      </c>
      <c r="W568" s="15">
        <f t="shared" si="172"/>
        <v>0</v>
      </c>
      <c r="X568" s="15">
        <f t="shared" si="173"/>
        <v>0</v>
      </c>
      <c r="Y568" s="15">
        <f t="shared" si="174"/>
        <v>0</v>
      </c>
      <c r="Z568" s="15">
        <f t="shared" si="175"/>
        <v>0</v>
      </c>
      <c r="AA568" s="15">
        <f t="shared" si="176"/>
        <v>0</v>
      </c>
      <c r="AC568" s="1"/>
      <c r="AD568" s="1"/>
      <c r="AE568" s="1"/>
    </row>
    <row r="569" spans="1:31">
      <c r="A569">
        <v>324</v>
      </c>
      <c r="B569">
        <f t="shared" si="156"/>
        <v>0.51795704576079604</v>
      </c>
      <c r="C569">
        <v>0.50483635783081204</v>
      </c>
      <c r="D569">
        <f t="shared" si="157"/>
        <v>1.9808398988868672</v>
      </c>
      <c r="E569" s="1">
        <f t="shared" si="158"/>
        <v>0.13754545615810776</v>
      </c>
      <c r="F569" s="1">
        <f t="shared" si="159"/>
        <v>0.15955272914340499</v>
      </c>
      <c r="G569" s="1">
        <f t="shared" si="160"/>
        <v>4.9516364216918796E-2</v>
      </c>
      <c r="H569" s="1">
        <f t="shared" si="161"/>
        <v>4.7981693606625839E-2</v>
      </c>
      <c r="I569" s="1">
        <f t="shared" si="162"/>
        <v>0.17633941281707993</v>
      </c>
      <c r="J569" s="1">
        <f t="shared" si="163"/>
        <v>0.19104383705879535</v>
      </c>
      <c r="K569" s="1">
        <f t="shared" si="164"/>
        <v>0.11747475782854318</v>
      </c>
      <c r="L569" s="1">
        <f t="shared" si="165"/>
        <v>0.11648558719119094</v>
      </c>
      <c r="M569" s="1">
        <f t="shared" si="166"/>
        <v>0.25392732613502389</v>
      </c>
      <c r="N569" s="1">
        <f t="shared" si="167"/>
        <v>0.2540260528895758</v>
      </c>
      <c r="O569" s="1">
        <f t="shared" si="168"/>
        <v>0.25339154505179173</v>
      </c>
      <c r="P569" s="1">
        <f t="shared" si="169"/>
        <v>0.25349337436032104</v>
      </c>
      <c r="Q569" s="1">
        <f t="shared" si="170"/>
        <v>3.8512727724270177</v>
      </c>
      <c r="T569">
        <v>7.3884057396532477E-2</v>
      </c>
      <c r="U569">
        <f t="shared" si="177"/>
        <v>13.534719603080866</v>
      </c>
      <c r="V569" s="15">
        <f t="shared" si="171"/>
        <v>9.7455755091132648E-2</v>
      </c>
      <c r="W569" s="15">
        <f t="shared" si="172"/>
        <v>0.10056879032379638</v>
      </c>
      <c r="X569" s="15">
        <f t="shared" si="173"/>
        <v>0.10679486078912394</v>
      </c>
      <c r="Y569" s="15">
        <f t="shared" si="174"/>
        <v>0.13938226956439023</v>
      </c>
      <c r="Z569" s="15">
        <f t="shared" si="175"/>
        <v>0.1418519714456577</v>
      </c>
      <c r="AA569" s="15">
        <f t="shared" si="176"/>
        <v>0.14679137520819252</v>
      </c>
      <c r="AC569" s="1"/>
      <c r="AD569" s="1"/>
      <c r="AE569" s="1"/>
    </row>
    <row r="570" spans="1:31">
      <c r="A570">
        <v>548</v>
      </c>
      <c r="B570">
        <f t="shared" si="156"/>
        <v>0.52016439804782577</v>
      </c>
      <c r="C570">
        <v>0.50613389833821543</v>
      </c>
      <c r="D570">
        <f t="shared" si="157"/>
        <v>1.9757617564903089</v>
      </c>
      <c r="E570" s="1">
        <f t="shared" si="158"/>
        <v>0.13718502823938461</v>
      </c>
      <c r="F570" s="1">
        <f t="shared" si="159"/>
        <v>0.15913463275768613</v>
      </c>
      <c r="G570" s="1">
        <f t="shared" si="160"/>
        <v>4.9386610166178457E-2</v>
      </c>
      <c r="H570" s="1">
        <f t="shared" si="161"/>
        <v>4.7855961049211734E-2</v>
      </c>
      <c r="I570" s="1">
        <f t="shared" si="162"/>
        <v>0.17587732814103316</v>
      </c>
      <c r="J570" s="1">
        <f t="shared" si="163"/>
        <v>0.19054322050264511</v>
      </c>
      <c r="K570" s="1">
        <f t="shared" si="164"/>
        <v>0.11716692372300952</v>
      </c>
      <c r="L570" s="1">
        <f t="shared" si="165"/>
        <v>0.11618034513576232</v>
      </c>
      <c r="M570" s="1">
        <f t="shared" si="166"/>
        <v>0.25326192794432989</v>
      </c>
      <c r="N570" s="1">
        <f t="shared" si="167"/>
        <v>0.25336039599256277</v>
      </c>
      <c r="O570" s="1">
        <f t="shared" si="168"/>
        <v>0.25272755083667148</v>
      </c>
      <c r="P570" s="1">
        <f t="shared" si="169"/>
        <v>0.25282911330886348</v>
      </c>
      <c r="Q570" s="1">
        <f t="shared" si="170"/>
        <v>3.8411807907027691</v>
      </c>
      <c r="T570">
        <v>0.29614632377870143</v>
      </c>
      <c r="U570">
        <f t="shared" si="177"/>
        <v>3.3767091458047642</v>
      </c>
      <c r="V570" s="15">
        <f t="shared" si="171"/>
        <v>7.1214294697709277E-2</v>
      </c>
      <c r="W570" s="15">
        <f t="shared" si="172"/>
        <v>7.5786551393420984E-2</v>
      </c>
      <c r="X570" s="15">
        <f t="shared" si="173"/>
        <v>8.4931064784844384E-2</v>
      </c>
      <c r="Y570" s="15">
        <f t="shared" si="174"/>
        <v>0.10057182756251845</v>
      </c>
      <c r="Z570" s="15">
        <f t="shared" si="175"/>
        <v>0.10455829108937488</v>
      </c>
      <c r="AA570" s="15">
        <f t="shared" si="176"/>
        <v>0.11253121814308784</v>
      </c>
      <c r="AC570" s="1"/>
      <c r="AD570" s="1"/>
      <c r="AE570" s="1"/>
    </row>
    <row r="571" spans="1:31">
      <c r="A571">
        <v>790</v>
      </c>
      <c r="B571">
        <f t="shared" si="156"/>
        <v>0.52192362853084684</v>
      </c>
      <c r="C571">
        <v>0.50710363071592113</v>
      </c>
      <c r="D571">
        <f t="shared" si="157"/>
        <v>1.9719835146678311</v>
      </c>
      <c r="E571" s="1">
        <f t="shared" si="158"/>
        <v>0.13691565813446632</v>
      </c>
      <c r="F571" s="1">
        <f t="shared" si="159"/>
        <v>0.15882216343598096</v>
      </c>
      <c r="G571" s="1">
        <f t="shared" si="160"/>
        <v>4.928963692840789E-2</v>
      </c>
      <c r="H571" s="1">
        <f t="shared" si="161"/>
        <v>4.7761993322454441E-2</v>
      </c>
      <c r="I571" s="1">
        <f t="shared" si="162"/>
        <v>0.17553198364577655</v>
      </c>
      <c r="J571" s="1">
        <f t="shared" si="163"/>
        <v>0.19016907874711261</v>
      </c>
      <c r="K571" s="1">
        <f t="shared" si="164"/>
        <v>0.11693686023181614</v>
      </c>
      <c r="L571" s="1">
        <f t="shared" si="165"/>
        <v>0.11595221884413778</v>
      </c>
      <c r="M571" s="1">
        <f t="shared" si="166"/>
        <v>0.25276463466839666</v>
      </c>
      <c r="N571" s="1">
        <f t="shared" si="167"/>
        <v>0.25286290936937561</v>
      </c>
      <c r="O571" s="1">
        <f t="shared" si="168"/>
        <v>0.25223130683863249</v>
      </c>
      <c r="P571" s="1">
        <f t="shared" si="169"/>
        <v>0.25233266988750441</v>
      </c>
      <c r="Q571" s="1">
        <f t="shared" si="170"/>
        <v>3.8336384277650581</v>
      </c>
      <c r="T571">
        <v>0.67055217910322817</v>
      </c>
      <c r="U571">
        <f t="shared" si="177"/>
        <v>1.4913082548435876</v>
      </c>
      <c r="V571" s="15">
        <f t="shared" si="171"/>
        <v>0</v>
      </c>
      <c r="W571" s="15">
        <f t="shared" si="172"/>
        <v>0</v>
      </c>
      <c r="X571" s="15">
        <f t="shared" si="173"/>
        <v>0</v>
      </c>
      <c r="Y571" s="15">
        <f t="shared" si="174"/>
        <v>0</v>
      </c>
      <c r="Z571" s="15">
        <f t="shared" si="175"/>
        <v>0</v>
      </c>
      <c r="AA571" s="15">
        <f t="shared" si="176"/>
        <v>0</v>
      </c>
      <c r="AC571" s="1"/>
      <c r="AD571" s="1"/>
      <c r="AE571" s="1"/>
    </row>
    <row r="572" spans="1:31">
      <c r="A572">
        <v>876</v>
      </c>
      <c r="B572">
        <f t="shared" si="156"/>
        <v>0.52237274572206593</v>
      </c>
      <c r="C572">
        <v>0.50737646401730907</v>
      </c>
      <c r="D572">
        <f t="shared" si="157"/>
        <v>1.9709231131499334</v>
      </c>
      <c r="E572" s="1">
        <f t="shared" si="158"/>
        <v>0.13683987110630302</v>
      </c>
      <c r="F572" s="1">
        <f t="shared" si="159"/>
        <v>0.1587342504833115</v>
      </c>
      <c r="G572" s="1">
        <f t="shared" si="160"/>
        <v>4.9262353598269096E-2</v>
      </c>
      <c r="H572" s="1">
        <f t="shared" si="161"/>
        <v>4.77355555900403E-2</v>
      </c>
      <c r="I572" s="1">
        <f t="shared" si="162"/>
        <v>0.17543482129364399</v>
      </c>
      <c r="J572" s="1">
        <f t="shared" si="163"/>
        <v>0.19006381431261932</v>
      </c>
      <c r="K572" s="1">
        <f t="shared" si="164"/>
        <v>0.11687213208281937</v>
      </c>
      <c r="L572" s="1">
        <f t="shared" si="165"/>
        <v>0.11588803572443566</v>
      </c>
      <c r="M572" s="1">
        <f t="shared" si="166"/>
        <v>0.2526247216683255</v>
      </c>
      <c r="N572" s="1">
        <f t="shared" si="167"/>
        <v>0.25272294197123468</v>
      </c>
      <c r="O572" s="1">
        <f t="shared" si="168"/>
        <v>0.25209168905191975</v>
      </c>
      <c r="P572" s="1">
        <f t="shared" si="169"/>
        <v>0.25219299599322631</v>
      </c>
      <c r="Q572" s="1">
        <f t="shared" si="170"/>
        <v>3.8315163909764851</v>
      </c>
      <c r="T572">
        <v>0.97648731413040024</v>
      </c>
      <c r="U572">
        <f t="shared" si="177"/>
        <v>1.0240788441686401</v>
      </c>
      <c r="V572" s="15">
        <f t="shared" si="171"/>
        <v>0</v>
      </c>
      <c r="W572" s="15">
        <f t="shared" si="172"/>
        <v>0</v>
      </c>
      <c r="X572" s="15">
        <f t="shared" si="173"/>
        <v>0</v>
      </c>
      <c r="Y572" s="15">
        <f t="shared" si="174"/>
        <v>0</v>
      </c>
      <c r="Z572" s="15">
        <f t="shared" si="175"/>
        <v>0</v>
      </c>
      <c r="AA572" s="15">
        <f t="shared" si="176"/>
        <v>0</v>
      </c>
      <c r="AC572" s="1"/>
      <c r="AD572" s="1"/>
      <c r="AE572" s="1"/>
    </row>
    <row r="573" spans="1:31">
      <c r="A573">
        <v>46</v>
      </c>
      <c r="B573">
        <f t="shared" si="156"/>
        <v>0.52678553123532457</v>
      </c>
      <c r="C573">
        <v>0.50917082133971703</v>
      </c>
      <c r="D573">
        <f t="shared" si="157"/>
        <v>1.9639774277890198</v>
      </c>
      <c r="E573" s="1">
        <f t="shared" si="158"/>
        <v>0.13634143851674524</v>
      </c>
      <c r="F573" s="1">
        <f t="shared" si="159"/>
        <v>0.1581560686794245</v>
      </c>
      <c r="G573" s="1">
        <f t="shared" si="160"/>
        <v>4.9082917866028301E-2</v>
      </c>
      <c r="H573" s="1">
        <f t="shared" si="161"/>
        <v>4.7561681145447766E-2</v>
      </c>
      <c r="I573" s="1">
        <f t="shared" si="162"/>
        <v>0.17479580847107221</v>
      </c>
      <c r="J573" s="1">
        <f t="shared" si="163"/>
        <v>0.18937151609293251</v>
      </c>
      <c r="K573" s="1">
        <f t="shared" si="164"/>
        <v>0.11644643101360451</v>
      </c>
      <c r="L573" s="1">
        <f t="shared" si="165"/>
        <v>0.11546591917844724</v>
      </c>
      <c r="M573" s="1">
        <f t="shared" si="166"/>
        <v>0.25170454837972578</v>
      </c>
      <c r="N573" s="1">
        <f t="shared" si="167"/>
        <v>0.25180241091994832</v>
      </c>
      <c r="O573" s="1">
        <f t="shared" si="168"/>
        <v>0.25117345730875673</v>
      </c>
      <c r="P573" s="1">
        <f t="shared" si="169"/>
        <v>0.25127439524444611</v>
      </c>
      <c r="Q573" s="1">
        <f t="shared" si="170"/>
        <v>3.8175602784688678</v>
      </c>
      <c r="T573">
        <v>0.66030113198034424</v>
      </c>
      <c r="U573">
        <f t="shared" si="177"/>
        <v>1.5144605265189337</v>
      </c>
      <c r="V573" s="15">
        <f t="shared" si="171"/>
        <v>0</v>
      </c>
      <c r="W573" s="15">
        <f t="shared" si="172"/>
        <v>0</v>
      </c>
      <c r="X573" s="15">
        <f t="shared" si="173"/>
        <v>0</v>
      </c>
      <c r="Y573" s="15">
        <f t="shared" si="174"/>
        <v>0</v>
      </c>
      <c r="Z573" s="15">
        <f t="shared" si="175"/>
        <v>0</v>
      </c>
      <c r="AA573" s="15">
        <f t="shared" si="176"/>
        <v>0</v>
      </c>
      <c r="AC573" s="1"/>
      <c r="AD573" s="1"/>
      <c r="AE573" s="1"/>
    </row>
    <row r="574" spans="1:31">
      <c r="A574">
        <v>853</v>
      </c>
      <c r="B574">
        <f t="shared" si="156"/>
        <v>0.52792893548866238</v>
      </c>
      <c r="C574">
        <v>0.51025977934181677</v>
      </c>
      <c r="D574">
        <f t="shared" si="157"/>
        <v>1.9597860550363158</v>
      </c>
      <c r="E574" s="1">
        <f t="shared" si="158"/>
        <v>0.13603895018282866</v>
      </c>
      <c r="F574" s="1">
        <f t="shared" si="159"/>
        <v>0.15780518221208126</v>
      </c>
      <c r="G574" s="1">
        <f t="shared" si="160"/>
        <v>4.8974022065818329E-2</v>
      </c>
      <c r="H574" s="1">
        <f t="shared" si="161"/>
        <v>4.7456160374620693E-2</v>
      </c>
      <c r="I574" s="1">
        <f t="shared" si="162"/>
        <v>0.1744080049283252</v>
      </c>
      <c r="J574" s="1">
        <f t="shared" si="163"/>
        <v>0.18895137475499899</v>
      </c>
      <c r="K574" s="1">
        <f t="shared" si="164"/>
        <v>0.1161880819211273</v>
      </c>
      <c r="L574" s="1">
        <f t="shared" si="165"/>
        <v>0.11520974545828991</v>
      </c>
      <c r="M574" s="1">
        <f t="shared" si="166"/>
        <v>0.25114611441931789</v>
      </c>
      <c r="N574" s="1">
        <f t="shared" si="167"/>
        <v>0.25124375984083414</v>
      </c>
      <c r="O574" s="1">
        <f t="shared" si="168"/>
        <v>0.25061620163174508</v>
      </c>
      <c r="P574" s="1">
        <f t="shared" si="169"/>
        <v>0.25071691562562826</v>
      </c>
      <c r="Q574" s="1">
        <f t="shared" si="170"/>
        <v>3.8090906051192031</v>
      </c>
      <c r="T574">
        <v>0.50332989446280352</v>
      </c>
      <c r="U574">
        <f t="shared" si="177"/>
        <v>1.9867685408737445</v>
      </c>
      <c r="V574" s="15">
        <f t="shared" si="171"/>
        <v>0</v>
      </c>
      <c r="W574" s="15">
        <f t="shared" si="172"/>
        <v>0</v>
      </c>
      <c r="X574" s="15">
        <f t="shared" si="173"/>
        <v>0</v>
      </c>
      <c r="Y574" s="15">
        <f t="shared" si="174"/>
        <v>0</v>
      </c>
      <c r="Z574" s="15">
        <f t="shared" si="175"/>
        <v>0</v>
      </c>
      <c r="AA574" s="15">
        <f t="shared" si="176"/>
        <v>0</v>
      </c>
      <c r="AC574" s="1"/>
      <c r="AD574" s="1"/>
      <c r="AE574" s="1"/>
    </row>
    <row r="575" spans="1:31">
      <c r="A575">
        <v>873</v>
      </c>
      <c r="B575">
        <f t="shared" si="156"/>
        <v>0.52845193816014191</v>
      </c>
      <c r="C575">
        <v>0.51076386547064856</v>
      </c>
      <c r="D575">
        <f t="shared" si="157"/>
        <v>1.957851891262002</v>
      </c>
      <c r="E575" s="1">
        <f t="shared" si="158"/>
        <v>0.13589892625815317</v>
      </c>
      <c r="F575" s="1">
        <f t="shared" si="159"/>
        <v>0.15764275445945766</v>
      </c>
      <c r="G575" s="1">
        <f t="shared" si="160"/>
        <v>4.8923613452935145E-2</v>
      </c>
      <c r="H575" s="1">
        <f t="shared" si="161"/>
        <v>4.7407314085989728E-2</v>
      </c>
      <c r="I575" s="1">
        <f t="shared" si="162"/>
        <v>0.17422848800826615</v>
      </c>
      <c r="J575" s="1">
        <f t="shared" si="163"/>
        <v>0.18875688844772839</v>
      </c>
      <c r="K575" s="1">
        <f t="shared" si="164"/>
        <v>0.11606849035408529</v>
      </c>
      <c r="L575" s="1">
        <f t="shared" si="165"/>
        <v>0.11509116088601665</v>
      </c>
      <c r="M575" s="1">
        <f t="shared" si="166"/>
        <v>0.25088761150849176</v>
      </c>
      <c r="N575" s="1">
        <f t="shared" si="167"/>
        <v>0.25098515642426955</v>
      </c>
      <c r="O575" s="1">
        <f t="shared" si="168"/>
        <v>0.25035824415638541</v>
      </c>
      <c r="P575" s="1">
        <f t="shared" si="169"/>
        <v>0.25045885448607041</v>
      </c>
      <c r="Q575" s="1">
        <f t="shared" si="170"/>
        <v>3.8051699352282893</v>
      </c>
      <c r="T575">
        <v>0.24160260728147254</v>
      </c>
      <c r="U575">
        <f t="shared" si="177"/>
        <v>4.1390281804160223</v>
      </c>
      <c r="V575" s="15">
        <f t="shared" si="171"/>
        <v>7.4782466149281551E-2</v>
      </c>
      <c r="W575" s="15">
        <f t="shared" si="172"/>
        <v>7.9212534510777102E-2</v>
      </c>
      <c r="X575" s="15">
        <f t="shared" si="173"/>
        <v>8.8072671233768274E-2</v>
      </c>
      <c r="Y575" s="15">
        <f t="shared" si="174"/>
        <v>0.10585287172112964</v>
      </c>
      <c r="Z575" s="15">
        <f t="shared" si="175"/>
        <v>0.10969726467739885</v>
      </c>
      <c r="AA575" s="15">
        <f t="shared" si="176"/>
        <v>0.11738605058993738</v>
      </c>
      <c r="AC575" s="1"/>
      <c r="AD575" s="1"/>
      <c r="AE575" s="1"/>
    </row>
    <row r="576" spans="1:31">
      <c r="A576">
        <v>703</v>
      </c>
      <c r="B576">
        <f t="shared" si="156"/>
        <v>0.53544121954179125</v>
      </c>
      <c r="C576">
        <v>0.51422569305365229</v>
      </c>
      <c r="D576">
        <f t="shared" si="157"/>
        <v>1.9446714030597143</v>
      </c>
      <c r="E576" s="1">
        <f t="shared" si="158"/>
        <v>0.13493730748509658</v>
      </c>
      <c r="F576" s="1">
        <f t="shared" si="159"/>
        <v>0.15652727668271202</v>
      </c>
      <c r="G576" s="1">
        <f t="shared" si="160"/>
        <v>4.8577430694634778E-2</v>
      </c>
      <c r="H576" s="1">
        <f t="shared" si="161"/>
        <v>4.7071860639369557E-2</v>
      </c>
      <c r="I576" s="1">
        <f t="shared" si="162"/>
        <v>0.17299564982857552</v>
      </c>
      <c r="J576" s="1">
        <f t="shared" si="163"/>
        <v>0.18742124752345585</v>
      </c>
      <c r="K576" s="1">
        <f t="shared" si="164"/>
        <v>0.11524719144939191</v>
      </c>
      <c r="L576" s="1">
        <f t="shared" si="165"/>
        <v>0.11427677755004653</v>
      </c>
      <c r="M576" s="1">
        <f t="shared" si="166"/>
        <v>0.24911233451553302</v>
      </c>
      <c r="N576" s="1">
        <f t="shared" si="167"/>
        <v>0.24920918920494323</v>
      </c>
      <c r="O576" s="1">
        <f t="shared" si="168"/>
        <v>0.24858671295890605</v>
      </c>
      <c r="P576" s="1">
        <f t="shared" si="169"/>
        <v>0.24868661137140044</v>
      </c>
      <c r="Q576" s="1">
        <f t="shared" si="170"/>
        <v>3.7782446095827047</v>
      </c>
      <c r="T576">
        <v>0.20477820890407639</v>
      </c>
      <c r="U576">
        <f t="shared" si="177"/>
        <v>4.8833320954986323</v>
      </c>
      <c r="V576" s="15">
        <f t="shared" si="171"/>
        <v>7.7191465305366289E-2</v>
      </c>
      <c r="W576" s="15">
        <f t="shared" si="172"/>
        <v>8.1525537277175777E-2</v>
      </c>
      <c r="X576" s="15">
        <f t="shared" si="173"/>
        <v>9.0193681220794866E-2</v>
      </c>
      <c r="Y576" s="15">
        <f t="shared" si="174"/>
        <v>0.10941829201945492</v>
      </c>
      <c r="Z576" s="15">
        <f t="shared" si="175"/>
        <v>0.11316676809244255</v>
      </c>
      <c r="AA576" s="15">
        <f t="shared" si="176"/>
        <v>0.12066372023841797</v>
      </c>
      <c r="AC576" s="1"/>
      <c r="AD576" s="1"/>
      <c r="AE576" s="1"/>
    </row>
    <row r="577" spans="1:31">
      <c r="A577">
        <v>923</v>
      </c>
      <c r="B577">
        <f t="shared" si="156"/>
        <v>0.54351912763276522</v>
      </c>
      <c r="C577">
        <v>0.51681964483185849</v>
      </c>
      <c r="D577">
        <f t="shared" si="157"/>
        <v>1.9349109694259761</v>
      </c>
      <c r="E577" s="1">
        <f t="shared" si="158"/>
        <v>0.13421676532448373</v>
      </c>
      <c r="F577" s="1">
        <f t="shared" si="159"/>
        <v>0.15569144777640115</v>
      </c>
      <c r="G577" s="1">
        <f t="shared" si="160"/>
        <v>4.8318035516814156E-2</v>
      </c>
      <c r="H577" s="1">
        <f t="shared" si="161"/>
        <v>4.6820504948335749E-2</v>
      </c>
      <c r="I577" s="1">
        <f t="shared" si="162"/>
        <v>0.17207188262418047</v>
      </c>
      <c r="J577" s="1">
        <f t="shared" si="163"/>
        <v>0.18642045009276589</v>
      </c>
      <c r="K577" s="1">
        <f t="shared" si="164"/>
        <v>0.11463179114328549</v>
      </c>
      <c r="L577" s="1">
        <f t="shared" si="165"/>
        <v>0.11366655908831476</v>
      </c>
      <c r="M577" s="1">
        <f t="shared" si="166"/>
        <v>0.24778211722357354</v>
      </c>
      <c r="N577" s="1">
        <f t="shared" si="167"/>
        <v>0.24787845472549519</v>
      </c>
      <c r="O577" s="1">
        <f t="shared" si="168"/>
        <v>0.24725930239622798</v>
      </c>
      <c r="P577" s="1">
        <f t="shared" si="169"/>
        <v>0.24735866736827272</v>
      </c>
      <c r="Q577" s="1">
        <f t="shared" si="170"/>
        <v>3.7580694290855452</v>
      </c>
      <c r="T577">
        <v>0.81242473845983376</v>
      </c>
      <c r="U577">
        <f t="shared" si="177"/>
        <v>1.2308832469771476</v>
      </c>
      <c r="V577" s="15">
        <f t="shared" si="171"/>
        <v>0</v>
      </c>
      <c r="W577" s="15">
        <f t="shared" si="172"/>
        <v>0</v>
      </c>
      <c r="X577" s="15">
        <f t="shared" si="173"/>
        <v>0</v>
      </c>
      <c r="Y577" s="15">
        <f t="shared" si="174"/>
        <v>0</v>
      </c>
      <c r="Z577" s="15">
        <f t="shared" si="175"/>
        <v>0</v>
      </c>
      <c r="AA577" s="15">
        <f t="shared" si="176"/>
        <v>0</v>
      </c>
      <c r="AC577" s="1"/>
      <c r="AD577" s="1"/>
      <c r="AE577" s="1"/>
    </row>
    <row r="578" spans="1:31">
      <c r="A578">
        <v>510</v>
      </c>
      <c r="B578">
        <f t="shared" si="156"/>
        <v>0.54470211412088199</v>
      </c>
      <c r="C578">
        <v>0.51722452765819527</v>
      </c>
      <c r="D578">
        <f t="shared" si="157"/>
        <v>1.9333963231164553</v>
      </c>
      <c r="E578" s="1">
        <f t="shared" si="158"/>
        <v>0.13410429787272354</v>
      </c>
      <c r="F578" s="1">
        <f t="shared" si="159"/>
        <v>0.15556098553235928</v>
      </c>
      <c r="G578" s="1">
        <f t="shared" si="160"/>
        <v>4.8277547234180478E-2</v>
      </c>
      <c r="H578" s="1">
        <f t="shared" si="161"/>
        <v>4.6781271527168621E-2</v>
      </c>
      <c r="I578" s="1">
        <f t="shared" si="162"/>
        <v>0.17192769433211771</v>
      </c>
      <c r="J578" s="1">
        <f t="shared" si="163"/>
        <v>0.18626423836372269</v>
      </c>
      <c r="K578" s="1">
        <f t="shared" si="164"/>
        <v>0.11453573499553504</v>
      </c>
      <c r="L578" s="1">
        <f t="shared" si="165"/>
        <v>0.11357131176045591</v>
      </c>
      <c r="M578" s="1">
        <f t="shared" si="166"/>
        <v>0.24757448725090572</v>
      </c>
      <c r="N578" s="1">
        <f t="shared" si="167"/>
        <v>0.24767074402644923</v>
      </c>
      <c r="O578" s="1">
        <f t="shared" si="168"/>
        <v>0.24705211051824402</v>
      </c>
      <c r="P578" s="1">
        <f t="shared" si="169"/>
        <v>0.24715139222703048</v>
      </c>
      <c r="Q578" s="1">
        <f t="shared" si="170"/>
        <v>3.7549203404362594</v>
      </c>
      <c r="T578">
        <v>0.12730170450646705</v>
      </c>
      <c r="U578">
        <f t="shared" si="177"/>
        <v>7.8553543636896004</v>
      </c>
      <c r="V578" s="15">
        <f t="shared" si="171"/>
        <v>8.7389727427684666E-2</v>
      </c>
      <c r="W578" s="15">
        <f t="shared" si="172"/>
        <v>9.1135156535491132E-2</v>
      </c>
      <c r="X578" s="15">
        <f t="shared" si="173"/>
        <v>9.8626014751103913E-2</v>
      </c>
      <c r="Y578" s="15">
        <f t="shared" si="174"/>
        <v>0.12450280869856141</v>
      </c>
      <c r="Z578" s="15">
        <f t="shared" si="175"/>
        <v>0.12763683642133469</v>
      </c>
      <c r="AA578" s="15">
        <f t="shared" si="176"/>
        <v>0.13390489186688115</v>
      </c>
      <c r="AC578" s="1"/>
      <c r="AD578" s="1"/>
      <c r="AE578" s="1"/>
    </row>
    <row r="579" spans="1:31">
      <c r="A579">
        <v>664</v>
      </c>
      <c r="B579">
        <f t="shared" si="156"/>
        <v>0.54554093142096749</v>
      </c>
      <c r="C579">
        <v>0.5175116169213867</v>
      </c>
      <c r="D579">
        <f t="shared" si="157"/>
        <v>1.9323237726505111</v>
      </c>
      <c r="E579" s="1">
        <f t="shared" si="158"/>
        <v>0.13402455085517034</v>
      </c>
      <c r="F579" s="1">
        <f t="shared" si="159"/>
        <v>0.15546847899199762</v>
      </c>
      <c r="G579" s="1">
        <f t="shared" si="160"/>
        <v>4.8248838307861336E-2</v>
      </c>
      <c r="H579" s="1">
        <f t="shared" si="161"/>
        <v>4.6753452382362552E-2</v>
      </c>
      <c r="I579" s="1">
        <f t="shared" si="162"/>
        <v>0.17182545509687117</v>
      </c>
      <c r="J579" s="1">
        <f t="shared" si="163"/>
        <v>0.18615347369978613</v>
      </c>
      <c r="K579" s="1">
        <f t="shared" si="164"/>
        <v>0.11446762470068213</v>
      </c>
      <c r="L579" s="1">
        <f t="shared" si="165"/>
        <v>0.11350377497352092</v>
      </c>
      <c r="M579" s="1">
        <f t="shared" si="166"/>
        <v>0.24742726358027248</v>
      </c>
      <c r="N579" s="1">
        <f t="shared" si="167"/>
        <v>0.24752346311536291</v>
      </c>
      <c r="O579" s="1">
        <f t="shared" si="168"/>
        <v>0.24690519748632356</v>
      </c>
      <c r="P579" s="1">
        <f t="shared" si="169"/>
        <v>0.2470044201558376</v>
      </c>
      <c r="Q579" s="1">
        <f t="shared" si="170"/>
        <v>3.7526874239447703</v>
      </c>
      <c r="T579">
        <v>0.51966334680248105</v>
      </c>
      <c r="U579">
        <f t="shared" si="177"/>
        <v>1.9243227488585801</v>
      </c>
      <c r="V579" s="15">
        <f t="shared" si="171"/>
        <v>0</v>
      </c>
      <c r="W579" s="15">
        <f t="shared" si="172"/>
        <v>0</v>
      </c>
      <c r="X579" s="15">
        <f t="shared" si="173"/>
        <v>0</v>
      </c>
      <c r="Y579" s="15">
        <f t="shared" si="174"/>
        <v>0</v>
      </c>
      <c r="Z579" s="15">
        <f t="shared" si="175"/>
        <v>0</v>
      </c>
      <c r="AA579" s="15">
        <f t="shared" si="176"/>
        <v>0</v>
      </c>
      <c r="AC579" s="1"/>
      <c r="AD579" s="1"/>
      <c r="AE579" s="1"/>
    </row>
    <row r="580" spans="1:31">
      <c r="A580">
        <v>490</v>
      </c>
      <c r="B580">
        <f t="shared" si="156"/>
        <v>0.54579705601312645</v>
      </c>
      <c r="C580">
        <v>0.51885520663038431</v>
      </c>
      <c r="D580">
        <f t="shared" si="157"/>
        <v>1.9273199675383959</v>
      </c>
      <c r="E580" s="1">
        <f t="shared" si="158"/>
        <v>0.13365133149155989</v>
      </c>
      <c r="F580" s="1">
        <f t="shared" si="159"/>
        <v>0.15503554453020948</v>
      </c>
      <c r="G580" s="1">
        <f t="shared" si="160"/>
        <v>4.8114479336961571E-2</v>
      </c>
      <c r="H580" s="1">
        <f t="shared" si="161"/>
        <v>4.6623257626003375E-2</v>
      </c>
      <c r="I580" s="1">
        <f t="shared" si="162"/>
        <v>0.17134697121765544</v>
      </c>
      <c r="J580" s="1">
        <f t="shared" si="163"/>
        <v>0.18563509045921711</v>
      </c>
      <c r="K580" s="1">
        <f t="shared" si="164"/>
        <v>0.11414886568397814</v>
      </c>
      <c r="L580" s="1">
        <f t="shared" si="165"/>
        <v>0.11318769999775936</v>
      </c>
      <c r="M580" s="1">
        <f t="shared" si="166"/>
        <v>0.24673825066984614</v>
      </c>
      <c r="N580" s="1">
        <f t="shared" si="167"/>
        <v>0.24683418231723214</v>
      </c>
      <c r="O580" s="1">
        <f t="shared" si="168"/>
        <v>0.24621763837801111</v>
      </c>
      <c r="P580" s="1">
        <f t="shared" si="169"/>
        <v>0.24631658474127127</v>
      </c>
      <c r="Q580" s="1">
        <f t="shared" si="170"/>
        <v>3.742237281763678</v>
      </c>
      <c r="T580">
        <v>0.97437855037737819</v>
      </c>
      <c r="U580">
        <f t="shared" si="177"/>
        <v>1.0262951699959924</v>
      </c>
      <c r="V580" s="15">
        <f t="shared" si="171"/>
        <v>0</v>
      </c>
      <c r="W580" s="15">
        <f t="shared" si="172"/>
        <v>0</v>
      </c>
      <c r="X580" s="15">
        <f t="shared" si="173"/>
        <v>0</v>
      </c>
      <c r="Y580" s="15">
        <f t="shared" si="174"/>
        <v>0</v>
      </c>
      <c r="Z580" s="15">
        <f t="shared" si="175"/>
        <v>0</v>
      </c>
      <c r="AA580" s="15">
        <f t="shared" si="176"/>
        <v>0</v>
      </c>
      <c r="AC580" s="1"/>
      <c r="AD580" s="1"/>
      <c r="AE580" s="1"/>
    </row>
    <row r="581" spans="1:31">
      <c r="A581">
        <v>491</v>
      </c>
      <c r="B581">
        <f t="shared" si="156"/>
        <v>0.54755845757524602</v>
      </c>
      <c r="C581">
        <v>0.52094068859508036</v>
      </c>
      <c r="D581">
        <f t="shared" si="157"/>
        <v>1.9196043271200216</v>
      </c>
      <c r="E581" s="1">
        <f t="shared" si="158"/>
        <v>0.13307203094581099</v>
      </c>
      <c r="F581" s="1">
        <f t="shared" si="159"/>
        <v>0.15436355589714076</v>
      </c>
      <c r="G581" s="1">
        <f t="shared" si="160"/>
        <v>4.7905931140491971E-2</v>
      </c>
      <c r="H581" s="1">
        <f t="shared" si="161"/>
        <v>4.6421173005626502E-2</v>
      </c>
      <c r="I581" s="1">
        <f t="shared" si="162"/>
        <v>0.17060428206648093</v>
      </c>
      <c r="J581" s="1">
        <f t="shared" si="163"/>
        <v>0.18483047064725541</v>
      </c>
      <c r="K581" s="1">
        <f t="shared" si="164"/>
        <v>0.11365409694917117</v>
      </c>
      <c r="L581" s="1">
        <f t="shared" si="165"/>
        <v>0.11269709735542874</v>
      </c>
      <c r="M581" s="1">
        <f t="shared" si="166"/>
        <v>0.24566878430782044</v>
      </c>
      <c r="N581" s="1">
        <f t="shared" si="167"/>
        <v>0.24576430014748446</v>
      </c>
      <c r="O581" s="1">
        <f t="shared" si="168"/>
        <v>0.24515042856652941</v>
      </c>
      <c r="P581" s="1">
        <f t="shared" si="169"/>
        <v>0.24524894605503317</v>
      </c>
      <c r="Q581" s="1">
        <f t="shared" si="170"/>
        <v>3.7260168664827087</v>
      </c>
      <c r="T581">
        <v>0.72964551064372318</v>
      </c>
      <c r="U581">
        <f t="shared" si="177"/>
        <v>1.37052854490636</v>
      </c>
      <c r="V581" s="15">
        <f t="shared" si="171"/>
        <v>0</v>
      </c>
      <c r="W581" s="15">
        <f t="shared" si="172"/>
        <v>0</v>
      </c>
      <c r="X581" s="15">
        <f t="shared" si="173"/>
        <v>0</v>
      </c>
      <c r="Y581" s="15">
        <f t="shared" si="174"/>
        <v>0</v>
      </c>
      <c r="Z581" s="15">
        <f t="shared" si="175"/>
        <v>0</v>
      </c>
      <c r="AA581" s="15">
        <f t="shared" si="176"/>
        <v>0</v>
      </c>
      <c r="AC581" s="1"/>
      <c r="AD581" s="1"/>
      <c r="AE581" s="1"/>
    </row>
    <row r="582" spans="1:31">
      <c r="A582">
        <v>990</v>
      </c>
      <c r="B582">
        <f t="shared" si="156"/>
        <v>0.5481030264315111</v>
      </c>
      <c r="C582">
        <v>0.52258845943423404</v>
      </c>
      <c r="D582">
        <f t="shared" si="157"/>
        <v>1.9135516331199169</v>
      </c>
      <c r="E582" s="1">
        <f t="shared" si="158"/>
        <v>0.13261431682382385</v>
      </c>
      <c r="F582" s="1">
        <f t="shared" si="159"/>
        <v>0.15383260751563568</v>
      </c>
      <c r="G582" s="1">
        <f t="shared" si="160"/>
        <v>4.7741154056576598E-2</v>
      </c>
      <c r="H582" s="1">
        <f t="shared" si="161"/>
        <v>4.6261502890930985E-2</v>
      </c>
      <c r="I582" s="1">
        <f t="shared" si="162"/>
        <v>0.17001747213641302</v>
      </c>
      <c r="J582" s="1">
        <f t="shared" si="163"/>
        <v>0.18419472836551909</v>
      </c>
      <c r="K582" s="1">
        <f t="shared" si="164"/>
        <v>0.11326317268938803</v>
      </c>
      <c r="L582" s="1">
        <f t="shared" si="165"/>
        <v>0.11230946478831519</v>
      </c>
      <c r="M582" s="1">
        <f t="shared" si="166"/>
        <v>0.244823782761591</v>
      </c>
      <c r="N582" s="1">
        <f t="shared" si="167"/>
        <v>0.24491897006528562</v>
      </c>
      <c r="O582" s="1">
        <f t="shared" si="168"/>
        <v>0.24430720995501071</v>
      </c>
      <c r="P582" s="1">
        <f t="shared" si="169"/>
        <v>0.24440538858308355</v>
      </c>
      <c r="Q582" s="1">
        <f t="shared" si="170"/>
        <v>3.7132008710670688</v>
      </c>
      <c r="T582">
        <v>0.5415294208507313</v>
      </c>
      <c r="U582">
        <f t="shared" si="177"/>
        <v>1.8466217374284506</v>
      </c>
      <c r="V582" s="15">
        <f t="shared" si="171"/>
        <v>0</v>
      </c>
      <c r="W582" s="15">
        <f t="shared" si="172"/>
        <v>0</v>
      </c>
      <c r="X582" s="15">
        <f t="shared" si="173"/>
        <v>0</v>
      </c>
      <c r="Y582" s="15">
        <f t="shared" si="174"/>
        <v>0</v>
      </c>
      <c r="Z582" s="15">
        <f t="shared" si="175"/>
        <v>0</v>
      </c>
      <c r="AA582" s="15">
        <f t="shared" si="176"/>
        <v>0</v>
      </c>
      <c r="AC582" s="1"/>
      <c r="AD582" s="1"/>
      <c r="AE582" s="1"/>
    </row>
    <row r="583" spans="1:31">
      <c r="A583">
        <v>950</v>
      </c>
      <c r="B583">
        <f t="shared" si="156"/>
        <v>0.55253105720740214</v>
      </c>
      <c r="C583">
        <v>0.52492043870786254</v>
      </c>
      <c r="D583">
        <f t="shared" si="157"/>
        <v>1.9050506062625172</v>
      </c>
      <c r="E583" s="1">
        <f t="shared" si="158"/>
        <v>0.1319665448033715</v>
      </c>
      <c r="F583" s="1">
        <f t="shared" si="159"/>
        <v>0.15308119197191095</v>
      </c>
      <c r="G583" s="1">
        <f t="shared" si="160"/>
        <v>4.7507956129213748E-2</v>
      </c>
      <c r="H583" s="1">
        <f t="shared" si="161"/>
        <v>4.6035532513715748E-2</v>
      </c>
      <c r="I583" s="1">
        <f t="shared" si="162"/>
        <v>0.16918699949910104</v>
      </c>
      <c r="J583" s="1">
        <f t="shared" si="163"/>
        <v>0.18329500506106988</v>
      </c>
      <c r="K583" s="1">
        <f t="shared" si="164"/>
        <v>0.11270992387000664</v>
      </c>
      <c r="L583" s="1">
        <f t="shared" si="165"/>
        <v>0.11176087448023783</v>
      </c>
      <c r="M583" s="1">
        <f t="shared" si="166"/>
        <v>0.2436279088905598</v>
      </c>
      <c r="N583" s="1">
        <f t="shared" si="167"/>
        <v>0.24372263123938745</v>
      </c>
      <c r="O583" s="1">
        <f t="shared" si="168"/>
        <v>0.24311385935159227</v>
      </c>
      <c r="P583" s="1">
        <f t="shared" si="169"/>
        <v>0.24321155841328196</v>
      </c>
      <c r="Q583" s="1">
        <f t="shared" si="170"/>
        <v>3.6950632544944026</v>
      </c>
      <c r="T583">
        <v>0.32512743344183148</v>
      </c>
      <c r="U583">
        <f t="shared" si="177"/>
        <v>3.0757170793430135</v>
      </c>
      <c r="V583" s="15">
        <f t="shared" si="171"/>
        <v>6.9318392203787368E-2</v>
      </c>
      <c r="W583" s="15">
        <f t="shared" si="172"/>
        <v>7.3966198861462981E-2</v>
      </c>
      <c r="X583" s="15">
        <f t="shared" si="173"/>
        <v>8.3261812176814179E-2</v>
      </c>
      <c r="Y583" s="15">
        <f t="shared" si="174"/>
        <v>9.776581195292354E-2</v>
      </c>
      <c r="Z583" s="15">
        <f t="shared" si="175"/>
        <v>0.10182776286953826</v>
      </c>
      <c r="AA583" s="15">
        <f t="shared" si="176"/>
        <v>0.10995166470276777</v>
      </c>
      <c r="AC583" s="1"/>
      <c r="AD583" s="1"/>
      <c r="AE583" s="1"/>
    </row>
    <row r="584" spans="1:31">
      <c r="A584">
        <v>426</v>
      </c>
      <c r="B584">
        <f t="shared" si="156"/>
        <v>0.55453626624267016</v>
      </c>
      <c r="C584">
        <v>0.5277392871416795</v>
      </c>
      <c r="D584">
        <f t="shared" si="157"/>
        <v>1.894875034633408</v>
      </c>
      <c r="E584" s="1">
        <f t="shared" si="158"/>
        <v>0.13118353134953348</v>
      </c>
      <c r="F584" s="1">
        <f t="shared" si="159"/>
        <v>0.1521728963654588</v>
      </c>
      <c r="G584" s="1">
        <f t="shared" si="160"/>
        <v>4.7226071285832054E-2</v>
      </c>
      <c r="H584" s="1">
        <f t="shared" si="161"/>
        <v>4.5762384183837539E-2</v>
      </c>
      <c r="I584" s="1">
        <f t="shared" si="162"/>
        <v>0.16818314130898418</v>
      </c>
      <c r="J584" s="1">
        <f t="shared" si="163"/>
        <v>0.18220743809326012</v>
      </c>
      <c r="K584" s="1">
        <f t="shared" si="164"/>
        <v>0.11204116811147122</v>
      </c>
      <c r="L584" s="1">
        <f t="shared" si="165"/>
        <v>0.11109774983405481</v>
      </c>
      <c r="M584" s="1">
        <f t="shared" si="166"/>
        <v>0.24218236122788533</v>
      </c>
      <c r="N584" s="1">
        <f t="shared" si="167"/>
        <v>0.24227652154886251</v>
      </c>
      <c r="O584" s="1">
        <f t="shared" si="168"/>
        <v>0.24167136176274939</v>
      </c>
      <c r="P584" s="1">
        <f t="shared" si="169"/>
        <v>0.24176848113448929</v>
      </c>
      <c r="Q584" s="1">
        <f t="shared" si="170"/>
        <v>3.6731388777869376</v>
      </c>
      <c r="T584">
        <v>0.61817625803312193</v>
      </c>
      <c r="U584">
        <f t="shared" si="177"/>
        <v>1.6176616086514599</v>
      </c>
      <c r="V584" s="15">
        <f t="shared" si="171"/>
        <v>0</v>
      </c>
      <c r="W584" s="15">
        <f t="shared" si="172"/>
        <v>0</v>
      </c>
      <c r="X584" s="15">
        <f t="shared" si="173"/>
        <v>0</v>
      </c>
      <c r="Y584" s="15">
        <f t="shared" si="174"/>
        <v>0</v>
      </c>
      <c r="Z584" s="15">
        <f t="shared" si="175"/>
        <v>0</v>
      </c>
      <c r="AA584" s="15">
        <f t="shared" si="176"/>
        <v>0</v>
      </c>
      <c r="AC584" s="1"/>
      <c r="AD584" s="1"/>
      <c r="AE584" s="1"/>
    </row>
    <row r="585" spans="1:31">
      <c r="A585">
        <v>274</v>
      </c>
      <c r="B585">
        <f t="shared" si="156"/>
        <v>0.5552179373114694</v>
      </c>
      <c r="C585">
        <v>0.52799231368892086</v>
      </c>
      <c r="D585">
        <f t="shared" si="157"/>
        <v>1.8939669651880078</v>
      </c>
      <c r="E585" s="1">
        <f t="shared" si="158"/>
        <v>0.13111324619752196</v>
      </c>
      <c r="F585" s="1">
        <f t="shared" si="159"/>
        <v>0.15209136558912548</v>
      </c>
      <c r="G585" s="1">
        <f t="shared" si="160"/>
        <v>4.720076863110792E-2</v>
      </c>
      <c r="H585" s="1">
        <f t="shared" si="161"/>
        <v>4.5737865739367563E-2</v>
      </c>
      <c r="I585" s="1">
        <f t="shared" si="162"/>
        <v>0.16809303260760172</v>
      </c>
      <c r="J585" s="1">
        <f t="shared" si="163"/>
        <v>0.1821098154926771</v>
      </c>
      <c r="K585" s="1">
        <f t="shared" si="164"/>
        <v>0.1119811390022435</v>
      </c>
      <c r="L585" s="1">
        <f t="shared" si="165"/>
        <v>0.11103822618687981</v>
      </c>
      <c r="M585" s="1">
        <f t="shared" si="166"/>
        <v>0.24205260542776094</v>
      </c>
      <c r="N585" s="1">
        <f t="shared" si="167"/>
        <v>0.24214671529978005</v>
      </c>
      <c r="O585" s="1">
        <f t="shared" si="168"/>
        <v>0.24154187974451449</v>
      </c>
      <c r="P585" s="1">
        <f t="shared" si="169"/>
        <v>0.24163894708190425</v>
      </c>
      <c r="Q585" s="1">
        <f t="shared" si="170"/>
        <v>3.6711708935306158</v>
      </c>
      <c r="T585">
        <v>0.20364907620622008</v>
      </c>
      <c r="U585">
        <f t="shared" si="177"/>
        <v>4.9104077397698349</v>
      </c>
      <c r="V585" s="15">
        <f t="shared" si="171"/>
        <v>7.7265331541777449E-2</v>
      </c>
      <c r="W585" s="15">
        <f t="shared" si="172"/>
        <v>8.1596460012341929E-2</v>
      </c>
      <c r="X585" s="15">
        <f t="shared" si="173"/>
        <v>9.0258716953470999E-2</v>
      </c>
      <c r="Y585" s="15">
        <f t="shared" si="174"/>
        <v>0.10952761716305077</v>
      </c>
      <c r="Z585" s="15">
        <f t="shared" si="175"/>
        <v>0.11327315217266842</v>
      </c>
      <c r="AA585" s="15">
        <f t="shared" si="176"/>
        <v>0.12076422219190386</v>
      </c>
      <c r="AC585" s="1"/>
      <c r="AD585" s="1"/>
      <c r="AE585" s="1"/>
    </row>
    <row r="586" spans="1:31">
      <c r="A586">
        <v>383</v>
      </c>
      <c r="B586">
        <f t="shared" si="156"/>
        <v>0.55790193044156622</v>
      </c>
      <c r="C586">
        <v>0.52980828190807916</v>
      </c>
      <c r="D586">
        <f t="shared" si="157"/>
        <v>1.887475213483919</v>
      </c>
      <c r="E586" s="1">
        <f t="shared" si="158"/>
        <v>0.13060881058108911</v>
      </c>
      <c r="F586" s="1">
        <f t="shared" si="159"/>
        <v>0.15150622027406338</v>
      </c>
      <c r="G586" s="1">
        <f t="shared" si="160"/>
        <v>4.7019171809192087E-2</v>
      </c>
      <c r="H586" s="1">
        <f t="shared" si="161"/>
        <v>4.5561897184185858E-2</v>
      </c>
      <c r="I586" s="1">
        <f t="shared" si="162"/>
        <v>0.16744632363668857</v>
      </c>
      <c r="J586" s="1">
        <f t="shared" si="163"/>
        <v>0.18140917936550705</v>
      </c>
      <c r="K586" s="1">
        <f t="shared" si="164"/>
        <v>0.11155031087068804</v>
      </c>
      <c r="L586" s="1">
        <f t="shared" si="165"/>
        <v>0.11061102574986363</v>
      </c>
      <c r="M586" s="1">
        <f t="shared" si="166"/>
        <v>0.24112134974788715</v>
      </c>
      <c r="N586" s="1">
        <f t="shared" si="167"/>
        <v>0.24121509754839415</v>
      </c>
      <c r="O586" s="1">
        <f t="shared" si="168"/>
        <v>0.24061258899367977</v>
      </c>
      <c r="P586" s="1">
        <f t="shared" si="169"/>
        <v>0.24070928288121915</v>
      </c>
      <c r="Q586" s="1">
        <f t="shared" si="170"/>
        <v>3.6570466962704957</v>
      </c>
      <c r="T586">
        <v>0.84634260459225263</v>
      </c>
      <c r="U586">
        <f t="shared" si="177"/>
        <v>1.1815546027979718</v>
      </c>
      <c r="V586" s="15">
        <f t="shared" si="171"/>
        <v>0</v>
      </c>
      <c r="W586" s="15">
        <f t="shared" si="172"/>
        <v>0</v>
      </c>
      <c r="X586" s="15">
        <f t="shared" si="173"/>
        <v>0</v>
      </c>
      <c r="Y586" s="15">
        <f t="shared" si="174"/>
        <v>0</v>
      </c>
      <c r="Z586" s="15">
        <f t="shared" si="175"/>
        <v>0</v>
      </c>
      <c r="AA586" s="15">
        <f t="shared" si="176"/>
        <v>0</v>
      </c>
      <c r="AC586" s="1"/>
      <c r="AD586" s="1"/>
      <c r="AE586" s="1"/>
    </row>
    <row r="587" spans="1:31">
      <c r="A587">
        <v>920</v>
      </c>
      <c r="B587">
        <f t="shared" ref="B587:B650" si="178">PERCENTILE($C$75:$C$1074,$C587)</f>
        <v>0.56164320070936602</v>
      </c>
      <c r="C587">
        <v>0.53323932285364806</v>
      </c>
      <c r="D587">
        <f t="shared" ref="D587:D650" si="179">1/C587</f>
        <v>1.8753305638610194</v>
      </c>
      <c r="E587" s="1">
        <f t="shared" ref="E587:E650" si="180">IF($C587&lt;=0.005,$F$14,IF($C587&lt;=0.01,$F$14+($C587-0.005)*SLOPE($E$14:$F$14,$E$11:$F$11),IF($C587&lt;=0.04,$E$14+($C587-0.01)*SLOPE($D$14:$E$14,$D$11:$E$11),IF($C587&lt;=0.1,$D$14+($C587-0.04)*SLOPE($C$14:$D$14,$C$11:$D$11),IF($C587&lt;=1,$C$14+($C587-0.1)*SLOPE($B$14:$C$14,$B$11:$C$11),)))))</f>
        <v>0.12965574365176441</v>
      </c>
      <c r="F587" s="1">
        <f t="shared" ref="F587:F650" si="181">IF($C587&lt;=0.005,$F$27,IF($C587&lt;=0.01,$F$27+($C587-0.005)*SLOPE($E$27:$F$27,$E$24:$F$24),IF($C587&lt;=0.04,$E$27+($C587-0.01)*SLOPE($D$27:$E$27,$D$24:$E$24),IF($C587&lt;=0.1,$D$27+($C587-0.04)*SLOPE($C$27:$D$27,$C$24:$D$24),IF($C587&lt;=1,$C$27+($C587-0.1)*SLOPE($B$27:$C$27,$B$24:$C$24),)))))</f>
        <v>0.15040066263604673</v>
      </c>
      <c r="G587" s="1">
        <f t="shared" ref="G587:G650" si="182">IF($C587&lt;=0.005,$F$15,IF($C587&lt;=0.01,$F$15+($C587-0.005)*SLOPE($E$15:$F$15,$E$11:$F$11),IF($C587&lt;=0.04,$E$15+($C587-0.01)*SLOPE($D$15:$E$15,$D$11:$E$11),IF($C587&lt;=0.1,$D$15+($C587-0.04)*SLOPE($C$15:$D$15,$C$11:$D$11),IF($C587&lt;=1,$C$15+($C587-0.1)*SLOPE($B$15:$C$15,$B$11:$C$11),)))))</f>
        <v>4.66760677146352E-2</v>
      </c>
      <c r="H587" s="1">
        <f t="shared" ref="H587:H650" si="183">IF($C587&lt;=0.005,$F$28,IF($C587&lt;=0.01,$F$28+($C587-0.005)*SLOPE($E$28:$F$28,$E$24:$F$24),IF($C587&lt;=0.04,$E$28+($C587-0.01)*SLOPE($D$28:$E$28,$D$24:$E$24),IF($C587&lt;=0.1,$D$28+($C587-0.04)*SLOPE($C$28:$D$28,$C$24:$D$24),IF($C587&lt;=1,$C$28+($C587-0.1)*SLOPE($B$28:$C$28,$B$24:$C$24),)))))</f>
        <v>4.5229426983666117E-2</v>
      </c>
      <c r="I587" s="1">
        <f t="shared" ref="I587:I650" si="184">IF($C587&lt;=0.005,$F$16,IF($C587&lt;=0.01,$F$16+($C587-0.005)*SLOPE($E$16:$F$16,$E$11:$F$11),IF($C587&lt;=0.04,$E$16+($C587-0.01)*SLOPE($D$16:$E$16,$D$11:$E$11),IF($C587&lt;=0.1,$D$16+($C587-0.04)*SLOPE($C$16:$D$16,$C$11:$D$11),IF($C587&lt;=1,$C$16+($C587-0.1)*SLOPE($B$16:$C$16,$B$11:$C$11),)))))</f>
        <v>0.16622444930229174</v>
      </c>
      <c r="J587" s="1">
        <f t="shared" ref="J587:J650" si="185">IF($C587&lt;=0.005,$F$29,IF($C587&lt;=0.01,$F$29+($C587-0.005)*SLOPE($E$29:$F$29,$E$24:$F$24),IF($C587&lt;=0.04,$E$29+($C587-0.01)*SLOPE($D$29:$E$29,$D$24:$E$24),IF($C587&lt;=0.1,$D$29+($C587-0.04)*SLOPE($C$29:$D$29,$C$24:$D$24),IF($C587&lt;=1,$C$29+($C587-0.1)*SLOPE($B$29:$C$29,$B$24:$C$24),)))))</f>
        <v>0.1800854165292943</v>
      </c>
      <c r="K587" s="1">
        <f t="shared" ref="K587:K650" si="186">IF($C587&lt;=0.005,$F$17,IF($C587&lt;=0.01,$F$17+($C587-0.005)*SLOPE($E$17:$F$17,$E$11:$F$11),IF($C587&lt;=0.04,$E$17+($C587-0.01)*SLOPE($D$17:$E$17,$D$11:$E$11),IF($C587&lt;=0.1,$D$17+($C587-0.04)*SLOPE($C$17:$D$17,$C$11:$D$11),IF($C587&lt;=1,$C$17+($C587-0.1)*SLOPE($B$17:$C$17,$B$11:$C$11),)))))</f>
        <v>0.11073631592062502</v>
      </c>
      <c r="L587" s="1">
        <f t="shared" ref="L587:L650" si="187">IF($C587&lt;=0.005,$F$30,IF($C587&lt;=0.01,$F$30+($C587-0.005)*SLOPE($E$30:$F$30,$E$24:$F$24),IF($C587&lt;=0.04,$E$30+($C587-0.01)*SLOPE($D$30:$E$30,$D$24:$E$24),IF($C587&lt;=0.1,$D$30+($C587-0.04)*SLOPE($C$30:$D$30,$C$24:$D$24),IF($C587&lt;=1,$C$30+($C587-0.1)*SLOPE($B$30:$C$30,$B$24:$C$24),)))))</f>
        <v>0.10980388486716318</v>
      </c>
      <c r="M587" s="1">
        <f t="shared" ref="M587:M650" si="188">IF($C587&lt;=0.005,$F$18,IF($C587&lt;=0.01,$F$18+($C587-0.005)*SLOPE($E$18:$F$18,$E$11:$F$11),IF($C587&lt;=0.04,$E$18+($C587-0.01)*SLOPE($D$18:$E$18,$D$11:$E$11),IF($C587&lt;=0.1,$D$18+($C587-0.04)*SLOPE($C$18:$D$18,$C$11:$D$11),IF($C587&lt;=1,$C$18+($C587-0.1)*SLOPE($B$18:$C$18,$B$11:$C$11),)))))</f>
        <v>0.2393618606033461</v>
      </c>
      <c r="N587" s="1">
        <f t="shared" ref="N587:N650" si="189">IF($C587&lt;=0.005,$F$31,IF($C587&lt;=0.01,$F$31+($C587-0.005)*SLOPE($E$31:$F$31,$E$24:$F$24),IF($C587&lt;=0.04,$E$31+($C587-0.01)*SLOPE($D$31:$E$31,$D$24:$E$24),IF($C587&lt;=0.1,$D$31+($C587-0.04)*SLOPE($C$31:$D$31,$C$24:$D$24),IF($C587&lt;=1,$C$31+($C587-0.1)*SLOPE($B$31:$C$31,$B$24:$C$24),)))))</f>
        <v>0.23945492431578921</v>
      </c>
      <c r="O587" s="1">
        <f t="shared" ref="O587:O650" si="190">IF($C587&lt;=0.005,$F$19,IF($C587&lt;=0.01,$F$19+($C587-0.005)*SLOPE($E$19:$F$19,$E$11:$F$11),IF($C587&lt;=0.04,$E$19+($C587-0.01)*SLOPE($D$19:$E$19,$D$11:$E$11),IF($C587&lt;=0.1,$D$19+($C587-0.04)*SLOPE($C$19:$D$19,$C$11:$D$11),IF($C587&lt;=1,$C$19+($C587-0.1)*SLOPE($B$19:$C$19,$B$11:$C$11),)))))</f>
        <v>0.23885681233260453</v>
      </c>
      <c r="P587" s="1">
        <f t="shared" ref="P587:P650" si="191">IF($C587&lt;=0.005,$F$32,IF($C587&lt;=0.01,$F$32+($C587-0.005)*SLOPE($E$32:$F$32,$E$24:$F$24),IF($C587&lt;=0.04,$E$32+($C587-0.01)*SLOPE($D$32:$E$32,$D$24:$E$24),IF($C587&lt;=0.1,$D$32+($C587-0.04)*SLOPE($C$32:$D$32,$C$24:$D$24),IF($C587&lt;=1,$C$32+($C587-0.1)*SLOPE($B$32:$C$32,$B$24:$C$24),)))))</f>
        <v>0.23895280063415725</v>
      </c>
      <c r="Q587" s="1">
        <f t="shared" ref="Q587:Q650" si="192">IF($C587&lt;=0.005,$F$20,IF($C587&lt;=0.01,$F$20+($C587-0.005)*SLOPE($E$20:$F$20,$E$11:$F$11),IF($C587&lt;=0.04,$E$20+($C587-0.01)*SLOPE($D$20:$E$20,$D$11:$E$11),IF($C587&lt;=0.1,$D$20+($C587-0.04)*SLOPE($C$20:$D$20,$C$11:$D$11),IF($C587&lt;=1,$C$20+($C587-0.1)*SLOPE($B$20:$C$20,$B$11:$C$11),)))))</f>
        <v>3.6303608222494042</v>
      </c>
      <c r="T587">
        <v>0.4267461588636432</v>
      </c>
      <c r="U587">
        <f t="shared" si="177"/>
        <v>2.3433134176599038</v>
      </c>
      <c r="V587" s="15">
        <f t="shared" ref="V587:V650" si="193">IF($T587&lt;=0.05,$F$63,IF($T587&lt;=0.07,$F$63+($T587-0.05)*SLOPE($E$63:$F$63,$E$62:$F$62),IF($T587&lt;=0.1,$E$63+($T587-0.07)*SLOPE($D$63:$E$63,$D$62:$E$62),IF($T587&lt;=0.2,$D$63+($T587-0.1)*SLOPE($C$63:$D$63,$C$62:$D$62),IF($T587&lt;=0.5,$C$63+($T587-0.2)*SLOPE($B$63:$C$63,$B$62:$C$62),)))))</f>
        <v>6.2670641403496902E-2</v>
      </c>
      <c r="W587" s="15">
        <f t="shared" ref="W587:W650" si="194">IF($T587&lt;=0.05,$F$64,IF($T587&lt;=0.07,$F$64+($T587-0.05)*SLOPE($E$64:$F$64,$E$62:$F$62),IF($T587&lt;=0.1,$E$64+($T587-0.07)*SLOPE($D$64:$E$64,$D$62:$E$62),IF($T587&lt;=0.2,$D$64+($T587-0.1)*SLOPE($C$64:$D$64,$C$62:$D$62),IF($T587&lt;=0.5,$C$64+($T587-0.2)*SLOPE($B$64:$C$64,$B$62:$C$62),)))))</f>
        <v>6.7583354785921076E-2</v>
      </c>
      <c r="X587" s="15">
        <f t="shared" ref="X587:X650" si="195">IF($T587&lt;=0.05,$F$65,IF($T587&lt;=0.07,$F$65+($T587-0.05)*SLOPE($E$65:$F$65,$E$62:$F$62),IF($T587&lt;=0.1,$E$65+($T587-0.07)*SLOPE($D$65:$E$65,$D$62:$E$62),IF($T587&lt;=0.2,$D$65+($T587-0.1)*SLOPE($C$65:$D$65,$C$62:$D$62),IF($T587&lt;=0.5,$C$65+($T587-0.2)*SLOPE($B$65:$C$65,$B$62:$C$62),)))))</f>
        <v>7.7408781550769301E-2</v>
      </c>
      <c r="Y587" s="15">
        <f t="shared" ref="Y587:Y650" si="196">IF($T587&lt;=0.05,$F$66,IF($T587&lt;=0.07,$F$66+($T587-0.05)*SLOPE($E$66:$F$66,$E$62:$F$62),IF($T587&lt;=0.1,$E$66+($T587-0.07)*SLOPE($D$66:$E$66,$D$62:$E$62),IF($T587&lt;=0.2,$D$66+($T587-0.1)*SLOPE($C$66:$D$66,$C$62:$D$62),IF($T587&lt;=0.5,$C$66+($T587-0.2)*SLOPE($B$66:$C$66,$B$62:$C$62),)))))</f>
        <v>8.7926860543705979E-2</v>
      </c>
      <c r="Z587" s="15">
        <f t="shared" ref="Z587:Z650" si="197">IF($T587&lt;=0.05,$F$67,IF($T587&lt;=0.07,$F$67+($T587-0.05)*SLOPE($E$67:$F$67,$E$62:$F$62),IF($T587&lt;=0.1,$E$67+($T587-0.07)*SLOPE($D$67:$E$67,$D$62:$E$62),IF($T587&lt;=0.2,$D$67+($T587-0.1)*SLOPE($C$67:$D$67,$C$62:$D$62),IF($T587&lt;=0.5,$C$67+($T587-0.2)*SLOPE($B$67:$C$67,$B$62:$C$62),)))))</f>
        <v>9.2253498783263888E-2</v>
      </c>
      <c r="AA587" s="15">
        <f t="shared" ref="AA587:AA650" si="198">IF($T587&lt;=0.05,$F$68,IF($T587&lt;=0.07,$F$68+($T587-0.05)*SLOPE($E$68:$F$68,$E$62:$F$62),IF($T587&lt;=0.1,$E$68+($T587-0.07)*SLOPE($D$68:$E$68,$D$62:$E$62),IF($T587&lt;=0.2,$D$68+($T587-0.1)*SLOPE($C$68:$D$68,$C$62:$D$62),IF($T587&lt;=0.5,$C$68+($T587-0.2)*SLOPE($B$68:$C$68,$B$62:$C$62),)))))</f>
        <v>0.10090677526237968</v>
      </c>
      <c r="AC587" s="1"/>
      <c r="AD587" s="1"/>
      <c r="AE587" s="1"/>
    </row>
    <row r="588" spans="1:31">
      <c r="A588">
        <v>191</v>
      </c>
      <c r="B588">
        <f t="shared" si="178"/>
        <v>0.5619441988113596</v>
      </c>
      <c r="C588">
        <v>0.53397902042259859</v>
      </c>
      <c r="D588">
        <f t="shared" si="179"/>
        <v>1.8727327512016967</v>
      </c>
      <c r="E588" s="1">
        <f t="shared" si="180"/>
        <v>0.12945027210483373</v>
      </c>
      <c r="F588" s="1">
        <f t="shared" si="181"/>
        <v>0.15016231564160712</v>
      </c>
      <c r="G588" s="1">
        <f t="shared" si="182"/>
        <v>4.6602097957740146E-2</v>
      </c>
      <c r="H588" s="1">
        <f t="shared" si="183"/>
        <v>4.515774978628654E-2</v>
      </c>
      <c r="I588" s="1">
        <f t="shared" si="184"/>
        <v>0.16596102560987455</v>
      </c>
      <c r="J588" s="1">
        <f t="shared" si="185"/>
        <v>0.17980002671105905</v>
      </c>
      <c r="K588" s="1">
        <f t="shared" si="186"/>
        <v>0.11056082687947055</v>
      </c>
      <c r="L588" s="1">
        <f t="shared" si="187"/>
        <v>0.10962987349329567</v>
      </c>
      <c r="M588" s="1">
        <f t="shared" si="188"/>
        <v>0.23898253261995589</v>
      </c>
      <c r="N588" s="1">
        <f t="shared" si="189"/>
        <v>0.23907544884996265</v>
      </c>
      <c r="O588" s="1">
        <f t="shared" si="190"/>
        <v>0.23847828472293123</v>
      </c>
      <c r="P588" s="1">
        <f t="shared" si="191"/>
        <v>0.23857412090731386</v>
      </c>
      <c r="Q588" s="1">
        <f t="shared" si="192"/>
        <v>3.6246076189353444</v>
      </c>
      <c r="T588">
        <v>0.32824030406990146</v>
      </c>
      <c r="U588">
        <f t="shared" ref="U588:U651" si="199">1/T588</f>
        <v>3.0465484817094302</v>
      </c>
      <c r="V588" s="15">
        <f t="shared" si="193"/>
        <v>6.9114752686335684E-2</v>
      </c>
      <c r="W588" s="15">
        <f t="shared" si="194"/>
        <v>7.3770674190553845E-2</v>
      </c>
      <c r="X588" s="15">
        <f t="shared" si="195"/>
        <v>8.3082517198990152E-2</v>
      </c>
      <c r="Y588" s="15">
        <f t="shared" si="196"/>
        <v>9.7464416883012675E-2</v>
      </c>
      <c r="Z588" s="15">
        <f t="shared" si="197"/>
        <v>0.10153447592526853</v>
      </c>
      <c r="AA588" s="15">
        <f t="shared" si="198"/>
        <v>0.1096745940097803</v>
      </c>
      <c r="AC588" s="1"/>
      <c r="AD588" s="1"/>
      <c r="AE588" s="1"/>
    </row>
    <row r="589" spans="1:31">
      <c r="A589">
        <v>837</v>
      </c>
      <c r="B589">
        <f t="shared" si="178"/>
        <v>0.56271755202864815</v>
      </c>
      <c r="C589">
        <v>0.53603420833446913</v>
      </c>
      <c r="D589">
        <f t="shared" si="179"/>
        <v>1.8655525793906613</v>
      </c>
      <c r="E589" s="1">
        <f t="shared" si="180"/>
        <v>0.12887938657375858</v>
      </c>
      <c r="F589" s="1">
        <f t="shared" si="181"/>
        <v>0.14950008842555992</v>
      </c>
      <c r="G589" s="1">
        <f t="shared" si="182"/>
        <v>4.6396579166553091E-2</v>
      </c>
      <c r="H589" s="1">
        <f t="shared" si="183"/>
        <v>4.4958600680226529E-2</v>
      </c>
      <c r="I589" s="1">
        <f t="shared" si="184"/>
        <v>0.16522912488303526</v>
      </c>
      <c r="J589" s="1">
        <f t="shared" si="185"/>
        <v>0.17900709493836148</v>
      </c>
      <c r="K589" s="1">
        <f t="shared" si="186"/>
        <v>0.110073245236397</v>
      </c>
      <c r="L589" s="1">
        <f t="shared" si="187"/>
        <v>0.10914639742535634</v>
      </c>
      <c r="M589" s="1">
        <f t="shared" si="188"/>
        <v>0.23792860150158837</v>
      </c>
      <c r="N589" s="1">
        <f t="shared" si="189"/>
        <v>0.23802110796396428</v>
      </c>
      <c r="O589" s="1">
        <f t="shared" si="190"/>
        <v>0.23742657737608466</v>
      </c>
      <c r="P589" s="1">
        <f t="shared" si="191"/>
        <v>0.2375219909156159</v>
      </c>
      <c r="Q589" s="1">
        <f t="shared" si="192"/>
        <v>3.6086228240652405</v>
      </c>
      <c r="T589">
        <v>0.51066488625527395</v>
      </c>
      <c r="U589">
        <f t="shared" si="199"/>
        <v>1.9582313703474701</v>
      </c>
      <c r="V589" s="15">
        <f t="shared" si="193"/>
        <v>0</v>
      </c>
      <c r="W589" s="15">
        <f t="shared" si="194"/>
        <v>0</v>
      </c>
      <c r="X589" s="15">
        <f t="shared" si="195"/>
        <v>0</v>
      </c>
      <c r="Y589" s="15">
        <f t="shared" si="196"/>
        <v>0</v>
      </c>
      <c r="Z589" s="15">
        <f t="shared" si="197"/>
        <v>0</v>
      </c>
      <c r="AA589" s="15">
        <f t="shared" si="198"/>
        <v>0</v>
      </c>
      <c r="AC589" s="1"/>
      <c r="AD589" s="1"/>
      <c r="AE589" s="1"/>
    </row>
    <row r="590" spans="1:31">
      <c r="A590">
        <v>935</v>
      </c>
      <c r="B590">
        <f t="shared" si="178"/>
        <v>0.56672459174374612</v>
      </c>
      <c r="C590">
        <v>0.54007058466360514</v>
      </c>
      <c r="D590">
        <f t="shared" si="179"/>
        <v>1.8516098235990246</v>
      </c>
      <c r="E590" s="1">
        <f t="shared" si="180"/>
        <v>0.12775817092677633</v>
      </c>
      <c r="F590" s="1">
        <f t="shared" si="181"/>
        <v>0.14819947827506055</v>
      </c>
      <c r="G590" s="1">
        <f t="shared" si="182"/>
        <v>4.5992941533639489E-2</v>
      </c>
      <c r="H590" s="1">
        <f t="shared" si="183"/>
        <v>4.4567473069448783E-2</v>
      </c>
      <c r="I590" s="1">
        <f t="shared" si="184"/>
        <v>0.16379167638889602</v>
      </c>
      <c r="J590" s="1">
        <f t="shared" si="185"/>
        <v>0.17744978184818117</v>
      </c>
      <c r="K590" s="1">
        <f t="shared" si="186"/>
        <v>0.10911563790946789</v>
      </c>
      <c r="L590" s="1">
        <f t="shared" si="187"/>
        <v>0.10819685342256104</v>
      </c>
      <c r="M590" s="1">
        <f t="shared" si="188"/>
        <v>0.23585868731313508</v>
      </c>
      <c r="N590" s="1">
        <f t="shared" si="189"/>
        <v>0.23595038899442211</v>
      </c>
      <c r="O590" s="1">
        <f t="shared" si="190"/>
        <v>0.23536103066112454</v>
      </c>
      <c r="P590" s="1">
        <f t="shared" si="191"/>
        <v>0.23545561412878549</v>
      </c>
      <c r="Q590" s="1">
        <f t="shared" si="192"/>
        <v>3.577228785949738</v>
      </c>
      <c r="T590">
        <v>0.65390463605440075</v>
      </c>
      <c r="U590">
        <f t="shared" si="199"/>
        <v>1.5292749811867159</v>
      </c>
      <c r="V590" s="15">
        <f t="shared" si="193"/>
        <v>0</v>
      </c>
      <c r="W590" s="15">
        <f t="shared" si="194"/>
        <v>0</v>
      </c>
      <c r="X590" s="15">
        <f t="shared" si="195"/>
        <v>0</v>
      </c>
      <c r="Y590" s="15">
        <f t="shared" si="196"/>
        <v>0</v>
      </c>
      <c r="Z590" s="15">
        <f t="shared" si="197"/>
        <v>0</v>
      </c>
      <c r="AA590" s="15">
        <f t="shared" si="198"/>
        <v>0</v>
      </c>
      <c r="AC590" s="1"/>
      <c r="AD590" s="1"/>
      <c r="AE590" s="1"/>
    </row>
    <row r="591" spans="1:31">
      <c r="A591">
        <v>866</v>
      </c>
      <c r="B591">
        <f t="shared" si="178"/>
        <v>0.56751781736874551</v>
      </c>
      <c r="C591">
        <v>0.54263344743620157</v>
      </c>
      <c r="D591">
        <f t="shared" si="179"/>
        <v>1.8428646533396227</v>
      </c>
      <c r="E591" s="1">
        <f t="shared" si="180"/>
        <v>0.12704626460105511</v>
      </c>
      <c r="F591" s="1">
        <f t="shared" si="181"/>
        <v>0.14737366693722392</v>
      </c>
      <c r="G591" s="1">
        <f t="shared" si="182"/>
        <v>4.5736655256379849E-2</v>
      </c>
      <c r="H591" s="1">
        <f t="shared" si="183"/>
        <v>4.4319129924197155E-2</v>
      </c>
      <c r="I591" s="1">
        <f t="shared" si="184"/>
        <v>0.16287898071020968</v>
      </c>
      <c r="J591" s="1">
        <f t="shared" si="185"/>
        <v>0.17646097916511852</v>
      </c>
      <c r="K591" s="1">
        <f t="shared" si="186"/>
        <v>0.1085076132931216</v>
      </c>
      <c r="L591" s="1">
        <f t="shared" si="187"/>
        <v>0.10759394854519863</v>
      </c>
      <c r="M591" s="1">
        <f t="shared" si="188"/>
        <v>0.23454441292851852</v>
      </c>
      <c r="N591" s="1">
        <f t="shared" si="189"/>
        <v>0.23463560362090743</v>
      </c>
      <c r="O591" s="1">
        <f t="shared" si="190"/>
        <v>0.23404952936660495</v>
      </c>
      <c r="P591" s="1">
        <f t="shared" si="191"/>
        <v>0.23414358578720151</v>
      </c>
      <c r="Q591" s="1">
        <f t="shared" si="192"/>
        <v>3.5572954088295434</v>
      </c>
      <c r="T591">
        <v>0.22309506709790428</v>
      </c>
      <c r="U591">
        <f t="shared" si="199"/>
        <v>4.4823940439756766</v>
      </c>
      <c r="V591" s="15">
        <f t="shared" si="193"/>
        <v>7.5993202798024406E-2</v>
      </c>
      <c r="W591" s="15">
        <f t="shared" si="194"/>
        <v>8.0375024423174554E-2</v>
      </c>
      <c r="X591" s="15">
        <f t="shared" si="195"/>
        <v>8.9138667673474947E-2</v>
      </c>
      <c r="Y591" s="15">
        <f t="shared" si="196"/>
        <v>0.10764481299784226</v>
      </c>
      <c r="Z591" s="15">
        <f t="shared" si="197"/>
        <v>0.11144099917681606</v>
      </c>
      <c r="AA591" s="15">
        <f t="shared" si="198"/>
        <v>0.1190333715347638</v>
      </c>
      <c r="AC591" s="1"/>
      <c r="AD591" s="1"/>
      <c r="AE591" s="1"/>
    </row>
    <row r="592" spans="1:31">
      <c r="A592">
        <v>194</v>
      </c>
      <c r="B592">
        <f t="shared" si="178"/>
        <v>0.57117621029700527</v>
      </c>
      <c r="C592">
        <v>0.54555817178050015</v>
      </c>
      <c r="D592">
        <f t="shared" si="179"/>
        <v>1.8329850998957082</v>
      </c>
      <c r="E592" s="1">
        <f t="shared" si="180"/>
        <v>0.12623384117208328</v>
      </c>
      <c r="F592" s="1">
        <f t="shared" si="181"/>
        <v>0.1464312557596166</v>
      </c>
      <c r="G592" s="1">
        <f t="shared" si="182"/>
        <v>4.5444182821949987E-2</v>
      </c>
      <c r="H592" s="1">
        <f t="shared" si="183"/>
        <v>4.4035722146604256E-2</v>
      </c>
      <c r="I592" s="1">
        <f t="shared" si="184"/>
        <v>0.16183741761953913</v>
      </c>
      <c r="J592" s="1">
        <f t="shared" si="185"/>
        <v>0.17533256319615456</v>
      </c>
      <c r="K592" s="1">
        <f t="shared" si="186"/>
        <v>0.10781373907700069</v>
      </c>
      <c r="L592" s="1">
        <f t="shared" si="187"/>
        <v>0.10690591694593678</v>
      </c>
      <c r="M592" s="1">
        <f t="shared" si="188"/>
        <v>0.23304457051445049</v>
      </c>
      <c r="N592" s="1">
        <f t="shared" si="189"/>
        <v>0.23313517806923018</v>
      </c>
      <c r="O592" s="1">
        <f t="shared" si="190"/>
        <v>0.23255285158710193</v>
      </c>
      <c r="P592" s="1">
        <f t="shared" si="191"/>
        <v>0.23264630654460175</v>
      </c>
      <c r="Q592" s="1">
        <f t="shared" si="192"/>
        <v>3.5345475528183323</v>
      </c>
      <c r="T592">
        <v>0.15875931830874324</v>
      </c>
      <c r="U592">
        <f t="shared" si="199"/>
        <v>6.2988428688971494</v>
      </c>
      <c r="V592" s="15">
        <f t="shared" si="193"/>
        <v>8.3112049986269074E-2</v>
      </c>
      <c r="W592" s="15">
        <f t="shared" si="194"/>
        <v>8.7106803490385271E-2</v>
      </c>
      <c r="X592" s="15">
        <f t="shared" si="195"/>
        <v>9.5096310498617637E-2</v>
      </c>
      <c r="Y592" s="15">
        <f t="shared" si="196"/>
        <v>0.11817570782003509</v>
      </c>
      <c r="Z592" s="15">
        <f t="shared" si="197"/>
        <v>0.12157023081383504</v>
      </c>
      <c r="AA592" s="15">
        <f t="shared" si="198"/>
        <v>0.128359276801435</v>
      </c>
      <c r="AC592" s="1"/>
      <c r="AD592" s="1"/>
      <c r="AE592" s="1"/>
    </row>
    <row r="593" spans="1:31">
      <c r="A593">
        <v>693</v>
      </c>
      <c r="B593">
        <f t="shared" si="178"/>
        <v>0.57130660674337552</v>
      </c>
      <c r="C593">
        <v>0.54573698416836136</v>
      </c>
      <c r="D593">
        <f t="shared" si="179"/>
        <v>1.8323845167354413</v>
      </c>
      <c r="E593" s="1">
        <f t="shared" si="180"/>
        <v>0.12618417106434404</v>
      </c>
      <c r="F593" s="1">
        <f t="shared" si="181"/>
        <v>0.1463736384346391</v>
      </c>
      <c r="G593" s="1">
        <f t="shared" si="182"/>
        <v>4.5426301583163867E-2</v>
      </c>
      <c r="H593" s="1">
        <f t="shared" si="183"/>
        <v>4.4018395104639216E-2</v>
      </c>
      <c r="I593" s="1">
        <f t="shared" si="184"/>
        <v>0.16177373832486852</v>
      </c>
      <c r="J593" s="1">
        <f t="shared" si="185"/>
        <v>0.17526357387266342</v>
      </c>
      <c r="K593" s="1">
        <f t="shared" si="186"/>
        <v>0.10777131685498795</v>
      </c>
      <c r="L593" s="1">
        <f t="shared" si="187"/>
        <v>0.10686385193101398</v>
      </c>
      <c r="M593" s="1">
        <f t="shared" si="188"/>
        <v>0.23295287284591709</v>
      </c>
      <c r="N593" s="1">
        <f t="shared" si="189"/>
        <v>0.23304344474871183</v>
      </c>
      <c r="O593" s="1">
        <f t="shared" si="190"/>
        <v>0.23246134739863594</v>
      </c>
      <c r="P593" s="1">
        <f t="shared" si="191"/>
        <v>0.23255476558376345</v>
      </c>
      <c r="Q593" s="1">
        <f t="shared" si="192"/>
        <v>3.5331567898016343</v>
      </c>
      <c r="T593">
        <v>0.26978547392656305</v>
      </c>
      <c r="U593">
        <f t="shared" si="199"/>
        <v>3.7066487881857011</v>
      </c>
      <c r="V593" s="15">
        <f t="shared" si="193"/>
        <v>7.2938783565026602E-2</v>
      </c>
      <c r="W593" s="15">
        <f t="shared" si="194"/>
        <v>7.7442320973353698E-2</v>
      </c>
      <c r="X593" s="15">
        <f t="shared" si="195"/>
        <v>8.6449395790007919E-2</v>
      </c>
      <c r="Y593" s="15">
        <f t="shared" si="196"/>
        <v>0.10312414377908456</v>
      </c>
      <c r="Z593" s="15">
        <f t="shared" si="197"/>
        <v>0.10704194493344117</v>
      </c>
      <c r="AA593" s="15">
        <f t="shared" si="198"/>
        <v>0.1148775472421545</v>
      </c>
      <c r="AC593" s="1"/>
      <c r="AD593" s="1"/>
      <c r="AE593" s="1"/>
    </row>
    <row r="594" spans="1:31">
      <c r="A594">
        <v>2</v>
      </c>
      <c r="B594">
        <f t="shared" si="178"/>
        <v>0.57143684718249832</v>
      </c>
      <c r="C594">
        <v>0.54591558262379414</v>
      </c>
      <c r="D594">
        <f t="shared" si="179"/>
        <v>1.8317850448484601</v>
      </c>
      <c r="E594" s="1">
        <f t="shared" si="180"/>
        <v>0.12613456038227938</v>
      </c>
      <c r="F594" s="1">
        <f t="shared" si="181"/>
        <v>0.14631609004344409</v>
      </c>
      <c r="G594" s="1">
        <f t="shared" si="182"/>
        <v>4.540844173762059E-2</v>
      </c>
      <c r="H594" s="1">
        <f t="shared" si="183"/>
        <v>4.4001088792871956E-2</v>
      </c>
      <c r="I594" s="1">
        <f t="shared" si="184"/>
        <v>0.16171013521656458</v>
      </c>
      <c r="J594" s="1">
        <f t="shared" si="185"/>
        <v>0.17519466708849571</v>
      </c>
      <c r="K594" s="1">
        <f t="shared" si="186"/>
        <v>0.10772894538722709</v>
      </c>
      <c r="L594" s="1">
        <f t="shared" si="187"/>
        <v>0.10682183724297795</v>
      </c>
      <c r="M594" s="1">
        <f t="shared" si="188"/>
        <v>0.23286128488513463</v>
      </c>
      <c r="N594" s="1">
        <f t="shared" si="189"/>
        <v>0.23295182117859869</v>
      </c>
      <c r="O594" s="1">
        <f t="shared" si="190"/>
        <v>0.23236995268643995</v>
      </c>
      <c r="P594" s="1">
        <f t="shared" si="191"/>
        <v>0.23246333414318984</v>
      </c>
      <c r="Q594" s="1">
        <f t="shared" si="192"/>
        <v>3.5317676907038238</v>
      </c>
      <c r="T594">
        <v>0.2753026957758562</v>
      </c>
      <c r="U594">
        <f t="shared" si="199"/>
        <v>3.6323654484450532</v>
      </c>
      <c r="V594" s="15">
        <f t="shared" si="193"/>
        <v>7.2577854850247175E-2</v>
      </c>
      <c r="W594" s="15">
        <f t="shared" si="194"/>
        <v>7.7095774934244909E-2</v>
      </c>
      <c r="X594" s="15">
        <f t="shared" si="195"/>
        <v>8.6131615102240447E-2</v>
      </c>
      <c r="Y594" s="15">
        <f t="shared" si="196"/>
        <v>0.10258995406686626</v>
      </c>
      <c r="Z594" s="15">
        <f t="shared" si="197"/>
        <v>0.10652212598483274</v>
      </c>
      <c r="AA594" s="15">
        <f t="shared" si="198"/>
        <v>0.11438646982076579</v>
      </c>
      <c r="AC594" s="1"/>
      <c r="AD594" s="1"/>
      <c r="AE594" s="1"/>
    </row>
    <row r="595" spans="1:31">
      <c r="A595">
        <v>390</v>
      </c>
      <c r="B595">
        <f t="shared" si="178"/>
        <v>0.57201807989786813</v>
      </c>
      <c r="C595">
        <v>0.54747307095263331</v>
      </c>
      <c r="D595">
        <f t="shared" si="179"/>
        <v>1.8265738591670726</v>
      </c>
      <c r="E595" s="1">
        <f t="shared" si="180"/>
        <v>0.12570192473537961</v>
      </c>
      <c r="F595" s="1">
        <f t="shared" si="181"/>
        <v>0.14581423269304036</v>
      </c>
      <c r="G595" s="1">
        <f t="shared" si="182"/>
        <v>4.5252692904736672E-2</v>
      </c>
      <c r="H595" s="1">
        <f t="shared" si="183"/>
        <v>4.3850167114812398E-2</v>
      </c>
      <c r="I595" s="1">
        <f t="shared" si="184"/>
        <v>0.16115547701069591</v>
      </c>
      <c r="J595" s="1">
        <f t="shared" si="185"/>
        <v>0.17459375756853937</v>
      </c>
      <c r="K595" s="1">
        <f t="shared" si="186"/>
        <v>0.10735944013952829</v>
      </c>
      <c r="L595" s="1">
        <f t="shared" si="187"/>
        <v>0.10645544333381797</v>
      </c>
      <c r="M595" s="1">
        <f t="shared" si="188"/>
        <v>0.2320625815613282</v>
      </c>
      <c r="N595" s="1">
        <f t="shared" si="189"/>
        <v>0.23215280731953708</v>
      </c>
      <c r="O595" s="1">
        <f t="shared" si="190"/>
        <v>0.23157293460911138</v>
      </c>
      <c r="P595" s="1">
        <f t="shared" si="191"/>
        <v>0.23166599577182906</v>
      </c>
      <c r="Q595" s="1">
        <f t="shared" si="192"/>
        <v>3.5196538925906302</v>
      </c>
      <c r="T595">
        <v>0.50043823377145202</v>
      </c>
      <c r="U595">
        <f t="shared" si="199"/>
        <v>1.9982485999594821</v>
      </c>
      <c r="V595" s="15">
        <f t="shared" si="193"/>
        <v>0</v>
      </c>
      <c r="W595" s="15">
        <f t="shared" si="194"/>
        <v>0</v>
      </c>
      <c r="X595" s="15">
        <f t="shared" si="195"/>
        <v>0</v>
      </c>
      <c r="Y595" s="15">
        <f t="shared" si="196"/>
        <v>0</v>
      </c>
      <c r="Z595" s="15">
        <f t="shared" si="197"/>
        <v>0</v>
      </c>
      <c r="AA595" s="15">
        <f t="shared" si="198"/>
        <v>0</v>
      </c>
      <c r="AC595" s="1"/>
      <c r="AD595" s="1"/>
      <c r="AE595" s="1"/>
    </row>
    <row r="596" spans="1:31">
      <c r="A596">
        <v>736</v>
      </c>
      <c r="B596">
        <f t="shared" si="178"/>
        <v>0.57207296699115839</v>
      </c>
      <c r="C596">
        <v>0.54767649453448675</v>
      </c>
      <c r="D596">
        <f t="shared" si="179"/>
        <v>1.8258954145000845</v>
      </c>
      <c r="E596" s="1">
        <f t="shared" si="180"/>
        <v>0.1256454181848648</v>
      </c>
      <c r="F596" s="1">
        <f t="shared" si="181"/>
        <v>0.14574868509444314</v>
      </c>
      <c r="G596" s="1">
        <f t="shared" si="182"/>
        <v>4.523235054655133E-2</v>
      </c>
      <c r="H596" s="1">
        <f t="shared" si="183"/>
        <v>4.383045523141544E-2</v>
      </c>
      <c r="I596" s="1">
        <f t="shared" si="184"/>
        <v>0.16108303309130789</v>
      </c>
      <c r="J596" s="1">
        <f t="shared" si="185"/>
        <v>0.17451527276409112</v>
      </c>
      <c r="K596" s="1">
        <f t="shared" si="186"/>
        <v>0.10731117905171869</v>
      </c>
      <c r="L596" s="1">
        <f t="shared" si="187"/>
        <v>0.1064075886179973</v>
      </c>
      <c r="M596" s="1">
        <f t="shared" si="188"/>
        <v>0.23195826290419383</v>
      </c>
      <c r="N596" s="1">
        <f t="shared" si="189"/>
        <v>0.23204844810338682</v>
      </c>
      <c r="O596" s="1">
        <f t="shared" si="190"/>
        <v>0.23146883606205329</v>
      </c>
      <c r="P596" s="1">
        <f t="shared" si="191"/>
        <v>0.23156185539116098</v>
      </c>
      <c r="Q596" s="1">
        <f t="shared" si="192"/>
        <v>3.5180717091762146</v>
      </c>
      <c r="T596">
        <v>0.69247996767757858</v>
      </c>
      <c r="U596">
        <f t="shared" si="199"/>
        <v>1.4440850951310176</v>
      </c>
      <c r="V596" s="15">
        <f t="shared" si="193"/>
        <v>0</v>
      </c>
      <c r="W596" s="15">
        <f t="shared" si="194"/>
        <v>0</v>
      </c>
      <c r="X596" s="15">
        <f t="shared" si="195"/>
        <v>0</v>
      </c>
      <c r="Y596" s="15">
        <f t="shared" si="196"/>
        <v>0</v>
      </c>
      <c r="Z596" s="15">
        <f t="shared" si="197"/>
        <v>0</v>
      </c>
      <c r="AA596" s="15">
        <f t="shared" si="198"/>
        <v>0</v>
      </c>
      <c r="AC596" s="1"/>
      <c r="AD596" s="1"/>
      <c r="AE596" s="1"/>
    </row>
    <row r="597" spans="1:31">
      <c r="A597">
        <v>265</v>
      </c>
      <c r="B597">
        <f t="shared" si="178"/>
        <v>0.57217761532434175</v>
      </c>
      <c r="C597">
        <v>0.54797535464079172</v>
      </c>
      <c r="D597">
        <f t="shared" si="179"/>
        <v>1.8248995899742955</v>
      </c>
      <c r="E597" s="1">
        <f t="shared" si="180"/>
        <v>0.12556240148866896</v>
      </c>
      <c r="F597" s="1">
        <f t="shared" si="181"/>
        <v>0.14565238572685599</v>
      </c>
      <c r="G597" s="1">
        <f t="shared" si="182"/>
        <v>4.5202464535920833E-2</v>
      </c>
      <c r="H597" s="1">
        <f t="shared" si="183"/>
        <v>4.3801495483908229E-2</v>
      </c>
      <c r="I597" s="1">
        <f t="shared" si="184"/>
        <v>0.16097660198213073</v>
      </c>
      <c r="J597" s="1">
        <f t="shared" si="185"/>
        <v>0.17439996667820368</v>
      </c>
      <c r="K597" s="1">
        <f t="shared" si="186"/>
        <v>0.10724027619128454</v>
      </c>
      <c r="L597" s="1">
        <f t="shared" si="187"/>
        <v>0.10633728277967192</v>
      </c>
      <c r="M597" s="1">
        <f t="shared" si="188"/>
        <v>0.23180500296905399</v>
      </c>
      <c r="N597" s="1">
        <f t="shared" si="189"/>
        <v>0.23189512858089881</v>
      </c>
      <c r="O597" s="1">
        <f t="shared" si="190"/>
        <v>0.23131589950201181</v>
      </c>
      <c r="P597" s="1">
        <f t="shared" si="191"/>
        <v>0.23140885737119923</v>
      </c>
      <c r="Q597" s="1">
        <f t="shared" si="192"/>
        <v>3.5157472416827313</v>
      </c>
      <c r="T597">
        <v>0.69944236497826218</v>
      </c>
      <c r="U597">
        <f t="shared" si="199"/>
        <v>1.4297103665304558</v>
      </c>
      <c r="V597" s="15">
        <f t="shared" si="193"/>
        <v>0</v>
      </c>
      <c r="W597" s="15">
        <f t="shared" si="194"/>
        <v>0</v>
      </c>
      <c r="X597" s="15">
        <f t="shared" si="195"/>
        <v>0</v>
      </c>
      <c r="Y597" s="15">
        <f t="shared" si="196"/>
        <v>0</v>
      </c>
      <c r="Z597" s="15">
        <f t="shared" si="197"/>
        <v>0</v>
      </c>
      <c r="AA597" s="15">
        <f t="shared" si="198"/>
        <v>0</v>
      </c>
      <c r="AC597" s="1"/>
      <c r="AD597" s="1"/>
      <c r="AE597" s="1"/>
    </row>
    <row r="598" spans="1:31">
      <c r="A598">
        <v>19</v>
      </c>
      <c r="B598">
        <f t="shared" si="178"/>
        <v>0.57378003051458981</v>
      </c>
      <c r="C598">
        <v>0.54991356477214848</v>
      </c>
      <c r="D598">
        <f t="shared" si="179"/>
        <v>1.8184675993841697</v>
      </c>
      <c r="E598" s="1">
        <f t="shared" si="180"/>
        <v>0.12502400978551431</v>
      </c>
      <c r="F598" s="1">
        <f t="shared" si="181"/>
        <v>0.14502785135119658</v>
      </c>
      <c r="G598" s="1">
        <f t="shared" si="182"/>
        <v>4.5008643522785156E-2</v>
      </c>
      <c r="H598" s="1">
        <f t="shared" si="183"/>
        <v>4.3613681604317604E-2</v>
      </c>
      <c r="I598" s="1">
        <f t="shared" si="184"/>
        <v>0.16028635979273595</v>
      </c>
      <c r="J598" s="1">
        <f t="shared" si="185"/>
        <v>0.1736521672256863</v>
      </c>
      <c r="K598" s="1">
        <f t="shared" si="186"/>
        <v>0.10678044686131899</v>
      </c>
      <c r="L598" s="1">
        <f t="shared" si="187"/>
        <v>0.10588132534252659</v>
      </c>
      <c r="M598" s="1">
        <f t="shared" si="188"/>
        <v>0.23081105980717889</v>
      </c>
      <c r="N598" s="1">
        <f t="shared" si="189"/>
        <v>0.23090079897466548</v>
      </c>
      <c r="O598" s="1">
        <f t="shared" si="190"/>
        <v>0.2303240535383865</v>
      </c>
      <c r="P598" s="1">
        <f t="shared" si="191"/>
        <v>0.23041661281894452</v>
      </c>
      <c r="Q598" s="1">
        <f t="shared" si="192"/>
        <v>3.5006722739944012</v>
      </c>
      <c r="T598">
        <v>0.96262224102983396</v>
      </c>
      <c r="U598">
        <f t="shared" si="199"/>
        <v>1.0388291038550892</v>
      </c>
      <c r="V598" s="15">
        <f t="shared" si="193"/>
        <v>0</v>
      </c>
      <c r="W598" s="15">
        <f t="shared" si="194"/>
        <v>0</v>
      </c>
      <c r="X598" s="15">
        <f t="shared" si="195"/>
        <v>0</v>
      </c>
      <c r="Y598" s="15">
        <f t="shared" si="196"/>
        <v>0</v>
      </c>
      <c r="Z598" s="15">
        <f t="shared" si="197"/>
        <v>0</v>
      </c>
      <c r="AA598" s="15">
        <f t="shared" si="198"/>
        <v>0</v>
      </c>
      <c r="AC598" s="1"/>
      <c r="AD598" s="1"/>
      <c r="AE598" s="1"/>
    </row>
    <row r="599" spans="1:31">
      <c r="A599">
        <v>7</v>
      </c>
      <c r="B599">
        <f t="shared" si="178"/>
        <v>0.57579006684111045</v>
      </c>
      <c r="C599">
        <v>0.55212339897006668</v>
      </c>
      <c r="D599">
        <f t="shared" si="179"/>
        <v>1.8111893135943962</v>
      </c>
      <c r="E599" s="1">
        <f t="shared" si="180"/>
        <v>0.12441016695275925</v>
      </c>
      <c r="F599" s="1">
        <f t="shared" si="181"/>
        <v>0.14431579366520073</v>
      </c>
      <c r="G599" s="1">
        <f t="shared" si="182"/>
        <v>4.4787660102993336E-2</v>
      </c>
      <c r="H599" s="1">
        <f t="shared" si="183"/>
        <v>4.3399547167989737E-2</v>
      </c>
      <c r="I599" s="1">
        <f t="shared" si="184"/>
        <v>0.15949938588815582</v>
      </c>
      <c r="J599" s="1">
        <f t="shared" si="185"/>
        <v>0.17279956988516956</v>
      </c>
      <c r="K599" s="1">
        <f t="shared" si="186"/>
        <v>0.10625617626644164</v>
      </c>
      <c r="L599" s="1">
        <f t="shared" si="187"/>
        <v>0.10536146925411911</v>
      </c>
      <c r="M599" s="1">
        <f t="shared" si="188"/>
        <v>0.22967782375894866</v>
      </c>
      <c r="N599" s="1">
        <f t="shared" si="189"/>
        <v>0.22976712232510696</v>
      </c>
      <c r="O599" s="1">
        <f t="shared" si="190"/>
        <v>0.22919320859333808</v>
      </c>
      <c r="P599" s="1">
        <f t="shared" si="191"/>
        <v>0.22928531342637778</v>
      </c>
      <c r="Q599" s="1">
        <f t="shared" si="192"/>
        <v>3.4834846746772596</v>
      </c>
      <c r="T599">
        <v>0.13257388237384926</v>
      </c>
      <c r="U599">
        <f t="shared" si="199"/>
        <v>7.5429638334047464</v>
      </c>
      <c r="V599" s="15">
        <f t="shared" si="193"/>
        <v>8.6672804762406103E-2</v>
      </c>
      <c r="W599" s="15">
        <f t="shared" si="194"/>
        <v>9.0460019702166786E-2</v>
      </c>
      <c r="X599" s="15">
        <f t="shared" si="195"/>
        <v>9.8034449581688027E-2</v>
      </c>
      <c r="Y599" s="15">
        <f t="shared" si="196"/>
        <v>0.12344241036618545</v>
      </c>
      <c r="Z599" s="15">
        <f t="shared" si="197"/>
        <v>0.12662009611753955</v>
      </c>
      <c r="AA599" s="15">
        <f t="shared" si="198"/>
        <v>0.1329754676202477</v>
      </c>
      <c r="AC599" s="1"/>
      <c r="AD599" s="1"/>
      <c r="AE599" s="1"/>
    </row>
    <row r="600" spans="1:31">
      <c r="A600">
        <v>659</v>
      </c>
      <c r="B600">
        <f t="shared" si="178"/>
        <v>0.57730650513663828</v>
      </c>
      <c r="C600">
        <v>0.55315409279416416</v>
      </c>
      <c r="D600">
        <f t="shared" si="179"/>
        <v>1.8078145186428423</v>
      </c>
      <c r="E600" s="1">
        <f t="shared" si="180"/>
        <v>0.12412386311273216</v>
      </c>
      <c r="F600" s="1">
        <f t="shared" si="181"/>
        <v>0.14398368121076932</v>
      </c>
      <c r="G600" s="1">
        <f t="shared" si="182"/>
        <v>4.4684590720583589E-2</v>
      </c>
      <c r="H600" s="1">
        <f t="shared" si="183"/>
        <v>4.3299672235627092E-2</v>
      </c>
      <c r="I600" s="1">
        <f t="shared" si="184"/>
        <v>0.15913233158881485</v>
      </c>
      <c r="J600" s="1">
        <f t="shared" si="185"/>
        <v>0.17240190800893448</v>
      </c>
      <c r="K600" s="1">
        <f t="shared" si="186"/>
        <v>0.10601165001881407</v>
      </c>
      <c r="L600" s="1">
        <f t="shared" si="187"/>
        <v>0.10511900198655404</v>
      </c>
      <c r="M600" s="1">
        <f t="shared" si="188"/>
        <v>0.22914926854097986</v>
      </c>
      <c r="N600" s="1">
        <f t="shared" si="189"/>
        <v>0.22923836160526459</v>
      </c>
      <c r="O600" s="1">
        <f t="shared" si="190"/>
        <v>0.22866576861527491</v>
      </c>
      <c r="P600" s="1">
        <f t="shared" si="191"/>
        <v>0.22875766148840787</v>
      </c>
      <c r="Q600" s="1">
        <f t="shared" si="192"/>
        <v>3.4754681671565013</v>
      </c>
      <c r="T600">
        <v>0.85381946626848104</v>
      </c>
      <c r="U600">
        <f t="shared" si="199"/>
        <v>1.1712077781154182</v>
      </c>
      <c r="V600" s="15">
        <f t="shared" si="193"/>
        <v>0</v>
      </c>
      <c r="W600" s="15">
        <f t="shared" si="194"/>
        <v>0</v>
      </c>
      <c r="X600" s="15">
        <f t="shared" si="195"/>
        <v>0</v>
      </c>
      <c r="Y600" s="15">
        <f t="shared" si="196"/>
        <v>0</v>
      </c>
      <c r="Z600" s="15">
        <f t="shared" si="197"/>
        <v>0</v>
      </c>
      <c r="AA600" s="15">
        <f t="shared" si="198"/>
        <v>0</v>
      </c>
      <c r="AC600" s="1"/>
      <c r="AD600" s="1"/>
      <c r="AE600" s="1"/>
    </row>
    <row r="601" spans="1:31">
      <c r="A601">
        <v>307</v>
      </c>
      <c r="B601">
        <f t="shared" si="178"/>
        <v>0.57746645548883668</v>
      </c>
      <c r="C601">
        <v>0.55340598522314188</v>
      </c>
      <c r="D601">
        <f t="shared" si="179"/>
        <v>1.8069916601946119</v>
      </c>
      <c r="E601" s="1">
        <f t="shared" si="180"/>
        <v>0.1240538929935717</v>
      </c>
      <c r="F601" s="1">
        <f t="shared" si="181"/>
        <v>0.14390251587254316</v>
      </c>
      <c r="G601" s="1">
        <f t="shared" si="182"/>
        <v>4.4659401477685816E-2</v>
      </c>
      <c r="H601" s="1">
        <f t="shared" si="183"/>
        <v>4.3275263687987994E-2</v>
      </c>
      <c r="I601" s="1">
        <f t="shared" si="184"/>
        <v>0.15904262677360584</v>
      </c>
      <c r="J601" s="1">
        <f t="shared" si="185"/>
        <v>0.1723047229734033</v>
      </c>
      <c r="K601" s="1">
        <f t="shared" si="186"/>
        <v>0.10595188997269403</v>
      </c>
      <c r="L601" s="1">
        <f t="shared" si="187"/>
        <v>0.10505974513689936</v>
      </c>
      <c r="M601" s="1">
        <f t="shared" si="188"/>
        <v>0.22902009433367385</v>
      </c>
      <c r="N601" s="1">
        <f t="shared" si="189"/>
        <v>0.22910913717512335</v>
      </c>
      <c r="O601" s="1">
        <f t="shared" si="190"/>
        <v>0.22853686696271031</v>
      </c>
      <c r="P601" s="1">
        <f t="shared" si="191"/>
        <v>0.22862870803472204</v>
      </c>
      <c r="Q601" s="1">
        <f t="shared" si="192"/>
        <v>3.4735090038200078</v>
      </c>
      <c r="T601">
        <v>0.59499529473017743</v>
      </c>
      <c r="U601">
        <f t="shared" si="199"/>
        <v>1.6806855597967156</v>
      </c>
      <c r="V601" s="15">
        <f t="shared" si="193"/>
        <v>0</v>
      </c>
      <c r="W601" s="15">
        <f t="shared" si="194"/>
        <v>0</v>
      </c>
      <c r="X601" s="15">
        <f t="shared" si="195"/>
        <v>0</v>
      </c>
      <c r="Y601" s="15">
        <f t="shared" si="196"/>
        <v>0</v>
      </c>
      <c r="Z601" s="15">
        <f t="shared" si="197"/>
        <v>0</v>
      </c>
      <c r="AA601" s="15">
        <f t="shared" si="198"/>
        <v>0</v>
      </c>
      <c r="AC601" s="1"/>
      <c r="AD601" s="1"/>
      <c r="AE601" s="1"/>
    </row>
    <row r="602" spans="1:31">
      <c r="A602">
        <v>930</v>
      </c>
      <c r="B602">
        <f t="shared" si="178"/>
        <v>0.57787857517250563</v>
      </c>
      <c r="C602">
        <v>0.55396577115398793</v>
      </c>
      <c r="D602">
        <f t="shared" si="179"/>
        <v>1.8051656836429815</v>
      </c>
      <c r="E602" s="1">
        <f t="shared" si="180"/>
        <v>0.12389839690167001</v>
      </c>
      <c r="F602" s="1">
        <f t="shared" si="181"/>
        <v>0.1437221404059372</v>
      </c>
      <c r="G602" s="1">
        <f t="shared" si="182"/>
        <v>4.4603422884601208E-2</v>
      </c>
      <c r="H602" s="1">
        <f t="shared" si="183"/>
        <v>4.3221020050669447E-2</v>
      </c>
      <c r="I602" s="1">
        <f t="shared" si="184"/>
        <v>0.15884327384471103</v>
      </c>
      <c r="J602" s="1">
        <f t="shared" si="185"/>
        <v>0.17208874659094545</v>
      </c>
      <c r="K602" s="1">
        <f t="shared" si="186"/>
        <v>0.10581908394442047</v>
      </c>
      <c r="L602" s="1">
        <f t="shared" si="187"/>
        <v>0.10492805737289004</v>
      </c>
      <c r="M602" s="1">
        <f t="shared" si="188"/>
        <v>0.22873302773079274</v>
      </c>
      <c r="N602" s="1">
        <f t="shared" si="189"/>
        <v>0.22882195896096166</v>
      </c>
      <c r="O602" s="1">
        <f t="shared" si="190"/>
        <v>0.2282504060640588</v>
      </c>
      <c r="P602" s="1">
        <f t="shared" si="191"/>
        <v>0.22834213201733117</v>
      </c>
      <c r="Q602" s="1">
        <f t="shared" si="192"/>
        <v>3.4691551132467606</v>
      </c>
      <c r="T602">
        <v>0.15705255720977629</v>
      </c>
      <c r="U602">
        <f t="shared" si="199"/>
        <v>6.3672952403079464</v>
      </c>
      <c r="V602" s="15">
        <f t="shared" si="193"/>
        <v>8.3344139219000649E-2</v>
      </c>
      <c r="W602" s="15">
        <f t="shared" si="194"/>
        <v>8.732536540399724E-2</v>
      </c>
      <c r="X602" s="15">
        <f t="shared" si="195"/>
        <v>9.5287817773990383E-2</v>
      </c>
      <c r="Y602" s="15">
        <f t="shared" si="196"/>
        <v>0.11851899036258849</v>
      </c>
      <c r="Z602" s="15">
        <f t="shared" si="197"/>
        <v>0.12189937995142494</v>
      </c>
      <c r="AA602" s="15">
        <f t="shared" si="198"/>
        <v>0.12866015912909787</v>
      </c>
      <c r="AC602" s="1"/>
      <c r="AD602" s="1"/>
      <c r="AE602" s="1"/>
    </row>
    <row r="603" spans="1:31">
      <c r="A603">
        <v>282</v>
      </c>
      <c r="B603">
        <f t="shared" si="178"/>
        <v>0.57873909295746973</v>
      </c>
      <c r="C603">
        <v>0.55666253728252524</v>
      </c>
      <c r="D603">
        <f t="shared" si="179"/>
        <v>1.7964205115755183</v>
      </c>
      <c r="E603" s="1">
        <f t="shared" si="180"/>
        <v>0.12314929519929854</v>
      </c>
      <c r="F603" s="1">
        <f t="shared" si="181"/>
        <v>0.1428531824311863</v>
      </c>
      <c r="G603" s="1">
        <f t="shared" si="182"/>
        <v>4.4333746271747479E-2</v>
      </c>
      <c r="H603" s="1">
        <f t="shared" si="183"/>
        <v>4.2959701579181206E-2</v>
      </c>
      <c r="I603" s="1">
        <f t="shared" si="184"/>
        <v>0.15788289203330014</v>
      </c>
      <c r="J603" s="1">
        <f t="shared" si="185"/>
        <v>0.17104828136900591</v>
      </c>
      <c r="K603" s="1">
        <f t="shared" si="186"/>
        <v>0.10517929151846142</v>
      </c>
      <c r="L603" s="1">
        <f t="shared" si="187"/>
        <v>0.10429365217984347</v>
      </c>
      <c r="M603" s="1">
        <f t="shared" si="188"/>
        <v>0.22735008570130302</v>
      </c>
      <c r="N603" s="1">
        <f t="shared" si="189"/>
        <v>0.22743847924464483</v>
      </c>
      <c r="O603" s="1">
        <f t="shared" si="190"/>
        <v>0.22687038201188917</v>
      </c>
      <c r="P603" s="1">
        <f t="shared" si="191"/>
        <v>0.22696155338116797</v>
      </c>
      <c r="Q603" s="1">
        <f t="shared" si="192"/>
        <v>3.4481802655803597</v>
      </c>
      <c r="T603">
        <v>7.9347767375601119E-2</v>
      </c>
      <c r="U603">
        <f t="shared" si="199"/>
        <v>12.602749051103018</v>
      </c>
      <c r="V603" s="15">
        <f t="shared" si="193"/>
        <v>9.6276996976841098E-2</v>
      </c>
      <c r="W603" s="15">
        <f t="shared" si="194"/>
        <v>9.9467213986911301E-2</v>
      </c>
      <c r="X603" s="15">
        <f t="shared" si="195"/>
        <v>0.10584764800705174</v>
      </c>
      <c r="Y603" s="15">
        <f t="shared" si="196"/>
        <v>0.13764047352586195</v>
      </c>
      <c r="Z603" s="15">
        <f t="shared" si="197"/>
        <v>0.14019148278430588</v>
      </c>
      <c r="AA603" s="15">
        <f t="shared" si="198"/>
        <v>0.14529350130119362</v>
      </c>
      <c r="AC603" s="1"/>
      <c r="AD603" s="1"/>
      <c r="AE603" s="1"/>
    </row>
    <row r="604" spans="1:31">
      <c r="A604">
        <v>917</v>
      </c>
      <c r="B604">
        <f t="shared" si="178"/>
        <v>0.57896787037649045</v>
      </c>
      <c r="C604">
        <v>0.55788937481639966</v>
      </c>
      <c r="D604">
        <f t="shared" si="179"/>
        <v>1.7924700579377375</v>
      </c>
      <c r="E604" s="1">
        <f t="shared" si="180"/>
        <v>0.12280850699544452</v>
      </c>
      <c r="F604" s="1">
        <f t="shared" si="181"/>
        <v>0.14245786811471564</v>
      </c>
      <c r="G604" s="1">
        <f t="shared" si="182"/>
        <v>4.4211062518360038E-2</v>
      </c>
      <c r="H604" s="1">
        <f t="shared" si="183"/>
        <v>4.2840820187975671E-2</v>
      </c>
      <c r="I604" s="1">
        <f t="shared" si="184"/>
        <v>0.15744598634814594</v>
      </c>
      <c r="J604" s="1">
        <f t="shared" si="185"/>
        <v>0.17057494340563614</v>
      </c>
      <c r="K604" s="1">
        <f t="shared" si="186"/>
        <v>0.10488823129126966</v>
      </c>
      <c r="L604" s="1">
        <f t="shared" si="187"/>
        <v>0.10400504276196396</v>
      </c>
      <c r="M604" s="1">
        <f t="shared" si="188"/>
        <v>0.22672094505354848</v>
      </c>
      <c r="N604" s="1">
        <f t="shared" si="189"/>
        <v>0.22680909398747684</v>
      </c>
      <c r="O604" s="1">
        <f t="shared" si="190"/>
        <v>0.22624256883708876</v>
      </c>
      <c r="P604" s="1">
        <f t="shared" si="191"/>
        <v>0.22633348790994046</v>
      </c>
      <c r="Q604" s="1">
        <f t="shared" si="192"/>
        <v>3.4386381958724472</v>
      </c>
      <c r="T604">
        <v>0.46848009021845072</v>
      </c>
      <c r="U604">
        <f t="shared" si="199"/>
        <v>2.1345624304625268</v>
      </c>
      <c r="V604" s="15">
        <f t="shared" si="193"/>
        <v>5.994046766424195E-2</v>
      </c>
      <c r="W604" s="15">
        <f t="shared" si="194"/>
        <v>6.4961975946623715E-2</v>
      </c>
      <c r="X604" s="15">
        <f t="shared" si="195"/>
        <v>7.5004992511387078E-2</v>
      </c>
      <c r="Y604" s="15">
        <f t="shared" si="196"/>
        <v>8.388608832371279E-2</v>
      </c>
      <c r="Z604" s="15">
        <f t="shared" si="197"/>
        <v>8.8321431356805008E-2</v>
      </c>
      <c r="AA604" s="15">
        <f t="shared" si="198"/>
        <v>9.7192117422989402E-2</v>
      </c>
      <c r="AC604" s="1"/>
      <c r="AD604" s="1"/>
      <c r="AE604" s="1"/>
    </row>
    <row r="605" spans="1:31">
      <c r="A605">
        <v>323</v>
      </c>
      <c r="B605">
        <f t="shared" si="178"/>
        <v>0.57898670392013774</v>
      </c>
      <c r="C605">
        <v>0.55793446212085718</v>
      </c>
      <c r="D605">
        <f t="shared" si="179"/>
        <v>1.7923252064386455</v>
      </c>
      <c r="E605" s="1">
        <f t="shared" si="180"/>
        <v>0.12279598274420633</v>
      </c>
      <c r="F605" s="1">
        <f t="shared" si="181"/>
        <v>0.14244333998327935</v>
      </c>
      <c r="G605" s="1">
        <f t="shared" si="182"/>
        <v>4.4206553787914285E-2</v>
      </c>
      <c r="H605" s="1">
        <f t="shared" si="183"/>
        <v>4.2836451197517181E-2</v>
      </c>
      <c r="I605" s="1">
        <f t="shared" si="184"/>
        <v>0.15742992969915873</v>
      </c>
      <c r="J605" s="1">
        <f t="shared" si="185"/>
        <v>0.17055754783998339</v>
      </c>
      <c r="K605" s="1">
        <f t="shared" si="186"/>
        <v>0.10487753458472415</v>
      </c>
      <c r="L605" s="1">
        <f t="shared" si="187"/>
        <v>0.10399443612470845</v>
      </c>
      <c r="M605" s="1">
        <f t="shared" si="188"/>
        <v>0.22669782360906321</v>
      </c>
      <c r="N605" s="1">
        <f t="shared" si="189"/>
        <v>0.22678596355339126</v>
      </c>
      <c r="O605" s="1">
        <f t="shared" si="190"/>
        <v>0.22621949617834372</v>
      </c>
      <c r="P605" s="1">
        <f t="shared" si="191"/>
        <v>0.22631040597909094</v>
      </c>
      <c r="Q605" s="1">
        <f t="shared" si="192"/>
        <v>3.4382875168377778</v>
      </c>
      <c r="T605">
        <v>0.94991790045717062</v>
      </c>
      <c r="U605">
        <f t="shared" si="199"/>
        <v>1.0527225558321684</v>
      </c>
      <c r="V605" s="15">
        <f t="shared" si="193"/>
        <v>0</v>
      </c>
      <c r="W605" s="15">
        <f t="shared" si="194"/>
        <v>0</v>
      </c>
      <c r="X605" s="15">
        <f t="shared" si="195"/>
        <v>0</v>
      </c>
      <c r="Y605" s="15">
        <f t="shared" si="196"/>
        <v>0</v>
      </c>
      <c r="Z605" s="15">
        <f t="shared" si="197"/>
        <v>0</v>
      </c>
      <c r="AA605" s="15">
        <f t="shared" si="198"/>
        <v>0</v>
      </c>
      <c r="AC605" s="1"/>
      <c r="AD605" s="1"/>
      <c r="AE605" s="1"/>
    </row>
    <row r="606" spans="1:31">
      <c r="A606">
        <v>542</v>
      </c>
      <c r="B606">
        <f t="shared" si="178"/>
        <v>0.57970934625311565</v>
      </c>
      <c r="C606">
        <v>0.55902502718896185</v>
      </c>
      <c r="D606">
        <f t="shared" si="179"/>
        <v>1.7888286773643491</v>
      </c>
      <c r="E606" s="1">
        <f t="shared" si="180"/>
        <v>0.12249304800306615</v>
      </c>
      <c r="F606" s="1">
        <f t="shared" si="181"/>
        <v>0.14209193568355671</v>
      </c>
      <c r="G606" s="1">
        <f t="shared" si="182"/>
        <v>4.409749728110382E-2</v>
      </c>
      <c r="H606" s="1">
        <f t="shared" si="183"/>
        <v>4.2730774700901523E-2</v>
      </c>
      <c r="I606" s="1">
        <f t="shared" si="184"/>
        <v>0.15704155384242996</v>
      </c>
      <c r="J606" s="1">
        <f t="shared" si="185"/>
        <v>0.17013678646449085</v>
      </c>
      <c r="K606" s="1">
        <f t="shared" si="186"/>
        <v>0.10461880422497756</v>
      </c>
      <c r="L606" s="1">
        <f t="shared" si="187"/>
        <v>0.10373788434765983</v>
      </c>
      <c r="M606" s="1">
        <f t="shared" si="188"/>
        <v>0.22613856552115727</v>
      </c>
      <c r="N606" s="1">
        <f t="shared" si="189"/>
        <v>0.22622648802635886</v>
      </c>
      <c r="O606" s="1">
        <f t="shared" si="190"/>
        <v>0.22566141811272489</v>
      </c>
      <c r="P606" s="1">
        <f t="shared" si="191"/>
        <v>0.22575210364117637</v>
      </c>
      <c r="Q606" s="1">
        <f t="shared" si="192"/>
        <v>3.4298053440858527</v>
      </c>
      <c r="T606">
        <v>0.1993497620778294</v>
      </c>
      <c r="U606">
        <f t="shared" si="199"/>
        <v>5.0163089716133378</v>
      </c>
      <c r="V606" s="15">
        <f t="shared" si="193"/>
        <v>7.7592469679275022E-2</v>
      </c>
      <c r="W606" s="15">
        <f t="shared" si="194"/>
        <v>8.1908931878535138E-2</v>
      </c>
      <c r="X606" s="15">
        <f t="shared" si="195"/>
        <v>9.0541856277055494E-2</v>
      </c>
      <c r="Y606" s="15">
        <f t="shared" si="196"/>
        <v>0.11001171184610728</v>
      </c>
      <c r="Z606" s="15">
        <f t="shared" si="197"/>
        <v>0.11374235755783432</v>
      </c>
      <c r="AA606" s="15">
        <f t="shared" si="198"/>
        <v>0.12120364898128856</v>
      </c>
      <c r="AC606" s="1"/>
      <c r="AD606" s="1"/>
      <c r="AE606" s="1"/>
    </row>
    <row r="607" spans="1:31">
      <c r="A607">
        <v>68</v>
      </c>
      <c r="B607">
        <f t="shared" si="178"/>
        <v>0.58141353520931915</v>
      </c>
      <c r="C607">
        <v>0.56129518832679126</v>
      </c>
      <c r="D607">
        <f t="shared" si="179"/>
        <v>1.7815937510189215</v>
      </c>
      <c r="E607" s="1">
        <f t="shared" si="180"/>
        <v>0.12186244768700241</v>
      </c>
      <c r="F607" s="1">
        <f t="shared" si="181"/>
        <v>0.1413604393169228</v>
      </c>
      <c r="G607" s="1">
        <f t="shared" si="182"/>
        <v>4.3870481167320875E-2</v>
      </c>
      <c r="H607" s="1">
        <f t="shared" si="183"/>
        <v>4.2510794543077698E-2</v>
      </c>
      <c r="I607" s="1">
        <f t="shared" si="184"/>
        <v>0.15623309609643857</v>
      </c>
      <c r="J607" s="1">
        <f t="shared" si="185"/>
        <v>0.16926091380830641</v>
      </c>
      <c r="K607" s="1">
        <f t="shared" si="186"/>
        <v>0.10408022140671976</v>
      </c>
      <c r="L607" s="1">
        <f t="shared" si="187"/>
        <v>0.10320383654883472</v>
      </c>
      <c r="M607" s="1">
        <f t="shared" si="188"/>
        <v>0.22497439291531054</v>
      </c>
      <c r="N607" s="1">
        <f t="shared" si="189"/>
        <v>0.22506186279107337</v>
      </c>
      <c r="O607" s="1">
        <f t="shared" si="190"/>
        <v>0.22449970188551738</v>
      </c>
      <c r="P607" s="1">
        <f t="shared" si="191"/>
        <v>0.22458992056034868</v>
      </c>
      <c r="Q607" s="1">
        <f t="shared" si="192"/>
        <v>3.4121485352360681</v>
      </c>
      <c r="T607">
        <v>0.12126814083817072</v>
      </c>
      <c r="U607">
        <f t="shared" si="199"/>
        <v>8.2461889255354777</v>
      </c>
      <c r="V607" s="15">
        <f t="shared" si="193"/>
        <v>8.8210185055444978E-2</v>
      </c>
      <c r="W607" s="15">
        <f t="shared" si="194"/>
        <v>9.1907793796816489E-2</v>
      </c>
      <c r="X607" s="15">
        <f t="shared" si="195"/>
        <v>9.9303011279559344E-2</v>
      </c>
      <c r="Y607" s="15">
        <f t="shared" si="196"/>
        <v>0.12571634530773551</v>
      </c>
      <c r="Z607" s="15">
        <f t="shared" si="197"/>
        <v>0.12880041009266777</v>
      </c>
      <c r="AA607" s="15">
        <f t="shared" si="198"/>
        <v>0.13496853966253219</v>
      </c>
      <c r="AC607" s="1"/>
      <c r="AD607" s="1"/>
      <c r="AE607" s="1"/>
    </row>
    <row r="608" spans="1:31">
      <c r="A608">
        <v>641</v>
      </c>
      <c r="B608">
        <f t="shared" si="178"/>
        <v>0.5815316921956788</v>
      </c>
      <c r="C608">
        <v>0.56178806539784143</v>
      </c>
      <c r="D608">
        <f t="shared" si="179"/>
        <v>1.7800306941227562</v>
      </c>
      <c r="E608" s="1">
        <f t="shared" si="180"/>
        <v>0.12172553738948849</v>
      </c>
      <c r="F608" s="1">
        <f t="shared" si="181"/>
        <v>0.14120162337180664</v>
      </c>
      <c r="G608" s="1">
        <f t="shared" si="182"/>
        <v>4.382119346021586E-2</v>
      </c>
      <c r="H608" s="1">
        <f t="shared" si="183"/>
        <v>4.2463034419767232E-2</v>
      </c>
      <c r="I608" s="1">
        <f t="shared" si="184"/>
        <v>0.15605757098534753</v>
      </c>
      <c r="J608" s="1">
        <f t="shared" si="185"/>
        <v>0.16907075217519613</v>
      </c>
      <c r="K608" s="1">
        <f t="shared" si="186"/>
        <v>0.10396328912488417</v>
      </c>
      <c r="L608" s="1">
        <f t="shared" si="187"/>
        <v>0.10308788886983543</v>
      </c>
      <c r="M608" s="1">
        <f t="shared" si="188"/>
        <v>0.22472163817706531</v>
      </c>
      <c r="N608" s="1">
        <f t="shared" si="189"/>
        <v>0.22480900978197488</v>
      </c>
      <c r="O608" s="1">
        <f t="shared" si="190"/>
        <v>0.22424748045422066</v>
      </c>
      <c r="P608" s="1">
        <f t="shared" si="191"/>
        <v>0.22433759776997175</v>
      </c>
      <c r="Q608" s="1">
        <f t="shared" si="192"/>
        <v>3.408315046905678</v>
      </c>
      <c r="T608">
        <v>0.91774385921634349</v>
      </c>
      <c r="U608">
        <f t="shared" si="199"/>
        <v>1.0896286474244508</v>
      </c>
      <c r="V608" s="15">
        <f t="shared" si="193"/>
        <v>0</v>
      </c>
      <c r="W608" s="15">
        <f t="shared" si="194"/>
        <v>0</v>
      </c>
      <c r="X608" s="15">
        <f t="shared" si="195"/>
        <v>0</v>
      </c>
      <c r="Y608" s="15">
        <f t="shared" si="196"/>
        <v>0</v>
      </c>
      <c r="Z608" s="15">
        <f t="shared" si="197"/>
        <v>0</v>
      </c>
      <c r="AA608" s="15">
        <f t="shared" si="198"/>
        <v>0</v>
      </c>
      <c r="AC608" s="1"/>
      <c r="AD608" s="1"/>
      <c r="AE608" s="1"/>
    </row>
    <row r="609" spans="1:31">
      <c r="A609">
        <v>301</v>
      </c>
      <c r="B609">
        <f t="shared" si="178"/>
        <v>0.58158598575683396</v>
      </c>
      <c r="C609">
        <v>0.56213889436061826</v>
      </c>
      <c r="D609">
        <f t="shared" si="179"/>
        <v>1.7789197830500749</v>
      </c>
      <c r="E609" s="1">
        <f t="shared" si="180"/>
        <v>0.12162808489982824</v>
      </c>
      <c r="F609" s="1">
        <f t="shared" si="181"/>
        <v>0.14108857848380077</v>
      </c>
      <c r="G609" s="1">
        <f t="shared" si="182"/>
        <v>4.3786110563938177E-2</v>
      </c>
      <c r="H609" s="1">
        <f t="shared" si="183"/>
        <v>4.2429038854732315E-2</v>
      </c>
      <c r="I609" s="1">
        <f t="shared" si="184"/>
        <v>0.15593263254474579</v>
      </c>
      <c r="J609" s="1">
        <f t="shared" si="185"/>
        <v>0.16893539548602843</v>
      </c>
      <c r="K609" s="1">
        <f t="shared" si="186"/>
        <v>0.1038800569488284</v>
      </c>
      <c r="L609" s="1">
        <f t="shared" si="187"/>
        <v>0.10300535753220791</v>
      </c>
      <c r="M609" s="1">
        <f t="shared" si="188"/>
        <v>0.22454172783458057</v>
      </c>
      <c r="N609" s="1">
        <f t="shared" si="189"/>
        <v>0.22462902949048349</v>
      </c>
      <c r="O609" s="1">
        <f t="shared" si="190"/>
        <v>0.22406794971860869</v>
      </c>
      <c r="P609" s="1">
        <f t="shared" si="191"/>
        <v>0.22415799488715904</v>
      </c>
      <c r="Q609" s="1">
        <f t="shared" si="192"/>
        <v>3.4055863771951915</v>
      </c>
      <c r="T609">
        <v>5.5877475556123879E-2</v>
      </c>
      <c r="U609">
        <f t="shared" si="199"/>
        <v>17.896298822511948</v>
      </c>
      <c r="V609" s="15">
        <f t="shared" si="193"/>
        <v>0.10136750860682302</v>
      </c>
      <c r="W609" s="15">
        <f t="shared" si="194"/>
        <v>0.1042154323029842</v>
      </c>
      <c r="X609" s="15">
        <f t="shared" si="195"/>
        <v>0.10991127969530649</v>
      </c>
      <c r="Y609" s="15">
        <f t="shared" si="196"/>
        <v>0.14516002853251095</v>
      </c>
      <c r="Z609" s="15">
        <f t="shared" si="197"/>
        <v>0.14734991837652137</v>
      </c>
      <c r="AA609" s="15">
        <f t="shared" si="198"/>
        <v>0.15172969806454231</v>
      </c>
      <c r="AC609" s="1"/>
      <c r="AD609" s="1"/>
      <c r="AE609" s="1"/>
    </row>
    <row r="610" spans="1:31">
      <c r="A610">
        <v>343</v>
      </c>
      <c r="B610">
        <f t="shared" si="178"/>
        <v>0.58159584952656085</v>
      </c>
      <c r="C610">
        <v>0.56220263112845426</v>
      </c>
      <c r="D610">
        <f t="shared" si="179"/>
        <v>1.7787181073713547</v>
      </c>
      <c r="E610" s="1">
        <f t="shared" si="180"/>
        <v>0.12161038024209603</v>
      </c>
      <c r="F610" s="1">
        <f t="shared" si="181"/>
        <v>0.1410680410808314</v>
      </c>
      <c r="G610" s="1">
        <f t="shared" si="182"/>
        <v>4.3779736887154579E-2</v>
      </c>
      <c r="H610" s="1">
        <f t="shared" si="183"/>
        <v>4.2422862718591976E-2</v>
      </c>
      <c r="I610" s="1">
        <f t="shared" si="184"/>
        <v>0.15590993438345546</v>
      </c>
      <c r="J610" s="1">
        <f t="shared" si="185"/>
        <v>0.16891080459192367</v>
      </c>
      <c r="K610" s="1">
        <f t="shared" si="186"/>
        <v>0.10386493576316641</v>
      </c>
      <c r="L610" s="1">
        <f t="shared" si="187"/>
        <v>0.10299036367119961</v>
      </c>
      <c r="M610" s="1">
        <f t="shared" si="188"/>
        <v>0.22450904266617405</v>
      </c>
      <c r="N610" s="1">
        <f t="shared" si="189"/>
        <v>0.22459633161410794</v>
      </c>
      <c r="O610" s="1">
        <f t="shared" si="190"/>
        <v>0.22403533351518992</v>
      </c>
      <c r="P610" s="1">
        <f t="shared" si="191"/>
        <v>0.22412536557641485</v>
      </c>
      <c r="Q610" s="1">
        <f t="shared" si="192"/>
        <v>3.4050906467786892</v>
      </c>
      <c r="T610">
        <v>0.81245056778122737</v>
      </c>
      <c r="U610">
        <f t="shared" si="199"/>
        <v>1.230844114899154</v>
      </c>
      <c r="V610" s="15">
        <f t="shared" si="193"/>
        <v>0</v>
      </c>
      <c r="W610" s="15">
        <f t="shared" si="194"/>
        <v>0</v>
      </c>
      <c r="X610" s="15">
        <f t="shared" si="195"/>
        <v>0</v>
      </c>
      <c r="Y610" s="15">
        <f t="shared" si="196"/>
        <v>0</v>
      </c>
      <c r="Z610" s="15">
        <f t="shared" si="197"/>
        <v>0</v>
      </c>
      <c r="AA610" s="15">
        <f t="shared" si="198"/>
        <v>0</v>
      </c>
      <c r="AC610" s="1"/>
      <c r="AD610" s="1"/>
      <c r="AE610" s="1"/>
    </row>
    <row r="611" spans="1:31">
      <c r="A611">
        <v>332</v>
      </c>
      <c r="B611">
        <f t="shared" si="178"/>
        <v>0.58170342286019572</v>
      </c>
      <c r="C611">
        <v>0.56323624743484324</v>
      </c>
      <c r="D611">
        <f t="shared" si="179"/>
        <v>1.7754539139736081</v>
      </c>
      <c r="E611" s="1">
        <f t="shared" si="180"/>
        <v>0.12132326460143242</v>
      </c>
      <c r="F611" s="1">
        <f t="shared" si="181"/>
        <v>0.14073498693766162</v>
      </c>
      <c r="G611" s="1">
        <f t="shared" si="182"/>
        <v>4.367637525651568E-2</v>
      </c>
      <c r="H611" s="1">
        <f t="shared" si="183"/>
        <v>4.232270459570818E-2</v>
      </c>
      <c r="I611" s="1">
        <f t="shared" si="184"/>
        <v>0.15554183931947152</v>
      </c>
      <c r="J611" s="1">
        <f t="shared" si="185"/>
        <v>0.16851201516474754</v>
      </c>
      <c r="K611" s="1">
        <f t="shared" si="186"/>
        <v>0.10361971617323699</v>
      </c>
      <c r="L611" s="1">
        <f t="shared" si="187"/>
        <v>0.1027472088994707</v>
      </c>
      <c r="M611" s="1">
        <f t="shared" si="188"/>
        <v>0.22397898875554942</v>
      </c>
      <c r="N611" s="1">
        <f t="shared" si="189"/>
        <v>0.22406607161891914</v>
      </c>
      <c r="O611" s="1">
        <f t="shared" si="190"/>
        <v>0.22350639800667949</v>
      </c>
      <c r="P611" s="1">
        <f t="shared" si="191"/>
        <v>0.22359621750699565</v>
      </c>
      <c r="Q611" s="1">
        <f t="shared" si="192"/>
        <v>3.3970514088401083</v>
      </c>
      <c r="T611">
        <v>0.22104004688547441</v>
      </c>
      <c r="U611">
        <f t="shared" si="199"/>
        <v>4.524067082369565</v>
      </c>
      <c r="V611" s="15">
        <f t="shared" si="193"/>
        <v>7.6127639263401103E-2</v>
      </c>
      <c r="W611" s="15">
        <f t="shared" si="194"/>
        <v>8.050410371966818E-2</v>
      </c>
      <c r="X611" s="15">
        <f t="shared" si="195"/>
        <v>8.9257032632202429E-2</v>
      </c>
      <c r="Y611" s="15">
        <f t="shared" si="196"/>
        <v>0.10784378463354354</v>
      </c>
      <c r="Z611" s="15">
        <f t="shared" si="197"/>
        <v>0.111634618080564</v>
      </c>
      <c r="AA611" s="15">
        <f t="shared" si="198"/>
        <v>0.11921628497460508</v>
      </c>
      <c r="AC611" s="1"/>
      <c r="AD611" s="1"/>
      <c r="AE611" s="1"/>
    </row>
    <row r="612" spans="1:31">
      <c r="A612">
        <v>476</v>
      </c>
      <c r="B612">
        <f t="shared" si="178"/>
        <v>0.58332055004026973</v>
      </c>
      <c r="C612">
        <v>0.56411743456881391</v>
      </c>
      <c r="D612">
        <f t="shared" si="179"/>
        <v>1.7726805425972256</v>
      </c>
      <c r="E612" s="1">
        <f t="shared" si="180"/>
        <v>0.12107849039755167</v>
      </c>
      <c r="F612" s="1">
        <f t="shared" si="181"/>
        <v>0.14045104886115994</v>
      </c>
      <c r="G612" s="1">
        <f t="shared" si="182"/>
        <v>4.3588256543118611E-2</v>
      </c>
      <c r="H612" s="1">
        <f t="shared" si="183"/>
        <v>4.2237316963274062E-2</v>
      </c>
      <c r="I612" s="1">
        <f t="shared" si="184"/>
        <v>0.1552280278669472</v>
      </c>
      <c r="J612" s="1">
        <f t="shared" si="185"/>
        <v>0.16817203589950278</v>
      </c>
      <c r="K612" s="1">
        <f t="shared" si="186"/>
        <v>0.1034106595375128</v>
      </c>
      <c r="L612" s="1">
        <f t="shared" si="187"/>
        <v>0.10253991257965966</v>
      </c>
      <c r="M612" s="1">
        <f t="shared" si="188"/>
        <v>0.2235271028057379</v>
      </c>
      <c r="N612" s="1">
        <f t="shared" si="189"/>
        <v>0.22361400997618819</v>
      </c>
      <c r="O612" s="1">
        <f t="shared" si="190"/>
        <v>0.22305546552630104</v>
      </c>
      <c r="P612" s="1">
        <f t="shared" si="191"/>
        <v>0.22314510381243083</v>
      </c>
      <c r="Q612" s="1">
        <f t="shared" si="192"/>
        <v>3.3901977311314475</v>
      </c>
      <c r="T612">
        <v>2.4132623935825159E-2</v>
      </c>
      <c r="U612">
        <f t="shared" si="199"/>
        <v>41.437682145930616</v>
      </c>
      <c r="V612" s="15">
        <f t="shared" si="193"/>
        <v>0.10304197639427203</v>
      </c>
      <c r="W612" s="15">
        <f t="shared" si="194"/>
        <v>0.1057753682453844</v>
      </c>
      <c r="X612" s="15">
        <f t="shared" si="195"/>
        <v>0.11124215194760896</v>
      </c>
      <c r="Y612" s="15">
        <f t="shared" si="196"/>
        <v>0.14763297309330198</v>
      </c>
      <c r="Z612" s="15">
        <f t="shared" si="197"/>
        <v>0.14970192057754048</v>
      </c>
      <c r="AA612" s="15">
        <f t="shared" si="198"/>
        <v>0.15383981554601778</v>
      </c>
      <c r="AC612" s="1"/>
      <c r="AD612" s="1"/>
      <c r="AE612" s="1"/>
    </row>
    <row r="613" spans="1:31">
      <c r="A613">
        <v>66</v>
      </c>
      <c r="B613">
        <f t="shared" si="178"/>
        <v>0.58484572435090376</v>
      </c>
      <c r="C613">
        <v>0.56527023805838705</v>
      </c>
      <c r="D613">
        <f t="shared" si="179"/>
        <v>1.76906536497453</v>
      </c>
      <c r="E613" s="1">
        <f t="shared" si="180"/>
        <v>0.12075826720600358</v>
      </c>
      <c r="F613" s="1">
        <f t="shared" si="181"/>
        <v>0.14007958995896416</v>
      </c>
      <c r="G613" s="1">
        <f t="shared" si="182"/>
        <v>4.3472976194161302E-2</v>
      </c>
      <c r="H613" s="1">
        <f t="shared" si="183"/>
        <v>4.2125609521299866E-2</v>
      </c>
      <c r="I613" s="1">
        <f t="shared" si="184"/>
        <v>0.15481748744529128</v>
      </c>
      <c r="J613" s="1">
        <f t="shared" si="185"/>
        <v>0.16772726172129773</v>
      </c>
      <c r="K613" s="1">
        <f t="shared" si="186"/>
        <v>0.10313716346625797</v>
      </c>
      <c r="L613" s="1">
        <f t="shared" si="187"/>
        <v>0.10226871942256374</v>
      </c>
      <c r="M613" s="1">
        <f t="shared" si="188"/>
        <v>0.22293592792386641</v>
      </c>
      <c r="N613" s="1">
        <f t="shared" si="189"/>
        <v>0.22302260524596462</v>
      </c>
      <c r="O613" s="1">
        <f t="shared" si="190"/>
        <v>0.22246553801045119</v>
      </c>
      <c r="P613" s="1">
        <f t="shared" si="191"/>
        <v>0.22255493922509142</v>
      </c>
      <c r="Q613" s="1">
        <f t="shared" si="192"/>
        <v>3.3812314817681011</v>
      </c>
      <c r="T613">
        <v>0.89600356213766363</v>
      </c>
      <c r="U613">
        <f t="shared" si="199"/>
        <v>1.1160669915354178</v>
      </c>
      <c r="V613" s="15">
        <f t="shared" si="193"/>
        <v>0</v>
      </c>
      <c r="W613" s="15">
        <f t="shared" si="194"/>
        <v>0</v>
      </c>
      <c r="X613" s="15">
        <f t="shared" si="195"/>
        <v>0</v>
      </c>
      <c r="Y613" s="15">
        <f t="shared" si="196"/>
        <v>0</v>
      </c>
      <c r="Z613" s="15">
        <f t="shared" si="197"/>
        <v>0</v>
      </c>
      <c r="AA613" s="15">
        <f t="shared" si="198"/>
        <v>0</v>
      </c>
      <c r="AC613" s="1"/>
      <c r="AD613" s="1"/>
      <c r="AE613" s="1"/>
    </row>
    <row r="614" spans="1:31">
      <c r="A614">
        <v>565</v>
      </c>
      <c r="B614">
        <f t="shared" si="178"/>
        <v>0.58646337149719752</v>
      </c>
      <c r="C614">
        <v>0.56628460705652606</v>
      </c>
      <c r="D614">
        <f t="shared" si="179"/>
        <v>1.7658964901021597</v>
      </c>
      <c r="E614" s="1">
        <f t="shared" si="180"/>
        <v>0.12047649803985386</v>
      </c>
      <c r="F614" s="1">
        <f t="shared" si="181"/>
        <v>0.13975273772623048</v>
      </c>
      <c r="G614" s="1">
        <f t="shared" si="182"/>
        <v>4.3371539294347401E-2</v>
      </c>
      <c r="H614" s="1">
        <f t="shared" si="183"/>
        <v>4.2027316475672462E-2</v>
      </c>
      <c r="I614" s="1">
        <f t="shared" si="184"/>
        <v>0.15445624680022277</v>
      </c>
      <c r="J614" s="1">
        <f t="shared" si="185"/>
        <v>0.16733589828284126</v>
      </c>
      <c r="K614" s="1">
        <f t="shared" si="186"/>
        <v>0.10289651019074053</v>
      </c>
      <c r="L614" s="1">
        <f t="shared" si="187"/>
        <v>0.10203009251558984</v>
      </c>
      <c r="M614" s="1">
        <f t="shared" si="188"/>
        <v>0.22241574432096026</v>
      </c>
      <c r="N614" s="1">
        <f t="shared" si="189"/>
        <v>0.22250221939606257</v>
      </c>
      <c r="O614" s="1">
        <f t="shared" si="190"/>
        <v>0.22194645198352664</v>
      </c>
      <c r="P614" s="1">
        <f t="shared" si="191"/>
        <v>0.22203564459542455</v>
      </c>
      <c r="Q614" s="1">
        <f t="shared" si="192"/>
        <v>3.3733419451159086</v>
      </c>
      <c r="T614">
        <v>0.99673874331943102</v>
      </c>
      <c r="U614">
        <f t="shared" si="199"/>
        <v>1.0032719272752537</v>
      </c>
      <c r="V614" s="15">
        <f t="shared" si="193"/>
        <v>0</v>
      </c>
      <c r="W614" s="15">
        <f t="shared" si="194"/>
        <v>0</v>
      </c>
      <c r="X614" s="15">
        <f t="shared" si="195"/>
        <v>0</v>
      </c>
      <c r="Y614" s="15">
        <f t="shared" si="196"/>
        <v>0</v>
      </c>
      <c r="Z614" s="15">
        <f t="shared" si="197"/>
        <v>0</v>
      </c>
      <c r="AA614" s="15">
        <f t="shared" si="198"/>
        <v>0</v>
      </c>
      <c r="AC614" s="1"/>
      <c r="AD614" s="1"/>
      <c r="AE614" s="1"/>
    </row>
    <row r="615" spans="1:31">
      <c r="A615">
        <v>875</v>
      </c>
      <c r="B615">
        <f t="shared" si="178"/>
        <v>0.58768643452578373</v>
      </c>
      <c r="C615">
        <v>0.5671139624020014</v>
      </c>
      <c r="D615">
        <f t="shared" si="179"/>
        <v>1.7633140185166969</v>
      </c>
      <c r="E615" s="1">
        <f t="shared" si="180"/>
        <v>0.12024612155499959</v>
      </c>
      <c r="F615" s="1">
        <f t="shared" si="181"/>
        <v>0.13948550100379953</v>
      </c>
      <c r="G615" s="1">
        <f t="shared" si="182"/>
        <v>4.3288603759799864E-2</v>
      </c>
      <c r="H615" s="1">
        <f t="shared" si="183"/>
        <v>4.1946951378785929E-2</v>
      </c>
      <c r="I615" s="1">
        <f t="shared" si="184"/>
        <v>0.15416089386599449</v>
      </c>
      <c r="J615" s="1">
        <f t="shared" si="185"/>
        <v>0.16701591673736524</v>
      </c>
      <c r="K615" s="1">
        <f t="shared" si="186"/>
        <v>0.10269975035204011</v>
      </c>
      <c r="L615" s="1">
        <f t="shared" si="187"/>
        <v>0.10183498945029887</v>
      </c>
      <c r="M615" s="1">
        <f t="shared" si="188"/>
        <v>0.22199043848798394</v>
      </c>
      <c r="N615" s="1">
        <f t="shared" si="189"/>
        <v>0.22207674820449638</v>
      </c>
      <c r="O615" s="1">
        <f t="shared" si="190"/>
        <v>0.22152204353652044</v>
      </c>
      <c r="P615" s="1">
        <f t="shared" si="191"/>
        <v>0.22161106559332469</v>
      </c>
      <c r="Q615" s="1">
        <f t="shared" si="192"/>
        <v>3.3668914035399893</v>
      </c>
      <c r="T615">
        <v>0.50952704474200883</v>
      </c>
      <c r="U615">
        <f t="shared" si="199"/>
        <v>1.9626043608859558</v>
      </c>
      <c r="V615" s="15">
        <f t="shared" si="193"/>
        <v>0</v>
      </c>
      <c r="W615" s="15">
        <f t="shared" si="194"/>
        <v>0</v>
      </c>
      <c r="X615" s="15">
        <f t="shared" si="195"/>
        <v>0</v>
      </c>
      <c r="Y615" s="15">
        <f t="shared" si="196"/>
        <v>0</v>
      </c>
      <c r="Z615" s="15">
        <f t="shared" si="197"/>
        <v>0</v>
      </c>
      <c r="AA615" s="15">
        <f t="shared" si="198"/>
        <v>0</v>
      </c>
      <c r="AC615" s="1"/>
      <c r="AD615" s="1"/>
      <c r="AE615" s="1"/>
    </row>
    <row r="616" spans="1:31">
      <c r="A616">
        <v>344</v>
      </c>
      <c r="B616">
        <f t="shared" si="178"/>
        <v>0.58773216475693202</v>
      </c>
      <c r="C616">
        <v>0.56715381525077735</v>
      </c>
      <c r="D616">
        <f t="shared" si="179"/>
        <v>1.763190113704572</v>
      </c>
      <c r="E616" s="1">
        <f t="shared" si="180"/>
        <v>0.12023505131922851</v>
      </c>
      <c r="F616" s="1">
        <f t="shared" si="181"/>
        <v>0.13947265953030508</v>
      </c>
      <c r="G616" s="1">
        <f t="shared" si="182"/>
        <v>4.3284618474922272E-2</v>
      </c>
      <c r="H616" s="1">
        <f t="shared" si="183"/>
        <v>4.1943089610642088E-2</v>
      </c>
      <c r="I616" s="1">
        <f t="shared" si="184"/>
        <v>0.15414670132972214</v>
      </c>
      <c r="J616" s="1">
        <f t="shared" si="185"/>
        <v>0.16700054072729606</v>
      </c>
      <c r="K616" s="1">
        <f t="shared" si="186"/>
        <v>0.10269029549033373</v>
      </c>
      <c r="L616" s="1">
        <f t="shared" si="187"/>
        <v>0.10182561420119825</v>
      </c>
      <c r="M616" s="1">
        <f t="shared" si="188"/>
        <v>0.22197000135070907</v>
      </c>
      <c r="N616" s="1">
        <f t="shared" si="189"/>
        <v>0.22205630312127783</v>
      </c>
      <c r="O616" s="1">
        <f t="shared" si="190"/>
        <v>0.22150164952115653</v>
      </c>
      <c r="P616" s="1">
        <f t="shared" si="191"/>
        <v>0.22159066338231054</v>
      </c>
      <c r="Q616" s="1">
        <f t="shared" si="192"/>
        <v>3.3665814369383988</v>
      </c>
      <c r="T616">
        <v>2.3895642119959315E-2</v>
      </c>
      <c r="U616">
        <f t="shared" si="199"/>
        <v>41.848634783692624</v>
      </c>
      <c r="V616" s="15">
        <f t="shared" si="193"/>
        <v>0.10304197639427203</v>
      </c>
      <c r="W616" s="15">
        <f t="shared" si="194"/>
        <v>0.1057753682453844</v>
      </c>
      <c r="X616" s="15">
        <f t="shared" si="195"/>
        <v>0.11124215194760896</v>
      </c>
      <c r="Y616" s="15">
        <f t="shared" si="196"/>
        <v>0.14763297309330198</v>
      </c>
      <c r="Z616" s="15">
        <f t="shared" si="197"/>
        <v>0.14970192057754048</v>
      </c>
      <c r="AA616" s="15">
        <f t="shared" si="198"/>
        <v>0.15383981554601778</v>
      </c>
      <c r="AC616" s="1"/>
      <c r="AD616" s="1"/>
      <c r="AE616" s="1"/>
    </row>
    <row r="617" spans="1:31">
      <c r="A617">
        <v>293</v>
      </c>
      <c r="B617">
        <f t="shared" si="178"/>
        <v>0.58781515054355982</v>
      </c>
      <c r="C617">
        <v>0.56722613546263689</v>
      </c>
      <c r="D617">
        <f t="shared" si="179"/>
        <v>1.7629653104478114</v>
      </c>
      <c r="E617" s="1">
        <f t="shared" si="180"/>
        <v>0.12021496237148974</v>
      </c>
      <c r="F617" s="1">
        <f t="shared" si="181"/>
        <v>0.13944935635092809</v>
      </c>
      <c r="G617" s="1">
        <f t="shared" si="182"/>
        <v>4.3277386453736313E-2</v>
      </c>
      <c r="H617" s="1">
        <f t="shared" si="183"/>
        <v>4.193608173293966E-2</v>
      </c>
      <c r="I617" s="1">
        <f t="shared" si="184"/>
        <v>0.1541209464022435</v>
      </c>
      <c r="J617" s="1">
        <f t="shared" si="185"/>
        <v>0.16697263817227401</v>
      </c>
      <c r="K617" s="1">
        <f t="shared" si="186"/>
        <v>0.10267313793139607</v>
      </c>
      <c r="L617" s="1">
        <f t="shared" si="187"/>
        <v>0.10180860111375237</v>
      </c>
      <c r="M617" s="1">
        <f t="shared" si="188"/>
        <v>0.22193291446375074</v>
      </c>
      <c r="N617" s="1">
        <f t="shared" si="189"/>
        <v>0.22201920181496557</v>
      </c>
      <c r="O617" s="1">
        <f t="shared" si="190"/>
        <v>0.22146464088671544</v>
      </c>
      <c r="P617" s="1">
        <f t="shared" si="191"/>
        <v>0.22155363987537771</v>
      </c>
      <c r="Q617" s="1">
        <f t="shared" si="192"/>
        <v>3.3660189464017134</v>
      </c>
      <c r="T617">
        <v>0.27831941561776841</v>
      </c>
      <c r="U617">
        <f t="shared" si="199"/>
        <v>3.5929940344993962</v>
      </c>
      <c r="V617" s="15">
        <f t="shared" si="193"/>
        <v>7.2380505378876817E-2</v>
      </c>
      <c r="W617" s="15">
        <f t="shared" si="194"/>
        <v>7.6906289656894777E-2</v>
      </c>
      <c r="X617" s="15">
        <f t="shared" si="195"/>
        <v>8.5957858212930754E-2</v>
      </c>
      <c r="Y617" s="15">
        <f t="shared" si="196"/>
        <v>0.10229786853030209</v>
      </c>
      <c r="Z617" s="15">
        <f t="shared" si="197"/>
        <v>0.10623789812898353</v>
      </c>
      <c r="AA617" s="15">
        <f t="shared" si="198"/>
        <v>0.11411795732634648</v>
      </c>
      <c r="AC617" s="1"/>
      <c r="AD617" s="1"/>
      <c r="AE617" s="1"/>
    </row>
    <row r="618" spans="1:31">
      <c r="A618">
        <v>830</v>
      </c>
      <c r="B618">
        <f t="shared" si="178"/>
        <v>0.59379849920204175</v>
      </c>
      <c r="C618">
        <v>0.57043799643333182</v>
      </c>
      <c r="D618">
        <f t="shared" si="179"/>
        <v>1.7530389038817682</v>
      </c>
      <c r="E618" s="1">
        <f t="shared" si="180"/>
        <v>0.11932277876851893</v>
      </c>
      <c r="F618" s="1">
        <f t="shared" si="181"/>
        <v>0.13841442337148196</v>
      </c>
      <c r="G618" s="1">
        <f t="shared" si="182"/>
        <v>4.2956200356666821E-2</v>
      </c>
      <c r="H618" s="1">
        <f t="shared" si="183"/>
        <v>4.1624850221013934E-2</v>
      </c>
      <c r="I618" s="1">
        <f t="shared" si="184"/>
        <v>0.15297712720917578</v>
      </c>
      <c r="J618" s="1">
        <f t="shared" si="185"/>
        <v>0.16573343926572082</v>
      </c>
      <c r="K618" s="1">
        <f t="shared" si="186"/>
        <v>0.10191114218377126</v>
      </c>
      <c r="L618" s="1">
        <f t="shared" si="187"/>
        <v>0.10105302158552029</v>
      </c>
      <c r="M618" s="1">
        <f t="shared" si="188"/>
        <v>0.22028582409048916</v>
      </c>
      <c r="N618" s="1">
        <f t="shared" si="189"/>
        <v>0.22037147105419833</v>
      </c>
      <c r="O618" s="1">
        <f t="shared" si="190"/>
        <v>0.21982102583797997</v>
      </c>
      <c r="P618" s="1">
        <f t="shared" si="191"/>
        <v>0.21990936431453295</v>
      </c>
      <c r="Q618" s="1">
        <f t="shared" si="192"/>
        <v>3.3410378055185306</v>
      </c>
      <c r="T618">
        <v>0.38821045288567646</v>
      </c>
      <c r="U618">
        <f t="shared" si="199"/>
        <v>2.5759223961300406</v>
      </c>
      <c r="V618" s="15">
        <f t="shared" si="193"/>
        <v>6.5191591840450522E-2</v>
      </c>
      <c r="W618" s="15">
        <f t="shared" si="194"/>
        <v>7.0003847678124731E-2</v>
      </c>
      <c r="X618" s="15">
        <f t="shared" si="195"/>
        <v>7.9628359353473038E-2</v>
      </c>
      <c r="Y618" s="15">
        <f t="shared" si="196"/>
        <v>9.165797345683574E-2</v>
      </c>
      <c r="Z618" s="15">
        <f t="shared" si="197"/>
        <v>9.5884237352878765E-2</v>
      </c>
      <c r="AA618" s="15">
        <f t="shared" si="198"/>
        <v>0.10433676514496482</v>
      </c>
      <c r="AC618" s="1"/>
      <c r="AD618" s="1"/>
      <c r="AE618" s="1"/>
    </row>
    <row r="619" spans="1:31">
      <c r="A619">
        <v>662</v>
      </c>
      <c r="B619">
        <f t="shared" si="178"/>
        <v>0.59393139752761204</v>
      </c>
      <c r="C619">
        <v>0.57104008278609697</v>
      </c>
      <c r="D619">
        <f t="shared" si="179"/>
        <v>1.7511905558730891</v>
      </c>
      <c r="E619" s="1">
        <f t="shared" si="180"/>
        <v>0.11915553255941749</v>
      </c>
      <c r="F619" s="1">
        <f t="shared" si="181"/>
        <v>0.1382204177689243</v>
      </c>
      <c r="G619" s="1">
        <f t="shared" si="182"/>
        <v>4.289599172139031E-2</v>
      </c>
      <c r="H619" s="1">
        <f t="shared" si="183"/>
        <v>4.1566507644049781E-2</v>
      </c>
      <c r="I619" s="1">
        <f t="shared" si="184"/>
        <v>0.15276271010567707</v>
      </c>
      <c r="J619" s="1">
        <f t="shared" si="185"/>
        <v>0.16550114255150916</v>
      </c>
      <c r="K619" s="1">
        <f t="shared" si="186"/>
        <v>0.10176830062098384</v>
      </c>
      <c r="L619" s="1">
        <f t="shared" si="187"/>
        <v>0.1009113827890319</v>
      </c>
      <c r="M619" s="1">
        <f t="shared" si="188"/>
        <v>0.21997706519819593</v>
      </c>
      <c r="N619" s="1">
        <f t="shared" si="189"/>
        <v>0.22006259211667858</v>
      </c>
      <c r="O619" s="1">
        <f t="shared" si="190"/>
        <v>0.21951291842017076</v>
      </c>
      <c r="P619" s="1">
        <f t="shared" si="191"/>
        <v>0.21960113307899609</v>
      </c>
      <c r="Q619" s="1">
        <f t="shared" si="192"/>
        <v>3.3363549116636904</v>
      </c>
      <c r="T619">
        <v>6.5441745521277461E-3</v>
      </c>
      <c r="U619">
        <f t="shared" si="199"/>
        <v>152.80766000883398</v>
      </c>
      <c r="V619" s="15">
        <f t="shared" si="193"/>
        <v>0.10304197639427203</v>
      </c>
      <c r="W619" s="15">
        <f t="shared" si="194"/>
        <v>0.1057753682453844</v>
      </c>
      <c r="X619" s="15">
        <f t="shared" si="195"/>
        <v>0.11124215194760896</v>
      </c>
      <c r="Y619" s="15">
        <f t="shared" si="196"/>
        <v>0.14763297309330198</v>
      </c>
      <c r="Z619" s="15">
        <f t="shared" si="197"/>
        <v>0.14970192057754048</v>
      </c>
      <c r="AA619" s="15">
        <f t="shared" si="198"/>
        <v>0.15383981554601778</v>
      </c>
      <c r="AC619" s="1"/>
      <c r="AD619" s="1"/>
      <c r="AE619" s="1"/>
    </row>
    <row r="620" spans="1:31">
      <c r="A620">
        <v>531</v>
      </c>
      <c r="B620">
        <f t="shared" si="178"/>
        <v>0.59395300898981251</v>
      </c>
      <c r="C620">
        <v>0.57116700279080945</v>
      </c>
      <c r="D620">
        <f t="shared" si="179"/>
        <v>1.750801420799603</v>
      </c>
      <c r="E620" s="1">
        <f t="shared" si="180"/>
        <v>0.11912027700255293</v>
      </c>
      <c r="F620" s="1">
        <f t="shared" si="181"/>
        <v>0.13817952132296138</v>
      </c>
      <c r="G620" s="1">
        <f t="shared" si="182"/>
        <v>4.288329972091906E-2</v>
      </c>
      <c r="H620" s="1">
        <f t="shared" si="183"/>
        <v>4.1554209009295441E-2</v>
      </c>
      <c r="I620" s="1">
        <f t="shared" si="184"/>
        <v>0.15271751090848301</v>
      </c>
      <c r="J620" s="1">
        <f t="shared" si="185"/>
        <v>0.16545217432639156</v>
      </c>
      <c r="K620" s="1">
        <f t="shared" si="186"/>
        <v>0.10173818957173175</v>
      </c>
      <c r="L620" s="1">
        <f t="shared" si="187"/>
        <v>0.10088152528331829</v>
      </c>
      <c r="M620" s="1">
        <f t="shared" si="188"/>
        <v>0.21991197872034288</v>
      </c>
      <c r="N620" s="1">
        <f t="shared" si="189"/>
        <v>0.21999748033325162</v>
      </c>
      <c r="O620" s="1">
        <f t="shared" si="190"/>
        <v>0.219447969273357</v>
      </c>
      <c r="P620" s="1">
        <f t="shared" si="191"/>
        <v>0.21953615783136393</v>
      </c>
      <c r="Q620" s="1">
        <f t="shared" si="192"/>
        <v>3.3353677560714825</v>
      </c>
      <c r="T620">
        <v>0.84846348520914161</v>
      </c>
      <c r="U620">
        <f t="shared" si="199"/>
        <v>1.1786011035625246</v>
      </c>
      <c r="V620" s="15">
        <f t="shared" si="193"/>
        <v>0</v>
      </c>
      <c r="W620" s="15">
        <f t="shared" si="194"/>
        <v>0</v>
      </c>
      <c r="X620" s="15">
        <f t="shared" si="195"/>
        <v>0</v>
      </c>
      <c r="Y620" s="15">
        <f t="shared" si="196"/>
        <v>0</v>
      </c>
      <c r="Z620" s="15">
        <f t="shared" si="197"/>
        <v>0</v>
      </c>
      <c r="AA620" s="15">
        <f t="shared" si="198"/>
        <v>0</v>
      </c>
      <c r="AC620" s="1"/>
      <c r="AD620" s="1"/>
      <c r="AE620" s="1"/>
    </row>
    <row r="621" spans="1:31">
      <c r="A621">
        <v>903</v>
      </c>
      <c r="B621">
        <f t="shared" si="178"/>
        <v>0.59444744101339486</v>
      </c>
      <c r="C621">
        <v>0.57189696884576147</v>
      </c>
      <c r="D621">
        <f t="shared" si="179"/>
        <v>1.7485667077730156</v>
      </c>
      <c r="E621" s="1">
        <f t="shared" si="180"/>
        <v>0.11891750865395515</v>
      </c>
      <c r="F621" s="1">
        <f t="shared" si="181"/>
        <v>0.13794431003858795</v>
      </c>
      <c r="G621" s="1">
        <f t="shared" si="182"/>
        <v>4.2810303115423859E-2</v>
      </c>
      <c r="H621" s="1">
        <f t="shared" si="183"/>
        <v>4.1483474802239149E-2</v>
      </c>
      <c r="I621" s="1">
        <f t="shared" si="184"/>
        <v>0.15245755283695994</v>
      </c>
      <c r="J621" s="1">
        <f t="shared" si="185"/>
        <v>0.16517053911696911</v>
      </c>
      <c r="K621" s="1">
        <f t="shared" si="186"/>
        <v>0.1015650092769248</v>
      </c>
      <c r="L621" s="1">
        <f t="shared" si="187"/>
        <v>0.10070980321550203</v>
      </c>
      <c r="M621" s="1">
        <f t="shared" si="188"/>
        <v>0.21953764120296923</v>
      </c>
      <c r="N621" s="1">
        <f t="shared" si="189"/>
        <v>0.21962299727373111</v>
      </c>
      <c r="O621" s="1">
        <f t="shared" si="190"/>
        <v>0.21907442159992654</v>
      </c>
      <c r="P621" s="1">
        <f t="shared" si="191"/>
        <v>0.21916246004202775</v>
      </c>
      <c r="Q621" s="1">
        <f t="shared" si="192"/>
        <v>3.3296902423107446</v>
      </c>
      <c r="T621">
        <v>0.38250430695230864</v>
      </c>
      <c r="U621">
        <f t="shared" si="199"/>
        <v>2.6143496473745116</v>
      </c>
      <c r="V621" s="15">
        <f t="shared" si="193"/>
        <v>6.5564879696971681E-2</v>
      </c>
      <c r="W621" s="15">
        <f t="shared" si="194"/>
        <v>7.0362260358600603E-2</v>
      </c>
      <c r="X621" s="15">
        <f t="shared" si="195"/>
        <v>7.9957021681858392E-2</v>
      </c>
      <c r="Y621" s="15">
        <f t="shared" si="196"/>
        <v>9.2210455219810694E-2</v>
      </c>
      <c r="Z621" s="15">
        <f t="shared" si="197"/>
        <v>9.6421856259769304E-2</v>
      </c>
      <c r="AA621" s="15">
        <f t="shared" si="198"/>
        <v>0.10484465833968652</v>
      </c>
      <c r="AC621" s="1"/>
      <c r="AD621" s="1"/>
      <c r="AE621" s="1"/>
    </row>
    <row r="622" spans="1:31">
      <c r="A622">
        <v>764</v>
      </c>
      <c r="B622">
        <f t="shared" si="178"/>
        <v>0.59461855737858982</v>
      </c>
      <c r="C622">
        <v>0.57202781513928014</v>
      </c>
      <c r="D622">
        <f t="shared" si="179"/>
        <v>1.748166738634056</v>
      </c>
      <c r="E622" s="1">
        <f t="shared" si="180"/>
        <v>0.11888116246131106</v>
      </c>
      <c r="F622" s="1">
        <f t="shared" si="181"/>
        <v>0.13790214845512083</v>
      </c>
      <c r="G622" s="1">
        <f t="shared" si="182"/>
        <v>4.2797218486071993E-2</v>
      </c>
      <c r="H622" s="1">
        <f t="shared" si="183"/>
        <v>4.1470795707429856E-2</v>
      </c>
      <c r="I622" s="1">
        <f t="shared" si="184"/>
        <v>0.15241095539602648</v>
      </c>
      <c r="J622" s="1">
        <f t="shared" si="185"/>
        <v>0.16512005605268509</v>
      </c>
      <c r="K622" s="1">
        <f t="shared" si="186"/>
        <v>0.10153396673798448</v>
      </c>
      <c r="L622" s="1">
        <f t="shared" si="187"/>
        <v>0.10067902206350642</v>
      </c>
      <c r="M622" s="1">
        <f t="shared" si="188"/>
        <v>0.21947054126545701</v>
      </c>
      <c r="N622" s="1">
        <f t="shared" si="189"/>
        <v>0.21955587124781334</v>
      </c>
      <c r="O622" s="1">
        <f t="shared" si="190"/>
        <v>0.21900746324180931</v>
      </c>
      <c r="P622" s="1">
        <f t="shared" si="191"/>
        <v>0.21909547477565947</v>
      </c>
      <c r="Q622" s="1">
        <f t="shared" si="192"/>
        <v>3.3286725489167104</v>
      </c>
      <c r="T622">
        <v>0.6588039955674444</v>
      </c>
      <c r="U622">
        <f t="shared" si="199"/>
        <v>1.5179021480260984</v>
      </c>
      <c r="V622" s="15">
        <f t="shared" si="193"/>
        <v>0</v>
      </c>
      <c r="W622" s="15">
        <f t="shared" si="194"/>
        <v>0</v>
      </c>
      <c r="X622" s="15">
        <f t="shared" si="195"/>
        <v>0</v>
      </c>
      <c r="Y622" s="15">
        <f t="shared" si="196"/>
        <v>0</v>
      </c>
      <c r="Z622" s="15">
        <f t="shared" si="197"/>
        <v>0</v>
      </c>
      <c r="AA622" s="15">
        <f t="shared" si="198"/>
        <v>0</v>
      </c>
      <c r="AC622" s="1"/>
      <c r="AD622" s="1"/>
      <c r="AE622" s="1"/>
    </row>
    <row r="623" spans="1:31">
      <c r="A623">
        <v>705</v>
      </c>
      <c r="B623">
        <f t="shared" si="178"/>
        <v>0.59507694090583474</v>
      </c>
      <c r="C623">
        <v>0.57237832390261012</v>
      </c>
      <c r="D623">
        <f t="shared" si="179"/>
        <v>1.7470962093423885</v>
      </c>
      <c r="E623" s="1">
        <f t="shared" si="180"/>
        <v>0.11878379891594162</v>
      </c>
      <c r="F623" s="1">
        <f t="shared" si="181"/>
        <v>0.13778920674249229</v>
      </c>
      <c r="G623" s="1">
        <f t="shared" si="182"/>
        <v>4.2762167609738992E-2</v>
      </c>
      <c r="H623" s="1">
        <f t="shared" si="183"/>
        <v>4.1436831169939056E-2</v>
      </c>
      <c r="I623" s="1">
        <f t="shared" si="184"/>
        <v>0.15228613098597471</v>
      </c>
      <c r="J623" s="1">
        <f t="shared" si="185"/>
        <v>0.16498482290273905</v>
      </c>
      <c r="K623" s="1">
        <f t="shared" si="186"/>
        <v>0.10145081052742631</v>
      </c>
      <c r="L623" s="1">
        <f t="shared" si="187"/>
        <v>0.10059656605172557</v>
      </c>
      <c r="M623" s="1">
        <f t="shared" si="188"/>
        <v>0.21929079512604061</v>
      </c>
      <c r="N623" s="1">
        <f t="shared" si="189"/>
        <v>0.21937605522323234</v>
      </c>
      <c r="O623" s="1">
        <f t="shared" si="190"/>
        <v>0.21882809636280079</v>
      </c>
      <c r="P623" s="1">
        <f t="shared" si="191"/>
        <v>0.2189160358152985</v>
      </c>
      <c r="Q623" s="1">
        <f t="shared" si="192"/>
        <v>3.325946369646366</v>
      </c>
      <c r="T623">
        <v>0.32112698412320939</v>
      </c>
      <c r="U623">
        <f t="shared" si="199"/>
        <v>3.1140329198131851</v>
      </c>
      <c r="V623" s="15">
        <f t="shared" si="193"/>
        <v>6.9580095842058778E-2</v>
      </c>
      <c r="W623" s="15">
        <f t="shared" si="194"/>
        <v>7.421747385164694E-2</v>
      </c>
      <c r="X623" s="15">
        <f t="shared" si="195"/>
        <v>8.3492229870823248E-2</v>
      </c>
      <c r="Y623" s="15">
        <f t="shared" si="196"/>
        <v>9.8153144369243259E-2</v>
      </c>
      <c r="Z623" s="15">
        <f t="shared" si="197"/>
        <v>0.1022046752750153</v>
      </c>
      <c r="AA623" s="15">
        <f t="shared" si="198"/>
        <v>0.1103077370865594</v>
      </c>
      <c r="AC623" s="1"/>
      <c r="AD623" s="1"/>
      <c r="AE623" s="1"/>
    </row>
    <row r="624" spans="1:31">
      <c r="A624">
        <v>558</v>
      </c>
      <c r="B624">
        <f t="shared" si="178"/>
        <v>0.59737138598106243</v>
      </c>
      <c r="C624">
        <v>0.57361042038320931</v>
      </c>
      <c r="D624">
        <f t="shared" si="179"/>
        <v>1.7433435036482332</v>
      </c>
      <c r="E624" s="1">
        <f t="shared" si="180"/>
        <v>0.11844154989355296</v>
      </c>
      <c r="F624" s="1">
        <f t="shared" si="181"/>
        <v>0.13739219787652143</v>
      </c>
      <c r="G624" s="1">
        <f t="shared" si="182"/>
        <v>4.2638957961679075E-2</v>
      </c>
      <c r="H624" s="1">
        <f t="shared" si="183"/>
        <v>4.1317440183220144E-2</v>
      </c>
      <c r="I624" s="1">
        <f t="shared" si="184"/>
        <v>0.15184735246626949</v>
      </c>
      <c r="J624" s="1">
        <f t="shared" si="185"/>
        <v>0.16450945593466129</v>
      </c>
      <c r="K624" s="1">
        <f t="shared" si="186"/>
        <v>0.1011585026450347</v>
      </c>
      <c r="L624" s="1">
        <f t="shared" si="187"/>
        <v>0.10030671948425533</v>
      </c>
      <c r="M624" s="1">
        <f t="shared" si="188"/>
        <v>0.21865895761170223</v>
      </c>
      <c r="N624" s="1">
        <f t="shared" si="189"/>
        <v>0.21874397205094076</v>
      </c>
      <c r="O624" s="1">
        <f t="shared" si="190"/>
        <v>0.21819759201174582</v>
      </c>
      <c r="P624" s="1">
        <f t="shared" si="191"/>
        <v>0.21828527808632567</v>
      </c>
      <c r="Q624" s="1">
        <f t="shared" si="192"/>
        <v>3.3163633970194835</v>
      </c>
      <c r="T624">
        <v>0.760492104132098</v>
      </c>
      <c r="U624">
        <f t="shared" si="199"/>
        <v>1.3149380441513425</v>
      </c>
      <c r="V624" s="15">
        <f t="shared" si="193"/>
        <v>0</v>
      </c>
      <c r="W624" s="15">
        <f t="shared" si="194"/>
        <v>0</v>
      </c>
      <c r="X624" s="15">
        <f t="shared" si="195"/>
        <v>0</v>
      </c>
      <c r="Y624" s="15">
        <f t="shared" si="196"/>
        <v>0</v>
      </c>
      <c r="Z624" s="15">
        <f t="shared" si="197"/>
        <v>0</v>
      </c>
      <c r="AA624" s="15">
        <f t="shared" si="198"/>
        <v>0</v>
      </c>
      <c r="AC624" s="1"/>
      <c r="AD624" s="1"/>
      <c r="AE624" s="1"/>
    </row>
    <row r="625" spans="1:31">
      <c r="A625">
        <v>56</v>
      </c>
      <c r="B625">
        <f t="shared" si="178"/>
        <v>0.59739403772324273</v>
      </c>
      <c r="C625">
        <v>0.57407682920556469</v>
      </c>
      <c r="D625">
        <f t="shared" si="179"/>
        <v>1.7419271239075238</v>
      </c>
      <c r="E625" s="1">
        <f t="shared" si="180"/>
        <v>0.11831199188734312</v>
      </c>
      <c r="F625" s="1">
        <f t="shared" si="181"/>
        <v>0.13724191058931803</v>
      </c>
      <c r="G625" s="1">
        <f t="shared" si="182"/>
        <v>4.259231707944354E-2</v>
      </c>
      <c r="H625" s="1">
        <f t="shared" si="183"/>
        <v>4.127224485120496E-2</v>
      </c>
      <c r="I625" s="1">
        <f t="shared" si="184"/>
        <v>0.15168125332072932</v>
      </c>
      <c r="J625" s="1">
        <f t="shared" si="185"/>
        <v>0.16432950627060577</v>
      </c>
      <c r="K625" s="1">
        <f t="shared" si="186"/>
        <v>0.10104784980466204</v>
      </c>
      <c r="L625" s="1">
        <f t="shared" si="187"/>
        <v>0.10019699837204844</v>
      </c>
      <c r="M625" s="1">
        <f t="shared" si="188"/>
        <v>0.21841977618750141</v>
      </c>
      <c r="N625" s="1">
        <f t="shared" si="189"/>
        <v>0.21850469763318103</v>
      </c>
      <c r="O625" s="1">
        <f t="shared" si="190"/>
        <v>0.21795891525509892</v>
      </c>
      <c r="P625" s="1">
        <f t="shared" si="191"/>
        <v>0.21804650541373535</v>
      </c>
      <c r="Q625" s="1">
        <f t="shared" si="192"/>
        <v>3.3127357728456084</v>
      </c>
      <c r="T625">
        <v>0.56997738568453216</v>
      </c>
      <c r="U625">
        <f t="shared" si="199"/>
        <v>1.7544555715995973</v>
      </c>
      <c r="V625" s="15">
        <f t="shared" si="193"/>
        <v>0</v>
      </c>
      <c r="W625" s="15">
        <f t="shared" si="194"/>
        <v>0</v>
      </c>
      <c r="X625" s="15">
        <f t="shared" si="195"/>
        <v>0</v>
      </c>
      <c r="Y625" s="15">
        <f t="shared" si="196"/>
        <v>0</v>
      </c>
      <c r="Z625" s="15">
        <f t="shared" si="197"/>
        <v>0</v>
      </c>
      <c r="AA625" s="15">
        <f t="shared" si="198"/>
        <v>0</v>
      </c>
      <c r="AC625" s="1"/>
      <c r="AD625" s="1"/>
      <c r="AE625" s="1"/>
    </row>
    <row r="626" spans="1:31">
      <c r="A626">
        <v>897</v>
      </c>
      <c r="B626">
        <f t="shared" si="178"/>
        <v>0.59740382695590877</v>
      </c>
      <c r="C626">
        <v>0.57427839359046606</v>
      </c>
      <c r="D626">
        <f t="shared" si="179"/>
        <v>1.741315729724507</v>
      </c>
      <c r="E626" s="1">
        <f t="shared" si="180"/>
        <v>0.11825600178042608</v>
      </c>
      <c r="F626" s="1">
        <f t="shared" si="181"/>
        <v>0.13717696206529426</v>
      </c>
      <c r="G626" s="1">
        <f t="shared" si="182"/>
        <v>4.2572160640953399E-2</v>
      </c>
      <c r="H626" s="1">
        <f t="shared" si="183"/>
        <v>4.1252713125256787E-2</v>
      </c>
      <c r="I626" s="1">
        <f t="shared" si="184"/>
        <v>0.1516094715050802</v>
      </c>
      <c r="J626" s="1">
        <f t="shared" si="185"/>
        <v>0.16425173878077703</v>
      </c>
      <c r="K626" s="1">
        <f t="shared" si="186"/>
        <v>0.10100002980075501</v>
      </c>
      <c r="L626" s="1">
        <f t="shared" si="187"/>
        <v>0.10014958102607932</v>
      </c>
      <c r="M626" s="1">
        <f t="shared" si="188"/>
        <v>0.21831641095438808</v>
      </c>
      <c r="N626" s="1">
        <f t="shared" si="189"/>
        <v>0.21840129221174237</v>
      </c>
      <c r="O626" s="1">
        <f t="shared" si="190"/>
        <v>0.21785576812035809</v>
      </c>
      <c r="P626" s="1">
        <f t="shared" si="191"/>
        <v>0.2179433168277243</v>
      </c>
      <c r="Q626" s="1">
        <f t="shared" si="192"/>
        <v>3.3111680498519309</v>
      </c>
      <c r="T626">
        <v>0.6081631696013261</v>
      </c>
      <c r="U626">
        <f t="shared" si="199"/>
        <v>1.6442955607711951</v>
      </c>
      <c r="V626" s="15">
        <f t="shared" si="193"/>
        <v>0</v>
      </c>
      <c r="W626" s="15">
        <f t="shared" si="194"/>
        <v>0</v>
      </c>
      <c r="X626" s="15">
        <f t="shared" si="195"/>
        <v>0</v>
      </c>
      <c r="Y626" s="15">
        <f t="shared" si="196"/>
        <v>0</v>
      </c>
      <c r="Z626" s="15">
        <f t="shared" si="197"/>
        <v>0</v>
      </c>
      <c r="AA626" s="15">
        <f t="shared" si="198"/>
        <v>0</v>
      </c>
      <c r="AC626" s="1"/>
      <c r="AD626" s="1"/>
      <c r="AE626" s="1"/>
    </row>
    <row r="627" spans="1:31">
      <c r="A627">
        <v>430</v>
      </c>
      <c r="B627">
        <f t="shared" si="178"/>
        <v>0.60130927726526773</v>
      </c>
      <c r="C627">
        <v>0.57692453028373047</v>
      </c>
      <c r="D627">
        <f t="shared" si="179"/>
        <v>1.7333289668029921</v>
      </c>
      <c r="E627" s="1">
        <f t="shared" si="180"/>
        <v>0.11752096381007485</v>
      </c>
      <c r="F627" s="1">
        <f t="shared" si="181"/>
        <v>0.13632431801968684</v>
      </c>
      <c r="G627" s="1">
        <f t="shared" si="182"/>
        <v>4.2307546971626961E-2</v>
      </c>
      <c r="H627" s="1">
        <f t="shared" si="183"/>
        <v>4.0996300680471352E-2</v>
      </c>
      <c r="I627" s="1">
        <f t="shared" si="184"/>
        <v>0.15066712002571905</v>
      </c>
      <c r="J627" s="1">
        <f t="shared" si="185"/>
        <v>0.16323080738717005</v>
      </c>
      <c r="K627" s="1">
        <f t="shared" si="186"/>
        <v>0.10037224892035619</v>
      </c>
      <c r="L627" s="1">
        <f t="shared" si="187"/>
        <v>9.9527086237987131E-2</v>
      </c>
      <c r="M627" s="1">
        <f t="shared" si="188"/>
        <v>0.21695943245700719</v>
      </c>
      <c r="N627" s="1">
        <f t="shared" si="189"/>
        <v>0.21704378612213623</v>
      </c>
      <c r="O627" s="1">
        <f t="shared" si="190"/>
        <v>0.21650165281781453</v>
      </c>
      <c r="P627" s="1">
        <f t="shared" si="191"/>
        <v>0.21658865735301866</v>
      </c>
      <c r="Q627" s="1">
        <f t="shared" si="192"/>
        <v>3.2905869866820967</v>
      </c>
      <c r="T627">
        <v>0.22297063438102394</v>
      </c>
      <c r="U627">
        <f t="shared" si="199"/>
        <v>4.4848955234667693</v>
      </c>
      <c r="V627" s="15">
        <f t="shared" si="193"/>
        <v>7.6001343007319394E-2</v>
      </c>
      <c r="W627" s="15">
        <f t="shared" si="194"/>
        <v>8.0382840252653284E-2</v>
      </c>
      <c r="X627" s="15">
        <f t="shared" si="195"/>
        <v>8.9145834743321162E-2</v>
      </c>
      <c r="Y627" s="15">
        <f t="shared" si="196"/>
        <v>0.10765686085073571</v>
      </c>
      <c r="Z627" s="15">
        <f t="shared" si="197"/>
        <v>0.11145272291855204</v>
      </c>
      <c r="AA627" s="15">
        <f t="shared" si="198"/>
        <v>0.11904444705418483</v>
      </c>
      <c r="AC627" s="1"/>
      <c r="AD627" s="1"/>
      <c r="AE627" s="1"/>
    </row>
    <row r="628" spans="1:31">
      <c r="A628">
        <v>554</v>
      </c>
      <c r="B628">
        <f t="shared" si="178"/>
        <v>0.60160285382871759</v>
      </c>
      <c r="C628">
        <v>0.57756016059350579</v>
      </c>
      <c r="D628">
        <f t="shared" si="179"/>
        <v>1.7314213621874324</v>
      </c>
      <c r="E628" s="1">
        <f t="shared" si="180"/>
        <v>0.11734439983513728</v>
      </c>
      <c r="F628" s="1">
        <f t="shared" si="181"/>
        <v>0.13611950380875923</v>
      </c>
      <c r="G628" s="1">
        <f t="shared" si="182"/>
        <v>4.2243983940649425E-2</v>
      </c>
      <c r="H628" s="1">
        <f t="shared" si="183"/>
        <v>4.0934707671265107E-2</v>
      </c>
      <c r="I628" s="1">
        <f t="shared" si="184"/>
        <v>0.15044075713060928</v>
      </c>
      <c r="J628" s="1">
        <f t="shared" si="185"/>
        <v>0.16298556875697018</v>
      </c>
      <c r="K628" s="1">
        <f t="shared" si="186"/>
        <v>0.10022144924455159</v>
      </c>
      <c r="L628" s="1">
        <f t="shared" si="187"/>
        <v>9.9377556338040657E-2</v>
      </c>
      <c r="M628" s="1">
        <f t="shared" si="188"/>
        <v>0.21663347172155303</v>
      </c>
      <c r="N628" s="1">
        <f t="shared" si="189"/>
        <v>0.21671769865339183</v>
      </c>
      <c r="O628" s="1">
        <f t="shared" si="190"/>
        <v>0.2161763798523558</v>
      </c>
      <c r="P628" s="1">
        <f t="shared" si="191"/>
        <v>0.21626325367159169</v>
      </c>
      <c r="Q628" s="1">
        <f t="shared" si="192"/>
        <v>3.2856431953838441</v>
      </c>
      <c r="T628">
        <v>0.37186507956054671</v>
      </c>
      <c r="U628">
        <f t="shared" si="199"/>
        <v>2.689147368130814</v>
      </c>
      <c r="V628" s="15">
        <f t="shared" si="193"/>
        <v>6.6260882644405592E-2</v>
      </c>
      <c r="W628" s="15">
        <f t="shared" si="194"/>
        <v>7.1030528231908086E-2</v>
      </c>
      <c r="X628" s="15">
        <f t="shared" si="195"/>
        <v>8.0569819406913018E-2</v>
      </c>
      <c r="Y628" s="15">
        <f t="shared" si="196"/>
        <v>9.3240568920850031E-2</v>
      </c>
      <c r="Z628" s="15">
        <f t="shared" si="197"/>
        <v>9.7424257857504637E-2</v>
      </c>
      <c r="AA628" s="15">
        <f t="shared" si="198"/>
        <v>0.10579163573081389</v>
      </c>
      <c r="AC628" s="1"/>
      <c r="AD628" s="1"/>
      <c r="AE628" s="1"/>
    </row>
    <row r="629" spans="1:31">
      <c r="A629">
        <v>902</v>
      </c>
      <c r="B629">
        <f t="shared" si="178"/>
        <v>0.60238618627870932</v>
      </c>
      <c r="C629">
        <v>0.57833337675889107</v>
      </c>
      <c r="D629">
        <f t="shared" si="179"/>
        <v>1.7291064984079296</v>
      </c>
      <c r="E629" s="1">
        <f t="shared" si="180"/>
        <v>0.11712961756697468</v>
      </c>
      <c r="F629" s="1">
        <f t="shared" si="181"/>
        <v>0.13587035637769065</v>
      </c>
      <c r="G629" s="1">
        <f t="shared" si="182"/>
        <v>4.2166662324110898E-2</v>
      </c>
      <c r="H629" s="1">
        <f t="shared" si="183"/>
        <v>4.0859782499100446E-2</v>
      </c>
      <c r="I629" s="1">
        <f t="shared" si="184"/>
        <v>0.15016539667807807</v>
      </c>
      <c r="J629" s="1">
        <f t="shared" si="185"/>
        <v>0.16268724680735375</v>
      </c>
      <c r="K629" s="1">
        <f t="shared" si="186"/>
        <v>0.10003800810703223</v>
      </c>
      <c r="L629" s="1">
        <f t="shared" si="187"/>
        <v>9.9195659826705418E-2</v>
      </c>
      <c r="M629" s="1">
        <f t="shared" si="188"/>
        <v>0.21623695490028452</v>
      </c>
      <c r="N629" s="1">
        <f t="shared" si="189"/>
        <v>0.21632102766667968</v>
      </c>
      <c r="O629" s="1">
        <f t="shared" si="190"/>
        <v>0.21578069967287475</v>
      </c>
      <c r="P629" s="1">
        <f t="shared" si="191"/>
        <v>0.21586741448191529</v>
      </c>
      <c r="Q629" s="1">
        <f t="shared" si="192"/>
        <v>3.2796292918752918</v>
      </c>
      <c r="T629">
        <v>0.78144221378504852</v>
      </c>
      <c r="U629">
        <f t="shared" si="199"/>
        <v>1.2796851543971877</v>
      </c>
      <c r="V629" s="15">
        <f t="shared" si="193"/>
        <v>0</v>
      </c>
      <c r="W629" s="15">
        <f t="shared" si="194"/>
        <v>0</v>
      </c>
      <c r="X629" s="15">
        <f t="shared" si="195"/>
        <v>0</v>
      </c>
      <c r="Y629" s="15">
        <f t="shared" si="196"/>
        <v>0</v>
      </c>
      <c r="Z629" s="15">
        <f t="shared" si="197"/>
        <v>0</v>
      </c>
      <c r="AA629" s="15">
        <f t="shared" si="198"/>
        <v>0</v>
      </c>
      <c r="AC629" s="1"/>
      <c r="AD629" s="1"/>
      <c r="AE629" s="1"/>
    </row>
    <row r="630" spans="1:31">
      <c r="A630">
        <v>884</v>
      </c>
      <c r="B630">
        <f t="shared" si="178"/>
        <v>0.60250440822364826</v>
      </c>
      <c r="C630">
        <v>0.57844862687893894</v>
      </c>
      <c r="D630">
        <f t="shared" si="179"/>
        <v>1.7287619911824699</v>
      </c>
      <c r="E630" s="1">
        <f t="shared" si="180"/>
        <v>0.11709760364473917</v>
      </c>
      <c r="F630" s="1">
        <f t="shared" si="181"/>
        <v>0.13583322022789743</v>
      </c>
      <c r="G630" s="1">
        <f t="shared" si="182"/>
        <v>4.2155137312106114E-2</v>
      </c>
      <c r="H630" s="1">
        <f t="shared" si="183"/>
        <v>4.084861468410491E-2</v>
      </c>
      <c r="I630" s="1">
        <f t="shared" si="184"/>
        <v>0.15012435340113772</v>
      </c>
      <c r="J630" s="1">
        <f t="shared" si="185"/>
        <v>0.1626427810524389</v>
      </c>
      <c r="K630" s="1">
        <f t="shared" si="186"/>
        <v>0.10001066567154357</v>
      </c>
      <c r="L630" s="1">
        <f t="shared" si="187"/>
        <v>9.9168547622245445E-2</v>
      </c>
      <c r="M630" s="1">
        <f t="shared" si="188"/>
        <v>0.21617785291393454</v>
      </c>
      <c r="N630" s="1">
        <f t="shared" si="189"/>
        <v>0.21626190270152157</v>
      </c>
      <c r="O630" s="1">
        <f t="shared" si="190"/>
        <v>0.21572172239041837</v>
      </c>
      <c r="P630" s="1">
        <f t="shared" si="191"/>
        <v>0.21580841349852647</v>
      </c>
      <c r="Q630" s="1">
        <f t="shared" si="192"/>
        <v>3.2787329020526976</v>
      </c>
      <c r="T630">
        <v>0.97603741037128444</v>
      </c>
      <c r="U630">
        <f t="shared" si="199"/>
        <v>1.0245508925929387</v>
      </c>
      <c r="V630" s="15">
        <f t="shared" si="193"/>
        <v>0</v>
      </c>
      <c r="W630" s="15">
        <f t="shared" si="194"/>
        <v>0</v>
      </c>
      <c r="X630" s="15">
        <f t="shared" si="195"/>
        <v>0</v>
      </c>
      <c r="Y630" s="15">
        <f t="shared" si="196"/>
        <v>0</v>
      </c>
      <c r="Z630" s="15">
        <f t="shared" si="197"/>
        <v>0</v>
      </c>
      <c r="AA630" s="15">
        <f t="shared" si="198"/>
        <v>0</v>
      </c>
      <c r="AC630" s="1"/>
      <c r="AD630" s="1"/>
      <c r="AE630" s="1"/>
    </row>
    <row r="631" spans="1:31">
      <c r="A631">
        <v>213</v>
      </c>
      <c r="B631">
        <f t="shared" si="178"/>
        <v>0.60269682499121224</v>
      </c>
      <c r="C631">
        <v>0.57872841542135034</v>
      </c>
      <c r="D631">
        <f t="shared" si="179"/>
        <v>1.727926214357278</v>
      </c>
      <c r="E631" s="1">
        <f t="shared" si="180"/>
        <v>0.11701988460518045</v>
      </c>
      <c r="F631" s="1">
        <f t="shared" si="181"/>
        <v>0.13574306614200932</v>
      </c>
      <c r="G631" s="1">
        <f t="shared" si="182"/>
        <v>4.2127158457864973E-2</v>
      </c>
      <c r="H631" s="1">
        <f t="shared" si="183"/>
        <v>4.0821502984106466E-2</v>
      </c>
      <c r="I631" s="1">
        <f t="shared" si="184"/>
        <v>0.15002471412417942</v>
      </c>
      <c r="J631" s="1">
        <f t="shared" si="185"/>
        <v>0.16253483314965428</v>
      </c>
      <c r="K631" s="1">
        <f t="shared" si="186"/>
        <v>9.9944287431172382E-2</v>
      </c>
      <c r="L631" s="1">
        <f t="shared" si="187"/>
        <v>9.9102728305404286E-2</v>
      </c>
      <c r="M631" s="1">
        <f t="shared" si="188"/>
        <v>0.21603437316217711</v>
      </c>
      <c r="N631" s="1">
        <f t="shared" si="189"/>
        <v>0.21611836716494393</v>
      </c>
      <c r="O631" s="1">
        <f t="shared" si="190"/>
        <v>0.21557854537778709</v>
      </c>
      <c r="P631" s="1">
        <f t="shared" si="191"/>
        <v>0.21566517894799986</v>
      </c>
      <c r="Q631" s="1">
        <f t="shared" si="192"/>
        <v>3.2765567689450532</v>
      </c>
      <c r="T631">
        <v>0.90764122857633356</v>
      </c>
      <c r="U631">
        <f t="shared" si="199"/>
        <v>1.101756915084757</v>
      </c>
      <c r="V631" s="15">
        <f t="shared" si="193"/>
        <v>0</v>
      </c>
      <c r="W631" s="15">
        <f t="shared" si="194"/>
        <v>0</v>
      </c>
      <c r="X631" s="15">
        <f t="shared" si="195"/>
        <v>0</v>
      </c>
      <c r="Y631" s="15">
        <f t="shared" si="196"/>
        <v>0</v>
      </c>
      <c r="Z631" s="15">
        <f t="shared" si="197"/>
        <v>0</v>
      </c>
      <c r="AA631" s="15">
        <f t="shared" si="198"/>
        <v>0</v>
      </c>
      <c r="AC631" s="1"/>
      <c r="AD631" s="1"/>
      <c r="AE631" s="1"/>
    </row>
    <row r="632" spans="1:31">
      <c r="A632">
        <v>549</v>
      </c>
      <c r="B632">
        <f t="shared" si="178"/>
        <v>0.60273661293599634</v>
      </c>
      <c r="C632">
        <v>0.57882926606420093</v>
      </c>
      <c r="D632">
        <f t="shared" si="179"/>
        <v>1.7276251541315204</v>
      </c>
      <c r="E632" s="1">
        <f t="shared" si="180"/>
        <v>0.11699187053772195</v>
      </c>
      <c r="F632" s="1">
        <f t="shared" si="181"/>
        <v>0.13571056982375745</v>
      </c>
      <c r="G632" s="1">
        <f t="shared" si="182"/>
        <v>4.211707339357991E-2</v>
      </c>
      <c r="H632" s="1">
        <f t="shared" si="183"/>
        <v>4.0811730488242083E-2</v>
      </c>
      <c r="I632" s="1">
        <f t="shared" si="184"/>
        <v>0.1499887988395584</v>
      </c>
      <c r="J632" s="1">
        <f t="shared" si="185"/>
        <v>0.16249592299523419</v>
      </c>
      <c r="K632" s="1">
        <f t="shared" si="186"/>
        <v>9.9920361189750811E-2</v>
      </c>
      <c r="L632" s="1">
        <f t="shared" si="187"/>
        <v>9.9079003529692566E-2</v>
      </c>
      <c r="M632" s="1">
        <f t="shared" si="188"/>
        <v>0.21598265544323098</v>
      </c>
      <c r="N632" s="1">
        <f t="shared" si="189"/>
        <v>0.21606662933818735</v>
      </c>
      <c r="O632" s="1">
        <f t="shared" si="190"/>
        <v>0.21552693678209248</v>
      </c>
      <c r="P632" s="1">
        <f t="shared" si="191"/>
        <v>0.21561354961259346</v>
      </c>
      <c r="Q632" s="1">
        <f t="shared" si="192"/>
        <v>3.2757723750562153</v>
      </c>
      <c r="T632">
        <v>0.94714701027952541</v>
      </c>
      <c r="U632">
        <f t="shared" si="199"/>
        <v>1.0558023085612407</v>
      </c>
      <c r="V632" s="15">
        <f t="shared" si="193"/>
        <v>0</v>
      </c>
      <c r="W632" s="15">
        <f t="shared" si="194"/>
        <v>0</v>
      </c>
      <c r="X632" s="15">
        <f t="shared" si="195"/>
        <v>0</v>
      </c>
      <c r="Y632" s="15">
        <f t="shared" si="196"/>
        <v>0</v>
      </c>
      <c r="Z632" s="15">
        <f t="shared" si="197"/>
        <v>0</v>
      </c>
      <c r="AA632" s="15">
        <f t="shared" si="198"/>
        <v>0</v>
      </c>
      <c r="AC632" s="1"/>
      <c r="AD632" s="1"/>
      <c r="AE632" s="1"/>
    </row>
    <row r="633" spans="1:31">
      <c r="A633">
        <v>931</v>
      </c>
      <c r="B633">
        <f t="shared" si="178"/>
        <v>0.60290157539377787</v>
      </c>
      <c r="C633">
        <v>0.57924739698309602</v>
      </c>
      <c r="D633">
        <f t="shared" si="179"/>
        <v>1.7263780643785658</v>
      </c>
      <c r="E633" s="1">
        <f t="shared" si="180"/>
        <v>0.1168757230602511</v>
      </c>
      <c r="F633" s="1">
        <f t="shared" si="181"/>
        <v>0.13557583874989126</v>
      </c>
      <c r="G633" s="1">
        <f t="shared" si="182"/>
        <v>4.2075260301690405E-2</v>
      </c>
      <c r="H633" s="1">
        <f t="shared" si="183"/>
        <v>4.0771213317898174E-2</v>
      </c>
      <c r="I633" s="1">
        <f t="shared" si="184"/>
        <v>0.14983989259031194</v>
      </c>
      <c r="J633" s="1">
        <f t="shared" si="185"/>
        <v>0.16233459989245405</v>
      </c>
      <c r="K633" s="1">
        <f t="shared" si="186"/>
        <v>9.9821162007390316E-2</v>
      </c>
      <c r="L633" s="1">
        <f t="shared" si="187"/>
        <v>9.8980639632462716E-2</v>
      </c>
      <c r="M633" s="1">
        <f t="shared" si="188"/>
        <v>0.21576823165043332</v>
      </c>
      <c r="N633" s="1">
        <f t="shared" si="189"/>
        <v>0.21585212217757938</v>
      </c>
      <c r="O633" s="1">
        <f t="shared" si="190"/>
        <v>0.21531296541879003</v>
      </c>
      <c r="P633" s="1">
        <f t="shared" si="191"/>
        <v>0.21539949226159175</v>
      </c>
      <c r="Q633" s="1">
        <f t="shared" si="192"/>
        <v>3.2725202456870313</v>
      </c>
      <c r="T633">
        <v>0.51163543454056448</v>
      </c>
      <c r="U633">
        <f t="shared" si="199"/>
        <v>1.9545166978084199</v>
      </c>
      <c r="V633" s="15">
        <f t="shared" si="193"/>
        <v>0</v>
      </c>
      <c r="W633" s="15">
        <f t="shared" si="194"/>
        <v>0</v>
      </c>
      <c r="X633" s="15">
        <f t="shared" si="195"/>
        <v>0</v>
      </c>
      <c r="Y633" s="15">
        <f t="shared" si="196"/>
        <v>0</v>
      </c>
      <c r="Z633" s="15">
        <f t="shared" si="197"/>
        <v>0</v>
      </c>
      <c r="AA633" s="15">
        <f t="shared" si="198"/>
        <v>0</v>
      </c>
      <c r="AC633" s="1"/>
      <c r="AD633" s="1"/>
      <c r="AE633" s="1"/>
    </row>
    <row r="634" spans="1:31">
      <c r="A634">
        <v>415</v>
      </c>
      <c r="B634">
        <f t="shared" si="178"/>
        <v>0.60520367798403607</v>
      </c>
      <c r="C634">
        <v>0.58023869983083864</v>
      </c>
      <c r="D634">
        <f t="shared" si="179"/>
        <v>1.7234286515041783</v>
      </c>
      <c r="E634" s="1">
        <f t="shared" si="180"/>
        <v>0.11660036115810035</v>
      </c>
      <c r="F634" s="1">
        <f t="shared" si="181"/>
        <v>0.13525641894339643</v>
      </c>
      <c r="G634" s="1">
        <f t="shared" si="182"/>
        <v>4.1976130016916142E-2</v>
      </c>
      <c r="H634" s="1">
        <f t="shared" si="183"/>
        <v>4.067515539792773E-2</v>
      </c>
      <c r="I634" s="1">
        <f t="shared" si="184"/>
        <v>0.14948686634361691</v>
      </c>
      <c r="J634" s="1">
        <f t="shared" si="185"/>
        <v>0.16195213582685664</v>
      </c>
      <c r="K634" s="1">
        <f t="shared" si="186"/>
        <v>9.9585981044864158E-2</v>
      </c>
      <c r="L634" s="1">
        <f t="shared" si="187"/>
        <v>9.8747438960059261E-2</v>
      </c>
      <c r="M634" s="1">
        <f t="shared" si="188"/>
        <v>0.21525987671464966</v>
      </c>
      <c r="N634" s="1">
        <f t="shared" si="189"/>
        <v>0.21534356959377676</v>
      </c>
      <c r="O634" s="1">
        <f t="shared" si="190"/>
        <v>0.21480568310076006</v>
      </c>
      <c r="P634" s="1">
        <f t="shared" si="191"/>
        <v>0.21489200608432227</v>
      </c>
      <c r="Q634" s="1">
        <f t="shared" si="192"/>
        <v>3.2648101124268107</v>
      </c>
      <c r="T634">
        <v>0.54741791877409929</v>
      </c>
      <c r="U634">
        <f t="shared" si="199"/>
        <v>1.8267578858935123</v>
      </c>
      <c r="V634" s="15">
        <f t="shared" si="193"/>
        <v>0</v>
      </c>
      <c r="W634" s="15">
        <f t="shared" si="194"/>
        <v>0</v>
      </c>
      <c r="X634" s="15">
        <f t="shared" si="195"/>
        <v>0</v>
      </c>
      <c r="Y634" s="15">
        <f t="shared" si="196"/>
        <v>0</v>
      </c>
      <c r="Z634" s="15">
        <f t="shared" si="197"/>
        <v>0</v>
      </c>
      <c r="AA634" s="15">
        <f t="shared" si="198"/>
        <v>0</v>
      </c>
      <c r="AC634" s="1"/>
      <c r="AD634" s="1"/>
      <c r="AE634" s="1"/>
    </row>
    <row r="635" spans="1:31">
      <c r="A635">
        <v>209</v>
      </c>
      <c r="B635">
        <f t="shared" si="178"/>
        <v>0.60684079771929211</v>
      </c>
      <c r="C635">
        <v>0.58118434437962629</v>
      </c>
      <c r="D635">
        <f t="shared" si="179"/>
        <v>1.7206244622219309</v>
      </c>
      <c r="E635" s="1">
        <f t="shared" si="180"/>
        <v>0.11633768211677045</v>
      </c>
      <c r="F635" s="1">
        <f t="shared" si="181"/>
        <v>0.13495171125545374</v>
      </c>
      <c r="G635" s="1">
        <f t="shared" si="182"/>
        <v>4.1881565562037378E-2</v>
      </c>
      <c r="H635" s="1">
        <f t="shared" si="183"/>
        <v>4.0583521798170819E-2</v>
      </c>
      <c r="I635" s="1">
        <f t="shared" si="184"/>
        <v>0.14915010009047203</v>
      </c>
      <c r="J635" s="1">
        <f t="shared" si="185"/>
        <v>0.16158728762777905</v>
      </c>
      <c r="K635" s="1">
        <f t="shared" si="186"/>
        <v>9.9361632254080456E-2</v>
      </c>
      <c r="L635" s="1">
        <f t="shared" si="187"/>
        <v>9.852497924945304E-2</v>
      </c>
      <c r="M635" s="1">
        <f t="shared" si="188"/>
        <v>0.21477493603787487</v>
      </c>
      <c r="N635" s="1">
        <f t="shared" si="189"/>
        <v>0.21485844037242938</v>
      </c>
      <c r="O635" s="1">
        <f t="shared" si="190"/>
        <v>0.21432176563816649</v>
      </c>
      <c r="P635" s="1">
        <f t="shared" si="191"/>
        <v>0.21440789415201744</v>
      </c>
      <c r="Q635" s="1">
        <f t="shared" si="192"/>
        <v>3.2574550992695737</v>
      </c>
      <c r="T635">
        <v>0.40710463362089422</v>
      </c>
      <c r="U635">
        <f t="shared" si="199"/>
        <v>2.4563709607177411</v>
      </c>
      <c r="V635" s="15">
        <f t="shared" si="193"/>
        <v>6.39555617231468E-2</v>
      </c>
      <c r="W635" s="15">
        <f t="shared" si="194"/>
        <v>6.8817072218509315E-2</v>
      </c>
      <c r="X635" s="15">
        <f t="shared" si="195"/>
        <v>7.8540093209234246E-2</v>
      </c>
      <c r="Y635" s="15">
        <f t="shared" si="196"/>
        <v>8.9828596780449285E-2</v>
      </c>
      <c r="Z635" s="15">
        <f t="shared" si="197"/>
        <v>9.4104074540347124E-2</v>
      </c>
      <c r="AA635" s="15">
        <f t="shared" si="198"/>
        <v>0.1026550300601428</v>
      </c>
      <c r="AC635" s="1"/>
      <c r="AD635" s="1"/>
      <c r="AE635" s="1"/>
    </row>
    <row r="636" spans="1:31">
      <c r="A636">
        <v>591</v>
      </c>
      <c r="B636">
        <f t="shared" si="178"/>
        <v>0.60710511725155747</v>
      </c>
      <c r="C636">
        <v>0.58149663893271664</v>
      </c>
      <c r="D636">
        <f t="shared" si="179"/>
        <v>1.7197003955782231</v>
      </c>
      <c r="E636" s="1">
        <f t="shared" si="180"/>
        <v>0.11625093362980093</v>
      </c>
      <c r="F636" s="1">
        <f t="shared" si="181"/>
        <v>0.13485108301056908</v>
      </c>
      <c r="G636" s="1">
        <f t="shared" si="182"/>
        <v>4.1850336106728343E-2</v>
      </c>
      <c r="H636" s="1">
        <f t="shared" si="183"/>
        <v>4.0553260243635522E-2</v>
      </c>
      <c r="I636" s="1">
        <f t="shared" si="184"/>
        <v>0.14903888465899026</v>
      </c>
      <c r="J636" s="1">
        <f t="shared" si="185"/>
        <v>0.16146679826904184</v>
      </c>
      <c r="K636" s="1">
        <f t="shared" si="186"/>
        <v>9.928754214755578E-2</v>
      </c>
      <c r="L636" s="1">
        <f t="shared" si="187"/>
        <v>9.845151300254934E-2</v>
      </c>
      <c r="M636" s="1">
        <f t="shared" si="188"/>
        <v>0.21461478671736867</v>
      </c>
      <c r="N636" s="1">
        <f t="shared" si="189"/>
        <v>0.21469822878598713</v>
      </c>
      <c r="O636" s="1">
        <f t="shared" si="190"/>
        <v>0.21416195422921053</v>
      </c>
      <c r="P636" s="1">
        <f t="shared" si="191"/>
        <v>0.21424801852037692</v>
      </c>
      <c r="Q636" s="1">
        <f t="shared" si="192"/>
        <v>3.2550261416344264</v>
      </c>
      <c r="T636">
        <v>7.9105823520574714E-2</v>
      </c>
      <c r="U636">
        <f t="shared" si="199"/>
        <v>12.641294350976688</v>
      </c>
      <c r="V636" s="15">
        <f t="shared" si="193"/>
        <v>9.6329194711239144E-2</v>
      </c>
      <c r="W636" s="15">
        <f t="shared" si="194"/>
        <v>9.9515993959964938E-2</v>
      </c>
      <c r="X636" s="15">
        <f t="shared" si="195"/>
        <v>0.10588959245741655</v>
      </c>
      <c r="Y636" s="15">
        <f t="shared" si="196"/>
        <v>0.137717603690136</v>
      </c>
      <c r="Z636" s="15">
        <f t="shared" si="197"/>
        <v>0.14026501249753998</v>
      </c>
      <c r="AA636" s="15">
        <f t="shared" si="198"/>
        <v>0.14535983011234777</v>
      </c>
      <c r="AC636" s="1"/>
      <c r="AD636" s="1"/>
      <c r="AE636" s="1"/>
    </row>
    <row r="637" spans="1:31">
      <c r="A637">
        <v>421</v>
      </c>
      <c r="B637">
        <f t="shared" si="178"/>
        <v>0.60724142835147543</v>
      </c>
      <c r="C637">
        <v>0.58165155176726169</v>
      </c>
      <c r="D637">
        <f t="shared" si="179"/>
        <v>1.7192423831100403</v>
      </c>
      <c r="E637" s="1">
        <f t="shared" si="180"/>
        <v>0.11620790228687175</v>
      </c>
      <c r="F637" s="1">
        <f t="shared" si="181"/>
        <v>0.13480116665277123</v>
      </c>
      <c r="G637" s="1">
        <f t="shared" si="182"/>
        <v>4.1834844823273834E-2</v>
      </c>
      <c r="H637" s="1">
        <f t="shared" si="183"/>
        <v>4.0538249084637032E-2</v>
      </c>
      <c r="I637" s="1">
        <f t="shared" si="184"/>
        <v>0.14898371655706374</v>
      </c>
      <c r="J637" s="1">
        <f t="shared" si="185"/>
        <v>0.16140702986158872</v>
      </c>
      <c r="K637" s="1">
        <f t="shared" si="186"/>
        <v>9.9250789958636995E-2</v>
      </c>
      <c r="L637" s="1">
        <f t="shared" si="187"/>
        <v>9.8415070277440564E-2</v>
      </c>
      <c r="M637" s="1">
        <f t="shared" si="188"/>
        <v>0.21453534509744743</v>
      </c>
      <c r="N637" s="1">
        <f t="shared" si="189"/>
        <v>0.21461875627922344</v>
      </c>
      <c r="O637" s="1">
        <f t="shared" si="190"/>
        <v>0.21408268022936319</v>
      </c>
      <c r="P637" s="1">
        <f t="shared" si="191"/>
        <v>0.21416871266304757</v>
      </c>
      <c r="Q637" s="1">
        <f t="shared" si="192"/>
        <v>3.2538212640324096</v>
      </c>
      <c r="T637">
        <v>0.35309806248522324</v>
      </c>
      <c r="U637">
        <f t="shared" si="199"/>
        <v>2.8320744468595005</v>
      </c>
      <c r="V637" s="15">
        <f t="shared" si="193"/>
        <v>6.7488593898051841E-2</v>
      </c>
      <c r="W637" s="15">
        <f t="shared" si="194"/>
        <v>7.2209316326893494E-2</v>
      </c>
      <c r="X637" s="15">
        <f t="shared" si="195"/>
        <v>8.1650761184576745E-2</v>
      </c>
      <c r="Y637" s="15">
        <f t="shared" si="196"/>
        <v>9.5057633328355678E-2</v>
      </c>
      <c r="Z637" s="15">
        <f t="shared" si="197"/>
        <v>9.9192439625627876E-2</v>
      </c>
      <c r="AA637" s="15">
        <f t="shared" si="198"/>
        <v>0.10746205222017227</v>
      </c>
      <c r="AC637" s="1"/>
      <c r="AD637" s="1"/>
      <c r="AE637" s="1"/>
    </row>
    <row r="638" spans="1:31">
      <c r="A638">
        <v>951</v>
      </c>
      <c r="B638">
        <f t="shared" si="178"/>
        <v>0.60731238506455398</v>
      </c>
      <c r="C638">
        <v>0.5817286249183542</v>
      </c>
      <c r="D638">
        <f t="shared" si="179"/>
        <v>1.7190146009066518</v>
      </c>
      <c r="E638" s="1">
        <f t="shared" si="180"/>
        <v>0.11618649307823492</v>
      </c>
      <c r="F638" s="1">
        <f t="shared" si="181"/>
        <v>0.13477633197075253</v>
      </c>
      <c r="G638" s="1">
        <f t="shared" si="182"/>
        <v>4.1827137508164587E-2</v>
      </c>
      <c r="H638" s="1">
        <f t="shared" si="183"/>
        <v>4.053078064389122E-2</v>
      </c>
      <c r="I638" s="1">
        <f t="shared" si="184"/>
        <v>0.14895626899619663</v>
      </c>
      <c r="J638" s="1">
        <f t="shared" si="185"/>
        <v>0.16137729352946542</v>
      </c>
      <c r="K638" s="1">
        <f t="shared" si="186"/>
        <v>9.9232504791898962E-2</v>
      </c>
      <c r="L638" s="1">
        <f t="shared" si="187"/>
        <v>9.8396939076970447E-2</v>
      </c>
      <c r="M638" s="1">
        <f t="shared" si="188"/>
        <v>0.21449582083211974</v>
      </c>
      <c r="N638" s="1">
        <f t="shared" si="189"/>
        <v>0.21457921664689095</v>
      </c>
      <c r="O638" s="1">
        <f t="shared" si="190"/>
        <v>0.21404323935936759</v>
      </c>
      <c r="P638" s="1">
        <f t="shared" si="191"/>
        <v>0.21412925594312882</v>
      </c>
      <c r="Q638" s="1">
        <f t="shared" si="192"/>
        <v>3.2532218061905787</v>
      </c>
      <c r="T638">
        <v>0.10935519123002013</v>
      </c>
      <c r="U638">
        <f t="shared" si="199"/>
        <v>9.1445132942667335</v>
      </c>
      <c r="V638" s="15">
        <f t="shared" si="193"/>
        <v>8.9830134874900755E-2</v>
      </c>
      <c r="W638" s="15">
        <f t="shared" si="194"/>
        <v>9.3433324853679861E-2</v>
      </c>
      <c r="X638" s="15">
        <f t="shared" si="195"/>
        <v>0.10063970481123787</v>
      </c>
      <c r="Y638" s="15">
        <f t="shared" si="196"/>
        <v>0.12811240860755627</v>
      </c>
      <c r="Z638" s="15">
        <f t="shared" si="197"/>
        <v>0.13109782423694841</v>
      </c>
      <c r="AA638" s="15">
        <f t="shared" si="198"/>
        <v>0.13706865549573252</v>
      </c>
      <c r="AC638" s="1"/>
      <c r="AD638" s="1"/>
      <c r="AE638" s="1"/>
    </row>
    <row r="639" spans="1:31">
      <c r="A639">
        <v>24</v>
      </c>
      <c r="B639">
        <f t="shared" si="178"/>
        <v>0.60936111345067268</v>
      </c>
      <c r="C639">
        <v>0.58460568225742904</v>
      </c>
      <c r="D639">
        <f t="shared" si="179"/>
        <v>1.7105547043924447</v>
      </c>
      <c r="E639" s="1">
        <f t="shared" si="180"/>
        <v>0.11538731048404749</v>
      </c>
      <c r="F639" s="1">
        <f t="shared" si="181"/>
        <v>0.13384928016149508</v>
      </c>
      <c r="G639" s="1">
        <f t="shared" si="182"/>
        <v>4.1539431774257105E-2</v>
      </c>
      <c r="H639" s="1">
        <f t="shared" si="183"/>
        <v>4.0251991831515101E-2</v>
      </c>
      <c r="I639" s="1">
        <f t="shared" si="184"/>
        <v>0.14793168124659731</v>
      </c>
      <c r="J639" s="1">
        <f t="shared" si="185"/>
        <v>0.16026726842526517</v>
      </c>
      <c r="K639" s="1">
        <f t="shared" si="186"/>
        <v>9.8549939301658132E-2</v>
      </c>
      <c r="L639" s="1">
        <f t="shared" si="187"/>
        <v>9.7720120980923017E-2</v>
      </c>
      <c r="M639" s="1">
        <f t="shared" si="188"/>
        <v>0.21302042277169672</v>
      </c>
      <c r="N639" s="1">
        <f t="shared" si="189"/>
        <v>0.21310324495280511</v>
      </c>
      <c r="O639" s="1">
        <f t="shared" si="190"/>
        <v>0.21257095435646006</v>
      </c>
      <c r="P639" s="1">
        <f t="shared" si="191"/>
        <v>0.21265637927973879</v>
      </c>
      <c r="Q639" s="1">
        <f t="shared" si="192"/>
        <v>3.2308446935533301</v>
      </c>
      <c r="T639">
        <v>0.57109360538620824</v>
      </c>
      <c r="U639">
        <f t="shared" si="199"/>
        <v>1.7510264351913714</v>
      </c>
      <c r="V639" s="15">
        <f t="shared" si="193"/>
        <v>0</v>
      </c>
      <c r="W639" s="15">
        <f t="shared" si="194"/>
        <v>0</v>
      </c>
      <c r="X639" s="15">
        <f t="shared" si="195"/>
        <v>0</v>
      </c>
      <c r="Y639" s="15">
        <f t="shared" si="196"/>
        <v>0</v>
      </c>
      <c r="Z639" s="15">
        <f t="shared" si="197"/>
        <v>0</v>
      </c>
      <c r="AA639" s="15">
        <f t="shared" si="198"/>
        <v>0</v>
      </c>
      <c r="AC639" s="1"/>
      <c r="AD639" s="1"/>
      <c r="AE639" s="1"/>
    </row>
    <row r="640" spans="1:31">
      <c r="A640">
        <v>814</v>
      </c>
      <c r="B640">
        <f t="shared" si="178"/>
        <v>0.60995480998276386</v>
      </c>
      <c r="C640">
        <v>0.58494618303853252</v>
      </c>
      <c r="D640">
        <f t="shared" si="179"/>
        <v>1.7095589799482911</v>
      </c>
      <c r="E640" s="1">
        <f t="shared" si="180"/>
        <v>0.11529272693374096</v>
      </c>
      <c r="F640" s="1">
        <f t="shared" si="181"/>
        <v>0.13373956324313951</v>
      </c>
      <c r="G640" s="1">
        <f t="shared" si="182"/>
        <v>4.1505381696146752E-2</v>
      </c>
      <c r="H640" s="1">
        <f t="shared" si="183"/>
        <v>4.0218997074306852E-2</v>
      </c>
      <c r="I640" s="1">
        <f t="shared" si="184"/>
        <v>0.14781042091427463</v>
      </c>
      <c r="J640" s="1">
        <f t="shared" si="185"/>
        <v>0.16013589655099233</v>
      </c>
      <c r="K640" s="1">
        <f t="shared" si="186"/>
        <v>9.846915742796214E-2</v>
      </c>
      <c r="L640" s="1">
        <f t="shared" si="187"/>
        <v>9.7640019313417412E-2</v>
      </c>
      <c r="M640" s="1">
        <f t="shared" si="188"/>
        <v>0.21284580887534171</v>
      </c>
      <c r="N640" s="1">
        <f t="shared" si="189"/>
        <v>0.21292856316669775</v>
      </c>
      <c r="O640" s="1">
        <f t="shared" si="190"/>
        <v>0.21239670889159276</v>
      </c>
      <c r="P640" s="1">
        <f t="shared" si="191"/>
        <v>0.2124820637916385</v>
      </c>
      <c r="Q640" s="1">
        <f t="shared" si="192"/>
        <v>3.2281963541447474</v>
      </c>
      <c r="T640">
        <v>0.61720861637964441</v>
      </c>
      <c r="U640">
        <f t="shared" si="199"/>
        <v>1.6201977313046794</v>
      </c>
      <c r="V640" s="15">
        <f t="shared" si="193"/>
        <v>0</v>
      </c>
      <c r="W640" s="15">
        <f t="shared" si="194"/>
        <v>0</v>
      </c>
      <c r="X640" s="15">
        <f t="shared" si="195"/>
        <v>0</v>
      </c>
      <c r="Y640" s="15">
        <f t="shared" si="196"/>
        <v>0</v>
      </c>
      <c r="Z640" s="15">
        <f t="shared" si="197"/>
        <v>0</v>
      </c>
      <c r="AA640" s="15">
        <f t="shared" si="198"/>
        <v>0</v>
      </c>
      <c r="AC640" s="1"/>
      <c r="AD640" s="1"/>
      <c r="AE640" s="1"/>
    </row>
    <row r="641" spans="1:31">
      <c r="A641">
        <v>146</v>
      </c>
      <c r="B641">
        <f t="shared" si="178"/>
        <v>0.61196263791619876</v>
      </c>
      <c r="C641">
        <v>0.58705831034262201</v>
      </c>
      <c r="D641">
        <f t="shared" si="179"/>
        <v>1.7034083026886628</v>
      </c>
      <c r="E641" s="1">
        <f t="shared" si="180"/>
        <v>0.1147060249048272</v>
      </c>
      <c r="F641" s="1">
        <f t="shared" si="181"/>
        <v>0.13305898888959955</v>
      </c>
      <c r="G641" s="1">
        <f t="shared" si="182"/>
        <v>4.1294168965737801E-2</v>
      </c>
      <c r="H641" s="1">
        <f t="shared" si="183"/>
        <v>4.0014330502425588E-2</v>
      </c>
      <c r="I641" s="1">
        <f t="shared" si="184"/>
        <v>0.14705824273138857</v>
      </c>
      <c r="J641" s="1">
        <f t="shared" si="185"/>
        <v>0.15932099644491382</v>
      </c>
      <c r="K641" s="1">
        <f t="shared" si="186"/>
        <v>9.7968067237931195E-2</v>
      </c>
      <c r="L641" s="1">
        <f t="shared" si="187"/>
        <v>9.7143148444301081E-2</v>
      </c>
      <c r="M641" s="1">
        <f t="shared" si="188"/>
        <v>0.21176267838451104</v>
      </c>
      <c r="N641" s="1">
        <f t="shared" si="189"/>
        <v>0.21184501155554206</v>
      </c>
      <c r="O641" s="1">
        <f t="shared" si="190"/>
        <v>0.21131586378231787</v>
      </c>
      <c r="P641" s="1">
        <f t="shared" si="191"/>
        <v>0.21140078432805204</v>
      </c>
      <c r="Q641" s="1">
        <f t="shared" si="192"/>
        <v>3.2117686973351622</v>
      </c>
      <c r="T641">
        <v>0.93637050800813126</v>
      </c>
      <c r="U641">
        <f t="shared" si="199"/>
        <v>1.0679533277134314</v>
      </c>
      <c r="V641" s="15">
        <f t="shared" si="193"/>
        <v>0</v>
      </c>
      <c r="W641" s="15">
        <f t="shared" si="194"/>
        <v>0</v>
      </c>
      <c r="X641" s="15">
        <f t="shared" si="195"/>
        <v>0</v>
      </c>
      <c r="Y641" s="15">
        <f t="shared" si="196"/>
        <v>0</v>
      </c>
      <c r="Z641" s="15">
        <f t="shared" si="197"/>
        <v>0</v>
      </c>
      <c r="AA641" s="15">
        <f t="shared" si="198"/>
        <v>0</v>
      </c>
      <c r="AC641" s="1"/>
      <c r="AD641" s="1"/>
      <c r="AE641" s="1"/>
    </row>
    <row r="642" spans="1:31">
      <c r="A642">
        <v>741</v>
      </c>
      <c r="B642">
        <f t="shared" si="178"/>
        <v>0.6128292508607438</v>
      </c>
      <c r="C642">
        <v>0.58820693606352892</v>
      </c>
      <c r="D642">
        <f t="shared" si="179"/>
        <v>1.7000819587275244</v>
      </c>
      <c r="E642" s="1">
        <f t="shared" si="180"/>
        <v>0.11438696220457528</v>
      </c>
      <c r="F642" s="1">
        <f t="shared" si="181"/>
        <v>0.13268887615730734</v>
      </c>
      <c r="G642" s="1">
        <f t="shared" si="182"/>
        <v>4.1179306393647114E-2</v>
      </c>
      <c r="H642" s="1">
        <f t="shared" si="183"/>
        <v>3.9903027889075765E-2</v>
      </c>
      <c r="I642" s="1">
        <f t="shared" si="184"/>
        <v>0.14664919011136177</v>
      </c>
      <c r="J642" s="1">
        <f t="shared" si="185"/>
        <v>0.15887783413173351</v>
      </c>
      <c r="K642" s="1">
        <f t="shared" si="186"/>
        <v>9.7695562318531104E-2</v>
      </c>
      <c r="L642" s="1">
        <f t="shared" si="187"/>
        <v>9.6872938093281361E-2</v>
      </c>
      <c r="M642" s="1">
        <f t="shared" si="188"/>
        <v>0.21117364592493448</v>
      </c>
      <c r="N642" s="1">
        <f t="shared" si="189"/>
        <v>0.21125575008058561</v>
      </c>
      <c r="O642" s="1">
        <f t="shared" si="190"/>
        <v>0.21072807416829895</v>
      </c>
      <c r="P642" s="1">
        <f t="shared" si="191"/>
        <v>0.21081275850169248</v>
      </c>
      <c r="Q642" s="1">
        <f t="shared" si="192"/>
        <v>3.2028349417281086</v>
      </c>
      <c r="T642">
        <v>0.40076593285379525</v>
      </c>
      <c r="U642">
        <f t="shared" si="199"/>
        <v>2.4952220686003601</v>
      </c>
      <c r="V642" s="15">
        <f t="shared" si="193"/>
        <v>6.4370230406722309E-2</v>
      </c>
      <c r="W642" s="15">
        <f t="shared" si="194"/>
        <v>6.9215216738330532E-2</v>
      </c>
      <c r="X642" s="15">
        <f t="shared" si="195"/>
        <v>7.8905189401546852E-2</v>
      </c>
      <c r="Y642" s="15">
        <f t="shared" si="196"/>
        <v>9.0442323911804054E-2</v>
      </c>
      <c r="Z642" s="15">
        <f t="shared" si="197"/>
        <v>9.4701291193637765E-2</v>
      </c>
      <c r="AA642" s="15">
        <f t="shared" si="198"/>
        <v>0.1032192257573052</v>
      </c>
      <c r="AC642" s="1"/>
      <c r="AD642" s="1"/>
      <c r="AE642" s="1"/>
    </row>
    <row r="643" spans="1:31">
      <c r="A643">
        <v>208</v>
      </c>
      <c r="B643">
        <f t="shared" si="178"/>
        <v>0.61401857808175653</v>
      </c>
      <c r="C643">
        <v>0.58880348411446393</v>
      </c>
      <c r="D643">
        <f t="shared" si="179"/>
        <v>1.6983595154909088</v>
      </c>
      <c r="E643" s="1">
        <f t="shared" si="180"/>
        <v>0.11422125441264891</v>
      </c>
      <c r="F643" s="1">
        <f t="shared" si="181"/>
        <v>0.13249665511867273</v>
      </c>
      <c r="G643" s="1">
        <f t="shared" si="182"/>
        <v>4.1119651588553616E-2</v>
      </c>
      <c r="H643" s="1">
        <f t="shared" si="183"/>
        <v>3.9845221977324652E-2</v>
      </c>
      <c r="I643" s="1">
        <f t="shared" si="184"/>
        <v>0.14643674532733397</v>
      </c>
      <c r="J643" s="1">
        <f t="shared" si="185"/>
        <v>0.1586476742029041</v>
      </c>
      <c r="K643" s="1">
        <f t="shared" si="186"/>
        <v>9.755403468635343E-2</v>
      </c>
      <c r="L643" s="1">
        <f t="shared" si="187"/>
        <v>9.6732602163735901E-2</v>
      </c>
      <c r="M643" s="1">
        <f t="shared" si="188"/>
        <v>0.21086772715670382</v>
      </c>
      <c r="N643" s="1">
        <f t="shared" si="189"/>
        <v>0.21094971237136662</v>
      </c>
      <c r="O643" s="1">
        <f t="shared" si="190"/>
        <v>0.21042280088195292</v>
      </c>
      <c r="P643" s="1">
        <f t="shared" si="191"/>
        <v>0.21050736253655833</v>
      </c>
      <c r="Q643" s="1">
        <f t="shared" si="192"/>
        <v>3.1981951235541697</v>
      </c>
      <c r="T643">
        <v>0.98117386120766581</v>
      </c>
      <c r="U643">
        <f t="shared" si="199"/>
        <v>1.0191873627464578</v>
      </c>
      <c r="V643" s="15">
        <f t="shared" si="193"/>
        <v>0</v>
      </c>
      <c r="W643" s="15">
        <f t="shared" si="194"/>
        <v>0</v>
      </c>
      <c r="X643" s="15">
        <f t="shared" si="195"/>
        <v>0</v>
      </c>
      <c r="Y643" s="15">
        <f t="shared" si="196"/>
        <v>0</v>
      </c>
      <c r="Z643" s="15">
        <f t="shared" si="197"/>
        <v>0</v>
      </c>
      <c r="AA643" s="15">
        <f t="shared" si="198"/>
        <v>0</v>
      </c>
      <c r="AC643" s="1"/>
      <c r="AD643" s="1"/>
      <c r="AE643" s="1"/>
    </row>
    <row r="644" spans="1:31">
      <c r="A644">
        <v>336</v>
      </c>
      <c r="B644">
        <f t="shared" si="178"/>
        <v>0.61759955407351019</v>
      </c>
      <c r="C644">
        <v>0.59345164010155205</v>
      </c>
      <c r="D644">
        <f t="shared" si="179"/>
        <v>1.6850572690790424</v>
      </c>
      <c r="E644" s="1">
        <f t="shared" si="180"/>
        <v>0.1129300999717911</v>
      </c>
      <c r="F644" s="1">
        <f t="shared" si="181"/>
        <v>0.13099891596727767</v>
      </c>
      <c r="G644" s="1">
        <f t="shared" si="182"/>
        <v>4.0654835989844804E-2</v>
      </c>
      <c r="H644" s="1">
        <f t="shared" si="183"/>
        <v>3.9394812501719285E-2</v>
      </c>
      <c r="I644" s="1">
        <f t="shared" si="184"/>
        <v>0.14478142771585786</v>
      </c>
      <c r="J644" s="1">
        <f t="shared" si="185"/>
        <v>0.1568543245314076</v>
      </c>
      <c r="K644" s="1">
        <f t="shared" si="186"/>
        <v>9.6451286115112611E-2</v>
      </c>
      <c r="L644" s="1">
        <f t="shared" si="187"/>
        <v>9.5639139046895819E-2</v>
      </c>
      <c r="M644" s="1">
        <f t="shared" si="188"/>
        <v>0.20848408320399114</v>
      </c>
      <c r="N644" s="1">
        <f t="shared" si="189"/>
        <v>0.20856514165966722</v>
      </c>
      <c r="O644" s="1">
        <f t="shared" si="190"/>
        <v>0.20804418636564809</v>
      </c>
      <c r="P644" s="1">
        <f t="shared" si="191"/>
        <v>0.2081277921372488</v>
      </c>
      <c r="Q644" s="1">
        <f t="shared" si="192"/>
        <v>3.162042799210151</v>
      </c>
      <c r="T644">
        <v>0.65396322883059577</v>
      </c>
      <c r="U644">
        <f t="shared" si="199"/>
        <v>1.5291379635949569</v>
      </c>
      <c r="V644" s="15">
        <f t="shared" si="193"/>
        <v>0</v>
      </c>
      <c r="W644" s="15">
        <f t="shared" si="194"/>
        <v>0</v>
      </c>
      <c r="X644" s="15">
        <f t="shared" si="195"/>
        <v>0</v>
      </c>
      <c r="Y644" s="15">
        <f t="shared" si="196"/>
        <v>0</v>
      </c>
      <c r="Z644" s="15">
        <f t="shared" si="197"/>
        <v>0</v>
      </c>
      <c r="AA644" s="15">
        <f t="shared" si="198"/>
        <v>0</v>
      </c>
      <c r="AC644" s="1"/>
      <c r="AD644" s="1"/>
      <c r="AE644" s="1"/>
    </row>
    <row r="645" spans="1:31">
      <c r="A645">
        <v>359</v>
      </c>
      <c r="B645">
        <f t="shared" si="178"/>
        <v>0.61766188604526862</v>
      </c>
      <c r="C645">
        <v>0.59385145074915491</v>
      </c>
      <c r="D645">
        <f t="shared" si="179"/>
        <v>1.6839228038232137</v>
      </c>
      <c r="E645" s="1">
        <f t="shared" si="180"/>
        <v>0.11281904145856808</v>
      </c>
      <c r="F645" s="1">
        <f t="shared" si="181"/>
        <v>0.13087008809193895</v>
      </c>
      <c r="G645" s="1">
        <f t="shared" si="182"/>
        <v>4.0614854925084515E-2</v>
      </c>
      <c r="H645" s="1">
        <f t="shared" si="183"/>
        <v>3.9356070578120232E-2</v>
      </c>
      <c r="I645" s="1">
        <f t="shared" si="184"/>
        <v>0.14463904574587425</v>
      </c>
      <c r="J645" s="1">
        <f t="shared" si="185"/>
        <v>0.15670006974832135</v>
      </c>
      <c r="K645" s="1">
        <f t="shared" si="186"/>
        <v>9.6356433312918432E-2</v>
      </c>
      <c r="L645" s="1">
        <f t="shared" si="187"/>
        <v>9.5545084932083815E-2</v>
      </c>
      <c r="M645" s="1">
        <f t="shared" si="188"/>
        <v>0.20827905432048638</v>
      </c>
      <c r="N645" s="1">
        <f t="shared" si="189"/>
        <v>0.2083600330610858</v>
      </c>
      <c r="O645" s="1">
        <f t="shared" si="190"/>
        <v>0.20783959008858616</v>
      </c>
      <c r="P645" s="1">
        <f t="shared" si="191"/>
        <v>0.20792311364001093</v>
      </c>
      <c r="Q645" s="1">
        <f t="shared" si="192"/>
        <v>3.1589331608399065</v>
      </c>
      <c r="T645">
        <v>0.80993439522504285</v>
      </c>
      <c r="U645">
        <f t="shared" si="199"/>
        <v>1.2346679013701434</v>
      </c>
      <c r="V645" s="15">
        <f t="shared" si="193"/>
        <v>0</v>
      </c>
      <c r="W645" s="15">
        <f t="shared" si="194"/>
        <v>0</v>
      </c>
      <c r="X645" s="15">
        <f t="shared" si="195"/>
        <v>0</v>
      </c>
      <c r="Y645" s="15">
        <f t="shared" si="196"/>
        <v>0</v>
      </c>
      <c r="Z645" s="15">
        <f t="shared" si="197"/>
        <v>0</v>
      </c>
      <c r="AA645" s="15">
        <f t="shared" si="198"/>
        <v>0</v>
      </c>
      <c r="AC645" s="1"/>
      <c r="AD645" s="1"/>
      <c r="AE645" s="1"/>
    </row>
    <row r="646" spans="1:31">
      <c r="A646">
        <v>692</v>
      </c>
      <c r="B646">
        <f t="shared" si="178"/>
        <v>0.61769513696463685</v>
      </c>
      <c r="C646">
        <v>0.5940218974438648</v>
      </c>
      <c r="D646">
        <f t="shared" si="179"/>
        <v>1.6834396245375789</v>
      </c>
      <c r="E646" s="1">
        <f t="shared" si="180"/>
        <v>0.11277169515448199</v>
      </c>
      <c r="F646" s="1">
        <f t="shared" si="181"/>
        <v>0.1308151663791991</v>
      </c>
      <c r="G646" s="1">
        <f t="shared" si="182"/>
        <v>4.0597810255613528E-2</v>
      </c>
      <c r="H646" s="1">
        <f t="shared" si="183"/>
        <v>3.9339554177509714E-2</v>
      </c>
      <c r="I646" s="1">
        <f t="shared" si="184"/>
        <v>0.14457834567118766</v>
      </c>
      <c r="J646" s="1">
        <f t="shared" si="185"/>
        <v>0.15663430807319365</v>
      </c>
      <c r="K646" s="1">
        <f t="shared" si="186"/>
        <v>9.6315995804025417E-2</v>
      </c>
      <c r="L646" s="1">
        <f t="shared" si="187"/>
        <v>9.5504987918435758E-2</v>
      </c>
      <c r="M646" s="1">
        <f t="shared" si="188"/>
        <v>0.20819164670459872</v>
      </c>
      <c r="N646" s="1">
        <f t="shared" si="189"/>
        <v>0.20827259146118249</v>
      </c>
      <c r="O646" s="1">
        <f t="shared" si="190"/>
        <v>0.20775236690084908</v>
      </c>
      <c r="P646" s="1">
        <f t="shared" si="191"/>
        <v>0.20783585540028782</v>
      </c>
      <c r="Q646" s="1">
        <f t="shared" si="192"/>
        <v>3.1576074643254963</v>
      </c>
      <c r="T646">
        <v>0.74666604497579359</v>
      </c>
      <c r="U646">
        <f t="shared" si="199"/>
        <v>1.3392868294049978</v>
      </c>
      <c r="V646" s="15">
        <f t="shared" si="193"/>
        <v>0</v>
      </c>
      <c r="W646" s="15">
        <f t="shared" si="194"/>
        <v>0</v>
      </c>
      <c r="X646" s="15">
        <f t="shared" si="195"/>
        <v>0</v>
      </c>
      <c r="Y646" s="15">
        <f t="shared" si="196"/>
        <v>0</v>
      </c>
      <c r="Z646" s="15">
        <f t="shared" si="197"/>
        <v>0</v>
      </c>
      <c r="AA646" s="15">
        <f t="shared" si="198"/>
        <v>0</v>
      </c>
      <c r="AC646" s="1"/>
      <c r="AD646" s="1"/>
      <c r="AE646" s="1"/>
    </row>
    <row r="647" spans="1:31">
      <c r="A647">
        <v>945</v>
      </c>
      <c r="B647">
        <f t="shared" si="178"/>
        <v>0.61865835901338273</v>
      </c>
      <c r="C647">
        <v>0.59533097275843117</v>
      </c>
      <c r="D647">
        <f t="shared" si="179"/>
        <v>1.6797379033826489</v>
      </c>
      <c r="E647" s="1">
        <f t="shared" si="180"/>
        <v>0.112408063122658</v>
      </c>
      <c r="F647" s="1">
        <f t="shared" si="181"/>
        <v>0.13039335322228329</v>
      </c>
      <c r="G647" s="1">
        <f t="shared" si="182"/>
        <v>4.0466902724156886E-2</v>
      </c>
      <c r="H647" s="1">
        <f t="shared" si="183"/>
        <v>3.9212703889438566E-2</v>
      </c>
      <c r="I647" s="1">
        <f t="shared" si="184"/>
        <v>0.14411215317916076</v>
      </c>
      <c r="J647" s="1">
        <f t="shared" si="185"/>
        <v>0.15612924116238791</v>
      </c>
      <c r="K647" s="1">
        <f t="shared" si="186"/>
        <v>9.6005425131097319E-2</v>
      </c>
      <c r="L647" s="1">
        <f t="shared" si="187"/>
        <v>9.5197032338283014E-2</v>
      </c>
      <c r="M647" s="1">
        <f t="shared" si="188"/>
        <v>0.20752033329216601</v>
      </c>
      <c r="N647" s="1">
        <f t="shared" si="189"/>
        <v>0.20760101704259698</v>
      </c>
      <c r="O647" s="1">
        <f t="shared" si="190"/>
        <v>0.20708246994497809</v>
      </c>
      <c r="P647" s="1">
        <f t="shared" si="191"/>
        <v>0.20716568923597189</v>
      </c>
      <c r="Q647" s="1">
        <f t="shared" si="192"/>
        <v>3.1474257674344246</v>
      </c>
      <c r="T647">
        <v>0.2810465053964929</v>
      </c>
      <c r="U647">
        <f t="shared" si="199"/>
        <v>3.558129992006934</v>
      </c>
      <c r="V647" s="15">
        <f t="shared" si="193"/>
        <v>7.2202103089498287E-2</v>
      </c>
      <c r="W647" s="15">
        <f t="shared" si="194"/>
        <v>7.6734996533847341E-2</v>
      </c>
      <c r="X647" s="15">
        <f t="shared" si="195"/>
        <v>8.5800783422545504E-2</v>
      </c>
      <c r="Y647" s="15">
        <f t="shared" si="196"/>
        <v>0.10203382562177252</v>
      </c>
      <c r="Z647" s="15">
        <f t="shared" si="197"/>
        <v>0.10598095849881096</v>
      </c>
      <c r="AA647" s="15">
        <f t="shared" si="198"/>
        <v>0.11387522425288796</v>
      </c>
      <c r="AC647" s="1"/>
      <c r="AD647" s="1"/>
      <c r="AE647" s="1"/>
    </row>
    <row r="648" spans="1:31">
      <c r="A648">
        <v>407</v>
      </c>
      <c r="B648">
        <f t="shared" si="178"/>
        <v>0.61988983134988174</v>
      </c>
      <c r="C648">
        <v>0.59736959646853172</v>
      </c>
      <c r="D648">
        <f t="shared" si="179"/>
        <v>1.6740055167047292</v>
      </c>
      <c r="E648" s="1">
        <f t="shared" si="180"/>
        <v>0.11184177875874118</v>
      </c>
      <c r="F648" s="1">
        <f t="shared" si="181"/>
        <v>0.12973646336013978</v>
      </c>
      <c r="G648" s="1">
        <f t="shared" si="182"/>
        <v>4.0263040353146831E-2</v>
      </c>
      <c r="H648" s="1">
        <f t="shared" si="183"/>
        <v>3.9015159865792688E-2</v>
      </c>
      <c r="I648" s="1">
        <f t="shared" si="184"/>
        <v>0.14338615135394744</v>
      </c>
      <c r="J648" s="1">
        <f t="shared" si="185"/>
        <v>0.15534270018334817</v>
      </c>
      <c r="K648" s="1">
        <f t="shared" si="186"/>
        <v>9.55217732506837E-2</v>
      </c>
      <c r="L648" s="1">
        <f t="shared" si="187"/>
        <v>9.4717452943292202E-2</v>
      </c>
      <c r="M648" s="1">
        <f t="shared" si="188"/>
        <v>0.20647489654435969</v>
      </c>
      <c r="N648" s="1">
        <f t="shared" si="189"/>
        <v>0.20655517382976468</v>
      </c>
      <c r="O648" s="1">
        <f t="shared" si="190"/>
        <v>0.20603923904575727</v>
      </c>
      <c r="P648" s="1">
        <f t="shared" si="191"/>
        <v>0.20612203909829119</v>
      </c>
      <c r="Q648" s="1">
        <f t="shared" si="192"/>
        <v>3.1315698052447538</v>
      </c>
      <c r="T648">
        <v>0.14990125472549531</v>
      </c>
      <c r="U648">
        <f t="shared" si="199"/>
        <v>6.6710582365120077</v>
      </c>
      <c r="V648" s="15">
        <f t="shared" si="193"/>
        <v>8.4316589497843306E-2</v>
      </c>
      <c r="W648" s="15">
        <f t="shared" si="194"/>
        <v>8.8241136425922045E-2</v>
      </c>
      <c r="X648" s="15">
        <f t="shared" si="195"/>
        <v>9.609023028207947E-2</v>
      </c>
      <c r="Y648" s="15">
        <f t="shared" si="196"/>
        <v>0.11995733888181495</v>
      </c>
      <c r="Z648" s="15">
        <f t="shared" si="197"/>
        <v>0.12327850972346524</v>
      </c>
      <c r="AA648" s="15">
        <f t="shared" si="198"/>
        <v>0.12992085140676585</v>
      </c>
      <c r="AC648" s="1"/>
      <c r="AD648" s="1"/>
      <c r="AE648" s="1"/>
    </row>
    <row r="649" spans="1:31">
      <c r="A649">
        <v>102</v>
      </c>
      <c r="B649">
        <f t="shared" si="178"/>
        <v>0.61992118638189087</v>
      </c>
      <c r="C649">
        <v>0.59741821136497053</v>
      </c>
      <c r="D649">
        <f t="shared" si="179"/>
        <v>1.6738692945352598</v>
      </c>
      <c r="E649" s="1">
        <f t="shared" si="180"/>
        <v>0.11182827462084149</v>
      </c>
      <c r="F649" s="1">
        <f t="shared" si="181"/>
        <v>0.12972079856017615</v>
      </c>
      <c r="G649" s="1">
        <f t="shared" si="182"/>
        <v>4.0258178863502955E-2</v>
      </c>
      <c r="H649" s="1">
        <f t="shared" si="183"/>
        <v>3.9010449049272665E-2</v>
      </c>
      <c r="I649" s="1">
        <f t="shared" si="184"/>
        <v>0.14336883844653237</v>
      </c>
      <c r="J649" s="1">
        <f t="shared" si="185"/>
        <v>0.15532394360357749</v>
      </c>
      <c r="K649" s="1">
        <f t="shared" si="186"/>
        <v>9.5510239643004036E-2</v>
      </c>
      <c r="L649" s="1">
        <f t="shared" si="187"/>
        <v>9.4706016451846453E-2</v>
      </c>
      <c r="M649" s="1">
        <f t="shared" si="188"/>
        <v>0.20644996609791383</v>
      </c>
      <c r="N649" s="1">
        <f t="shared" si="189"/>
        <v>0.20653023369037987</v>
      </c>
      <c r="O649" s="1">
        <f t="shared" si="190"/>
        <v>0.20601436120200611</v>
      </c>
      <c r="P649" s="1">
        <f t="shared" si="191"/>
        <v>0.20609715125699396</v>
      </c>
      <c r="Q649" s="1">
        <f t="shared" si="192"/>
        <v>3.131191689383563</v>
      </c>
      <c r="T649">
        <v>1.6328253176715712E-2</v>
      </c>
      <c r="U649">
        <f t="shared" si="199"/>
        <v>61.24353837347477</v>
      </c>
      <c r="V649" s="15">
        <f t="shared" si="193"/>
        <v>0.10304197639427203</v>
      </c>
      <c r="W649" s="15">
        <f t="shared" si="194"/>
        <v>0.1057753682453844</v>
      </c>
      <c r="X649" s="15">
        <f t="shared" si="195"/>
        <v>0.11124215194760896</v>
      </c>
      <c r="Y649" s="15">
        <f t="shared" si="196"/>
        <v>0.14763297309330198</v>
      </c>
      <c r="Z649" s="15">
        <f t="shared" si="197"/>
        <v>0.14970192057754048</v>
      </c>
      <c r="AA649" s="15">
        <f t="shared" si="198"/>
        <v>0.15383981554601778</v>
      </c>
      <c r="AC649" s="1"/>
      <c r="AD649" s="1"/>
      <c r="AE649" s="1"/>
    </row>
    <row r="650" spans="1:31">
      <c r="A650">
        <v>391</v>
      </c>
      <c r="B650">
        <f t="shared" si="178"/>
        <v>0.62140158383899546</v>
      </c>
      <c r="C650">
        <v>0.59963409575993232</v>
      </c>
      <c r="D650">
        <f t="shared" si="179"/>
        <v>1.6676836875539462</v>
      </c>
      <c r="E650" s="1">
        <f t="shared" si="180"/>
        <v>0.11121275117779655</v>
      </c>
      <c r="F650" s="1">
        <f t="shared" si="181"/>
        <v>0.12900679136624402</v>
      </c>
      <c r="G650" s="1">
        <f t="shared" si="182"/>
        <v>4.0036590424006771E-2</v>
      </c>
      <c r="H650" s="1">
        <f t="shared" si="183"/>
        <v>3.8795728344737511E-2</v>
      </c>
      <c r="I650" s="1">
        <f t="shared" si="184"/>
        <v>0.1425797099245627</v>
      </c>
      <c r="J650" s="1">
        <f t="shared" si="185"/>
        <v>0.15446901197847332</v>
      </c>
      <c r="K650" s="1">
        <f t="shared" si="186"/>
        <v>9.4984533673289004E-2</v>
      </c>
      <c r="L650" s="1">
        <f t="shared" si="187"/>
        <v>9.4184737074862787E-2</v>
      </c>
      <c r="M650" s="1">
        <f t="shared" si="188"/>
        <v>0.20531362741809472</v>
      </c>
      <c r="N650" s="1">
        <f t="shared" si="189"/>
        <v>0.20539345320293162</v>
      </c>
      <c r="O650" s="1">
        <f t="shared" si="190"/>
        <v>0.20488042017185332</v>
      </c>
      <c r="P650" s="1">
        <f t="shared" si="191"/>
        <v>0.20496275453511326</v>
      </c>
      <c r="Q650" s="1">
        <f t="shared" si="192"/>
        <v>3.1139570329783046</v>
      </c>
      <c r="T650">
        <v>0.29076946905267198</v>
      </c>
      <c r="U650">
        <f t="shared" si="199"/>
        <v>3.4391506207924913</v>
      </c>
      <c r="V650" s="15">
        <f t="shared" si="193"/>
        <v>7.1566040797255773E-2</v>
      </c>
      <c r="W650" s="15">
        <f t="shared" si="194"/>
        <v>7.6124280736026173E-2</v>
      </c>
      <c r="X650" s="15">
        <f t="shared" si="195"/>
        <v>8.5240760613567002E-2</v>
      </c>
      <c r="Y650" s="15">
        <f t="shared" si="196"/>
        <v>0.10109242661711425</v>
      </c>
      <c r="Z650" s="15">
        <f t="shared" si="197"/>
        <v>0.10506488499602792</v>
      </c>
      <c r="AA650" s="15">
        <f t="shared" si="198"/>
        <v>0.11300980175385536</v>
      </c>
      <c r="AC650" s="1"/>
      <c r="AD650" s="1"/>
      <c r="AE650" s="1"/>
    </row>
    <row r="651" spans="1:31">
      <c r="A651">
        <v>280</v>
      </c>
      <c r="B651">
        <f t="shared" ref="B651:B714" si="200">PERCENTILE($C$75:$C$1074,$C651)</f>
        <v>0.62256810888996783</v>
      </c>
      <c r="C651">
        <v>0.60114856898560443</v>
      </c>
      <c r="D651">
        <f t="shared" ref="D651:D714" si="201">1/C651</f>
        <v>1.6634822930501674</v>
      </c>
      <c r="E651" s="1">
        <f t="shared" ref="E651:E714" si="202">IF($C651&lt;=0.005,$F$14,IF($C651&lt;=0.01,$F$14+($C651-0.005)*SLOPE($E$14:$F$14,$E$11:$F$11),IF($C651&lt;=0.04,$E$14+($C651-0.01)*SLOPE($D$14:$E$14,$D$11:$E$11),IF($C651&lt;=0.1,$D$14+($C651-0.04)*SLOPE($C$14:$D$14,$C$11:$D$11),IF($C651&lt;=1,$C$14+($C651-0.1)*SLOPE($B$14:$C$14,$B$11:$C$11),)))))</f>
        <v>0.11079206417066542</v>
      </c>
      <c r="F651" s="1">
        <f t="shared" ref="F651:F714" si="203">IF($C651&lt;=0.005,$F$27,IF($C651&lt;=0.01,$F$27+($C651-0.005)*SLOPE($E$27:$F$27,$E$24:$F$24),IF($C651&lt;=0.04,$E$27+($C651-0.01)*SLOPE($D$27:$E$27,$D$24:$E$24),IF($C651&lt;=0.1,$D$27+($C651-0.04)*SLOPE($C$27:$D$27,$C$24:$D$24),IF($C651&lt;=1,$C$27+($C651-0.1)*SLOPE($B$27:$C$27,$B$24:$C$24),)))))</f>
        <v>0.1285187944379719</v>
      </c>
      <c r="G651" s="1">
        <f t="shared" ref="G651:G714" si="204">IF($C651&lt;=0.005,$F$15,IF($C651&lt;=0.01,$F$15+($C651-0.005)*SLOPE($E$15:$F$15,$E$11:$F$11),IF($C651&lt;=0.04,$E$15+($C651-0.01)*SLOPE($D$15:$E$15,$D$11:$E$11),IF($C651&lt;=0.1,$D$15+($C651-0.04)*SLOPE($C$15:$D$15,$C$11:$D$11),IF($C651&lt;=1,$C$15+($C651-0.1)*SLOPE($B$15:$C$15,$B$11:$C$11),)))))</f>
        <v>3.9885143101439563E-2</v>
      </c>
      <c r="H651" s="1">
        <f t="shared" ref="H651:H714" si="205">IF($C651&lt;=0.005,$F$28,IF($C651&lt;=0.01,$F$28+($C651-0.005)*SLOPE($E$28:$F$28,$E$24:$F$24),IF($C651&lt;=0.04,$E$28+($C651-0.01)*SLOPE($D$28:$E$28,$D$24:$E$24),IF($C651&lt;=0.1,$D$28+($C651-0.04)*SLOPE($C$28:$D$28,$C$24:$D$24),IF($C651&lt;=1,$C$28+($C651-0.1)*SLOPE($B$28:$C$28,$B$24:$C$24),)))))</f>
        <v>3.8648974859422432E-2</v>
      </c>
      <c r="I651" s="1">
        <f t="shared" ref="I651:I714" si="206">IF($C651&lt;=0.005,$F$16,IF($C651&lt;=0.01,$F$16+($C651-0.005)*SLOPE($E$16:$F$16,$E$11:$F$11),IF($C651&lt;=0.04,$E$16+($C651-0.01)*SLOPE($D$16:$E$16,$D$11:$E$11),IF($C651&lt;=0.1,$D$16+($C651-0.04)*SLOPE($C$16:$D$16,$C$11:$D$11),IF($C651&lt;=1,$C$16+($C651-0.1)*SLOPE($B$16:$C$16,$B$11:$C$11),)))))</f>
        <v>0.14204037040809037</v>
      </c>
      <c r="J651" s="1">
        <f t="shared" ref="J651:J714" si="207">IF($C651&lt;=0.005,$F$29,IF($C651&lt;=0.01,$F$29+($C651-0.005)*SLOPE($E$29:$F$29,$E$24:$F$24),IF($C651&lt;=0.04,$E$29+($C651-0.01)*SLOPE($D$29:$E$29,$D$24:$E$24),IF($C651&lt;=0.1,$D$29+($C651-0.04)*SLOPE($C$29:$D$29,$C$24:$D$24),IF($C651&lt;=1,$C$29+($C651-0.1)*SLOPE($B$29:$C$29,$B$24:$C$24),)))))</f>
        <v>0.15388469852830211</v>
      </c>
      <c r="K651" s="1">
        <f t="shared" ref="K651:K714" si="208">IF($C651&lt;=0.005,$F$17,IF($C651&lt;=0.01,$F$17+($C651-0.005)*SLOPE($E$17:$F$17,$E$11:$F$11),IF($C651&lt;=0.04,$E$17+($C651-0.01)*SLOPE($D$17:$E$17,$D$11:$E$11),IF($C651&lt;=0.1,$D$17+($C651-0.04)*SLOPE($C$17:$D$17,$C$11:$D$11),IF($C651&lt;=1,$C$17+($C651-0.1)*SLOPE($B$17:$C$17,$B$11:$C$11),)))))</f>
        <v>9.4625233514165338E-2</v>
      </c>
      <c r="L651" s="1">
        <f t="shared" ref="L651:L714" si="209">IF($C651&lt;=0.005,$F$30,IF($C651&lt;=0.01,$F$30+($C651-0.005)*SLOPE($E$30:$F$30,$E$24:$F$24),IF($C651&lt;=0.04,$E$30+($C651-0.01)*SLOPE($D$30:$E$30,$D$24:$E$24),IF($C651&lt;=0.1,$D$30+($C651-0.04)*SLOPE($C$30:$D$30,$C$24:$D$24),IF($C651&lt;=1,$C$30+($C651-0.1)*SLOPE($B$30:$C$30,$B$24:$C$24),)))))</f>
        <v>9.3828462324550083E-2</v>
      </c>
      <c r="M651" s="1">
        <f t="shared" ref="M651:M714" si="210">IF($C651&lt;=0.005,$F$18,IF($C651&lt;=0.01,$F$18+($C651-0.005)*SLOPE($E$18:$F$18,$E$11:$F$11),IF($C651&lt;=0.04,$E$18+($C651-0.01)*SLOPE($D$18:$E$18,$D$11:$E$11),IF($C651&lt;=0.1,$D$18+($C651-0.04)*SLOPE($C$18:$D$18,$C$11:$D$11),IF($C651&lt;=1,$C$18+($C651-0.1)*SLOPE($B$18:$C$18,$B$11:$C$11),)))))</f>
        <v>0.20453698288293998</v>
      </c>
      <c r="N651" s="1">
        <f t="shared" ref="N651:N714" si="211">IF($C651&lt;=0.005,$F$31,IF($C651&lt;=0.01,$F$31+($C651-0.005)*SLOPE($E$31:$F$31,$E$24:$F$24),IF($C651&lt;=0.04,$E$31+($C651-0.01)*SLOPE($D$31:$E$31,$D$24:$E$24),IF($C651&lt;=0.1,$D$31+($C651-0.04)*SLOPE($C$31:$D$31,$C$24:$D$24),IF($C651&lt;=1,$C$31+($C651-0.1)*SLOPE($B$31:$C$31,$B$24:$C$24),)))))</f>
        <v>0.20461650670896231</v>
      </c>
      <c r="O651" s="1">
        <f t="shared" ref="O651:O714" si="212">IF($C651&lt;=0.005,$F$19,IF($C651&lt;=0.01,$F$19+($C651-0.005)*SLOPE($E$19:$F$19,$E$11:$F$11),IF($C651&lt;=0.04,$E$19+($C651-0.01)*SLOPE($D$19:$E$19,$D$11:$E$11),IF($C651&lt;=0.1,$D$19+($C651-0.04)*SLOPE($C$19:$D$19,$C$11:$D$11),IF($C651&lt;=1,$C$19+($C651-0.1)*SLOPE($B$19:$C$19,$B$11:$C$11),)))))</f>
        <v>0.20410541433961676</v>
      </c>
      <c r="P651" s="1">
        <f t="shared" ref="P651:P714" si="213">IF($C651&lt;=0.005,$F$32,IF($C651&lt;=0.01,$F$32+($C651-0.005)*SLOPE($E$32:$F$32,$E$24:$F$24),IF($C651&lt;=0.04,$E$32+($C651-0.01)*SLOPE($D$32:$E$32,$D$24:$E$24),IF($C651&lt;=0.1,$D$32+($C651-0.04)*SLOPE($C$32:$D$32,$C$24:$D$24),IF($C651&lt;=1,$C$32+($C651-0.1)*SLOPE($B$32:$C$32,$B$24:$C$24),)))))</f>
        <v>0.20418743725480532</v>
      </c>
      <c r="Q651" s="1">
        <f t="shared" ref="Q651:Q714" si="214">IF($C651&lt;=0.005,$F$20,IF($C651&lt;=0.01,$F$20+($C651-0.005)*SLOPE($E$20:$F$20,$E$11:$F$11),IF($C651&lt;=0.04,$E$20+($C651-0.01)*SLOPE($D$20:$E$20,$D$11:$E$11),IF($C651&lt;=0.1,$D$20+($C651-0.04)*SLOPE($C$20:$D$20,$C$11:$D$11),IF($C651&lt;=1,$C$20+($C651-0.1)*SLOPE($B$20:$C$20,$B$11:$C$11),)))))</f>
        <v>3.1021777967786326</v>
      </c>
      <c r="T651">
        <v>0.17565297691260717</v>
      </c>
      <c r="U651">
        <f t="shared" si="199"/>
        <v>5.6930432810001914</v>
      </c>
      <c r="V651" s="15">
        <f t="shared" ref="V651:V714" si="215">IF($T651&lt;=0.05,$F$63,IF($T651&lt;=0.07,$F$63+($T651-0.05)*SLOPE($E$63:$F$63,$E$62:$F$62),IF($T651&lt;=0.1,$E$63+($T651-0.07)*SLOPE($D$63:$E$63,$D$62:$E$62),IF($T651&lt;=0.2,$D$63+($T651-0.1)*SLOPE($C$63:$D$63,$C$62:$D$62),IF($T651&lt;=0.5,$C$63+($T651-0.2)*SLOPE($B$63:$C$63,$B$62:$C$62),)))))</f>
        <v>8.0814812097631236E-2</v>
      </c>
      <c r="W651" s="15">
        <f t="shared" ref="W651:W714" si="216">IF($T651&lt;=0.05,$F$64,IF($T651&lt;=0.07,$F$64+($T651-0.05)*SLOPE($E$64:$F$64,$E$62:$F$62),IF($T651&lt;=0.1,$E$64+($T651-0.07)*SLOPE($D$64:$E$64,$D$62:$E$62),IF($T651&lt;=0.2,$D$64+($T651-0.1)*SLOPE($C$64:$D$64,$C$62:$D$62),IF($T651&lt;=0.5,$C$64+($T651-0.2)*SLOPE($B$64:$C$64,$B$62:$C$62),)))))</f>
        <v>8.4943460094169698E-2</v>
      </c>
      <c r="X651" s="15">
        <f t="shared" ref="X651:X714" si="217">IF($T651&lt;=0.05,$F$65,IF($T651&lt;=0.07,$F$65+($T651-0.05)*SLOPE($E$65:$F$65,$E$62:$F$62),IF($T651&lt;=0.1,$E$65+($T651-0.07)*SLOPE($D$65:$E$65,$D$62:$E$62),IF($T651&lt;=0.2,$D$65+($T651-0.1)*SLOPE($C$65:$D$65,$C$62:$D$62),IF($T651&lt;=0.5,$C$65+($T651-0.2)*SLOPE($B$65:$C$65,$B$62:$C$62),)))))</f>
        <v>9.3200756087246636E-2</v>
      </c>
      <c r="Y651" s="15">
        <f t="shared" ref="Y651:Y714" si="218">IF($T651&lt;=0.05,$F$66,IF($T651&lt;=0.07,$F$66+($T651-0.05)*SLOPE($E$66:$F$66,$E$62:$F$62),IF($T651&lt;=0.1,$E$66+($T651-0.07)*SLOPE($D$66:$E$66,$D$62:$E$62),IF($T651&lt;=0.2,$D$66+($T651-0.1)*SLOPE($C$66:$D$66,$C$62:$D$62),IF($T651&lt;=0.5,$C$66+($T651-0.2)*SLOPE($B$66:$C$66,$B$62:$C$62),)))))</f>
        <v>0.11477786960936008</v>
      </c>
      <c r="Z651" s="15">
        <f t="shared" ref="Z651:Z714" si="219">IF($T651&lt;=0.05,$F$67,IF($T651&lt;=0.07,$F$67+($T651-0.05)*SLOPE($E$67:$F$67,$E$62:$F$62),IF($T651&lt;=0.1,$E$67+($T651-0.07)*SLOPE($D$67:$E$67,$D$62:$E$62),IF($T651&lt;=0.2,$D$67+($T651-0.1)*SLOPE($C$67:$D$67,$C$62:$D$62),IF($T651&lt;=0.5,$C$67+($T651-0.2)*SLOPE($B$67:$C$67,$B$62:$C$62),)))))</f>
        <v>0.11831228618200255</v>
      </c>
      <c r="AA651" s="15">
        <f t="shared" ref="AA651:AA714" si="220">IF($T651&lt;=0.05,$F$68,IF($T651&lt;=0.07,$F$68+($T651-0.05)*SLOPE($E$68:$F$68,$E$62:$F$62),IF($T651&lt;=0.1,$E$68+($T651-0.07)*SLOPE($D$68:$E$68,$D$62:$E$62),IF($T651&lt;=0.2,$D$68+($T651-0.1)*SLOPE($C$68:$D$68,$C$62:$D$62),IF($T651&lt;=0.5,$C$68+($T651-0.2)*SLOPE($B$68:$C$68,$B$62:$C$62),)))))</f>
        <v>0.12538111932728757</v>
      </c>
      <c r="AC651" s="1"/>
      <c r="AD651" s="1"/>
      <c r="AE651" s="1"/>
    </row>
    <row r="652" spans="1:31">
      <c r="A652">
        <v>55</v>
      </c>
      <c r="B652">
        <f t="shared" si="200"/>
        <v>0.62286132628402069</v>
      </c>
      <c r="C652">
        <v>0.60161089815613689</v>
      </c>
      <c r="D652">
        <f t="shared" si="201"/>
        <v>1.6622039312533674</v>
      </c>
      <c r="E652" s="1">
        <f t="shared" si="202"/>
        <v>0.11066363940107307</v>
      </c>
      <c r="F652" s="1">
        <f t="shared" si="203"/>
        <v>0.12836982170524477</v>
      </c>
      <c r="G652" s="1">
        <f t="shared" si="204"/>
        <v>3.9838910184386317E-2</v>
      </c>
      <c r="H652" s="1">
        <f t="shared" si="205"/>
        <v>3.86041748484428E-2</v>
      </c>
      <c r="I652" s="1">
        <f t="shared" si="206"/>
        <v>0.14187572412246496</v>
      </c>
      <c r="J652" s="1">
        <f t="shared" si="207"/>
        <v>0.15370632287387037</v>
      </c>
      <c r="K652" s="1">
        <f t="shared" si="208"/>
        <v>9.4515548547984371E-2</v>
      </c>
      <c r="L652" s="1">
        <f t="shared" si="209"/>
        <v>9.3719700936760852E-2</v>
      </c>
      <c r="M652" s="1">
        <f t="shared" si="210"/>
        <v>0.20429989356524847</v>
      </c>
      <c r="N652" s="1">
        <f t="shared" si="211"/>
        <v>0.20437932521112134</v>
      </c>
      <c r="O652" s="1">
        <f t="shared" si="212"/>
        <v>0.20386882527518035</v>
      </c>
      <c r="P652" s="1">
        <f t="shared" si="213"/>
        <v>0.20395075311339689</v>
      </c>
      <c r="Q652" s="1">
        <f t="shared" si="214"/>
        <v>3.0985819032300466</v>
      </c>
      <c r="T652">
        <v>0.47975487199890077</v>
      </c>
      <c r="U652">
        <f t="shared" ref="U652:U715" si="221">1/T652</f>
        <v>2.0843978005548869</v>
      </c>
      <c r="V652" s="15">
        <f t="shared" si="215"/>
        <v>5.9202887663184392E-2</v>
      </c>
      <c r="W652" s="15">
        <f t="shared" si="216"/>
        <v>6.4253787826849026E-2</v>
      </c>
      <c r="X652" s="15">
        <f t="shared" si="217"/>
        <v>7.4355588154178115E-2</v>
      </c>
      <c r="Y652" s="15">
        <f t="shared" si="218"/>
        <v>8.2794438830699479E-2</v>
      </c>
      <c r="Z652" s="15">
        <f t="shared" si="219"/>
        <v>8.7259149402046571E-2</v>
      </c>
      <c r="AA652" s="15">
        <f t="shared" si="220"/>
        <v>9.6188570544740684E-2</v>
      </c>
      <c r="AC652" s="1"/>
      <c r="AD652" s="1"/>
      <c r="AE652" s="1"/>
    </row>
    <row r="653" spans="1:31">
      <c r="A653">
        <v>655</v>
      </c>
      <c r="B653">
        <f t="shared" si="200"/>
        <v>0.62356144536300462</v>
      </c>
      <c r="C653">
        <v>0.60263771084123463</v>
      </c>
      <c r="D653">
        <f t="shared" si="201"/>
        <v>1.6593717618568526</v>
      </c>
      <c r="E653" s="1">
        <f t="shared" si="202"/>
        <v>0.11037841365521259</v>
      </c>
      <c r="F653" s="1">
        <f t="shared" si="203"/>
        <v>0.1280389598400466</v>
      </c>
      <c r="G653" s="1">
        <f t="shared" si="204"/>
        <v>3.973622891587654E-2</v>
      </c>
      <c r="H653" s="1">
        <f t="shared" si="205"/>
        <v>3.8504676001088166E-2</v>
      </c>
      <c r="I653" s="1">
        <f t="shared" si="206"/>
        <v>0.14151005198795596</v>
      </c>
      <c r="J653" s="1">
        <f t="shared" si="207"/>
        <v>0.15331015841712156</v>
      </c>
      <c r="K653" s="1">
        <f t="shared" si="208"/>
        <v>9.4271943078510265E-2</v>
      </c>
      <c r="L653" s="1">
        <f t="shared" si="209"/>
        <v>9.3478146694137149E-2</v>
      </c>
      <c r="M653" s="1">
        <f t="shared" si="210"/>
        <v>0.20377332865344239</v>
      </c>
      <c r="N653" s="1">
        <f t="shared" si="211"/>
        <v>0.20385255557127124</v>
      </c>
      <c r="O653" s="1">
        <f t="shared" si="212"/>
        <v>0.20334337140377756</v>
      </c>
      <c r="P653" s="1">
        <f t="shared" si="213"/>
        <v>0.20342508808023507</v>
      </c>
      <c r="Q653" s="1">
        <f t="shared" si="214"/>
        <v>3.0905955823459532</v>
      </c>
      <c r="T653">
        <v>0.59668913088768438</v>
      </c>
      <c r="U653">
        <f t="shared" si="221"/>
        <v>1.6759145562318469</v>
      </c>
      <c r="V653" s="15">
        <f t="shared" si="215"/>
        <v>0</v>
      </c>
      <c r="W653" s="15">
        <f t="shared" si="216"/>
        <v>0</v>
      </c>
      <c r="X653" s="15">
        <f t="shared" si="217"/>
        <v>0</v>
      </c>
      <c r="Y653" s="15">
        <f t="shared" si="218"/>
        <v>0</v>
      </c>
      <c r="Z653" s="15">
        <f t="shared" si="219"/>
        <v>0</v>
      </c>
      <c r="AA653" s="15">
        <f t="shared" si="220"/>
        <v>0</v>
      </c>
      <c r="AC653" s="1"/>
      <c r="AD653" s="1"/>
      <c r="AE653" s="1"/>
    </row>
    <row r="654" spans="1:31">
      <c r="A654">
        <v>11</v>
      </c>
      <c r="B654">
        <f t="shared" si="200"/>
        <v>0.62414958873204429</v>
      </c>
      <c r="C654">
        <v>0.6030326292218301</v>
      </c>
      <c r="D654">
        <f t="shared" si="201"/>
        <v>1.6582850604459456</v>
      </c>
      <c r="E654" s="1">
        <f t="shared" si="202"/>
        <v>0.11026871410504718</v>
      </c>
      <c r="F654" s="1">
        <f t="shared" si="203"/>
        <v>0.12791170836185473</v>
      </c>
      <c r="G654" s="1">
        <f t="shared" si="204"/>
        <v>3.9696737077816999E-2</v>
      </c>
      <c r="H654" s="1">
        <f t="shared" si="205"/>
        <v>3.8466408141488571E-2</v>
      </c>
      <c r="I654" s="1">
        <f t="shared" si="206"/>
        <v>0.14136941226925648</v>
      </c>
      <c r="J654" s="1">
        <f t="shared" si="207"/>
        <v>0.15315779116652237</v>
      </c>
      <c r="K654" s="1">
        <f t="shared" si="208"/>
        <v>9.4178250938838498E-2</v>
      </c>
      <c r="L654" s="1">
        <f t="shared" si="209"/>
        <v>9.338524346874133E-2</v>
      </c>
      <c r="M654" s="1">
        <f t="shared" si="210"/>
        <v>0.20357080859767485</v>
      </c>
      <c r="N654" s="1">
        <f t="shared" si="211"/>
        <v>0.2036499567758574</v>
      </c>
      <c r="O654" s="1">
        <f t="shared" si="212"/>
        <v>0.20314127866088139</v>
      </c>
      <c r="P654" s="1">
        <f t="shared" si="213"/>
        <v>0.20322291412324683</v>
      </c>
      <c r="Q654" s="1">
        <f t="shared" si="214"/>
        <v>3.0875239949413218</v>
      </c>
      <c r="T654">
        <v>0.2993739701169098</v>
      </c>
      <c r="U654">
        <f t="shared" si="221"/>
        <v>3.3403037665882769</v>
      </c>
      <c r="V654" s="15">
        <f t="shared" si="215"/>
        <v>7.1003146718448429E-2</v>
      </c>
      <c r="W654" s="15">
        <f t="shared" si="216"/>
        <v>7.5583817465965555E-2</v>
      </c>
      <c r="X654" s="15">
        <f t="shared" si="217"/>
        <v>8.4745158960999836E-2</v>
      </c>
      <c r="Y654" s="15">
        <f t="shared" si="218"/>
        <v>0.10025931965262339</v>
      </c>
      <c r="Z654" s="15">
        <f t="shared" si="219"/>
        <v>0.10425419026257519</v>
      </c>
      <c r="AA654" s="15">
        <f t="shared" si="220"/>
        <v>0.1122439314824789</v>
      </c>
      <c r="AC654" s="1"/>
      <c r="AD654" s="1"/>
      <c r="AE654" s="1"/>
    </row>
    <row r="655" spans="1:31">
      <c r="A655">
        <v>341</v>
      </c>
      <c r="B655">
        <f t="shared" si="200"/>
        <v>0.62738615772784656</v>
      </c>
      <c r="C655">
        <v>0.606329784756103</v>
      </c>
      <c r="D655">
        <f t="shared" si="201"/>
        <v>1.6492674863436758</v>
      </c>
      <c r="E655" s="1">
        <f t="shared" si="202"/>
        <v>0.10935283756774916</v>
      </c>
      <c r="F655" s="1">
        <f t="shared" si="203"/>
        <v>0.12684929157858901</v>
      </c>
      <c r="G655" s="1">
        <f t="shared" si="204"/>
        <v>3.9367021524389707E-2</v>
      </c>
      <c r="H655" s="1">
        <f t="shared" si="205"/>
        <v>3.8146911528357148E-2</v>
      </c>
      <c r="I655" s="1">
        <f t="shared" si="206"/>
        <v>0.14019521767707435</v>
      </c>
      <c r="J655" s="1">
        <f t="shared" si="207"/>
        <v>0.15188568394579086</v>
      </c>
      <c r="K655" s="1">
        <f t="shared" si="208"/>
        <v>9.339601954112331E-2</v>
      </c>
      <c r="L655" s="1">
        <f t="shared" si="209"/>
        <v>9.2609598680307464E-2</v>
      </c>
      <c r="M655" s="1">
        <f t="shared" si="210"/>
        <v>0.20187997789572448</v>
      </c>
      <c r="N655" s="1">
        <f t="shared" si="211"/>
        <v>0.20195846868019429</v>
      </c>
      <c r="O655" s="1">
        <f t="shared" si="212"/>
        <v>0.20145401557459036</v>
      </c>
      <c r="P655" s="1">
        <f t="shared" si="213"/>
        <v>0.20153497298420803</v>
      </c>
      <c r="Q655" s="1">
        <f t="shared" si="214"/>
        <v>3.061879451896977</v>
      </c>
      <c r="T655">
        <v>0.74158830818227117</v>
      </c>
      <c r="U655">
        <f t="shared" si="221"/>
        <v>1.3484570737787511</v>
      </c>
      <c r="V655" s="15">
        <f t="shared" si="215"/>
        <v>0</v>
      </c>
      <c r="W655" s="15">
        <f t="shared" si="216"/>
        <v>0</v>
      </c>
      <c r="X655" s="15">
        <f t="shared" si="217"/>
        <v>0</v>
      </c>
      <c r="Y655" s="15">
        <f t="shared" si="218"/>
        <v>0</v>
      </c>
      <c r="Z655" s="15">
        <f t="shared" si="219"/>
        <v>0</v>
      </c>
      <c r="AA655" s="15">
        <f t="shared" si="220"/>
        <v>0</v>
      </c>
      <c r="AC655" s="1"/>
      <c r="AD655" s="1"/>
      <c r="AE655" s="1"/>
    </row>
    <row r="656" spans="1:31">
      <c r="A656">
        <v>61</v>
      </c>
      <c r="B656">
        <f t="shared" si="200"/>
        <v>0.62873729773046372</v>
      </c>
      <c r="C656">
        <v>0.60717701092051579</v>
      </c>
      <c r="D656">
        <f t="shared" si="201"/>
        <v>1.6469661762785479</v>
      </c>
      <c r="E656" s="1">
        <f t="shared" si="202"/>
        <v>0.10911749696652337</v>
      </c>
      <c r="F656" s="1">
        <f t="shared" si="203"/>
        <v>0.12657629648116711</v>
      </c>
      <c r="G656" s="1">
        <f t="shared" si="204"/>
        <v>3.9282298907948425E-2</v>
      </c>
      <c r="H656" s="1">
        <f t="shared" si="205"/>
        <v>3.8064814736964533E-2</v>
      </c>
      <c r="I656" s="1">
        <f t="shared" si="206"/>
        <v>0.13989350052413208</v>
      </c>
      <c r="J656" s="1">
        <f t="shared" si="207"/>
        <v>0.15155880748814754</v>
      </c>
      <c r="K656" s="1">
        <f t="shared" si="208"/>
        <v>9.3195019952271446E-2</v>
      </c>
      <c r="L656" s="1">
        <f t="shared" si="209"/>
        <v>9.241029156475869E-2</v>
      </c>
      <c r="M656" s="1">
        <f t="shared" si="210"/>
        <v>0.20144550763934921</v>
      </c>
      <c r="N656" s="1">
        <f t="shared" si="211"/>
        <v>0.20152382950210818</v>
      </c>
      <c r="O656" s="1">
        <f t="shared" si="212"/>
        <v>0.20102046204091734</v>
      </c>
      <c r="P656" s="1">
        <f t="shared" si="213"/>
        <v>0.20110124522034695</v>
      </c>
      <c r="Q656" s="1">
        <f t="shared" si="214"/>
        <v>3.0552899150626551</v>
      </c>
      <c r="T656">
        <v>0.38686033116448337</v>
      </c>
      <c r="U656">
        <f t="shared" si="221"/>
        <v>2.5849122265648501</v>
      </c>
      <c r="V656" s="15">
        <f t="shared" si="215"/>
        <v>6.5279914860792446E-2</v>
      </c>
      <c r="W656" s="15">
        <f t="shared" si="216"/>
        <v>7.0088651107744676E-2</v>
      </c>
      <c r="X656" s="15">
        <f t="shared" si="217"/>
        <v>7.9706123601649054E-2</v>
      </c>
      <c r="Y656" s="15">
        <f t="shared" si="218"/>
        <v>9.1788695250050609E-2</v>
      </c>
      <c r="Z656" s="15">
        <f t="shared" si="219"/>
        <v>9.6011442470377156E-2</v>
      </c>
      <c r="AA656" s="15">
        <f t="shared" si="220"/>
        <v>0.10445693691103025</v>
      </c>
      <c r="AC656" s="1"/>
      <c r="AD656" s="1"/>
      <c r="AE656" s="1"/>
    </row>
    <row r="657" spans="1:31">
      <c r="A657">
        <v>160</v>
      </c>
      <c r="B657">
        <f t="shared" si="200"/>
        <v>0.62966034922392822</v>
      </c>
      <c r="C657">
        <v>0.60809857361533848</v>
      </c>
      <c r="D657">
        <f t="shared" si="201"/>
        <v>1.644470228000509</v>
      </c>
      <c r="E657" s="1">
        <f t="shared" si="202"/>
        <v>0.10886150732907263</v>
      </c>
      <c r="F657" s="1">
        <f t="shared" si="203"/>
        <v>0.12627934850172426</v>
      </c>
      <c r="G657" s="1">
        <f t="shared" si="204"/>
        <v>3.9190142638466159E-2</v>
      </c>
      <c r="H657" s="1">
        <f t="shared" si="205"/>
        <v>3.7975514685230992E-2</v>
      </c>
      <c r="I657" s="1">
        <f t="shared" si="206"/>
        <v>0.13956531038527767</v>
      </c>
      <c r="J657" s="1">
        <f t="shared" si="207"/>
        <v>0.15120325054027089</v>
      </c>
      <c r="K657" s="1">
        <f t="shared" si="208"/>
        <v>9.2976384444373783E-2</v>
      </c>
      <c r="L657" s="1">
        <f t="shared" si="209"/>
        <v>9.2193497029583113E-2</v>
      </c>
      <c r="M657" s="1">
        <f t="shared" si="210"/>
        <v>0.2009729164976875</v>
      </c>
      <c r="N657" s="1">
        <f t="shared" si="211"/>
        <v>0.20105105461736389</v>
      </c>
      <c r="O657" s="1">
        <f t="shared" si="212"/>
        <v>0.20054886805618893</v>
      </c>
      <c r="P657" s="1">
        <f t="shared" si="213"/>
        <v>0.20062946171828733</v>
      </c>
      <c r="Q657" s="1">
        <f t="shared" si="214"/>
        <v>3.0481222052140344</v>
      </c>
      <c r="T657">
        <v>0.36278641751981133</v>
      </c>
      <c r="U657">
        <f t="shared" si="221"/>
        <v>2.7564427765419062</v>
      </c>
      <c r="V657" s="15">
        <f t="shared" si="215"/>
        <v>6.6854795652036281E-2</v>
      </c>
      <c r="W657" s="15">
        <f t="shared" si="216"/>
        <v>7.1600774355149832E-2</v>
      </c>
      <c r="X657" s="15">
        <f t="shared" si="217"/>
        <v>8.1092731761376879E-2</v>
      </c>
      <c r="Y657" s="15">
        <f t="shared" si="218"/>
        <v>9.4119585207550385E-2</v>
      </c>
      <c r="Z657" s="15">
        <f t="shared" si="219"/>
        <v>9.827962686127073E-2</v>
      </c>
      <c r="AA657" s="15">
        <f t="shared" si="220"/>
        <v>0.10659971016871148</v>
      </c>
      <c r="AC657" s="1"/>
      <c r="AD657" s="1"/>
      <c r="AE657" s="1"/>
    </row>
    <row r="658" spans="1:31">
      <c r="A658">
        <v>392</v>
      </c>
      <c r="B658">
        <f t="shared" si="200"/>
        <v>0.62981433533837228</v>
      </c>
      <c r="C658">
        <v>0.60874728828610503</v>
      </c>
      <c r="D658">
        <f t="shared" si="201"/>
        <v>1.6427177898655545</v>
      </c>
      <c r="E658" s="1">
        <f t="shared" si="202"/>
        <v>0.10868130880941526</v>
      </c>
      <c r="F658" s="1">
        <f t="shared" si="203"/>
        <v>0.1260703182189217</v>
      </c>
      <c r="G658" s="1">
        <f t="shared" si="204"/>
        <v>3.9125271171389503E-2</v>
      </c>
      <c r="H658" s="1">
        <f t="shared" si="205"/>
        <v>3.791265379254815E-2</v>
      </c>
      <c r="I658" s="1">
        <f t="shared" si="206"/>
        <v>0.13933428784164409</v>
      </c>
      <c r="J658" s="1">
        <f t="shared" si="207"/>
        <v>0.15095296370718142</v>
      </c>
      <c r="K658" s="1">
        <f t="shared" si="208"/>
        <v>9.2822480578342192E-2</v>
      </c>
      <c r="L658" s="1">
        <f t="shared" si="209"/>
        <v>9.2040889077568008E-2</v>
      </c>
      <c r="M658" s="1">
        <f t="shared" si="210"/>
        <v>0.20064024590610147</v>
      </c>
      <c r="N658" s="1">
        <f t="shared" si="211"/>
        <v>0.20071825468370058</v>
      </c>
      <c r="O658" s="1">
        <f t="shared" si="212"/>
        <v>0.20021689939224746</v>
      </c>
      <c r="P658" s="1">
        <f t="shared" si="213"/>
        <v>0.20029735964760764</v>
      </c>
      <c r="Q658" s="1">
        <f t="shared" si="214"/>
        <v>3.0430766466636281</v>
      </c>
      <c r="T658">
        <v>0.64660478671898181</v>
      </c>
      <c r="U658">
        <f t="shared" si="221"/>
        <v>1.5465397419561724</v>
      </c>
      <c r="V658" s="15">
        <f t="shared" si="215"/>
        <v>0</v>
      </c>
      <c r="W658" s="15">
        <f t="shared" si="216"/>
        <v>0</v>
      </c>
      <c r="X658" s="15">
        <f t="shared" si="217"/>
        <v>0</v>
      </c>
      <c r="Y658" s="15">
        <f t="shared" si="218"/>
        <v>0</v>
      </c>
      <c r="Z658" s="15">
        <f t="shared" si="219"/>
        <v>0</v>
      </c>
      <c r="AA658" s="15">
        <f t="shared" si="220"/>
        <v>0</v>
      </c>
      <c r="AC658" s="1"/>
      <c r="AD658" s="1"/>
      <c r="AE658" s="1"/>
    </row>
    <row r="659" spans="1:31">
      <c r="A659">
        <v>922</v>
      </c>
      <c r="B659">
        <f t="shared" si="200"/>
        <v>0.62994561925685766</v>
      </c>
      <c r="C659">
        <v>0.60932432758732646</v>
      </c>
      <c r="D659">
        <f t="shared" si="201"/>
        <v>1.6411621114154238</v>
      </c>
      <c r="E659" s="1">
        <f t="shared" si="202"/>
        <v>0.10852102011463152</v>
      </c>
      <c r="F659" s="1">
        <f t="shared" si="203"/>
        <v>0.12588438333297258</v>
      </c>
      <c r="G659" s="1">
        <f t="shared" si="204"/>
        <v>3.9067567241267358E-2</v>
      </c>
      <c r="H659" s="1">
        <f t="shared" si="205"/>
        <v>3.7856738291909012E-2</v>
      </c>
      <c r="I659" s="1">
        <f t="shared" si="206"/>
        <v>0.1391287905819826</v>
      </c>
      <c r="J659" s="1">
        <f t="shared" si="207"/>
        <v>0.15073033063631189</v>
      </c>
      <c r="K659" s="1">
        <f t="shared" si="208"/>
        <v>9.2685581286076749E-2</v>
      </c>
      <c r="L659" s="1">
        <f t="shared" si="209"/>
        <v>9.1905142516005622E-2</v>
      </c>
      <c r="M659" s="1">
        <f t="shared" si="210"/>
        <v>0.20034433151668446</v>
      </c>
      <c r="N659" s="1">
        <f t="shared" si="211"/>
        <v>0.20042222524299025</v>
      </c>
      <c r="O659" s="1">
        <f t="shared" si="212"/>
        <v>0.19992160937569542</v>
      </c>
      <c r="P659" s="1">
        <f t="shared" si="213"/>
        <v>0.20000195096419882</v>
      </c>
      <c r="Q659" s="1">
        <f t="shared" si="214"/>
        <v>3.0385885632096832</v>
      </c>
      <c r="T659">
        <v>0.40986118192705978</v>
      </c>
      <c r="U659">
        <f t="shared" si="221"/>
        <v>2.439850476442444</v>
      </c>
      <c r="V659" s="15">
        <f t="shared" si="215"/>
        <v>6.377523229929026E-2</v>
      </c>
      <c r="W659" s="15">
        <f t="shared" si="216"/>
        <v>6.8643928755511535E-2</v>
      </c>
      <c r="X659" s="15">
        <f t="shared" si="217"/>
        <v>7.838132166795396E-2</v>
      </c>
      <c r="Y659" s="15">
        <f t="shared" si="218"/>
        <v>8.9561701631657123E-2</v>
      </c>
      <c r="Z659" s="15">
        <f t="shared" si="219"/>
        <v>9.3844359400836658E-2</v>
      </c>
      <c r="AA659" s="15">
        <f t="shared" si="220"/>
        <v>0.10240967493919573</v>
      </c>
      <c r="AC659" s="1"/>
      <c r="AD659" s="1"/>
      <c r="AE659" s="1"/>
    </row>
    <row r="660" spans="1:31">
      <c r="A660">
        <v>242</v>
      </c>
      <c r="B660">
        <f t="shared" si="200"/>
        <v>0.63184823972901327</v>
      </c>
      <c r="C660">
        <v>0.61106967108107157</v>
      </c>
      <c r="D660">
        <f t="shared" si="201"/>
        <v>1.6364746072749017</v>
      </c>
      <c r="E660" s="1">
        <f t="shared" si="202"/>
        <v>0.10803620247748011</v>
      </c>
      <c r="F660" s="1">
        <f t="shared" si="203"/>
        <v>0.12532199487387694</v>
      </c>
      <c r="G660" s="1">
        <f t="shared" si="204"/>
        <v>3.8893032891892845E-2</v>
      </c>
      <c r="H660" s="1">
        <f t="shared" si="205"/>
        <v>3.7687613320640259E-2</v>
      </c>
      <c r="I660" s="1">
        <f t="shared" si="206"/>
        <v>0.1385072327359686</v>
      </c>
      <c r="J660" s="1">
        <f t="shared" si="207"/>
        <v>0.15005694291226582</v>
      </c>
      <c r="K660" s="1">
        <f t="shared" si="208"/>
        <v>9.2271508468942734E-2</v>
      </c>
      <c r="L660" s="1">
        <f t="shared" si="209"/>
        <v>9.1494556308931566E-2</v>
      </c>
      <c r="M660" s="1">
        <f t="shared" si="210"/>
        <v>0.19944929325294536</v>
      </c>
      <c r="N660" s="1">
        <f t="shared" si="211"/>
        <v>0.19952683898904333</v>
      </c>
      <c r="O660" s="1">
        <f t="shared" si="212"/>
        <v>0.19902845962304239</v>
      </c>
      <c r="P660" s="1">
        <f t="shared" si="213"/>
        <v>0.19910844228551411</v>
      </c>
      <c r="Q660" s="1">
        <f t="shared" si="214"/>
        <v>3.0250136693694438</v>
      </c>
      <c r="T660">
        <v>0.95105118133498978</v>
      </c>
      <c r="U660">
        <f t="shared" si="221"/>
        <v>1.0514681224582476</v>
      </c>
      <c r="V660" s="15">
        <f t="shared" si="215"/>
        <v>0</v>
      </c>
      <c r="W660" s="15">
        <f t="shared" si="216"/>
        <v>0</v>
      </c>
      <c r="X660" s="15">
        <f t="shared" si="217"/>
        <v>0</v>
      </c>
      <c r="Y660" s="15">
        <f t="shared" si="218"/>
        <v>0</v>
      </c>
      <c r="Z660" s="15">
        <f t="shared" si="219"/>
        <v>0</v>
      </c>
      <c r="AA660" s="15">
        <f t="shared" si="220"/>
        <v>0</v>
      </c>
      <c r="AC660" s="1"/>
      <c r="AD660" s="1"/>
      <c r="AE660" s="1"/>
    </row>
    <row r="661" spans="1:31">
      <c r="A661">
        <v>597</v>
      </c>
      <c r="B661">
        <f t="shared" si="200"/>
        <v>0.63291203661582085</v>
      </c>
      <c r="C661">
        <v>0.61187512169278901</v>
      </c>
      <c r="D661">
        <f t="shared" si="201"/>
        <v>1.6343204104024369</v>
      </c>
      <c r="E661" s="1">
        <f t="shared" si="202"/>
        <v>0.10781246619644749</v>
      </c>
      <c r="F661" s="1">
        <f t="shared" si="203"/>
        <v>0.12506246078787908</v>
      </c>
      <c r="G661" s="1">
        <f t="shared" si="204"/>
        <v>3.8812487830721103E-2</v>
      </c>
      <c r="H661" s="1">
        <f t="shared" si="205"/>
        <v>3.7609564608708596E-2</v>
      </c>
      <c r="I661" s="1">
        <f t="shared" si="206"/>
        <v>0.13822039283936149</v>
      </c>
      <c r="J661" s="1">
        <f t="shared" si="207"/>
        <v>0.14974618428154374</v>
      </c>
      <c r="K661" s="1">
        <f t="shared" si="208"/>
        <v>9.2080419892366622E-2</v>
      </c>
      <c r="L661" s="1">
        <f t="shared" si="209"/>
        <v>9.1305076752136172E-2</v>
      </c>
      <c r="M661" s="1">
        <f t="shared" si="210"/>
        <v>0.19903624612518928</v>
      </c>
      <c r="N661" s="1">
        <f t="shared" si="211"/>
        <v>0.19911363126887277</v>
      </c>
      <c r="O661" s="1">
        <f t="shared" si="212"/>
        <v>0.19861628401565751</v>
      </c>
      <c r="P661" s="1">
        <f t="shared" si="213"/>
        <v>0.19869610103899127</v>
      </c>
      <c r="Q661" s="1">
        <f t="shared" si="214"/>
        <v>3.0187490535005304</v>
      </c>
      <c r="T661">
        <v>0.44288048793776169</v>
      </c>
      <c r="U661">
        <f t="shared" si="221"/>
        <v>2.2579454892140807</v>
      </c>
      <c r="V661" s="15">
        <f t="shared" si="215"/>
        <v>6.161515681077636E-2</v>
      </c>
      <c r="W661" s="15">
        <f t="shared" si="216"/>
        <v>6.6569930278615894E-2</v>
      </c>
      <c r="X661" s="15">
        <f t="shared" si="217"/>
        <v>7.6479477214294794E-2</v>
      </c>
      <c r="Y661" s="15">
        <f t="shared" si="218"/>
        <v>8.6364698854296471E-2</v>
      </c>
      <c r="Z661" s="15">
        <f t="shared" si="219"/>
        <v>9.073336234414546E-2</v>
      </c>
      <c r="AA661" s="15">
        <f t="shared" si="220"/>
        <v>9.9470689323843411E-2</v>
      </c>
      <c r="AC661" s="1"/>
      <c r="AD661" s="1"/>
      <c r="AE661" s="1"/>
    </row>
    <row r="662" spans="1:31">
      <c r="A662">
        <v>699</v>
      </c>
      <c r="B662">
        <f t="shared" si="200"/>
        <v>0.63301058694115275</v>
      </c>
      <c r="C662">
        <v>0.61206083171081582</v>
      </c>
      <c r="D662">
        <f t="shared" si="201"/>
        <v>1.6338245288541453</v>
      </c>
      <c r="E662" s="1">
        <f t="shared" si="202"/>
        <v>0.10776088008032891</v>
      </c>
      <c r="F662" s="1">
        <f t="shared" si="203"/>
        <v>0.12500262089318157</v>
      </c>
      <c r="G662" s="1">
        <f t="shared" si="204"/>
        <v>3.8793916828918425E-2</v>
      </c>
      <c r="H662" s="1">
        <f t="shared" si="205"/>
        <v>3.759156918169055E-2</v>
      </c>
      <c r="I662" s="1">
        <f t="shared" si="206"/>
        <v>0.13815425713644591</v>
      </c>
      <c r="J662" s="1">
        <f t="shared" si="207"/>
        <v>0.14967453371715925</v>
      </c>
      <c r="K662" s="1">
        <f t="shared" si="208"/>
        <v>9.2036361246827819E-2</v>
      </c>
      <c r="L662" s="1">
        <f t="shared" si="209"/>
        <v>9.1261389092835557E-2</v>
      </c>
      <c r="M662" s="1">
        <f t="shared" si="210"/>
        <v>0.19894101124867963</v>
      </c>
      <c r="N662" s="1">
        <f t="shared" si="211"/>
        <v>0.19901835936511442</v>
      </c>
      <c r="O662" s="1">
        <f t="shared" si="212"/>
        <v>0.19852125008264648</v>
      </c>
      <c r="P662" s="1">
        <f t="shared" si="213"/>
        <v>0.19860102891512549</v>
      </c>
      <c r="Q662" s="1">
        <f t="shared" si="214"/>
        <v>3.0173046422492105</v>
      </c>
      <c r="T662">
        <v>0.89766885436978472</v>
      </c>
      <c r="U662">
        <f t="shared" si="221"/>
        <v>1.1139965424132461</v>
      </c>
      <c r="V662" s="15">
        <f t="shared" si="215"/>
        <v>0</v>
      </c>
      <c r="W662" s="15">
        <f t="shared" si="216"/>
        <v>0</v>
      </c>
      <c r="X662" s="15">
        <f t="shared" si="217"/>
        <v>0</v>
      </c>
      <c r="Y662" s="15">
        <f t="shared" si="218"/>
        <v>0</v>
      </c>
      <c r="Z662" s="15">
        <f t="shared" si="219"/>
        <v>0</v>
      </c>
      <c r="AA662" s="15">
        <f t="shared" si="220"/>
        <v>0</v>
      </c>
      <c r="AC662" s="1"/>
      <c r="AD662" s="1"/>
      <c r="AE662" s="1"/>
    </row>
    <row r="663" spans="1:31">
      <c r="A663">
        <v>684</v>
      </c>
      <c r="B663">
        <f t="shared" si="200"/>
        <v>0.63346821662974684</v>
      </c>
      <c r="C663">
        <v>0.61330276314060928</v>
      </c>
      <c r="D663">
        <f t="shared" si="201"/>
        <v>1.6305160519401318</v>
      </c>
      <c r="E663" s="1">
        <f t="shared" si="202"/>
        <v>0.10741589912760852</v>
      </c>
      <c r="F663" s="1">
        <f t="shared" si="203"/>
        <v>0.12460244298802589</v>
      </c>
      <c r="G663" s="1">
        <f t="shared" si="204"/>
        <v>3.8669723685939079E-2</v>
      </c>
      <c r="H663" s="1">
        <f t="shared" si="205"/>
        <v>3.7471225181707556E-2</v>
      </c>
      <c r="I663" s="1">
        <f t="shared" si="206"/>
        <v>0.13771197616014189</v>
      </c>
      <c r="J663" s="1">
        <f t="shared" si="207"/>
        <v>0.1491953722329431</v>
      </c>
      <c r="K663" s="1">
        <f t="shared" si="208"/>
        <v>9.17417200786768E-2</v>
      </c>
      <c r="L663" s="1">
        <f t="shared" si="209"/>
        <v>9.0969228886530959E-2</v>
      </c>
      <c r="M663" s="1">
        <f t="shared" si="210"/>
        <v>0.19830413022520832</v>
      </c>
      <c r="N663" s="1">
        <f t="shared" si="211"/>
        <v>0.1983812307227773</v>
      </c>
      <c r="O663" s="1">
        <f t="shared" si="212"/>
        <v>0.19788571286415213</v>
      </c>
      <c r="P663" s="1">
        <f t="shared" si="213"/>
        <v>0.19796523629617768</v>
      </c>
      <c r="Q663" s="1">
        <f t="shared" si="214"/>
        <v>3.0076451755730393</v>
      </c>
      <c r="T663">
        <v>0.43116287945630849</v>
      </c>
      <c r="U663">
        <f t="shared" si="221"/>
        <v>2.3193091234129168</v>
      </c>
      <c r="V663" s="15">
        <f t="shared" si="215"/>
        <v>6.2381705897440569E-2</v>
      </c>
      <c r="W663" s="15">
        <f t="shared" si="216"/>
        <v>6.7305933092712489E-2</v>
      </c>
      <c r="X663" s="15">
        <f t="shared" si="217"/>
        <v>7.715438748325619E-2</v>
      </c>
      <c r="Y663" s="15">
        <f t="shared" si="218"/>
        <v>8.7499223815150851E-2</v>
      </c>
      <c r="Z663" s="15">
        <f t="shared" si="219"/>
        <v>9.1837366331553483E-2</v>
      </c>
      <c r="AA663" s="15">
        <f t="shared" si="220"/>
        <v>0.10051365136435872</v>
      </c>
      <c r="AC663" s="1"/>
      <c r="AD663" s="1"/>
      <c r="AE663" s="1"/>
    </row>
    <row r="664" spans="1:31">
      <c r="A664">
        <v>787</v>
      </c>
      <c r="B664">
        <f t="shared" si="200"/>
        <v>0.63550225084033107</v>
      </c>
      <c r="C664">
        <v>0.61663708790005334</v>
      </c>
      <c r="D664">
        <f t="shared" si="201"/>
        <v>1.621699407353979</v>
      </c>
      <c r="E664" s="1">
        <f t="shared" si="202"/>
        <v>0.10648969780554074</v>
      </c>
      <c r="F664" s="1">
        <f t="shared" si="203"/>
        <v>0.12352804945442725</v>
      </c>
      <c r="G664" s="1">
        <f t="shared" si="204"/>
        <v>3.8336291209994669E-2</v>
      </c>
      <c r="H664" s="1">
        <f t="shared" si="205"/>
        <v>3.7148126845384294E-2</v>
      </c>
      <c r="I664" s="1">
        <f t="shared" si="206"/>
        <v>0.13652454473313716</v>
      </c>
      <c r="J664" s="1">
        <f t="shared" si="207"/>
        <v>0.14790892439672115</v>
      </c>
      <c r="K664" s="1">
        <f t="shared" si="208"/>
        <v>9.0950670493692182E-2</v>
      </c>
      <c r="L664" s="1">
        <f t="shared" si="209"/>
        <v>9.0184840162454843E-2</v>
      </c>
      <c r="M664" s="1">
        <f t="shared" si="210"/>
        <v>0.19659423858832975</v>
      </c>
      <c r="N664" s="1">
        <f t="shared" si="211"/>
        <v>0.19667067428130869</v>
      </c>
      <c r="O664" s="1">
        <f t="shared" si="212"/>
        <v>0.1961794290610871</v>
      </c>
      <c r="P664" s="1">
        <f t="shared" si="213"/>
        <v>0.19625826679659591</v>
      </c>
      <c r="Q664" s="1">
        <f t="shared" si="214"/>
        <v>2.9817115385551407</v>
      </c>
      <c r="T664">
        <v>0.46939727778710949</v>
      </c>
      <c r="U664">
        <f t="shared" si="221"/>
        <v>2.1303915623761673</v>
      </c>
      <c r="V664" s="15">
        <f t="shared" si="215"/>
        <v>5.9880466573220006E-2</v>
      </c>
      <c r="W664" s="15">
        <f t="shared" si="216"/>
        <v>6.4904365843618847E-2</v>
      </c>
      <c r="X664" s="15">
        <f t="shared" si="217"/>
        <v>7.4952164384416348E-2</v>
      </c>
      <c r="Y664" s="15">
        <f t="shared" si="218"/>
        <v>8.3797284179754933E-2</v>
      </c>
      <c r="Z664" s="15">
        <f t="shared" si="219"/>
        <v>8.8235016220593293E-2</v>
      </c>
      <c r="AA664" s="15">
        <f t="shared" si="220"/>
        <v>9.7110480302269958E-2</v>
      </c>
      <c r="AC664" s="1"/>
      <c r="AD664" s="1"/>
      <c r="AE664" s="1"/>
    </row>
    <row r="665" spans="1:31">
      <c r="A665">
        <v>725</v>
      </c>
      <c r="B665">
        <f t="shared" si="200"/>
        <v>0.63555638167105288</v>
      </c>
      <c r="C665">
        <v>0.61678528413846778</v>
      </c>
      <c r="D665">
        <f t="shared" si="201"/>
        <v>1.6213097583818177</v>
      </c>
      <c r="E665" s="1">
        <f t="shared" si="202"/>
        <v>0.10644853218375894</v>
      </c>
      <c r="F665" s="1">
        <f t="shared" si="203"/>
        <v>0.12348029733316038</v>
      </c>
      <c r="G665" s="1">
        <f t="shared" si="204"/>
        <v>3.8321471586153226E-2</v>
      </c>
      <c r="H665" s="1">
        <f t="shared" si="205"/>
        <v>3.7133766529117727E-2</v>
      </c>
      <c r="I665" s="1">
        <f t="shared" si="206"/>
        <v>0.13647176856898013</v>
      </c>
      <c r="J665" s="1">
        <f t="shared" si="207"/>
        <v>0.1478517473836829</v>
      </c>
      <c r="K665" s="1">
        <f t="shared" si="208"/>
        <v>9.091551177900431E-2</v>
      </c>
      <c r="L665" s="1">
        <f t="shared" si="209"/>
        <v>9.0149977494073927E-2</v>
      </c>
      <c r="M665" s="1">
        <f t="shared" si="210"/>
        <v>0.19651824133942231</v>
      </c>
      <c r="N665" s="1">
        <f t="shared" si="211"/>
        <v>0.19659464748472771</v>
      </c>
      <c r="O665" s="1">
        <f t="shared" si="212"/>
        <v>0.19610359216470635</v>
      </c>
      <c r="P665" s="1">
        <f t="shared" si="213"/>
        <v>0.1961823994239863</v>
      </c>
      <c r="Q665" s="1">
        <f t="shared" si="214"/>
        <v>2.9805589011452511</v>
      </c>
      <c r="T665">
        <v>0.84302790692666929</v>
      </c>
      <c r="U665">
        <f t="shared" si="221"/>
        <v>1.1862003520685169</v>
      </c>
      <c r="V665" s="15">
        <f t="shared" si="215"/>
        <v>0</v>
      </c>
      <c r="W665" s="15">
        <f t="shared" si="216"/>
        <v>0</v>
      </c>
      <c r="X665" s="15">
        <f t="shared" si="217"/>
        <v>0</v>
      </c>
      <c r="Y665" s="15">
        <f t="shared" si="218"/>
        <v>0</v>
      </c>
      <c r="Z665" s="15">
        <f t="shared" si="219"/>
        <v>0</v>
      </c>
      <c r="AA665" s="15">
        <f t="shared" si="220"/>
        <v>0</v>
      </c>
      <c r="AC665" s="1"/>
      <c r="AD665" s="1"/>
      <c r="AE665" s="1"/>
    </row>
    <row r="666" spans="1:31">
      <c r="A666">
        <v>271</v>
      </c>
      <c r="B666">
        <f t="shared" si="200"/>
        <v>0.63566691178749934</v>
      </c>
      <c r="C666">
        <v>0.6170878870593991</v>
      </c>
      <c r="D666">
        <f t="shared" si="201"/>
        <v>1.6205147126858819</v>
      </c>
      <c r="E666" s="1">
        <f t="shared" si="202"/>
        <v>0.10636447581683356</v>
      </c>
      <c r="F666" s="1">
        <f t="shared" si="203"/>
        <v>0.12338279194752694</v>
      </c>
      <c r="G666" s="1">
        <f t="shared" si="204"/>
        <v>3.8291211294060094E-2</v>
      </c>
      <c r="H666" s="1">
        <f t="shared" si="205"/>
        <v>3.7104444100328343E-2</v>
      </c>
      <c r="I666" s="1">
        <f t="shared" si="206"/>
        <v>0.13636400455553196</v>
      </c>
      <c r="J666" s="1">
        <f t="shared" si="207"/>
        <v>0.14773499724656325</v>
      </c>
      <c r="K666" s="1">
        <f t="shared" si="208"/>
        <v>9.0843720957087551E-2</v>
      </c>
      <c r="L666" s="1">
        <f t="shared" si="209"/>
        <v>9.0078791171152403E-2</v>
      </c>
      <c r="M666" s="1">
        <f t="shared" si="210"/>
        <v>0.19636306203292853</v>
      </c>
      <c r="N666" s="1">
        <f t="shared" si="211"/>
        <v>0.19643940784463559</v>
      </c>
      <c r="O666" s="1">
        <f t="shared" si="212"/>
        <v>0.19594874028314235</v>
      </c>
      <c r="P666" s="1">
        <f t="shared" si="213"/>
        <v>0.19602748531280045</v>
      </c>
      <c r="Q666" s="1">
        <f t="shared" si="214"/>
        <v>2.9782053228713403</v>
      </c>
      <c r="T666">
        <v>0.9209834836373979</v>
      </c>
      <c r="U666">
        <f t="shared" si="221"/>
        <v>1.0857958017341729</v>
      </c>
      <c r="V666" s="15">
        <f t="shared" si="215"/>
        <v>0</v>
      </c>
      <c r="W666" s="15">
        <f t="shared" si="216"/>
        <v>0</v>
      </c>
      <c r="X666" s="15">
        <f t="shared" si="217"/>
        <v>0</v>
      </c>
      <c r="Y666" s="15">
        <f t="shared" si="218"/>
        <v>0</v>
      </c>
      <c r="Z666" s="15">
        <f t="shared" si="219"/>
        <v>0</v>
      </c>
      <c r="AA666" s="15">
        <f t="shared" si="220"/>
        <v>0</v>
      </c>
      <c r="AC666" s="1"/>
      <c r="AD666" s="1"/>
      <c r="AE666" s="1"/>
    </row>
    <row r="667" spans="1:31">
      <c r="A667">
        <v>585</v>
      </c>
      <c r="B667">
        <f t="shared" si="200"/>
        <v>0.63582721638643336</v>
      </c>
      <c r="C667">
        <v>0.61752675966204995</v>
      </c>
      <c r="D667">
        <f t="shared" si="201"/>
        <v>1.6193630224984319</v>
      </c>
      <c r="E667" s="1">
        <f t="shared" si="202"/>
        <v>0.10624256676054167</v>
      </c>
      <c r="F667" s="1">
        <f t="shared" si="203"/>
        <v>0.12324137744222835</v>
      </c>
      <c r="G667" s="1">
        <f t="shared" si="204"/>
        <v>3.8247324033795008E-2</v>
      </c>
      <c r="H667" s="1">
        <f t="shared" si="205"/>
        <v>3.706191704672545E-2</v>
      </c>
      <c r="I667" s="1">
        <f t="shared" si="206"/>
        <v>0.13620771170512413</v>
      </c>
      <c r="J667" s="1">
        <f t="shared" si="207"/>
        <v>0.14756567159570749</v>
      </c>
      <c r="K667" s="1">
        <f t="shared" si="208"/>
        <v>9.0739600928225708E-2</v>
      </c>
      <c r="L667" s="1">
        <f t="shared" si="209"/>
        <v>8.9975547862338467E-2</v>
      </c>
      <c r="M667" s="1">
        <f t="shared" si="210"/>
        <v>0.19613800159428879</v>
      </c>
      <c r="N667" s="1">
        <f t="shared" si="211"/>
        <v>0.19621425990266561</v>
      </c>
      <c r="O667" s="1">
        <f t="shared" si="212"/>
        <v>0.19572415471708698</v>
      </c>
      <c r="P667" s="1">
        <f t="shared" si="213"/>
        <v>0.19580280949356443</v>
      </c>
      <c r="Q667" s="1">
        <f t="shared" si="214"/>
        <v>2.9747918692951671</v>
      </c>
      <c r="T667">
        <v>0.91854945375153618</v>
      </c>
      <c r="U667">
        <f t="shared" si="221"/>
        <v>1.0886730114702086</v>
      </c>
      <c r="V667" s="15">
        <f t="shared" si="215"/>
        <v>0</v>
      </c>
      <c r="W667" s="15">
        <f t="shared" si="216"/>
        <v>0</v>
      </c>
      <c r="X667" s="15">
        <f t="shared" si="217"/>
        <v>0</v>
      </c>
      <c r="Y667" s="15">
        <f t="shared" si="218"/>
        <v>0</v>
      </c>
      <c r="Z667" s="15">
        <f t="shared" si="219"/>
        <v>0</v>
      </c>
      <c r="AA667" s="15">
        <f t="shared" si="220"/>
        <v>0</v>
      </c>
      <c r="AC667" s="1"/>
      <c r="AD667" s="1"/>
      <c r="AE667" s="1"/>
    </row>
    <row r="668" spans="1:31">
      <c r="A668">
        <v>351</v>
      </c>
      <c r="B668">
        <f t="shared" si="200"/>
        <v>0.63585819934454335</v>
      </c>
      <c r="C668">
        <v>0.61761158300182917</v>
      </c>
      <c r="D668">
        <f t="shared" si="201"/>
        <v>1.6191406176995846</v>
      </c>
      <c r="E668" s="1">
        <f t="shared" si="202"/>
        <v>0.10621900472171411</v>
      </c>
      <c r="F668" s="1">
        <f t="shared" si="203"/>
        <v>0.12321404547718837</v>
      </c>
      <c r="G668" s="1">
        <f t="shared" si="204"/>
        <v>3.8238841699817089E-2</v>
      </c>
      <c r="H668" s="1">
        <f t="shared" si="205"/>
        <v>3.7053697607426252E-2</v>
      </c>
      <c r="I668" s="1">
        <f t="shared" si="206"/>
        <v>0.13617750411988155</v>
      </c>
      <c r="J668" s="1">
        <f t="shared" si="207"/>
        <v>0.14753294508890549</v>
      </c>
      <c r="K668" s="1">
        <f t="shared" si="208"/>
        <v>9.0719477073301469E-2</v>
      </c>
      <c r="L668" s="1">
        <f t="shared" si="209"/>
        <v>8.9955593455955926E-2</v>
      </c>
      <c r="M668" s="1">
        <f t="shared" si="210"/>
        <v>0.19609450291621616</v>
      </c>
      <c r="N668" s="1">
        <f t="shared" si="211"/>
        <v>0.1961707443123395</v>
      </c>
      <c r="O668" s="1">
        <f t="shared" si="212"/>
        <v>0.19568074782027012</v>
      </c>
      <c r="P668" s="1">
        <f t="shared" si="213"/>
        <v>0.19575938515301522</v>
      </c>
      <c r="Q668" s="1">
        <f t="shared" si="214"/>
        <v>2.9741321322079957</v>
      </c>
      <c r="T668">
        <v>0.25300682297491706</v>
      </c>
      <c r="U668">
        <f t="shared" si="221"/>
        <v>3.9524625788417547</v>
      </c>
      <c r="V668" s="15">
        <f t="shared" si="215"/>
        <v>7.4036418767875325E-2</v>
      </c>
      <c r="W668" s="15">
        <f t="shared" si="216"/>
        <v>7.8496216427934071E-2</v>
      </c>
      <c r="X668" s="15">
        <f t="shared" si="217"/>
        <v>8.7415811748051631E-2</v>
      </c>
      <c r="Y668" s="15">
        <f t="shared" si="218"/>
        <v>0.10474869014827208</v>
      </c>
      <c r="Z668" s="15">
        <f t="shared" si="219"/>
        <v>0.10862278778061979</v>
      </c>
      <c r="AA668" s="15">
        <f t="shared" si="220"/>
        <v>0.1163709830453153</v>
      </c>
      <c r="AC668" s="1"/>
      <c r="AD668" s="1"/>
      <c r="AE668" s="1"/>
    </row>
    <row r="669" spans="1:31">
      <c r="A669">
        <v>584</v>
      </c>
      <c r="B669">
        <f t="shared" si="200"/>
        <v>0.63607552738139295</v>
      </c>
      <c r="C669">
        <v>0.61780685932342905</v>
      </c>
      <c r="D669">
        <f t="shared" si="201"/>
        <v>1.6186288399178947</v>
      </c>
      <c r="E669" s="1">
        <f t="shared" si="202"/>
        <v>0.10616476129904748</v>
      </c>
      <c r="F669" s="1">
        <f t="shared" si="203"/>
        <v>0.12315112310689508</v>
      </c>
      <c r="G669" s="1">
        <f t="shared" si="204"/>
        <v>3.8219314067657099E-2</v>
      </c>
      <c r="H669" s="1">
        <f t="shared" si="205"/>
        <v>3.7034775199087488E-2</v>
      </c>
      <c r="I669" s="1">
        <f t="shared" si="206"/>
        <v>0.13610796163138794</v>
      </c>
      <c r="J669" s="1">
        <f t="shared" si="207"/>
        <v>0.14745760365712804</v>
      </c>
      <c r="K669" s="1">
        <f t="shared" si="208"/>
        <v>9.0673148876648943E-2</v>
      </c>
      <c r="L669" s="1">
        <f t="shared" si="209"/>
        <v>8.990965535580292E-2</v>
      </c>
      <c r="M669" s="1">
        <f t="shared" si="210"/>
        <v>0.19599436229606865</v>
      </c>
      <c r="N669" s="1">
        <f t="shared" si="211"/>
        <v>0.19607056475759366</v>
      </c>
      <c r="O669" s="1">
        <f t="shared" si="212"/>
        <v>0.19558081849463255</v>
      </c>
      <c r="P669" s="1">
        <f t="shared" si="213"/>
        <v>0.19565941566923373</v>
      </c>
      <c r="Q669" s="1">
        <f t="shared" si="214"/>
        <v>2.9726133163733302</v>
      </c>
      <c r="T669">
        <v>0.60820138987714834</v>
      </c>
      <c r="U669">
        <f t="shared" si="221"/>
        <v>1.6441922308036681</v>
      </c>
      <c r="V669" s="15">
        <f t="shared" si="215"/>
        <v>0</v>
      </c>
      <c r="W669" s="15">
        <f t="shared" si="216"/>
        <v>0</v>
      </c>
      <c r="X669" s="15">
        <f t="shared" si="217"/>
        <v>0</v>
      </c>
      <c r="Y669" s="15">
        <f t="shared" si="218"/>
        <v>0</v>
      </c>
      <c r="Z669" s="15">
        <f t="shared" si="219"/>
        <v>0</v>
      </c>
      <c r="AA669" s="15">
        <f t="shared" si="220"/>
        <v>0</v>
      </c>
      <c r="AC669" s="1"/>
      <c r="AD669" s="1"/>
      <c r="AE669" s="1"/>
    </row>
    <row r="670" spans="1:31">
      <c r="A670">
        <v>260</v>
      </c>
      <c r="B670">
        <f t="shared" si="200"/>
        <v>0.63772480435958867</v>
      </c>
      <c r="C670">
        <v>0.61896435160640884</v>
      </c>
      <c r="D670">
        <f t="shared" si="201"/>
        <v>1.615601928293096</v>
      </c>
      <c r="E670" s="1">
        <f t="shared" si="202"/>
        <v>0.10584323566488643</v>
      </c>
      <c r="F670" s="1">
        <f t="shared" si="203"/>
        <v>0.12277815337126827</v>
      </c>
      <c r="G670" s="1">
        <f t="shared" si="204"/>
        <v>3.8103564839359123E-2</v>
      </c>
      <c r="H670" s="1">
        <f t="shared" si="205"/>
        <v>3.6922613409844103E-2</v>
      </c>
      <c r="I670" s="1">
        <f t="shared" si="206"/>
        <v>0.1356957514201802</v>
      </c>
      <c r="J670" s="1">
        <f t="shared" si="207"/>
        <v>0.14701102045053863</v>
      </c>
      <c r="K670" s="1">
        <f t="shared" si="208"/>
        <v>9.039854041582622E-2</v>
      </c>
      <c r="L670" s="1">
        <f t="shared" si="209"/>
        <v>8.9637359175773396E-2</v>
      </c>
      <c r="M670" s="1">
        <f t="shared" si="210"/>
        <v>0.19540078293076751</v>
      </c>
      <c r="N670" s="1">
        <f t="shared" si="211"/>
        <v>0.1954767546090791</v>
      </c>
      <c r="O670" s="1">
        <f t="shared" si="212"/>
        <v>0.1949884915687603</v>
      </c>
      <c r="P670" s="1">
        <f t="shared" si="213"/>
        <v>0.19506685070763197</v>
      </c>
      <c r="Q670" s="1">
        <f t="shared" si="214"/>
        <v>2.9636105986168202</v>
      </c>
      <c r="T670">
        <v>0.19203400811345173</v>
      </c>
      <c r="U670">
        <f t="shared" si="221"/>
        <v>5.2074109675886691</v>
      </c>
      <c r="V670" s="15">
        <f t="shared" si="215"/>
        <v>7.858728244215854E-2</v>
      </c>
      <c r="W670" s="15">
        <f t="shared" si="216"/>
        <v>8.2845761987292904E-2</v>
      </c>
      <c r="X670" s="15">
        <f t="shared" si="217"/>
        <v>9.1362721077561715E-2</v>
      </c>
      <c r="Y670" s="15">
        <f t="shared" si="218"/>
        <v>0.11148313665366046</v>
      </c>
      <c r="Z670" s="15">
        <f t="shared" si="219"/>
        <v>0.11515320182282972</v>
      </c>
      <c r="AA670" s="15">
        <f t="shared" si="220"/>
        <v>0.12249333216116837</v>
      </c>
      <c r="AC670" s="1"/>
      <c r="AD670" s="1"/>
      <c r="AE670" s="1"/>
    </row>
    <row r="671" spans="1:31">
      <c r="A671">
        <v>831</v>
      </c>
      <c r="B671">
        <f t="shared" si="200"/>
        <v>0.63862189943273995</v>
      </c>
      <c r="C671">
        <v>0.61939127149471374</v>
      </c>
      <c r="D671">
        <f t="shared" si="201"/>
        <v>1.6144883630452236</v>
      </c>
      <c r="E671" s="1">
        <f t="shared" si="202"/>
        <v>0.10572464680702395</v>
      </c>
      <c r="F671" s="1">
        <f t="shared" si="203"/>
        <v>0.12264059029614779</v>
      </c>
      <c r="G671" s="1">
        <f t="shared" si="204"/>
        <v>3.8060872850528629E-2</v>
      </c>
      <c r="H671" s="1">
        <f t="shared" si="205"/>
        <v>3.6881244582388423E-2</v>
      </c>
      <c r="I671" s="1">
        <f t="shared" si="206"/>
        <v>0.13554371521232411</v>
      </c>
      <c r="J671" s="1">
        <f t="shared" si="207"/>
        <v>0.14684630639111942</v>
      </c>
      <c r="K671" s="1">
        <f t="shared" si="208"/>
        <v>9.029725610046109E-2</v>
      </c>
      <c r="L671" s="1">
        <f t="shared" si="209"/>
        <v>8.9536927702947688E-2</v>
      </c>
      <c r="M671" s="1">
        <f t="shared" si="210"/>
        <v>0.19518185202292415</v>
      </c>
      <c r="N671" s="1">
        <f t="shared" si="211"/>
        <v>0.19525773858106249</v>
      </c>
      <c r="O671" s="1">
        <f t="shared" si="212"/>
        <v>0.19477002260032589</v>
      </c>
      <c r="P671" s="1">
        <f t="shared" si="213"/>
        <v>0.19484829394406616</v>
      </c>
      <c r="Q671" s="1">
        <f t="shared" si="214"/>
        <v>2.960290110596671</v>
      </c>
      <c r="T671">
        <v>0.85125040191149093</v>
      </c>
      <c r="U671">
        <f t="shared" si="221"/>
        <v>1.1747424703171834</v>
      </c>
      <c r="V671" s="15">
        <f t="shared" si="215"/>
        <v>0</v>
      </c>
      <c r="W671" s="15">
        <f t="shared" si="216"/>
        <v>0</v>
      </c>
      <c r="X671" s="15">
        <f t="shared" si="217"/>
        <v>0</v>
      </c>
      <c r="Y671" s="15">
        <f t="shared" si="218"/>
        <v>0</v>
      </c>
      <c r="Z671" s="15">
        <f t="shared" si="219"/>
        <v>0</v>
      </c>
      <c r="AA671" s="15">
        <f t="shared" si="220"/>
        <v>0</v>
      </c>
      <c r="AC671" s="1"/>
      <c r="AD671" s="1"/>
      <c r="AE671" s="1"/>
    </row>
    <row r="672" spans="1:31">
      <c r="A672">
        <v>797</v>
      </c>
      <c r="B672">
        <f t="shared" si="200"/>
        <v>0.63916959390673356</v>
      </c>
      <c r="C672">
        <v>0.62003688468586826</v>
      </c>
      <c r="D672">
        <f t="shared" si="201"/>
        <v>1.6128072775970965</v>
      </c>
      <c r="E672" s="1">
        <f t="shared" si="202"/>
        <v>0.10554530980948101</v>
      </c>
      <c r="F672" s="1">
        <f t="shared" si="203"/>
        <v>0.122432559378998</v>
      </c>
      <c r="G672" s="1">
        <f t="shared" si="204"/>
        <v>3.7996311531413182E-2</v>
      </c>
      <c r="H672" s="1">
        <f t="shared" si="205"/>
        <v>3.6818684225188796E-2</v>
      </c>
      <c r="I672" s="1">
        <f t="shared" si="206"/>
        <v>0.13531379717848702</v>
      </c>
      <c r="J672" s="1">
        <f t="shared" si="207"/>
        <v>0.14659721616964516</v>
      </c>
      <c r="K672" s="1">
        <f t="shared" si="208"/>
        <v>9.0144088042827586E-2</v>
      </c>
      <c r="L672" s="1">
        <f t="shared" si="209"/>
        <v>8.9385049363616145E-2</v>
      </c>
      <c r="M672" s="1">
        <f t="shared" si="210"/>
        <v>0.19485077191649874</v>
      </c>
      <c r="N672" s="1">
        <f t="shared" si="211"/>
        <v>0.19492652975093921</v>
      </c>
      <c r="O672" s="1">
        <f t="shared" si="212"/>
        <v>0.19443964106565625</v>
      </c>
      <c r="P672" s="1">
        <f t="shared" si="213"/>
        <v>0.19451777964047079</v>
      </c>
      <c r="Q672" s="1">
        <f t="shared" si="214"/>
        <v>2.9552686746654695</v>
      </c>
      <c r="T672">
        <v>1.1331120162550778E-2</v>
      </c>
      <c r="U672">
        <f t="shared" si="221"/>
        <v>88.252528051462065</v>
      </c>
      <c r="V672" s="15">
        <f t="shared" si="215"/>
        <v>0.10304197639427203</v>
      </c>
      <c r="W672" s="15">
        <f t="shared" si="216"/>
        <v>0.1057753682453844</v>
      </c>
      <c r="X672" s="15">
        <f t="shared" si="217"/>
        <v>0.11124215194760896</v>
      </c>
      <c r="Y672" s="15">
        <f t="shared" si="218"/>
        <v>0.14763297309330198</v>
      </c>
      <c r="Z672" s="15">
        <f t="shared" si="219"/>
        <v>0.14970192057754048</v>
      </c>
      <c r="AA672" s="15">
        <f t="shared" si="220"/>
        <v>0.15383981554601778</v>
      </c>
      <c r="AC672" s="1"/>
      <c r="AD672" s="1"/>
      <c r="AE672" s="1"/>
    </row>
    <row r="673" spans="1:31">
      <c r="A673">
        <v>689</v>
      </c>
      <c r="B673">
        <f t="shared" si="200"/>
        <v>0.63922030446074629</v>
      </c>
      <c r="C673">
        <v>0.62034868963326861</v>
      </c>
      <c r="D673">
        <f t="shared" si="201"/>
        <v>1.6119966346526335</v>
      </c>
      <c r="E673" s="1">
        <f t="shared" si="202"/>
        <v>0.10545869732409205</v>
      </c>
      <c r="F673" s="1">
        <f t="shared" si="203"/>
        <v>0.12233208889594677</v>
      </c>
      <c r="G673" s="1">
        <f t="shared" si="204"/>
        <v>3.7965131036673143E-2</v>
      </c>
      <c r="H673" s="1">
        <f t="shared" si="205"/>
        <v>3.6788470113777762E-2</v>
      </c>
      <c r="I673" s="1">
        <f t="shared" si="206"/>
        <v>0.13520275610710064</v>
      </c>
      <c r="J673" s="1">
        <f t="shared" si="207"/>
        <v>0.14647691571037813</v>
      </c>
      <c r="K673" s="1">
        <f t="shared" si="208"/>
        <v>9.0070114092468193E-2</v>
      </c>
      <c r="L673" s="1">
        <f t="shared" si="209"/>
        <v>8.9311698294810019E-2</v>
      </c>
      <c r="M673" s="1">
        <f t="shared" si="210"/>
        <v>0.1946908736731176</v>
      </c>
      <c r="N673" s="1">
        <f t="shared" si="211"/>
        <v>0.19476656933924064</v>
      </c>
      <c r="O673" s="1">
        <f t="shared" si="212"/>
        <v>0.19428008020405818</v>
      </c>
      <c r="P673" s="1">
        <f t="shared" si="213"/>
        <v>0.19435815465687445</v>
      </c>
      <c r="Q673" s="1">
        <f t="shared" si="214"/>
        <v>2.9528435250745781</v>
      </c>
      <c r="T673">
        <v>0.91106287350374615</v>
      </c>
      <c r="U673">
        <f t="shared" si="221"/>
        <v>1.0976190876423504</v>
      </c>
      <c r="V673" s="15">
        <f t="shared" si="215"/>
        <v>0</v>
      </c>
      <c r="W673" s="15">
        <f t="shared" si="216"/>
        <v>0</v>
      </c>
      <c r="X673" s="15">
        <f t="shared" si="217"/>
        <v>0</v>
      </c>
      <c r="Y673" s="15">
        <f t="shared" si="218"/>
        <v>0</v>
      </c>
      <c r="Z673" s="15">
        <f t="shared" si="219"/>
        <v>0</v>
      </c>
      <c r="AA673" s="15">
        <f t="shared" si="220"/>
        <v>0</v>
      </c>
      <c r="AC673" s="1"/>
      <c r="AD673" s="1"/>
      <c r="AE673" s="1"/>
    </row>
    <row r="674" spans="1:31">
      <c r="A674">
        <v>352</v>
      </c>
      <c r="B674">
        <f t="shared" si="200"/>
        <v>0.64100271230087957</v>
      </c>
      <c r="C674">
        <v>0.62137234495505311</v>
      </c>
      <c r="D674">
        <f t="shared" si="201"/>
        <v>1.6093410144803513</v>
      </c>
      <c r="E674" s="1">
        <f t="shared" si="202"/>
        <v>0.10517434862359634</v>
      </c>
      <c r="F674" s="1">
        <f t="shared" si="203"/>
        <v>0.12200224440337176</v>
      </c>
      <c r="G674" s="1">
        <f t="shared" si="204"/>
        <v>3.7862765504494696E-2</v>
      </c>
      <c r="H674" s="1">
        <f t="shared" si="205"/>
        <v>3.6689277217074996E-2</v>
      </c>
      <c r="I674" s="1">
        <f t="shared" si="206"/>
        <v>0.1348382083838878</v>
      </c>
      <c r="J674" s="1">
        <f t="shared" si="207"/>
        <v>0.14608196942627164</v>
      </c>
      <c r="K674" s="1">
        <f t="shared" si="208"/>
        <v>8.9827257689482437E-2</v>
      </c>
      <c r="L674" s="1">
        <f t="shared" si="209"/>
        <v>8.9070886811323288E-2</v>
      </c>
      <c r="M674" s="1">
        <f t="shared" si="210"/>
        <v>0.19416592790447046</v>
      </c>
      <c r="N674" s="1">
        <f t="shared" si="211"/>
        <v>0.19424141947207108</v>
      </c>
      <c r="O674" s="1">
        <f t="shared" si="212"/>
        <v>0.19375624205945779</v>
      </c>
      <c r="P674" s="1">
        <f t="shared" si="213"/>
        <v>0.19383410599981982</v>
      </c>
      <c r="Q674" s="1">
        <f t="shared" si="214"/>
        <v>2.9448817614606986</v>
      </c>
      <c r="T674">
        <v>0.74710724202267875</v>
      </c>
      <c r="U674">
        <f t="shared" si="221"/>
        <v>1.3384959263581127</v>
      </c>
      <c r="V674" s="15">
        <f t="shared" si="215"/>
        <v>0</v>
      </c>
      <c r="W674" s="15">
        <f t="shared" si="216"/>
        <v>0</v>
      </c>
      <c r="X674" s="15">
        <f t="shared" si="217"/>
        <v>0</v>
      </c>
      <c r="Y674" s="15">
        <f t="shared" si="218"/>
        <v>0</v>
      </c>
      <c r="Z674" s="15">
        <f t="shared" si="219"/>
        <v>0</v>
      </c>
      <c r="AA674" s="15">
        <f t="shared" si="220"/>
        <v>0</v>
      </c>
      <c r="AC674" s="1"/>
      <c r="AD674" s="1"/>
      <c r="AE674" s="1"/>
    </row>
    <row r="675" spans="1:31">
      <c r="A675">
        <v>250</v>
      </c>
      <c r="B675">
        <f t="shared" si="200"/>
        <v>0.64202436578515132</v>
      </c>
      <c r="C675">
        <v>0.6222207916172946</v>
      </c>
      <c r="D675">
        <f t="shared" si="201"/>
        <v>1.6071465522724988</v>
      </c>
      <c r="E675" s="1">
        <f t="shared" si="202"/>
        <v>0.10493866899519594</v>
      </c>
      <c r="F675" s="1">
        <f t="shared" si="203"/>
        <v>0.12172885603442729</v>
      </c>
      <c r="G675" s="1">
        <f t="shared" si="204"/>
        <v>3.7777920838270543E-2</v>
      </c>
      <c r="H675" s="1">
        <f t="shared" si="205"/>
        <v>3.6607062158612917E-2</v>
      </c>
      <c r="I675" s="1">
        <f t="shared" si="206"/>
        <v>0.1345360565829784</v>
      </c>
      <c r="J675" s="1">
        <f t="shared" si="207"/>
        <v>0.14575462207664744</v>
      </c>
      <c r="K675" s="1">
        <f t="shared" si="208"/>
        <v>8.9625968544462378E-2</v>
      </c>
      <c r="L675" s="1">
        <f t="shared" si="209"/>
        <v>8.8871292577751032E-2</v>
      </c>
      <c r="M675" s="1">
        <f t="shared" si="210"/>
        <v>0.19373083175854311</v>
      </c>
      <c r="N675" s="1">
        <f t="shared" si="211"/>
        <v>0.19380615416108748</v>
      </c>
      <c r="O675" s="1">
        <f t="shared" si="212"/>
        <v>0.19332206395684592</v>
      </c>
      <c r="P675" s="1">
        <f t="shared" si="213"/>
        <v>0.19339975341602722</v>
      </c>
      <c r="Q675" s="1">
        <f t="shared" si="214"/>
        <v>2.9382827318654865</v>
      </c>
      <c r="T675">
        <v>0.78824400745119128</v>
      </c>
      <c r="U675">
        <f t="shared" si="221"/>
        <v>1.2686426925509113</v>
      </c>
      <c r="V675" s="15">
        <f t="shared" si="215"/>
        <v>0</v>
      </c>
      <c r="W675" s="15">
        <f t="shared" si="216"/>
        <v>0</v>
      </c>
      <c r="X675" s="15">
        <f t="shared" si="217"/>
        <v>0</v>
      </c>
      <c r="Y675" s="15">
        <f t="shared" si="218"/>
        <v>0</v>
      </c>
      <c r="Z675" s="15">
        <f t="shared" si="219"/>
        <v>0</v>
      </c>
      <c r="AA675" s="15">
        <f t="shared" si="220"/>
        <v>0</v>
      </c>
      <c r="AC675" s="1"/>
      <c r="AD675" s="1"/>
      <c r="AE675" s="1"/>
    </row>
    <row r="676" spans="1:31">
      <c r="A676">
        <v>919</v>
      </c>
      <c r="B676">
        <f t="shared" si="200"/>
        <v>0.6426704274238072</v>
      </c>
      <c r="C676">
        <v>0.62285525328903579</v>
      </c>
      <c r="D676">
        <f t="shared" si="201"/>
        <v>1.6055094578064839</v>
      </c>
      <c r="E676" s="1">
        <f t="shared" si="202"/>
        <v>0.1047624296419345</v>
      </c>
      <c r="F676" s="1">
        <f t="shared" si="203"/>
        <v>0.12152441838464401</v>
      </c>
      <c r="G676" s="1">
        <f t="shared" si="204"/>
        <v>3.7714474671096426E-2</v>
      </c>
      <c r="H676" s="1">
        <f t="shared" si="205"/>
        <v>3.654558239122678E-2</v>
      </c>
      <c r="I676" s="1">
        <f t="shared" si="206"/>
        <v>0.13431010986734382</v>
      </c>
      <c r="J676" s="1">
        <f t="shared" si="207"/>
        <v>0.14550983432990339</v>
      </c>
      <c r="K676" s="1">
        <f t="shared" si="208"/>
        <v>8.9475446121384666E-2</v>
      </c>
      <c r="L676" s="1">
        <f t="shared" si="209"/>
        <v>8.8722037595985168E-2</v>
      </c>
      <c r="M676" s="1">
        <f t="shared" si="210"/>
        <v>0.19340547031816224</v>
      </c>
      <c r="N676" s="1">
        <f t="shared" si="211"/>
        <v>0.19348066622042187</v>
      </c>
      <c r="O676" s="1">
        <f t="shared" si="212"/>
        <v>0.19299738902196106</v>
      </c>
      <c r="P676" s="1">
        <f t="shared" si="213"/>
        <v>0.1930749480055019</v>
      </c>
      <c r="Q676" s="1">
        <f t="shared" si="214"/>
        <v>2.9333480299741668</v>
      </c>
      <c r="T676">
        <v>0.24013362358000268</v>
      </c>
      <c r="U676">
        <f t="shared" si="221"/>
        <v>4.1643481037416699</v>
      </c>
      <c r="V676" s="15">
        <f t="shared" si="215"/>
        <v>7.4878564949345458E-2</v>
      </c>
      <c r="W676" s="15">
        <f t="shared" si="216"/>
        <v>7.9304803862484424E-2</v>
      </c>
      <c r="X676" s="15">
        <f t="shared" si="217"/>
        <v>8.8157281688762412E-2</v>
      </c>
      <c r="Y676" s="15">
        <f t="shared" si="218"/>
        <v>0.10599510199610801</v>
      </c>
      <c r="Z676" s="15">
        <f t="shared" si="219"/>
        <v>0.10983566867565729</v>
      </c>
      <c r="AA676" s="15">
        <f t="shared" si="220"/>
        <v>0.11751680203475599</v>
      </c>
      <c r="AC676" s="1"/>
      <c r="AD676" s="1"/>
      <c r="AE676" s="1"/>
    </row>
    <row r="677" spans="1:31">
      <c r="A677">
        <v>976</v>
      </c>
      <c r="B677">
        <f t="shared" si="200"/>
        <v>0.64364707898060824</v>
      </c>
      <c r="C677">
        <v>0.62350915942554352</v>
      </c>
      <c r="D677">
        <f t="shared" si="201"/>
        <v>1.6038256774308304</v>
      </c>
      <c r="E677" s="1">
        <f t="shared" si="202"/>
        <v>0.10458078904846013</v>
      </c>
      <c r="F677" s="1">
        <f t="shared" si="203"/>
        <v>0.12131371529621374</v>
      </c>
      <c r="G677" s="1">
        <f t="shared" si="204"/>
        <v>3.7649084057445652E-2</v>
      </c>
      <c r="H677" s="1">
        <f t="shared" si="205"/>
        <v>3.6482218441983738E-2</v>
      </c>
      <c r="I677" s="1">
        <f t="shared" si="206"/>
        <v>0.13407723852072373</v>
      </c>
      <c r="J677" s="1">
        <f t="shared" si="207"/>
        <v>0.14525754452759185</v>
      </c>
      <c r="K677" s="1">
        <f t="shared" si="208"/>
        <v>8.9320310609632789E-2</v>
      </c>
      <c r="L677" s="1">
        <f t="shared" si="209"/>
        <v>8.8568208369054574E-2</v>
      </c>
      <c r="M677" s="1">
        <f t="shared" si="210"/>
        <v>0.19307013746525065</v>
      </c>
      <c r="N677" s="1">
        <f t="shared" si="211"/>
        <v>0.19314520299034776</v>
      </c>
      <c r="O677" s="1">
        <f t="shared" si="212"/>
        <v>0.19266276371400692</v>
      </c>
      <c r="P677" s="1">
        <f t="shared" si="213"/>
        <v>0.19274018822319616</v>
      </c>
      <c r="Q677" s="1">
        <f t="shared" si="214"/>
        <v>2.9282620933568841</v>
      </c>
      <c r="T677">
        <v>0.93178071777133642</v>
      </c>
      <c r="U677">
        <f t="shared" si="221"/>
        <v>1.0732138806132763</v>
      </c>
      <c r="V677" s="15">
        <f t="shared" si="215"/>
        <v>0</v>
      </c>
      <c r="W677" s="15">
        <f t="shared" si="216"/>
        <v>0</v>
      </c>
      <c r="X677" s="15">
        <f t="shared" si="217"/>
        <v>0</v>
      </c>
      <c r="Y677" s="15">
        <f t="shared" si="218"/>
        <v>0</v>
      </c>
      <c r="Z677" s="15">
        <f t="shared" si="219"/>
        <v>0</v>
      </c>
      <c r="AA677" s="15">
        <f t="shared" si="220"/>
        <v>0</v>
      </c>
      <c r="AC677" s="1"/>
      <c r="AD677" s="1"/>
      <c r="AE677" s="1"/>
    </row>
    <row r="678" spans="1:31">
      <c r="A678">
        <v>940</v>
      </c>
      <c r="B678">
        <f t="shared" si="200"/>
        <v>0.64677007418263899</v>
      </c>
      <c r="C678">
        <v>0.62499992848079244</v>
      </c>
      <c r="D678">
        <f t="shared" si="201"/>
        <v>1.6000001830891923</v>
      </c>
      <c r="E678" s="1">
        <f t="shared" si="202"/>
        <v>0.1041666865331132</v>
      </c>
      <c r="F678" s="1">
        <f t="shared" si="203"/>
        <v>0.12083335637841131</v>
      </c>
      <c r="G678" s="1">
        <f t="shared" si="204"/>
        <v>3.7500007151920763E-2</v>
      </c>
      <c r="H678" s="1">
        <f t="shared" si="205"/>
        <v>3.633776190690003E-2</v>
      </c>
      <c r="I678" s="1">
        <f t="shared" si="206"/>
        <v>0.1335463406165544</v>
      </c>
      <c r="J678" s="1">
        <f t="shared" si="207"/>
        <v>0.14468237661090955</v>
      </c>
      <c r="K678" s="1">
        <f t="shared" si="208"/>
        <v>8.8966634130122971E-2</v>
      </c>
      <c r="L678" s="1">
        <f t="shared" si="209"/>
        <v>8.8217509945385186E-2</v>
      </c>
      <c r="M678" s="1">
        <f t="shared" si="210"/>
        <v>0.19230564878343653</v>
      </c>
      <c r="N678" s="1">
        <f t="shared" si="211"/>
        <v>0.19238041707590575</v>
      </c>
      <c r="O678" s="1">
        <f t="shared" si="212"/>
        <v>0.1918998880865273</v>
      </c>
      <c r="P678" s="1">
        <f t="shared" si="213"/>
        <v>0.19197700602235546</v>
      </c>
      <c r="Q678" s="1">
        <f t="shared" si="214"/>
        <v>2.9166672229271704</v>
      </c>
      <c r="T678">
        <v>0.95907372409818015</v>
      </c>
      <c r="U678">
        <f t="shared" si="221"/>
        <v>1.0426727110476339</v>
      </c>
      <c r="V678" s="15">
        <f t="shared" si="215"/>
        <v>0</v>
      </c>
      <c r="W678" s="15">
        <f t="shared" si="216"/>
        <v>0</v>
      </c>
      <c r="X678" s="15">
        <f t="shared" si="217"/>
        <v>0</v>
      </c>
      <c r="Y678" s="15">
        <f t="shared" si="218"/>
        <v>0</v>
      </c>
      <c r="Z678" s="15">
        <f t="shared" si="219"/>
        <v>0</v>
      </c>
      <c r="AA678" s="15">
        <f t="shared" si="220"/>
        <v>0</v>
      </c>
      <c r="AC678" s="1"/>
      <c r="AD678" s="1"/>
      <c r="AE678" s="1"/>
    </row>
    <row r="679" spans="1:31">
      <c r="A679">
        <v>882</v>
      </c>
      <c r="B679">
        <f t="shared" si="200"/>
        <v>0.64906121153983898</v>
      </c>
      <c r="C679">
        <v>0.62631383024862075</v>
      </c>
      <c r="D679">
        <f t="shared" si="201"/>
        <v>1.5966436500420904</v>
      </c>
      <c r="E679" s="1">
        <f t="shared" si="202"/>
        <v>0.10380171381982756</v>
      </c>
      <c r="F679" s="1">
        <f t="shared" si="203"/>
        <v>0.12040998803099998</v>
      </c>
      <c r="G679" s="1">
        <f t="shared" si="204"/>
        <v>3.7368616975137929E-2</v>
      </c>
      <c r="H679" s="1">
        <f t="shared" si="205"/>
        <v>3.6210443932226111E-2</v>
      </c>
      <c r="I679" s="1">
        <f t="shared" si="206"/>
        <v>0.1330784293110652</v>
      </c>
      <c r="J679" s="1">
        <f t="shared" si="207"/>
        <v>0.14417544755984951</v>
      </c>
      <c r="K679" s="1">
        <f t="shared" si="208"/>
        <v>8.8654918408609271E-2</v>
      </c>
      <c r="L679" s="1">
        <f t="shared" si="209"/>
        <v>8.7908418958279291E-2</v>
      </c>
      <c r="M679" s="1">
        <f t="shared" si="210"/>
        <v>0.19163186029354029</v>
      </c>
      <c r="N679" s="1">
        <f t="shared" si="211"/>
        <v>0.19170636661754836</v>
      </c>
      <c r="O679" s="1">
        <f t="shared" si="212"/>
        <v>0.19122752127555182</v>
      </c>
      <c r="P679" s="1">
        <f t="shared" si="213"/>
        <v>0.19130436901038561</v>
      </c>
      <c r="Q679" s="1">
        <f t="shared" si="214"/>
        <v>2.9064479869551727</v>
      </c>
      <c r="T679">
        <v>0.55439050572206472</v>
      </c>
      <c r="U679">
        <f t="shared" si="221"/>
        <v>1.8037826941093664</v>
      </c>
      <c r="V679" s="15">
        <f t="shared" si="215"/>
        <v>0</v>
      </c>
      <c r="W679" s="15">
        <f t="shared" si="216"/>
        <v>0</v>
      </c>
      <c r="X679" s="15">
        <f t="shared" si="217"/>
        <v>0</v>
      </c>
      <c r="Y679" s="15">
        <f t="shared" si="218"/>
        <v>0</v>
      </c>
      <c r="Z679" s="15">
        <f t="shared" si="219"/>
        <v>0</v>
      </c>
      <c r="AA679" s="15">
        <f t="shared" si="220"/>
        <v>0</v>
      </c>
      <c r="AC679" s="1"/>
      <c r="AD679" s="1"/>
      <c r="AE679" s="1"/>
    </row>
    <row r="680" spans="1:31">
      <c r="A680">
        <v>810</v>
      </c>
      <c r="B680">
        <f t="shared" si="200"/>
        <v>0.64909099845382412</v>
      </c>
      <c r="C680">
        <v>0.62664185982034026</v>
      </c>
      <c r="D680">
        <f t="shared" si="201"/>
        <v>1.5958078515321374</v>
      </c>
      <c r="E680" s="1">
        <f t="shared" si="202"/>
        <v>0.10371059449434991</v>
      </c>
      <c r="F680" s="1">
        <f t="shared" si="203"/>
        <v>0.12030428961344591</v>
      </c>
      <c r="G680" s="1">
        <f t="shared" si="204"/>
        <v>3.7335814017965978E-2</v>
      </c>
      <c r="H680" s="1">
        <f t="shared" si="205"/>
        <v>3.6178657643686815E-2</v>
      </c>
      <c r="I680" s="1">
        <f t="shared" si="206"/>
        <v>0.1329616102695656</v>
      </c>
      <c r="J680" s="1">
        <f t="shared" si="207"/>
        <v>0.14404888732256005</v>
      </c>
      <c r="K680" s="1">
        <f t="shared" si="208"/>
        <v>8.8577095258408789E-2</v>
      </c>
      <c r="L680" s="1">
        <f t="shared" si="209"/>
        <v>8.7831251100981791E-2</v>
      </c>
      <c r="M680" s="1">
        <f t="shared" si="210"/>
        <v>0.19146364181999675</v>
      </c>
      <c r="N680" s="1">
        <f t="shared" si="211"/>
        <v>0.1915380827407881</v>
      </c>
      <c r="O680" s="1">
        <f t="shared" si="212"/>
        <v>0.19105965773929429</v>
      </c>
      <c r="P680" s="1">
        <f t="shared" si="213"/>
        <v>0.19113643801557167</v>
      </c>
      <c r="Q680" s="1">
        <f t="shared" si="214"/>
        <v>2.9038966458417983</v>
      </c>
      <c r="T680">
        <v>0.49048622508012041</v>
      </c>
      <c r="U680">
        <f t="shared" si="221"/>
        <v>2.0387932399868132</v>
      </c>
      <c r="V680" s="15">
        <f t="shared" si="215"/>
        <v>5.8500857985703661E-2</v>
      </c>
      <c r="W680" s="15">
        <f t="shared" si="216"/>
        <v>6.3579733383116468E-2</v>
      </c>
      <c r="X680" s="15">
        <f t="shared" si="217"/>
        <v>7.3737484177941875E-2</v>
      </c>
      <c r="Y680" s="15">
        <f t="shared" si="218"/>
        <v>8.1755405315144136E-2</v>
      </c>
      <c r="Z680" s="15">
        <f t="shared" si="219"/>
        <v>8.6248067950511279E-2</v>
      </c>
      <c r="AA680" s="15">
        <f t="shared" si="220"/>
        <v>9.5233393221245494E-2</v>
      </c>
      <c r="AC680" s="1"/>
      <c r="AD680" s="1"/>
      <c r="AE680" s="1"/>
    </row>
    <row r="681" spans="1:31">
      <c r="A681">
        <v>685</v>
      </c>
      <c r="B681">
        <f t="shared" si="200"/>
        <v>0.64986422915537823</v>
      </c>
      <c r="C681">
        <v>0.62767067009462807</v>
      </c>
      <c r="D681">
        <f t="shared" si="201"/>
        <v>1.5931921748856599</v>
      </c>
      <c r="E681" s="1">
        <f t="shared" si="202"/>
        <v>0.1034248138626033</v>
      </c>
      <c r="F681" s="1">
        <f t="shared" si="203"/>
        <v>0.11997278408061984</v>
      </c>
      <c r="G681" s="1">
        <f t="shared" si="204"/>
        <v>3.7232932990537197E-2</v>
      </c>
      <c r="H681" s="1">
        <f t="shared" si="205"/>
        <v>3.6078965228581422E-2</v>
      </c>
      <c r="I681" s="1">
        <f t="shared" si="206"/>
        <v>0.13259522674658858</v>
      </c>
      <c r="J681" s="1">
        <f t="shared" si="207"/>
        <v>0.14365195215675419</v>
      </c>
      <c r="K681" s="1">
        <f t="shared" si="208"/>
        <v>8.8333015872260751E-2</v>
      </c>
      <c r="L681" s="1">
        <f t="shared" si="209"/>
        <v>8.7589226932196396E-2</v>
      </c>
      <c r="M681" s="1">
        <f t="shared" si="210"/>
        <v>0.19093605251455886</v>
      </c>
      <c r="N681" s="1">
        <f t="shared" si="211"/>
        <v>0.19101028830902272</v>
      </c>
      <c r="O681" s="1">
        <f t="shared" si="212"/>
        <v>0.19053318163570776</v>
      </c>
      <c r="P681" s="1">
        <f t="shared" si="213"/>
        <v>0.19060975033942629</v>
      </c>
      <c r="Q681" s="1">
        <f t="shared" si="214"/>
        <v>2.8958947881528934</v>
      </c>
      <c r="T681">
        <v>0.85005788968002471</v>
      </c>
      <c r="U681">
        <f t="shared" si="221"/>
        <v>1.1763904695672149</v>
      </c>
      <c r="V681" s="15">
        <f t="shared" si="215"/>
        <v>0</v>
      </c>
      <c r="W681" s="15">
        <f t="shared" si="216"/>
        <v>0</v>
      </c>
      <c r="X681" s="15">
        <f t="shared" si="217"/>
        <v>0</v>
      </c>
      <c r="Y681" s="15">
        <f t="shared" si="218"/>
        <v>0</v>
      </c>
      <c r="Z681" s="15">
        <f t="shared" si="219"/>
        <v>0</v>
      </c>
      <c r="AA681" s="15">
        <f t="shared" si="220"/>
        <v>0</v>
      </c>
      <c r="AC681" s="1"/>
      <c r="AD681" s="1"/>
      <c r="AE681" s="1"/>
    </row>
    <row r="682" spans="1:31">
      <c r="A682">
        <v>895</v>
      </c>
      <c r="B682">
        <f t="shared" si="200"/>
        <v>0.65037651364595739</v>
      </c>
      <c r="C682">
        <v>0.62954249207270785</v>
      </c>
      <c r="D682">
        <f t="shared" si="201"/>
        <v>1.5884551282751329</v>
      </c>
      <c r="E682" s="1">
        <f t="shared" si="202"/>
        <v>0.1029048633131367</v>
      </c>
      <c r="F682" s="1">
        <f t="shared" si="203"/>
        <v>0.11936964144323858</v>
      </c>
      <c r="G682" s="1">
        <f t="shared" si="204"/>
        <v>3.7045750792729218E-2</v>
      </c>
      <c r="H682" s="1">
        <f t="shared" si="205"/>
        <v>3.5897584406183153E-2</v>
      </c>
      <c r="I682" s="1">
        <f t="shared" si="206"/>
        <v>0.13192862693916588</v>
      </c>
      <c r="J682" s="1">
        <f t="shared" si="207"/>
        <v>0.14292976655480494</v>
      </c>
      <c r="K682" s="1">
        <f t="shared" si="208"/>
        <v>8.7888936754073138E-2</v>
      </c>
      <c r="L682" s="1">
        <f t="shared" si="209"/>
        <v>8.7148887085597759E-2</v>
      </c>
      <c r="M682" s="1">
        <f t="shared" si="210"/>
        <v>0.18997615419122399</v>
      </c>
      <c r="N682" s="1">
        <f t="shared" si="211"/>
        <v>0.19005001677793742</v>
      </c>
      <c r="O682" s="1">
        <f t="shared" si="212"/>
        <v>0.18957530867676081</v>
      </c>
      <c r="P682" s="1">
        <f t="shared" si="213"/>
        <v>0.18965149244442692</v>
      </c>
      <c r="Q682" s="1">
        <f t="shared" si="214"/>
        <v>2.8813361727678286</v>
      </c>
      <c r="T682">
        <v>0.96630829825467235</v>
      </c>
      <c r="U682">
        <f t="shared" si="221"/>
        <v>1.0348664104470395</v>
      </c>
      <c r="V682" s="15">
        <f t="shared" si="215"/>
        <v>0</v>
      </c>
      <c r="W682" s="15">
        <f t="shared" si="216"/>
        <v>0</v>
      </c>
      <c r="X682" s="15">
        <f t="shared" si="217"/>
        <v>0</v>
      </c>
      <c r="Y682" s="15">
        <f t="shared" si="218"/>
        <v>0</v>
      </c>
      <c r="Z682" s="15">
        <f t="shared" si="219"/>
        <v>0</v>
      </c>
      <c r="AA682" s="15">
        <f t="shared" si="220"/>
        <v>0</v>
      </c>
      <c r="AC682" s="1"/>
      <c r="AD682" s="1"/>
      <c r="AE682" s="1"/>
    </row>
    <row r="683" spans="1:31">
      <c r="A683">
        <v>258</v>
      </c>
      <c r="B683">
        <f t="shared" si="200"/>
        <v>0.65056732733696998</v>
      </c>
      <c r="C683">
        <v>0.62978278391468678</v>
      </c>
      <c r="D683">
        <f t="shared" si="201"/>
        <v>1.5878490577085456</v>
      </c>
      <c r="E683" s="1">
        <f t="shared" si="202"/>
        <v>0.10283811557925365</v>
      </c>
      <c r="F683" s="1">
        <f t="shared" si="203"/>
        <v>0.11929221407193424</v>
      </c>
      <c r="G683" s="1">
        <f t="shared" si="204"/>
        <v>3.702172160853133E-2</v>
      </c>
      <c r="H683" s="1">
        <f t="shared" si="205"/>
        <v>3.5874299963311908E-2</v>
      </c>
      <c r="I683" s="1">
        <f t="shared" si="206"/>
        <v>0.13184305336568283</v>
      </c>
      <c r="J683" s="1">
        <f t="shared" si="207"/>
        <v>0.14283705725307899</v>
      </c>
      <c r="K683" s="1">
        <f t="shared" si="208"/>
        <v>8.7831928881239446E-2</v>
      </c>
      <c r="L683" s="1">
        <f t="shared" si="209"/>
        <v>8.7092359235153113E-2</v>
      </c>
      <c r="M683" s="1">
        <f t="shared" si="210"/>
        <v>0.18985292893854094</v>
      </c>
      <c r="N683" s="1">
        <f t="shared" si="211"/>
        <v>0.18992674361536827</v>
      </c>
      <c r="O683" s="1">
        <f t="shared" si="212"/>
        <v>0.18945234342665551</v>
      </c>
      <c r="P683" s="1">
        <f t="shared" si="213"/>
        <v>0.18952847777883547</v>
      </c>
      <c r="Q683" s="1">
        <f t="shared" si="214"/>
        <v>2.8794672362191029</v>
      </c>
      <c r="T683">
        <v>0.54453710340731865</v>
      </c>
      <c r="U683">
        <f t="shared" si="221"/>
        <v>1.8364221533165042</v>
      </c>
      <c r="V683" s="15">
        <f t="shared" si="215"/>
        <v>0</v>
      </c>
      <c r="W683" s="15">
        <f t="shared" si="216"/>
        <v>0</v>
      </c>
      <c r="X683" s="15">
        <f t="shared" si="217"/>
        <v>0</v>
      </c>
      <c r="Y683" s="15">
        <f t="shared" si="218"/>
        <v>0</v>
      </c>
      <c r="Z683" s="15">
        <f t="shared" si="219"/>
        <v>0</v>
      </c>
      <c r="AA683" s="15">
        <f t="shared" si="220"/>
        <v>0</v>
      </c>
      <c r="AC683" s="1"/>
      <c r="AD683" s="1"/>
      <c r="AE683" s="1"/>
    </row>
    <row r="684" spans="1:31">
      <c r="A684">
        <v>698</v>
      </c>
      <c r="B684">
        <f t="shared" si="200"/>
        <v>0.65081012013512829</v>
      </c>
      <c r="C684">
        <v>0.63001052461370166</v>
      </c>
      <c r="D684">
        <f t="shared" si="201"/>
        <v>1.5872750707032421</v>
      </c>
      <c r="E684" s="1">
        <f t="shared" si="202"/>
        <v>0.10277485427397176</v>
      </c>
      <c r="F684" s="1">
        <f t="shared" si="203"/>
        <v>0.11921883095780722</v>
      </c>
      <c r="G684" s="1">
        <f t="shared" si="204"/>
        <v>3.6998947538629839E-2</v>
      </c>
      <c r="H684" s="1">
        <f t="shared" si="205"/>
        <v>3.5852231734727881E-2</v>
      </c>
      <c r="I684" s="1">
        <f t="shared" si="206"/>
        <v>0.13176194954924975</v>
      </c>
      <c r="J684" s="1">
        <f t="shared" si="207"/>
        <v>0.14274919042827811</v>
      </c>
      <c r="K684" s="1">
        <f t="shared" si="208"/>
        <v>8.77778986956885E-2</v>
      </c>
      <c r="L684" s="1">
        <f t="shared" si="209"/>
        <v>8.7038783999023359E-2</v>
      </c>
      <c r="M684" s="1">
        <f t="shared" si="210"/>
        <v>0.18973614009980544</v>
      </c>
      <c r="N684" s="1">
        <f t="shared" si="211"/>
        <v>0.1898099093692196</v>
      </c>
      <c r="O684" s="1">
        <f t="shared" si="212"/>
        <v>0.18933580100980574</v>
      </c>
      <c r="P684" s="1">
        <f t="shared" si="213"/>
        <v>0.18941188852761426</v>
      </c>
      <c r="Q684" s="1">
        <f t="shared" si="214"/>
        <v>2.8776959196712095</v>
      </c>
      <c r="T684">
        <v>9.7771275191271823E-4</v>
      </c>
      <c r="U684">
        <f t="shared" si="221"/>
        <v>1022.7952924247749</v>
      </c>
      <c r="V684" s="15">
        <f t="shared" si="215"/>
        <v>0.10304197639427203</v>
      </c>
      <c r="W684" s="15">
        <f t="shared" si="216"/>
        <v>0.1057753682453844</v>
      </c>
      <c r="X684" s="15">
        <f t="shared" si="217"/>
        <v>0.11124215194760896</v>
      </c>
      <c r="Y684" s="15">
        <f t="shared" si="218"/>
        <v>0.14763297309330198</v>
      </c>
      <c r="Z684" s="15">
        <f t="shared" si="219"/>
        <v>0.14970192057754048</v>
      </c>
      <c r="AA684" s="15">
        <f t="shared" si="220"/>
        <v>0.15383981554601778</v>
      </c>
      <c r="AC684" s="1"/>
      <c r="AD684" s="1"/>
      <c r="AE684" s="1"/>
    </row>
    <row r="685" spans="1:31">
      <c r="A685">
        <v>643</v>
      </c>
      <c r="B685">
        <f t="shared" si="200"/>
        <v>0.6516366783379669</v>
      </c>
      <c r="C685">
        <v>0.63106558231229126</v>
      </c>
      <c r="D685">
        <f t="shared" si="201"/>
        <v>1.5846213579512511</v>
      </c>
      <c r="E685" s="1">
        <f t="shared" si="202"/>
        <v>0.1024817826910302</v>
      </c>
      <c r="F685" s="1">
        <f t="shared" si="203"/>
        <v>0.11887886792159502</v>
      </c>
      <c r="G685" s="1">
        <f t="shared" si="204"/>
        <v>3.6893441768770879E-2</v>
      </c>
      <c r="H685" s="1">
        <f t="shared" si="205"/>
        <v>3.5749995926361036E-2</v>
      </c>
      <c r="I685" s="1">
        <f t="shared" si="206"/>
        <v>0.1313862187014791</v>
      </c>
      <c r="J685" s="1">
        <f t="shared" si="207"/>
        <v>0.14234212849179587</v>
      </c>
      <c r="K685" s="1">
        <f t="shared" si="208"/>
        <v>8.7527592257408832E-2</v>
      </c>
      <c r="L685" s="1">
        <f t="shared" si="209"/>
        <v>8.6790585211643886E-2</v>
      </c>
      <c r="M685" s="1">
        <f t="shared" si="210"/>
        <v>0.18919509072237661</v>
      </c>
      <c r="N685" s="1">
        <f t="shared" si="211"/>
        <v>0.18926864963219731</v>
      </c>
      <c r="O685" s="1">
        <f t="shared" si="212"/>
        <v>0.18879589323468465</v>
      </c>
      <c r="P685" s="1">
        <f t="shared" si="213"/>
        <v>0.18887176378220955</v>
      </c>
      <c r="Q685" s="1">
        <f t="shared" si="214"/>
        <v>2.8694899153488462</v>
      </c>
      <c r="T685">
        <v>0.78200744641756292</v>
      </c>
      <c r="U685">
        <f t="shared" si="221"/>
        <v>1.2787602018127551</v>
      </c>
      <c r="V685" s="15">
        <f t="shared" si="215"/>
        <v>0</v>
      </c>
      <c r="W685" s="15">
        <f t="shared" si="216"/>
        <v>0</v>
      </c>
      <c r="X685" s="15">
        <f t="shared" si="217"/>
        <v>0</v>
      </c>
      <c r="Y685" s="15">
        <f t="shared" si="218"/>
        <v>0</v>
      </c>
      <c r="Z685" s="15">
        <f t="shared" si="219"/>
        <v>0</v>
      </c>
      <c r="AA685" s="15">
        <f t="shared" si="220"/>
        <v>0</v>
      </c>
      <c r="AC685" s="1"/>
      <c r="AD685" s="1"/>
      <c r="AE685" s="1"/>
    </row>
    <row r="686" spans="1:31">
      <c r="A686">
        <v>877</v>
      </c>
      <c r="B686">
        <f t="shared" si="200"/>
        <v>0.65256720559738912</v>
      </c>
      <c r="C686">
        <v>0.63277220030271186</v>
      </c>
      <c r="D686">
        <f t="shared" si="201"/>
        <v>1.5803475555999615</v>
      </c>
      <c r="E686" s="1">
        <f t="shared" si="202"/>
        <v>0.10200772213813558</v>
      </c>
      <c r="F686" s="1">
        <f t="shared" si="203"/>
        <v>0.11832895768023727</v>
      </c>
      <c r="G686" s="1">
        <f t="shared" si="204"/>
        <v>3.6722779969728822E-2</v>
      </c>
      <c r="H686" s="1">
        <f t="shared" si="205"/>
        <v>3.5584623482695352E-2</v>
      </c>
      <c r="I686" s="1">
        <f t="shared" si="206"/>
        <v>0.13077845191752163</v>
      </c>
      <c r="J686" s="1">
        <f t="shared" si="207"/>
        <v>0.14168368182585081</v>
      </c>
      <c r="K686" s="1">
        <f t="shared" si="208"/>
        <v>8.7122706845684711E-2</v>
      </c>
      <c r="L686" s="1">
        <f t="shared" si="209"/>
        <v>8.6389109049431506E-2</v>
      </c>
      <c r="M686" s="1">
        <f t="shared" si="210"/>
        <v>0.18831991147629346</v>
      </c>
      <c r="N686" s="1">
        <f t="shared" si="211"/>
        <v>0.18839313011707759</v>
      </c>
      <c r="O686" s="1">
        <f t="shared" si="212"/>
        <v>0.18792256059759638</v>
      </c>
      <c r="P686" s="1">
        <f t="shared" si="213"/>
        <v>0.18799808018290376</v>
      </c>
      <c r="Q686" s="1">
        <f t="shared" si="214"/>
        <v>2.8562162198677967</v>
      </c>
      <c r="T686">
        <v>0.45000889695057966</v>
      </c>
      <c r="U686">
        <f t="shared" si="221"/>
        <v>2.222178287532437</v>
      </c>
      <c r="V686" s="15">
        <f t="shared" si="215"/>
        <v>6.1148826550058613E-2</v>
      </c>
      <c r="W686" s="15">
        <f t="shared" si="216"/>
        <v>6.6122182847749789E-2</v>
      </c>
      <c r="X686" s="15">
        <f t="shared" si="217"/>
        <v>7.6068895443131959E-2</v>
      </c>
      <c r="Y686" s="15">
        <f t="shared" si="218"/>
        <v>8.5674510411064039E-2</v>
      </c>
      <c r="Z686" s="15">
        <f t="shared" si="219"/>
        <v>9.0061741340040163E-2</v>
      </c>
      <c r="AA686" s="15">
        <f t="shared" si="220"/>
        <v>9.8836203197992384E-2</v>
      </c>
      <c r="AC686" s="1"/>
      <c r="AD686" s="1"/>
      <c r="AE686" s="1"/>
    </row>
    <row r="687" spans="1:31">
      <c r="A687">
        <v>175</v>
      </c>
      <c r="B687">
        <f t="shared" si="200"/>
        <v>0.6529778681476005</v>
      </c>
      <c r="C687">
        <v>0.63330339929431367</v>
      </c>
      <c r="D687">
        <f t="shared" si="201"/>
        <v>1.5790219997465578</v>
      </c>
      <c r="E687" s="1">
        <f t="shared" si="202"/>
        <v>0.10186016686269064</v>
      </c>
      <c r="F687" s="1">
        <f t="shared" si="203"/>
        <v>0.11815779356072115</v>
      </c>
      <c r="G687" s="1">
        <f t="shared" si="204"/>
        <v>3.6669660070568641E-2</v>
      </c>
      <c r="H687" s="1">
        <f t="shared" si="205"/>
        <v>3.5533149939226912E-2</v>
      </c>
      <c r="I687" s="1">
        <f t="shared" si="206"/>
        <v>0.13058927946968651</v>
      </c>
      <c r="J687" s="1">
        <f t="shared" si="207"/>
        <v>0.14147873484478246</v>
      </c>
      <c r="K687" s="1">
        <f t="shared" si="208"/>
        <v>8.6996682906156725E-2</v>
      </c>
      <c r="L687" s="1">
        <f t="shared" si="209"/>
        <v>8.6264146267065189E-2</v>
      </c>
      <c r="M687" s="1">
        <f t="shared" si="210"/>
        <v>0.18804750468367804</v>
      </c>
      <c r="N687" s="1">
        <f t="shared" si="211"/>
        <v>0.18812061741290487</v>
      </c>
      <c r="O687" s="1">
        <f t="shared" si="212"/>
        <v>0.18765072857733278</v>
      </c>
      <c r="P687" s="1">
        <f t="shared" si="213"/>
        <v>0.18772613892274165</v>
      </c>
      <c r="Q687" s="1">
        <f t="shared" si="214"/>
        <v>2.8520846721553381</v>
      </c>
      <c r="T687">
        <v>8.3510998267646741E-2</v>
      </c>
      <c r="U687">
        <f t="shared" si="221"/>
        <v>11.974470677443849</v>
      </c>
      <c r="V687" s="15">
        <f t="shared" si="215"/>
        <v>9.5378808344122976E-2</v>
      </c>
      <c r="W687" s="15">
        <f t="shared" si="216"/>
        <v>9.8627836228348767E-2</v>
      </c>
      <c r="X687" s="15">
        <f t="shared" si="217"/>
        <v>0.10512589199680031</v>
      </c>
      <c r="Y687" s="15">
        <f t="shared" si="218"/>
        <v>0.13631326196027302</v>
      </c>
      <c r="Z687" s="15">
        <f t="shared" si="219"/>
        <v>0.1389262257122221</v>
      </c>
      <c r="AA687" s="15">
        <f t="shared" si="220"/>
        <v>0.14415215321612013</v>
      </c>
      <c r="AC687" s="1"/>
      <c r="AD687" s="1"/>
      <c r="AE687" s="1"/>
    </row>
    <row r="688" spans="1:31">
      <c r="A688">
        <v>486</v>
      </c>
      <c r="B688">
        <f t="shared" si="200"/>
        <v>0.65316267643129655</v>
      </c>
      <c r="C688">
        <v>0.63354245195175329</v>
      </c>
      <c r="D688">
        <f t="shared" si="201"/>
        <v>1.5784261921506624</v>
      </c>
      <c r="E688" s="1">
        <f t="shared" si="202"/>
        <v>0.10179376334673518</v>
      </c>
      <c r="F688" s="1">
        <f t="shared" si="203"/>
        <v>0.11808076548221283</v>
      </c>
      <c r="G688" s="1">
        <f t="shared" si="204"/>
        <v>3.6645754804824675E-2</v>
      </c>
      <c r="H688" s="1">
        <f t="shared" si="205"/>
        <v>3.55099855741801E-2</v>
      </c>
      <c r="I688" s="1">
        <f t="shared" si="206"/>
        <v>0.13050414719894751</v>
      </c>
      <c r="J688" s="1">
        <f t="shared" si="207"/>
        <v>0.14138650364473657</v>
      </c>
      <c r="K688" s="1">
        <f t="shared" si="208"/>
        <v>8.693996902280704E-2</v>
      </c>
      <c r="L688" s="1">
        <f t="shared" si="209"/>
        <v>8.6207909930630044E-2</v>
      </c>
      <c r="M688" s="1">
        <f t="shared" si="210"/>
        <v>0.18792491490337188</v>
      </c>
      <c r="N688" s="1">
        <f t="shared" si="211"/>
        <v>0.18799797996978379</v>
      </c>
      <c r="O688" s="1">
        <f t="shared" si="212"/>
        <v>0.18752839745877165</v>
      </c>
      <c r="P688" s="1">
        <f t="shared" si="213"/>
        <v>0.18760375864352991</v>
      </c>
      <c r="Q688" s="1">
        <f t="shared" si="214"/>
        <v>2.8502253737085859</v>
      </c>
      <c r="T688">
        <v>0.98947580280905789</v>
      </c>
      <c r="U688">
        <f t="shared" si="221"/>
        <v>1.0106361339621086</v>
      </c>
      <c r="V688" s="15">
        <f t="shared" si="215"/>
        <v>0</v>
      </c>
      <c r="W688" s="15">
        <f t="shared" si="216"/>
        <v>0</v>
      </c>
      <c r="X688" s="15">
        <f t="shared" si="217"/>
        <v>0</v>
      </c>
      <c r="Y688" s="15">
        <f t="shared" si="218"/>
        <v>0</v>
      </c>
      <c r="Z688" s="15">
        <f t="shared" si="219"/>
        <v>0</v>
      </c>
      <c r="AA688" s="15">
        <f t="shared" si="220"/>
        <v>0</v>
      </c>
      <c r="AC688" s="1"/>
      <c r="AD688" s="1"/>
      <c r="AE688" s="1"/>
    </row>
    <row r="689" spans="1:31">
      <c r="A689">
        <v>926</v>
      </c>
      <c r="B689">
        <f t="shared" si="200"/>
        <v>0.65324305169436769</v>
      </c>
      <c r="C689">
        <v>0.63396445063423135</v>
      </c>
      <c r="D689">
        <f t="shared" si="201"/>
        <v>1.5773755121435895</v>
      </c>
      <c r="E689" s="1">
        <f t="shared" si="202"/>
        <v>0.10167654149049127</v>
      </c>
      <c r="F689" s="1">
        <f t="shared" si="203"/>
        <v>0.11794478812896989</v>
      </c>
      <c r="G689" s="1">
        <f t="shared" si="204"/>
        <v>3.6603554936576875E-2</v>
      </c>
      <c r="H689" s="1">
        <f t="shared" si="205"/>
        <v>3.5469093614915161E-2</v>
      </c>
      <c r="I689" s="1">
        <f t="shared" si="206"/>
        <v>0.13035386354816941</v>
      </c>
      <c r="J689" s="1">
        <f t="shared" si="207"/>
        <v>0.14122368828296811</v>
      </c>
      <c r="K689" s="1">
        <f t="shared" si="208"/>
        <v>8.6839852235534642E-2</v>
      </c>
      <c r="L689" s="1">
        <f t="shared" si="209"/>
        <v>8.6108636154980822E-2</v>
      </c>
      <c r="M689" s="1">
        <f t="shared" si="210"/>
        <v>0.18770850766352543</v>
      </c>
      <c r="N689" s="1">
        <f t="shared" si="211"/>
        <v>0.18778148859096427</v>
      </c>
      <c r="O689" s="1">
        <f t="shared" si="212"/>
        <v>0.18731244683345005</v>
      </c>
      <c r="P689" s="1">
        <f t="shared" si="213"/>
        <v>0.18738772123511205</v>
      </c>
      <c r="Q689" s="1">
        <f t="shared" si="214"/>
        <v>2.8469431617337566</v>
      </c>
      <c r="T689">
        <v>0.95606229703303736</v>
      </c>
      <c r="U689">
        <f t="shared" si="221"/>
        <v>1.0459569455916369</v>
      </c>
      <c r="V689" s="15">
        <f t="shared" si="215"/>
        <v>0</v>
      </c>
      <c r="W689" s="15">
        <f t="shared" si="216"/>
        <v>0</v>
      </c>
      <c r="X689" s="15">
        <f t="shared" si="217"/>
        <v>0</v>
      </c>
      <c r="Y689" s="15">
        <f t="shared" si="218"/>
        <v>0</v>
      </c>
      <c r="Z689" s="15">
        <f t="shared" si="219"/>
        <v>0</v>
      </c>
      <c r="AA689" s="15">
        <f t="shared" si="220"/>
        <v>0</v>
      </c>
      <c r="AC689" s="1"/>
      <c r="AD689" s="1"/>
      <c r="AE689" s="1"/>
    </row>
    <row r="690" spans="1:31">
      <c r="A690">
        <v>244</v>
      </c>
      <c r="B690">
        <f t="shared" si="200"/>
        <v>0.65338996118885961</v>
      </c>
      <c r="C690">
        <v>0.6354938116301202</v>
      </c>
      <c r="D690">
        <f t="shared" si="201"/>
        <v>1.5735794459349279</v>
      </c>
      <c r="E690" s="1">
        <f t="shared" si="202"/>
        <v>0.10125171899163327</v>
      </c>
      <c r="F690" s="1">
        <f t="shared" si="203"/>
        <v>0.1174519940302946</v>
      </c>
      <c r="G690" s="1">
        <f t="shared" si="204"/>
        <v>3.645061883698799E-2</v>
      </c>
      <c r="H690" s="1">
        <f t="shared" si="205"/>
        <v>3.532089749454332E-2</v>
      </c>
      <c r="I690" s="1">
        <f t="shared" si="206"/>
        <v>0.12980922214675522</v>
      </c>
      <c r="J690" s="1">
        <f t="shared" si="207"/>
        <v>0.14063363083928601</v>
      </c>
      <c r="K690" s="1">
        <f t="shared" si="208"/>
        <v>8.6477020037602242E-2</v>
      </c>
      <c r="L690" s="1">
        <f t="shared" si="209"/>
        <v>8.5748859106623637E-2</v>
      </c>
      <c r="M690" s="1">
        <f t="shared" si="210"/>
        <v>0.18692422845699885</v>
      </c>
      <c r="N690" s="1">
        <f t="shared" si="211"/>
        <v>0.18699690445726863</v>
      </c>
      <c r="O690" s="1">
        <f t="shared" si="212"/>
        <v>0.18652982243883065</v>
      </c>
      <c r="P690" s="1">
        <f t="shared" si="213"/>
        <v>0.1866047823307842</v>
      </c>
      <c r="Q690" s="1">
        <f t="shared" si="214"/>
        <v>2.8350481317657321</v>
      </c>
      <c r="T690">
        <v>0.18921169237673729</v>
      </c>
      <c r="U690">
        <f t="shared" si="221"/>
        <v>5.2850856489825748</v>
      </c>
      <c r="V690" s="15">
        <f t="shared" si="215"/>
        <v>7.8971067316477961E-2</v>
      </c>
      <c r="W690" s="15">
        <f t="shared" si="216"/>
        <v>8.3207177963205897E-2</v>
      </c>
      <c r="X690" s="15">
        <f t="shared" si="217"/>
        <v>9.1679399256661839E-2</v>
      </c>
      <c r="Y690" s="15">
        <f t="shared" si="218"/>
        <v>0.11205079180034398</v>
      </c>
      <c r="Z690" s="15">
        <f t="shared" si="219"/>
        <v>0.11569748584202152</v>
      </c>
      <c r="AA690" s="15">
        <f t="shared" si="220"/>
        <v>0.12299087392537672</v>
      </c>
      <c r="AC690" s="1"/>
      <c r="AD690" s="1"/>
      <c r="AE690" s="1"/>
    </row>
    <row r="691" spans="1:31">
      <c r="A691">
        <v>724</v>
      </c>
      <c r="B691">
        <f t="shared" si="200"/>
        <v>0.6533901032271594</v>
      </c>
      <c r="C691">
        <v>0.63549477340642158</v>
      </c>
      <c r="D691">
        <f t="shared" si="201"/>
        <v>1.5735770644339577</v>
      </c>
      <c r="E691" s="1">
        <f t="shared" si="202"/>
        <v>0.10125145183154954</v>
      </c>
      <c r="F691" s="1">
        <f t="shared" si="203"/>
        <v>0.11745168412459747</v>
      </c>
      <c r="G691" s="1">
        <f t="shared" si="204"/>
        <v>3.6450522659357852E-2</v>
      </c>
      <c r="H691" s="1">
        <f t="shared" si="205"/>
        <v>3.5320804297765768E-2</v>
      </c>
      <c r="I691" s="1">
        <f t="shared" si="206"/>
        <v>0.12980887963560578</v>
      </c>
      <c r="J691" s="1">
        <f t="shared" si="207"/>
        <v>0.14063325976714064</v>
      </c>
      <c r="K691" s="1">
        <f t="shared" si="208"/>
        <v>8.6476791861644892E-2</v>
      </c>
      <c r="L691" s="1">
        <f t="shared" si="209"/>
        <v>8.574863285197229E-2</v>
      </c>
      <c r="M691" s="1">
        <f t="shared" si="210"/>
        <v>0.18692373524371797</v>
      </c>
      <c r="N691" s="1">
        <f t="shared" si="211"/>
        <v>0.18699641105222675</v>
      </c>
      <c r="O691" s="1">
        <f t="shared" si="212"/>
        <v>0.18652933026621887</v>
      </c>
      <c r="P691" s="1">
        <f t="shared" si="213"/>
        <v>0.18660428996038531</v>
      </c>
      <c r="Q691" s="1">
        <f t="shared" si="214"/>
        <v>2.8350406512833883</v>
      </c>
      <c r="T691">
        <v>0.23776172028035725</v>
      </c>
      <c r="U691">
        <f t="shared" si="221"/>
        <v>4.2058915069290705</v>
      </c>
      <c r="V691" s="15">
        <f t="shared" si="215"/>
        <v>7.5033731450332153E-2</v>
      </c>
      <c r="W691" s="15">
        <f t="shared" si="216"/>
        <v>7.9453787121830141E-2</v>
      </c>
      <c r="X691" s="15">
        <f t="shared" si="217"/>
        <v>8.8293898464826215E-2</v>
      </c>
      <c r="Y691" s="15">
        <f t="shared" si="218"/>
        <v>0.10622475495835196</v>
      </c>
      <c r="Z691" s="15">
        <f t="shared" si="219"/>
        <v>0.11005914351736237</v>
      </c>
      <c r="AA691" s="15">
        <f t="shared" si="220"/>
        <v>0.11772792063538332</v>
      </c>
      <c r="AC691" s="1"/>
      <c r="AD691" s="1"/>
      <c r="AE691" s="1"/>
    </row>
    <row r="692" spans="1:31">
      <c r="A692">
        <v>211</v>
      </c>
      <c r="B692">
        <f t="shared" si="200"/>
        <v>0.65343134030086203</v>
      </c>
      <c r="C692">
        <v>0.63586040357569806</v>
      </c>
      <c r="D692">
        <f t="shared" si="201"/>
        <v>1.5726722317927</v>
      </c>
      <c r="E692" s="1">
        <f t="shared" si="202"/>
        <v>0.10114988789563942</v>
      </c>
      <c r="F692" s="1">
        <f t="shared" si="203"/>
        <v>0.11733386995894174</v>
      </c>
      <c r="G692" s="1">
        <f t="shared" si="204"/>
        <v>3.6413959642430202E-2</v>
      </c>
      <c r="H692" s="1">
        <f t="shared" si="205"/>
        <v>3.5285374485757137E-2</v>
      </c>
      <c r="I692" s="1">
        <f t="shared" si="206"/>
        <v>0.1296786701374367</v>
      </c>
      <c r="J692" s="1">
        <f t="shared" si="207"/>
        <v>0.14049219248244052</v>
      </c>
      <c r="K692" s="1">
        <f t="shared" si="208"/>
        <v>8.6390048183529911E-2</v>
      </c>
      <c r="L692" s="1">
        <f t="shared" si="209"/>
        <v>8.566261958012461E-2</v>
      </c>
      <c r="M692" s="1">
        <f t="shared" si="210"/>
        <v>0.18673623462103095</v>
      </c>
      <c r="N692" s="1">
        <f t="shared" si="211"/>
        <v>0.18680883752943783</v>
      </c>
      <c r="O692" s="1">
        <f t="shared" si="212"/>
        <v>0.18634222526572924</v>
      </c>
      <c r="P692" s="1">
        <f t="shared" si="213"/>
        <v>0.18641710976885956</v>
      </c>
      <c r="Q692" s="1">
        <f t="shared" si="214"/>
        <v>2.8321968610779047</v>
      </c>
      <c r="T692">
        <v>0.85861960870607512</v>
      </c>
      <c r="U692">
        <f t="shared" si="221"/>
        <v>1.1646601007714961</v>
      </c>
      <c r="V692" s="15">
        <f t="shared" si="215"/>
        <v>0</v>
      </c>
      <c r="W692" s="15">
        <f t="shared" si="216"/>
        <v>0</v>
      </c>
      <c r="X692" s="15">
        <f t="shared" si="217"/>
        <v>0</v>
      </c>
      <c r="Y692" s="15">
        <f t="shared" si="218"/>
        <v>0</v>
      </c>
      <c r="Z692" s="15">
        <f t="shared" si="219"/>
        <v>0</v>
      </c>
      <c r="AA692" s="15">
        <f t="shared" si="220"/>
        <v>0</v>
      </c>
      <c r="AC692" s="1"/>
      <c r="AD692" s="1"/>
      <c r="AE692" s="1"/>
    </row>
    <row r="693" spans="1:31">
      <c r="A693">
        <v>38</v>
      </c>
      <c r="B693">
        <f t="shared" si="200"/>
        <v>0.65354246881720812</v>
      </c>
      <c r="C693">
        <v>0.63699830890114584</v>
      </c>
      <c r="D693">
        <f t="shared" si="201"/>
        <v>1.5698628803662766</v>
      </c>
      <c r="E693" s="1">
        <f t="shared" si="202"/>
        <v>0.10083380308301504</v>
      </c>
      <c r="F693" s="1">
        <f t="shared" si="203"/>
        <v>0.11696721157629744</v>
      </c>
      <c r="G693" s="1">
        <f t="shared" si="204"/>
        <v>3.630016910988542E-2</v>
      </c>
      <c r="H693" s="1">
        <f t="shared" si="205"/>
        <v>3.517511068601651E-2</v>
      </c>
      <c r="I693" s="1">
        <f t="shared" si="206"/>
        <v>0.12927343530223784</v>
      </c>
      <c r="J693" s="1">
        <f t="shared" si="207"/>
        <v>0.14005316630792</v>
      </c>
      <c r="K693" s="1">
        <f t="shared" si="208"/>
        <v>8.6120086616979535E-2</v>
      </c>
      <c r="L693" s="1">
        <f t="shared" si="209"/>
        <v>8.5394931166205335E-2</v>
      </c>
      <c r="M693" s="1">
        <f t="shared" si="210"/>
        <v>0.18615269974068321</v>
      </c>
      <c r="N693" s="1">
        <f t="shared" si="211"/>
        <v>0.18622507577116487</v>
      </c>
      <c r="O693" s="1">
        <f t="shared" si="212"/>
        <v>0.18575992163116767</v>
      </c>
      <c r="P693" s="1">
        <f t="shared" si="213"/>
        <v>0.18583457212658294</v>
      </c>
      <c r="Q693" s="1">
        <f t="shared" si="214"/>
        <v>2.8233464863244215</v>
      </c>
      <c r="T693">
        <v>0.85923842437284326</v>
      </c>
      <c r="U693">
        <f t="shared" si="221"/>
        <v>1.1638213232024608</v>
      </c>
      <c r="V693" s="15">
        <f t="shared" si="215"/>
        <v>0</v>
      </c>
      <c r="W693" s="15">
        <f t="shared" si="216"/>
        <v>0</v>
      </c>
      <c r="X693" s="15">
        <f t="shared" si="217"/>
        <v>0</v>
      </c>
      <c r="Y693" s="15">
        <f t="shared" si="218"/>
        <v>0</v>
      </c>
      <c r="Z693" s="15">
        <f t="shared" si="219"/>
        <v>0</v>
      </c>
      <c r="AA693" s="15">
        <f t="shared" si="220"/>
        <v>0</v>
      </c>
      <c r="AC693" s="1"/>
      <c r="AD693" s="1"/>
      <c r="AE693" s="1"/>
    </row>
    <row r="694" spans="1:31">
      <c r="A694">
        <v>235</v>
      </c>
      <c r="B694">
        <f t="shared" si="200"/>
        <v>0.65449702653989483</v>
      </c>
      <c r="C694">
        <v>0.63910173179339613</v>
      </c>
      <c r="D694">
        <f t="shared" si="201"/>
        <v>1.564696119964939</v>
      </c>
      <c r="E694" s="1">
        <f t="shared" si="202"/>
        <v>0.10024951894627884</v>
      </c>
      <c r="F694" s="1">
        <f t="shared" si="203"/>
        <v>0.11628944197768346</v>
      </c>
      <c r="G694" s="1">
        <f t="shared" si="204"/>
        <v>3.6089826820660392E-2</v>
      </c>
      <c r="H694" s="1">
        <f t="shared" si="205"/>
        <v>3.4971287577560919E-2</v>
      </c>
      <c r="I694" s="1">
        <f t="shared" si="206"/>
        <v>0.12852435696502285</v>
      </c>
      <c r="J694" s="1">
        <f t="shared" si="207"/>
        <v>0.13924162453451269</v>
      </c>
      <c r="K694" s="1">
        <f t="shared" si="208"/>
        <v>8.5621061499150525E-2</v>
      </c>
      <c r="L694" s="1">
        <f t="shared" si="209"/>
        <v>8.4900107980799777E-2</v>
      </c>
      <c r="M694" s="1">
        <f t="shared" si="210"/>
        <v>0.18507403300251057</v>
      </c>
      <c r="N694" s="1">
        <f t="shared" si="211"/>
        <v>0.18514598964817092</v>
      </c>
      <c r="O694" s="1">
        <f t="shared" si="212"/>
        <v>0.18468353085613071</v>
      </c>
      <c r="P694" s="1">
        <f t="shared" si="213"/>
        <v>0.18475774878727746</v>
      </c>
      <c r="Q694" s="1">
        <f t="shared" si="214"/>
        <v>2.8069865304958084</v>
      </c>
      <c r="T694">
        <v>0.8669994264886467</v>
      </c>
      <c r="U694">
        <f t="shared" si="221"/>
        <v>1.1534033004496975</v>
      </c>
      <c r="V694" s="15">
        <f t="shared" si="215"/>
        <v>0</v>
      </c>
      <c r="W694" s="15">
        <f t="shared" si="216"/>
        <v>0</v>
      </c>
      <c r="X694" s="15">
        <f t="shared" si="217"/>
        <v>0</v>
      </c>
      <c r="Y694" s="15">
        <f t="shared" si="218"/>
        <v>0</v>
      </c>
      <c r="Z694" s="15">
        <f t="shared" si="219"/>
        <v>0</v>
      </c>
      <c r="AA694" s="15">
        <f t="shared" si="220"/>
        <v>0</v>
      </c>
      <c r="AC694" s="1"/>
      <c r="AD694" s="1"/>
      <c r="AE694" s="1"/>
    </row>
    <row r="695" spans="1:31">
      <c r="A695">
        <v>574</v>
      </c>
      <c r="B695">
        <f t="shared" si="200"/>
        <v>0.65455205921990489</v>
      </c>
      <c r="C695">
        <v>0.639264530093267</v>
      </c>
      <c r="D695">
        <f t="shared" si="201"/>
        <v>1.5642976466316731</v>
      </c>
      <c r="E695" s="1">
        <f t="shared" si="202"/>
        <v>0.10020429719631471</v>
      </c>
      <c r="F695" s="1">
        <f t="shared" si="203"/>
        <v>0.11623698474772506</v>
      </c>
      <c r="G695" s="1">
        <f t="shared" si="204"/>
        <v>3.6073546990673305E-2</v>
      </c>
      <c r="H695" s="1">
        <f t="shared" si="205"/>
        <v>3.4955512311610731E-2</v>
      </c>
      <c r="I695" s="1">
        <f t="shared" si="206"/>
        <v>0.12846638066352969</v>
      </c>
      <c r="J695" s="1">
        <f t="shared" si="207"/>
        <v>0.13917881376000241</v>
      </c>
      <c r="K695" s="1">
        <f t="shared" si="208"/>
        <v>8.5582438528432309E-2</v>
      </c>
      <c r="L695" s="1">
        <f t="shared" si="209"/>
        <v>8.4861810226402656E-2</v>
      </c>
      <c r="M695" s="1">
        <f t="shared" si="210"/>
        <v>0.18499054759795941</v>
      </c>
      <c r="N695" s="1">
        <f t="shared" si="211"/>
        <v>0.18506247178455687</v>
      </c>
      <c r="O695" s="1">
        <f t="shared" si="212"/>
        <v>0.18460022160395023</v>
      </c>
      <c r="P695" s="1">
        <f t="shared" si="213"/>
        <v>0.18467440605598645</v>
      </c>
      <c r="Q695" s="1">
        <f t="shared" si="214"/>
        <v>2.8057203214968123</v>
      </c>
      <c r="T695">
        <v>0.31038990130415722</v>
      </c>
      <c r="U695">
        <f t="shared" si="221"/>
        <v>3.2217543025669517</v>
      </c>
      <c r="V695" s="15">
        <f t="shared" si="215"/>
        <v>7.0282500350744126E-2</v>
      </c>
      <c r="W695" s="15">
        <f t="shared" si="216"/>
        <v>7.489188818990708E-2</v>
      </c>
      <c r="X695" s="15">
        <f t="shared" si="217"/>
        <v>8.4110663868232974E-2</v>
      </c>
      <c r="Y695" s="15">
        <f t="shared" si="218"/>
        <v>9.9192732650781809E-2</v>
      </c>
      <c r="Z695" s="15">
        <f t="shared" si="219"/>
        <v>0.10321629656822764</v>
      </c>
      <c r="AA695" s="15">
        <f t="shared" si="220"/>
        <v>0.1112634244031194</v>
      </c>
      <c r="AC695" s="1"/>
      <c r="AD695" s="1"/>
      <c r="AE695" s="1"/>
    </row>
    <row r="696" spans="1:31">
      <c r="A696">
        <v>493</v>
      </c>
      <c r="B696">
        <f t="shared" si="200"/>
        <v>0.65549699147231022</v>
      </c>
      <c r="C696">
        <v>0.64157910479844238</v>
      </c>
      <c r="D696">
        <f t="shared" si="201"/>
        <v>1.5586542524856053</v>
      </c>
      <c r="E696" s="1">
        <f t="shared" si="202"/>
        <v>9.9561359778210429E-2</v>
      </c>
      <c r="F696" s="1">
        <f t="shared" si="203"/>
        <v>0.11549117734272413</v>
      </c>
      <c r="G696" s="1">
        <f t="shared" si="204"/>
        <v>3.5842089520155766E-2</v>
      </c>
      <c r="H696" s="1">
        <f t="shared" si="205"/>
        <v>3.4731228448912618E-2</v>
      </c>
      <c r="I696" s="1">
        <f t="shared" si="206"/>
        <v>0.12764210620217406</v>
      </c>
      <c r="J696" s="1">
        <f t="shared" si="207"/>
        <v>0.13828580547914635</v>
      </c>
      <c r="K696" s="1">
        <f t="shared" si="208"/>
        <v>8.5033318843926786E-2</v>
      </c>
      <c r="L696" s="1">
        <f t="shared" si="209"/>
        <v>8.4317314284719391E-2</v>
      </c>
      <c r="M696" s="1">
        <f t="shared" si="210"/>
        <v>0.18380359905010107</v>
      </c>
      <c r="N696" s="1">
        <f t="shared" si="211"/>
        <v>0.18387506175199059</v>
      </c>
      <c r="O696" s="1">
        <f t="shared" si="212"/>
        <v>0.18341577749146876</v>
      </c>
      <c r="P696" s="1">
        <f t="shared" si="213"/>
        <v>0.18348948595633285</v>
      </c>
      <c r="Q696" s="1">
        <f t="shared" si="214"/>
        <v>2.7877180737898932</v>
      </c>
      <c r="T696">
        <v>0.97093810926785928</v>
      </c>
      <c r="U696">
        <f t="shared" si="221"/>
        <v>1.0299317643985104</v>
      </c>
      <c r="V696" s="15">
        <f t="shared" si="215"/>
        <v>0</v>
      </c>
      <c r="W696" s="15">
        <f t="shared" si="216"/>
        <v>0</v>
      </c>
      <c r="X696" s="15">
        <f t="shared" si="217"/>
        <v>0</v>
      </c>
      <c r="Y696" s="15">
        <f t="shared" si="218"/>
        <v>0</v>
      </c>
      <c r="Z696" s="15">
        <f t="shared" si="219"/>
        <v>0</v>
      </c>
      <c r="AA696" s="15">
        <f t="shared" si="220"/>
        <v>0</v>
      </c>
      <c r="AC696" s="1"/>
      <c r="AD696" s="1"/>
      <c r="AE696" s="1"/>
    </row>
    <row r="697" spans="1:31">
      <c r="A697">
        <v>517</v>
      </c>
      <c r="B697">
        <f t="shared" si="200"/>
        <v>0.65662590633021389</v>
      </c>
      <c r="C697">
        <v>0.64232297831784613</v>
      </c>
      <c r="D697">
        <f t="shared" si="201"/>
        <v>1.5568491767472805</v>
      </c>
      <c r="E697" s="1">
        <f t="shared" si="202"/>
        <v>9.9354728245042739E-2</v>
      </c>
      <c r="F697" s="1">
        <f t="shared" si="203"/>
        <v>0.11525148476424957</v>
      </c>
      <c r="G697" s="1">
        <f t="shared" si="204"/>
        <v>3.5767702168215391E-2</v>
      </c>
      <c r="H697" s="1">
        <f t="shared" si="205"/>
        <v>3.4659146599094741E-2</v>
      </c>
      <c r="I697" s="1">
        <f t="shared" si="206"/>
        <v>0.12737719535563616</v>
      </c>
      <c r="J697" s="1">
        <f t="shared" si="207"/>
        <v>0.13799880449738855</v>
      </c>
      <c r="K697" s="1">
        <f t="shared" si="208"/>
        <v>8.4856839082278285E-2</v>
      </c>
      <c r="L697" s="1">
        <f t="shared" si="209"/>
        <v>8.41423205325042E-2</v>
      </c>
      <c r="M697" s="1">
        <f t="shared" si="210"/>
        <v>0.1834221295768228</v>
      </c>
      <c r="N697" s="1">
        <f t="shared" si="211"/>
        <v>0.18349344396366624</v>
      </c>
      <c r="O697" s="1">
        <f t="shared" si="212"/>
        <v>0.18303511291040397</v>
      </c>
      <c r="P697" s="1">
        <f t="shared" si="213"/>
        <v>0.18310866839932305</v>
      </c>
      <c r="Q697" s="1">
        <f t="shared" si="214"/>
        <v>2.781932390861197</v>
      </c>
      <c r="T697">
        <v>0.96040759644819773</v>
      </c>
      <c r="U697">
        <f t="shared" si="221"/>
        <v>1.0412245839143961</v>
      </c>
      <c r="V697" s="15">
        <f t="shared" si="215"/>
        <v>0</v>
      </c>
      <c r="W697" s="15">
        <f t="shared" si="216"/>
        <v>0</v>
      </c>
      <c r="X697" s="15">
        <f t="shared" si="217"/>
        <v>0</v>
      </c>
      <c r="Y697" s="15">
        <f t="shared" si="218"/>
        <v>0</v>
      </c>
      <c r="Z697" s="15">
        <f t="shared" si="219"/>
        <v>0</v>
      </c>
      <c r="AA697" s="15">
        <f t="shared" si="220"/>
        <v>0</v>
      </c>
      <c r="AC697" s="1"/>
      <c r="AD697" s="1"/>
      <c r="AE697" s="1"/>
    </row>
    <row r="698" spans="1:31">
      <c r="A698">
        <v>328</v>
      </c>
      <c r="B698">
        <f t="shared" si="200"/>
        <v>0.65727217268405258</v>
      </c>
      <c r="C698">
        <v>0.64381803874227983</v>
      </c>
      <c r="D698">
        <f t="shared" si="201"/>
        <v>1.5532338950202973</v>
      </c>
      <c r="E698" s="1">
        <f t="shared" si="202"/>
        <v>9.8939433682700029E-2</v>
      </c>
      <c r="F698" s="1">
        <f t="shared" si="203"/>
        <v>0.11476974307193205</v>
      </c>
      <c r="G698" s="1">
        <f t="shared" si="204"/>
        <v>3.5618196125772023E-2</v>
      </c>
      <c r="H698" s="1">
        <f t="shared" si="205"/>
        <v>3.4514274227419157E-2</v>
      </c>
      <c r="I698" s="1">
        <f t="shared" si="206"/>
        <v>0.12684476919402268</v>
      </c>
      <c r="J698" s="1">
        <f t="shared" si="207"/>
        <v>0.13742198088637517</v>
      </c>
      <c r="K698" s="1">
        <f t="shared" si="208"/>
        <v>8.450214449983684E-2</v>
      </c>
      <c r="L698" s="1">
        <f t="shared" si="209"/>
        <v>8.3790612578617391E-2</v>
      </c>
      <c r="M698" s="1">
        <f t="shared" si="210"/>
        <v>0.18265544021666774</v>
      </c>
      <c r="N698" s="1">
        <f t="shared" si="211"/>
        <v>0.1827264565152612</v>
      </c>
      <c r="O698" s="1">
        <f t="shared" si="212"/>
        <v>0.18227004124796636</v>
      </c>
      <c r="P698" s="1">
        <f t="shared" si="213"/>
        <v>0.18234328928101379</v>
      </c>
      <c r="Q698" s="1">
        <f t="shared" si="214"/>
        <v>2.7703041431156015</v>
      </c>
      <c r="T698">
        <v>0.66809597443424351</v>
      </c>
      <c r="U698">
        <f t="shared" si="221"/>
        <v>1.4967909376296111</v>
      </c>
      <c r="V698" s="15">
        <f t="shared" si="215"/>
        <v>0</v>
      </c>
      <c r="W698" s="15">
        <f t="shared" si="216"/>
        <v>0</v>
      </c>
      <c r="X698" s="15">
        <f t="shared" si="217"/>
        <v>0</v>
      </c>
      <c r="Y698" s="15">
        <f t="shared" si="218"/>
        <v>0</v>
      </c>
      <c r="Z698" s="15">
        <f t="shared" si="219"/>
        <v>0</v>
      </c>
      <c r="AA698" s="15">
        <f t="shared" si="220"/>
        <v>0</v>
      </c>
      <c r="AC698" s="1"/>
      <c r="AD698" s="1"/>
      <c r="AE698" s="1"/>
    </row>
    <row r="699" spans="1:31">
      <c r="A699">
        <v>52</v>
      </c>
      <c r="B699">
        <f t="shared" si="200"/>
        <v>0.65904447134015776</v>
      </c>
      <c r="C699">
        <v>0.64541955645846549</v>
      </c>
      <c r="D699">
        <f t="shared" si="201"/>
        <v>1.5493797638968083</v>
      </c>
      <c r="E699" s="1">
        <f t="shared" si="202"/>
        <v>9.8494567650426246E-2</v>
      </c>
      <c r="F699" s="1">
        <f t="shared" si="203"/>
        <v>0.11425369847449443</v>
      </c>
      <c r="G699" s="1">
        <f t="shared" si="204"/>
        <v>3.5458044354153458E-2</v>
      </c>
      <c r="H699" s="1">
        <f t="shared" si="205"/>
        <v>3.4359086071788482E-2</v>
      </c>
      <c r="I699" s="1">
        <f t="shared" si="206"/>
        <v>0.12627443108831857</v>
      </c>
      <c r="J699" s="1">
        <f t="shared" si="207"/>
        <v>0.13680408396591992</v>
      </c>
      <c r="K699" s="1">
        <f t="shared" si="208"/>
        <v>8.4122193530410144E-2</v>
      </c>
      <c r="L699" s="1">
        <f t="shared" si="209"/>
        <v>8.3413860903656489E-2</v>
      </c>
      <c r="M699" s="1">
        <f t="shared" si="210"/>
        <v>0.18183415796410296</v>
      </c>
      <c r="N699" s="1">
        <f t="shared" si="211"/>
        <v>0.18190485494877062</v>
      </c>
      <c r="O699" s="1">
        <f t="shared" si="212"/>
        <v>0.18145049188292345</v>
      </c>
      <c r="P699" s="1">
        <f t="shared" si="213"/>
        <v>0.18152341056739241</v>
      </c>
      <c r="Q699" s="1">
        <f t="shared" si="214"/>
        <v>2.7578478942119355</v>
      </c>
      <c r="T699">
        <v>0.43141528108123284</v>
      </c>
      <c r="U699">
        <f t="shared" si="221"/>
        <v>2.317952200241387</v>
      </c>
      <c r="V699" s="15">
        <f t="shared" si="215"/>
        <v>6.2365194146312808E-2</v>
      </c>
      <c r="W699" s="15">
        <f t="shared" si="216"/>
        <v>6.729007931960504E-2</v>
      </c>
      <c r="X699" s="15">
        <f t="shared" si="217"/>
        <v>7.7139849666189364E-2</v>
      </c>
      <c r="Y699" s="15">
        <f t="shared" si="218"/>
        <v>8.7474785727456594E-2</v>
      </c>
      <c r="Z699" s="15">
        <f t="shared" si="219"/>
        <v>9.1813585676927101E-2</v>
      </c>
      <c r="AA699" s="15">
        <f t="shared" si="220"/>
        <v>0.10049118557586809</v>
      </c>
      <c r="AC699" s="1"/>
      <c r="AD699" s="1"/>
      <c r="AE699" s="1"/>
    </row>
    <row r="700" spans="1:31">
      <c r="A700">
        <v>964</v>
      </c>
      <c r="B700">
        <f t="shared" si="200"/>
        <v>0.66029561377678925</v>
      </c>
      <c r="C700">
        <v>0.64902162334786817</v>
      </c>
      <c r="D700">
        <f t="shared" si="201"/>
        <v>1.5407807136558398</v>
      </c>
      <c r="E700" s="1">
        <f t="shared" si="202"/>
        <v>9.7493993514481042E-2</v>
      </c>
      <c r="F700" s="1">
        <f t="shared" si="203"/>
        <v>0.11309303247679803</v>
      </c>
      <c r="G700" s="1">
        <f t="shared" si="204"/>
        <v>3.509783766521319E-2</v>
      </c>
      <c r="H700" s="1">
        <f t="shared" si="205"/>
        <v>3.4010043341024261E-2</v>
      </c>
      <c r="I700" s="1">
        <f t="shared" si="206"/>
        <v>0.1249916503950057</v>
      </c>
      <c r="J700" s="1">
        <f t="shared" si="207"/>
        <v>0.13541433596891575</v>
      </c>
      <c r="K700" s="1">
        <f t="shared" si="208"/>
        <v>8.3267623647894001E-2</v>
      </c>
      <c r="L700" s="1">
        <f t="shared" si="209"/>
        <v>8.2566486740893036E-2</v>
      </c>
      <c r="M700" s="1">
        <f t="shared" si="210"/>
        <v>0.17998696415605475</v>
      </c>
      <c r="N700" s="1">
        <f t="shared" si="211"/>
        <v>0.18005694295315089</v>
      </c>
      <c r="O700" s="1">
        <f t="shared" si="212"/>
        <v>0.1796071956132555</v>
      </c>
      <c r="P700" s="1">
        <f t="shared" si="213"/>
        <v>0.17967937354063052</v>
      </c>
      <c r="Q700" s="1">
        <f t="shared" si="214"/>
        <v>2.7298318184054704</v>
      </c>
      <c r="T700">
        <v>6.2246704715856138E-2</v>
      </c>
      <c r="U700">
        <f t="shared" si="221"/>
        <v>16.065107455323165</v>
      </c>
      <c r="V700" s="15">
        <f t="shared" si="215"/>
        <v>9.9552942309266854E-2</v>
      </c>
      <c r="W700" s="15">
        <f t="shared" si="216"/>
        <v>0.10252498044201515</v>
      </c>
      <c r="X700" s="15">
        <f t="shared" si="217"/>
        <v>0.10846905670751178</v>
      </c>
      <c r="Y700" s="15">
        <f t="shared" si="218"/>
        <v>0.1424801789173849</v>
      </c>
      <c r="Z700" s="15">
        <f t="shared" si="219"/>
        <v>0.14480113006435613</v>
      </c>
      <c r="AA700" s="15">
        <f t="shared" si="220"/>
        <v>0.14944303235829859</v>
      </c>
      <c r="AC700" s="1"/>
      <c r="AD700" s="1"/>
      <c r="AE700" s="1"/>
    </row>
    <row r="701" spans="1:31">
      <c r="A701">
        <v>870</v>
      </c>
      <c r="B701">
        <f t="shared" si="200"/>
        <v>0.66032448266861499</v>
      </c>
      <c r="C701">
        <v>0.64907920479743497</v>
      </c>
      <c r="D701">
        <f t="shared" si="201"/>
        <v>1.5406440271215909</v>
      </c>
      <c r="E701" s="1">
        <f t="shared" si="202"/>
        <v>9.7477998667379162E-2</v>
      </c>
      <c r="F701" s="1">
        <f t="shared" si="203"/>
        <v>0.11307447845415983</v>
      </c>
      <c r="G701" s="1">
        <f t="shared" si="204"/>
        <v>3.509207952025651E-2</v>
      </c>
      <c r="H701" s="1">
        <f t="shared" si="205"/>
        <v>3.4004463659409435E-2</v>
      </c>
      <c r="I701" s="1">
        <f t="shared" si="206"/>
        <v>0.12497114428724446</v>
      </c>
      <c r="J701" s="1">
        <f t="shared" si="207"/>
        <v>0.13539211991722733</v>
      </c>
      <c r="K701" s="1">
        <f t="shared" si="208"/>
        <v>8.3253962776482587E-2</v>
      </c>
      <c r="L701" s="1">
        <f t="shared" si="209"/>
        <v>8.2552940897876903E-2</v>
      </c>
      <c r="M701" s="1">
        <f t="shared" si="210"/>
        <v>0.1799574355269748</v>
      </c>
      <c r="N701" s="1">
        <f t="shared" si="211"/>
        <v>0.18002740284336211</v>
      </c>
      <c r="O701" s="1">
        <f t="shared" si="212"/>
        <v>0.17957772928893467</v>
      </c>
      <c r="P701" s="1">
        <f t="shared" si="213"/>
        <v>0.1796498953748118</v>
      </c>
      <c r="Q701" s="1">
        <f t="shared" si="214"/>
        <v>2.729383962686617</v>
      </c>
      <c r="T701">
        <v>0.90972094606464504</v>
      </c>
      <c r="U701">
        <f t="shared" si="221"/>
        <v>1.0992381832317839</v>
      </c>
      <c r="V701" s="15">
        <f t="shared" si="215"/>
        <v>0</v>
      </c>
      <c r="W701" s="15">
        <f t="shared" si="216"/>
        <v>0</v>
      </c>
      <c r="X701" s="15">
        <f t="shared" si="217"/>
        <v>0</v>
      </c>
      <c r="Y701" s="15">
        <f t="shared" si="218"/>
        <v>0</v>
      </c>
      <c r="Z701" s="15">
        <f t="shared" si="219"/>
        <v>0</v>
      </c>
      <c r="AA701" s="15">
        <f t="shared" si="220"/>
        <v>0</v>
      </c>
      <c r="AC701" s="1"/>
      <c r="AD701" s="1"/>
      <c r="AE701" s="1"/>
    </row>
    <row r="702" spans="1:31">
      <c r="A702">
        <v>411</v>
      </c>
      <c r="B702">
        <f t="shared" si="200"/>
        <v>0.66062220494492563</v>
      </c>
      <c r="C702">
        <v>0.64985418751431268</v>
      </c>
      <c r="D702">
        <f t="shared" si="201"/>
        <v>1.5388067342075495</v>
      </c>
      <c r="E702" s="1">
        <f t="shared" si="202"/>
        <v>9.7262725690468677E-2</v>
      </c>
      <c r="F702" s="1">
        <f t="shared" si="203"/>
        <v>0.1128247618009437</v>
      </c>
      <c r="G702" s="1">
        <f t="shared" si="204"/>
        <v>3.5014581248568738E-2</v>
      </c>
      <c r="H702" s="1">
        <f t="shared" si="205"/>
        <v>3.3929367307204014E-2</v>
      </c>
      <c r="I702" s="1">
        <f t="shared" si="206"/>
        <v>0.12469515472420037</v>
      </c>
      <c r="J702" s="1">
        <f t="shared" si="207"/>
        <v>0.13509311639742533</v>
      </c>
      <c r="K702" s="1">
        <f t="shared" si="208"/>
        <v>8.3070102534669038E-2</v>
      </c>
      <c r="L702" s="1">
        <f t="shared" si="209"/>
        <v>8.2370628811224006E-2</v>
      </c>
      <c r="M702" s="1">
        <f t="shared" si="210"/>
        <v>0.17956001279166345</v>
      </c>
      <c r="N702" s="1">
        <f t="shared" si="211"/>
        <v>0.17962982559038837</v>
      </c>
      <c r="O702" s="1">
        <f t="shared" si="212"/>
        <v>0.1791811451068695</v>
      </c>
      <c r="P702" s="1">
        <f t="shared" si="213"/>
        <v>0.17925315181926388</v>
      </c>
      <c r="Q702" s="1">
        <f t="shared" si="214"/>
        <v>2.7233563193331243</v>
      </c>
      <c r="T702">
        <v>0.52269019443067888</v>
      </c>
      <c r="U702">
        <f t="shared" si="221"/>
        <v>1.9131791846395996</v>
      </c>
      <c r="V702" s="15">
        <f t="shared" si="215"/>
        <v>0</v>
      </c>
      <c r="W702" s="15">
        <f t="shared" si="216"/>
        <v>0</v>
      </c>
      <c r="X702" s="15">
        <f t="shared" si="217"/>
        <v>0</v>
      </c>
      <c r="Y702" s="15">
        <f t="shared" si="218"/>
        <v>0</v>
      </c>
      <c r="Z702" s="15">
        <f t="shared" si="219"/>
        <v>0</v>
      </c>
      <c r="AA702" s="15">
        <f t="shared" si="220"/>
        <v>0</v>
      </c>
      <c r="AC702" s="1"/>
      <c r="AD702" s="1"/>
      <c r="AE702" s="1"/>
    </row>
    <row r="703" spans="1:31">
      <c r="A703">
        <v>670</v>
      </c>
      <c r="B703">
        <f t="shared" si="200"/>
        <v>0.6606355924164089</v>
      </c>
      <c r="C703">
        <v>0.65008771717603564</v>
      </c>
      <c r="D703">
        <f t="shared" si="201"/>
        <v>1.5382539518574114</v>
      </c>
      <c r="E703" s="1">
        <f t="shared" si="202"/>
        <v>9.7197856339990091E-2</v>
      </c>
      <c r="F703" s="1">
        <f t="shared" si="203"/>
        <v>0.11274951335438851</v>
      </c>
      <c r="G703" s="1">
        <f t="shared" si="204"/>
        <v>3.4991228282396446E-2</v>
      </c>
      <c r="H703" s="1">
        <f t="shared" si="205"/>
        <v>3.3906738124197436E-2</v>
      </c>
      <c r="I703" s="1">
        <f t="shared" si="206"/>
        <v>0.12461198932206544</v>
      </c>
      <c r="J703" s="1">
        <f t="shared" si="207"/>
        <v>0.13500301607736315</v>
      </c>
      <c r="K703" s="1">
        <f t="shared" si="208"/>
        <v>8.3014698950640703E-2</v>
      </c>
      <c r="L703" s="1">
        <f t="shared" si="209"/>
        <v>8.2315691741019908E-2</v>
      </c>
      <c r="M703" s="1">
        <f t="shared" si="210"/>
        <v>0.17944025528621588</v>
      </c>
      <c r="N703" s="1">
        <f t="shared" si="211"/>
        <v>0.17951002152331219</v>
      </c>
      <c r="O703" s="1">
        <f t="shared" si="212"/>
        <v>0.17906164028712912</v>
      </c>
      <c r="P703" s="1">
        <f t="shared" si="213"/>
        <v>0.1791335989746648</v>
      </c>
      <c r="Q703" s="1">
        <f t="shared" si="214"/>
        <v>2.7215399775197229</v>
      </c>
      <c r="T703">
        <v>0.76094306853822036</v>
      </c>
      <c r="U703">
        <f t="shared" si="221"/>
        <v>1.3141587608137499</v>
      </c>
      <c r="V703" s="15">
        <f t="shared" si="215"/>
        <v>0</v>
      </c>
      <c r="W703" s="15">
        <f t="shared" si="216"/>
        <v>0</v>
      </c>
      <c r="X703" s="15">
        <f t="shared" si="217"/>
        <v>0</v>
      </c>
      <c r="Y703" s="15">
        <f t="shared" si="218"/>
        <v>0</v>
      </c>
      <c r="Z703" s="15">
        <f t="shared" si="219"/>
        <v>0</v>
      </c>
      <c r="AA703" s="15">
        <f t="shared" si="220"/>
        <v>0</v>
      </c>
      <c r="AC703" s="1"/>
      <c r="AD703" s="1"/>
      <c r="AE703" s="1"/>
    </row>
    <row r="704" spans="1:31">
      <c r="A704">
        <v>6</v>
      </c>
      <c r="B704">
        <f t="shared" si="200"/>
        <v>0.66065372674978562</v>
      </c>
      <c r="C704">
        <v>0.65040405060347517</v>
      </c>
      <c r="D704">
        <f t="shared" si="201"/>
        <v>1.5375057997750066</v>
      </c>
      <c r="E704" s="1">
        <f t="shared" si="202"/>
        <v>9.710998594347911E-2</v>
      </c>
      <c r="F704" s="1">
        <f t="shared" si="203"/>
        <v>0.11264758369443578</v>
      </c>
      <c r="G704" s="1">
        <f t="shared" si="204"/>
        <v>3.4959594939652491E-2</v>
      </c>
      <c r="H704" s="1">
        <f t="shared" si="205"/>
        <v>3.3876085199991524E-2</v>
      </c>
      <c r="I704" s="1">
        <f t="shared" si="206"/>
        <v>0.12449933555248588</v>
      </c>
      <c r="J704" s="1">
        <f t="shared" si="207"/>
        <v>0.13488096844175068</v>
      </c>
      <c r="K704" s="1">
        <f t="shared" si="208"/>
        <v>8.2939650644148072E-2</v>
      </c>
      <c r="L704" s="1">
        <f t="shared" si="209"/>
        <v>8.2241275362462563E-2</v>
      </c>
      <c r="M704" s="1">
        <f t="shared" si="210"/>
        <v>0.17927803477049914</v>
      </c>
      <c r="N704" s="1">
        <f t="shared" si="211"/>
        <v>0.17934773793638026</v>
      </c>
      <c r="O704" s="1">
        <f t="shared" si="212"/>
        <v>0.17889976205313907</v>
      </c>
      <c r="P704" s="1">
        <f t="shared" si="213"/>
        <v>0.17897165568740458</v>
      </c>
      <c r="Q704" s="1">
        <f t="shared" si="214"/>
        <v>2.7190796064174156</v>
      </c>
      <c r="T704">
        <v>0.21583586412629219</v>
      </c>
      <c r="U704">
        <f t="shared" si="221"/>
        <v>4.6331503063590453</v>
      </c>
      <c r="V704" s="15">
        <f t="shared" si="215"/>
        <v>7.6468089411330098E-2</v>
      </c>
      <c r="W704" s="15">
        <f t="shared" si="216"/>
        <v>8.0830987243886779E-2</v>
      </c>
      <c r="X704" s="15">
        <f t="shared" si="217"/>
        <v>8.9556782909000238E-2</v>
      </c>
      <c r="Y704" s="15">
        <f t="shared" si="218"/>
        <v>0.10834766520358355</v>
      </c>
      <c r="Z704" s="15">
        <f t="shared" si="219"/>
        <v>0.11212494326308152</v>
      </c>
      <c r="AA704" s="15">
        <f t="shared" si="220"/>
        <v>0.1196794993820776</v>
      </c>
      <c r="AC704" s="1"/>
      <c r="AD704" s="1"/>
      <c r="AE704" s="1"/>
    </row>
    <row r="705" spans="1:31">
      <c r="A705">
        <v>417</v>
      </c>
      <c r="B705">
        <f t="shared" si="200"/>
        <v>0.66122643516802715</v>
      </c>
      <c r="C705">
        <v>0.651471210909225</v>
      </c>
      <c r="D705">
        <f t="shared" si="201"/>
        <v>1.5349872461813796</v>
      </c>
      <c r="E705" s="1">
        <f t="shared" si="202"/>
        <v>9.6813552525215257E-2</v>
      </c>
      <c r="F705" s="1">
        <f t="shared" si="203"/>
        <v>0.11230372092924973</v>
      </c>
      <c r="G705" s="1">
        <f t="shared" si="204"/>
        <v>3.4852878909077505E-2</v>
      </c>
      <c r="H705" s="1">
        <f t="shared" si="205"/>
        <v>3.3772676640761834E-2</v>
      </c>
      <c r="I705" s="1">
        <f t="shared" si="206"/>
        <v>0.12411929468180877</v>
      </c>
      <c r="J705" s="1">
        <f t="shared" si="207"/>
        <v>0.13446923708224665</v>
      </c>
      <c r="K705" s="1">
        <f t="shared" si="208"/>
        <v>8.2686472931154026E-2</v>
      </c>
      <c r="L705" s="1">
        <f t="shared" si="209"/>
        <v>8.1990229477312687E-2</v>
      </c>
      <c r="M705" s="1">
        <f t="shared" si="210"/>
        <v>0.17873077899499556</v>
      </c>
      <c r="N705" s="1">
        <f t="shared" si="211"/>
        <v>0.17880026938824028</v>
      </c>
      <c r="O705" s="1">
        <f t="shared" si="212"/>
        <v>0.17835366097530692</v>
      </c>
      <c r="P705" s="1">
        <f t="shared" si="213"/>
        <v>0.17842533515041437</v>
      </c>
      <c r="Q705" s="1">
        <f t="shared" si="214"/>
        <v>2.7107794707060284</v>
      </c>
      <c r="T705">
        <v>0.20384937239924483</v>
      </c>
      <c r="U705">
        <f t="shared" si="221"/>
        <v>4.9055829224799936</v>
      </c>
      <c r="V705" s="15">
        <f t="shared" si="215"/>
        <v>7.7252228453031271E-2</v>
      </c>
      <c r="W705" s="15">
        <f t="shared" si="216"/>
        <v>8.1583879069570847E-2</v>
      </c>
      <c r="X705" s="15">
        <f t="shared" si="217"/>
        <v>9.0247180302650123E-2</v>
      </c>
      <c r="Y705" s="15">
        <f t="shared" si="218"/>
        <v>0.1095082240393677</v>
      </c>
      <c r="Z705" s="15">
        <f t="shared" si="219"/>
        <v>0.11325428076250721</v>
      </c>
      <c r="AA705" s="15">
        <f t="shared" si="220"/>
        <v>0.12074639420878637</v>
      </c>
      <c r="AC705" s="1"/>
      <c r="AD705" s="1"/>
      <c r="AE705" s="1"/>
    </row>
    <row r="706" spans="1:31">
      <c r="A706">
        <v>925</v>
      </c>
      <c r="B706">
        <f t="shared" si="200"/>
        <v>0.66219106066549194</v>
      </c>
      <c r="C706">
        <v>0.65185201886741329</v>
      </c>
      <c r="D706">
        <f t="shared" si="201"/>
        <v>1.5340905160307559</v>
      </c>
      <c r="E706" s="1">
        <f t="shared" si="202"/>
        <v>9.6707772536829634E-2</v>
      </c>
      <c r="F706" s="1">
        <f t="shared" si="203"/>
        <v>0.11218101614272238</v>
      </c>
      <c r="G706" s="1">
        <f t="shared" si="204"/>
        <v>3.4814798113258681E-2</v>
      </c>
      <c r="H706" s="1">
        <f t="shared" si="205"/>
        <v>3.3735776090687696E-2</v>
      </c>
      <c r="I706" s="1">
        <f t="shared" si="206"/>
        <v>0.12398368001622304</v>
      </c>
      <c r="J706" s="1">
        <f t="shared" si="207"/>
        <v>0.13432231390913946</v>
      </c>
      <c r="K706" s="1">
        <f t="shared" si="208"/>
        <v>8.2596128408944397E-2</v>
      </c>
      <c r="L706" s="1">
        <f t="shared" si="209"/>
        <v>8.1900645681494577E-2</v>
      </c>
      <c r="M706" s="1">
        <f t="shared" si="210"/>
        <v>0.17853549497500959</v>
      </c>
      <c r="N706" s="1">
        <f t="shared" si="211"/>
        <v>0.17860490944197338</v>
      </c>
      <c r="O706" s="1">
        <f t="shared" si="212"/>
        <v>0.17815878900031573</v>
      </c>
      <c r="P706" s="1">
        <f t="shared" si="213"/>
        <v>0.17823038486310827</v>
      </c>
      <c r="Q706" s="1">
        <f t="shared" si="214"/>
        <v>2.7078176310312303</v>
      </c>
      <c r="T706">
        <v>0.27823590076403526</v>
      </c>
      <c r="U706">
        <f t="shared" si="221"/>
        <v>3.5940725019812394</v>
      </c>
      <c r="V706" s="15">
        <f t="shared" si="215"/>
        <v>7.2385968800440473E-2</v>
      </c>
      <c r="W706" s="15">
        <f t="shared" si="216"/>
        <v>7.6911535366159078E-2</v>
      </c>
      <c r="X706" s="15">
        <f t="shared" si="217"/>
        <v>8.5962668497596317E-2</v>
      </c>
      <c r="Y706" s="15">
        <f t="shared" si="218"/>
        <v>0.10230595462451768</v>
      </c>
      <c r="Z706" s="15">
        <f t="shared" si="219"/>
        <v>0.10624576669121405</v>
      </c>
      <c r="AA706" s="15">
        <f t="shared" si="220"/>
        <v>0.11412539082460688</v>
      </c>
      <c r="AC706" s="1"/>
      <c r="AD706" s="1"/>
      <c r="AE706" s="1"/>
    </row>
    <row r="707" spans="1:31">
      <c r="A707">
        <v>114</v>
      </c>
      <c r="B707">
        <f t="shared" si="200"/>
        <v>0.66474244268364047</v>
      </c>
      <c r="C707">
        <v>0.65245930777335714</v>
      </c>
      <c r="D707">
        <f t="shared" si="201"/>
        <v>1.5326626321152383</v>
      </c>
      <c r="E707" s="1">
        <f t="shared" si="202"/>
        <v>9.6539081174067454E-2</v>
      </c>
      <c r="F707" s="1">
        <f t="shared" si="203"/>
        <v>0.11198533416191825</v>
      </c>
      <c r="G707" s="1">
        <f t="shared" si="204"/>
        <v>3.4754069222664295E-2</v>
      </c>
      <c r="H707" s="1">
        <f t="shared" si="205"/>
        <v>3.3676929382783112E-2</v>
      </c>
      <c r="I707" s="1">
        <f t="shared" si="206"/>
        <v>0.12376741016124068</v>
      </c>
      <c r="J707" s="1">
        <f t="shared" si="207"/>
        <v>0.13408800994795503</v>
      </c>
      <c r="K707" s="1">
        <f t="shared" si="208"/>
        <v>8.2452052570005208E-2</v>
      </c>
      <c r="L707" s="1">
        <f t="shared" si="209"/>
        <v>8.1757783001808165E-2</v>
      </c>
      <c r="M707" s="1">
        <f t="shared" si="210"/>
        <v>0.17822406813558689</v>
      </c>
      <c r="N707" s="1">
        <f t="shared" si="211"/>
        <v>0.17829336152002834</v>
      </c>
      <c r="O707" s="1">
        <f t="shared" si="212"/>
        <v>0.17784801926468691</v>
      </c>
      <c r="P707" s="1">
        <f t="shared" si="213"/>
        <v>0.17791949023985826</v>
      </c>
      <c r="Q707" s="1">
        <f t="shared" si="214"/>
        <v>2.7030942728738889</v>
      </c>
      <c r="T707">
        <v>0.58962053760491029</v>
      </c>
      <c r="U707">
        <f t="shared" si="221"/>
        <v>1.6960060517262283</v>
      </c>
      <c r="V707" s="15">
        <f t="shared" si="215"/>
        <v>0</v>
      </c>
      <c r="W707" s="15">
        <f t="shared" si="216"/>
        <v>0</v>
      </c>
      <c r="X707" s="15">
        <f t="shared" si="217"/>
        <v>0</v>
      </c>
      <c r="Y707" s="15">
        <f t="shared" si="218"/>
        <v>0</v>
      </c>
      <c r="Z707" s="15">
        <f t="shared" si="219"/>
        <v>0</v>
      </c>
      <c r="AA707" s="15">
        <f t="shared" si="220"/>
        <v>0</v>
      </c>
      <c r="AC707" s="1"/>
      <c r="AD707" s="1"/>
      <c r="AE707" s="1"/>
    </row>
    <row r="708" spans="1:31">
      <c r="A708">
        <v>63</v>
      </c>
      <c r="B708">
        <f t="shared" si="200"/>
        <v>0.66611884419312628</v>
      </c>
      <c r="C708">
        <v>0.65323316772101192</v>
      </c>
      <c r="D708">
        <f t="shared" si="201"/>
        <v>1.5308469462577687</v>
      </c>
      <c r="E708" s="1">
        <f t="shared" si="202"/>
        <v>9.6324120077496689E-2</v>
      </c>
      <c r="F708" s="1">
        <f t="shared" si="203"/>
        <v>0.11173597928989615</v>
      </c>
      <c r="G708" s="1">
        <f t="shared" si="204"/>
        <v>3.4676683227898818E-2</v>
      </c>
      <c r="H708" s="1">
        <f t="shared" si="205"/>
        <v>3.3601941827678804E-2</v>
      </c>
      <c r="I708" s="1">
        <f t="shared" si="206"/>
        <v>0.12349182044270984</v>
      </c>
      <c r="J708" s="1">
        <f t="shared" si="207"/>
        <v>0.13378943961452255</v>
      </c>
      <c r="K708" s="1">
        <f t="shared" si="208"/>
        <v>8.2268458698803948E-2</v>
      </c>
      <c r="L708" s="1">
        <f t="shared" si="209"/>
        <v>8.1575735042851788E-2</v>
      </c>
      <c r="M708" s="1">
        <f t="shared" si="210"/>
        <v>0.17782722117313599</v>
      </c>
      <c r="N708" s="1">
        <f t="shared" si="211"/>
        <v>0.17789636026377514</v>
      </c>
      <c r="O708" s="1">
        <f t="shared" si="212"/>
        <v>0.17745200964061408</v>
      </c>
      <c r="P708" s="1">
        <f t="shared" si="213"/>
        <v>0.17752332147319771</v>
      </c>
      <c r="Q708" s="1">
        <f t="shared" si="214"/>
        <v>2.6970753621699073</v>
      </c>
      <c r="T708">
        <v>0.54593879701099546</v>
      </c>
      <c r="U708">
        <f t="shared" si="221"/>
        <v>1.8317071537596907</v>
      </c>
      <c r="V708" s="15">
        <f t="shared" si="215"/>
        <v>0</v>
      </c>
      <c r="W708" s="15">
        <f t="shared" si="216"/>
        <v>0</v>
      </c>
      <c r="X708" s="15">
        <f t="shared" si="217"/>
        <v>0</v>
      </c>
      <c r="Y708" s="15">
        <f t="shared" si="218"/>
        <v>0</v>
      </c>
      <c r="Z708" s="15">
        <f t="shared" si="219"/>
        <v>0</v>
      </c>
      <c r="AA708" s="15">
        <f t="shared" si="220"/>
        <v>0</v>
      </c>
      <c r="AC708" s="1"/>
      <c r="AD708" s="1"/>
      <c r="AE708" s="1"/>
    </row>
    <row r="709" spans="1:31">
      <c r="A709">
        <v>562</v>
      </c>
      <c r="B709">
        <f t="shared" si="200"/>
        <v>0.66614790631090337</v>
      </c>
      <c r="C709">
        <v>0.65326307509338122</v>
      </c>
      <c r="D709">
        <f t="shared" si="201"/>
        <v>1.5307768617674498</v>
      </c>
      <c r="E709" s="1">
        <f t="shared" si="202"/>
        <v>9.6315812474060764E-2</v>
      </c>
      <c r="F709" s="1">
        <f t="shared" si="203"/>
        <v>0.11172634246991048</v>
      </c>
      <c r="G709" s="1">
        <f t="shared" si="204"/>
        <v>3.4673692490661885E-2</v>
      </c>
      <c r="H709" s="1">
        <f t="shared" si="205"/>
        <v>3.3599043782961073E-2</v>
      </c>
      <c r="I709" s="1">
        <f t="shared" si="206"/>
        <v>0.12348116972437481</v>
      </c>
      <c r="J709" s="1">
        <f t="shared" si="207"/>
        <v>0.13377790076415635</v>
      </c>
      <c r="K709" s="1">
        <f t="shared" si="208"/>
        <v>8.2261363344809491E-2</v>
      </c>
      <c r="L709" s="1">
        <f t="shared" si="209"/>
        <v>8.1568699433741787E-2</v>
      </c>
      <c r="M709" s="1">
        <f t="shared" si="210"/>
        <v>0.17781188422500266</v>
      </c>
      <c r="N709" s="1">
        <f t="shared" si="211"/>
        <v>0.17788101735264783</v>
      </c>
      <c r="O709" s="1">
        <f t="shared" si="212"/>
        <v>0.1774367050531046</v>
      </c>
      <c r="P709" s="1">
        <f t="shared" si="213"/>
        <v>0.1775080107353032</v>
      </c>
      <c r="Q709" s="1">
        <f t="shared" si="214"/>
        <v>2.6968427492737019</v>
      </c>
      <c r="T709">
        <v>0.65500288722534228</v>
      </c>
      <c r="U709">
        <f t="shared" si="221"/>
        <v>1.5267108275447456</v>
      </c>
      <c r="V709" s="15">
        <f t="shared" si="215"/>
        <v>0</v>
      </c>
      <c r="W709" s="15">
        <f t="shared" si="216"/>
        <v>0</v>
      </c>
      <c r="X709" s="15">
        <f t="shared" si="217"/>
        <v>0</v>
      </c>
      <c r="Y709" s="15">
        <f t="shared" si="218"/>
        <v>0</v>
      </c>
      <c r="Z709" s="15">
        <f t="shared" si="219"/>
        <v>0</v>
      </c>
      <c r="AA709" s="15">
        <f t="shared" si="220"/>
        <v>0</v>
      </c>
      <c r="AC709" s="1"/>
      <c r="AD709" s="1"/>
      <c r="AE709" s="1"/>
    </row>
    <row r="710" spans="1:31">
      <c r="A710">
        <v>601</v>
      </c>
      <c r="B710">
        <f t="shared" si="200"/>
        <v>0.66629155937884332</v>
      </c>
      <c r="C710">
        <v>0.65341090622626119</v>
      </c>
      <c r="D710">
        <f t="shared" si="201"/>
        <v>1.5304305307290402</v>
      </c>
      <c r="E710" s="1">
        <f t="shared" si="202"/>
        <v>9.627474827048299E-2</v>
      </c>
      <c r="F710" s="1">
        <f t="shared" si="203"/>
        <v>0.11167870799376028</v>
      </c>
      <c r="G710" s="1">
        <f t="shared" si="204"/>
        <v>3.4658909377373891E-2</v>
      </c>
      <c r="H710" s="1">
        <f t="shared" si="205"/>
        <v>3.3584718845669041E-2</v>
      </c>
      <c r="I710" s="1">
        <f t="shared" si="206"/>
        <v>0.12342852358288117</v>
      </c>
      <c r="J710" s="1">
        <f t="shared" si="207"/>
        <v>0.13372086461598842</v>
      </c>
      <c r="K710" s="1">
        <f t="shared" si="208"/>
        <v>8.2226291249333117E-2</v>
      </c>
      <c r="L710" s="1">
        <f t="shared" si="209"/>
        <v>8.1533922655214142E-2</v>
      </c>
      <c r="M710" s="1">
        <f t="shared" si="210"/>
        <v>0.17773607420767729</v>
      </c>
      <c r="N710" s="1">
        <f t="shared" si="211"/>
        <v>0.17780517786044442</v>
      </c>
      <c r="O710" s="1">
        <f t="shared" si="212"/>
        <v>0.17736105499325144</v>
      </c>
      <c r="P710" s="1">
        <f t="shared" si="213"/>
        <v>0.17743233027430433</v>
      </c>
      <c r="Q710" s="1">
        <f t="shared" si="214"/>
        <v>2.6956929515735242</v>
      </c>
      <c r="T710">
        <v>5.865797991787991E-2</v>
      </c>
      <c r="U710">
        <f t="shared" si="221"/>
        <v>17.047978832547276</v>
      </c>
      <c r="V710" s="15">
        <f t="shared" si="215"/>
        <v>0.10057535474039463</v>
      </c>
      <c r="W710" s="15">
        <f t="shared" si="216"/>
        <v>0.10347746093237009</v>
      </c>
      <c r="X710" s="15">
        <f t="shared" si="217"/>
        <v>0.10928167331632098</v>
      </c>
      <c r="Y710" s="15">
        <f t="shared" si="218"/>
        <v>0.14399013287373685</v>
      </c>
      <c r="Z710" s="15">
        <f t="shared" si="219"/>
        <v>0.14623723788702456</v>
      </c>
      <c r="AA710" s="15">
        <f t="shared" si="220"/>
        <v>0.15073144791360005</v>
      </c>
      <c r="AC710" s="1"/>
      <c r="AD710" s="1"/>
      <c r="AE710" s="1"/>
    </row>
    <row r="711" spans="1:31">
      <c r="A711">
        <v>851</v>
      </c>
      <c r="B711">
        <f t="shared" si="200"/>
        <v>0.66637999029438211</v>
      </c>
      <c r="C711">
        <v>0.65350190910293604</v>
      </c>
      <c r="D711">
        <f t="shared" si="201"/>
        <v>1.530217411870614</v>
      </c>
      <c r="E711" s="1">
        <f t="shared" si="202"/>
        <v>9.6249469693628853E-2</v>
      </c>
      <c r="F711" s="1">
        <f t="shared" si="203"/>
        <v>0.11164938484460948</v>
      </c>
      <c r="G711" s="1">
        <f t="shared" si="204"/>
        <v>3.4649809089706406E-2</v>
      </c>
      <c r="H711" s="1">
        <f t="shared" si="205"/>
        <v>3.3575900605042959E-2</v>
      </c>
      <c r="I711" s="1">
        <f t="shared" si="206"/>
        <v>0.12339611531928732</v>
      </c>
      <c r="J711" s="1">
        <f t="shared" si="207"/>
        <v>0.13368575392274931</v>
      </c>
      <c r="K711" s="1">
        <f t="shared" si="208"/>
        <v>8.2204701334426894E-2</v>
      </c>
      <c r="L711" s="1">
        <f t="shared" si="209"/>
        <v>8.1512514533488734E-2</v>
      </c>
      <c r="M711" s="1">
        <f t="shared" si="210"/>
        <v>0.177689406570604</v>
      </c>
      <c r="N711" s="1">
        <f t="shared" si="211"/>
        <v>0.17775849207902877</v>
      </c>
      <c r="O711" s="1">
        <f t="shared" si="212"/>
        <v>0.17731448582386777</v>
      </c>
      <c r="P711" s="1">
        <f t="shared" si="213"/>
        <v>0.17738574239038024</v>
      </c>
      <c r="Q711" s="1">
        <f t="shared" si="214"/>
        <v>2.6949851514216085</v>
      </c>
      <c r="T711">
        <v>0.22292692236228795</v>
      </c>
      <c r="U711">
        <f t="shared" si="221"/>
        <v>4.4857749319970326</v>
      </c>
      <c r="V711" s="15">
        <f t="shared" si="215"/>
        <v>7.6004202584688901E-2</v>
      </c>
      <c r="W711" s="15">
        <f t="shared" si="216"/>
        <v>8.0385585878507776E-2</v>
      </c>
      <c r="X711" s="15">
        <f t="shared" si="217"/>
        <v>8.9148352466145636E-2</v>
      </c>
      <c r="Y711" s="15">
        <f t="shared" si="218"/>
        <v>0.10766109314578327</v>
      </c>
      <c r="Z711" s="15">
        <f t="shared" si="219"/>
        <v>0.11145684135646183</v>
      </c>
      <c r="AA711" s="15">
        <f t="shared" si="220"/>
        <v>0.1190483377778191</v>
      </c>
      <c r="AC711" s="1"/>
      <c r="AD711" s="1"/>
      <c r="AE711" s="1"/>
    </row>
    <row r="712" spans="1:31">
      <c r="A712">
        <v>857</v>
      </c>
      <c r="B712">
        <f t="shared" si="200"/>
        <v>0.66648907483164754</v>
      </c>
      <c r="C712">
        <v>0.65361416629977065</v>
      </c>
      <c r="D712">
        <f t="shared" si="201"/>
        <v>1.5299545994561026</v>
      </c>
      <c r="E712" s="1">
        <f t="shared" si="202"/>
        <v>9.6218287138952585E-2</v>
      </c>
      <c r="F712" s="1">
        <f t="shared" si="203"/>
        <v>0.11161321308118499</v>
      </c>
      <c r="G712" s="1">
        <f t="shared" si="204"/>
        <v>3.4638583370022943E-2</v>
      </c>
      <c r="H712" s="1">
        <f t="shared" si="205"/>
        <v>3.3565022806341785E-2</v>
      </c>
      <c r="I712" s="1">
        <f t="shared" si="206"/>
        <v>0.12335613789265804</v>
      </c>
      <c r="J712" s="1">
        <f t="shared" si="207"/>
        <v>0.13364244289626362</v>
      </c>
      <c r="K712" s="1">
        <f t="shared" si="208"/>
        <v>8.2178068952948158E-2</v>
      </c>
      <c r="L712" s="1">
        <f t="shared" si="209"/>
        <v>8.1486106404183384E-2</v>
      </c>
      <c r="M712" s="1">
        <f t="shared" si="210"/>
        <v>0.17763183940006871</v>
      </c>
      <c r="N712" s="1">
        <f t="shared" si="211"/>
        <v>0.17770090252642062</v>
      </c>
      <c r="O712" s="1">
        <f t="shared" si="212"/>
        <v>0.17725704011879845</v>
      </c>
      <c r="P712" s="1">
        <f t="shared" si="213"/>
        <v>0.17732827359986647</v>
      </c>
      <c r="Q712" s="1">
        <f t="shared" si="214"/>
        <v>2.6941120398906735</v>
      </c>
      <c r="T712">
        <v>0.99806094361427711</v>
      </c>
      <c r="U712">
        <f t="shared" si="221"/>
        <v>1.0019428236302896</v>
      </c>
      <c r="V712" s="15">
        <f t="shared" si="215"/>
        <v>0</v>
      </c>
      <c r="W712" s="15">
        <f t="shared" si="216"/>
        <v>0</v>
      </c>
      <c r="X712" s="15">
        <f t="shared" si="217"/>
        <v>0</v>
      </c>
      <c r="Y712" s="15">
        <f t="shared" si="218"/>
        <v>0</v>
      </c>
      <c r="Z712" s="15">
        <f t="shared" si="219"/>
        <v>0</v>
      </c>
      <c r="AA712" s="15">
        <f t="shared" si="220"/>
        <v>0</v>
      </c>
      <c r="AC712" s="1"/>
      <c r="AD712" s="1"/>
      <c r="AE712" s="1"/>
    </row>
    <row r="713" spans="1:31">
      <c r="A713">
        <v>541</v>
      </c>
      <c r="B713">
        <f t="shared" si="200"/>
        <v>0.66703599995743379</v>
      </c>
      <c r="C713">
        <v>0.65434048155496061</v>
      </c>
      <c r="D713">
        <f t="shared" si="201"/>
        <v>1.5282563561154303</v>
      </c>
      <c r="E713" s="1">
        <f t="shared" si="202"/>
        <v>9.6016532901399831E-2</v>
      </c>
      <c r="F713" s="1">
        <f t="shared" si="203"/>
        <v>0.11137917816562379</v>
      </c>
      <c r="G713" s="1">
        <f t="shared" si="204"/>
        <v>3.4565951844503943E-2</v>
      </c>
      <c r="H713" s="1">
        <f t="shared" si="205"/>
        <v>3.3494642364264748E-2</v>
      </c>
      <c r="I713" s="1">
        <f t="shared" si="206"/>
        <v>0.12309747995674983</v>
      </c>
      <c r="J713" s="1">
        <f t="shared" si="207"/>
        <v>0.13336221623693548</v>
      </c>
      <c r="K713" s="1">
        <f t="shared" si="208"/>
        <v>8.2005754789620577E-2</v>
      </c>
      <c r="L713" s="1">
        <f t="shared" si="209"/>
        <v>8.1315243174774843E-2</v>
      </c>
      <c r="M713" s="1">
        <f t="shared" si="210"/>
        <v>0.17725937406744957</v>
      </c>
      <c r="N713" s="1">
        <f t="shared" si="211"/>
        <v>0.17732829237955861</v>
      </c>
      <c r="O713" s="1">
        <f t="shared" si="212"/>
        <v>0.17688536067985372</v>
      </c>
      <c r="P713" s="1">
        <f t="shared" si="213"/>
        <v>0.17695644479579492</v>
      </c>
      <c r="Q713" s="1">
        <f t="shared" si="214"/>
        <v>2.6884629212391955</v>
      </c>
      <c r="T713">
        <v>0.64528900727061544</v>
      </c>
      <c r="U713">
        <f t="shared" si="221"/>
        <v>1.5496932207627536</v>
      </c>
      <c r="V713" s="15">
        <f t="shared" si="215"/>
        <v>0</v>
      </c>
      <c r="W713" s="15">
        <f t="shared" si="216"/>
        <v>0</v>
      </c>
      <c r="X713" s="15">
        <f t="shared" si="217"/>
        <v>0</v>
      </c>
      <c r="Y713" s="15">
        <f t="shared" si="218"/>
        <v>0</v>
      </c>
      <c r="Z713" s="15">
        <f t="shared" si="219"/>
        <v>0</v>
      </c>
      <c r="AA713" s="15">
        <f t="shared" si="220"/>
        <v>0</v>
      </c>
      <c r="AC713" s="1"/>
      <c r="AD713" s="1"/>
      <c r="AE713" s="1"/>
    </row>
    <row r="714" spans="1:31">
      <c r="A714">
        <v>658</v>
      </c>
      <c r="B714">
        <f t="shared" si="200"/>
        <v>0.66727692051708609</v>
      </c>
      <c r="C714">
        <v>0.6546788620406383</v>
      </c>
      <c r="D714">
        <f t="shared" si="201"/>
        <v>1.5274664541375194</v>
      </c>
      <c r="E714" s="1">
        <f t="shared" si="202"/>
        <v>9.5922538322044892E-2</v>
      </c>
      <c r="F714" s="1">
        <f t="shared" si="203"/>
        <v>0.11127014445357208</v>
      </c>
      <c r="G714" s="1">
        <f t="shared" si="204"/>
        <v>3.4532113795936174E-2</v>
      </c>
      <c r="H714" s="1">
        <f t="shared" si="205"/>
        <v>3.3461853065124926E-2</v>
      </c>
      <c r="I714" s="1">
        <f t="shared" si="206"/>
        <v>0.12297697471147018</v>
      </c>
      <c r="J714" s="1">
        <f t="shared" si="207"/>
        <v>0.13323166241419016</v>
      </c>
      <c r="K714" s="1">
        <f t="shared" si="208"/>
        <v>8.1925475943955023E-2</v>
      </c>
      <c r="L714" s="1">
        <f t="shared" si="209"/>
        <v>8.1235640299661599E-2</v>
      </c>
      <c r="M714" s="1">
        <f t="shared" si="210"/>
        <v>0.17708584749032047</v>
      </c>
      <c r="N714" s="1">
        <f t="shared" si="211"/>
        <v>0.17715469833542602</v>
      </c>
      <c r="O714" s="1">
        <f t="shared" si="212"/>
        <v>0.17671220023999262</v>
      </c>
      <c r="P714" s="1">
        <f t="shared" si="213"/>
        <v>0.17678321476873488</v>
      </c>
      <c r="Q714" s="1">
        <f t="shared" si="214"/>
        <v>2.6858310730172583</v>
      </c>
      <c r="T714">
        <v>0.94739476068185802</v>
      </c>
      <c r="U714">
        <f t="shared" si="221"/>
        <v>1.0555262088216331</v>
      </c>
      <c r="V714" s="15">
        <f t="shared" si="215"/>
        <v>0</v>
      </c>
      <c r="W714" s="15">
        <f t="shared" si="216"/>
        <v>0</v>
      </c>
      <c r="X714" s="15">
        <f t="shared" si="217"/>
        <v>0</v>
      </c>
      <c r="Y714" s="15">
        <f t="shared" si="218"/>
        <v>0</v>
      </c>
      <c r="Z714" s="15">
        <f t="shared" si="219"/>
        <v>0</v>
      </c>
      <c r="AA714" s="15">
        <f t="shared" si="220"/>
        <v>0</v>
      </c>
      <c r="AC714" s="1"/>
      <c r="AD714" s="1"/>
      <c r="AE714" s="1"/>
    </row>
    <row r="715" spans="1:31">
      <c r="A715">
        <v>277</v>
      </c>
      <c r="B715">
        <f t="shared" ref="B715:B778" si="222">PERCENTILE($C$75:$C$1074,$C715)</f>
        <v>0.6673193753516613</v>
      </c>
      <c r="C715">
        <v>0.65480276261789072</v>
      </c>
      <c r="D715">
        <f t="shared" ref="D715:D778" si="223">1/C715</f>
        <v>1.5271774297377982</v>
      </c>
      <c r="E715" s="1">
        <f t="shared" ref="E715:E778" si="224">IF($C715&lt;=0.005,$F$14,IF($C715&lt;=0.01,$F$14+($C715-0.005)*SLOPE($E$14:$F$14,$E$11:$F$11),IF($C715&lt;=0.04,$E$14+($C715-0.01)*SLOPE($D$14:$E$14,$D$11:$E$11),IF($C715&lt;=0.1,$D$14+($C715-0.04)*SLOPE($C$14:$D$14,$C$11:$D$11),IF($C715&lt;=1,$C$14+($C715-0.1)*SLOPE($B$14:$C$14,$B$11:$C$11),)))))</f>
        <v>9.5888121495030343E-2</v>
      </c>
      <c r="F715" s="1">
        <f t="shared" ref="F715:F778" si="225">IF($C715&lt;=0.005,$F$27,IF($C715&lt;=0.01,$F$27+($C715-0.005)*SLOPE($E$27:$F$27,$E$24:$F$24),IF($C715&lt;=0.04,$E$27+($C715-0.01)*SLOPE($D$27:$E$27,$D$24:$E$24),IF($C715&lt;=0.1,$D$27+($C715-0.04)*SLOPE($C$27:$D$27,$C$24:$D$24),IF($C715&lt;=1,$C$27+($C715-0.1)*SLOPE($B$27:$C$27,$B$24:$C$24),)))))</f>
        <v>0.11123022093423521</v>
      </c>
      <c r="G715" s="1">
        <f t="shared" ref="G715:G778" si="226">IF($C715&lt;=0.005,$F$15,IF($C715&lt;=0.01,$F$15+($C715-0.005)*SLOPE($E$15:$F$15,$E$11:$F$11),IF($C715&lt;=0.04,$E$15+($C715-0.01)*SLOPE($D$15:$E$15,$D$11:$E$11),IF($C715&lt;=0.1,$D$15+($C715-0.04)*SLOPE($C$15:$D$15,$C$11:$D$11),IF($C715&lt;=1,$C$15+($C715-0.1)*SLOPE($B$15:$C$15,$B$11:$C$11),)))))</f>
        <v>3.4519723738210932E-2</v>
      </c>
      <c r="H715" s="1">
        <f t="shared" ref="H715:H778" si="227">IF($C715&lt;=0.005,$F$28,IF($C715&lt;=0.01,$F$28+($C715-0.005)*SLOPE($E$28:$F$28,$E$24:$F$24),IF($C715&lt;=0.04,$E$28+($C715-0.01)*SLOPE($D$28:$E$28,$D$24:$E$24),IF($C715&lt;=0.1,$D$28+($C715-0.04)*SLOPE($C$28:$D$28,$C$24:$D$24),IF($C715&lt;=1,$C$28+($C715-0.1)*SLOPE($B$28:$C$28,$B$24:$C$24),)))))</f>
        <v>3.3449847014944495E-2</v>
      </c>
      <c r="I715" s="1">
        <f t="shared" ref="I715:I778" si="228">IF($C715&lt;=0.005,$F$16,IF($C715&lt;=0.01,$F$16+($C715-0.005)*SLOPE($E$16:$F$16,$E$11:$F$11),IF($C715&lt;=0.04,$E$16+($C715-0.01)*SLOPE($D$16:$E$16,$D$11:$E$11),IF($C715&lt;=0.1,$D$16+($C715-0.04)*SLOPE($C$16:$D$16,$C$11:$D$11),IF($C715&lt;=1,$C$16+($C715-0.1)*SLOPE($B$16:$C$16,$B$11:$C$11),)))))</f>
        <v>0.12293285080337249</v>
      </c>
      <c r="J715" s="1">
        <f t="shared" ref="J715:J778" si="229">IF($C715&lt;=0.005,$F$29,IF($C715&lt;=0.01,$F$29+($C715-0.005)*SLOPE($E$29:$F$29,$E$24:$F$24),IF($C715&lt;=0.04,$E$29+($C715-0.01)*SLOPE($D$29:$E$29,$D$24:$E$24),IF($C715&lt;=0.1,$D$29+($C715-0.04)*SLOPE($C$29:$D$29,$C$24:$D$24),IF($C715&lt;=1,$C$29+($C715-0.1)*SLOPE($B$29:$C$29,$B$24:$C$24),)))))</f>
        <v>0.13318385914335951</v>
      </c>
      <c r="K715" s="1">
        <f t="shared" ref="K715:K778" si="230">IF($C715&lt;=0.005,$F$17,IF($C715&lt;=0.01,$F$17+($C715-0.005)*SLOPE($E$17:$F$17,$E$11:$F$11),IF($C715&lt;=0.04,$E$17+($C715-0.01)*SLOPE($D$17:$E$17,$D$11:$E$11),IF($C715&lt;=0.1,$D$17+($C715-0.04)*SLOPE($C$17:$D$17,$C$11:$D$11),IF($C715&lt;=1,$C$17+($C715-0.1)*SLOPE($B$17:$C$17,$B$11:$C$11),)))))</f>
        <v>8.1896081236694646E-2</v>
      </c>
      <c r="L715" s="1">
        <f t="shared" ref="L715:L778" si="231">IF($C715&lt;=0.005,$F$30,IF($C715&lt;=0.01,$F$30+($C715-0.005)*SLOPE($E$30:$F$30,$E$24:$F$24),IF($C715&lt;=0.04,$E$30+($C715-0.01)*SLOPE($D$30:$E$30,$D$24:$E$24),IF($C715&lt;=0.1,$D$30+($C715-0.04)*SLOPE($C$30:$D$30,$C$24:$D$24),IF($C715&lt;=1,$C$30+($C715-0.1)*SLOPE($B$30:$C$30,$B$24:$C$24),)))))</f>
        <v>8.12064931041378E-2</v>
      </c>
      <c r="M715" s="1">
        <f t="shared" ref="M715:M778" si="232">IF($C715&lt;=0.005,$F$18,IF($C715&lt;=0.01,$F$18+($C715-0.005)*SLOPE($E$18:$F$18,$E$11:$F$11),IF($C715&lt;=0.04,$E$18+($C715-0.01)*SLOPE($D$18:$E$18,$D$11:$E$11),IF($C715&lt;=0.1,$D$18+($C715-0.04)*SLOPE($C$18:$D$18,$C$11:$D$11),IF($C715&lt;=1,$C$18+($C715-0.1)*SLOPE($B$18:$C$18,$B$11:$C$11),)))))</f>
        <v>0.17702230942005653</v>
      </c>
      <c r="N715" s="1">
        <f t="shared" ref="N715:N778" si="233">IF($C715&lt;=0.005,$F$31,IF($C715&lt;=0.01,$F$31+($C715-0.005)*SLOPE($E$31:$F$31,$E$24:$F$24),IF($C715&lt;=0.04,$E$31+($C715-0.01)*SLOPE($D$31:$E$31,$D$24:$E$24),IF($C715&lt;=0.1,$D$31+($C715-0.04)*SLOPE($C$31:$D$31,$C$24:$D$24),IF($C715&lt;=1,$C$31+($C715-0.1)*SLOPE($B$31:$C$31,$B$24:$C$24),)))))</f>
        <v>0.17709113556160788</v>
      </c>
      <c r="O715" s="1">
        <f t="shared" ref="O715:O778" si="234">IF($C715&lt;=0.005,$F$19,IF($C715&lt;=0.01,$F$19+($C715-0.005)*SLOPE($E$19:$F$19,$E$11:$F$11),IF($C715&lt;=0.04,$E$19+($C715-0.01)*SLOPE($D$19:$E$19,$D$11:$E$11),IF($C715&lt;=0.1,$D$19+($C715-0.04)*SLOPE($C$19:$D$19,$C$11:$D$11),IF($C715&lt;=1,$C$19+($C715-0.1)*SLOPE($B$19:$C$19,$B$11:$C$11),)))))</f>
        <v>0.17664879623366198</v>
      </c>
      <c r="P715" s="1">
        <f t="shared" ref="P715:P778" si="235">IF($C715&lt;=0.005,$F$32,IF($C715&lt;=0.01,$F$32+($C715-0.005)*SLOPE($E$32:$F$32,$E$24:$F$24),IF($C715&lt;=0.04,$E$32+($C715-0.01)*SLOPE($D$32:$E$32,$D$24:$E$24),IF($C715&lt;=0.1,$D$32+($C715-0.04)*SLOPE($C$32:$D$32,$C$24:$D$24),IF($C715&lt;=1,$C$32+($C715-0.1)*SLOPE($B$32:$C$32,$B$24:$C$24),)))))</f>
        <v>0.17671978528252441</v>
      </c>
      <c r="Q715" s="1">
        <f t="shared" ref="Q715:Q778" si="236">IF($C715&lt;=0.005,$F$20,IF($C715&lt;=0.01,$F$20+($C715-0.005)*SLOPE($E$20:$F$20,$E$11:$F$11),IF($C715&lt;=0.04,$E$20+($C715-0.01)*SLOPE($D$20:$E$20,$D$11:$E$11),IF($C715&lt;=0.1,$D$20+($C715-0.04)*SLOPE($C$20:$D$20,$C$11:$D$11),IF($C715&lt;=1,$C$20+($C715-0.1)*SLOPE($B$20:$C$20,$B$11:$C$11),)))))</f>
        <v>2.68486740186085</v>
      </c>
      <c r="T715">
        <v>0.61831428932776922</v>
      </c>
      <c r="U715">
        <f t="shared" si="221"/>
        <v>1.6173004849802179</v>
      </c>
      <c r="V715" s="15">
        <f t="shared" ref="V715:V778" si="237">IF($T715&lt;=0.05,$F$63,IF($T715&lt;=0.07,$F$63+($T715-0.05)*SLOPE($E$63:$F$63,$E$62:$F$62),IF($T715&lt;=0.1,$E$63+($T715-0.07)*SLOPE($D$63:$E$63,$D$62:$E$62),IF($T715&lt;=0.2,$D$63+($T715-0.1)*SLOPE($C$63:$D$63,$C$62:$D$62),IF($T715&lt;=0.5,$C$63+($T715-0.2)*SLOPE($B$63:$C$63,$B$62:$C$62),)))))</f>
        <v>0</v>
      </c>
      <c r="W715" s="15">
        <f t="shared" ref="W715:W778" si="238">IF($T715&lt;=0.05,$F$64,IF($T715&lt;=0.07,$F$64+($T715-0.05)*SLOPE($E$64:$F$64,$E$62:$F$62),IF($T715&lt;=0.1,$E$64+($T715-0.07)*SLOPE($D$64:$E$64,$D$62:$E$62),IF($T715&lt;=0.2,$D$64+($T715-0.1)*SLOPE($C$64:$D$64,$C$62:$D$62),IF($T715&lt;=0.5,$C$64+($T715-0.2)*SLOPE($B$64:$C$64,$B$62:$C$62),)))))</f>
        <v>0</v>
      </c>
      <c r="X715" s="15">
        <f t="shared" ref="X715:X778" si="239">IF($T715&lt;=0.05,$F$65,IF($T715&lt;=0.07,$F$65+($T715-0.05)*SLOPE($E$65:$F$65,$E$62:$F$62),IF($T715&lt;=0.1,$E$65+($T715-0.07)*SLOPE($D$65:$E$65,$D$62:$E$62),IF($T715&lt;=0.2,$D$65+($T715-0.1)*SLOPE($C$65:$D$65,$C$62:$D$62),IF($T715&lt;=0.5,$C$65+($T715-0.2)*SLOPE($B$65:$C$65,$B$62:$C$62),)))))</f>
        <v>0</v>
      </c>
      <c r="Y715" s="15">
        <f t="shared" ref="Y715:Y778" si="240">IF($T715&lt;=0.05,$F$66,IF($T715&lt;=0.07,$F$66+($T715-0.05)*SLOPE($E$66:$F$66,$E$62:$F$62),IF($T715&lt;=0.1,$E$66+($T715-0.07)*SLOPE($D$66:$E$66,$D$62:$E$62),IF($T715&lt;=0.2,$D$66+($T715-0.1)*SLOPE($C$66:$D$66,$C$62:$D$62),IF($T715&lt;=0.5,$C$66+($T715-0.2)*SLOPE($B$66:$C$66,$B$62:$C$62),)))))</f>
        <v>0</v>
      </c>
      <c r="Z715" s="15">
        <f t="shared" ref="Z715:Z778" si="241">IF($T715&lt;=0.05,$F$67,IF($T715&lt;=0.07,$F$67+($T715-0.05)*SLOPE($E$67:$F$67,$E$62:$F$62),IF($T715&lt;=0.1,$E$67+($T715-0.07)*SLOPE($D$67:$E$67,$D$62:$E$62),IF($T715&lt;=0.2,$D$67+($T715-0.1)*SLOPE($C$67:$D$67,$C$62:$D$62),IF($T715&lt;=0.5,$C$67+($T715-0.2)*SLOPE($B$67:$C$67,$B$62:$C$62),)))))</f>
        <v>0</v>
      </c>
      <c r="AA715" s="15">
        <f t="shared" ref="AA715:AA778" si="242">IF($T715&lt;=0.05,$F$68,IF($T715&lt;=0.07,$F$68+($T715-0.05)*SLOPE($E$68:$F$68,$E$62:$F$62),IF($T715&lt;=0.1,$E$68+($T715-0.07)*SLOPE($D$68:$E$68,$D$62:$E$62),IF($T715&lt;=0.2,$D$68+($T715-0.1)*SLOPE($C$68:$D$68,$C$62:$D$62),IF($T715&lt;=0.5,$C$68+($T715-0.2)*SLOPE($B$68:$C$68,$B$62:$C$62),)))))</f>
        <v>0</v>
      </c>
      <c r="AC715" s="1"/>
      <c r="AD715" s="1"/>
      <c r="AE715" s="1"/>
    </row>
    <row r="716" spans="1:31">
      <c r="A716">
        <v>874</v>
      </c>
      <c r="B716">
        <f t="shared" si="222"/>
        <v>0.66757310621950305</v>
      </c>
      <c r="C716">
        <v>0.65554325310164607</v>
      </c>
      <c r="D716">
        <f t="shared" si="223"/>
        <v>1.5254523561467328</v>
      </c>
      <c r="E716" s="1">
        <f t="shared" si="224"/>
        <v>9.5682429693987187E-2</v>
      </c>
      <c r="F716" s="1">
        <f t="shared" si="225"/>
        <v>0.11099161844502514</v>
      </c>
      <c r="G716" s="1">
        <f t="shared" si="226"/>
        <v>3.44456746898354E-2</v>
      </c>
      <c r="H716" s="1">
        <f t="shared" si="227"/>
        <v>3.3378092983581201E-2</v>
      </c>
      <c r="I716" s="1">
        <f t="shared" si="228"/>
        <v>0.12266914473535417</v>
      </c>
      <c r="J716" s="1">
        <f t="shared" si="229"/>
        <v>0.13289816340305349</v>
      </c>
      <c r="K716" s="1">
        <f t="shared" si="230"/>
        <v>8.1720404081012499E-2</v>
      </c>
      <c r="L716" s="1">
        <f t="shared" si="231"/>
        <v>8.1032295199720078E-2</v>
      </c>
      <c r="M716" s="1">
        <f t="shared" si="232"/>
        <v>0.17664257481808793</v>
      </c>
      <c r="N716" s="1">
        <f t="shared" si="233"/>
        <v>0.17671125331910997</v>
      </c>
      <c r="O716" s="1">
        <f t="shared" si="234"/>
        <v>0.1762698628633666</v>
      </c>
      <c r="P716" s="1">
        <f t="shared" si="235"/>
        <v>0.17634069963199778</v>
      </c>
      <c r="Q716" s="1">
        <f t="shared" si="236"/>
        <v>2.6791080314316424</v>
      </c>
      <c r="T716">
        <v>0.43936932659861161</v>
      </c>
      <c r="U716">
        <f t="shared" ref="U716:U779" si="243">1/T716</f>
        <v>2.2759895592656059</v>
      </c>
      <c r="V716" s="15">
        <f t="shared" si="237"/>
        <v>6.1844851933455729E-2</v>
      </c>
      <c r="W716" s="15">
        <f t="shared" si="238"/>
        <v>6.6790472262968067E-2</v>
      </c>
      <c r="X716" s="15">
        <f t="shared" si="239"/>
        <v>7.668171292199262E-2</v>
      </c>
      <c r="Y716" s="15">
        <f t="shared" si="240"/>
        <v>8.6704657318274661E-2</v>
      </c>
      <c r="Z716" s="15">
        <f t="shared" si="241"/>
        <v>9.1064175250634885E-2</v>
      </c>
      <c r="AA716" s="15">
        <f t="shared" si="242"/>
        <v>9.9783211115355291E-2</v>
      </c>
      <c r="AC716" s="1"/>
      <c r="AD716" s="1"/>
      <c r="AE716" s="1"/>
    </row>
    <row r="717" spans="1:31">
      <c r="A717">
        <v>652</v>
      </c>
      <c r="B717">
        <f t="shared" si="222"/>
        <v>0.66901410176174847</v>
      </c>
      <c r="C717">
        <v>0.65713385728219675</v>
      </c>
      <c r="D717">
        <f t="shared" si="223"/>
        <v>1.5217599716073742</v>
      </c>
      <c r="E717" s="1">
        <f t="shared" si="224"/>
        <v>9.5240595199389766E-2</v>
      </c>
      <c r="F717" s="1">
        <f t="shared" si="225"/>
        <v>0.11047909043129214</v>
      </c>
      <c r="G717" s="1">
        <f t="shared" si="226"/>
        <v>3.4286614271780334E-2</v>
      </c>
      <c r="H717" s="1">
        <f t="shared" si="227"/>
        <v>3.3223962356974078E-2</v>
      </c>
      <c r="I717" s="1">
        <f t="shared" si="228"/>
        <v>0.12210269319623479</v>
      </c>
      <c r="J717" s="1">
        <f t="shared" si="229"/>
        <v>0.13228447713852293</v>
      </c>
      <c r="K717" s="1">
        <f t="shared" si="230"/>
        <v>8.1343042285843742E-2</v>
      </c>
      <c r="L717" s="1">
        <f t="shared" si="231"/>
        <v>8.0658110897438628E-2</v>
      </c>
      <c r="M717" s="1">
        <f t="shared" si="232"/>
        <v>0.17582688918992456</v>
      </c>
      <c r="N717" s="1">
        <f t="shared" si="233"/>
        <v>0.17589525055298422</v>
      </c>
      <c r="O717" s="1">
        <f t="shared" si="234"/>
        <v>0.17545589831397046</v>
      </c>
      <c r="P717" s="1">
        <f t="shared" si="235"/>
        <v>0.17552640797836772</v>
      </c>
      <c r="Q717" s="1">
        <f t="shared" si="236"/>
        <v>2.6667366655829143</v>
      </c>
      <c r="T717">
        <v>0.39445147613337816</v>
      </c>
      <c r="U717">
        <f t="shared" si="243"/>
        <v>2.5351660736639356</v>
      </c>
      <c r="V717" s="15">
        <f t="shared" si="237"/>
        <v>6.4783313079648089E-2</v>
      </c>
      <c r="W717" s="15">
        <f t="shared" si="238"/>
        <v>6.9611838448560406E-2</v>
      </c>
      <c r="X717" s="15">
        <f t="shared" si="239"/>
        <v>7.9268889186384972E-2</v>
      </c>
      <c r="Y717" s="15">
        <f t="shared" si="240"/>
        <v>9.1053703680541595E-2</v>
      </c>
      <c r="Z717" s="15">
        <f t="shared" si="241"/>
        <v>9.5296223633025035E-2</v>
      </c>
      <c r="AA717" s="15">
        <f t="shared" si="242"/>
        <v>0.10378126353799191</v>
      </c>
      <c r="AC717" s="1"/>
      <c r="AD717" s="1"/>
      <c r="AE717" s="1"/>
    </row>
    <row r="718" spans="1:31">
      <c r="A718">
        <v>721</v>
      </c>
      <c r="B718">
        <f t="shared" si="222"/>
        <v>0.66919551496474261</v>
      </c>
      <c r="C718">
        <v>0.65725407364657129</v>
      </c>
      <c r="D718">
        <f t="shared" si="223"/>
        <v>1.5214816310712367</v>
      </c>
      <c r="E718" s="1">
        <f t="shared" si="224"/>
        <v>9.5207201764841293E-2</v>
      </c>
      <c r="F718" s="1">
        <f t="shared" si="225"/>
        <v>0.11044035404721592</v>
      </c>
      <c r="G718" s="1">
        <f t="shared" si="226"/>
        <v>3.4274592635342875E-2</v>
      </c>
      <c r="H718" s="1">
        <f t="shared" si="227"/>
        <v>3.3212313309526544E-2</v>
      </c>
      <c r="I718" s="1">
        <f t="shared" si="228"/>
        <v>0.12205988132294793</v>
      </c>
      <c r="J718" s="1">
        <f t="shared" si="229"/>
        <v>0.13223809530922148</v>
      </c>
      <c r="K718" s="1">
        <f t="shared" si="230"/>
        <v>8.1314521637134457E-2</v>
      </c>
      <c r="L718" s="1">
        <f t="shared" si="231"/>
        <v>8.0629830400646085E-2</v>
      </c>
      <c r="M718" s="1">
        <f t="shared" si="232"/>
        <v>0.17576524043916097</v>
      </c>
      <c r="N718" s="1">
        <f t="shared" si="233"/>
        <v>0.17583357783323239</v>
      </c>
      <c r="O718" s="1">
        <f t="shared" si="234"/>
        <v>0.17539437964071747</v>
      </c>
      <c r="P718" s="1">
        <f t="shared" si="235"/>
        <v>0.17546486458288507</v>
      </c>
      <c r="Q718" s="1">
        <f t="shared" si="236"/>
        <v>2.665801649415557</v>
      </c>
      <c r="T718">
        <v>0.45448737089887414</v>
      </c>
      <c r="U718">
        <f t="shared" si="243"/>
        <v>2.2002811607773043</v>
      </c>
      <c r="V718" s="15">
        <f t="shared" si="237"/>
        <v>6.085585122833248E-2</v>
      </c>
      <c r="W718" s="15">
        <f t="shared" si="238"/>
        <v>6.5840882321791749E-2</v>
      </c>
      <c r="X718" s="15">
        <f t="shared" si="239"/>
        <v>7.5810944508710135E-2</v>
      </c>
      <c r="Y718" s="15">
        <f t="shared" si="240"/>
        <v>8.5240894585025956E-2</v>
      </c>
      <c r="Z718" s="15">
        <f t="shared" si="241"/>
        <v>8.9639790640437436E-2</v>
      </c>
      <c r="AA718" s="15">
        <f t="shared" si="242"/>
        <v>9.8437582751260355E-2</v>
      </c>
      <c r="AC718" s="1"/>
      <c r="AD718" s="1"/>
      <c r="AE718" s="1"/>
    </row>
    <row r="719" spans="1:31">
      <c r="A719">
        <v>197</v>
      </c>
      <c r="B719">
        <f t="shared" si="222"/>
        <v>0.66935228426422</v>
      </c>
      <c r="C719">
        <v>0.65735795933359775</v>
      </c>
      <c r="D719">
        <f t="shared" si="223"/>
        <v>1.5212411834394741</v>
      </c>
      <c r="E719" s="1">
        <f t="shared" si="224"/>
        <v>9.5178344629556155E-2</v>
      </c>
      <c r="F719" s="1">
        <f t="shared" si="225"/>
        <v>0.11040687977028515</v>
      </c>
      <c r="G719" s="1">
        <f t="shared" si="226"/>
        <v>3.4264204066640234E-2</v>
      </c>
      <c r="H719" s="1">
        <f t="shared" si="227"/>
        <v>3.3202246715817889E-2</v>
      </c>
      <c r="I719" s="1">
        <f t="shared" si="228"/>
        <v>0.1220228851877509</v>
      </c>
      <c r="J719" s="1">
        <f t="shared" si="229"/>
        <v>0.13219801417527943</v>
      </c>
      <c r="K719" s="1">
        <f t="shared" si="230"/>
        <v>8.1289875348744156E-2</v>
      </c>
      <c r="L719" s="1">
        <f t="shared" si="231"/>
        <v>8.0605391640964474E-2</v>
      </c>
      <c r="M719" s="1">
        <f t="shared" si="232"/>
        <v>0.1757119663041401</v>
      </c>
      <c r="N719" s="1">
        <f t="shared" si="233"/>
        <v>0.17578028298526771</v>
      </c>
      <c r="O719" s="1">
        <f t="shared" si="234"/>
        <v>0.17534121791295193</v>
      </c>
      <c r="P719" s="1">
        <f t="shared" si="235"/>
        <v>0.17541168149125763</v>
      </c>
      <c r="Q719" s="1">
        <f t="shared" si="236"/>
        <v>2.664993649627573</v>
      </c>
      <c r="T719">
        <v>0.55991071427122363</v>
      </c>
      <c r="U719">
        <f t="shared" si="243"/>
        <v>1.7859990432610204</v>
      </c>
      <c r="V719" s="15">
        <f t="shared" si="237"/>
        <v>0</v>
      </c>
      <c r="W719" s="15">
        <f t="shared" si="238"/>
        <v>0</v>
      </c>
      <c r="X719" s="15">
        <f t="shared" si="239"/>
        <v>0</v>
      </c>
      <c r="Y719" s="15">
        <f t="shared" si="240"/>
        <v>0</v>
      </c>
      <c r="Z719" s="15">
        <f t="shared" si="241"/>
        <v>0</v>
      </c>
      <c r="AA719" s="15">
        <f t="shared" si="242"/>
        <v>0</v>
      </c>
      <c r="AC719" s="1"/>
      <c r="AD719" s="1"/>
      <c r="AE719" s="1"/>
    </row>
    <row r="720" spans="1:31">
      <c r="A720">
        <v>633</v>
      </c>
      <c r="B720">
        <f t="shared" si="222"/>
        <v>0.67079765381789058</v>
      </c>
      <c r="C720">
        <v>0.65953653007759339</v>
      </c>
      <c r="D720">
        <f t="shared" si="223"/>
        <v>1.5162162433707072</v>
      </c>
      <c r="E720" s="1">
        <f t="shared" si="224"/>
        <v>9.4573186089557393E-2</v>
      </c>
      <c r="F720" s="1">
        <f t="shared" si="225"/>
        <v>0.10970489586388657</v>
      </c>
      <c r="G720" s="1">
        <f t="shared" si="226"/>
        <v>3.404634699224067E-2</v>
      </c>
      <c r="H720" s="1">
        <f t="shared" si="227"/>
        <v>3.2991141729432315E-2</v>
      </c>
      <c r="I720" s="1">
        <f t="shared" si="228"/>
        <v>0.12124704493402444</v>
      </c>
      <c r="J720" s="1">
        <f t="shared" si="229"/>
        <v>0.13135747888796778</v>
      </c>
      <c r="K720" s="1">
        <f t="shared" si="230"/>
        <v>8.0773021830496977E-2</v>
      </c>
      <c r="L720" s="1">
        <f t="shared" si="231"/>
        <v>8.0092890175307241E-2</v>
      </c>
      <c r="M720" s="1">
        <f t="shared" si="232"/>
        <v>0.17459476262295831</v>
      </c>
      <c r="N720" s="1">
        <f t="shared" si="233"/>
        <v>0.17466264493612993</v>
      </c>
      <c r="O720" s="1">
        <f t="shared" si="234"/>
        <v>0.17422637150700948</v>
      </c>
      <c r="P720" s="1">
        <f t="shared" si="235"/>
        <v>0.17429638706705708</v>
      </c>
      <c r="Q720" s="1">
        <f t="shared" si="236"/>
        <v>2.6480492105076072</v>
      </c>
      <c r="T720">
        <v>0.62925578624492717</v>
      </c>
      <c r="U720">
        <f t="shared" si="243"/>
        <v>1.5891788710716233</v>
      </c>
      <c r="V720" s="15">
        <f t="shared" si="237"/>
        <v>0</v>
      </c>
      <c r="W720" s="15">
        <f t="shared" si="238"/>
        <v>0</v>
      </c>
      <c r="X720" s="15">
        <f t="shared" si="239"/>
        <v>0</v>
      </c>
      <c r="Y720" s="15">
        <f t="shared" si="240"/>
        <v>0</v>
      </c>
      <c r="Z720" s="15">
        <f t="shared" si="241"/>
        <v>0</v>
      </c>
      <c r="AA720" s="15">
        <f t="shared" si="242"/>
        <v>0</v>
      </c>
      <c r="AC720" s="1"/>
      <c r="AD720" s="1"/>
      <c r="AE720" s="1"/>
    </row>
    <row r="721" spans="1:31">
      <c r="A721">
        <v>833</v>
      </c>
      <c r="B721">
        <f t="shared" si="222"/>
        <v>0.67092585892354117</v>
      </c>
      <c r="C721">
        <v>0.65970131852544533</v>
      </c>
      <c r="D721">
        <f t="shared" si="223"/>
        <v>1.5158375039103837</v>
      </c>
      <c r="E721" s="1">
        <f t="shared" si="224"/>
        <v>9.452741152070962E-2</v>
      </c>
      <c r="F721" s="1">
        <f t="shared" si="225"/>
        <v>0.10965179736402317</v>
      </c>
      <c r="G721" s="1">
        <f t="shared" si="226"/>
        <v>3.4029868147455476E-2</v>
      </c>
      <c r="H721" s="1">
        <f t="shared" si="227"/>
        <v>3.2975173616789581E-2</v>
      </c>
      <c r="I721" s="1">
        <f t="shared" si="228"/>
        <v>0.12118835989405272</v>
      </c>
      <c r="J721" s="1">
        <f t="shared" si="229"/>
        <v>0.13129390027536469</v>
      </c>
      <c r="K721" s="1">
        <f t="shared" si="230"/>
        <v>8.0733926708489334E-2</v>
      </c>
      <c r="L721" s="1">
        <f t="shared" si="231"/>
        <v>8.0054124245267894E-2</v>
      </c>
      <c r="M721" s="1">
        <f t="shared" si="232"/>
        <v>0.17451025664073866</v>
      </c>
      <c r="N721" s="1">
        <f t="shared" si="233"/>
        <v>0.17457810609804753</v>
      </c>
      <c r="O721" s="1">
        <f t="shared" si="234"/>
        <v>0.17414204383055698</v>
      </c>
      <c r="P721" s="1">
        <f t="shared" si="235"/>
        <v>0.17421202550222448</v>
      </c>
      <c r="Q721" s="1">
        <f t="shared" si="236"/>
        <v>2.6467675225798697</v>
      </c>
      <c r="T721">
        <v>0.99679760450744037</v>
      </c>
      <c r="U721">
        <f t="shared" si="243"/>
        <v>1.0032126837766049</v>
      </c>
      <c r="V721" s="15">
        <f t="shared" si="237"/>
        <v>0</v>
      </c>
      <c r="W721" s="15">
        <f t="shared" si="238"/>
        <v>0</v>
      </c>
      <c r="X721" s="15">
        <f t="shared" si="239"/>
        <v>0</v>
      </c>
      <c r="Y721" s="15">
        <f t="shared" si="240"/>
        <v>0</v>
      </c>
      <c r="Z721" s="15">
        <f t="shared" si="241"/>
        <v>0</v>
      </c>
      <c r="AA721" s="15">
        <f t="shared" si="242"/>
        <v>0</v>
      </c>
      <c r="AC721" s="1"/>
      <c r="AD721" s="1"/>
      <c r="AE721" s="1"/>
    </row>
    <row r="722" spans="1:31">
      <c r="A722">
        <v>970</v>
      </c>
      <c r="B722">
        <f t="shared" si="222"/>
        <v>0.67166478181823619</v>
      </c>
      <c r="C722">
        <v>0.66006890303166998</v>
      </c>
      <c r="D722">
        <f t="shared" si="223"/>
        <v>1.514993352068307</v>
      </c>
      <c r="E722" s="1">
        <f t="shared" si="224"/>
        <v>9.4425304713425001E-2</v>
      </c>
      <c r="F722" s="1">
        <f t="shared" si="225"/>
        <v>0.10953335346757301</v>
      </c>
      <c r="G722" s="1">
        <f t="shared" si="226"/>
        <v>3.3993109696833008E-2</v>
      </c>
      <c r="H722" s="1">
        <f t="shared" si="227"/>
        <v>3.2939554428201845E-2</v>
      </c>
      <c r="I722" s="1">
        <f t="shared" si="228"/>
        <v>0.12105745441055565</v>
      </c>
      <c r="J722" s="1">
        <f t="shared" si="229"/>
        <v>0.13115207896917008</v>
      </c>
      <c r="K722" s="1">
        <f t="shared" si="230"/>
        <v>8.0646719375048831E-2</v>
      </c>
      <c r="L722" s="1">
        <f t="shared" si="231"/>
        <v>7.9967651222203479E-2</v>
      </c>
      <c r="M722" s="1">
        <f t="shared" si="232"/>
        <v>0.17432175380481679</v>
      </c>
      <c r="N722" s="1">
        <f t="shared" si="233"/>
        <v>0.17438952997236401</v>
      </c>
      <c r="O722" s="1">
        <f t="shared" si="234"/>
        <v>0.17395393873148035</v>
      </c>
      <c r="P722" s="1">
        <f t="shared" si="235"/>
        <v>0.17402384481020666</v>
      </c>
      <c r="Q722" s="1">
        <f t="shared" si="236"/>
        <v>2.6439085319759004</v>
      </c>
      <c r="T722">
        <v>5.9047594133205372E-2</v>
      </c>
      <c r="U722">
        <f t="shared" si="243"/>
        <v>16.935491016689038</v>
      </c>
      <c r="V722" s="15">
        <f t="shared" si="237"/>
        <v>0.10046435530758287</v>
      </c>
      <c r="W722" s="15">
        <f t="shared" si="238"/>
        <v>0.10337405374464934</v>
      </c>
      <c r="X722" s="15">
        <f t="shared" si="239"/>
        <v>0.10919345061878223</v>
      </c>
      <c r="Y722" s="15">
        <f t="shared" si="240"/>
        <v>0.14382620291003126</v>
      </c>
      <c r="Z722" s="15">
        <f t="shared" si="241"/>
        <v>0.14608132511746161</v>
      </c>
      <c r="AA722" s="15">
        <f t="shared" si="242"/>
        <v>0.15059156953232239</v>
      </c>
      <c r="AC722" s="1"/>
      <c r="AD722" s="1"/>
      <c r="AE722" s="1"/>
    </row>
    <row r="723" spans="1:31">
      <c r="A723">
        <v>891</v>
      </c>
      <c r="B723">
        <f t="shared" si="222"/>
        <v>0.67174462158267334</v>
      </c>
      <c r="C723">
        <v>0.66010862011257032</v>
      </c>
      <c r="D723">
        <f t="shared" si="223"/>
        <v>1.5149021987161249</v>
      </c>
      <c r="E723" s="1">
        <f t="shared" si="224"/>
        <v>9.4414272190952664E-2</v>
      </c>
      <c r="F723" s="1">
        <f t="shared" si="225"/>
        <v>0.1095205557415051</v>
      </c>
      <c r="G723" s="1">
        <f t="shared" si="226"/>
        <v>3.3989137988742972E-2</v>
      </c>
      <c r="H723" s="1">
        <f t="shared" si="227"/>
        <v>3.293570581605746E-2</v>
      </c>
      <c r="I723" s="1">
        <f t="shared" si="228"/>
        <v>0.12104331022441531</v>
      </c>
      <c r="J723" s="1">
        <f t="shared" si="229"/>
        <v>0.13113675534100802</v>
      </c>
      <c r="K723" s="1">
        <f t="shared" si="230"/>
        <v>8.0637296723498758E-2</v>
      </c>
      <c r="L723" s="1">
        <f t="shared" si="231"/>
        <v>7.9958307912040533E-2</v>
      </c>
      <c r="M723" s="1">
        <f t="shared" si="232"/>
        <v>0.17430138629134034</v>
      </c>
      <c r="N723" s="1">
        <f t="shared" si="233"/>
        <v>0.17436915454001362</v>
      </c>
      <c r="O723" s="1">
        <f t="shared" si="234"/>
        <v>0.17393361419301023</v>
      </c>
      <c r="P723" s="1">
        <f t="shared" si="235"/>
        <v>0.17400351210400666</v>
      </c>
      <c r="Q723" s="1">
        <f t="shared" si="236"/>
        <v>2.6435996213466755</v>
      </c>
      <c r="T723">
        <v>0.31342973160253795</v>
      </c>
      <c r="U723">
        <f t="shared" si="243"/>
        <v>3.1905077890571842</v>
      </c>
      <c r="V723" s="15">
        <f t="shared" si="237"/>
        <v>7.0083639026564698E-2</v>
      </c>
      <c r="W723" s="15">
        <f t="shared" si="238"/>
        <v>7.4700951305684882E-2</v>
      </c>
      <c r="X723" s="15">
        <f t="shared" si="239"/>
        <v>8.3935575863925235E-2</v>
      </c>
      <c r="Y723" s="15">
        <f t="shared" si="240"/>
        <v>9.8898409508330593E-2</v>
      </c>
      <c r="Z723" s="15">
        <f t="shared" si="241"/>
        <v>0.10292989130253133</v>
      </c>
      <c r="AA723" s="15">
        <f t="shared" si="242"/>
        <v>0.11099285489093287</v>
      </c>
      <c r="AC723" s="1"/>
      <c r="AD723" s="1"/>
      <c r="AE723" s="1"/>
    </row>
    <row r="724" spans="1:31">
      <c r="A724">
        <v>435</v>
      </c>
      <c r="B724">
        <f t="shared" si="222"/>
        <v>0.67275346544620163</v>
      </c>
      <c r="C724">
        <v>0.6606104794758344</v>
      </c>
      <c r="D724">
        <f t="shared" si="223"/>
        <v>1.5137513422334086</v>
      </c>
      <c r="E724" s="1">
        <f t="shared" si="224"/>
        <v>9.427486681226821E-2</v>
      </c>
      <c r="F724" s="1">
        <f t="shared" si="225"/>
        <v>0.10935884550223113</v>
      </c>
      <c r="G724" s="1">
        <f t="shared" si="226"/>
        <v>3.3938952052416566E-2</v>
      </c>
      <c r="H724" s="1">
        <f t="shared" si="227"/>
        <v>3.288707530252407E-2</v>
      </c>
      <c r="I724" s="1">
        <f t="shared" si="228"/>
        <v>0.12086458630791963</v>
      </c>
      <c r="J724" s="1">
        <f t="shared" si="229"/>
        <v>0.13094312816353224</v>
      </c>
      <c r="K724" s="1">
        <f t="shared" si="230"/>
        <v>8.051823344392281E-2</v>
      </c>
      <c r="L724" s="1">
        <f t="shared" si="231"/>
        <v>7.9840247178903673E-2</v>
      </c>
      <c r="M724" s="1">
        <f t="shared" si="232"/>
        <v>0.17404402529922225</v>
      </c>
      <c r="N724" s="1">
        <f t="shared" si="233"/>
        <v>0.17411169348613414</v>
      </c>
      <c r="O724" s="1">
        <f t="shared" si="234"/>
        <v>0.17367679622693522</v>
      </c>
      <c r="P724" s="1">
        <f t="shared" si="235"/>
        <v>0.17374659093166284</v>
      </c>
      <c r="Q724" s="1">
        <f t="shared" si="236"/>
        <v>2.639696270743511</v>
      </c>
      <c r="T724">
        <v>0.23389444914381285</v>
      </c>
      <c r="U724">
        <f t="shared" si="243"/>
        <v>4.2754328016785799</v>
      </c>
      <c r="V724" s="15">
        <f t="shared" si="237"/>
        <v>7.5286722763559008E-2</v>
      </c>
      <c r="W724" s="15">
        <f t="shared" si="238"/>
        <v>7.9696696965069619E-2</v>
      </c>
      <c r="X724" s="15">
        <f t="shared" si="239"/>
        <v>8.851664536809091E-2</v>
      </c>
      <c r="Y724" s="15">
        <f t="shared" si="240"/>
        <v>0.10659919276635228</v>
      </c>
      <c r="Z724" s="15">
        <f t="shared" si="241"/>
        <v>0.11042350820507922</v>
      </c>
      <c r="AA724" s="15">
        <f t="shared" si="242"/>
        <v>0.11807213908253321</v>
      </c>
      <c r="AC724" s="1"/>
      <c r="AD724" s="1"/>
      <c r="AE724" s="1"/>
    </row>
    <row r="725" spans="1:31">
      <c r="A725">
        <v>429</v>
      </c>
      <c r="B725">
        <f t="shared" si="222"/>
        <v>0.67286587708207324</v>
      </c>
      <c r="C725">
        <v>0.66066786350258599</v>
      </c>
      <c r="D725">
        <f t="shared" si="223"/>
        <v>1.5136198614208602</v>
      </c>
      <c r="E725" s="1">
        <f t="shared" si="224"/>
        <v>9.4258926804837218E-2</v>
      </c>
      <c r="F725" s="1">
        <f t="shared" si="225"/>
        <v>0.10934035509361117</v>
      </c>
      <c r="G725" s="1">
        <f t="shared" si="226"/>
        <v>3.393321364974141E-2</v>
      </c>
      <c r="H725" s="1">
        <f t="shared" si="227"/>
        <v>3.2881514751314275E-2</v>
      </c>
      <c r="I725" s="1">
        <f t="shared" si="228"/>
        <v>0.12084415050706374</v>
      </c>
      <c r="J725" s="1">
        <f t="shared" si="229"/>
        <v>0.13092098828143489</v>
      </c>
      <c r="K725" s="1">
        <f t="shared" si="230"/>
        <v>8.0504619409951461E-2</v>
      </c>
      <c r="L725" s="1">
        <f t="shared" si="231"/>
        <v>7.9826747778943136E-2</v>
      </c>
      <c r="M725" s="1">
        <f t="shared" si="232"/>
        <v>0.17401459791151652</v>
      </c>
      <c r="N725" s="1">
        <f t="shared" si="233"/>
        <v>0.1740822546570821</v>
      </c>
      <c r="O725" s="1">
        <f t="shared" si="234"/>
        <v>0.17364743093037144</v>
      </c>
      <c r="P725" s="1">
        <f t="shared" si="235"/>
        <v>0.17371721383420086</v>
      </c>
      <c r="Q725" s="1">
        <f t="shared" si="236"/>
        <v>2.6392499505354428</v>
      </c>
      <c r="T725">
        <v>0.34234133991020399</v>
      </c>
      <c r="U725">
        <f t="shared" si="243"/>
        <v>2.9210611849048078</v>
      </c>
      <c r="V725" s="15">
        <f t="shared" si="237"/>
        <v>6.8192283211313376E-2</v>
      </c>
      <c r="W725" s="15">
        <f t="shared" si="238"/>
        <v>7.2884964271455022E-2</v>
      </c>
      <c r="X725" s="15">
        <f t="shared" si="239"/>
        <v>8.2270326391738285E-2</v>
      </c>
      <c r="Y725" s="15">
        <f t="shared" si="240"/>
        <v>9.6099123174825773E-2</v>
      </c>
      <c r="Z725" s="15">
        <f t="shared" si="241"/>
        <v>0.10020591132790055</v>
      </c>
      <c r="AA725" s="15">
        <f t="shared" si="242"/>
        <v>0.10841948763405015</v>
      </c>
      <c r="AC725" s="1"/>
      <c r="AD725" s="1"/>
      <c r="AE725" s="1"/>
    </row>
    <row r="726" spans="1:31">
      <c r="A726">
        <v>442</v>
      </c>
      <c r="B726">
        <f t="shared" si="222"/>
        <v>0.67395727834818819</v>
      </c>
      <c r="C726">
        <v>0.66134926476519262</v>
      </c>
      <c r="D726">
        <f t="shared" si="223"/>
        <v>1.5120603488612676</v>
      </c>
      <c r="E726" s="1">
        <f t="shared" si="224"/>
        <v>9.4069648676335382E-2</v>
      </c>
      <c r="F726" s="1">
        <f t="shared" si="225"/>
        <v>0.10912079246454903</v>
      </c>
      <c r="G726" s="1">
        <f t="shared" si="226"/>
        <v>3.3865073523480747E-2</v>
      </c>
      <c r="H726" s="1">
        <f t="shared" si="227"/>
        <v>3.2815486505657278E-2</v>
      </c>
      <c r="I726" s="1">
        <f t="shared" si="228"/>
        <v>0.12060148749971028</v>
      </c>
      <c r="J726" s="1">
        <f t="shared" si="229"/>
        <v>0.13065809032064196</v>
      </c>
      <c r="K726" s="1">
        <f t="shared" si="230"/>
        <v>8.0342960835912969E-2</v>
      </c>
      <c r="L726" s="1">
        <f t="shared" si="231"/>
        <v>7.9666450415752599E-2</v>
      </c>
      <c r="M726" s="1">
        <f t="shared" si="232"/>
        <v>0.17366516514645985</v>
      </c>
      <c r="N726" s="1">
        <f t="shared" si="233"/>
        <v>0.1737326860328276</v>
      </c>
      <c r="O726" s="1">
        <f t="shared" si="234"/>
        <v>0.17329873546077729</v>
      </c>
      <c r="P726" s="1">
        <f t="shared" si="235"/>
        <v>0.17336837823594314</v>
      </c>
      <c r="Q726" s="1">
        <f t="shared" si="236"/>
        <v>2.6339501629373911</v>
      </c>
      <c r="T726">
        <v>0.58642476103602115</v>
      </c>
      <c r="U726">
        <f t="shared" si="243"/>
        <v>1.7052485952900871</v>
      </c>
      <c r="V726" s="15">
        <f t="shared" si="237"/>
        <v>0</v>
      </c>
      <c r="W726" s="15">
        <f t="shared" si="238"/>
        <v>0</v>
      </c>
      <c r="X726" s="15">
        <f t="shared" si="239"/>
        <v>0</v>
      </c>
      <c r="Y726" s="15">
        <f t="shared" si="240"/>
        <v>0</v>
      </c>
      <c r="Z726" s="15">
        <f t="shared" si="241"/>
        <v>0</v>
      </c>
      <c r="AA726" s="15">
        <f t="shared" si="242"/>
        <v>0</v>
      </c>
      <c r="AC726" s="1"/>
      <c r="AD726" s="1"/>
      <c r="AE726" s="1"/>
    </row>
    <row r="727" spans="1:31">
      <c r="A727">
        <v>292</v>
      </c>
      <c r="B727">
        <f t="shared" si="222"/>
        <v>0.67883504629994629</v>
      </c>
      <c r="C727">
        <v>0.66555473588298497</v>
      </c>
      <c r="D727">
        <f t="shared" si="223"/>
        <v>1.5025060240512147</v>
      </c>
      <c r="E727" s="1">
        <f t="shared" si="224"/>
        <v>9.2901462254726397E-2</v>
      </c>
      <c r="F727" s="1">
        <f t="shared" si="225"/>
        <v>0.10776569621548263</v>
      </c>
      <c r="G727" s="1">
        <f t="shared" si="226"/>
        <v>3.3444526411701508E-2</v>
      </c>
      <c r="H727" s="1">
        <f t="shared" si="227"/>
        <v>3.2407973494884813E-2</v>
      </c>
      <c r="I727" s="1">
        <f t="shared" si="228"/>
        <v>0.11910382037640943</v>
      </c>
      <c r="J727" s="1">
        <f t="shared" si="229"/>
        <v>0.12903553714718324</v>
      </c>
      <c r="K727" s="1">
        <f t="shared" si="230"/>
        <v>7.9345236732112995E-2</v>
      </c>
      <c r="L727" s="1">
        <f t="shared" si="231"/>
        <v>7.8677127430677174E-2</v>
      </c>
      <c r="M727" s="1">
        <f t="shared" si="232"/>
        <v>0.17150853661977533</v>
      </c>
      <c r="N727" s="1">
        <f t="shared" si="233"/>
        <v>0.17157521901058431</v>
      </c>
      <c r="O727" s="1">
        <f t="shared" si="234"/>
        <v>0.17114665737293583</v>
      </c>
      <c r="P727" s="1">
        <f t="shared" si="235"/>
        <v>0.17121543530226185</v>
      </c>
      <c r="Q727" s="1">
        <f t="shared" si="236"/>
        <v>2.6012409431323391</v>
      </c>
      <c r="T727">
        <v>0.43189999862046524</v>
      </c>
      <c r="U727">
        <f t="shared" si="243"/>
        <v>2.3153507830379878</v>
      </c>
      <c r="V727" s="15">
        <f t="shared" si="237"/>
        <v>6.2333484622344941E-2</v>
      </c>
      <c r="W727" s="15">
        <f t="shared" si="238"/>
        <v>6.7259633390857568E-2</v>
      </c>
      <c r="X727" s="15">
        <f t="shared" si="239"/>
        <v>7.711193092788271E-2</v>
      </c>
      <c r="Y727" s="15">
        <f t="shared" si="240"/>
        <v>8.7427854295322335E-2</v>
      </c>
      <c r="Z727" s="15">
        <f t="shared" si="241"/>
        <v>9.1767916793474791E-2</v>
      </c>
      <c r="AA727" s="15">
        <f t="shared" si="242"/>
        <v>0.10044804178977969</v>
      </c>
      <c r="AC727" s="1"/>
      <c r="AD727" s="1"/>
      <c r="AE727" s="1"/>
    </row>
    <row r="728" spans="1:31">
      <c r="A728">
        <v>376</v>
      </c>
      <c r="B728">
        <f t="shared" si="222"/>
        <v>0.67981681938389715</v>
      </c>
      <c r="C728">
        <v>0.6665274461775178</v>
      </c>
      <c r="D728">
        <f t="shared" si="223"/>
        <v>1.5003133115296616</v>
      </c>
      <c r="E728" s="1">
        <f t="shared" si="224"/>
        <v>9.263126495068949E-2</v>
      </c>
      <c r="F728" s="1">
        <f t="shared" si="225"/>
        <v>0.10745226734279981</v>
      </c>
      <c r="G728" s="1">
        <f t="shared" si="226"/>
        <v>3.3347255382248225E-2</v>
      </c>
      <c r="H728" s="1">
        <f t="shared" si="227"/>
        <v>3.231371720596217E-2</v>
      </c>
      <c r="I728" s="1">
        <f t="shared" si="228"/>
        <v>0.11875741537496864</v>
      </c>
      <c r="J728" s="1">
        <f t="shared" si="229"/>
        <v>0.12866024645297949</v>
      </c>
      <c r="K728" s="1">
        <f t="shared" si="230"/>
        <v>7.9114466747089468E-2</v>
      </c>
      <c r="L728" s="1">
        <f t="shared" si="231"/>
        <v>7.8448300594100073E-2</v>
      </c>
      <c r="M728" s="1">
        <f t="shared" si="232"/>
        <v>0.17100971622352673</v>
      </c>
      <c r="N728" s="1">
        <f t="shared" si="233"/>
        <v>0.17107620467333856</v>
      </c>
      <c r="O728" s="1">
        <f t="shared" si="234"/>
        <v>0.17064888947677181</v>
      </c>
      <c r="P728" s="1">
        <f t="shared" si="235"/>
        <v>0.1707174673703758</v>
      </c>
      <c r="Q728" s="1">
        <f t="shared" si="236"/>
        <v>2.5936754186193065</v>
      </c>
      <c r="T728">
        <v>0.40438170579585575</v>
      </c>
      <c r="U728">
        <f t="shared" si="243"/>
        <v>2.4729110779923129</v>
      </c>
      <c r="V728" s="15">
        <f t="shared" si="237"/>
        <v>6.4133691743503737E-2</v>
      </c>
      <c r="W728" s="15">
        <f t="shared" si="238"/>
        <v>6.8988103922204003E-2</v>
      </c>
      <c r="X728" s="15">
        <f t="shared" si="239"/>
        <v>7.869692827960445E-2</v>
      </c>
      <c r="Y728" s="15">
        <f t="shared" si="240"/>
        <v>9.009223671934985E-2</v>
      </c>
      <c r="Z728" s="15">
        <f t="shared" si="241"/>
        <v>9.4360622041573583E-2</v>
      </c>
      <c r="AA728" s="15">
        <f t="shared" si="242"/>
        <v>0.10289739268602104</v>
      </c>
      <c r="AC728" s="1"/>
      <c r="AD728" s="1"/>
      <c r="AE728" s="1"/>
    </row>
    <row r="729" spans="1:31">
      <c r="A729">
        <v>606</v>
      </c>
      <c r="B729">
        <f t="shared" si="222"/>
        <v>0.68085671463484509</v>
      </c>
      <c r="C729">
        <v>0.66726862579731783</v>
      </c>
      <c r="D729">
        <f t="shared" si="223"/>
        <v>1.4986468138002176</v>
      </c>
      <c r="E729" s="1">
        <f t="shared" si="224"/>
        <v>9.242538172296727E-2</v>
      </c>
      <c r="F729" s="1">
        <f t="shared" si="225"/>
        <v>0.10721344279864203</v>
      </c>
      <c r="G729" s="1">
        <f t="shared" si="226"/>
        <v>3.3273137420268224E-2</v>
      </c>
      <c r="H729" s="1">
        <f t="shared" si="227"/>
        <v>3.2241896396847582E-2</v>
      </c>
      <c r="I729" s="1">
        <f t="shared" si="228"/>
        <v>0.11849346388940526</v>
      </c>
      <c r="J729" s="1">
        <f t="shared" si="229"/>
        <v>0.12837428483048219</v>
      </c>
      <c r="K729" s="1">
        <f t="shared" si="230"/>
        <v>7.8938626097800224E-2</v>
      </c>
      <c r="L729" s="1">
        <f t="shared" si="231"/>
        <v>7.8273940572737566E-2</v>
      </c>
      <c r="M729" s="1">
        <f t="shared" si="232"/>
        <v>0.17062962822228106</v>
      </c>
      <c r="N729" s="1">
        <f t="shared" si="233"/>
        <v>0.17069596889416222</v>
      </c>
      <c r="O729" s="1">
        <f t="shared" si="234"/>
        <v>0.17026960345286407</v>
      </c>
      <c r="P729" s="1">
        <f t="shared" si="235"/>
        <v>0.17033802892451755</v>
      </c>
      <c r="Q729" s="1">
        <f t="shared" si="236"/>
        <v>2.5879106882430838</v>
      </c>
      <c r="T729">
        <v>0.5666054079722177</v>
      </c>
      <c r="U729">
        <f t="shared" si="243"/>
        <v>1.7648966739989762</v>
      </c>
      <c r="V729" s="15">
        <f t="shared" si="237"/>
        <v>0</v>
      </c>
      <c r="W729" s="15">
        <f t="shared" si="238"/>
        <v>0</v>
      </c>
      <c r="X729" s="15">
        <f t="shared" si="239"/>
        <v>0</v>
      </c>
      <c r="Y729" s="15">
        <f t="shared" si="240"/>
        <v>0</v>
      </c>
      <c r="Z729" s="15">
        <f t="shared" si="241"/>
        <v>0</v>
      </c>
      <c r="AA729" s="15">
        <f t="shared" si="242"/>
        <v>0</v>
      </c>
      <c r="AC729" s="1"/>
      <c r="AD729" s="1"/>
      <c r="AE729" s="1"/>
    </row>
    <row r="730" spans="1:31">
      <c r="A730">
        <v>190</v>
      </c>
      <c r="B730">
        <f t="shared" si="222"/>
        <v>0.68136577639551266</v>
      </c>
      <c r="C730">
        <v>0.66761162122840878</v>
      </c>
      <c r="D730">
        <f t="shared" si="223"/>
        <v>1.497876861639998</v>
      </c>
      <c r="E730" s="1">
        <f t="shared" si="224"/>
        <v>9.2330105214330882E-2</v>
      </c>
      <c r="F730" s="1">
        <f t="shared" si="225"/>
        <v>0.10710292204862382</v>
      </c>
      <c r="G730" s="1">
        <f t="shared" si="226"/>
        <v>3.323883787715913E-2</v>
      </c>
      <c r="H730" s="1">
        <f t="shared" si="227"/>
        <v>3.2208659906359335E-2</v>
      </c>
      <c r="I730" s="1">
        <f t="shared" si="228"/>
        <v>0.11837131515358018</v>
      </c>
      <c r="J730" s="1">
        <f t="shared" si="229"/>
        <v>0.12824195047135559</v>
      </c>
      <c r="K730" s="1">
        <f t="shared" si="230"/>
        <v>7.8857252382583176E-2</v>
      </c>
      <c r="L730" s="1">
        <f t="shared" si="231"/>
        <v>7.8193252047183692E-2</v>
      </c>
      <c r="M730" s="1">
        <f t="shared" si="232"/>
        <v>0.1704537350320785</v>
      </c>
      <c r="N730" s="1">
        <f t="shared" si="233"/>
        <v>0.17052000731681882</v>
      </c>
      <c r="O730" s="1">
        <f t="shared" si="234"/>
        <v>0.17009408139343118</v>
      </c>
      <c r="P730" s="1">
        <f t="shared" si="235"/>
        <v>0.17016243632883232</v>
      </c>
      <c r="Q730" s="1">
        <f t="shared" si="236"/>
        <v>2.5852429460012658</v>
      </c>
      <c r="T730">
        <v>0.69585089172439352</v>
      </c>
      <c r="U730">
        <f t="shared" si="243"/>
        <v>1.4370894855389094</v>
      </c>
      <c r="V730" s="15">
        <f t="shared" si="237"/>
        <v>0</v>
      </c>
      <c r="W730" s="15">
        <f t="shared" si="238"/>
        <v>0</v>
      </c>
      <c r="X730" s="15">
        <f t="shared" si="239"/>
        <v>0</v>
      </c>
      <c r="Y730" s="15">
        <f t="shared" si="240"/>
        <v>0</v>
      </c>
      <c r="Z730" s="15">
        <f t="shared" si="241"/>
        <v>0</v>
      </c>
      <c r="AA730" s="15">
        <f t="shared" si="242"/>
        <v>0</v>
      </c>
      <c r="AC730" s="1"/>
      <c r="AD730" s="1"/>
      <c r="AE730" s="1"/>
    </row>
    <row r="731" spans="1:31">
      <c r="A731">
        <v>805</v>
      </c>
      <c r="B731">
        <f t="shared" si="222"/>
        <v>0.68234557032458476</v>
      </c>
      <c r="C731">
        <v>0.66829397938572732</v>
      </c>
      <c r="D731">
        <f t="shared" si="223"/>
        <v>1.4963474621141513</v>
      </c>
      <c r="E731" s="1">
        <f t="shared" si="224"/>
        <v>9.2140561281742389E-2</v>
      </c>
      <c r="F731" s="1">
        <f t="shared" si="225"/>
        <v>0.1068830510868212</v>
      </c>
      <c r="G731" s="1">
        <f t="shared" si="226"/>
        <v>3.3170602061427273E-2</v>
      </c>
      <c r="H731" s="1">
        <f t="shared" si="227"/>
        <v>3.2142538936954131E-2</v>
      </c>
      <c r="I731" s="1">
        <f t="shared" si="228"/>
        <v>0.118128311373526</v>
      </c>
      <c r="J731" s="1">
        <f t="shared" si="229"/>
        <v>0.12797868332183016</v>
      </c>
      <c r="K731" s="1">
        <f t="shared" si="230"/>
        <v>7.8695366790716675E-2</v>
      </c>
      <c r="L731" s="1">
        <f t="shared" si="231"/>
        <v>7.8032729577719367E-2</v>
      </c>
      <c r="M731" s="1">
        <f t="shared" si="232"/>
        <v>0.17010381155709303</v>
      </c>
      <c r="N731" s="1">
        <f t="shared" si="233"/>
        <v>0.17016994779184791</v>
      </c>
      <c r="O731" s="1">
        <f t="shared" si="234"/>
        <v>0.1697448962492954</v>
      </c>
      <c r="P731" s="1">
        <f t="shared" si="235"/>
        <v>0.16981311085924977</v>
      </c>
      <c r="Q731" s="1">
        <f t="shared" si="236"/>
        <v>2.5799357158887881</v>
      </c>
      <c r="T731">
        <v>0.93280412374813326</v>
      </c>
      <c r="U731">
        <f t="shared" si="243"/>
        <v>1.0720364270923939</v>
      </c>
      <c r="V731" s="15">
        <f t="shared" si="237"/>
        <v>0</v>
      </c>
      <c r="W731" s="15">
        <f t="shared" si="238"/>
        <v>0</v>
      </c>
      <c r="X731" s="15">
        <f t="shared" si="239"/>
        <v>0</v>
      </c>
      <c r="Y731" s="15">
        <f t="shared" si="240"/>
        <v>0</v>
      </c>
      <c r="Z731" s="15">
        <f t="shared" si="241"/>
        <v>0</v>
      </c>
      <c r="AA731" s="15">
        <f t="shared" si="242"/>
        <v>0</v>
      </c>
      <c r="AC731" s="1"/>
      <c r="AD731" s="1"/>
      <c r="AE731" s="1"/>
    </row>
    <row r="732" spans="1:31">
      <c r="A732">
        <v>683</v>
      </c>
      <c r="B732">
        <f t="shared" si="222"/>
        <v>0.68465436896497811</v>
      </c>
      <c r="C732">
        <v>0.66980454576108484</v>
      </c>
      <c r="D732">
        <f t="shared" si="223"/>
        <v>1.492972847569616</v>
      </c>
      <c r="E732" s="1">
        <f t="shared" si="224"/>
        <v>9.1720959510809746E-2</v>
      </c>
      <c r="F732" s="1">
        <f t="shared" si="225"/>
        <v>0.10639631303253932</v>
      </c>
      <c r="G732" s="1">
        <f t="shared" si="226"/>
        <v>3.3019545423891523E-2</v>
      </c>
      <c r="H732" s="1">
        <f t="shared" si="227"/>
        <v>3.1996164028090954E-2</v>
      </c>
      <c r="I732" s="1">
        <f t="shared" si="228"/>
        <v>0.11759036317828928</v>
      </c>
      <c r="J732" s="1">
        <f t="shared" si="229"/>
        <v>0.12739587721107437</v>
      </c>
      <c r="K732" s="1">
        <f t="shared" si="230"/>
        <v>7.8336993509609681E-2</v>
      </c>
      <c r="L732" s="1">
        <f t="shared" si="231"/>
        <v>7.7677373900848667E-2</v>
      </c>
      <c r="M732" s="1">
        <f t="shared" si="232"/>
        <v>0.16932917051324808</v>
      </c>
      <c r="N732" s="1">
        <f t="shared" si="233"/>
        <v>0.16939500556814424</v>
      </c>
      <c r="O732" s="1">
        <f t="shared" si="234"/>
        <v>0.16897188968104593</v>
      </c>
      <c r="P732" s="1">
        <f t="shared" si="235"/>
        <v>0.16903979364636407</v>
      </c>
      <c r="Q732" s="1">
        <f t="shared" si="236"/>
        <v>2.5681868663026739</v>
      </c>
      <c r="T732">
        <v>0.76923392068778029</v>
      </c>
      <c r="U732">
        <f t="shared" si="243"/>
        <v>1.2999946740594712</v>
      </c>
      <c r="V732" s="15">
        <f t="shared" si="237"/>
        <v>0</v>
      </c>
      <c r="W732" s="15">
        <f t="shared" si="238"/>
        <v>0</v>
      </c>
      <c r="X732" s="15">
        <f t="shared" si="239"/>
        <v>0</v>
      </c>
      <c r="Y732" s="15">
        <f t="shared" si="240"/>
        <v>0</v>
      </c>
      <c r="Z732" s="15">
        <f t="shared" si="241"/>
        <v>0</v>
      </c>
      <c r="AA732" s="15">
        <f t="shared" si="242"/>
        <v>0</v>
      </c>
      <c r="AC732" s="1"/>
      <c r="AD732" s="1"/>
      <c r="AE732" s="1"/>
    </row>
    <row r="733" spans="1:31">
      <c r="A733">
        <v>839</v>
      </c>
      <c r="B733">
        <f t="shared" si="222"/>
        <v>0.68745920390312154</v>
      </c>
      <c r="C733">
        <v>0.67048065552313629</v>
      </c>
      <c r="D733">
        <f t="shared" si="223"/>
        <v>1.491467340276595</v>
      </c>
      <c r="E733" s="1">
        <f t="shared" si="224"/>
        <v>9.1533151243573252E-2</v>
      </c>
      <c r="F733" s="1">
        <f t="shared" si="225"/>
        <v>0.10617845544254498</v>
      </c>
      <c r="G733" s="1">
        <f t="shared" si="226"/>
        <v>3.2951934447686376E-2</v>
      </c>
      <c r="H733" s="1">
        <f t="shared" si="227"/>
        <v>3.1930648532435643E-2</v>
      </c>
      <c r="I733" s="1">
        <f t="shared" si="228"/>
        <v>0.11734958459867112</v>
      </c>
      <c r="J733" s="1">
        <f t="shared" si="229"/>
        <v>0.12713502081489519</v>
      </c>
      <c r="K733" s="1">
        <f t="shared" si="230"/>
        <v>7.8176590313982136E-2</v>
      </c>
      <c r="L733" s="1">
        <f t="shared" si="231"/>
        <v>7.7518321345428298E-2</v>
      </c>
      <c r="M733" s="1">
        <f t="shared" si="232"/>
        <v>0.16898245130886663</v>
      </c>
      <c r="N733" s="1">
        <f t="shared" si="233"/>
        <v>0.16904815155959541</v>
      </c>
      <c r="O733" s="1">
        <f t="shared" si="234"/>
        <v>0.16862590204657357</v>
      </c>
      <c r="P733" s="1">
        <f t="shared" si="235"/>
        <v>0.16869366697141358</v>
      </c>
      <c r="Q733" s="1">
        <f t="shared" si="236"/>
        <v>2.5629282348200517</v>
      </c>
      <c r="T733">
        <v>0.60689646926727225</v>
      </c>
      <c r="U733">
        <f t="shared" si="243"/>
        <v>1.6477274965981195</v>
      </c>
      <c r="V733" s="15">
        <f t="shared" si="237"/>
        <v>0</v>
      </c>
      <c r="W733" s="15">
        <f t="shared" si="238"/>
        <v>0</v>
      </c>
      <c r="X733" s="15">
        <f t="shared" si="239"/>
        <v>0</v>
      </c>
      <c r="Y733" s="15">
        <f t="shared" si="240"/>
        <v>0</v>
      </c>
      <c r="Z733" s="15">
        <f t="shared" si="241"/>
        <v>0</v>
      </c>
      <c r="AA733" s="15">
        <f t="shared" si="242"/>
        <v>0</v>
      </c>
      <c r="AC733" s="1"/>
      <c r="AD733" s="1"/>
      <c r="AE733" s="1"/>
    </row>
    <row r="734" spans="1:31">
      <c r="A734">
        <v>544</v>
      </c>
      <c r="B734">
        <f t="shared" si="222"/>
        <v>0.68834825268528799</v>
      </c>
      <c r="C734">
        <v>0.6708421157592489</v>
      </c>
      <c r="D734">
        <f t="shared" si="223"/>
        <v>1.4906637143200456</v>
      </c>
      <c r="E734" s="1">
        <f t="shared" si="224"/>
        <v>9.1432745622430839E-2</v>
      </c>
      <c r="F734" s="1">
        <f t="shared" si="225"/>
        <v>0.10606198492201979</v>
      </c>
      <c r="G734" s="1">
        <f t="shared" si="226"/>
        <v>3.2915788424075117E-2</v>
      </c>
      <c r="H734" s="1">
        <f t="shared" si="227"/>
        <v>3.1895622789785888E-2</v>
      </c>
      <c r="I734" s="1">
        <f t="shared" si="228"/>
        <v>0.11722086011172456</v>
      </c>
      <c r="J734" s="1">
        <f t="shared" si="229"/>
        <v>0.12699556237212944</v>
      </c>
      <c r="K734" s="1">
        <f t="shared" si="230"/>
        <v>7.8090835928793512E-2</v>
      </c>
      <c r="L734" s="1">
        <f t="shared" si="231"/>
        <v>7.7433289036381164E-2</v>
      </c>
      <c r="M734" s="1">
        <f t="shared" si="232"/>
        <v>0.16879708909031171</v>
      </c>
      <c r="N734" s="1">
        <f t="shared" si="233"/>
        <v>0.16886271727234847</v>
      </c>
      <c r="O734" s="1">
        <f t="shared" si="234"/>
        <v>0.16844093093823026</v>
      </c>
      <c r="P734" s="1">
        <f t="shared" si="235"/>
        <v>0.16850862152957163</v>
      </c>
      <c r="Q734" s="1">
        <f t="shared" si="236"/>
        <v>2.5601168774280643</v>
      </c>
      <c r="T734">
        <v>0.91484682267076423</v>
      </c>
      <c r="U734">
        <f t="shared" si="243"/>
        <v>1.0930791638764654</v>
      </c>
      <c r="V734" s="15">
        <f t="shared" si="237"/>
        <v>0</v>
      </c>
      <c r="W734" s="15">
        <f t="shared" si="238"/>
        <v>0</v>
      </c>
      <c r="X734" s="15">
        <f t="shared" si="239"/>
        <v>0</v>
      </c>
      <c r="Y734" s="15">
        <f t="shared" si="240"/>
        <v>0</v>
      </c>
      <c r="Z734" s="15">
        <f t="shared" si="241"/>
        <v>0</v>
      </c>
      <c r="AA734" s="15">
        <f t="shared" si="242"/>
        <v>0</v>
      </c>
      <c r="AC734" s="1"/>
      <c r="AD734" s="1"/>
      <c r="AE734" s="1"/>
    </row>
    <row r="735" spans="1:31">
      <c r="A735">
        <v>983</v>
      </c>
      <c r="B735">
        <f t="shared" si="222"/>
        <v>0.69166091888573555</v>
      </c>
      <c r="C735">
        <v>0.67285434028103053</v>
      </c>
      <c r="D735">
        <f t="shared" si="223"/>
        <v>1.4862057656971208</v>
      </c>
      <c r="E735" s="1">
        <f t="shared" si="224"/>
        <v>9.0873794366380406E-2</v>
      </c>
      <c r="F735" s="1">
        <f t="shared" si="225"/>
        <v>0.10541360146500126</v>
      </c>
      <c r="G735" s="1">
        <f t="shared" si="226"/>
        <v>3.2714565971896953E-2</v>
      </c>
      <c r="H735" s="1">
        <f t="shared" si="227"/>
        <v>3.170063686543792E-2</v>
      </c>
      <c r="I735" s="1">
        <f t="shared" si="228"/>
        <v>0.11650425965803884</v>
      </c>
      <c r="J735" s="1">
        <f t="shared" si="229"/>
        <v>0.12621920671729803</v>
      </c>
      <c r="K735" s="1">
        <f t="shared" si="230"/>
        <v>7.7613447105661426E-2</v>
      </c>
      <c r="L735" s="1">
        <f t="shared" si="231"/>
        <v>7.6959919961960804E-2</v>
      </c>
      <c r="M735" s="1">
        <f t="shared" si="232"/>
        <v>0.16776519024135556</v>
      </c>
      <c r="N735" s="1">
        <f t="shared" si="233"/>
        <v>0.16783041722189135</v>
      </c>
      <c r="O735" s="1">
        <f t="shared" si="234"/>
        <v>0.16741120937319026</v>
      </c>
      <c r="P735" s="1">
        <f t="shared" si="235"/>
        <v>0.16747848615500649</v>
      </c>
      <c r="Q735" s="1">
        <f t="shared" si="236"/>
        <v>2.5444662422586521</v>
      </c>
      <c r="T735">
        <v>0.81704221112630804</v>
      </c>
      <c r="U735">
        <f t="shared" si="243"/>
        <v>1.2239269726609121</v>
      </c>
      <c r="V735" s="15">
        <f t="shared" si="237"/>
        <v>0</v>
      </c>
      <c r="W735" s="15">
        <f t="shared" si="238"/>
        <v>0</v>
      </c>
      <c r="X735" s="15">
        <f t="shared" si="239"/>
        <v>0</v>
      </c>
      <c r="Y735" s="15">
        <f t="shared" si="240"/>
        <v>0</v>
      </c>
      <c r="Z735" s="15">
        <f t="shared" si="241"/>
        <v>0</v>
      </c>
      <c r="AA735" s="15">
        <f t="shared" si="242"/>
        <v>0</v>
      </c>
      <c r="AC735" s="1"/>
      <c r="AD735" s="1"/>
      <c r="AE735" s="1"/>
    </row>
    <row r="736" spans="1:31">
      <c r="A736">
        <v>187</v>
      </c>
      <c r="B736">
        <f t="shared" si="222"/>
        <v>0.69295815242787095</v>
      </c>
      <c r="C736">
        <v>0.67445764485328175</v>
      </c>
      <c r="D736">
        <f t="shared" si="223"/>
        <v>1.4826727929187238</v>
      </c>
      <c r="E736" s="1">
        <f t="shared" si="224"/>
        <v>9.0428431985199509E-2</v>
      </c>
      <c r="F736" s="1">
        <f t="shared" si="225"/>
        <v>0.10489698110283144</v>
      </c>
      <c r="G736" s="1">
        <f t="shared" si="226"/>
        <v>3.2554235514671834E-2</v>
      </c>
      <c r="H736" s="1">
        <f t="shared" si="227"/>
        <v>3.1545275562239544E-2</v>
      </c>
      <c r="I736" s="1">
        <f t="shared" si="228"/>
        <v>0.11593328521088606</v>
      </c>
      <c r="J736" s="1">
        <f t="shared" si="229"/>
        <v>0.12560062039275499</v>
      </c>
      <c r="K736" s="1">
        <f t="shared" si="230"/>
        <v>7.7233072214796056E-2</v>
      </c>
      <c r="L736" s="1">
        <f t="shared" si="231"/>
        <v>7.6582747935099449E-2</v>
      </c>
      <c r="M736" s="1">
        <f t="shared" si="232"/>
        <v>0.16694299166225895</v>
      </c>
      <c r="N736" s="1">
        <f t="shared" si="233"/>
        <v>0.16700789897260188</v>
      </c>
      <c r="O736" s="1">
        <f t="shared" si="234"/>
        <v>0.16659074561504439</v>
      </c>
      <c r="P736" s="1">
        <f t="shared" si="235"/>
        <v>0.16665769268081915</v>
      </c>
      <c r="Q736" s="1">
        <f t="shared" si="236"/>
        <v>2.5319960955855869</v>
      </c>
      <c r="T736">
        <v>0.21641415829391097</v>
      </c>
      <c r="U736">
        <f t="shared" si="243"/>
        <v>4.620769767946074</v>
      </c>
      <c r="V736" s="15">
        <f t="shared" si="237"/>
        <v>7.6430258238978407E-2</v>
      </c>
      <c r="W736" s="15">
        <f t="shared" si="238"/>
        <v>8.0794663608785233E-2</v>
      </c>
      <c r="X736" s="15">
        <f t="shared" si="239"/>
        <v>8.9523474348398968E-2</v>
      </c>
      <c r="Y736" s="15">
        <f t="shared" si="240"/>
        <v>0.10829167347379343</v>
      </c>
      <c r="Z736" s="15">
        <f t="shared" si="241"/>
        <v>0.11207045782196472</v>
      </c>
      <c r="AA736" s="15">
        <f t="shared" si="242"/>
        <v>0.11962802651830745</v>
      </c>
      <c r="AC736" s="1"/>
      <c r="AD736" s="1"/>
      <c r="AE736" s="1"/>
    </row>
    <row r="737" spans="1:31">
      <c r="A737">
        <v>626</v>
      </c>
      <c r="B737">
        <f t="shared" si="222"/>
        <v>0.69411532564316891</v>
      </c>
      <c r="C737">
        <v>0.67720823206532466</v>
      </c>
      <c r="D737">
        <f t="shared" si="223"/>
        <v>1.4766506853442063</v>
      </c>
      <c r="E737" s="1">
        <f t="shared" si="224"/>
        <v>8.9664379981854253E-2</v>
      </c>
      <c r="F737" s="1">
        <f t="shared" si="225"/>
        <v>0.10401068077895093</v>
      </c>
      <c r="G737" s="1">
        <f t="shared" si="226"/>
        <v>3.2279176793467541E-2</v>
      </c>
      <c r="H737" s="1">
        <f t="shared" si="227"/>
        <v>3.1278741791164619E-2</v>
      </c>
      <c r="I737" s="1">
        <f t="shared" si="228"/>
        <v>0.11495373644646348</v>
      </c>
      <c r="J737" s="1">
        <f t="shared" si="229"/>
        <v>0.12453938994204677</v>
      </c>
      <c r="K737" s="1">
        <f t="shared" si="230"/>
        <v>7.6580511042886296E-2</v>
      </c>
      <c r="L737" s="1">
        <f t="shared" si="231"/>
        <v>7.5935681512549119E-2</v>
      </c>
      <c r="M737" s="1">
        <f t="shared" si="232"/>
        <v>0.16553244937568168</v>
      </c>
      <c r="N737" s="1">
        <f t="shared" si="233"/>
        <v>0.16559680826823819</v>
      </c>
      <c r="O737" s="1">
        <f t="shared" si="234"/>
        <v>0.16518317954172368</v>
      </c>
      <c r="P737" s="1">
        <f t="shared" si="235"/>
        <v>0.16524956095531806</v>
      </c>
      <c r="Q737" s="1">
        <f t="shared" si="236"/>
        <v>2.5106026394919194</v>
      </c>
      <c r="T737">
        <v>0.4383811831240958</v>
      </c>
      <c r="U737">
        <f t="shared" si="243"/>
        <v>2.2811198073639094</v>
      </c>
      <c r="V737" s="15">
        <f t="shared" si="237"/>
        <v>6.1909494857742046E-2</v>
      </c>
      <c r="W737" s="15">
        <f t="shared" si="238"/>
        <v>6.6852539226472274E-2</v>
      </c>
      <c r="X737" s="15">
        <f t="shared" si="239"/>
        <v>7.6738627963932576E-2</v>
      </c>
      <c r="Y737" s="15">
        <f t="shared" si="240"/>
        <v>8.6800331571132497E-2</v>
      </c>
      <c r="Z737" s="15">
        <f t="shared" si="241"/>
        <v>9.1157275676180205E-2</v>
      </c>
      <c r="AA737" s="15">
        <f t="shared" si="242"/>
        <v>9.9871163886275566E-2</v>
      </c>
      <c r="AC737" s="1"/>
      <c r="AD737" s="1"/>
      <c r="AE737" s="1"/>
    </row>
    <row r="738" spans="1:31">
      <c r="A738">
        <v>742</v>
      </c>
      <c r="B738">
        <f t="shared" si="222"/>
        <v>0.69415462325212451</v>
      </c>
      <c r="C738">
        <v>0.67740680115809304</v>
      </c>
      <c r="D738">
        <f t="shared" si="223"/>
        <v>1.4762178329039544</v>
      </c>
      <c r="E738" s="1">
        <f t="shared" si="224"/>
        <v>8.9609221900529695E-2</v>
      </c>
      <c r="F738" s="1">
        <f t="shared" si="225"/>
        <v>0.10394669740461446</v>
      </c>
      <c r="G738" s="1">
        <f t="shared" si="226"/>
        <v>3.2259319884190701E-2</v>
      </c>
      <c r="H738" s="1">
        <f t="shared" si="227"/>
        <v>3.1259500311060749E-2</v>
      </c>
      <c r="I738" s="1">
        <f t="shared" si="228"/>
        <v>0.11488302132475339</v>
      </c>
      <c r="J738" s="1">
        <f t="shared" si="229"/>
        <v>0.12446277809462281</v>
      </c>
      <c r="K738" s="1">
        <f t="shared" si="230"/>
        <v>7.6533401655001887E-2</v>
      </c>
      <c r="L738" s="1">
        <f t="shared" si="231"/>
        <v>7.5888968799015022E-2</v>
      </c>
      <c r="M738" s="1">
        <f t="shared" si="232"/>
        <v>0.16543062017320054</v>
      </c>
      <c r="N738" s="1">
        <f t="shared" si="233"/>
        <v>0.16549493947463928</v>
      </c>
      <c r="O738" s="1">
        <f t="shared" si="234"/>
        <v>0.1650815651966242</v>
      </c>
      <c r="P738" s="1">
        <f t="shared" si="235"/>
        <v>0.16514790577492355</v>
      </c>
      <c r="Q738" s="1">
        <f t="shared" si="236"/>
        <v>2.509058213214832</v>
      </c>
      <c r="T738">
        <v>0.75950697836935832</v>
      </c>
      <c r="U738">
        <f t="shared" si="243"/>
        <v>1.3166435970700019</v>
      </c>
      <c r="V738" s="15">
        <f t="shared" si="237"/>
        <v>0</v>
      </c>
      <c r="W738" s="15">
        <f t="shared" si="238"/>
        <v>0</v>
      </c>
      <c r="X738" s="15">
        <f t="shared" si="239"/>
        <v>0</v>
      </c>
      <c r="Y738" s="15">
        <f t="shared" si="240"/>
        <v>0</v>
      </c>
      <c r="Z738" s="15">
        <f t="shared" si="241"/>
        <v>0</v>
      </c>
      <c r="AA738" s="15">
        <f t="shared" si="242"/>
        <v>0</v>
      </c>
      <c r="AC738" s="1"/>
      <c r="AD738" s="1"/>
      <c r="AE738" s="1"/>
    </row>
    <row r="739" spans="1:31">
      <c r="A739">
        <v>675</v>
      </c>
      <c r="B739">
        <f t="shared" si="222"/>
        <v>0.69528544425485472</v>
      </c>
      <c r="C739">
        <v>0.6782332482771749</v>
      </c>
      <c r="D739">
        <f t="shared" si="223"/>
        <v>1.4744190181477628</v>
      </c>
      <c r="E739" s="1">
        <f t="shared" si="224"/>
        <v>8.9379653256340286E-2</v>
      </c>
      <c r="F739" s="1">
        <f t="shared" si="225"/>
        <v>0.10368039777735474</v>
      </c>
      <c r="G739" s="1">
        <f t="shared" si="226"/>
        <v>3.2176675172282516E-2</v>
      </c>
      <c r="H739" s="1">
        <f t="shared" si="227"/>
        <v>3.1179417023289156E-2</v>
      </c>
      <c r="I739" s="1">
        <f t="shared" si="228"/>
        <v>0.11458870407830768</v>
      </c>
      <c r="J739" s="1">
        <f t="shared" si="229"/>
        <v>0.12414391859988302</v>
      </c>
      <c r="K739" s="1">
        <f t="shared" si="230"/>
        <v>7.6337331776472589E-2</v>
      </c>
      <c r="L739" s="1">
        <f t="shared" si="231"/>
        <v>7.5694549884235685E-2</v>
      </c>
      <c r="M739" s="1">
        <f t="shared" si="232"/>
        <v>0.16500680572224224</v>
      </c>
      <c r="N739" s="1">
        <f t="shared" si="233"/>
        <v>0.16507096024493934</v>
      </c>
      <c r="O739" s="1">
        <f t="shared" si="234"/>
        <v>0.16465864498485266</v>
      </c>
      <c r="P739" s="1">
        <f t="shared" si="235"/>
        <v>0.16472481560612873</v>
      </c>
      <c r="Q739" s="1">
        <f t="shared" si="236"/>
        <v>2.5026302911775291</v>
      </c>
      <c r="T739">
        <v>7.2897241638743338E-2</v>
      </c>
      <c r="U739">
        <f t="shared" si="243"/>
        <v>13.717940178802612</v>
      </c>
      <c r="V739" s="15">
        <f t="shared" si="237"/>
        <v>9.7668653851546536E-2</v>
      </c>
      <c r="W739" s="15">
        <f t="shared" si="238"/>
        <v>0.10076774907010802</v>
      </c>
      <c r="X739" s="15">
        <f t="shared" si="239"/>
        <v>0.10696593950723106</v>
      </c>
      <c r="Y739" s="15">
        <f t="shared" si="240"/>
        <v>0.13969686016020502</v>
      </c>
      <c r="Z739" s="15">
        <f t="shared" si="241"/>
        <v>0.14215187689139505</v>
      </c>
      <c r="AA739" s="15">
        <f t="shared" si="242"/>
        <v>0.14706191035377497</v>
      </c>
      <c r="AC739" s="1"/>
      <c r="AD739" s="1"/>
      <c r="AE739" s="1"/>
    </row>
    <row r="740" spans="1:31">
      <c r="A740">
        <v>347</v>
      </c>
      <c r="B740">
        <f t="shared" si="222"/>
        <v>0.69630928223209188</v>
      </c>
      <c r="C740">
        <v>0.67891004852730696</v>
      </c>
      <c r="D740">
        <f t="shared" si="223"/>
        <v>1.4729491810722231</v>
      </c>
      <c r="E740" s="1">
        <f t="shared" si="224"/>
        <v>8.9191653186859177E-2</v>
      </c>
      <c r="F740" s="1">
        <f t="shared" si="225"/>
        <v>0.10346231769675665</v>
      </c>
      <c r="G740" s="1">
        <f t="shared" si="226"/>
        <v>3.2108995147269309E-2</v>
      </c>
      <c r="H740" s="1">
        <f t="shared" si="227"/>
        <v>3.1113834618869352E-2</v>
      </c>
      <c r="I740" s="1">
        <f t="shared" si="228"/>
        <v>0.1143476795996527</v>
      </c>
      <c r="J740" s="1">
        <f t="shared" si="229"/>
        <v>0.12388279579987058</v>
      </c>
      <c r="K740" s="1">
        <f t="shared" si="230"/>
        <v>7.6176764766475114E-2</v>
      </c>
      <c r="L740" s="1">
        <f t="shared" si="231"/>
        <v>7.5535334893808675E-2</v>
      </c>
      <c r="M740" s="1">
        <f t="shared" si="232"/>
        <v>0.16465973242523951</v>
      </c>
      <c r="N740" s="1">
        <f t="shared" si="233"/>
        <v>0.16472375200609818</v>
      </c>
      <c r="O740" s="1">
        <f t="shared" si="234"/>
        <v>0.16431230400488667</v>
      </c>
      <c r="P740" s="1">
        <f t="shared" si="235"/>
        <v>0.16437833544368724</v>
      </c>
      <c r="Q740" s="1">
        <f t="shared" si="236"/>
        <v>2.4973662892320574</v>
      </c>
      <c r="T740">
        <v>6.9336177941457744E-2</v>
      </c>
      <c r="U740">
        <f t="shared" si="243"/>
        <v>14.422485197328367</v>
      </c>
      <c r="V740" s="15">
        <f t="shared" si="237"/>
        <v>9.7533181540737021E-2</v>
      </c>
      <c r="W740" s="15">
        <f t="shared" si="238"/>
        <v>0.10064336919723899</v>
      </c>
      <c r="X740" s="15">
        <f t="shared" si="239"/>
        <v>0.10686374451024307</v>
      </c>
      <c r="Y740" s="15">
        <f t="shared" si="240"/>
        <v>0.13949728701341804</v>
      </c>
      <c r="Z740" s="15">
        <f t="shared" si="241"/>
        <v>0.14196412011485365</v>
      </c>
      <c r="AA740" s="15">
        <f t="shared" si="242"/>
        <v>0.14689778631772471</v>
      </c>
      <c r="AC740" s="1"/>
      <c r="AD740" s="1"/>
      <c r="AE740" s="1"/>
    </row>
    <row r="741" spans="1:31">
      <c r="A741">
        <v>973</v>
      </c>
      <c r="B741">
        <f t="shared" si="222"/>
        <v>0.69716823198808109</v>
      </c>
      <c r="C741">
        <v>0.67996330805527494</v>
      </c>
      <c r="D741">
        <f t="shared" si="223"/>
        <v>1.4706675906675672</v>
      </c>
      <c r="E741" s="1">
        <f t="shared" si="224"/>
        <v>8.8899081095756949E-2</v>
      </c>
      <c r="F741" s="1">
        <f t="shared" si="225"/>
        <v>0.10312293407107806</v>
      </c>
      <c r="G741" s="1">
        <f t="shared" si="226"/>
        <v>3.2003669194472513E-2</v>
      </c>
      <c r="H741" s="1">
        <f t="shared" si="227"/>
        <v>3.1011773054458389E-2</v>
      </c>
      <c r="I741" s="1">
        <f t="shared" si="228"/>
        <v>0.11397258912271011</v>
      </c>
      <c r="J741" s="1">
        <f t="shared" si="229"/>
        <v>0.1234764276328536</v>
      </c>
      <c r="K741" s="1">
        <f t="shared" si="230"/>
        <v>7.5926884933948224E-2</v>
      </c>
      <c r="L741" s="1">
        <f t="shared" si="231"/>
        <v>7.5287559120041037E-2</v>
      </c>
      <c r="M741" s="1">
        <f t="shared" si="232"/>
        <v>0.16411960517661617</v>
      </c>
      <c r="N741" s="1">
        <f t="shared" si="233"/>
        <v>0.16418341475640441</v>
      </c>
      <c r="O741" s="1">
        <f t="shared" si="234"/>
        <v>0.16377331641289955</v>
      </c>
      <c r="P741" s="1">
        <f t="shared" si="235"/>
        <v>0.1638391312512063</v>
      </c>
      <c r="Q741" s="1">
        <f t="shared" si="236"/>
        <v>2.489174270681195</v>
      </c>
      <c r="T741">
        <v>0.24941336743520748</v>
      </c>
      <c r="U741">
        <f t="shared" si="243"/>
        <v>4.0094081976571667</v>
      </c>
      <c r="V741" s="15">
        <f t="shared" si="237"/>
        <v>7.4271497458744104E-2</v>
      </c>
      <c r="W741" s="15">
        <f t="shared" si="238"/>
        <v>7.8721927450259452E-2</v>
      </c>
      <c r="X741" s="15">
        <f t="shared" si="239"/>
        <v>8.7622787433290203E-2</v>
      </c>
      <c r="Y741" s="15">
        <f t="shared" si="240"/>
        <v>0.10509661652010588</v>
      </c>
      <c r="Z741" s="15">
        <f t="shared" si="241"/>
        <v>0.10896135424242742</v>
      </c>
      <c r="AA741" s="15">
        <f t="shared" si="242"/>
        <v>0.11669082968707063</v>
      </c>
      <c r="AC741" s="1"/>
      <c r="AD741" s="1"/>
      <c r="AE741" s="1"/>
    </row>
    <row r="742" spans="1:31">
      <c r="A742">
        <v>199</v>
      </c>
      <c r="B742">
        <f t="shared" si="222"/>
        <v>0.69809115445345393</v>
      </c>
      <c r="C742">
        <v>0.68144895855032306</v>
      </c>
      <c r="D742">
        <f t="shared" si="223"/>
        <v>1.467461337276595</v>
      </c>
      <c r="E742" s="1">
        <f t="shared" si="224"/>
        <v>8.8486400402688015E-2</v>
      </c>
      <c r="F742" s="1">
        <f t="shared" si="225"/>
        <v>0.10264422446711813</v>
      </c>
      <c r="G742" s="1">
        <f t="shared" si="226"/>
        <v>3.18551041449677E-2</v>
      </c>
      <c r="H742" s="1">
        <f t="shared" si="227"/>
        <v>3.0867812511338431E-2</v>
      </c>
      <c r="I742" s="1">
        <f t="shared" si="228"/>
        <v>0.11344351405815059</v>
      </c>
      <c r="J742" s="1">
        <f t="shared" si="229"/>
        <v>0.12290323455700713</v>
      </c>
      <c r="K742" s="1">
        <f t="shared" si="230"/>
        <v>7.5574422803733915E-2</v>
      </c>
      <c r="L742" s="1">
        <f t="shared" si="231"/>
        <v>7.4938064820503136E-2</v>
      </c>
      <c r="M742" s="1">
        <f t="shared" si="232"/>
        <v>0.16335774136907549</v>
      </c>
      <c r="N742" s="1">
        <f t="shared" si="233"/>
        <v>0.16342125473678498</v>
      </c>
      <c r="O742" s="1">
        <f t="shared" si="234"/>
        <v>0.16301306012126626</v>
      </c>
      <c r="P742" s="1">
        <f t="shared" si="235"/>
        <v>0.16307856943883248</v>
      </c>
      <c r="Q742" s="1">
        <f t="shared" si="236"/>
        <v>2.4776192112752655</v>
      </c>
      <c r="T742">
        <v>1.4446983713913841E-2</v>
      </c>
      <c r="U742">
        <f t="shared" si="243"/>
        <v>69.218600906769439</v>
      </c>
      <c r="V742" s="15">
        <f t="shared" si="237"/>
        <v>0.10304197639427203</v>
      </c>
      <c r="W742" s="15">
        <f t="shared" si="238"/>
        <v>0.1057753682453844</v>
      </c>
      <c r="X742" s="15">
        <f t="shared" si="239"/>
        <v>0.11124215194760896</v>
      </c>
      <c r="Y742" s="15">
        <f t="shared" si="240"/>
        <v>0.14763297309330198</v>
      </c>
      <c r="Z742" s="15">
        <f t="shared" si="241"/>
        <v>0.14970192057754048</v>
      </c>
      <c r="AA742" s="15">
        <f t="shared" si="242"/>
        <v>0.15383981554601778</v>
      </c>
      <c r="AC742" s="1"/>
      <c r="AD742" s="1"/>
      <c r="AE742" s="1"/>
    </row>
    <row r="743" spans="1:31">
      <c r="A743">
        <v>820</v>
      </c>
      <c r="B743">
        <f t="shared" si="222"/>
        <v>0.69869948874753063</v>
      </c>
      <c r="C743">
        <v>0.68288196588144201</v>
      </c>
      <c r="D743">
        <f t="shared" si="223"/>
        <v>1.4643819136579954</v>
      </c>
      <c r="E743" s="1">
        <f t="shared" si="224"/>
        <v>8.808834281071054E-2</v>
      </c>
      <c r="F743" s="1">
        <f t="shared" si="225"/>
        <v>0.10218247766042424</v>
      </c>
      <c r="G743" s="1">
        <f t="shared" si="226"/>
        <v>3.1711803411855803E-2</v>
      </c>
      <c r="H743" s="1">
        <f t="shared" si="227"/>
        <v>3.0728953126597285E-2</v>
      </c>
      <c r="I743" s="1">
        <f t="shared" si="228"/>
        <v>0.11293318646175216</v>
      </c>
      <c r="J743" s="1">
        <f t="shared" si="229"/>
        <v>0.12235035224547264</v>
      </c>
      <c r="K743" s="1">
        <f t="shared" si="230"/>
        <v>7.5234449964750288E-2</v>
      </c>
      <c r="L743" s="1">
        <f t="shared" si="231"/>
        <v>7.460095464883662E-2</v>
      </c>
      <c r="M743" s="1">
        <f t="shared" si="232"/>
        <v>0.16262287376383522</v>
      </c>
      <c r="N743" s="1">
        <f t="shared" si="233"/>
        <v>0.16268610141556922</v>
      </c>
      <c r="O743" s="1">
        <f t="shared" si="234"/>
        <v>0.16227974307053916</v>
      </c>
      <c r="P743" s="1">
        <f t="shared" si="235"/>
        <v>0.16234495769331519</v>
      </c>
      <c r="Q743" s="1">
        <f t="shared" si="236"/>
        <v>2.4664735986998956</v>
      </c>
      <c r="T743">
        <v>0.63092128641992484</v>
      </c>
      <c r="U743">
        <f t="shared" si="243"/>
        <v>1.5849837713898687</v>
      </c>
      <c r="V743" s="15">
        <f t="shared" si="237"/>
        <v>0</v>
      </c>
      <c r="W743" s="15">
        <f t="shared" si="238"/>
        <v>0</v>
      </c>
      <c r="X743" s="15">
        <f t="shared" si="239"/>
        <v>0</v>
      </c>
      <c r="Y743" s="15">
        <f t="shared" si="240"/>
        <v>0</v>
      </c>
      <c r="Z743" s="15">
        <f t="shared" si="241"/>
        <v>0</v>
      </c>
      <c r="AA743" s="15">
        <f t="shared" si="242"/>
        <v>0</v>
      </c>
      <c r="AC743" s="1"/>
      <c r="AD743" s="1"/>
      <c r="AE743" s="1"/>
    </row>
    <row r="744" spans="1:31">
      <c r="A744">
        <v>119</v>
      </c>
      <c r="B744">
        <f t="shared" si="222"/>
        <v>0.6989037272161388</v>
      </c>
      <c r="C744">
        <v>0.68409483677840877</v>
      </c>
      <c r="D744">
        <f t="shared" si="223"/>
        <v>1.4617856271350851</v>
      </c>
      <c r="E744" s="1">
        <f t="shared" si="224"/>
        <v>8.7751434228219766E-2</v>
      </c>
      <c r="F744" s="1">
        <f t="shared" si="225"/>
        <v>0.10179166370473494</v>
      </c>
      <c r="G744" s="1">
        <f t="shared" si="226"/>
        <v>3.1590516322159132E-2</v>
      </c>
      <c r="H744" s="1">
        <f t="shared" si="227"/>
        <v>3.0611425112004549E-2</v>
      </c>
      <c r="I744" s="1">
        <f t="shared" si="228"/>
        <v>0.11250125462431534</v>
      </c>
      <c r="J744" s="1">
        <f t="shared" si="229"/>
        <v>0.12188240288433133</v>
      </c>
      <c r="K744" s="1">
        <f t="shared" si="230"/>
        <v>7.4946703242728702E-2</v>
      </c>
      <c r="L744" s="1">
        <f t="shared" si="231"/>
        <v>7.431563083547793E-2</v>
      </c>
      <c r="M744" s="1">
        <f t="shared" si="232"/>
        <v>0.16200089541650631</v>
      </c>
      <c r="N744" s="1">
        <f t="shared" si="233"/>
        <v>0.16206388124352389</v>
      </c>
      <c r="O744" s="1">
        <f t="shared" si="234"/>
        <v>0.16165907708386773</v>
      </c>
      <c r="P744" s="1">
        <f t="shared" si="235"/>
        <v>0.16172404228242465</v>
      </c>
      <c r="Q744" s="1">
        <f t="shared" si="236"/>
        <v>2.4570401583901544</v>
      </c>
      <c r="T744">
        <v>0.92887962445859584</v>
      </c>
      <c r="U744">
        <f t="shared" si="243"/>
        <v>1.0765657612339781</v>
      </c>
      <c r="V744" s="15">
        <f t="shared" si="237"/>
        <v>0</v>
      </c>
      <c r="W744" s="15">
        <f t="shared" si="238"/>
        <v>0</v>
      </c>
      <c r="X744" s="15">
        <f t="shared" si="239"/>
        <v>0</v>
      </c>
      <c r="Y744" s="15">
        <f t="shared" si="240"/>
        <v>0</v>
      </c>
      <c r="Z744" s="15">
        <f t="shared" si="241"/>
        <v>0</v>
      </c>
      <c r="AA744" s="15">
        <f t="shared" si="242"/>
        <v>0</v>
      </c>
      <c r="AC744" s="1"/>
      <c r="AD744" s="1"/>
      <c r="AE744" s="1"/>
    </row>
    <row r="745" spans="1:31">
      <c r="A745">
        <v>955</v>
      </c>
      <c r="B745">
        <f t="shared" si="222"/>
        <v>0.70125845633868666</v>
      </c>
      <c r="C745">
        <v>0.68824747994126656</v>
      </c>
      <c r="D745">
        <f t="shared" si="223"/>
        <v>1.4529657269291238</v>
      </c>
      <c r="E745" s="1">
        <f t="shared" si="224"/>
        <v>8.6597922238537045E-2</v>
      </c>
      <c r="F745" s="1">
        <f t="shared" si="225"/>
        <v>0.10045358979670299</v>
      </c>
      <c r="G745" s="1">
        <f t="shared" si="226"/>
        <v>3.1175252005873351E-2</v>
      </c>
      <c r="H745" s="1">
        <f t="shared" si="227"/>
        <v>3.0209031165984959E-2</v>
      </c>
      <c r="I745" s="1">
        <f t="shared" si="228"/>
        <v>0.11102240077759654</v>
      </c>
      <c r="J745" s="1">
        <f t="shared" si="229"/>
        <v>0.12028023177117586</v>
      </c>
      <c r="K745" s="1">
        <f t="shared" si="230"/>
        <v>7.3961512270774438E-2</v>
      </c>
      <c r="L745" s="1">
        <f t="shared" si="231"/>
        <v>7.3338735449738596E-2</v>
      </c>
      <c r="M745" s="1">
        <f t="shared" si="232"/>
        <v>0.15987135785571527</v>
      </c>
      <c r="N745" s="1">
        <f t="shared" si="233"/>
        <v>0.15993351572012138</v>
      </c>
      <c r="O745" s="1">
        <f t="shared" si="234"/>
        <v>0.15953403280057654</v>
      </c>
      <c r="P745" s="1">
        <f t="shared" si="235"/>
        <v>0.15959814401724576</v>
      </c>
      <c r="Q745" s="1">
        <f t="shared" si="236"/>
        <v>2.4247418226790387</v>
      </c>
      <c r="T745">
        <v>0.28617894368023644</v>
      </c>
      <c r="U745">
        <f t="shared" si="243"/>
        <v>3.4943171819005499</v>
      </c>
      <c r="V745" s="15">
        <f t="shared" si="237"/>
        <v>7.1866346361921046E-2</v>
      </c>
      <c r="W745" s="15">
        <f t="shared" si="238"/>
        <v>7.6412619401517695E-2</v>
      </c>
      <c r="X745" s="15">
        <f t="shared" si="239"/>
        <v>8.5505165480711048E-2</v>
      </c>
      <c r="Y745" s="15">
        <f t="shared" si="240"/>
        <v>0.10153689151169636</v>
      </c>
      <c r="Z745" s="15">
        <f t="shared" si="241"/>
        <v>0.10549739290269576</v>
      </c>
      <c r="AA745" s="15">
        <f t="shared" si="242"/>
        <v>0.11341839568469464</v>
      </c>
      <c r="AC745" s="1"/>
      <c r="AD745" s="1"/>
      <c r="AE745" s="1"/>
    </row>
    <row r="746" spans="1:31">
      <c r="A746">
        <v>182</v>
      </c>
      <c r="B746">
        <f t="shared" si="222"/>
        <v>0.70156810023423533</v>
      </c>
      <c r="C746">
        <v>0.68883585268775693</v>
      </c>
      <c r="D746">
        <f t="shared" si="223"/>
        <v>1.4517246686538121</v>
      </c>
      <c r="E746" s="1">
        <f t="shared" si="224"/>
        <v>8.6434485364511954E-2</v>
      </c>
      <c r="F746" s="1">
        <f t="shared" si="225"/>
        <v>0.10026400302283386</v>
      </c>
      <c r="G746" s="1">
        <f t="shared" si="226"/>
        <v>3.1116414731224312E-2</v>
      </c>
      <c r="H746" s="1">
        <f t="shared" si="227"/>
        <v>3.0152017446793231E-2</v>
      </c>
      <c r="I746" s="1">
        <f t="shared" si="228"/>
        <v>0.11081286741165883</v>
      </c>
      <c r="J746" s="1">
        <f t="shared" si="229"/>
        <v>0.12005322603501575</v>
      </c>
      <c r="K746" s="1">
        <f t="shared" si="230"/>
        <v>7.3821924183078674E-2</v>
      </c>
      <c r="L746" s="1">
        <f t="shared" si="231"/>
        <v>7.3200322733162737E-2</v>
      </c>
      <c r="M746" s="1">
        <f t="shared" si="232"/>
        <v>0.15956963150595233</v>
      </c>
      <c r="N746" s="1">
        <f t="shared" si="233"/>
        <v>0.15963167205937923</v>
      </c>
      <c r="O746" s="1">
        <f t="shared" si="234"/>
        <v>0.15923294308678726</v>
      </c>
      <c r="P746" s="1">
        <f t="shared" si="235"/>
        <v>0.15929693330590172</v>
      </c>
      <c r="Q746" s="1">
        <f t="shared" si="236"/>
        <v>2.4201655902063353</v>
      </c>
      <c r="T746">
        <v>0.98982369527545522</v>
      </c>
      <c r="U746">
        <f t="shared" si="243"/>
        <v>1.0102809265661323</v>
      </c>
      <c r="V746" s="15">
        <f t="shared" si="237"/>
        <v>0</v>
      </c>
      <c r="W746" s="15">
        <f t="shared" si="238"/>
        <v>0</v>
      </c>
      <c r="X746" s="15">
        <f t="shared" si="239"/>
        <v>0</v>
      </c>
      <c r="Y746" s="15">
        <f t="shared" si="240"/>
        <v>0</v>
      </c>
      <c r="Z746" s="15">
        <f t="shared" si="241"/>
        <v>0</v>
      </c>
      <c r="AA746" s="15">
        <f t="shared" si="242"/>
        <v>0</v>
      </c>
      <c r="AC746" s="1"/>
      <c r="AD746" s="1"/>
      <c r="AE746" s="1"/>
    </row>
    <row r="747" spans="1:31">
      <c r="A747">
        <v>105</v>
      </c>
      <c r="B747">
        <f t="shared" si="222"/>
        <v>0.70286906529872117</v>
      </c>
      <c r="C747">
        <v>0.6915162259774329</v>
      </c>
      <c r="D747">
        <f t="shared" si="223"/>
        <v>1.4460976654402238</v>
      </c>
      <c r="E747" s="1">
        <f t="shared" si="224"/>
        <v>8.5689937228490859E-2</v>
      </c>
      <c r="F747" s="1">
        <f t="shared" si="225"/>
        <v>9.9400327185049403E-2</v>
      </c>
      <c r="G747" s="1">
        <f t="shared" si="226"/>
        <v>3.0848377402256717E-2</v>
      </c>
      <c r="H747" s="1">
        <f t="shared" si="227"/>
        <v>2.9892287452536762E-2</v>
      </c>
      <c r="I747" s="1">
        <f t="shared" si="228"/>
        <v>0.10985832347551389</v>
      </c>
      <c r="J747" s="1">
        <f t="shared" si="229"/>
        <v>0.11901908549156559</v>
      </c>
      <c r="K747" s="1">
        <f t="shared" si="230"/>
        <v>7.3186020864904111E-2</v>
      </c>
      <c r="L747" s="1">
        <f t="shared" si="231"/>
        <v>7.2569773900514806E-2</v>
      </c>
      <c r="M747" s="1">
        <f t="shared" si="232"/>
        <v>0.15819509596955972</v>
      </c>
      <c r="N747" s="1">
        <f t="shared" si="233"/>
        <v>0.15825660210459774</v>
      </c>
      <c r="O747" s="1">
        <f t="shared" si="234"/>
        <v>0.15786130779019886</v>
      </c>
      <c r="P747" s="1">
        <f t="shared" si="235"/>
        <v>0.15792474679647078</v>
      </c>
      <c r="Q747" s="1">
        <f t="shared" si="236"/>
        <v>2.3993182423977446</v>
      </c>
      <c r="T747">
        <v>0.49107351084655826</v>
      </c>
      <c r="U747">
        <f t="shared" si="243"/>
        <v>2.0363550016699268</v>
      </c>
      <c r="V747" s="15">
        <f t="shared" si="237"/>
        <v>5.8462438595895033E-2</v>
      </c>
      <c r="W747" s="15">
        <f t="shared" si="238"/>
        <v>6.3542844970479934E-2</v>
      </c>
      <c r="X747" s="15">
        <f t="shared" si="239"/>
        <v>7.370365771964954E-2</v>
      </c>
      <c r="Y747" s="15">
        <f t="shared" si="240"/>
        <v>8.1698542998722423E-2</v>
      </c>
      <c r="Z747" s="15">
        <f t="shared" si="241"/>
        <v>8.6192735343271362E-2</v>
      </c>
      <c r="AA747" s="15">
        <f t="shared" si="242"/>
        <v>9.5181120032369185E-2</v>
      </c>
      <c r="AC747" s="1"/>
      <c r="AD747" s="1"/>
      <c r="AE747" s="1"/>
    </row>
    <row r="748" spans="1:31">
      <c r="A748">
        <v>384</v>
      </c>
      <c r="B748">
        <f t="shared" si="222"/>
        <v>0.70317969898188848</v>
      </c>
      <c r="C748">
        <v>0.69231349384129659</v>
      </c>
      <c r="D748">
        <f t="shared" si="223"/>
        <v>1.4444323401115684</v>
      </c>
      <c r="E748" s="1">
        <f t="shared" si="224"/>
        <v>8.546847393297316E-2</v>
      </c>
      <c r="F748" s="1">
        <f t="shared" si="225"/>
        <v>9.914342976224888E-2</v>
      </c>
      <c r="G748" s="1">
        <f t="shared" si="226"/>
        <v>3.0768650615870349E-2</v>
      </c>
      <c r="H748" s="1">
        <f t="shared" si="227"/>
        <v>2.9815031654435886E-2</v>
      </c>
      <c r="I748" s="1">
        <f t="shared" si="228"/>
        <v>0.10957439764776983</v>
      </c>
      <c r="J748" s="1">
        <f t="shared" si="229"/>
        <v>0.11871148392532591</v>
      </c>
      <c r="K748" s="1">
        <f t="shared" si="230"/>
        <v>7.2996873598716372E-2</v>
      </c>
      <c r="L748" s="1">
        <f t="shared" si="231"/>
        <v>7.2382219307726064E-2</v>
      </c>
      <c r="M748" s="1">
        <f t="shared" si="232"/>
        <v>0.15778624507736294</v>
      </c>
      <c r="N748" s="1">
        <f t="shared" si="233"/>
        <v>0.15784759225147971</v>
      </c>
      <c r="O748" s="1">
        <f t="shared" si="234"/>
        <v>0.15745331956440833</v>
      </c>
      <c r="P748" s="1">
        <f t="shared" si="235"/>
        <v>0.15751659461430634</v>
      </c>
      <c r="Q748" s="1">
        <f t="shared" si="236"/>
        <v>2.3931172701232493</v>
      </c>
      <c r="T748">
        <v>0.81548989090543478</v>
      </c>
      <c r="U748">
        <f t="shared" si="243"/>
        <v>1.2262567705035614</v>
      </c>
      <c r="V748" s="15">
        <f t="shared" si="237"/>
        <v>0</v>
      </c>
      <c r="W748" s="15">
        <f t="shared" si="238"/>
        <v>0</v>
      </c>
      <c r="X748" s="15">
        <f t="shared" si="239"/>
        <v>0</v>
      </c>
      <c r="Y748" s="15">
        <f t="shared" si="240"/>
        <v>0</v>
      </c>
      <c r="Z748" s="15">
        <f t="shared" si="241"/>
        <v>0</v>
      </c>
      <c r="AA748" s="15">
        <f t="shared" si="242"/>
        <v>0</v>
      </c>
      <c r="AC748" s="1"/>
      <c r="AD748" s="1"/>
      <c r="AE748" s="1"/>
    </row>
    <row r="749" spans="1:31">
      <c r="A749">
        <v>707</v>
      </c>
      <c r="B749">
        <f t="shared" si="222"/>
        <v>0.70440574980172499</v>
      </c>
      <c r="C749">
        <v>0.69313661579686059</v>
      </c>
      <c r="D749">
        <f t="shared" si="223"/>
        <v>1.4427170303942978</v>
      </c>
      <c r="E749" s="1">
        <f t="shared" si="224"/>
        <v>8.5239828945316481E-2</v>
      </c>
      <c r="F749" s="1">
        <f t="shared" si="225"/>
        <v>9.8878201576567126E-2</v>
      </c>
      <c r="G749" s="1">
        <f t="shared" si="226"/>
        <v>3.0686338420313951E-2</v>
      </c>
      <c r="H749" s="1">
        <f t="shared" si="227"/>
        <v>2.9735270577270073E-2</v>
      </c>
      <c r="I749" s="1">
        <f t="shared" si="228"/>
        <v>0.10928126457021764</v>
      </c>
      <c r="J749" s="1">
        <f t="shared" si="229"/>
        <v>0.11839390734383579</v>
      </c>
      <c r="K749" s="1">
        <f t="shared" si="230"/>
        <v>7.2801592596319603E-2</v>
      </c>
      <c r="L749" s="1">
        <f t="shared" si="231"/>
        <v>7.2188582626519421E-2</v>
      </c>
      <c r="M749" s="1">
        <f t="shared" si="232"/>
        <v>0.15736413582001968</v>
      </c>
      <c r="N749" s="1">
        <f t="shared" si="233"/>
        <v>0.15742531887837286</v>
      </c>
      <c r="O749" s="1">
        <f t="shared" si="234"/>
        <v>0.15703210094833081</v>
      </c>
      <c r="P749" s="1">
        <f t="shared" si="235"/>
        <v>0.15709520672501803</v>
      </c>
      <c r="Q749" s="1">
        <f t="shared" si="236"/>
        <v>2.3867152104688625</v>
      </c>
      <c r="T749">
        <v>0.86650094337472561</v>
      </c>
      <c r="U749">
        <f t="shared" si="243"/>
        <v>1.1540668335632054</v>
      </c>
      <c r="V749" s="15">
        <f t="shared" si="237"/>
        <v>0</v>
      </c>
      <c r="W749" s="15">
        <f t="shared" si="238"/>
        <v>0</v>
      </c>
      <c r="X749" s="15">
        <f t="shared" si="239"/>
        <v>0</v>
      </c>
      <c r="Y749" s="15">
        <f t="shared" si="240"/>
        <v>0</v>
      </c>
      <c r="Z749" s="15">
        <f t="shared" si="241"/>
        <v>0</v>
      </c>
      <c r="AA749" s="15">
        <f t="shared" si="242"/>
        <v>0</v>
      </c>
      <c r="AC749" s="1"/>
      <c r="AD749" s="1"/>
      <c r="AE749" s="1"/>
    </row>
    <row r="750" spans="1:31">
      <c r="A750">
        <v>785</v>
      </c>
      <c r="B750">
        <f t="shared" si="222"/>
        <v>0.70463797952112461</v>
      </c>
      <c r="C750">
        <v>0.69322909738575822</v>
      </c>
      <c r="D750">
        <f t="shared" si="223"/>
        <v>1.4425245618960716</v>
      </c>
      <c r="E750" s="1">
        <f t="shared" si="224"/>
        <v>8.5214139615067158E-2</v>
      </c>
      <c r="F750" s="1">
        <f t="shared" si="225"/>
        <v>9.884840195347791E-2</v>
      </c>
      <c r="G750" s="1">
        <f t="shared" si="226"/>
        <v>3.0677090261424185E-2</v>
      </c>
      <c r="H750" s="1">
        <f t="shared" si="227"/>
        <v>2.9726309048424174E-2</v>
      </c>
      <c r="I750" s="1">
        <f t="shared" si="228"/>
        <v>0.10924832970244108</v>
      </c>
      <c r="J750" s="1">
        <f t="shared" si="229"/>
        <v>0.11835822613444227</v>
      </c>
      <c r="K750" s="1">
        <f t="shared" si="230"/>
        <v>7.2779651865348821E-2</v>
      </c>
      <c r="L750" s="1">
        <f t="shared" si="231"/>
        <v>7.2166826642699772E-2</v>
      </c>
      <c r="M750" s="1">
        <f t="shared" si="232"/>
        <v>0.15731670987718871</v>
      </c>
      <c r="N750" s="1">
        <f t="shared" si="233"/>
        <v>0.15737787449637075</v>
      </c>
      <c r="O750" s="1">
        <f t="shared" si="234"/>
        <v>0.15698477507319802</v>
      </c>
      <c r="P750" s="1">
        <f t="shared" si="235"/>
        <v>0.15704786183125086</v>
      </c>
      <c r="Q750" s="1">
        <f t="shared" si="236"/>
        <v>2.3859959092218812</v>
      </c>
      <c r="T750">
        <v>0.57419316527060704</v>
      </c>
      <c r="U750">
        <f t="shared" si="243"/>
        <v>1.7415741957303128</v>
      </c>
      <c r="V750" s="15">
        <f t="shared" si="237"/>
        <v>0</v>
      </c>
      <c r="W750" s="15">
        <f t="shared" si="238"/>
        <v>0</v>
      </c>
      <c r="X750" s="15">
        <f t="shared" si="239"/>
        <v>0</v>
      </c>
      <c r="Y750" s="15">
        <f t="shared" si="240"/>
        <v>0</v>
      </c>
      <c r="Z750" s="15">
        <f t="shared" si="241"/>
        <v>0</v>
      </c>
      <c r="AA750" s="15">
        <f t="shared" si="242"/>
        <v>0</v>
      </c>
      <c r="AC750" s="1"/>
      <c r="AD750" s="1"/>
      <c r="AE750" s="1"/>
    </row>
    <row r="751" spans="1:31">
      <c r="A751">
        <v>794</v>
      </c>
      <c r="B751">
        <f t="shared" si="222"/>
        <v>0.70592039751685498</v>
      </c>
      <c r="C751">
        <v>0.69401012872903634</v>
      </c>
      <c r="D751">
        <f t="shared" si="223"/>
        <v>1.4409011606665352</v>
      </c>
      <c r="E751" s="1">
        <f t="shared" si="224"/>
        <v>8.4997186464156549E-2</v>
      </c>
      <c r="F751" s="1">
        <f t="shared" si="225"/>
        <v>9.8596736298421611E-2</v>
      </c>
      <c r="G751" s="1">
        <f t="shared" si="226"/>
        <v>3.0598987127096376E-2</v>
      </c>
      <c r="H751" s="1">
        <f t="shared" si="227"/>
        <v>2.9650626580207867E-2</v>
      </c>
      <c r="I751" s="1">
        <f t="shared" si="228"/>
        <v>0.10897018608135037</v>
      </c>
      <c r="J751" s="1">
        <f t="shared" si="229"/>
        <v>0.11805688893603775</v>
      </c>
      <c r="K751" s="1">
        <f t="shared" si="230"/>
        <v>7.2594356621323713E-2</v>
      </c>
      <c r="L751" s="1">
        <f t="shared" si="231"/>
        <v>7.1983091636959207E-2</v>
      </c>
      <c r="M751" s="1">
        <f t="shared" si="232"/>
        <v>0.15691618531573781</v>
      </c>
      <c r="N751" s="1">
        <f t="shared" si="233"/>
        <v>0.15697719421126977</v>
      </c>
      <c r="O751" s="1">
        <f t="shared" si="234"/>
        <v>0.15658509560977829</v>
      </c>
      <c r="P751" s="1">
        <f t="shared" si="235"/>
        <v>0.15664802175046177</v>
      </c>
      <c r="Q751" s="1">
        <f t="shared" si="236"/>
        <v>2.3799212209963843</v>
      </c>
      <c r="T751">
        <v>0.82212841647341639</v>
      </c>
      <c r="U751">
        <f t="shared" si="243"/>
        <v>1.216354987812704</v>
      </c>
      <c r="V751" s="15">
        <f t="shared" si="237"/>
        <v>0</v>
      </c>
      <c r="W751" s="15">
        <f t="shared" si="238"/>
        <v>0</v>
      </c>
      <c r="X751" s="15">
        <f t="shared" si="239"/>
        <v>0</v>
      </c>
      <c r="Y751" s="15">
        <f t="shared" si="240"/>
        <v>0</v>
      </c>
      <c r="Z751" s="15">
        <f t="shared" si="241"/>
        <v>0</v>
      </c>
      <c r="AA751" s="15">
        <f t="shared" si="242"/>
        <v>0</v>
      </c>
      <c r="AC751" s="1"/>
      <c r="AD751" s="1"/>
      <c r="AE751" s="1"/>
    </row>
    <row r="752" spans="1:31">
      <c r="A752">
        <v>718</v>
      </c>
      <c r="B752">
        <f t="shared" si="222"/>
        <v>0.70599287719926718</v>
      </c>
      <c r="C752">
        <v>0.69420823078687977</v>
      </c>
      <c r="D752">
        <f t="shared" si="223"/>
        <v>1.4404899793056438</v>
      </c>
      <c r="E752" s="1">
        <f t="shared" si="224"/>
        <v>8.4942158114755612E-2</v>
      </c>
      <c r="F752" s="1">
        <f t="shared" si="225"/>
        <v>9.8532903413116518E-2</v>
      </c>
      <c r="G752" s="1">
        <f t="shared" si="226"/>
        <v>3.0579176921312033E-2</v>
      </c>
      <c r="H752" s="1">
        <f t="shared" si="227"/>
        <v>2.9631430356105777E-2</v>
      </c>
      <c r="I752" s="1">
        <f t="shared" si="228"/>
        <v>0.1088996372817557</v>
      </c>
      <c r="J752" s="1">
        <f t="shared" si="229"/>
        <v>0.11798045727984049</v>
      </c>
      <c r="K752" s="1">
        <f t="shared" si="230"/>
        <v>7.254735803481896E-2</v>
      </c>
      <c r="L752" s="1">
        <f t="shared" si="231"/>
        <v>7.1936488791825848E-2</v>
      </c>
      <c r="M752" s="1">
        <f t="shared" si="232"/>
        <v>0.15681459561575567</v>
      </c>
      <c r="N752" s="1">
        <f t="shared" si="233"/>
        <v>0.15687556501328825</v>
      </c>
      <c r="O752" s="1">
        <f t="shared" si="234"/>
        <v>0.15648372026183277</v>
      </c>
      <c r="P752" s="1">
        <f t="shared" si="235"/>
        <v>0.15654660566326595</v>
      </c>
      <c r="Q752" s="1">
        <f t="shared" si="236"/>
        <v>2.3783804272131581</v>
      </c>
      <c r="T752">
        <v>0.52679441677362426</v>
      </c>
      <c r="U752">
        <f t="shared" si="243"/>
        <v>1.8982737253073871</v>
      </c>
      <c r="V752" s="15">
        <f t="shared" si="237"/>
        <v>0</v>
      </c>
      <c r="W752" s="15">
        <f t="shared" si="238"/>
        <v>0</v>
      </c>
      <c r="X752" s="15">
        <f t="shared" si="239"/>
        <v>0</v>
      </c>
      <c r="Y752" s="15">
        <f t="shared" si="240"/>
        <v>0</v>
      </c>
      <c r="Z752" s="15">
        <f t="shared" si="241"/>
        <v>0</v>
      </c>
      <c r="AA752" s="15">
        <f t="shared" si="242"/>
        <v>0</v>
      </c>
      <c r="AC752" s="1"/>
      <c r="AD752" s="1"/>
      <c r="AE752" s="1"/>
    </row>
    <row r="753" spans="1:31">
      <c r="A753">
        <v>836</v>
      </c>
      <c r="B753">
        <f t="shared" si="222"/>
        <v>0.70768648488134411</v>
      </c>
      <c r="C753">
        <v>0.69614910339732827</v>
      </c>
      <c r="D753">
        <f t="shared" si="223"/>
        <v>1.4364738748061683</v>
      </c>
      <c r="E753" s="1">
        <f t="shared" si="224"/>
        <v>8.4403026834075467E-2</v>
      </c>
      <c r="F753" s="1">
        <f t="shared" si="225"/>
        <v>9.7907511127527547E-2</v>
      </c>
      <c r="G753" s="1">
        <f t="shared" si="226"/>
        <v>3.0385089660267178E-2</v>
      </c>
      <c r="H753" s="1">
        <f t="shared" si="227"/>
        <v>2.9443358480480845E-2</v>
      </c>
      <c r="I753" s="1">
        <f t="shared" si="228"/>
        <v>0.10820844692096926</v>
      </c>
      <c r="J753" s="1">
        <f t="shared" si="229"/>
        <v>0.11723163059071193</v>
      </c>
      <c r="K753" s="1">
        <f t="shared" si="230"/>
        <v>7.208689704683191E-2</v>
      </c>
      <c r="L753" s="1">
        <f t="shared" si="231"/>
        <v>7.1479905015397971E-2</v>
      </c>
      <c r="M753" s="1">
        <f t="shared" si="232"/>
        <v>0.15581928709475668</v>
      </c>
      <c r="N753" s="1">
        <f t="shared" si="233"/>
        <v>0.15587986951708044</v>
      </c>
      <c r="O753" s="1">
        <f t="shared" si="234"/>
        <v>0.15549051181996132</v>
      </c>
      <c r="P753" s="1">
        <f t="shared" si="235"/>
        <v>0.15555299808523215</v>
      </c>
      <c r="Q753" s="1">
        <f t="shared" si="236"/>
        <v>2.3632847513541142</v>
      </c>
      <c r="T753">
        <v>0.36316038265273265</v>
      </c>
      <c r="U753">
        <f t="shared" si="243"/>
        <v>2.7536043240604164</v>
      </c>
      <c r="V753" s="15">
        <f t="shared" si="237"/>
        <v>6.6830331391130232E-2</v>
      </c>
      <c r="W753" s="15">
        <f t="shared" si="238"/>
        <v>7.1577284972428115E-2</v>
      </c>
      <c r="X753" s="15">
        <f t="shared" si="239"/>
        <v>8.1071192135023798E-2</v>
      </c>
      <c r="Y753" s="15">
        <f t="shared" si="240"/>
        <v>9.4083377070159541E-2</v>
      </c>
      <c r="Z753" s="15">
        <f t="shared" si="241"/>
        <v>9.824439279464782E-2</v>
      </c>
      <c r="AA753" s="15">
        <f t="shared" si="242"/>
        <v>0.10656642424362441</v>
      </c>
      <c r="AC753" s="1"/>
      <c r="AD753" s="1"/>
      <c r="AE753" s="1"/>
    </row>
    <row r="754" spans="1:31">
      <c r="A754">
        <v>651</v>
      </c>
      <c r="B754">
        <f t="shared" si="222"/>
        <v>0.70773500737933448</v>
      </c>
      <c r="C754">
        <v>0.69684210283043568</v>
      </c>
      <c r="D754">
        <f t="shared" si="223"/>
        <v>1.4350453222303827</v>
      </c>
      <c r="E754" s="1">
        <f t="shared" si="224"/>
        <v>8.4210526991545631E-2</v>
      </c>
      <c r="F754" s="1">
        <f t="shared" si="225"/>
        <v>9.7684211310192948E-2</v>
      </c>
      <c r="G754" s="1">
        <f t="shared" si="226"/>
        <v>3.0315789716956441E-2</v>
      </c>
      <c r="H754" s="1">
        <f t="shared" si="227"/>
        <v>2.9376206364216291E-2</v>
      </c>
      <c r="I754" s="1">
        <f t="shared" si="228"/>
        <v>0.10796165353246159</v>
      </c>
      <c r="J754" s="1">
        <f t="shared" si="229"/>
        <v>0.11696425782844605</v>
      </c>
      <c r="K754" s="1">
        <f t="shared" si="230"/>
        <v>7.1922486872807473E-2</v>
      </c>
      <c r="L754" s="1">
        <f t="shared" si="231"/>
        <v>7.1316879221470425E-2</v>
      </c>
      <c r="M754" s="1">
        <f t="shared" si="232"/>
        <v>0.15546390661429332</v>
      </c>
      <c r="N754" s="1">
        <f t="shared" si="233"/>
        <v>0.15552435086495203</v>
      </c>
      <c r="O754" s="1">
        <f t="shared" si="234"/>
        <v>0.15513588118450949</v>
      </c>
      <c r="P754" s="1">
        <f t="shared" si="235"/>
        <v>0.15519822493597868</v>
      </c>
      <c r="Q754" s="1">
        <f t="shared" si="236"/>
        <v>2.3578947557632786</v>
      </c>
      <c r="T754">
        <v>0.69636249788024318</v>
      </c>
      <c r="U754">
        <f t="shared" si="243"/>
        <v>1.4360336793610256</v>
      </c>
      <c r="V754" s="15">
        <f t="shared" si="237"/>
        <v>0</v>
      </c>
      <c r="W754" s="15">
        <f t="shared" si="238"/>
        <v>0</v>
      </c>
      <c r="X754" s="15">
        <f t="shared" si="239"/>
        <v>0</v>
      </c>
      <c r="Y754" s="15">
        <f t="shared" si="240"/>
        <v>0</v>
      </c>
      <c r="Z754" s="15">
        <f t="shared" si="241"/>
        <v>0</v>
      </c>
      <c r="AA754" s="15">
        <f t="shared" si="242"/>
        <v>0</v>
      </c>
      <c r="AC754" s="1"/>
      <c r="AD754" s="1"/>
      <c r="AE754" s="1"/>
    </row>
    <row r="755" spans="1:31">
      <c r="A755">
        <v>782</v>
      </c>
      <c r="B755">
        <f t="shared" si="222"/>
        <v>0.70849638940807047</v>
      </c>
      <c r="C755">
        <v>0.69799310054910046</v>
      </c>
      <c r="D755">
        <f t="shared" si="223"/>
        <v>1.4326789179052277</v>
      </c>
      <c r="E755" s="1">
        <f t="shared" si="224"/>
        <v>8.3890805403027624E-2</v>
      </c>
      <c r="F755" s="1">
        <f t="shared" si="225"/>
        <v>9.7313334267512069E-2</v>
      </c>
      <c r="G755" s="1">
        <f t="shared" si="226"/>
        <v>3.020068994508996E-2</v>
      </c>
      <c r="H755" s="1">
        <f t="shared" si="227"/>
        <v>2.9264673902670922E-2</v>
      </c>
      <c r="I755" s="1">
        <f t="shared" si="228"/>
        <v>0.10755175618827453</v>
      </c>
      <c r="J755" s="1">
        <f t="shared" si="229"/>
        <v>0.11652018035204581</v>
      </c>
      <c r="K755" s="1">
        <f t="shared" si="230"/>
        <v>7.1649419210430221E-2</v>
      </c>
      <c r="L755" s="1">
        <f t="shared" si="231"/>
        <v>7.1046110865928325E-2</v>
      </c>
      <c r="M755" s="1">
        <f t="shared" si="232"/>
        <v>0.15487365775876816</v>
      </c>
      <c r="N755" s="1">
        <f t="shared" si="233"/>
        <v>0.15493387252111307</v>
      </c>
      <c r="O755" s="1">
        <f t="shared" si="234"/>
        <v>0.15454687774111064</v>
      </c>
      <c r="P755" s="1">
        <f t="shared" si="235"/>
        <v>0.15460898479244312</v>
      </c>
      <c r="Q755" s="1">
        <f t="shared" si="236"/>
        <v>2.3489425512847744</v>
      </c>
      <c r="T755">
        <v>2.4736803050701361E-2</v>
      </c>
      <c r="U755">
        <f t="shared" si="243"/>
        <v>40.425595738882151</v>
      </c>
      <c r="V755" s="15">
        <f t="shared" si="237"/>
        <v>0.10304197639427203</v>
      </c>
      <c r="W755" s="15">
        <f t="shared" si="238"/>
        <v>0.1057753682453844</v>
      </c>
      <c r="X755" s="15">
        <f t="shared" si="239"/>
        <v>0.11124215194760896</v>
      </c>
      <c r="Y755" s="15">
        <f t="shared" si="240"/>
        <v>0.14763297309330198</v>
      </c>
      <c r="Z755" s="15">
        <f t="shared" si="241"/>
        <v>0.14970192057754048</v>
      </c>
      <c r="AA755" s="15">
        <f t="shared" si="242"/>
        <v>0.15383981554601778</v>
      </c>
      <c r="AC755" s="1"/>
      <c r="AD755" s="1"/>
      <c r="AE755" s="1"/>
    </row>
    <row r="756" spans="1:31">
      <c r="A756">
        <v>164</v>
      </c>
      <c r="B756">
        <f t="shared" si="222"/>
        <v>0.70873127112062262</v>
      </c>
      <c r="C756">
        <v>0.69812085648258271</v>
      </c>
      <c r="D756">
        <f t="shared" si="223"/>
        <v>1.4324167380393238</v>
      </c>
      <c r="E756" s="1">
        <f t="shared" si="224"/>
        <v>8.3855317643727001E-2</v>
      </c>
      <c r="F756" s="1">
        <f t="shared" si="225"/>
        <v>9.7272168466723347E-2</v>
      </c>
      <c r="G756" s="1">
        <f t="shared" si="226"/>
        <v>3.0187914351741736E-2</v>
      </c>
      <c r="H756" s="1">
        <f t="shared" si="227"/>
        <v>2.9252294265850416E-2</v>
      </c>
      <c r="I756" s="1">
        <f t="shared" si="228"/>
        <v>0.10750625929719532</v>
      </c>
      <c r="J756" s="1">
        <f t="shared" si="229"/>
        <v>0.11647088960922683</v>
      </c>
      <c r="K756" s="1">
        <f t="shared" si="230"/>
        <v>7.1619109841831924E-2</v>
      </c>
      <c r="L756" s="1">
        <f t="shared" si="231"/>
        <v>7.1016056710773379E-2</v>
      </c>
      <c r="M756" s="1">
        <f t="shared" si="232"/>
        <v>0.15480814260413173</v>
      </c>
      <c r="N756" s="1">
        <f t="shared" si="233"/>
        <v>0.15486833189423355</v>
      </c>
      <c r="O756" s="1">
        <f t="shared" si="234"/>
        <v>0.15448150082201217</v>
      </c>
      <c r="P756" s="1">
        <f t="shared" si="235"/>
        <v>0.15454358160061926</v>
      </c>
      <c r="Q756" s="1">
        <f t="shared" si="236"/>
        <v>2.3479488940243574</v>
      </c>
      <c r="T756">
        <v>0.90760089245456599</v>
      </c>
      <c r="U756">
        <f t="shared" si="243"/>
        <v>1.1018058800003432</v>
      </c>
      <c r="V756" s="15">
        <f t="shared" si="237"/>
        <v>0</v>
      </c>
      <c r="W756" s="15">
        <f t="shared" si="238"/>
        <v>0</v>
      </c>
      <c r="X756" s="15">
        <f t="shared" si="239"/>
        <v>0</v>
      </c>
      <c r="Y756" s="15">
        <f t="shared" si="240"/>
        <v>0</v>
      </c>
      <c r="Z756" s="15">
        <f t="shared" si="241"/>
        <v>0</v>
      </c>
      <c r="AA756" s="15">
        <f t="shared" si="242"/>
        <v>0</v>
      </c>
      <c r="AC756" s="1"/>
      <c r="AD756" s="1"/>
      <c r="AE756" s="1"/>
    </row>
    <row r="757" spans="1:31">
      <c r="A757">
        <v>443</v>
      </c>
      <c r="B757">
        <f t="shared" si="222"/>
        <v>0.70975287402120601</v>
      </c>
      <c r="C757">
        <v>0.69867652269769187</v>
      </c>
      <c r="D757">
        <f t="shared" si="223"/>
        <v>1.431277519013884</v>
      </c>
      <c r="E757" s="1">
        <f t="shared" si="224"/>
        <v>8.3700965917307801E-2</v>
      </c>
      <c r="F757" s="1">
        <f t="shared" si="225"/>
        <v>9.709312046407706E-2</v>
      </c>
      <c r="G757" s="1">
        <f t="shared" si="226"/>
        <v>3.0132347730230824E-2</v>
      </c>
      <c r="H757" s="1">
        <f t="shared" si="227"/>
        <v>2.9198449831787932E-2</v>
      </c>
      <c r="I757" s="1">
        <f t="shared" si="228"/>
        <v>0.10730837349591682</v>
      </c>
      <c r="J757" s="1">
        <f t="shared" si="229"/>
        <v>0.11625650269383589</v>
      </c>
      <c r="K757" s="1">
        <f t="shared" si="230"/>
        <v>7.148728119268577E-2</v>
      </c>
      <c r="L757" s="1">
        <f t="shared" si="231"/>
        <v>7.0885338096083217E-2</v>
      </c>
      <c r="M757" s="1">
        <f t="shared" si="232"/>
        <v>0.15452318865313464</v>
      </c>
      <c r="N757" s="1">
        <f t="shared" si="233"/>
        <v>0.1545832671533533</v>
      </c>
      <c r="O757" s="1">
        <f t="shared" si="234"/>
        <v>0.15419714811759555</v>
      </c>
      <c r="P757" s="1">
        <f t="shared" si="235"/>
        <v>0.15425911462467373</v>
      </c>
      <c r="Q757" s="1">
        <f t="shared" si="236"/>
        <v>2.3436270456846193</v>
      </c>
      <c r="T757">
        <v>0.62057479573922114</v>
      </c>
      <c r="U757">
        <f t="shared" si="243"/>
        <v>1.6114093045122984</v>
      </c>
      <c r="V757" s="15">
        <f t="shared" si="237"/>
        <v>0</v>
      </c>
      <c r="W757" s="15">
        <f t="shared" si="238"/>
        <v>0</v>
      </c>
      <c r="X757" s="15">
        <f t="shared" si="239"/>
        <v>0</v>
      </c>
      <c r="Y757" s="15">
        <f t="shared" si="240"/>
        <v>0</v>
      </c>
      <c r="Z757" s="15">
        <f t="shared" si="241"/>
        <v>0</v>
      </c>
      <c r="AA757" s="15">
        <f t="shared" si="242"/>
        <v>0</v>
      </c>
      <c r="AC757" s="1"/>
      <c r="AD757" s="1"/>
      <c r="AE757" s="1"/>
    </row>
    <row r="758" spans="1:31">
      <c r="A758">
        <v>581</v>
      </c>
      <c r="B758">
        <f t="shared" si="222"/>
        <v>0.71007303358297169</v>
      </c>
      <c r="C758">
        <v>0.69879188133816317</v>
      </c>
      <c r="D758">
        <f t="shared" si="223"/>
        <v>1.4310412394675125</v>
      </c>
      <c r="E758" s="1">
        <f t="shared" si="224"/>
        <v>8.3668921850510225E-2</v>
      </c>
      <c r="F758" s="1">
        <f t="shared" si="225"/>
        <v>9.7055949346591869E-2</v>
      </c>
      <c r="G758" s="1">
        <f t="shared" si="226"/>
        <v>3.0120811866183692E-2</v>
      </c>
      <c r="H758" s="1">
        <f t="shared" si="227"/>
        <v>2.9187271501089573E-2</v>
      </c>
      <c r="I758" s="1">
        <f t="shared" si="228"/>
        <v>0.10726729157230269</v>
      </c>
      <c r="J758" s="1">
        <f t="shared" si="229"/>
        <v>0.11621199506961499</v>
      </c>
      <c r="K758" s="1">
        <f t="shared" si="230"/>
        <v>7.1459913011343884E-2</v>
      </c>
      <c r="L758" s="1">
        <f t="shared" si="231"/>
        <v>7.0858200362557355E-2</v>
      </c>
      <c r="M758" s="1">
        <f t="shared" si="232"/>
        <v>0.1544640310158874</v>
      </c>
      <c r="N758" s="1">
        <f t="shared" si="233"/>
        <v>0.15452408651566096</v>
      </c>
      <c r="O758" s="1">
        <f t="shared" si="234"/>
        <v>0.15413811530166416</v>
      </c>
      <c r="P758" s="1">
        <f t="shared" si="235"/>
        <v>0.15420005808549292</v>
      </c>
      <c r="Q758" s="1">
        <f t="shared" si="236"/>
        <v>2.3427298118142872</v>
      </c>
      <c r="T758">
        <v>2.2362042033003959E-2</v>
      </c>
      <c r="U758">
        <f t="shared" si="243"/>
        <v>44.718635199956601</v>
      </c>
      <c r="V758" s="15">
        <f t="shared" si="237"/>
        <v>0.10304197639427203</v>
      </c>
      <c r="W758" s="15">
        <f t="shared" si="238"/>
        <v>0.1057753682453844</v>
      </c>
      <c r="X758" s="15">
        <f t="shared" si="239"/>
        <v>0.11124215194760896</v>
      </c>
      <c r="Y758" s="15">
        <f t="shared" si="240"/>
        <v>0.14763297309330198</v>
      </c>
      <c r="Z758" s="15">
        <f t="shared" si="241"/>
        <v>0.14970192057754048</v>
      </c>
      <c r="AA758" s="15">
        <f t="shared" si="242"/>
        <v>0.15383981554601778</v>
      </c>
      <c r="AC758" s="1"/>
      <c r="AD758" s="1"/>
      <c r="AE758" s="1"/>
    </row>
    <row r="759" spans="1:31">
      <c r="A759">
        <v>811</v>
      </c>
      <c r="B759">
        <f t="shared" si="222"/>
        <v>0.7108894740945495</v>
      </c>
      <c r="C759">
        <v>0.69906418340094167</v>
      </c>
      <c r="D759">
        <f t="shared" si="223"/>
        <v>1.430483814998228</v>
      </c>
      <c r="E759" s="1">
        <f t="shared" si="224"/>
        <v>8.3593282388627288E-2</v>
      </c>
      <c r="F759" s="1">
        <f t="shared" si="225"/>
        <v>9.696820757080768E-2</v>
      </c>
      <c r="G759" s="1">
        <f t="shared" si="226"/>
        <v>3.0093581659905839E-2</v>
      </c>
      <c r="H759" s="1">
        <f t="shared" si="227"/>
        <v>2.9160885246057894E-2</v>
      </c>
      <c r="I759" s="1">
        <f t="shared" si="228"/>
        <v>0.10717031840672678</v>
      </c>
      <c r="J759" s="1">
        <f t="shared" si="229"/>
        <v>0.11610693559738811</v>
      </c>
      <c r="K759" s="1">
        <f t="shared" si="230"/>
        <v>7.1395310895685737E-2</v>
      </c>
      <c r="L759" s="1">
        <f t="shared" si="231"/>
        <v>7.0794142214957556E-2</v>
      </c>
      <c r="M759" s="1">
        <f t="shared" si="232"/>
        <v>0.15432439044292551</v>
      </c>
      <c r="N759" s="1">
        <f t="shared" si="233"/>
        <v>0.15438439165054874</v>
      </c>
      <c r="O759" s="1">
        <f t="shared" si="234"/>
        <v>0.15399876936724544</v>
      </c>
      <c r="P759" s="1">
        <f t="shared" si="235"/>
        <v>0.15406065615275688</v>
      </c>
      <c r="Q759" s="1">
        <f t="shared" si="236"/>
        <v>2.3406119068815654</v>
      </c>
      <c r="T759">
        <v>0.17408835271288559</v>
      </c>
      <c r="U759">
        <f t="shared" si="243"/>
        <v>5.7442096752402811</v>
      </c>
      <c r="V759" s="15">
        <f t="shared" si="237"/>
        <v>8.1027573233472941E-2</v>
      </c>
      <c r="W759" s="15">
        <f t="shared" si="238"/>
        <v>8.5143820448868271E-2</v>
      </c>
      <c r="X759" s="15">
        <f t="shared" si="239"/>
        <v>9.3376314879658945E-2</v>
      </c>
      <c r="Y759" s="15">
        <f t="shared" si="240"/>
        <v>0.11509256401723363</v>
      </c>
      <c r="Z759" s="15">
        <f t="shared" si="241"/>
        <v>0.11861402419694932</v>
      </c>
      <c r="AA759" s="15">
        <f t="shared" si="242"/>
        <v>0.12565694455638074</v>
      </c>
      <c r="AC759" s="1"/>
      <c r="AD759" s="1"/>
      <c r="AE759" s="1"/>
    </row>
    <row r="760" spans="1:31">
      <c r="A760">
        <v>620</v>
      </c>
      <c r="B760">
        <f t="shared" si="222"/>
        <v>0.7123009506005612</v>
      </c>
      <c r="C760">
        <v>0.69953494392629523</v>
      </c>
      <c r="D760">
        <f t="shared" si="223"/>
        <v>1.4295211535642207</v>
      </c>
      <c r="E760" s="1">
        <f t="shared" si="224"/>
        <v>8.34625155760291E-2</v>
      </c>
      <c r="F760" s="1">
        <f t="shared" si="225"/>
        <v>9.6816518068193747E-2</v>
      </c>
      <c r="G760" s="1">
        <f t="shared" si="226"/>
        <v>3.0046505607370488E-2</v>
      </c>
      <c r="H760" s="1">
        <f t="shared" si="227"/>
        <v>2.91152682310633E-2</v>
      </c>
      <c r="I760" s="1">
        <f t="shared" si="228"/>
        <v>0.10700266951745324</v>
      </c>
      <c r="J760" s="1">
        <f t="shared" si="229"/>
        <v>0.11592530696103392</v>
      </c>
      <c r="K760" s="1">
        <f t="shared" si="230"/>
        <v>7.1283625638527359E-2</v>
      </c>
      <c r="L760" s="1">
        <f t="shared" si="231"/>
        <v>7.068339737920587E-2</v>
      </c>
      <c r="M760" s="1">
        <f t="shared" si="232"/>
        <v>0.1540829774003013</v>
      </c>
      <c r="N760" s="1">
        <f t="shared" si="233"/>
        <v>0.15414288474671406</v>
      </c>
      <c r="O760" s="1">
        <f t="shared" si="234"/>
        <v>0.15375786570084105</v>
      </c>
      <c r="P760" s="1">
        <f t="shared" si="235"/>
        <v>0.15381965567549094</v>
      </c>
      <c r="Q760" s="1">
        <f t="shared" si="236"/>
        <v>2.3369504361288156</v>
      </c>
      <c r="T760">
        <v>0.1286398588865717</v>
      </c>
      <c r="U760">
        <f t="shared" si="243"/>
        <v>7.7736403681984045</v>
      </c>
      <c r="V760" s="15">
        <f t="shared" si="237"/>
        <v>8.720776216989734E-2</v>
      </c>
      <c r="W760" s="15">
        <f t="shared" si="238"/>
        <v>9.0963797121334733E-2</v>
      </c>
      <c r="X760" s="15">
        <f t="shared" si="239"/>
        <v>9.8475867024209365E-2</v>
      </c>
      <c r="Y760" s="15">
        <f t="shared" si="240"/>
        <v>0.124233664388787</v>
      </c>
      <c r="Z760" s="15">
        <f t="shared" si="241"/>
        <v>0.12737877314555451</v>
      </c>
      <c r="AA760" s="15">
        <f t="shared" si="242"/>
        <v>0.13366899065908949</v>
      </c>
      <c r="AC760" s="1"/>
      <c r="AD760" s="1"/>
      <c r="AE760" s="1"/>
    </row>
    <row r="761" spans="1:31">
      <c r="A761">
        <v>929</v>
      </c>
      <c r="B761">
        <f t="shared" si="222"/>
        <v>0.71421042027805171</v>
      </c>
      <c r="C761">
        <v>0.7005249022281449</v>
      </c>
      <c r="D761">
        <f t="shared" si="223"/>
        <v>1.4275010022046624</v>
      </c>
      <c r="E761" s="1">
        <f t="shared" si="224"/>
        <v>8.318752715884864E-2</v>
      </c>
      <c r="F761" s="1">
        <f t="shared" si="225"/>
        <v>9.6497531504264406E-2</v>
      </c>
      <c r="G761" s="1">
        <f t="shared" si="226"/>
        <v>2.9947509777185521E-2</v>
      </c>
      <c r="H761" s="1">
        <f t="shared" si="227"/>
        <v>2.9019340598504091E-2</v>
      </c>
      <c r="I761" s="1">
        <f t="shared" si="228"/>
        <v>0.10665012209515701</v>
      </c>
      <c r="J761" s="1">
        <f t="shared" si="229"/>
        <v>0.11554336164759157</v>
      </c>
      <c r="K761" s="1">
        <f t="shared" si="230"/>
        <v>7.1048763661867104E-2</v>
      </c>
      <c r="L761" s="1">
        <f t="shared" si="231"/>
        <v>7.045051300671723E-2</v>
      </c>
      <c r="M761" s="1">
        <f t="shared" si="232"/>
        <v>0.15357531196777352</v>
      </c>
      <c r="N761" s="1">
        <f t="shared" si="233"/>
        <v>0.15363502193424566</v>
      </c>
      <c r="O761" s="1">
        <f t="shared" si="234"/>
        <v>0.15325127143123018</v>
      </c>
      <c r="P761" s="1">
        <f t="shared" si="235"/>
        <v>0.15331285782314347</v>
      </c>
      <c r="Q761" s="1">
        <f t="shared" si="236"/>
        <v>2.3292507604477626</v>
      </c>
      <c r="T761">
        <v>0.15196740467638692</v>
      </c>
      <c r="U761">
        <f t="shared" si="243"/>
        <v>6.5803584796982619</v>
      </c>
      <c r="V761" s="15">
        <f t="shared" si="237"/>
        <v>8.4035629756552585E-2</v>
      </c>
      <c r="W761" s="15">
        <f t="shared" si="238"/>
        <v>8.797655242096114E-2</v>
      </c>
      <c r="X761" s="15">
        <f t="shared" si="239"/>
        <v>9.5858397749778224E-2</v>
      </c>
      <c r="Y761" s="15">
        <f t="shared" si="240"/>
        <v>0.11954177210514774</v>
      </c>
      <c r="Z761" s="15">
        <f t="shared" si="241"/>
        <v>0.1228800523911069</v>
      </c>
      <c r="AA761" s="15">
        <f t="shared" si="242"/>
        <v>0.1295566129630252</v>
      </c>
      <c r="AC761" s="1"/>
      <c r="AD761" s="1"/>
      <c r="AE761" s="1"/>
    </row>
    <row r="762" spans="1:31">
      <c r="A762">
        <v>501</v>
      </c>
      <c r="B762">
        <f t="shared" si="222"/>
        <v>0.71497633229726909</v>
      </c>
      <c r="C762">
        <v>0.70096149451450451</v>
      </c>
      <c r="D762">
        <f t="shared" si="223"/>
        <v>1.4266118864241091</v>
      </c>
      <c r="E762" s="1">
        <f t="shared" si="224"/>
        <v>8.3066251523748746E-2</v>
      </c>
      <c r="F762" s="1">
        <f t="shared" si="225"/>
        <v>9.6356851767548546E-2</v>
      </c>
      <c r="G762" s="1">
        <f t="shared" si="226"/>
        <v>2.9903850548549556E-2</v>
      </c>
      <c r="H762" s="1">
        <f t="shared" si="227"/>
        <v>2.8977034509100288E-2</v>
      </c>
      <c r="I762" s="1">
        <f t="shared" si="228"/>
        <v>0.10649464131898398</v>
      </c>
      <c r="J762" s="1">
        <f t="shared" si="229"/>
        <v>0.11537491578744921</v>
      </c>
      <c r="K762" s="1">
        <f t="shared" si="230"/>
        <v>7.0945184625075902E-2</v>
      </c>
      <c r="L762" s="1">
        <f t="shared" si="231"/>
        <v>7.0347806134667928E-2</v>
      </c>
      <c r="M762" s="1">
        <f t="shared" si="232"/>
        <v>0.15335142090945431</v>
      </c>
      <c r="N762" s="1">
        <f t="shared" si="233"/>
        <v>0.15341104382725035</v>
      </c>
      <c r="O762" s="1">
        <f t="shared" si="234"/>
        <v>0.15302785277812853</v>
      </c>
      <c r="P762" s="1">
        <f t="shared" si="235"/>
        <v>0.15308934938580315</v>
      </c>
      <c r="Q762" s="1">
        <f t="shared" si="236"/>
        <v>2.3258550426649656</v>
      </c>
      <c r="T762">
        <v>9.3578413172895059E-2</v>
      </c>
      <c r="U762">
        <f t="shared" si="243"/>
        <v>10.686225231800035</v>
      </c>
      <c r="V762" s="15">
        <f t="shared" si="237"/>
        <v>9.320683233240866E-2</v>
      </c>
      <c r="W762" s="15">
        <f t="shared" si="238"/>
        <v>9.6598075118093749E-2</v>
      </c>
      <c r="X762" s="15">
        <f t="shared" si="239"/>
        <v>0.1033805606894638</v>
      </c>
      <c r="Y762" s="15">
        <f t="shared" si="240"/>
        <v>0.1331038340317483</v>
      </c>
      <c r="Z762" s="15">
        <f t="shared" si="241"/>
        <v>0.13586661450237916</v>
      </c>
      <c r="AA762" s="15">
        <f t="shared" si="242"/>
        <v>0.14139217544364072</v>
      </c>
      <c r="AC762" s="1"/>
      <c r="AD762" s="1"/>
      <c r="AE762" s="1"/>
    </row>
    <row r="763" spans="1:31">
      <c r="A763">
        <v>220</v>
      </c>
      <c r="B763">
        <f t="shared" si="222"/>
        <v>0.71592184532295988</v>
      </c>
      <c r="C763">
        <v>0.70149251130040124</v>
      </c>
      <c r="D763">
        <f t="shared" si="223"/>
        <v>1.4255319677557732</v>
      </c>
      <c r="E763" s="1">
        <f t="shared" si="224"/>
        <v>8.2918746860999648E-2</v>
      </c>
      <c r="F763" s="1">
        <f t="shared" si="225"/>
        <v>9.6185746358759594E-2</v>
      </c>
      <c r="G763" s="1">
        <f t="shared" si="226"/>
        <v>2.9850748869959885E-2</v>
      </c>
      <c r="H763" s="1">
        <f t="shared" si="227"/>
        <v>2.8925578621488555E-2</v>
      </c>
      <c r="I763" s="1">
        <f t="shared" si="228"/>
        <v>0.10630553375888357</v>
      </c>
      <c r="J763" s="1">
        <f t="shared" si="229"/>
        <v>0.11517003910491266</v>
      </c>
      <c r="K763" s="1">
        <f t="shared" si="230"/>
        <v>7.0819203912815126E-2</v>
      </c>
      <c r="L763" s="1">
        <f t="shared" si="231"/>
        <v>7.0222886215583036E-2</v>
      </c>
      <c r="M763" s="1">
        <f t="shared" si="232"/>
        <v>0.15307910755465126</v>
      </c>
      <c r="N763" s="1">
        <f t="shared" si="233"/>
        <v>0.15313862459721855</v>
      </c>
      <c r="O763" s="1">
        <f t="shared" si="234"/>
        <v>0.15275611399852557</v>
      </c>
      <c r="P763" s="1">
        <f t="shared" si="235"/>
        <v>0.15281750140377193</v>
      </c>
      <c r="Q763" s="1">
        <f t="shared" si="236"/>
        <v>2.3217249121079906</v>
      </c>
      <c r="T763">
        <v>0.91837506039258299</v>
      </c>
      <c r="U763">
        <f t="shared" si="243"/>
        <v>1.0888797432854114</v>
      </c>
      <c r="V763" s="15">
        <f t="shared" si="237"/>
        <v>0</v>
      </c>
      <c r="W763" s="15">
        <f t="shared" si="238"/>
        <v>0</v>
      </c>
      <c r="X763" s="15">
        <f t="shared" si="239"/>
        <v>0</v>
      </c>
      <c r="Y763" s="15">
        <f t="shared" si="240"/>
        <v>0</v>
      </c>
      <c r="Z763" s="15">
        <f t="shared" si="241"/>
        <v>0</v>
      </c>
      <c r="AA763" s="15">
        <f t="shared" si="242"/>
        <v>0</v>
      </c>
      <c r="AC763" s="1"/>
      <c r="AD763" s="1"/>
      <c r="AE763" s="1"/>
    </row>
    <row r="764" spans="1:31">
      <c r="A764">
        <v>157</v>
      </c>
      <c r="B764">
        <f t="shared" si="222"/>
        <v>0.7168335012417224</v>
      </c>
      <c r="C764">
        <v>0.70200666285181035</v>
      </c>
      <c r="D764">
        <f t="shared" si="223"/>
        <v>1.4244879043421477</v>
      </c>
      <c r="E764" s="1">
        <f t="shared" si="224"/>
        <v>8.2775926985608234E-2</v>
      </c>
      <c r="F764" s="1">
        <f t="shared" si="225"/>
        <v>9.6020075303305558E-2</v>
      </c>
      <c r="G764" s="1">
        <f t="shared" si="226"/>
        <v>2.9799333714818972E-2</v>
      </c>
      <c r="H764" s="1">
        <f t="shared" si="227"/>
        <v>2.8875756986565991E-2</v>
      </c>
      <c r="I764" s="1">
        <f t="shared" si="228"/>
        <v>0.1061224323052363</v>
      </c>
      <c r="J764" s="1">
        <f t="shared" si="229"/>
        <v>0.11497166936035583</v>
      </c>
      <c r="K764" s="1">
        <f t="shared" si="230"/>
        <v>7.0697224381514434E-2</v>
      </c>
      <c r="L764" s="1">
        <f t="shared" si="231"/>
        <v>7.010193378638449E-2</v>
      </c>
      <c r="M764" s="1">
        <f t="shared" si="232"/>
        <v>0.15281544294449217</v>
      </c>
      <c r="N764" s="1">
        <f t="shared" si="233"/>
        <v>0.15287485747445617</v>
      </c>
      <c r="O764" s="1">
        <f t="shared" si="234"/>
        <v>0.15249300571490526</v>
      </c>
      <c r="P764" s="1">
        <f t="shared" si="235"/>
        <v>0.1525542873860215</v>
      </c>
      <c r="Q764" s="1">
        <f t="shared" si="236"/>
        <v>2.3177259555970311</v>
      </c>
      <c r="T764">
        <v>0.93906202872018529</v>
      </c>
      <c r="U764">
        <f t="shared" si="243"/>
        <v>1.0648923813508517</v>
      </c>
      <c r="V764" s="15">
        <f t="shared" si="237"/>
        <v>0</v>
      </c>
      <c r="W764" s="15">
        <f t="shared" si="238"/>
        <v>0</v>
      </c>
      <c r="X764" s="15">
        <f t="shared" si="239"/>
        <v>0</v>
      </c>
      <c r="Y764" s="15">
        <f t="shared" si="240"/>
        <v>0</v>
      </c>
      <c r="Z764" s="15">
        <f t="shared" si="241"/>
        <v>0</v>
      </c>
      <c r="AA764" s="15">
        <f t="shared" si="242"/>
        <v>0</v>
      </c>
      <c r="AC764" s="1"/>
      <c r="AD764" s="1"/>
      <c r="AE764" s="1"/>
    </row>
    <row r="765" spans="1:31">
      <c r="A765">
        <v>887</v>
      </c>
      <c r="B765">
        <f t="shared" si="222"/>
        <v>0.71729272669530653</v>
      </c>
      <c r="C765">
        <v>0.70226640273565644</v>
      </c>
      <c r="D765">
        <f t="shared" si="223"/>
        <v>1.4239610439920403</v>
      </c>
      <c r="E765" s="1">
        <f t="shared" si="224"/>
        <v>8.2703777017873209E-2</v>
      </c>
      <c r="F765" s="1">
        <f t="shared" si="225"/>
        <v>9.5936381340732929E-2</v>
      </c>
      <c r="G765" s="1">
        <f t="shared" si="226"/>
        <v>2.9773359726434363E-2</v>
      </c>
      <c r="H765" s="1">
        <f t="shared" si="227"/>
        <v>2.8850588015214361E-2</v>
      </c>
      <c r="I765" s="1">
        <f t="shared" si="228"/>
        <v>0.10602993282687809</v>
      </c>
      <c r="J765" s="1">
        <f t="shared" si="229"/>
        <v>0.11487145662294687</v>
      </c>
      <c r="K765" s="1">
        <f t="shared" si="230"/>
        <v>7.0635602571359785E-2</v>
      </c>
      <c r="L765" s="1">
        <f t="shared" si="231"/>
        <v>7.0040830849274177E-2</v>
      </c>
      <c r="M765" s="1">
        <f t="shared" si="232"/>
        <v>0.15268224444488765</v>
      </c>
      <c r="N765" s="1">
        <f t="shared" si="233"/>
        <v>0.15274160718737456</v>
      </c>
      <c r="O765" s="1">
        <f t="shared" si="234"/>
        <v>0.1523600882612105</v>
      </c>
      <c r="P765" s="1">
        <f t="shared" si="235"/>
        <v>0.15242131651739377</v>
      </c>
      <c r="Q765" s="1">
        <f t="shared" si="236"/>
        <v>2.3157057565004502</v>
      </c>
      <c r="T765">
        <v>0.5538196872543002</v>
      </c>
      <c r="U765">
        <f t="shared" si="243"/>
        <v>1.8056418415852107</v>
      </c>
      <c r="V765" s="15">
        <f t="shared" si="237"/>
        <v>0</v>
      </c>
      <c r="W765" s="15">
        <f t="shared" si="238"/>
        <v>0</v>
      </c>
      <c r="X765" s="15">
        <f t="shared" si="239"/>
        <v>0</v>
      </c>
      <c r="Y765" s="15">
        <f t="shared" si="240"/>
        <v>0</v>
      </c>
      <c r="Z765" s="15">
        <f t="shared" si="241"/>
        <v>0</v>
      </c>
      <c r="AA765" s="15">
        <f t="shared" si="242"/>
        <v>0</v>
      </c>
      <c r="AC765" s="1"/>
      <c r="AD765" s="1"/>
      <c r="AE765" s="1"/>
    </row>
    <row r="766" spans="1:31">
      <c r="A766">
        <v>896</v>
      </c>
      <c r="B766">
        <f t="shared" si="222"/>
        <v>0.71842307366453362</v>
      </c>
      <c r="C766">
        <v>0.70299715990446787</v>
      </c>
      <c r="D766">
        <f t="shared" si="223"/>
        <v>1.4224808534587716</v>
      </c>
      <c r="E766" s="1">
        <f t="shared" si="224"/>
        <v>8.2500788915425588E-2</v>
      </c>
      <c r="F766" s="1">
        <f t="shared" si="225"/>
        <v>9.5700915141893689E-2</v>
      </c>
      <c r="G766" s="1">
        <f t="shared" si="226"/>
        <v>2.970028400955322E-2</v>
      </c>
      <c r="H766" s="1">
        <f t="shared" si="227"/>
        <v>2.877977714868718E-2</v>
      </c>
      <c r="I766" s="1">
        <f t="shared" si="228"/>
        <v>0.10576969302111291</v>
      </c>
      <c r="J766" s="1">
        <f t="shared" si="229"/>
        <v>0.11458951618629371</v>
      </c>
      <c r="K766" s="1">
        <f t="shared" si="230"/>
        <v>7.0462234589289185E-2</v>
      </c>
      <c r="L766" s="1">
        <f t="shared" si="231"/>
        <v>6.9868922674574035E-2</v>
      </c>
      <c r="M766" s="1">
        <f t="shared" si="232"/>
        <v>0.15230750123248737</v>
      </c>
      <c r="N766" s="1">
        <f t="shared" si="233"/>
        <v>0.15236671827509352</v>
      </c>
      <c r="O766" s="1">
        <f t="shared" si="234"/>
        <v>0.15198613574876102</v>
      </c>
      <c r="P766" s="1">
        <f t="shared" si="235"/>
        <v>0.15204721372634772</v>
      </c>
      <c r="Q766" s="1">
        <f t="shared" si="236"/>
        <v>2.310022089631917</v>
      </c>
      <c r="T766">
        <v>0.62911113236711957</v>
      </c>
      <c r="U766">
        <f t="shared" si="243"/>
        <v>1.5895442769187038</v>
      </c>
      <c r="V766" s="15">
        <f t="shared" si="237"/>
        <v>0</v>
      </c>
      <c r="W766" s="15">
        <f t="shared" si="238"/>
        <v>0</v>
      </c>
      <c r="X766" s="15">
        <f t="shared" si="239"/>
        <v>0</v>
      </c>
      <c r="Y766" s="15">
        <f t="shared" si="240"/>
        <v>0</v>
      </c>
      <c r="Z766" s="15">
        <f t="shared" si="241"/>
        <v>0</v>
      </c>
      <c r="AA766" s="15">
        <f t="shared" si="242"/>
        <v>0</v>
      </c>
      <c r="AC766" s="1"/>
      <c r="AD766" s="1"/>
      <c r="AE766" s="1"/>
    </row>
    <row r="767" spans="1:31">
      <c r="A767">
        <v>320</v>
      </c>
      <c r="B767">
        <f t="shared" si="222"/>
        <v>0.71878130337960222</v>
      </c>
      <c r="C767">
        <v>0.70329101832765906</v>
      </c>
      <c r="D767">
        <f t="shared" si="223"/>
        <v>1.4218864935569333</v>
      </c>
      <c r="E767" s="1">
        <f t="shared" si="224"/>
        <v>8.241916157565024E-2</v>
      </c>
      <c r="F767" s="1">
        <f t="shared" si="225"/>
        <v>9.5606227427754292E-2</v>
      </c>
      <c r="G767" s="1">
        <f t="shared" si="226"/>
        <v>2.9670898167234103E-2</v>
      </c>
      <c r="H767" s="1">
        <f t="shared" si="227"/>
        <v>2.8751302067674532E-2</v>
      </c>
      <c r="I767" s="1">
        <f t="shared" si="228"/>
        <v>0.10566504312886743</v>
      </c>
      <c r="J767" s="1">
        <f t="shared" si="229"/>
        <v>0.11447613984777144</v>
      </c>
      <c r="K767" s="1">
        <f t="shared" si="230"/>
        <v>7.0392518349726374E-2</v>
      </c>
      <c r="L767" s="1">
        <f t="shared" si="231"/>
        <v>6.979979346543716E-2</v>
      </c>
      <c r="M767" s="1">
        <f t="shared" si="232"/>
        <v>0.15215680623530159</v>
      </c>
      <c r="N767" s="1">
        <f t="shared" si="233"/>
        <v>0.15221596468780552</v>
      </c>
      <c r="O767" s="1">
        <f t="shared" si="234"/>
        <v>0.15183575871471083</v>
      </c>
      <c r="P767" s="1">
        <f t="shared" si="235"/>
        <v>0.15189677626096232</v>
      </c>
      <c r="Q767" s="1">
        <f t="shared" si="236"/>
        <v>2.3077365241182077</v>
      </c>
      <c r="T767">
        <v>0.32908021879732585</v>
      </c>
      <c r="U767">
        <f t="shared" si="243"/>
        <v>3.038772745607905</v>
      </c>
      <c r="V767" s="15">
        <f t="shared" si="237"/>
        <v>6.9059806673401211E-2</v>
      </c>
      <c r="W767" s="15">
        <f t="shared" si="238"/>
        <v>7.3717917725447168E-2</v>
      </c>
      <c r="X767" s="15">
        <f t="shared" si="239"/>
        <v>8.3034139829539055E-2</v>
      </c>
      <c r="Y767" s="15">
        <f t="shared" si="240"/>
        <v>9.7383094467712608E-2</v>
      </c>
      <c r="Z767" s="15">
        <f t="shared" si="241"/>
        <v>0.1014553412443627</v>
      </c>
      <c r="AA767" s="15">
        <f t="shared" si="242"/>
        <v>0.10959983479766292</v>
      </c>
      <c r="AC767" s="1"/>
      <c r="AD767" s="1"/>
      <c r="AE767" s="1"/>
    </row>
    <row r="768" spans="1:31">
      <c r="A768">
        <v>370</v>
      </c>
      <c r="B768">
        <f t="shared" si="222"/>
        <v>0.72026387670931291</v>
      </c>
      <c r="C768">
        <v>0.70580462329867977</v>
      </c>
      <c r="D768">
        <f t="shared" si="223"/>
        <v>1.416822682920885</v>
      </c>
      <c r="E768" s="1">
        <f t="shared" si="224"/>
        <v>8.1720937972588947E-2</v>
      </c>
      <c r="F768" s="1">
        <f t="shared" si="225"/>
        <v>9.479628804820317E-2</v>
      </c>
      <c r="G768" s="1">
        <f t="shared" si="226"/>
        <v>2.9419537670132029E-2</v>
      </c>
      <c r="H768" s="1">
        <f t="shared" si="227"/>
        <v>2.850773203688782E-2</v>
      </c>
      <c r="I768" s="1">
        <f t="shared" si="228"/>
        <v>0.10476988931122821</v>
      </c>
      <c r="J768" s="1">
        <f t="shared" si="229"/>
        <v>0.11350634178988056</v>
      </c>
      <c r="K768" s="1">
        <f t="shared" si="230"/>
        <v>6.9796179866646907E-2</v>
      </c>
      <c r="L768" s="1">
        <f t="shared" si="231"/>
        <v>6.9208476320799128E-2</v>
      </c>
      <c r="M768" s="1">
        <f t="shared" si="232"/>
        <v>0.15086779198850658</v>
      </c>
      <c r="N768" s="1">
        <f t="shared" si="233"/>
        <v>0.15092644927323506</v>
      </c>
      <c r="O768" s="1">
        <f t="shared" si="234"/>
        <v>0.15054946425967658</v>
      </c>
      <c r="P768" s="1">
        <f t="shared" si="235"/>
        <v>0.15060996488862172</v>
      </c>
      <c r="Q768" s="1">
        <f t="shared" si="236"/>
        <v>2.2881862632324914</v>
      </c>
      <c r="T768">
        <v>0.79454591850220613</v>
      </c>
      <c r="U768">
        <f t="shared" si="243"/>
        <v>1.2585805007784749</v>
      </c>
      <c r="V768" s="15">
        <f t="shared" si="237"/>
        <v>0</v>
      </c>
      <c r="W768" s="15">
        <f t="shared" si="238"/>
        <v>0</v>
      </c>
      <c r="X768" s="15">
        <f t="shared" si="239"/>
        <v>0</v>
      </c>
      <c r="Y768" s="15">
        <f t="shared" si="240"/>
        <v>0</v>
      </c>
      <c r="Z768" s="15">
        <f t="shared" si="241"/>
        <v>0</v>
      </c>
      <c r="AA768" s="15">
        <f t="shared" si="242"/>
        <v>0</v>
      </c>
      <c r="AC768" s="1"/>
      <c r="AD768" s="1"/>
      <c r="AE768" s="1"/>
    </row>
    <row r="769" spans="1:31">
      <c r="A769">
        <v>523</v>
      </c>
      <c r="B769">
        <f t="shared" si="222"/>
        <v>0.72042673723687256</v>
      </c>
      <c r="C769">
        <v>0.70617085995183038</v>
      </c>
      <c r="D769">
        <f t="shared" si="223"/>
        <v>1.4160878856828112</v>
      </c>
      <c r="E769" s="1">
        <f t="shared" si="224"/>
        <v>8.1619205568935982E-2</v>
      </c>
      <c r="F769" s="1">
        <f t="shared" si="225"/>
        <v>9.4678278459965765E-2</v>
      </c>
      <c r="G769" s="1">
        <f t="shared" si="226"/>
        <v>2.9382914004816969E-2</v>
      </c>
      <c r="H769" s="1">
        <f t="shared" si="227"/>
        <v>2.8472243456179422E-2</v>
      </c>
      <c r="I769" s="1">
        <f t="shared" si="228"/>
        <v>0.10463946382989492</v>
      </c>
      <c r="J769" s="1">
        <f t="shared" si="229"/>
        <v>0.11336504051181628</v>
      </c>
      <c r="K769" s="1">
        <f t="shared" si="230"/>
        <v>6.9709292303682197E-2</v>
      </c>
      <c r="L769" s="1">
        <f t="shared" si="231"/>
        <v>6.9122320375652802E-2</v>
      </c>
      <c r="M769" s="1">
        <f t="shared" si="232"/>
        <v>0.15067998035181257</v>
      </c>
      <c r="N769" s="1">
        <f t="shared" si="233"/>
        <v>0.1507385646155171</v>
      </c>
      <c r="O769" s="1">
        <f t="shared" si="234"/>
        <v>0.15036204890141258</v>
      </c>
      <c r="P769" s="1">
        <f t="shared" si="235"/>
        <v>0.15042247421459953</v>
      </c>
      <c r="Q769" s="1">
        <f t="shared" si="236"/>
        <v>2.2853377559302084</v>
      </c>
      <c r="T769">
        <v>0.85004568290796889</v>
      </c>
      <c r="U769">
        <f t="shared" si="243"/>
        <v>1.17640736269496</v>
      </c>
      <c r="V769" s="15">
        <f t="shared" si="237"/>
        <v>0</v>
      </c>
      <c r="W769" s="15">
        <f t="shared" si="238"/>
        <v>0</v>
      </c>
      <c r="X769" s="15">
        <f t="shared" si="239"/>
        <v>0</v>
      </c>
      <c r="Y769" s="15">
        <f t="shared" si="240"/>
        <v>0</v>
      </c>
      <c r="Z769" s="15">
        <f t="shared" si="241"/>
        <v>0</v>
      </c>
      <c r="AA769" s="15">
        <f t="shared" si="242"/>
        <v>0</v>
      </c>
      <c r="AC769" s="1"/>
      <c r="AD769" s="1"/>
      <c r="AE769" s="1"/>
    </row>
    <row r="770" spans="1:31">
      <c r="A770">
        <v>992</v>
      </c>
      <c r="B770">
        <f t="shared" si="222"/>
        <v>0.72165767473658871</v>
      </c>
      <c r="C770">
        <v>0.70767702358856566</v>
      </c>
      <c r="D770">
        <f t="shared" si="223"/>
        <v>1.4130739965656807</v>
      </c>
      <c r="E770" s="1">
        <f t="shared" si="224"/>
        <v>8.1200826780953972E-2</v>
      </c>
      <c r="F770" s="1">
        <f t="shared" si="225"/>
        <v>9.4192959065906606E-2</v>
      </c>
      <c r="G770" s="1">
        <f t="shared" si="226"/>
        <v>2.9232297641143441E-2</v>
      </c>
      <c r="H770" s="1">
        <f t="shared" si="227"/>
        <v>2.8326295175682317E-2</v>
      </c>
      <c r="I770" s="1">
        <f t="shared" si="228"/>
        <v>0.10410308355337697</v>
      </c>
      <c r="J770" s="1">
        <f t="shared" si="229"/>
        <v>0.11278393306390308</v>
      </c>
      <c r="K770" s="1">
        <f t="shared" si="230"/>
        <v>6.9351963547272466E-2</v>
      </c>
      <c r="L770" s="1">
        <f t="shared" si="231"/>
        <v>6.876800042828643E-2</v>
      </c>
      <c r="M770" s="1">
        <f t="shared" si="232"/>
        <v>0.14990759709822282</v>
      </c>
      <c r="N770" s="1">
        <f t="shared" si="233"/>
        <v>0.14996588105989583</v>
      </c>
      <c r="O770" s="1">
        <f t="shared" si="234"/>
        <v>0.14959129535953042</v>
      </c>
      <c r="P770" s="1">
        <f t="shared" si="235"/>
        <v>0.1496514109334946</v>
      </c>
      <c r="Q770" s="1">
        <f t="shared" si="236"/>
        <v>2.2736231498667117</v>
      </c>
      <c r="T770">
        <v>0.92396006993698798</v>
      </c>
      <c r="U770">
        <f t="shared" si="243"/>
        <v>1.0822978530535392</v>
      </c>
      <c r="V770" s="15">
        <f t="shared" si="237"/>
        <v>0</v>
      </c>
      <c r="W770" s="15">
        <f t="shared" si="238"/>
        <v>0</v>
      </c>
      <c r="X770" s="15">
        <f t="shared" si="239"/>
        <v>0</v>
      </c>
      <c r="Y770" s="15">
        <f t="shared" si="240"/>
        <v>0</v>
      </c>
      <c r="Z770" s="15">
        <f t="shared" si="241"/>
        <v>0</v>
      </c>
      <c r="AA770" s="15">
        <f t="shared" si="242"/>
        <v>0</v>
      </c>
      <c r="AC770" s="1"/>
      <c r="AD770" s="1"/>
      <c r="AE770" s="1"/>
    </row>
    <row r="771" spans="1:31">
      <c r="A771">
        <v>167</v>
      </c>
      <c r="B771">
        <f t="shared" si="222"/>
        <v>0.72167904354230816</v>
      </c>
      <c r="C771">
        <v>0.70769791155210904</v>
      </c>
      <c r="D771">
        <f t="shared" si="223"/>
        <v>1.4130322891681562</v>
      </c>
      <c r="E771" s="1">
        <f t="shared" si="224"/>
        <v>8.1195024568858576E-2</v>
      </c>
      <c r="F771" s="1">
        <f t="shared" si="225"/>
        <v>9.4186228499875957E-2</v>
      </c>
      <c r="G771" s="1">
        <f t="shared" si="226"/>
        <v>2.9230208844789107E-2</v>
      </c>
      <c r="H771" s="1">
        <f t="shared" si="227"/>
        <v>2.8324271117812452E-2</v>
      </c>
      <c r="I771" s="1">
        <f t="shared" si="228"/>
        <v>0.10409564485854461</v>
      </c>
      <c r="J771" s="1">
        <f t="shared" si="229"/>
        <v>0.11277587407821871</v>
      </c>
      <c r="K771" s="1">
        <f t="shared" si="230"/>
        <v>6.934700799672347E-2</v>
      </c>
      <c r="L771" s="1">
        <f t="shared" si="231"/>
        <v>6.876308660487257E-2</v>
      </c>
      <c r="M771" s="1">
        <f t="shared" si="232"/>
        <v>0.14989688543791646</v>
      </c>
      <c r="N771" s="1">
        <f t="shared" si="233"/>
        <v>0.14995516523490393</v>
      </c>
      <c r="O771" s="1">
        <f t="shared" si="234"/>
        <v>0.14958060630059211</v>
      </c>
      <c r="P771" s="1">
        <f t="shared" si="235"/>
        <v>0.14964071757899278</v>
      </c>
      <c r="Q771" s="1">
        <f t="shared" si="236"/>
        <v>2.2734606879280417</v>
      </c>
      <c r="T771">
        <v>0.77460418356120331</v>
      </c>
      <c r="U771">
        <f t="shared" si="243"/>
        <v>1.2909819249910979</v>
      </c>
      <c r="V771" s="15">
        <f t="shared" si="237"/>
        <v>0</v>
      </c>
      <c r="W771" s="15">
        <f t="shared" si="238"/>
        <v>0</v>
      </c>
      <c r="X771" s="15">
        <f t="shared" si="239"/>
        <v>0</v>
      </c>
      <c r="Y771" s="15">
        <f t="shared" si="240"/>
        <v>0</v>
      </c>
      <c r="Z771" s="15">
        <f t="shared" si="241"/>
        <v>0</v>
      </c>
      <c r="AA771" s="15">
        <f t="shared" si="242"/>
        <v>0</v>
      </c>
      <c r="AC771" s="1"/>
      <c r="AD771" s="1"/>
      <c r="AE771" s="1"/>
    </row>
    <row r="772" spans="1:31">
      <c r="A772">
        <v>463</v>
      </c>
      <c r="B772">
        <f t="shared" si="222"/>
        <v>0.72220060842531675</v>
      </c>
      <c r="C772">
        <v>0.70795328564968496</v>
      </c>
      <c r="D772">
        <f t="shared" si="223"/>
        <v>1.4125225777888795</v>
      </c>
      <c r="E772" s="1">
        <f t="shared" si="224"/>
        <v>8.112408731953194E-2</v>
      </c>
      <c r="F772" s="1">
        <f t="shared" si="225"/>
        <v>9.410394129065705E-2</v>
      </c>
      <c r="G772" s="1">
        <f t="shared" si="226"/>
        <v>2.9204671435031512E-2</v>
      </c>
      <c r="H772" s="1">
        <f t="shared" si="227"/>
        <v>2.8299525194118866E-2</v>
      </c>
      <c r="I772" s="1">
        <f t="shared" si="228"/>
        <v>0.10400470013930402</v>
      </c>
      <c r="J772" s="1">
        <f t="shared" si="229"/>
        <v>0.11267734574671076</v>
      </c>
      <c r="K772" s="1">
        <f t="shared" si="230"/>
        <v>6.9286421944530718E-2</v>
      </c>
      <c r="L772" s="1">
        <f t="shared" si="231"/>
        <v>6.8703010704349615E-2</v>
      </c>
      <c r="M772" s="1">
        <f t="shared" si="232"/>
        <v>0.14976592577884795</v>
      </c>
      <c r="N772" s="1">
        <f t="shared" si="233"/>
        <v>0.14982415465881788</v>
      </c>
      <c r="O772" s="1">
        <f t="shared" si="234"/>
        <v>0.14944992296352905</v>
      </c>
      <c r="P772" s="1">
        <f t="shared" si="235"/>
        <v>0.149509981724811</v>
      </c>
      <c r="Q772" s="1">
        <f t="shared" si="236"/>
        <v>2.2714744449468949</v>
      </c>
      <c r="T772">
        <v>0.5839744319776865</v>
      </c>
      <c r="U772">
        <f t="shared" si="243"/>
        <v>1.712403737631804</v>
      </c>
      <c r="V772" s="15">
        <f t="shared" si="237"/>
        <v>0</v>
      </c>
      <c r="W772" s="15">
        <f t="shared" si="238"/>
        <v>0</v>
      </c>
      <c r="X772" s="15">
        <f t="shared" si="239"/>
        <v>0</v>
      </c>
      <c r="Y772" s="15">
        <f t="shared" si="240"/>
        <v>0</v>
      </c>
      <c r="Z772" s="15">
        <f t="shared" si="241"/>
        <v>0</v>
      </c>
      <c r="AA772" s="15">
        <f t="shared" si="242"/>
        <v>0</v>
      </c>
      <c r="AC772" s="1"/>
      <c r="AD772" s="1"/>
      <c r="AE772" s="1"/>
    </row>
    <row r="773" spans="1:31">
      <c r="A773">
        <v>385</v>
      </c>
      <c r="B773">
        <f t="shared" si="222"/>
        <v>0.72400514364379243</v>
      </c>
      <c r="C773">
        <v>0.70979364502065845</v>
      </c>
      <c r="D773">
        <f t="shared" si="223"/>
        <v>1.4088601764966424</v>
      </c>
      <c r="E773" s="1">
        <f t="shared" si="224"/>
        <v>8.0612876383150428E-2</v>
      </c>
      <c r="F773" s="1">
        <f t="shared" si="225"/>
        <v>9.3510936604454503E-2</v>
      </c>
      <c r="G773" s="1">
        <f t="shared" si="226"/>
        <v>2.9020635497934162E-2</v>
      </c>
      <c r="H773" s="1">
        <f t="shared" si="227"/>
        <v>2.8121193119741802E-2</v>
      </c>
      <c r="I773" s="1">
        <f t="shared" si="228"/>
        <v>0.10334930490586522</v>
      </c>
      <c r="J773" s="1">
        <f t="shared" si="229"/>
        <v>0.11196729903516775</v>
      </c>
      <c r="K773" s="1">
        <f t="shared" si="230"/>
        <v>6.884980715093339E-2</v>
      </c>
      <c r="L773" s="1">
        <f t="shared" si="231"/>
        <v>6.8270072330620185E-2</v>
      </c>
      <c r="M773" s="1">
        <f t="shared" si="232"/>
        <v>0.14882216195129461</v>
      </c>
      <c r="N773" s="1">
        <f t="shared" si="233"/>
        <v>0.14888002389659405</v>
      </c>
      <c r="O773" s="1">
        <f t="shared" si="234"/>
        <v>0.14850815045693178</v>
      </c>
      <c r="P773" s="1">
        <f t="shared" si="235"/>
        <v>0.14856783075237695</v>
      </c>
      <c r="Q773" s="1">
        <f t="shared" si="236"/>
        <v>2.2571605387282121</v>
      </c>
      <c r="T773">
        <v>0.50564304351344358</v>
      </c>
      <c r="U773">
        <f t="shared" si="243"/>
        <v>1.9776797344061807</v>
      </c>
      <c r="V773" s="15">
        <f t="shared" si="237"/>
        <v>0</v>
      </c>
      <c r="W773" s="15">
        <f t="shared" si="238"/>
        <v>0</v>
      </c>
      <c r="X773" s="15">
        <f t="shared" si="239"/>
        <v>0</v>
      </c>
      <c r="Y773" s="15">
        <f t="shared" si="240"/>
        <v>0</v>
      </c>
      <c r="Z773" s="15">
        <f t="shared" si="241"/>
        <v>0</v>
      </c>
      <c r="AA773" s="15">
        <f t="shared" si="242"/>
        <v>0</v>
      </c>
      <c r="AC773" s="1"/>
      <c r="AD773" s="1"/>
      <c r="AE773" s="1"/>
    </row>
    <row r="774" spans="1:31">
      <c r="A774">
        <v>757</v>
      </c>
      <c r="B774">
        <f t="shared" si="222"/>
        <v>0.72791998972474459</v>
      </c>
      <c r="C774">
        <v>0.71279493616406098</v>
      </c>
      <c r="D774">
        <f t="shared" si="223"/>
        <v>1.4029280361916521</v>
      </c>
      <c r="E774" s="1">
        <f t="shared" si="224"/>
        <v>7.9779184398871938E-2</v>
      </c>
      <c r="F774" s="1">
        <f t="shared" si="225"/>
        <v>9.2543853902691459E-2</v>
      </c>
      <c r="G774" s="1">
        <f t="shared" si="226"/>
        <v>2.8720506383593913E-2</v>
      </c>
      <c r="H774" s="1">
        <f t="shared" si="227"/>
        <v>2.7830365967255084E-2</v>
      </c>
      <c r="I774" s="1">
        <f t="shared" si="228"/>
        <v>0.10228047457817352</v>
      </c>
      <c r="J774" s="1">
        <f t="shared" si="229"/>
        <v>0.11080934209460083</v>
      </c>
      <c r="K774" s="1">
        <f t="shared" si="230"/>
        <v>6.8137767897203827E-2</v>
      </c>
      <c r="L774" s="1">
        <f t="shared" si="231"/>
        <v>6.7564028648496394E-2</v>
      </c>
      <c r="M774" s="1">
        <f t="shared" si="232"/>
        <v>0.14728305493677651</v>
      </c>
      <c r="N774" s="1">
        <f t="shared" si="233"/>
        <v>0.14734031847841939</v>
      </c>
      <c r="O774" s="1">
        <f t="shared" si="234"/>
        <v>0.1469722909244236</v>
      </c>
      <c r="P774" s="1">
        <f t="shared" si="235"/>
        <v>0.147031354010979</v>
      </c>
      <c r="Q774" s="1">
        <f t="shared" si="236"/>
        <v>2.2338171631684149</v>
      </c>
      <c r="T774">
        <v>0.45189266328200195</v>
      </c>
      <c r="U774">
        <f t="shared" si="243"/>
        <v>2.2129148827892204</v>
      </c>
      <c r="V774" s="15">
        <f t="shared" si="237"/>
        <v>6.1025593267164231E-2</v>
      </c>
      <c r="W774" s="15">
        <f t="shared" si="238"/>
        <v>6.6003860297271857E-2</v>
      </c>
      <c r="X774" s="15">
        <f t="shared" si="239"/>
        <v>7.5960394357486971E-2</v>
      </c>
      <c r="Y774" s="15">
        <f t="shared" si="240"/>
        <v>8.5492119957687948E-2</v>
      </c>
      <c r="Z774" s="15">
        <f t="shared" si="241"/>
        <v>8.9884257551899702E-2</v>
      </c>
      <c r="AA774" s="15">
        <f t="shared" si="242"/>
        <v>9.8668532740323139E-2</v>
      </c>
      <c r="AC774" s="1"/>
      <c r="AD774" s="1"/>
      <c r="AE774" s="1"/>
    </row>
    <row r="775" spans="1:31">
      <c r="A775">
        <v>296</v>
      </c>
      <c r="B775">
        <f t="shared" si="222"/>
        <v>0.73175176525135976</v>
      </c>
      <c r="C775">
        <v>0.71451197042675929</v>
      </c>
      <c r="D775">
        <f t="shared" si="223"/>
        <v>1.3995566783894833</v>
      </c>
      <c r="E775" s="1">
        <f t="shared" si="224"/>
        <v>7.930223043701129E-2</v>
      </c>
      <c r="F775" s="1">
        <f t="shared" si="225"/>
        <v>9.1990587306933103E-2</v>
      </c>
      <c r="G775" s="1">
        <f t="shared" si="226"/>
        <v>2.8548802957324079E-2</v>
      </c>
      <c r="H775" s="1">
        <f t="shared" si="227"/>
        <v>2.7663984179723274E-2</v>
      </c>
      <c r="I775" s="1">
        <f t="shared" si="228"/>
        <v>0.10166899831480206</v>
      </c>
      <c r="J775" s="1">
        <f t="shared" si="229"/>
        <v>0.11014687662667938</v>
      </c>
      <c r="K775" s="1">
        <f t="shared" si="230"/>
        <v>6.7730411284125047E-2</v>
      </c>
      <c r="L775" s="1">
        <f t="shared" si="231"/>
        <v>6.716010209314266E-2</v>
      </c>
      <c r="M775" s="1">
        <f t="shared" si="232"/>
        <v>0.14640253407038334</v>
      </c>
      <c r="N775" s="1">
        <f t="shared" si="233"/>
        <v>0.14645945526617171</v>
      </c>
      <c r="O775" s="1">
        <f t="shared" si="234"/>
        <v>0.1460936279377269</v>
      </c>
      <c r="P775" s="1">
        <f t="shared" si="235"/>
        <v>0.14615233791998139</v>
      </c>
      <c r="Q775" s="1">
        <f t="shared" si="236"/>
        <v>2.2204624522363172</v>
      </c>
      <c r="T775">
        <v>0.12107360208680751</v>
      </c>
      <c r="U775">
        <f t="shared" si="243"/>
        <v>8.2594387444012671</v>
      </c>
      <c r="V775" s="15">
        <f t="shared" si="237"/>
        <v>8.8236638874651302E-2</v>
      </c>
      <c r="W775" s="15">
        <f t="shared" si="238"/>
        <v>9.1932705755376695E-2</v>
      </c>
      <c r="X775" s="15">
        <f t="shared" si="239"/>
        <v>9.9324839516827301E-2</v>
      </c>
      <c r="Y775" s="15">
        <f t="shared" si="240"/>
        <v>0.1257554730785955</v>
      </c>
      <c r="Z775" s="15">
        <f t="shared" si="241"/>
        <v>0.12883792692046386</v>
      </c>
      <c r="AA775" s="15">
        <f t="shared" si="242"/>
        <v>0.13500283460420051</v>
      </c>
      <c r="AC775" s="1"/>
      <c r="AD775" s="1"/>
      <c r="AE775" s="1"/>
    </row>
    <row r="776" spans="1:31">
      <c r="A776">
        <v>449</v>
      </c>
      <c r="B776">
        <f t="shared" si="222"/>
        <v>0.73267640850204763</v>
      </c>
      <c r="C776">
        <v>0.71629432365986423</v>
      </c>
      <c r="D776">
        <f t="shared" si="223"/>
        <v>1.3960741652824471</v>
      </c>
      <c r="E776" s="1">
        <f t="shared" si="224"/>
        <v>7.8807132316704359E-2</v>
      </c>
      <c r="F776" s="1">
        <f t="shared" si="225"/>
        <v>9.1416273487377075E-2</v>
      </c>
      <c r="G776" s="1">
        <f t="shared" si="226"/>
        <v>2.8370567634013584E-2</v>
      </c>
      <c r="H776" s="1">
        <f t="shared" si="227"/>
        <v>2.7491272939546237E-2</v>
      </c>
      <c r="I776" s="1">
        <f t="shared" si="228"/>
        <v>0.10103426043061192</v>
      </c>
      <c r="J776" s="1">
        <f t="shared" si="229"/>
        <v>0.10945920981989438</v>
      </c>
      <c r="K776" s="1">
        <f t="shared" si="230"/>
        <v>6.7307558116823263E-2</v>
      </c>
      <c r="L776" s="1">
        <f t="shared" si="231"/>
        <v>6.6740809468928936E-2</v>
      </c>
      <c r="M776" s="1">
        <f t="shared" si="232"/>
        <v>0.14548851665842683</v>
      </c>
      <c r="N776" s="1">
        <f t="shared" si="233"/>
        <v>0.14554508248492876</v>
      </c>
      <c r="O776" s="1">
        <f t="shared" si="234"/>
        <v>0.14518153908244258</v>
      </c>
      <c r="P776" s="1">
        <f t="shared" si="235"/>
        <v>0.14523988252769432</v>
      </c>
      <c r="Q776" s="1">
        <f t="shared" si="236"/>
        <v>2.2065997048677231</v>
      </c>
      <c r="T776">
        <v>0.3695670073462568</v>
      </c>
      <c r="U776">
        <f t="shared" si="243"/>
        <v>2.70586924731372</v>
      </c>
      <c r="V776" s="15">
        <f t="shared" si="237"/>
        <v>6.641121922202213E-2</v>
      </c>
      <c r="W776" s="15">
        <f t="shared" si="238"/>
        <v>7.1174874035865587E-2</v>
      </c>
      <c r="X776" s="15">
        <f t="shared" si="239"/>
        <v>8.0702183663552418E-2</v>
      </c>
      <c r="Y776" s="15">
        <f t="shared" si="240"/>
        <v>9.3463073392908852E-2</v>
      </c>
      <c r="Z776" s="15">
        <f t="shared" si="241"/>
        <v>9.7640776517600114E-2</v>
      </c>
      <c r="AA776" s="15">
        <f t="shared" si="242"/>
        <v>0.10599618276698267</v>
      </c>
      <c r="AC776" s="1"/>
      <c r="AD776" s="1"/>
      <c r="AE776" s="1"/>
    </row>
    <row r="777" spans="1:31">
      <c r="A777">
        <v>691</v>
      </c>
      <c r="B777">
        <f t="shared" si="222"/>
        <v>0.73546329956499812</v>
      </c>
      <c r="C777">
        <v>0.71806411400517534</v>
      </c>
      <c r="D777">
        <f t="shared" si="223"/>
        <v>1.3926333045976347</v>
      </c>
      <c r="E777" s="1">
        <f t="shared" si="224"/>
        <v>7.8315523887451277E-2</v>
      </c>
      <c r="F777" s="1">
        <f t="shared" si="225"/>
        <v>9.084600770944351E-2</v>
      </c>
      <c r="G777" s="1">
        <f t="shared" si="226"/>
        <v>2.8193588599482476E-2</v>
      </c>
      <c r="H777" s="1">
        <f t="shared" si="227"/>
        <v>2.7319779051738401E-2</v>
      </c>
      <c r="I777" s="1">
        <f t="shared" si="228"/>
        <v>0.1004039964860817</v>
      </c>
      <c r="J777" s="1">
        <f t="shared" si="229"/>
        <v>0.10877639002141992</v>
      </c>
      <c r="K777" s="1">
        <f t="shared" si="230"/>
        <v>6.6887685423198312E-2</v>
      </c>
      <c r="L777" s="1">
        <f t="shared" si="231"/>
        <v>6.6324472221961944E-2</v>
      </c>
      <c r="M777" s="1">
        <f t="shared" si="232"/>
        <v>0.14458094168334235</v>
      </c>
      <c r="N777" s="1">
        <f t="shared" si="233"/>
        <v>0.14463715464537252</v>
      </c>
      <c r="O777" s="1">
        <f t="shared" si="234"/>
        <v>0.14427587907062994</v>
      </c>
      <c r="P777" s="1">
        <f t="shared" si="235"/>
        <v>0.14433385856240899</v>
      </c>
      <c r="Q777" s="1">
        <f t="shared" si="236"/>
        <v>2.1928346688486364</v>
      </c>
      <c r="T777">
        <v>8.6626484518118607E-2</v>
      </c>
      <c r="U777">
        <f t="shared" si="243"/>
        <v>11.543813714278595</v>
      </c>
      <c r="V777" s="15">
        <f t="shared" si="237"/>
        <v>9.4706663462389429E-2</v>
      </c>
      <c r="W777" s="15">
        <f t="shared" si="238"/>
        <v>9.7999701509529802E-2</v>
      </c>
      <c r="X777" s="15">
        <f t="shared" si="239"/>
        <v>0.10458577760381048</v>
      </c>
      <c r="Y777" s="15">
        <f t="shared" si="240"/>
        <v>0.13532006473165908</v>
      </c>
      <c r="Z777" s="15">
        <f t="shared" si="241"/>
        <v>0.13797939112302821</v>
      </c>
      <c r="AA777" s="15">
        <f t="shared" si="242"/>
        <v>0.14329804390576628</v>
      </c>
      <c r="AC777" s="1"/>
      <c r="AD777" s="1"/>
      <c r="AE777" s="1"/>
    </row>
    <row r="778" spans="1:31">
      <c r="A778">
        <v>233</v>
      </c>
      <c r="B778">
        <f t="shared" si="222"/>
        <v>0.73695849410829961</v>
      </c>
      <c r="C778">
        <v>0.71928438974026543</v>
      </c>
      <c r="D778">
        <f t="shared" si="223"/>
        <v>1.3902706832843978</v>
      </c>
      <c r="E778" s="1">
        <f t="shared" si="224"/>
        <v>7.7976558405481816E-2</v>
      </c>
      <c r="F778" s="1">
        <f t="shared" si="225"/>
        <v>9.045280775035891E-2</v>
      </c>
      <c r="G778" s="1">
        <f t="shared" si="226"/>
        <v>2.8071561025973468E-2</v>
      </c>
      <c r="H778" s="1">
        <f t="shared" si="227"/>
        <v>2.7201533503296682E-2</v>
      </c>
      <c r="I778" s="1">
        <f t="shared" si="228"/>
        <v>9.9969427611723199E-2</v>
      </c>
      <c r="J778" s="1">
        <f t="shared" si="229"/>
        <v>0.10830558372861521</v>
      </c>
      <c r="K778" s="1">
        <f t="shared" si="230"/>
        <v>6.6598181945447477E-2</v>
      </c>
      <c r="L778" s="1">
        <f t="shared" si="231"/>
        <v>6.603740644525341E-2</v>
      </c>
      <c r="M778" s="1">
        <f t="shared" si="232"/>
        <v>0.14395516602420583</v>
      </c>
      <c r="N778" s="1">
        <f t="shared" si="233"/>
        <v>0.14401113568512758</v>
      </c>
      <c r="O778" s="1">
        <f t="shared" si="234"/>
        <v>0.14365142378439544</v>
      </c>
      <c r="P778" s="1">
        <f t="shared" si="235"/>
        <v>0.14370915232916681</v>
      </c>
      <c r="Q778" s="1">
        <f t="shared" si="236"/>
        <v>2.1833436353534914</v>
      </c>
      <c r="T778">
        <v>0.53734891605435742</v>
      </c>
      <c r="U778">
        <f t="shared" si="243"/>
        <v>1.8609882147763399</v>
      </c>
      <c r="V778" s="15">
        <f t="shared" si="237"/>
        <v>0</v>
      </c>
      <c r="W778" s="15">
        <f t="shared" si="238"/>
        <v>0</v>
      </c>
      <c r="X778" s="15">
        <f t="shared" si="239"/>
        <v>0</v>
      </c>
      <c r="Y778" s="15">
        <f t="shared" si="240"/>
        <v>0</v>
      </c>
      <c r="Z778" s="15">
        <f t="shared" si="241"/>
        <v>0</v>
      </c>
      <c r="AA778" s="15">
        <f t="shared" si="242"/>
        <v>0</v>
      </c>
      <c r="AC778" s="1"/>
      <c r="AD778" s="1"/>
      <c r="AE778" s="1"/>
    </row>
    <row r="779" spans="1:31">
      <c r="A779">
        <v>842</v>
      </c>
      <c r="B779">
        <f t="shared" ref="B779:B842" si="244">PERCENTILE($C$75:$C$1074,$C779)</f>
        <v>0.73705867338941433</v>
      </c>
      <c r="C779">
        <v>0.71994897811300118</v>
      </c>
      <c r="D779">
        <f t="shared" ref="D779:D842" si="245">1/C779</f>
        <v>1.3889873177138434</v>
      </c>
      <c r="E779" s="1">
        <f t="shared" ref="E779:E842" si="246">IF($C779&lt;=0.005,$F$14,IF($C779&lt;=0.01,$F$14+($C779-0.005)*SLOPE($E$14:$F$14,$E$11:$F$11),IF($C779&lt;=0.04,$E$14+($C779-0.01)*SLOPE($D$14:$E$14,$D$11:$E$11),IF($C779&lt;=0.1,$D$14+($C779-0.04)*SLOPE($C$14:$D$14,$C$11:$D$11),IF($C779&lt;=1,$C$14+($C779-0.1)*SLOPE($B$14:$C$14,$B$11:$C$11),)))))</f>
        <v>7.779195052416632E-2</v>
      </c>
      <c r="F779" s="1">
        <f t="shared" ref="F779:F842" si="247">IF($C779&lt;=0.005,$F$27,IF($C779&lt;=0.01,$F$27+($C779-0.005)*SLOPE($E$27:$F$27,$E$24:$F$24),IF($C779&lt;=0.04,$E$27+($C779-0.01)*SLOPE($D$27:$E$27,$D$24:$E$24),IF($C779&lt;=0.1,$D$27+($C779-0.04)*SLOPE($C$27:$D$27,$C$24:$D$24),IF($C779&lt;=1,$C$27+($C779-0.1)*SLOPE($B$27:$C$27,$B$24:$C$24),)))))</f>
        <v>9.0238662608032955E-2</v>
      </c>
      <c r="G779" s="1">
        <f t="shared" ref="G779:G842" si="248">IF($C779&lt;=0.005,$F$15,IF($C779&lt;=0.01,$F$15+($C779-0.005)*SLOPE($E$15:$F$15,$E$11:$F$11),IF($C779&lt;=0.04,$E$15+($C779-0.01)*SLOPE($D$15:$E$15,$D$11:$E$11),IF($C779&lt;=0.1,$D$15+($C779-0.04)*SLOPE($C$15:$D$15,$C$11:$D$11),IF($C779&lt;=1,$C$15+($C779-0.1)*SLOPE($B$15:$C$15,$B$11:$C$11),)))))</f>
        <v>2.8005102188699893E-2</v>
      </c>
      <c r="H779" s="1">
        <f t="shared" ref="H779:H842" si="249">IF($C779&lt;=0.005,$F$28,IF($C779&lt;=0.01,$F$28+($C779-0.005)*SLOPE($E$28:$F$28,$E$24:$F$24),IF($C779&lt;=0.04,$E$28+($C779-0.01)*SLOPE($D$28:$E$28,$D$24:$E$24),IF($C779&lt;=0.1,$D$28+($C779-0.04)*SLOPE($C$28:$D$28,$C$24:$D$24),IF($C779&lt;=1,$C$28+($C779-0.1)*SLOPE($B$28:$C$28,$B$24:$C$24),)))))</f>
        <v>2.7137134438099897E-2</v>
      </c>
      <c r="I779" s="1">
        <f t="shared" ref="I779:I842" si="250">IF($C779&lt;=0.005,$F$16,IF($C779&lt;=0.01,$F$16+($C779-0.005)*SLOPE($E$16:$F$16,$E$11:$F$11),IF($C779&lt;=0.04,$E$16+($C779-0.01)*SLOPE($D$16:$E$16,$D$11:$E$11),IF($C779&lt;=0.1,$D$16+($C779-0.04)*SLOPE($C$16:$D$16,$C$11:$D$11),IF($C779&lt;=1,$C$16+($C779-0.1)*SLOPE($B$16:$C$16,$B$11:$C$11),)))))</f>
        <v>9.9732752069674357E-2</v>
      </c>
      <c r="J779" s="1">
        <f t="shared" ref="J779:J842" si="251">IF($C779&lt;=0.005,$F$29,IF($C779&lt;=0.01,$F$29+($C779-0.005)*SLOPE($E$29:$F$29,$E$24:$F$24),IF($C779&lt;=0.04,$E$29+($C779-0.01)*SLOPE($D$29:$E$29,$D$24:$E$24),IF($C779&lt;=0.1,$D$29+($C779-0.04)*SLOPE($C$29:$D$29,$C$24:$D$24),IF($C779&lt;=1,$C$29+($C779-0.1)*SLOPE($B$29:$C$29,$B$24:$C$24),)))))</f>
        <v>0.10804917251022306</v>
      </c>
      <c r="K779" s="1">
        <f t="shared" ref="K779:K842" si="252">IF($C779&lt;=0.005,$F$17,IF($C779&lt;=0.01,$F$17+($C779-0.005)*SLOPE($E$17:$F$17,$E$11:$F$11),IF($C779&lt;=0.04,$E$17+($C779-0.01)*SLOPE($D$17:$E$17,$D$11:$E$11),IF($C779&lt;=0.1,$D$17+($C779-0.04)*SLOPE($C$17:$D$17,$C$11:$D$11),IF($C779&lt;=1,$C$17+($C779-0.1)*SLOPE($B$17:$C$17,$B$11:$C$11),)))))</f>
        <v>6.6440512133906421E-2</v>
      </c>
      <c r="L779" s="1">
        <f t="shared" ref="L779:L842" si="253">IF($C779&lt;=0.005,$F$30,IF($C779&lt;=0.01,$F$30+($C779-0.005)*SLOPE($E$30:$F$30,$E$24:$F$24),IF($C779&lt;=0.04,$E$30+($C779-0.01)*SLOPE($D$30:$E$30,$D$24:$E$24),IF($C779&lt;=0.1,$D$30+($C779-0.04)*SLOPE($C$30:$D$30,$C$24:$D$24),IF($C779&lt;=1,$C$30+($C779-0.1)*SLOPE($B$30:$C$30,$B$24:$C$24),)))))</f>
        <v>6.5881064258053595E-2</v>
      </c>
      <c r="M779" s="1">
        <f t="shared" ref="M779:M842" si="254">IF($C779&lt;=0.005,$F$18,IF($C779&lt;=0.01,$F$18+($C779-0.005)*SLOPE($E$18:$F$18,$E$11:$F$11),IF($C779&lt;=0.04,$E$18+($C779-0.01)*SLOPE($D$18:$E$18,$D$11:$E$11),IF($C779&lt;=0.1,$D$18+($C779-0.04)*SLOPE($C$18:$D$18,$C$11:$D$11),IF($C779&lt;=1,$C$18+($C779-0.1)*SLOPE($B$18:$C$18,$B$11:$C$11),)))))</f>
        <v>0.14361435516069021</v>
      </c>
      <c r="N779" s="1">
        <f t="shared" ref="N779:N842" si="255">IF($C779&lt;=0.005,$F$31,IF($C779&lt;=0.01,$F$31+($C779-0.005)*SLOPE($E$31:$F$31,$E$24:$F$24),IF($C779&lt;=0.04,$E$31+($C779-0.01)*SLOPE($D$31:$E$31,$D$24:$E$24),IF($C779&lt;=0.1,$D$31+($C779-0.04)*SLOPE($C$31:$D$31,$C$24:$D$24),IF($C779&lt;=1,$C$31+($C779-0.1)*SLOPE($B$31:$C$31,$B$24:$C$24),)))))</f>
        <v>0.14367019231460304</v>
      </c>
      <c r="O779" s="1">
        <f t="shared" ref="O779:O842" si="256">IF($C779&lt;=0.005,$F$19,IF($C779&lt;=0.01,$F$19+($C779-0.005)*SLOPE($E$19:$F$19,$E$11:$F$11),IF($C779&lt;=0.04,$E$19+($C779-0.01)*SLOPE($D$19:$E$19,$D$11:$E$11),IF($C779&lt;=0.1,$D$19+($C779-0.04)*SLOPE($C$19:$D$19,$C$11:$D$11),IF($C779&lt;=1,$C$19+($C779-0.1)*SLOPE($B$19:$C$19,$B$11:$C$11),)))))</f>
        <v>0.14331133202431939</v>
      </c>
      <c r="P779" s="1">
        <f t="shared" ref="P779:P842" si="257">IF($C779&lt;=0.005,$F$32,IF($C779&lt;=0.01,$F$32+($C779-0.005)*SLOPE($E$32:$F$32,$E$24:$F$24),IF($C779&lt;=0.04,$E$32+($C779-0.01)*SLOPE($D$32:$E$32,$D$24:$E$24),IF($C779&lt;=0.1,$D$32+($C779-0.04)*SLOPE($C$32:$D$32,$C$24:$D$24),IF($C779&lt;=1,$C$32+($C779-0.1)*SLOPE($B$32:$C$32,$B$24:$C$24),)))))</f>
        <v>0.14336892389796091</v>
      </c>
      <c r="Q779" s="1">
        <f t="shared" ref="Q779:Q842" si="258">IF($C779&lt;=0.005,$F$20,IF($C779&lt;=0.01,$F$20+($C779-0.005)*SLOPE($E$20:$F$20,$E$11:$F$11),IF($C779&lt;=0.04,$E$20+($C779-0.01)*SLOPE($D$20:$E$20,$D$11:$E$11),IF($C779&lt;=0.1,$D$20+($C779-0.04)*SLOPE($C$20:$D$20,$C$11:$D$11),IF($C779&lt;=1,$C$20+($C779-0.1)*SLOPE($B$20:$C$20,$B$11:$C$11),)))))</f>
        <v>2.1781746146766583</v>
      </c>
      <c r="T779">
        <v>0.24740691372450019</v>
      </c>
      <c r="U779">
        <f t="shared" si="243"/>
        <v>4.0419242330210281</v>
      </c>
      <c r="V779" s="15">
        <f t="shared" ref="V779:V842" si="259">IF($T779&lt;=0.05,$F$63,IF($T779&lt;=0.07,$F$63+($T779-0.05)*SLOPE($E$63:$F$63,$E$62:$F$62),IF($T779&lt;=0.1,$E$63+($T779-0.07)*SLOPE($D$63:$E$63,$D$62:$E$62),IF($T779&lt;=0.2,$D$63+($T779-0.1)*SLOPE($C$63:$D$63,$C$62:$D$62),IF($T779&lt;=0.5,$C$63+($T779-0.2)*SLOPE($B$63:$C$63,$B$62:$C$62),)))))</f>
        <v>7.4402756773459311E-2</v>
      </c>
      <c r="W779" s="15">
        <f t="shared" ref="W779:W842" si="260">IF($T779&lt;=0.05,$F$64,IF($T779&lt;=0.07,$F$64+($T779-0.05)*SLOPE($E$64:$F$64,$E$62:$F$62),IF($T779&lt;=0.1,$E$64+($T779-0.07)*SLOPE($D$64:$E$64,$D$62:$E$62),IF($T779&lt;=0.2,$D$64+($T779-0.1)*SLOPE($C$64:$D$64,$C$62:$D$62),IF($T779&lt;=0.5,$C$64+($T779-0.2)*SLOPE($B$64:$C$64,$B$62:$C$62),)))))</f>
        <v>7.8847956202608746E-2</v>
      </c>
      <c r="X779" s="15">
        <f t="shared" ref="X779:X842" si="261">IF($T779&lt;=0.05,$F$65,IF($T779&lt;=0.07,$F$65+($T779-0.05)*SLOPE($E$65:$F$65,$E$62:$F$62),IF($T779&lt;=0.1,$E$65+($T779-0.07)*SLOPE($D$65:$E$65,$D$62:$E$62),IF($T779&lt;=0.2,$D$65+($T779-0.1)*SLOPE($C$65:$D$65,$C$62:$D$62),IF($T779&lt;=0.5,$C$65+($T779-0.2)*SLOPE($B$65:$C$65,$B$62:$C$62),)))))</f>
        <v>8.7738355060907686E-2</v>
      </c>
      <c r="Y779" s="15">
        <f t="shared" ref="Y779:Y842" si="262">IF($T779&lt;=0.05,$F$66,IF($T779&lt;=0.07,$F$66+($T779-0.05)*SLOPE($E$66:$F$66,$E$62:$F$62),IF($T779&lt;=0.1,$E$66+($T779-0.07)*SLOPE($D$66:$E$66,$D$62:$E$62),IF($T779&lt;=0.2,$D$66+($T779-0.1)*SLOPE($C$66:$D$66,$C$62:$D$62),IF($T779&lt;=0.5,$C$66+($T779-0.2)*SLOPE($B$66:$C$66,$B$62:$C$62),)))))</f>
        <v>0.1052908858389007</v>
      </c>
      <c r="Z779" s="15">
        <f t="shared" ref="Z779:Z842" si="263">IF($T779&lt;=0.05,$F$67,IF($T779&lt;=0.07,$F$67+($T779-0.05)*SLOPE($E$67:$F$67,$E$62:$F$62),IF($T779&lt;=0.1,$E$67+($T779-0.07)*SLOPE($D$67:$E$67,$D$62:$E$62),IF($T779&lt;=0.2,$D$67+($T779-0.1)*SLOPE($C$67:$D$67,$C$62:$D$62),IF($T779&lt;=0.5,$C$67+($T779-0.2)*SLOPE($B$67:$C$67,$B$62:$C$62),)))))</f>
        <v>0.10915039733092766</v>
      </c>
      <c r="AA779" s="15">
        <f t="shared" ref="AA779:AA842" si="264">IF($T779&lt;=0.05,$F$68,IF($T779&lt;=0.07,$F$68+($T779-0.05)*SLOPE($E$68:$F$68,$E$62:$F$62),IF($T779&lt;=0.1,$E$68+($T779-0.07)*SLOPE($D$68:$E$68,$D$62:$E$62),IF($T779&lt;=0.2,$D$68+($T779-0.1)*SLOPE($C$68:$D$68,$C$62:$D$62),IF($T779&lt;=0.5,$C$68+($T779-0.2)*SLOPE($B$68:$C$68,$B$62:$C$62),)))))</f>
        <v>0.1168694203149817</v>
      </c>
      <c r="AC779" s="1"/>
      <c r="AD779" s="1"/>
      <c r="AE779" s="1"/>
    </row>
    <row r="780" spans="1:31">
      <c r="A780">
        <v>444</v>
      </c>
      <c r="B780">
        <f t="shared" si="244"/>
        <v>0.73710284245853785</v>
      </c>
      <c r="C780">
        <v>0.72021988938243531</v>
      </c>
      <c r="D780">
        <f t="shared" si="245"/>
        <v>1.388464849058066</v>
      </c>
      <c r="E780" s="1">
        <f t="shared" si="246"/>
        <v>7.7716697393767964E-2</v>
      </c>
      <c r="F780" s="1">
        <f t="shared" si="247"/>
        <v>9.015136897677084E-2</v>
      </c>
      <c r="G780" s="1">
        <f t="shared" si="248"/>
        <v>2.7978011061756479E-2</v>
      </c>
      <c r="H780" s="1">
        <f t="shared" si="249"/>
        <v>2.7110882951888939E-2</v>
      </c>
      <c r="I780" s="1">
        <f t="shared" si="250"/>
        <v>9.9636274198301844E-2</v>
      </c>
      <c r="J780" s="1">
        <f t="shared" si="251"/>
        <v>0.10794464963332434</v>
      </c>
      <c r="K780" s="1">
        <f t="shared" si="252"/>
        <v>6.6376239976059015E-2</v>
      </c>
      <c r="L780" s="1">
        <f t="shared" si="253"/>
        <v>6.5817333289926561E-2</v>
      </c>
      <c r="M780" s="1">
        <f t="shared" si="254"/>
        <v>0.14347542780736938</v>
      </c>
      <c r="N780" s="1">
        <f t="shared" si="255"/>
        <v>0.14353121094643118</v>
      </c>
      <c r="O780" s="1">
        <f t="shared" si="256"/>
        <v>0.14317269780466402</v>
      </c>
      <c r="P780" s="1">
        <f t="shared" si="257"/>
        <v>0.14323023396600176</v>
      </c>
      <c r="Q780" s="1">
        <f t="shared" si="258"/>
        <v>2.1760675270255039</v>
      </c>
      <c r="T780">
        <v>0.86803064513127859</v>
      </c>
      <c r="U780">
        <f t="shared" ref="U780:U843" si="265">1/T780</f>
        <v>1.1520330596724067</v>
      </c>
      <c r="V780" s="15">
        <f t="shared" si="259"/>
        <v>0</v>
      </c>
      <c r="W780" s="15">
        <f t="shared" si="260"/>
        <v>0</v>
      </c>
      <c r="X780" s="15">
        <f t="shared" si="261"/>
        <v>0</v>
      </c>
      <c r="Y780" s="15">
        <f t="shared" si="262"/>
        <v>0</v>
      </c>
      <c r="Z780" s="15">
        <f t="shared" si="263"/>
        <v>0</v>
      </c>
      <c r="AA780" s="15">
        <f t="shared" si="264"/>
        <v>0</v>
      </c>
      <c r="AC780" s="1"/>
      <c r="AD780" s="1"/>
      <c r="AE780" s="1"/>
    </row>
    <row r="781" spans="1:31">
      <c r="A781">
        <v>245</v>
      </c>
      <c r="B781">
        <f t="shared" si="244"/>
        <v>0.73717541623416072</v>
      </c>
      <c r="C781">
        <v>0.72066502110179853</v>
      </c>
      <c r="D781">
        <f t="shared" si="245"/>
        <v>1.3876072387572473</v>
      </c>
      <c r="E781" s="1">
        <f t="shared" si="246"/>
        <v>7.7593049693944843E-2</v>
      </c>
      <c r="F781" s="1">
        <f t="shared" si="247"/>
        <v>9.0007937644976027E-2</v>
      </c>
      <c r="G781" s="1">
        <f t="shared" si="248"/>
        <v>2.7933497889820157E-2</v>
      </c>
      <c r="H781" s="1">
        <f t="shared" si="249"/>
        <v>2.7067749385620808E-2</v>
      </c>
      <c r="I781" s="1">
        <f t="shared" si="250"/>
        <v>9.9477752329299285E-2</v>
      </c>
      <c r="J781" s="1">
        <f t="shared" si="251"/>
        <v>0.10777290909257869</v>
      </c>
      <c r="K781" s="1">
        <f t="shared" si="252"/>
        <v>6.6270635007356304E-2</v>
      </c>
      <c r="L781" s="1">
        <f t="shared" si="253"/>
        <v>6.5712617544884583E-2</v>
      </c>
      <c r="M781" s="1">
        <f t="shared" si="254"/>
        <v>0.143247157600008</v>
      </c>
      <c r="N781" s="1">
        <f t="shared" si="255"/>
        <v>0.14330285198778381</v>
      </c>
      <c r="O781" s="1">
        <f t="shared" si="256"/>
        <v>0.14294490924242853</v>
      </c>
      <c r="P781" s="1">
        <f t="shared" si="257"/>
        <v>0.14300235386341209</v>
      </c>
      <c r="Q781" s="1">
        <f t="shared" si="258"/>
        <v>2.1726053914304559</v>
      </c>
      <c r="T781">
        <v>0.13882194569690531</v>
      </c>
      <c r="U781">
        <f t="shared" si="265"/>
        <v>7.2034720085492401</v>
      </c>
      <c r="V781" s="15">
        <f t="shared" si="259"/>
        <v>8.582317898666976E-2</v>
      </c>
      <c r="W781" s="15">
        <f t="shared" si="260"/>
        <v>8.9659914358142703E-2</v>
      </c>
      <c r="X781" s="15">
        <f t="shared" si="261"/>
        <v>9.7333385101088465E-2</v>
      </c>
      <c r="Y781" s="15">
        <f t="shared" si="262"/>
        <v>0.12218573122997151</v>
      </c>
      <c r="Z781" s="15">
        <f t="shared" si="263"/>
        <v>0.12541515615515367</v>
      </c>
      <c r="AA781" s="15">
        <f t="shared" si="264"/>
        <v>0.13187400600551791</v>
      </c>
      <c r="AC781" s="1"/>
      <c r="AD781" s="1"/>
      <c r="AE781" s="1"/>
    </row>
    <row r="782" spans="1:31">
      <c r="A782">
        <v>308</v>
      </c>
      <c r="B782">
        <f t="shared" si="244"/>
        <v>0.73801899385295278</v>
      </c>
      <c r="C782">
        <v>0.7216890652059974</v>
      </c>
      <c r="D782">
        <f t="shared" si="245"/>
        <v>1.3856382869187052</v>
      </c>
      <c r="E782" s="1">
        <f t="shared" si="246"/>
        <v>7.7308592998334036E-2</v>
      </c>
      <c r="F782" s="1">
        <f t="shared" si="247"/>
        <v>8.9677967878067505E-2</v>
      </c>
      <c r="G782" s="1">
        <f t="shared" si="248"/>
        <v>2.7831093479400271E-2</v>
      </c>
      <c r="H782" s="1">
        <f t="shared" si="249"/>
        <v>2.6968518815637735E-2</v>
      </c>
      <c r="I782" s="1">
        <f t="shared" si="250"/>
        <v>9.9113066151529566E-2</v>
      </c>
      <c r="J782" s="1">
        <f t="shared" si="251"/>
        <v>0.10737781280859759</v>
      </c>
      <c r="K782" s="1">
        <f t="shared" si="252"/>
        <v>6.6027686367953947E-2</v>
      </c>
      <c r="L782" s="1">
        <f t="shared" si="253"/>
        <v>6.5471714601637948E-2</v>
      </c>
      <c r="M782" s="1">
        <f t="shared" si="254"/>
        <v>0.14272201245792038</v>
      </c>
      <c r="N782" s="1">
        <f t="shared" si="255"/>
        <v>0.14277750266965755</v>
      </c>
      <c r="O782" s="1">
        <f t="shared" si="256"/>
        <v>0.14242087214506127</v>
      </c>
      <c r="P782" s="1">
        <f t="shared" si="257"/>
        <v>0.14247810617363826</v>
      </c>
      <c r="Q782" s="1">
        <f t="shared" si="258"/>
        <v>2.1646406039533543</v>
      </c>
      <c r="T782">
        <v>0.4934820289092019</v>
      </c>
      <c r="U782">
        <f t="shared" si="265"/>
        <v>2.0264162450057421</v>
      </c>
      <c r="V782" s="15">
        <f t="shared" si="259"/>
        <v>5.8304876809797131E-2</v>
      </c>
      <c r="W782" s="15">
        <f t="shared" si="260"/>
        <v>6.3391561875920668E-2</v>
      </c>
      <c r="X782" s="15">
        <f t="shared" si="261"/>
        <v>7.3564932008167536E-2</v>
      </c>
      <c r="Y782" s="15">
        <f t="shared" si="262"/>
        <v>8.1465344913544638E-2</v>
      </c>
      <c r="Z782" s="15">
        <f t="shared" si="263"/>
        <v>8.5965810749476346E-2</v>
      </c>
      <c r="AA782" s="15">
        <f t="shared" si="264"/>
        <v>9.4966742421339692E-2</v>
      </c>
      <c r="AC782" s="1"/>
      <c r="AD782" s="1"/>
      <c r="AE782" s="1"/>
    </row>
    <row r="783" spans="1:31">
      <c r="A783">
        <v>745</v>
      </c>
      <c r="B783">
        <f t="shared" si="244"/>
        <v>0.74027759881867927</v>
      </c>
      <c r="C783">
        <v>0.72377416808808548</v>
      </c>
      <c r="D783">
        <f t="shared" si="245"/>
        <v>1.3816464362655962</v>
      </c>
      <c r="E783" s="1">
        <f t="shared" si="246"/>
        <v>7.6729397753309586E-2</v>
      </c>
      <c r="F783" s="1">
        <f t="shared" si="247"/>
        <v>8.9006101393839104E-2</v>
      </c>
      <c r="G783" s="1">
        <f t="shared" si="248"/>
        <v>2.7622583191191458E-2</v>
      </c>
      <c r="H783" s="1">
        <f t="shared" si="249"/>
        <v>2.6766470928623325E-2</v>
      </c>
      <c r="I783" s="1">
        <f t="shared" si="250"/>
        <v>9.837051200058286E-2</v>
      </c>
      <c r="J783" s="1">
        <f t="shared" si="251"/>
        <v>0.10657333925413506</v>
      </c>
      <c r="K783" s="1">
        <f t="shared" si="252"/>
        <v>6.5533007568339657E-2</v>
      </c>
      <c r="L783" s="1">
        <f t="shared" si="253"/>
        <v>6.4981201137220279E-2</v>
      </c>
      <c r="M783" s="1">
        <f t="shared" si="254"/>
        <v>0.14165274049512921</v>
      </c>
      <c r="N783" s="1">
        <f t="shared" si="255"/>
        <v>0.14170781497472673</v>
      </c>
      <c r="O783" s="1">
        <f t="shared" si="256"/>
        <v>0.14135385632263603</v>
      </c>
      <c r="P783" s="1">
        <f t="shared" si="257"/>
        <v>0.14141066155441412</v>
      </c>
      <c r="Q783" s="1">
        <f t="shared" si="258"/>
        <v>2.148423137092669</v>
      </c>
      <c r="T783">
        <v>0.15234659785364124</v>
      </c>
      <c r="U783">
        <f t="shared" si="265"/>
        <v>6.5639798596664161</v>
      </c>
      <c r="V783" s="15">
        <f t="shared" si="259"/>
        <v>8.3984066211063246E-2</v>
      </c>
      <c r="W783" s="15">
        <f t="shared" si="260"/>
        <v>8.792799425631849E-2</v>
      </c>
      <c r="X783" s="15">
        <f t="shared" si="261"/>
        <v>9.5815850346828935E-2</v>
      </c>
      <c r="Y783" s="15">
        <f t="shared" si="262"/>
        <v>0.11946550460755505</v>
      </c>
      <c r="Z783" s="15">
        <f t="shared" si="263"/>
        <v>0.12280692492918574</v>
      </c>
      <c r="AA783" s="15">
        <f t="shared" si="264"/>
        <v>0.1294897655724471</v>
      </c>
      <c r="AC783" s="1"/>
      <c r="AD783" s="1"/>
      <c r="AE783" s="1"/>
    </row>
    <row r="784" spans="1:31">
      <c r="A784">
        <v>481</v>
      </c>
      <c r="B784">
        <f t="shared" si="244"/>
        <v>0.74031333184549852</v>
      </c>
      <c r="C784">
        <v>0.72382767882371901</v>
      </c>
      <c r="D784">
        <f t="shared" si="245"/>
        <v>1.3815442946656644</v>
      </c>
      <c r="E784" s="1">
        <f t="shared" si="246"/>
        <v>7.6714533660078049E-2</v>
      </c>
      <c r="F784" s="1">
        <f t="shared" si="247"/>
        <v>8.8988859045690538E-2</v>
      </c>
      <c r="G784" s="1">
        <f t="shared" si="248"/>
        <v>2.7617232117628107E-2</v>
      </c>
      <c r="H784" s="1">
        <f t="shared" si="249"/>
        <v>2.6761285701956468E-2</v>
      </c>
      <c r="I784" s="1">
        <f t="shared" si="250"/>
        <v>9.8351455569743784E-2</v>
      </c>
      <c r="J784" s="1">
        <f t="shared" si="251"/>
        <v>0.10655269376365745</v>
      </c>
      <c r="K784" s="1">
        <f t="shared" si="252"/>
        <v>6.5520312450656482E-2</v>
      </c>
      <c r="L784" s="1">
        <f t="shared" si="253"/>
        <v>6.4968612916013246E-2</v>
      </c>
      <c r="M784" s="1">
        <f t="shared" si="254"/>
        <v>0.14162529938907503</v>
      </c>
      <c r="N784" s="1">
        <f t="shared" si="255"/>
        <v>0.14168036319959104</v>
      </c>
      <c r="O784" s="1">
        <f t="shared" si="256"/>
        <v>0.14132647311671315</v>
      </c>
      <c r="P784" s="1">
        <f t="shared" si="257"/>
        <v>0.14138326734412676</v>
      </c>
      <c r="Q784" s="1">
        <f t="shared" si="258"/>
        <v>2.1480069424821862</v>
      </c>
      <c r="T784">
        <v>0.22665119678263324</v>
      </c>
      <c r="U784">
        <f t="shared" si="265"/>
        <v>4.4120658271177646</v>
      </c>
      <c r="V784" s="15">
        <f t="shared" si="259"/>
        <v>7.5760565910881164E-2</v>
      </c>
      <c r="W784" s="15">
        <f t="shared" si="260"/>
        <v>8.0151657900953258E-2</v>
      </c>
      <c r="X784" s="15">
        <f t="shared" si="261"/>
        <v>8.8933841881097528E-2</v>
      </c>
      <c r="Y784" s="15">
        <f t="shared" si="262"/>
        <v>0.10730050059845239</v>
      </c>
      <c r="Z784" s="15">
        <f t="shared" si="263"/>
        <v>0.11110594946441997</v>
      </c>
      <c r="AA784" s="15">
        <f t="shared" si="264"/>
        <v>0.11871684719635528</v>
      </c>
      <c r="AC784" s="1"/>
      <c r="AD784" s="1"/>
      <c r="AE784" s="1"/>
    </row>
    <row r="785" spans="1:31">
      <c r="A785">
        <v>47</v>
      </c>
      <c r="B785">
        <f t="shared" si="244"/>
        <v>0.74147828004865401</v>
      </c>
      <c r="C785">
        <v>0.72594409991667819</v>
      </c>
      <c r="D785">
        <f t="shared" si="245"/>
        <v>1.3775165334559192</v>
      </c>
      <c r="E785" s="1">
        <f t="shared" si="246"/>
        <v>7.6126638912033834E-2</v>
      </c>
      <c r="F785" s="1">
        <f t="shared" si="247"/>
        <v>8.8306901137959248E-2</v>
      </c>
      <c r="G785" s="1">
        <f t="shared" si="248"/>
        <v>2.740559000833219E-2</v>
      </c>
      <c r="H785" s="1">
        <f t="shared" si="249"/>
        <v>2.6556203059014218E-2</v>
      </c>
      <c r="I785" s="1">
        <f t="shared" si="250"/>
        <v>9.7597748267706869E-2</v>
      </c>
      <c r="J785" s="1">
        <f t="shared" si="251"/>
        <v>0.10573613702968598</v>
      </c>
      <c r="K785" s="1">
        <f t="shared" si="252"/>
        <v>6.5018203583637413E-2</v>
      </c>
      <c r="L785" s="1">
        <f t="shared" si="253"/>
        <v>6.4470731947456728E-2</v>
      </c>
      <c r="M785" s="1">
        <f t="shared" si="254"/>
        <v>0.1405399669790528</v>
      </c>
      <c r="N785" s="1">
        <f t="shared" si="255"/>
        <v>0.14059460881313918</v>
      </c>
      <c r="O785" s="1">
        <f t="shared" si="256"/>
        <v>0.14024343073424783</v>
      </c>
      <c r="P785" s="1">
        <f t="shared" si="257"/>
        <v>0.14029978972434165</v>
      </c>
      <c r="Q785" s="1">
        <f t="shared" si="258"/>
        <v>2.1315458895369481</v>
      </c>
      <c r="T785">
        <v>0.79881532033980018</v>
      </c>
      <c r="U785">
        <f t="shared" si="265"/>
        <v>1.2518538071786354</v>
      </c>
      <c r="V785" s="15">
        <f t="shared" si="259"/>
        <v>0</v>
      </c>
      <c r="W785" s="15">
        <f t="shared" si="260"/>
        <v>0</v>
      </c>
      <c r="X785" s="15">
        <f t="shared" si="261"/>
        <v>0</v>
      </c>
      <c r="Y785" s="15">
        <f t="shared" si="262"/>
        <v>0</v>
      </c>
      <c r="Z785" s="15">
        <f t="shared" si="263"/>
        <v>0</v>
      </c>
      <c r="AA785" s="15">
        <f t="shared" si="264"/>
        <v>0</v>
      </c>
      <c r="AC785" s="1"/>
      <c r="AD785" s="1"/>
      <c r="AE785" s="1"/>
    </row>
    <row r="786" spans="1:31">
      <c r="A786">
        <v>193</v>
      </c>
      <c r="B786">
        <f t="shared" si="244"/>
        <v>0.74230545659086955</v>
      </c>
      <c r="C786">
        <v>0.72658867419030182</v>
      </c>
      <c r="D786">
        <f t="shared" si="245"/>
        <v>1.3762945054358069</v>
      </c>
      <c r="E786" s="1">
        <f t="shared" si="246"/>
        <v>7.5947590502693924E-2</v>
      </c>
      <c r="F786" s="1">
        <f t="shared" si="247"/>
        <v>8.8099204983124957E-2</v>
      </c>
      <c r="G786" s="1">
        <f t="shared" si="248"/>
        <v>2.7341132580969832E-2</v>
      </c>
      <c r="H786" s="1">
        <f t="shared" si="249"/>
        <v>2.6493743373629738E-2</v>
      </c>
      <c r="I786" s="1">
        <f t="shared" si="250"/>
        <v>9.7368200216824435E-2</v>
      </c>
      <c r="J786" s="1">
        <f t="shared" si="251"/>
        <v>0.10548744764295517</v>
      </c>
      <c r="K786" s="1">
        <f t="shared" si="252"/>
        <v>6.4865282003279207E-2</v>
      </c>
      <c r="L786" s="1">
        <f t="shared" si="253"/>
        <v>6.431909800999222E-2</v>
      </c>
      <c r="M786" s="1">
        <f t="shared" si="254"/>
        <v>0.14020941964508526</v>
      </c>
      <c r="N786" s="1">
        <f t="shared" si="255"/>
        <v>0.14026393296261536</v>
      </c>
      <c r="O786" s="1">
        <f t="shared" si="256"/>
        <v>0.1399135808478979</v>
      </c>
      <c r="P786" s="1">
        <f t="shared" si="257"/>
        <v>0.13996980728271707</v>
      </c>
      <c r="Q786" s="1">
        <f t="shared" si="258"/>
        <v>2.1265325340754311</v>
      </c>
      <c r="T786">
        <v>0.81329850561234573</v>
      </c>
      <c r="U786">
        <f t="shared" si="265"/>
        <v>1.2295608477075508</v>
      </c>
      <c r="V786" s="15">
        <f t="shared" si="259"/>
        <v>0</v>
      </c>
      <c r="W786" s="15">
        <f t="shared" si="260"/>
        <v>0</v>
      </c>
      <c r="X786" s="15">
        <f t="shared" si="261"/>
        <v>0</v>
      </c>
      <c r="Y786" s="15">
        <f t="shared" si="262"/>
        <v>0</v>
      </c>
      <c r="Z786" s="15">
        <f t="shared" si="263"/>
        <v>0</v>
      </c>
      <c r="AA786" s="15">
        <f t="shared" si="264"/>
        <v>0</v>
      </c>
      <c r="AC786" s="1"/>
      <c r="AD786" s="1"/>
      <c r="AE786" s="1"/>
    </row>
    <row r="787" spans="1:31">
      <c r="A787">
        <v>295</v>
      </c>
      <c r="B787">
        <f t="shared" si="244"/>
        <v>0.74260397489579644</v>
      </c>
      <c r="C787">
        <v>0.72770222501943438</v>
      </c>
      <c r="D787">
        <f t="shared" si="245"/>
        <v>1.3741884600851584</v>
      </c>
      <c r="E787" s="1">
        <f t="shared" si="246"/>
        <v>7.5638270827934867E-2</v>
      </c>
      <c r="F787" s="1">
        <f t="shared" si="247"/>
        <v>8.7740394160404467E-2</v>
      </c>
      <c r="G787" s="1">
        <f t="shared" si="248"/>
        <v>2.7229777498056565E-2</v>
      </c>
      <c r="H787" s="1">
        <f t="shared" si="249"/>
        <v>2.6385839541141591E-2</v>
      </c>
      <c r="I787" s="1">
        <f t="shared" si="250"/>
        <v>9.6971638590266002E-2</v>
      </c>
      <c r="J787" s="1">
        <f t="shared" si="251"/>
        <v>0.10505781791039739</v>
      </c>
      <c r="K787" s="1">
        <f t="shared" si="252"/>
        <v>6.4601098402461782E-2</v>
      </c>
      <c r="L787" s="1">
        <f t="shared" si="253"/>
        <v>6.4057138909702632E-2</v>
      </c>
      <c r="M787" s="1">
        <f t="shared" si="254"/>
        <v>0.13963837411492808</v>
      </c>
      <c r="N787" s="1">
        <f t="shared" si="255"/>
        <v>0.139692665410383</v>
      </c>
      <c r="O787" s="1">
        <f t="shared" si="256"/>
        <v>0.13934374021127216</v>
      </c>
      <c r="P787" s="1">
        <f t="shared" si="257"/>
        <v>0.13939973764682467</v>
      </c>
      <c r="Q787" s="1">
        <f t="shared" si="258"/>
        <v>2.1178715831821773</v>
      </c>
      <c r="T787">
        <v>0.8897030253918784</v>
      </c>
      <c r="U787">
        <f t="shared" si="265"/>
        <v>1.1239705513640803</v>
      </c>
      <c r="V787" s="15">
        <f t="shared" si="259"/>
        <v>0</v>
      </c>
      <c r="W787" s="15">
        <f t="shared" si="260"/>
        <v>0</v>
      </c>
      <c r="X787" s="15">
        <f t="shared" si="261"/>
        <v>0</v>
      </c>
      <c r="Y787" s="15">
        <f t="shared" si="262"/>
        <v>0</v>
      </c>
      <c r="Z787" s="15">
        <f t="shared" si="263"/>
        <v>0</v>
      </c>
      <c r="AA787" s="15">
        <f t="shared" si="264"/>
        <v>0</v>
      </c>
      <c r="AC787" s="1"/>
      <c r="AD787" s="1"/>
      <c r="AE787" s="1"/>
    </row>
    <row r="788" spans="1:31">
      <c r="A788">
        <v>804</v>
      </c>
      <c r="B788">
        <f t="shared" si="244"/>
        <v>0.74515147349144839</v>
      </c>
      <c r="C788">
        <v>0.73035332618855009</v>
      </c>
      <c r="D788">
        <f t="shared" si="245"/>
        <v>1.3692003091416567</v>
      </c>
      <c r="E788" s="1">
        <f t="shared" si="246"/>
        <v>7.4901853836513849E-2</v>
      </c>
      <c r="F788" s="1">
        <f t="shared" si="247"/>
        <v>8.6886150450356081E-2</v>
      </c>
      <c r="G788" s="1">
        <f t="shared" si="248"/>
        <v>2.6964667381145002E-2</v>
      </c>
      <c r="H788" s="1">
        <f t="shared" si="249"/>
        <v>2.6128946035270634E-2</v>
      </c>
      <c r="I788" s="1">
        <f t="shared" si="250"/>
        <v>9.6027519144354007E-2</v>
      </c>
      <c r="J788" s="1">
        <f t="shared" si="251"/>
        <v>0.10403497112471624</v>
      </c>
      <c r="K788" s="1">
        <f t="shared" si="252"/>
        <v>6.3972139728403044E-2</v>
      </c>
      <c r="L788" s="1">
        <f t="shared" si="253"/>
        <v>6.3433476245305764E-2</v>
      </c>
      <c r="M788" s="1">
        <f t="shared" si="254"/>
        <v>0.13827884976003413</v>
      </c>
      <c r="N788" s="1">
        <f t="shared" si="255"/>
        <v>0.13833261247343637</v>
      </c>
      <c r="O788" s="1">
        <f t="shared" si="256"/>
        <v>0.13798708442291902</v>
      </c>
      <c r="P788" s="1">
        <f t="shared" si="257"/>
        <v>0.13804253666537597</v>
      </c>
      <c r="Q788" s="1">
        <f t="shared" si="258"/>
        <v>2.0972519074223888</v>
      </c>
      <c r="T788">
        <v>0.98537567074734045</v>
      </c>
      <c r="U788">
        <f t="shared" si="265"/>
        <v>1.0148413743984241</v>
      </c>
      <c r="V788" s="15">
        <f t="shared" si="259"/>
        <v>0</v>
      </c>
      <c r="W788" s="15">
        <f t="shared" si="260"/>
        <v>0</v>
      </c>
      <c r="X788" s="15">
        <f t="shared" si="261"/>
        <v>0</v>
      </c>
      <c r="Y788" s="15">
        <f t="shared" si="262"/>
        <v>0</v>
      </c>
      <c r="Z788" s="15">
        <f t="shared" si="263"/>
        <v>0</v>
      </c>
      <c r="AA788" s="15">
        <f t="shared" si="264"/>
        <v>0</v>
      </c>
      <c r="AC788" s="1"/>
      <c r="AD788" s="1"/>
      <c r="AE788" s="1"/>
    </row>
    <row r="789" spans="1:31">
      <c r="A789">
        <v>489</v>
      </c>
      <c r="B789">
        <f t="shared" si="244"/>
        <v>0.74550565427319626</v>
      </c>
      <c r="C789">
        <v>0.73210694614417904</v>
      </c>
      <c r="D789">
        <f t="shared" si="245"/>
        <v>1.365920655809572</v>
      </c>
      <c r="E789" s="1">
        <f t="shared" si="246"/>
        <v>7.441473718217248E-2</v>
      </c>
      <c r="F789" s="1">
        <f t="shared" si="247"/>
        <v>8.632109513132008E-2</v>
      </c>
      <c r="G789" s="1">
        <f t="shared" si="248"/>
        <v>2.6789305385582107E-2</v>
      </c>
      <c r="H789" s="1">
        <f t="shared" si="249"/>
        <v>2.5959019069217854E-2</v>
      </c>
      <c r="I789" s="1">
        <f t="shared" si="250"/>
        <v>9.540301385570793E-2</v>
      </c>
      <c r="J789" s="1">
        <f t="shared" si="251"/>
        <v>0.10335839017947843</v>
      </c>
      <c r="K789" s="1">
        <f t="shared" si="252"/>
        <v>6.355610336776002E-2</v>
      </c>
      <c r="L789" s="1">
        <f t="shared" si="253"/>
        <v>6.302094302831357E-2</v>
      </c>
      <c r="M789" s="1">
        <f t="shared" si="254"/>
        <v>0.13737956720277861</v>
      </c>
      <c r="N789" s="1">
        <f t="shared" si="255"/>
        <v>0.13743298027579487</v>
      </c>
      <c r="O789" s="1">
        <f t="shared" si="256"/>
        <v>0.13708969933211573</v>
      </c>
      <c r="P789" s="1">
        <f t="shared" si="257"/>
        <v>0.13714479094650495</v>
      </c>
      <c r="Q789" s="1">
        <f t="shared" si="258"/>
        <v>2.0836126411008298</v>
      </c>
      <c r="T789">
        <v>0.45225911009707487</v>
      </c>
      <c r="U789">
        <f t="shared" si="265"/>
        <v>2.2111218495639715</v>
      </c>
      <c r="V789" s="15">
        <f t="shared" si="259"/>
        <v>6.1001620843793902E-2</v>
      </c>
      <c r="W789" s="15">
        <f t="shared" si="260"/>
        <v>6.5980843152814675E-2</v>
      </c>
      <c r="X789" s="15">
        <f t="shared" si="261"/>
        <v>7.5939287770856054E-2</v>
      </c>
      <c r="Y789" s="15">
        <f t="shared" si="262"/>
        <v>8.5456639760582556E-2</v>
      </c>
      <c r="Z789" s="15">
        <f t="shared" si="263"/>
        <v>8.9849731842523609E-2</v>
      </c>
      <c r="AA789" s="15">
        <f t="shared" si="264"/>
        <v>9.8635916006405672E-2</v>
      </c>
      <c r="AC789" s="1"/>
      <c r="AD789" s="1"/>
      <c r="AE789" s="1"/>
    </row>
    <row r="790" spans="1:31">
      <c r="A790">
        <v>467</v>
      </c>
      <c r="B790">
        <f t="shared" si="244"/>
        <v>0.74560278151682036</v>
      </c>
      <c r="C790">
        <v>0.73239710804548697</v>
      </c>
      <c r="D790">
        <f t="shared" si="245"/>
        <v>1.365379503844099</v>
      </c>
      <c r="E790" s="1">
        <f t="shared" si="246"/>
        <v>7.433413665403138E-2</v>
      </c>
      <c r="F790" s="1">
        <f t="shared" si="247"/>
        <v>8.6227598518676424E-2</v>
      </c>
      <c r="G790" s="1">
        <f t="shared" si="248"/>
        <v>2.6760289195451314E-2</v>
      </c>
      <c r="H790" s="1">
        <f t="shared" si="249"/>
        <v>2.5930902183689097E-2</v>
      </c>
      <c r="I790" s="1">
        <f t="shared" si="250"/>
        <v>9.5299680381799423E-2</v>
      </c>
      <c r="J790" s="1">
        <f t="shared" si="251"/>
        <v>0.10324644003154088</v>
      </c>
      <c r="K790" s="1">
        <f t="shared" si="252"/>
        <v>6.3487264106989794E-2</v>
      </c>
      <c r="L790" s="1">
        <f t="shared" si="253"/>
        <v>6.2952683413560168E-2</v>
      </c>
      <c r="M790" s="1">
        <f t="shared" si="254"/>
        <v>0.13723076783733529</v>
      </c>
      <c r="N790" s="1">
        <f t="shared" si="255"/>
        <v>0.13728412305726956</v>
      </c>
      <c r="O790" s="1">
        <f t="shared" si="256"/>
        <v>0.1369412139300667</v>
      </c>
      <c r="P790" s="1">
        <f t="shared" si="257"/>
        <v>0.13699624587330222</v>
      </c>
      <c r="Q790" s="1">
        <f t="shared" si="258"/>
        <v>2.0813558263128797</v>
      </c>
      <c r="T790">
        <v>0.88043597708645438</v>
      </c>
      <c r="U790">
        <f t="shared" si="265"/>
        <v>1.1358009282051464</v>
      </c>
      <c r="V790" s="15">
        <f t="shared" si="259"/>
        <v>0</v>
      </c>
      <c r="W790" s="15">
        <f t="shared" si="260"/>
        <v>0</v>
      </c>
      <c r="X790" s="15">
        <f t="shared" si="261"/>
        <v>0</v>
      </c>
      <c r="Y790" s="15">
        <f t="shared" si="262"/>
        <v>0</v>
      </c>
      <c r="Z790" s="15">
        <f t="shared" si="263"/>
        <v>0</v>
      </c>
      <c r="AA790" s="15">
        <f t="shared" si="264"/>
        <v>0</v>
      </c>
      <c r="AC790" s="1"/>
      <c r="AD790" s="1"/>
      <c r="AE790" s="1"/>
    </row>
    <row r="791" spans="1:31">
      <c r="A791">
        <v>513</v>
      </c>
      <c r="B791">
        <f t="shared" si="244"/>
        <v>0.74577938037572411</v>
      </c>
      <c r="C791">
        <v>0.7328803023040944</v>
      </c>
      <c r="D791">
        <f t="shared" si="245"/>
        <v>1.3644792974461326</v>
      </c>
      <c r="E791" s="1">
        <f t="shared" si="246"/>
        <v>7.4199916026640417E-2</v>
      </c>
      <c r="F791" s="1">
        <f t="shared" si="247"/>
        <v>8.6071902590902916E-2</v>
      </c>
      <c r="G791" s="1">
        <f t="shared" si="248"/>
        <v>2.6711969769590574E-2</v>
      </c>
      <c r="H791" s="1">
        <f t="shared" si="249"/>
        <v>2.5884080331488042E-2</v>
      </c>
      <c r="I791" s="1">
        <f t="shared" si="250"/>
        <v>9.5127603547833672E-2</v>
      </c>
      <c r="J791" s="1">
        <f t="shared" si="251"/>
        <v>0.10306001421722874</v>
      </c>
      <c r="K791" s="1">
        <f t="shared" si="252"/>
        <v>6.337262901733462E-2</v>
      </c>
      <c r="L791" s="1">
        <f t="shared" si="253"/>
        <v>6.2839013583734338E-2</v>
      </c>
      <c r="M791" s="1">
        <f t="shared" si="254"/>
        <v>0.13698297859021996</v>
      </c>
      <c r="N791" s="1">
        <f t="shared" si="255"/>
        <v>0.1370362374698802</v>
      </c>
      <c r="O791" s="1">
        <f t="shared" si="256"/>
        <v>0.1366939475128226</v>
      </c>
      <c r="P791" s="1">
        <f t="shared" si="257"/>
        <v>0.13674888008822694</v>
      </c>
      <c r="Q791" s="1">
        <f t="shared" si="258"/>
        <v>2.0775976487459333</v>
      </c>
      <c r="T791">
        <v>0.16243546425141286</v>
      </c>
      <c r="U791">
        <f t="shared" si="265"/>
        <v>6.1562910821754366</v>
      </c>
      <c r="V791" s="15">
        <f t="shared" si="259"/>
        <v>8.2612159350280295E-2</v>
      </c>
      <c r="W791" s="15">
        <f t="shared" si="260"/>
        <v>8.6636048976216268E-2</v>
      </c>
      <c r="X791" s="15">
        <f t="shared" si="261"/>
        <v>9.4683828228088199E-2</v>
      </c>
      <c r="Y791" s="15">
        <f t="shared" si="262"/>
        <v>0.11743632096222539</v>
      </c>
      <c r="Z791" s="15">
        <f t="shared" si="263"/>
        <v>0.12086128550952932</v>
      </c>
      <c r="AA791" s="15">
        <f t="shared" si="264"/>
        <v>0.12771121460413723</v>
      </c>
      <c r="AC791" s="1"/>
      <c r="AD791" s="1"/>
      <c r="AE791" s="1"/>
    </row>
    <row r="792" spans="1:31">
      <c r="A792">
        <v>268</v>
      </c>
      <c r="B792">
        <f t="shared" si="244"/>
        <v>0.74681748982955753</v>
      </c>
      <c r="C792">
        <v>0.73471527199495135</v>
      </c>
      <c r="D792">
        <f t="shared" si="245"/>
        <v>1.3610714764166105</v>
      </c>
      <c r="E792" s="1">
        <f t="shared" si="246"/>
        <v>7.3690202223624601E-2</v>
      </c>
      <c r="F792" s="1">
        <f t="shared" si="247"/>
        <v>8.5480634579404552E-2</v>
      </c>
      <c r="G792" s="1">
        <f t="shared" si="248"/>
        <v>2.6528472800504868E-2</v>
      </c>
      <c r="H792" s="1">
        <f t="shared" si="249"/>
        <v>2.5706270520778916E-2</v>
      </c>
      <c r="I792" s="1">
        <f t="shared" si="250"/>
        <v>9.4474127706179911E-2</v>
      </c>
      <c r="J792" s="1">
        <f t="shared" si="251"/>
        <v>0.10235204694989833</v>
      </c>
      <c r="K792" s="1">
        <f t="shared" si="252"/>
        <v>6.2937292894690772E-2</v>
      </c>
      <c r="L792" s="1">
        <f t="shared" si="253"/>
        <v>6.2407343114187885E-2</v>
      </c>
      <c r="M792" s="1">
        <f t="shared" si="254"/>
        <v>0.13604197867129031</v>
      </c>
      <c r="N792" s="1">
        <f t="shared" si="255"/>
        <v>0.13609487169088563</v>
      </c>
      <c r="O792" s="1">
        <f t="shared" si="256"/>
        <v>0.13575493308306247</v>
      </c>
      <c r="P792" s="1">
        <f t="shared" si="257"/>
        <v>0.13580948830100575</v>
      </c>
      <c r="Q792" s="1">
        <f t="shared" si="258"/>
        <v>2.0633256622614899</v>
      </c>
      <c r="T792">
        <v>0.71432623797646688</v>
      </c>
      <c r="U792">
        <f t="shared" si="265"/>
        <v>1.3999205780719823</v>
      </c>
      <c r="V792" s="15">
        <f t="shared" si="259"/>
        <v>0</v>
      </c>
      <c r="W792" s="15">
        <f t="shared" si="260"/>
        <v>0</v>
      </c>
      <c r="X792" s="15">
        <f t="shared" si="261"/>
        <v>0</v>
      </c>
      <c r="Y792" s="15">
        <f t="shared" si="262"/>
        <v>0</v>
      </c>
      <c r="Z792" s="15">
        <f t="shared" si="263"/>
        <v>0</v>
      </c>
      <c r="AA792" s="15">
        <f t="shared" si="264"/>
        <v>0</v>
      </c>
      <c r="AC792" s="1"/>
      <c r="AD792" s="1"/>
      <c r="AE792" s="1"/>
    </row>
    <row r="793" spans="1:31">
      <c r="A793">
        <v>461</v>
      </c>
      <c r="B793">
        <f t="shared" si="244"/>
        <v>0.7480836670909391</v>
      </c>
      <c r="C793">
        <v>0.73687688969555887</v>
      </c>
      <c r="D793">
        <f t="shared" si="245"/>
        <v>1.3570787929217736</v>
      </c>
      <c r="E793" s="1">
        <f t="shared" si="246"/>
        <v>7.3089752862344731E-2</v>
      </c>
      <c r="F793" s="1">
        <f t="shared" si="247"/>
        <v>8.4784113320319904E-2</v>
      </c>
      <c r="G793" s="1">
        <f t="shared" si="248"/>
        <v>2.6312311030444124E-2</v>
      </c>
      <c r="H793" s="1">
        <f t="shared" si="249"/>
        <v>2.5496808295824666E-2</v>
      </c>
      <c r="I793" s="1">
        <f t="shared" si="250"/>
        <v>9.3704324829720131E-2</v>
      </c>
      <c r="J793" s="1">
        <f t="shared" si="251"/>
        <v>0.10151805247896104</v>
      </c>
      <c r="K793" s="1">
        <f t="shared" si="252"/>
        <v>6.2424461389565838E-2</v>
      </c>
      <c r="L793" s="1">
        <f t="shared" si="253"/>
        <v>6.189882979516656E-2</v>
      </c>
      <c r="M793" s="1">
        <f t="shared" si="254"/>
        <v>0.13493346876447077</v>
      </c>
      <c r="N793" s="1">
        <f t="shared" si="255"/>
        <v>0.13498593079624305</v>
      </c>
      <c r="O793" s="1">
        <f t="shared" si="256"/>
        <v>0.13464876210780924</v>
      </c>
      <c r="P793" s="1">
        <f t="shared" si="257"/>
        <v>0.13470287279385029</v>
      </c>
      <c r="Q793" s="1">
        <f t="shared" si="258"/>
        <v>2.0465130801456537</v>
      </c>
      <c r="T793">
        <v>0.14406479590504662</v>
      </c>
      <c r="U793">
        <f t="shared" si="265"/>
        <v>6.9413210473647009</v>
      </c>
      <c r="V793" s="15">
        <f t="shared" si="259"/>
        <v>8.5110244362796156E-2</v>
      </c>
      <c r="W793" s="15">
        <f t="shared" si="260"/>
        <v>8.8988533123261118E-2</v>
      </c>
      <c r="X793" s="15">
        <f t="shared" si="261"/>
        <v>9.6745110644190974E-2</v>
      </c>
      <c r="Y793" s="15">
        <f t="shared" si="262"/>
        <v>0.12113123159861318</v>
      </c>
      <c r="Z793" s="15">
        <f t="shared" si="263"/>
        <v>0.12440407169490482</v>
      </c>
      <c r="AA793" s="15">
        <f t="shared" si="264"/>
        <v>0.13094975188748809</v>
      </c>
      <c r="AC793" s="1"/>
      <c r="AD793" s="1"/>
      <c r="AE793" s="1"/>
    </row>
    <row r="794" spans="1:31">
      <c r="A794">
        <v>387</v>
      </c>
      <c r="B794">
        <f t="shared" si="244"/>
        <v>0.74814825823762265</v>
      </c>
      <c r="C794">
        <v>0.73702129535844085</v>
      </c>
      <c r="D794">
        <f t="shared" si="245"/>
        <v>1.3568128984843821</v>
      </c>
      <c r="E794" s="1">
        <f t="shared" si="246"/>
        <v>7.3049640178210862E-2</v>
      </c>
      <c r="F794" s="1">
        <f t="shared" si="247"/>
        <v>8.4737582606724621E-2</v>
      </c>
      <c r="G794" s="1">
        <f t="shared" si="248"/>
        <v>2.6297870464155923E-2</v>
      </c>
      <c r="H794" s="1">
        <f t="shared" si="249"/>
        <v>2.5482815288904545E-2</v>
      </c>
      <c r="I794" s="1">
        <f t="shared" si="250"/>
        <v>9.3652898578615529E-2</v>
      </c>
      <c r="J794" s="1">
        <f t="shared" si="251"/>
        <v>0.10146233794424855</v>
      </c>
      <c r="K794" s="1">
        <f t="shared" si="252"/>
        <v>6.239020196736389E-2</v>
      </c>
      <c r="L794" s="1">
        <f t="shared" si="253"/>
        <v>6.1864858846974874E-2</v>
      </c>
      <c r="M794" s="1">
        <f t="shared" si="254"/>
        <v>0.13485941537942464</v>
      </c>
      <c r="N794" s="1">
        <f t="shared" si="255"/>
        <v>0.13491184861929623</v>
      </c>
      <c r="O794" s="1">
        <f t="shared" si="256"/>
        <v>0.1345748649737798</v>
      </c>
      <c r="P794" s="1">
        <f t="shared" si="257"/>
        <v>0.13462894596311548</v>
      </c>
      <c r="Q794" s="1">
        <f t="shared" si="258"/>
        <v>2.0453899249899052</v>
      </c>
      <c r="T794">
        <v>0.9715283175451721</v>
      </c>
      <c r="U794">
        <f t="shared" si="265"/>
        <v>1.029306075737215</v>
      </c>
      <c r="V794" s="15">
        <f t="shared" si="259"/>
        <v>0</v>
      </c>
      <c r="W794" s="15">
        <f t="shared" si="260"/>
        <v>0</v>
      </c>
      <c r="X794" s="15">
        <f t="shared" si="261"/>
        <v>0</v>
      </c>
      <c r="Y794" s="15">
        <f t="shared" si="262"/>
        <v>0</v>
      </c>
      <c r="Z794" s="15">
        <f t="shared" si="263"/>
        <v>0</v>
      </c>
      <c r="AA794" s="15">
        <f t="shared" si="264"/>
        <v>0</v>
      </c>
      <c r="AC794" s="1"/>
      <c r="AD794" s="1"/>
      <c r="AE794" s="1"/>
    </row>
    <row r="795" spans="1:31">
      <c r="A795">
        <v>264</v>
      </c>
      <c r="B795">
        <f t="shared" si="244"/>
        <v>0.7482212568251827</v>
      </c>
      <c r="C795">
        <v>0.73718449743747672</v>
      </c>
      <c r="D795">
        <f t="shared" si="245"/>
        <v>1.3565125195607002</v>
      </c>
      <c r="E795" s="1">
        <f t="shared" si="246"/>
        <v>7.3004306267367564E-2</v>
      </c>
      <c r="F795" s="1">
        <f t="shared" si="247"/>
        <v>8.468499527014639E-2</v>
      </c>
      <c r="G795" s="1">
        <f t="shared" si="248"/>
        <v>2.628155025625234E-2</v>
      </c>
      <c r="H795" s="1">
        <f t="shared" si="249"/>
        <v>2.5467000896478728E-2</v>
      </c>
      <c r="I795" s="1">
        <f t="shared" si="250"/>
        <v>9.3594778481870061E-2</v>
      </c>
      <c r="J795" s="1">
        <f t="shared" si="251"/>
        <v>0.10139937138382341</v>
      </c>
      <c r="K795" s="1">
        <f t="shared" si="252"/>
        <v>6.2351483202335301E-2</v>
      </c>
      <c r="L795" s="1">
        <f t="shared" si="253"/>
        <v>6.1826466104882516E-2</v>
      </c>
      <c r="M795" s="1">
        <f t="shared" si="254"/>
        <v>0.13477572291087486</v>
      </c>
      <c r="N795" s="1">
        <f t="shared" si="255"/>
        <v>0.13482812361117719</v>
      </c>
      <c r="O795" s="1">
        <f t="shared" si="256"/>
        <v>0.13449134909450117</v>
      </c>
      <c r="P795" s="1">
        <f t="shared" si="257"/>
        <v>0.13454539652169001</v>
      </c>
      <c r="Q795" s="1">
        <f t="shared" si="258"/>
        <v>2.0441205754862928</v>
      </c>
      <c r="T795">
        <v>7.3280861542485698E-2</v>
      </c>
      <c r="U795">
        <f t="shared" si="265"/>
        <v>13.646127774033262</v>
      </c>
      <c r="V795" s="15">
        <f t="shared" si="259"/>
        <v>9.7585890477196069E-2</v>
      </c>
      <c r="W795" s="15">
        <f t="shared" si="260"/>
        <v>0.10069040480953423</v>
      </c>
      <c r="X795" s="15">
        <f t="shared" si="261"/>
        <v>0.1068994334742106</v>
      </c>
      <c r="Y795" s="15">
        <f t="shared" si="262"/>
        <v>0.13957456457145692</v>
      </c>
      <c r="Z795" s="15">
        <f t="shared" si="263"/>
        <v>0.14203529008446836</v>
      </c>
      <c r="AA795" s="15">
        <f t="shared" si="264"/>
        <v>0.14695674111049112</v>
      </c>
      <c r="AC795" s="1"/>
      <c r="AD795" s="1"/>
      <c r="AE795" s="1"/>
    </row>
    <row r="796" spans="1:31">
      <c r="A796">
        <v>79</v>
      </c>
      <c r="B796">
        <f t="shared" si="244"/>
        <v>0.74868723093893053</v>
      </c>
      <c r="C796">
        <v>0.73804713646720654</v>
      </c>
      <c r="D796">
        <f t="shared" si="245"/>
        <v>1.3549270101997513</v>
      </c>
      <c r="E796" s="1">
        <f t="shared" si="246"/>
        <v>7.2764684314664846E-2</v>
      </c>
      <c r="F796" s="1">
        <f t="shared" si="247"/>
        <v>8.4407033805011217E-2</v>
      </c>
      <c r="G796" s="1">
        <f t="shared" si="248"/>
        <v>2.6195286353279348E-2</v>
      </c>
      <c r="H796" s="1">
        <f t="shared" si="249"/>
        <v>2.5383410587957102E-2</v>
      </c>
      <c r="I796" s="1">
        <f t="shared" si="250"/>
        <v>9.3287572445277245E-2</v>
      </c>
      <c r="J796" s="1">
        <f t="shared" si="251"/>
        <v>0.10106654834068901</v>
      </c>
      <c r="K796" s="1">
        <f t="shared" si="252"/>
        <v>6.2146826998848659E-2</v>
      </c>
      <c r="L796" s="1">
        <f t="shared" si="253"/>
        <v>6.1623533164426869E-2</v>
      </c>
      <c r="M796" s="1">
        <f t="shared" si="254"/>
        <v>0.13433334870650193</v>
      </c>
      <c r="N796" s="1">
        <f t="shared" si="255"/>
        <v>0.13438557741204432</v>
      </c>
      <c r="O796" s="1">
        <f t="shared" si="256"/>
        <v>0.1340499082899872</v>
      </c>
      <c r="P796" s="1">
        <f t="shared" si="257"/>
        <v>0.13410377831736636</v>
      </c>
      <c r="Q796" s="1">
        <f t="shared" si="258"/>
        <v>2.037411160810616</v>
      </c>
      <c r="T796">
        <v>0.18919555040248559</v>
      </c>
      <c r="U796">
        <f t="shared" si="265"/>
        <v>5.2855365671795544</v>
      </c>
      <c r="V796" s="15">
        <f t="shared" si="259"/>
        <v>7.8973262338629058E-2</v>
      </c>
      <c r="W796" s="15">
        <f t="shared" si="260"/>
        <v>8.3209245048508032E-2</v>
      </c>
      <c r="X796" s="15">
        <f t="shared" si="261"/>
        <v>9.1681210468266064E-2</v>
      </c>
      <c r="Y796" s="15">
        <f t="shared" si="262"/>
        <v>0.1120540384515398</v>
      </c>
      <c r="Z796" s="15">
        <f t="shared" si="263"/>
        <v>0.11570059882421169</v>
      </c>
      <c r="AA796" s="15">
        <f t="shared" si="264"/>
        <v>0.12299371956955554</v>
      </c>
      <c r="AC796" s="1"/>
      <c r="AD796" s="1"/>
      <c r="AE796" s="1"/>
    </row>
    <row r="797" spans="1:31">
      <c r="A797">
        <v>956</v>
      </c>
      <c r="B797">
        <f t="shared" si="244"/>
        <v>0.75038488398886982</v>
      </c>
      <c r="C797">
        <v>0.74018724132850255</v>
      </c>
      <c r="D797">
        <f t="shared" si="245"/>
        <v>1.3510095070068764</v>
      </c>
      <c r="E797" s="1">
        <f t="shared" si="246"/>
        <v>7.2170210742082602E-2</v>
      </c>
      <c r="F797" s="1">
        <f t="shared" si="247"/>
        <v>8.3717444460815832E-2</v>
      </c>
      <c r="G797" s="1">
        <f t="shared" si="248"/>
        <v>2.5981275867149753E-2</v>
      </c>
      <c r="H797" s="1">
        <f t="shared" si="249"/>
        <v>2.5176032971759528E-2</v>
      </c>
      <c r="I797" s="1">
        <f t="shared" si="250"/>
        <v>9.2525430796599889E-2</v>
      </c>
      <c r="J797" s="1">
        <f t="shared" si="251"/>
        <v>0.10024085394475338</v>
      </c>
      <c r="K797" s="1">
        <f t="shared" si="252"/>
        <v>6.1639099292494698E-2</v>
      </c>
      <c r="L797" s="1">
        <f t="shared" si="253"/>
        <v>6.1120080668749466E-2</v>
      </c>
      <c r="M797" s="1">
        <f t="shared" si="254"/>
        <v>0.13323587090563427</v>
      </c>
      <c r="N797" s="1">
        <f t="shared" si="255"/>
        <v>0.13328767291262822</v>
      </c>
      <c r="O797" s="1">
        <f t="shared" si="256"/>
        <v>0.13295474614318453</v>
      </c>
      <c r="P797" s="1">
        <f t="shared" si="257"/>
        <v>0.1330081760627293</v>
      </c>
      <c r="Q797" s="1">
        <f t="shared" si="258"/>
        <v>2.0207659007783141</v>
      </c>
      <c r="T797">
        <v>0.18050623709874136</v>
      </c>
      <c r="U797">
        <f t="shared" si="265"/>
        <v>5.539974773575139</v>
      </c>
      <c r="V797" s="15">
        <f t="shared" si="259"/>
        <v>8.0154854805700712E-2</v>
      </c>
      <c r="W797" s="15">
        <f t="shared" si="260"/>
        <v>8.4321968407852083E-2</v>
      </c>
      <c r="X797" s="15">
        <f t="shared" si="261"/>
        <v>9.2656195612154893E-2</v>
      </c>
      <c r="Y797" s="15">
        <f t="shared" si="262"/>
        <v>0.11380172860322997</v>
      </c>
      <c r="Z797" s="15">
        <f t="shared" si="263"/>
        <v>0.11737633421676716</v>
      </c>
      <c r="AA797" s="15">
        <f t="shared" si="264"/>
        <v>0.12452554544384163</v>
      </c>
      <c r="AC797" s="1"/>
      <c r="AD797" s="1"/>
      <c r="AE797" s="1"/>
    </row>
    <row r="798" spans="1:31">
      <c r="A798">
        <v>402</v>
      </c>
      <c r="B798">
        <f t="shared" si="244"/>
        <v>0.75047434037388094</v>
      </c>
      <c r="C798">
        <v>0.74024391343193818</v>
      </c>
      <c r="D798">
        <f t="shared" si="245"/>
        <v>1.3509060754904068</v>
      </c>
      <c r="E798" s="1">
        <f t="shared" si="246"/>
        <v>7.2154468491128276E-2</v>
      </c>
      <c r="F798" s="1">
        <f t="shared" si="247"/>
        <v>8.3699183449708808E-2</v>
      </c>
      <c r="G798" s="1">
        <f t="shared" si="248"/>
        <v>2.597560865680619E-2</v>
      </c>
      <c r="H798" s="1">
        <f t="shared" si="249"/>
        <v>2.517054140640311E-2</v>
      </c>
      <c r="I798" s="1">
        <f t="shared" si="250"/>
        <v>9.2505248528372025E-2</v>
      </c>
      <c r="J798" s="1">
        <f t="shared" si="251"/>
        <v>0.10021898873662319</v>
      </c>
      <c r="K798" s="1">
        <f t="shared" si="252"/>
        <v>6.1625654158280946E-2</v>
      </c>
      <c r="L798" s="1">
        <f t="shared" si="253"/>
        <v>6.1106748746362877E-2</v>
      </c>
      <c r="M798" s="1">
        <f t="shared" si="254"/>
        <v>0.13320680860285933</v>
      </c>
      <c r="N798" s="1">
        <f t="shared" si="255"/>
        <v>0.1332585993104517</v>
      </c>
      <c r="O798" s="1">
        <f t="shared" si="256"/>
        <v>0.1329257451612304</v>
      </c>
      <c r="P798" s="1">
        <f t="shared" si="257"/>
        <v>0.13297916342628235</v>
      </c>
      <c r="Q798" s="1">
        <f t="shared" si="258"/>
        <v>2.0203251177515922</v>
      </c>
      <c r="T798">
        <v>0.47875557602207286</v>
      </c>
      <c r="U798">
        <f t="shared" si="265"/>
        <v>2.0887485182081624</v>
      </c>
      <c r="V798" s="15">
        <f t="shared" si="259"/>
        <v>5.9268260168124899E-2</v>
      </c>
      <c r="W798" s="15">
        <f t="shared" si="260"/>
        <v>6.4316555297892708E-2</v>
      </c>
      <c r="X798" s="15">
        <f t="shared" si="261"/>
        <v>7.4413145557428145E-2</v>
      </c>
      <c r="Y798" s="15">
        <f t="shared" si="262"/>
        <v>8.2891192893679744E-2</v>
      </c>
      <c r="Z798" s="15">
        <f t="shared" si="263"/>
        <v>8.7353300588678642E-2</v>
      </c>
      <c r="AA798" s="15">
        <f t="shared" si="264"/>
        <v>9.6277515978676356E-2</v>
      </c>
      <c r="AC798" s="1"/>
      <c r="AD798" s="1"/>
      <c r="AE798" s="1"/>
    </row>
    <row r="799" spans="1:31">
      <c r="A799">
        <v>58</v>
      </c>
      <c r="B799">
        <f t="shared" si="244"/>
        <v>0.7512813424363779</v>
      </c>
      <c r="C799">
        <v>0.74091235491739571</v>
      </c>
      <c r="D799">
        <f t="shared" si="245"/>
        <v>1.3496873056078138</v>
      </c>
      <c r="E799" s="1">
        <f t="shared" si="246"/>
        <v>7.1968790300723395E-2</v>
      </c>
      <c r="F799" s="1">
        <f t="shared" si="247"/>
        <v>8.3483796748839156E-2</v>
      </c>
      <c r="G799" s="1">
        <f t="shared" si="248"/>
        <v>2.5908764508260435E-2</v>
      </c>
      <c r="H799" s="1">
        <f t="shared" si="249"/>
        <v>2.5105768971963704E-2</v>
      </c>
      <c r="I799" s="1">
        <f t="shared" si="250"/>
        <v>9.2267200802307575E-2</v>
      </c>
      <c r="J799" s="1">
        <f t="shared" si="251"/>
        <v>9.9961090911832057E-2</v>
      </c>
      <c r="K799" s="1">
        <f t="shared" si="252"/>
        <v>6.1467070217661485E-2</v>
      </c>
      <c r="L799" s="1">
        <f t="shared" si="253"/>
        <v>6.0949500127309653E-2</v>
      </c>
      <c r="M799" s="1">
        <f t="shared" si="254"/>
        <v>0.13286402180547574</v>
      </c>
      <c r="N799" s="1">
        <f t="shared" si="255"/>
        <v>0.13291567923781761</v>
      </c>
      <c r="O799" s="1">
        <f t="shared" si="256"/>
        <v>0.1325836816364635</v>
      </c>
      <c r="P799" s="1">
        <f t="shared" si="257"/>
        <v>0.13263696243800149</v>
      </c>
      <c r="Q799" s="1">
        <f t="shared" si="258"/>
        <v>2.0151261284202562</v>
      </c>
      <c r="T799">
        <v>0.63142451313592596</v>
      </c>
      <c r="U799">
        <f t="shared" si="265"/>
        <v>1.5837205860658934</v>
      </c>
      <c r="V799" s="15">
        <f t="shared" si="259"/>
        <v>0</v>
      </c>
      <c r="W799" s="15">
        <f t="shared" si="260"/>
        <v>0</v>
      </c>
      <c r="X799" s="15">
        <f t="shared" si="261"/>
        <v>0</v>
      </c>
      <c r="Y799" s="15">
        <f t="shared" si="262"/>
        <v>0</v>
      </c>
      <c r="Z799" s="15">
        <f t="shared" si="263"/>
        <v>0</v>
      </c>
      <c r="AA799" s="15">
        <f t="shared" si="264"/>
        <v>0</v>
      </c>
      <c r="AC799" s="1"/>
      <c r="AD799" s="1"/>
      <c r="AE799" s="1"/>
    </row>
    <row r="800" spans="1:31">
      <c r="A800">
        <v>241</v>
      </c>
      <c r="B800">
        <f t="shared" si="244"/>
        <v>0.75131923918065668</v>
      </c>
      <c r="C800">
        <v>0.74119804235445363</v>
      </c>
      <c r="D800">
        <f t="shared" si="245"/>
        <v>1.3491670820169042</v>
      </c>
      <c r="E800" s="1">
        <f t="shared" si="246"/>
        <v>7.188943267931841E-2</v>
      </c>
      <c r="F800" s="1">
        <f t="shared" si="247"/>
        <v>8.3391741908009381E-2</v>
      </c>
      <c r="G800" s="1">
        <f t="shared" si="248"/>
        <v>2.588019576455465E-2</v>
      </c>
      <c r="H800" s="1">
        <f t="shared" si="249"/>
        <v>2.5078085665063136E-2</v>
      </c>
      <c r="I800" s="1">
        <f t="shared" si="250"/>
        <v>9.2165460790299997E-2</v>
      </c>
      <c r="J800" s="1">
        <f t="shared" si="251"/>
        <v>9.9850867099889912E-2</v>
      </c>
      <c r="K800" s="1">
        <f t="shared" si="252"/>
        <v>6.1399292498085761E-2</v>
      </c>
      <c r="L800" s="1">
        <f t="shared" si="253"/>
        <v>6.08822931152741E-2</v>
      </c>
      <c r="M800" s="1">
        <f t="shared" si="254"/>
        <v>0.13271751701226298</v>
      </c>
      <c r="N800" s="1">
        <f t="shared" si="255"/>
        <v>0.13276911748365078</v>
      </c>
      <c r="O800" s="1">
        <f t="shared" si="256"/>
        <v>0.13243748596514793</v>
      </c>
      <c r="P800" s="1">
        <f t="shared" si="257"/>
        <v>0.13249070801569596</v>
      </c>
      <c r="Q800" s="1">
        <f t="shared" si="258"/>
        <v>2.012904115020917</v>
      </c>
      <c r="T800">
        <v>0.66745246845378381</v>
      </c>
      <c r="U800">
        <f t="shared" si="265"/>
        <v>1.4982340275354644</v>
      </c>
      <c r="V800" s="15">
        <f t="shared" si="259"/>
        <v>0</v>
      </c>
      <c r="W800" s="15">
        <f t="shared" si="260"/>
        <v>0</v>
      </c>
      <c r="X800" s="15">
        <f t="shared" si="261"/>
        <v>0</v>
      </c>
      <c r="Y800" s="15">
        <f t="shared" si="262"/>
        <v>0</v>
      </c>
      <c r="Z800" s="15">
        <f t="shared" si="263"/>
        <v>0</v>
      </c>
      <c r="AA800" s="15">
        <f t="shared" si="264"/>
        <v>0</v>
      </c>
      <c r="AC800" s="1"/>
      <c r="AD800" s="1"/>
      <c r="AE800" s="1"/>
    </row>
    <row r="801" spans="1:31">
      <c r="A801">
        <v>841</v>
      </c>
      <c r="B801">
        <f t="shared" si="244"/>
        <v>0.7515199423753004</v>
      </c>
      <c r="C801">
        <v>0.74248261820652339</v>
      </c>
      <c r="D801">
        <f t="shared" si="245"/>
        <v>1.3468328759203996</v>
      </c>
      <c r="E801" s="1">
        <f t="shared" si="246"/>
        <v>7.153260605374348E-2</v>
      </c>
      <c r="F801" s="1">
        <f t="shared" si="247"/>
        <v>8.2977823022342467E-2</v>
      </c>
      <c r="G801" s="1">
        <f t="shared" si="248"/>
        <v>2.5751738179347672E-2</v>
      </c>
      <c r="H801" s="1">
        <f t="shared" si="249"/>
        <v>2.4953609391566017E-2</v>
      </c>
      <c r="I801" s="1">
        <f t="shared" si="250"/>
        <v>9.1707993132778443E-2</v>
      </c>
      <c r="J801" s="1">
        <f t="shared" si="251"/>
        <v>9.9355252561840635E-2</v>
      </c>
      <c r="K801" s="1">
        <f t="shared" si="252"/>
        <v>6.1094534183292665E-2</v>
      </c>
      <c r="L801" s="1">
        <f t="shared" si="253"/>
        <v>6.0580100951559357E-2</v>
      </c>
      <c r="M801" s="1">
        <f t="shared" si="254"/>
        <v>0.13205876729084814</v>
      </c>
      <c r="N801" s="1">
        <f t="shared" si="255"/>
        <v>0.1321101116408368</v>
      </c>
      <c r="O801" s="1">
        <f t="shared" si="256"/>
        <v>0.13178012619118262</v>
      </c>
      <c r="P801" s="1">
        <f t="shared" si="257"/>
        <v>0.13183308407154604</v>
      </c>
      <c r="Q801" s="1">
        <f t="shared" si="258"/>
        <v>2.0029129695048189</v>
      </c>
      <c r="T801">
        <v>0.4743862112103614</v>
      </c>
      <c r="U801">
        <f t="shared" si="265"/>
        <v>2.1079870712274156</v>
      </c>
      <c r="V801" s="15">
        <f t="shared" si="259"/>
        <v>5.9554097727130349E-2</v>
      </c>
      <c r="W801" s="15">
        <f t="shared" si="260"/>
        <v>6.4591002494376909E-2</v>
      </c>
      <c r="X801" s="15">
        <f t="shared" si="261"/>
        <v>7.4664812028869834E-2</v>
      </c>
      <c r="Y801" s="15">
        <f t="shared" si="262"/>
        <v>8.3314244530010795E-2</v>
      </c>
      <c r="Z801" s="15">
        <f t="shared" si="263"/>
        <v>8.776497129624708E-2</v>
      </c>
      <c r="AA801" s="15">
        <f t="shared" si="264"/>
        <v>9.6666424828719566E-2</v>
      </c>
      <c r="AC801" s="1"/>
      <c r="AD801" s="1"/>
      <c r="AE801" s="1"/>
    </row>
    <row r="802" spans="1:31">
      <c r="A802">
        <v>471</v>
      </c>
      <c r="B802">
        <f t="shared" si="244"/>
        <v>0.75154155474278594</v>
      </c>
      <c r="C802">
        <v>0.74260714755562485</v>
      </c>
      <c r="D802">
        <f t="shared" si="245"/>
        <v>1.3466070226924327</v>
      </c>
      <c r="E802" s="1">
        <f t="shared" si="246"/>
        <v>7.1498014567881962E-2</v>
      </c>
      <c r="F802" s="1">
        <f t="shared" si="247"/>
        <v>8.2937696898743113E-2</v>
      </c>
      <c r="G802" s="1">
        <f t="shared" si="248"/>
        <v>2.5739285244437526E-2</v>
      </c>
      <c r="H802" s="1">
        <f t="shared" si="249"/>
        <v>2.4941542412965881E-2</v>
      </c>
      <c r="I802" s="1">
        <f t="shared" si="250"/>
        <v>9.1663645304244729E-2</v>
      </c>
      <c r="J802" s="1">
        <f t="shared" si="251"/>
        <v>9.9307206698508371E-2</v>
      </c>
      <c r="K802" s="1">
        <f t="shared" si="252"/>
        <v>6.1064990303487304E-2</v>
      </c>
      <c r="L802" s="1">
        <f t="shared" si="253"/>
        <v>6.0550805839565541E-2</v>
      </c>
      <c r="M802" s="1">
        <f t="shared" si="254"/>
        <v>0.13199490677697007</v>
      </c>
      <c r="N802" s="1">
        <f t="shared" si="255"/>
        <v>0.13204622629803864</v>
      </c>
      <c r="O802" s="1">
        <f t="shared" si="256"/>
        <v>0.13171640042158678</v>
      </c>
      <c r="P802" s="1">
        <f t="shared" si="257"/>
        <v>0.13176933269276481</v>
      </c>
      <c r="Q802" s="1">
        <f t="shared" si="258"/>
        <v>2.0019444079006963</v>
      </c>
      <c r="T802">
        <v>0.35346787069589425</v>
      </c>
      <c r="U802">
        <f t="shared" si="265"/>
        <v>2.8291114494543383</v>
      </c>
      <c r="V802" s="15">
        <f t="shared" si="259"/>
        <v>6.7464401577018107E-2</v>
      </c>
      <c r="W802" s="15">
        <f t="shared" si="260"/>
        <v>7.2186088047491534E-2</v>
      </c>
      <c r="X802" s="15">
        <f t="shared" si="261"/>
        <v>8.1629460988438332E-2</v>
      </c>
      <c r="Y802" s="15">
        <f t="shared" si="262"/>
        <v>9.5021827673439044E-2</v>
      </c>
      <c r="Z802" s="15">
        <f t="shared" si="263"/>
        <v>9.9157597213901688E-2</v>
      </c>
      <c r="AA802" s="15">
        <f t="shared" si="264"/>
        <v>0.10742913629482699</v>
      </c>
      <c r="AC802" s="1"/>
      <c r="AD802" s="1"/>
      <c r="AE802" s="1"/>
    </row>
    <row r="803" spans="1:31">
      <c r="A803">
        <v>16</v>
      </c>
      <c r="B803">
        <f t="shared" si="244"/>
        <v>0.75250823860713278</v>
      </c>
      <c r="C803">
        <v>0.74374518576961091</v>
      </c>
      <c r="D803">
        <f t="shared" si="245"/>
        <v>1.3445465182611196</v>
      </c>
      <c r="E803" s="1">
        <f t="shared" si="246"/>
        <v>7.118189284177473E-2</v>
      </c>
      <c r="F803" s="1">
        <f t="shared" si="247"/>
        <v>8.2570995696458704E-2</v>
      </c>
      <c r="G803" s="1">
        <f t="shared" si="248"/>
        <v>2.5625481423038915E-2</v>
      </c>
      <c r="H803" s="1">
        <f t="shared" si="249"/>
        <v>2.4831265736235543E-2</v>
      </c>
      <c r="I803" s="1">
        <f t="shared" si="250"/>
        <v>9.1258363144313598E-2</v>
      </c>
      <c r="J803" s="1">
        <f t="shared" si="251"/>
        <v>9.886812925298552E-2</v>
      </c>
      <c r="K803" s="1">
        <f t="shared" si="252"/>
        <v>6.0794997209887014E-2</v>
      </c>
      <c r="L803" s="1">
        <f t="shared" si="253"/>
        <v>6.0283086164063027E-2</v>
      </c>
      <c r="M803" s="1">
        <f t="shared" si="254"/>
        <v>0.13141130374939114</v>
      </c>
      <c r="N803" s="1">
        <f t="shared" si="255"/>
        <v>0.1314623963660389</v>
      </c>
      <c r="O803" s="1">
        <f t="shared" si="256"/>
        <v>0.13113402878358316</v>
      </c>
      <c r="P803" s="1">
        <f t="shared" si="257"/>
        <v>0.1311867270197179</v>
      </c>
      <c r="Q803" s="1">
        <f t="shared" si="258"/>
        <v>1.9930929995696935</v>
      </c>
      <c r="T803">
        <v>0.40412289164405624</v>
      </c>
      <c r="U803">
        <f t="shared" si="265"/>
        <v>2.4744948150098387</v>
      </c>
      <c r="V803" s="15">
        <f t="shared" si="259"/>
        <v>6.415062299291284E-2</v>
      </c>
      <c r="W803" s="15">
        <f t="shared" si="260"/>
        <v>6.900436047697403E-2</v>
      </c>
      <c r="X803" s="15">
        <f t="shared" si="261"/>
        <v>7.8711835445096315E-2</v>
      </c>
      <c r="Y803" s="15">
        <f t="shared" si="262"/>
        <v>9.011729568218374E-2</v>
      </c>
      <c r="Z803" s="15">
        <f t="shared" si="263"/>
        <v>9.4385006868565935E-2</v>
      </c>
      <c r="AA803" s="15">
        <f t="shared" si="264"/>
        <v>0.10292042924133028</v>
      </c>
      <c r="AC803" s="1"/>
      <c r="AD803" s="1"/>
      <c r="AE803" s="1"/>
    </row>
    <row r="804" spans="1:31">
      <c r="A804">
        <v>203</v>
      </c>
      <c r="B804">
        <f t="shared" si="244"/>
        <v>0.75411027706695499</v>
      </c>
      <c r="C804">
        <v>0.74482167574000435</v>
      </c>
      <c r="D804">
        <f t="shared" si="245"/>
        <v>1.3426032466180147</v>
      </c>
      <c r="E804" s="1">
        <f t="shared" si="246"/>
        <v>7.0882867849998782E-2</v>
      </c>
      <c r="F804" s="1">
        <f t="shared" si="247"/>
        <v>8.2224126705998601E-2</v>
      </c>
      <c r="G804" s="1">
        <f t="shared" si="248"/>
        <v>2.5517832425999573E-2</v>
      </c>
      <c r="H804" s="1">
        <f t="shared" si="249"/>
        <v>2.4726953126158295E-2</v>
      </c>
      <c r="I804" s="1">
        <f t="shared" si="250"/>
        <v>9.0874999760743924E-2</v>
      </c>
      <c r="J804" s="1">
        <f t="shared" si="251"/>
        <v>9.8452798326024993E-2</v>
      </c>
      <c r="K804" s="1">
        <f t="shared" si="252"/>
        <v>6.053960608701936E-2</v>
      </c>
      <c r="L804" s="1">
        <f t="shared" si="253"/>
        <v>6.0029845506575752E-2</v>
      </c>
      <c r="M804" s="1">
        <f t="shared" si="254"/>
        <v>0.1308592635822341</v>
      </c>
      <c r="N804" s="1">
        <f t="shared" si="255"/>
        <v>0.13091014156607761</v>
      </c>
      <c r="O804" s="1">
        <f t="shared" si="256"/>
        <v>0.13058315340905891</v>
      </c>
      <c r="P804" s="1">
        <f t="shared" si="257"/>
        <v>0.13063563026741065</v>
      </c>
      <c r="Q804" s="1">
        <f t="shared" si="258"/>
        <v>1.9847202997999664</v>
      </c>
      <c r="T804">
        <v>0.34201829847559428</v>
      </c>
      <c r="U804">
        <f t="shared" si="265"/>
        <v>2.923820171192852</v>
      </c>
      <c r="V804" s="15">
        <f t="shared" si="259"/>
        <v>6.8213416117148776E-2</v>
      </c>
      <c r="W804" s="15">
        <f t="shared" si="260"/>
        <v>7.2905255050526432E-2</v>
      </c>
      <c r="X804" s="15">
        <f t="shared" si="261"/>
        <v>8.2288932917281718E-2</v>
      </c>
      <c r="Y804" s="15">
        <f t="shared" si="262"/>
        <v>9.6130400766284388E-2</v>
      </c>
      <c r="Z804" s="15">
        <f t="shared" si="263"/>
        <v>0.10023634749006381</v>
      </c>
      <c r="AA804" s="15">
        <f t="shared" si="264"/>
        <v>0.1084482409376227</v>
      </c>
      <c r="AC804" s="1"/>
      <c r="AD804" s="1"/>
      <c r="AE804" s="1"/>
    </row>
    <row r="805" spans="1:31">
      <c r="A805">
        <v>793</v>
      </c>
      <c r="B805">
        <f t="shared" si="244"/>
        <v>0.75486619666459009</v>
      </c>
      <c r="C805">
        <v>0.74535106918772842</v>
      </c>
      <c r="D805">
        <f t="shared" si="245"/>
        <v>1.3416496485203728</v>
      </c>
      <c r="E805" s="1">
        <f t="shared" si="246"/>
        <v>7.0735814114519874E-2</v>
      </c>
      <c r="F805" s="1">
        <f t="shared" si="247"/>
        <v>8.2053544372843068E-2</v>
      </c>
      <c r="G805" s="1">
        <f t="shared" si="248"/>
        <v>2.5464893081227166E-2</v>
      </c>
      <c r="H805" s="1">
        <f t="shared" si="249"/>
        <v>2.4675654541119266E-2</v>
      </c>
      <c r="I805" s="1">
        <f t="shared" si="250"/>
        <v>9.0686470309526729E-2</v>
      </c>
      <c r="J805" s="1">
        <f t="shared" si="251"/>
        <v>9.8248547959168625E-2</v>
      </c>
      <c r="K805" s="1">
        <f t="shared" si="252"/>
        <v>6.041401050250722E-2</v>
      </c>
      <c r="L805" s="1">
        <f t="shared" si="253"/>
        <v>5.9905307472355063E-2</v>
      </c>
      <c r="M805" s="1">
        <f t="shared" si="254"/>
        <v>0.13058778269954024</v>
      </c>
      <c r="N805" s="1">
        <f t="shared" si="255"/>
        <v>0.13063855513181954</v>
      </c>
      <c r="O805" s="1">
        <f t="shared" si="256"/>
        <v>0.13031224534506725</v>
      </c>
      <c r="P805" s="1">
        <f t="shared" si="257"/>
        <v>0.13036461333482663</v>
      </c>
      <c r="Q805" s="1">
        <f t="shared" si="258"/>
        <v>1.9806027952065568</v>
      </c>
      <c r="T805">
        <v>8.1750993131043281E-2</v>
      </c>
      <c r="U805">
        <f t="shared" si="265"/>
        <v>12.232267299762873</v>
      </c>
      <c r="V805" s="15">
        <f t="shared" si="259"/>
        <v>9.5758517432620344E-2</v>
      </c>
      <c r="W805" s="15">
        <f t="shared" si="260"/>
        <v>9.8982683030010274E-2</v>
      </c>
      <c r="X805" s="15">
        <f t="shared" si="261"/>
        <v>0.10543101422479011</v>
      </c>
      <c r="Y805" s="15">
        <f t="shared" si="262"/>
        <v>0.13687434041913513</v>
      </c>
      <c r="Z805" s="15">
        <f t="shared" si="263"/>
        <v>0.13946111291971425</v>
      </c>
      <c r="AA805" s="15">
        <f t="shared" si="264"/>
        <v>0.14463465792087235</v>
      </c>
      <c r="AC805" s="1"/>
      <c r="AD805" s="1"/>
      <c r="AE805" s="1"/>
    </row>
    <row r="806" spans="1:31">
      <c r="A806">
        <v>380</v>
      </c>
      <c r="B806">
        <f t="shared" si="244"/>
        <v>0.75490758829975046</v>
      </c>
      <c r="C806">
        <v>0.7453800570066883</v>
      </c>
      <c r="D806">
        <f t="shared" si="245"/>
        <v>1.3415974717861643</v>
      </c>
      <c r="E806" s="1">
        <f t="shared" si="246"/>
        <v>7.0727761942586564E-2</v>
      </c>
      <c r="F806" s="1">
        <f t="shared" si="247"/>
        <v>8.2044203853400444E-2</v>
      </c>
      <c r="G806" s="1">
        <f t="shared" si="248"/>
        <v>2.5461994299331173E-2</v>
      </c>
      <c r="H806" s="1">
        <f t="shared" si="249"/>
        <v>2.4672845601752147E-2</v>
      </c>
      <c r="I806" s="1">
        <f t="shared" si="250"/>
        <v>9.0676147065776758E-2</v>
      </c>
      <c r="J806" s="1">
        <f t="shared" si="251"/>
        <v>9.8237363890528617E-2</v>
      </c>
      <c r="K806" s="1">
        <f t="shared" si="252"/>
        <v>6.0407133307329136E-2</v>
      </c>
      <c r="L806" s="1">
        <f t="shared" si="253"/>
        <v>5.98984881851026E-2</v>
      </c>
      <c r="M806" s="1">
        <f t="shared" si="254"/>
        <v>0.13057291731215698</v>
      </c>
      <c r="N806" s="1">
        <f t="shared" si="255"/>
        <v>0.1306236839647848</v>
      </c>
      <c r="O806" s="1">
        <f t="shared" si="256"/>
        <v>0.13029741132332501</v>
      </c>
      <c r="P806" s="1">
        <f t="shared" si="257"/>
        <v>0.13034977335180348</v>
      </c>
      <c r="Q806" s="1">
        <f t="shared" si="258"/>
        <v>1.9803773343924247</v>
      </c>
      <c r="T806">
        <v>0.77742442474025852</v>
      </c>
      <c r="U806">
        <f t="shared" si="265"/>
        <v>1.2862986654093163</v>
      </c>
      <c r="V806" s="15">
        <f t="shared" si="259"/>
        <v>0</v>
      </c>
      <c r="W806" s="15">
        <f t="shared" si="260"/>
        <v>0</v>
      </c>
      <c r="X806" s="15">
        <f t="shared" si="261"/>
        <v>0</v>
      </c>
      <c r="Y806" s="15">
        <f t="shared" si="262"/>
        <v>0</v>
      </c>
      <c r="Z806" s="15">
        <f t="shared" si="263"/>
        <v>0</v>
      </c>
      <c r="AA806" s="15">
        <f t="shared" si="264"/>
        <v>0</v>
      </c>
      <c r="AC806" s="1"/>
      <c r="AD806" s="1"/>
      <c r="AE806" s="1"/>
    </row>
    <row r="807" spans="1:31">
      <c r="A807">
        <v>899</v>
      </c>
      <c r="B807">
        <f t="shared" si="244"/>
        <v>0.75538603353134282</v>
      </c>
      <c r="C807">
        <v>0.745715126730363</v>
      </c>
      <c r="D807">
        <f t="shared" si="245"/>
        <v>1.3409946562094908</v>
      </c>
      <c r="E807" s="1">
        <f t="shared" si="246"/>
        <v>7.0634687019343584E-2</v>
      </c>
      <c r="F807" s="1">
        <f t="shared" si="247"/>
        <v>8.1936236942438595E-2</v>
      </c>
      <c r="G807" s="1">
        <f t="shared" si="248"/>
        <v>2.5428487326963706E-2</v>
      </c>
      <c r="H807" s="1">
        <f t="shared" si="249"/>
        <v>2.464037711770152E-2</v>
      </c>
      <c r="I807" s="1">
        <f t="shared" si="250"/>
        <v>9.0556820860672654E-2</v>
      </c>
      <c r="J807" s="1">
        <f t="shared" si="251"/>
        <v>9.8108087424646301E-2</v>
      </c>
      <c r="K807" s="1">
        <f t="shared" si="252"/>
        <v>6.0327639921118614E-2</v>
      </c>
      <c r="L807" s="1">
        <f t="shared" si="253"/>
        <v>5.9819664155653957E-2</v>
      </c>
      <c r="M807" s="1">
        <f t="shared" si="254"/>
        <v>0.1304010885433306</v>
      </c>
      <c r="N807" s="1">
        <f t="shared" si="255"/>
        <v>0.13045178838906152</v>
      </c>
      <c r="O807" s="1">
        <f t="shared" si="256"/>
        <v>0.13012594510942838</v>
      </c>
      <c r="P807" s="1">
        <f t="shared" si="257"/>
        <v>0.13017823823155877</v>
      </c>
      <c r="Q807" s="1">
        <f t="shared" si="258"/>
        <v>1.9777712365416216</v>
      </c>
      <c r="T807">
        <v>0.64735630007520406</v>
      </c>
      <c r="U807">
        <f t="shared" si="265"/>
        <v>1.5447443701155437</v>
      </c>
      <c r="V807" s="15">
        <f t="shared" si="259"/>
        <v>0</v>
      </c>
      <c r="W807" s="15">
        <f t="shared" si="260"/>
        <v>0</v>
      </c>
      <c r="X807" s="15">
        <f t="shared" si="261"/>
        <v>0</v>
      </c>
      <c r="Y807" s="15">
        <f t="shared" si="262"/>
        <v>0</v>
      </c>
      <c r="Z807" s="15">
        <f t="shared" si="263"/>
        <v>0</v>
      </c>
      <c r="AA807" s="15">
        <f t="shared" si="264"/>
        <v>0</v>
      </c>
      <c r="AC807" s="1"/>
      <c r="AD807" s="1"/>
      <c r="AE807" s="1"/>
    </row>
    <row r="808" spans="1:31">
      <c r="A808">
        <v>263</v>
      </c>
      <c r="B808">
        <f t="shared" si="244"/>
        <v>0.75772760165169006</v>
      </c>
      <c r="C808">
        <v>0.74615097514227435</v>
      </c>
      <c r="D808">
        <f t="shared" si="245"/>
        <v>1.3402113423618087</v>
      </c>
      <c r="E808" s="1">
        <f t="shared" si="246"/>
        <v>7.0513618016034896E-2</v>
      </c>
      <c r="F808" s="1">
        <f t="shared" si="247"/>
        <v>8.1795796898600476E-2</v>
      </c>
      <c r="G808" s="1">
        <f t="shared" si="248"/>
        <v>2.5384902485772576E-2</v>
      </c>
      <c r="H808" s="1">
        <f t="shared" si="249"/>
        <v>2.4598143110237544E-2</v>
      </c>
      <c r="I808" s="1">
        <f t="shared" si="250"/>
        <v>9.0401604995676954E-2</v>
      </c>
      <c r="J808" s="1">
        <f t="shared" si="251"/>
        <v>9.7939928565844075E-2</v>
      </c>
      <c r="K808" s="1">
        <f t="shared" si="252"/>
        <v>6.022423736430943E-2</v>
      </c>
      <c r="L808" s="1">
        <f t="shared" si="253"/>
        <v>5.9717132277575385E-2</v>
      </c>
      <c r="M808" s="1">
        <f t="shared" si="254"/>
        <v>0.13017757895496096</v>
      </c>
      <c r="N808" s="1">
        <f t="shared" si="255"/>
        <v>0.13022819190033103</v>
      </c>
      <c r="O808" s="1">
        <f t="shared" si="256"/>
        <v>0.12990290712138308</v>
      </c>
      <c r="P808" s="1">
        <f t="shared" si="257"/>
        <v>0.12995511061225101</v>
      </c>
      <c r="Q808" s="1">
        <f t="shared" si="258"/>
        <v>1.9743813044489773</v>
      </c>
      <c r="T808">
        <v>0.25656625261360388</v>
      </c>
      <c r="U808">
        <f t="shared" si="265"/>
        <v>3.8976287403863226</v>
      </c>
      <c r="V808" s="15">
        <f t="shared" si="259"/>
        <v>7.3803566002492396E-2</v>
      </c>
      <c r="W808" s="15">
        <f t="shared" si="260"/>
        <v>7.8272642630021386E-2</v>
      </c>
      <c r="X808" s="15">
        <f t="shared" si="261"/>
        <v>8.7210795885079448E-2</v>
      </c>
      <c r="Y808" s="15">
        <f t="shared" si="262"/>
        <v>0.10440405823998747</v>
      </c>
      <c r="Z808" s="15">
        <f t="shared" si="263"/>
        <v>0.10828742715475244</v>
      </c>
      <c r="AA808" s="15">
        <f t="shared" si="264"/>
        <v>0.1160541649842825</v>
      </c>
      <c r="AC808" s="1"/>
      <c r="AD808" s="1"/>
      <c r="AE808" s="1"/>
    </row>
    <row r="809" spans="1:31">
      <c r="A809">
        <v>298</v>
      </c>
      <c r="B809">
        <f t="shared" si="244"/>
        <v>0.76111996533041659</v>
      </c>
      <c r="C809">
        <v>0.74683070602543389</v>
      </c>
      <c r="D809">
        <f t="shared" si="245"/>
        <v>1.3389915437755773</v>
      </c>
      <c r="E809" s="1">
        <f t="shared" si="246"/>
        <v>7.0324803881823911E-2</v>
      </c>
      <c r="F809" s="1">
        <f t="shared" si="247"/>
        <v>8.1576772502915729E-2</v>
      </c>
      <c r="G809" s="1">
        <f t="shared" si="248"/>
        <v>2.5316929397456625E-2</v>
      </c>
      <c r="H809" s="1">
        <f t="shared" si="249"/>
        <v>2.453227672548472E-2</v>
      </c>
      <c r="I809" s="1">
        <f t="shared" si="250"/>
        <v>9.0159536849710314E-2</v>
      </c>
      <c r="J809" s="1">
        <f t="shared" si="251"/>
        <v>9.7677675070176911E-2</v>
      </c>
      <c r="K809" s="1">
        <f t="shared" si="252"/>
        <v>6.0062975078294362E-2</v>
      </c>
      <c r="L809" s="1">
        <f t="shared" si="253"/>
        <v>5.9557227865551177E-2</v>
      </c>
      <c r="M809" s="1">
        <f t="shared" si="254"/>
        <v>0.12982900278548298</v>
      </c>
      <c r="N809" s="1">
        <f t="shared" si="255"/>
        <v>0.12987948020469897</v>
      </c>
      <c r="O809" s="1">
        <f t="shared" si="256"/>
        <v>0.12955506643996978</v>
      </c>
      <c r="P809" s="1">
        <f t="shared" si="257"/>
        <v>0.12960713014568404</v>
      </c>
      <c r="Q809" s="1">
        <f t="shared" si="258"/>
        <v>1.9690945086910698</v>
      </c>
      <c r="T809">
        <v>0.7406132084611079</v>
      </c>
      <c r="U809">
        <f t="shared" si="265"/>
        <v>1.3502324676032473</v>
      </c>
      <c r="V809" s="15">
        <f t="shared" si="259"/>
        <v>0</v>
      </c>
      <c r="W809" s="15">
        <f t="shared" si="260"/>
        <v>0</v>
      </c>
      <c r="X809" s="15">
        <f t="shared" si="261"/>
        <v>0</v>
      </c>
      <c r="Y809" s="15">
        <f t="shared" si="262"/>
        <v>0</v>
      </c>
      <c r="Z809" s="15">
        <f t="shared" si="263"/>
        <v>0</v>
      </c>
      <c r="AA809" s="15">
        <f t="shared" si="264"/>
        <v>0</v>
      </c>
      <c r="AC809" s="1"/>
      <c r="AD809" s="1"/>
      <c r="AE809" s="1"/>
    </row>
    <row r="810" spans="1:31">
      <c r="A810">
        <v>909</v>
      </c>
      <c r="B810">
        <f t="shared" si="244"/>
        <v>0.76125625130189822</v>
      </c>
      <c r="C810">
        <v>0.7476451399684928</v>
      </c>
      <c r="D810">
        <f t="shared" si="245"/>
        <v>1.3375329371393252</v>
      </c>
      <c r="E810" s="1">
        <f t="shared" si="246"/>
        <v>7.009857223097421E-2</v>
      </c>
      <c r="F810" s="1">
        <f t="shared" si="247"/>
        <v>8.1314343787930093E-2</v>
      </c>
      <c r="G810" s="1">
        <f t="shared" si="248"/>
        <v>2.5235486003150731E-2</v>
      </c>
      <c r="H810" s="1">
        <f t="shared" si="249"/>
        <v>2.445335752263797E-2</v>
      </c>
      <c r="I810" s="1">
        <f t="shared" si="250"/>
        <v>8.9869497777640805E-2</v>
      </c>
      <c r="J810" s="1">
        <f t="shared" si="251"/>
        <v>9.7363450494173526E-2</v>
      </c>
      <c r="K810" s="1">
        <f t="shared" si="252"/>
        <v>5.986975525745078E-2</v>
      </c>
      <c r="L810" s="1">
        <f t="shared" si="253"/>
        <v>5.9365635010166923E-2</v>
      </c>
      <c r="M810" s="1">
        <f t="shared" si="254"/>
        <v>0.12941134887097383</v>
      </c>
      <c r="N810" s="1">
        <f t="shared" si="255"/>
        <v>0.1294616639066602</v>
      </c>
      <c r="O810" s="1">
        <f t="shared" si="256"/>
        <v>0.12913829376605079</v>
      </c>
      <c r="P810" s="1">
        <f t="shared" si="257"/>
        <v>0.1291901899852248</v>
      </c>
      <c r="Q810" s="1">
        <f t="shared" si="258"/>
        <v>1.962760022467279</v>
      </c>
      <c r="T810">
        <v>0.80852059163661261</v>
      </c>
      <c r="U810">
        <f t="shared" si="265"/>
        <v>1.2368268790480568</v>
      </c>
      <c r="V810" s="15">
        <f t="shared" si="259"/>
        <v>0</v>
      </c>
      <c r="W810" s="15">
        <f t="shared" si="260"/>
        <v>0</v>
      </c>
      <c r="X810" s="15">
        <f t="shared" si="261"/>
        <v>0</v>
      </c>
      <c r="Y810" s="15">
        <f t="shared" si="262"/>
        <v>0</v>
      </c>
      <c r="Z810" s="15">
        <f t="shared" si="263"/>
        <v>0</v>
      </c>
      <c r="AA810" s="15">
        <f t="shared" si="264"/>
        <v>0</v>
      </c>
      <c r="AC810" s="1"/>
      <c r="AD810" s="1"/>
      <c r="AE810" s="1"/>
    </row>
    <row r="811" spans="1:31">
      <c r="A811">
        <v>251</v>
      </c>
      <c r="B811">
        <f t="shared" si="244"/>
        <v>0.76207893160411966</v>
      </c>
      <c r="C811">
        <v>0.74802097813442081</v>
      </c>
      <c r="D811">
        <f t="shared" si="245"/>
        <v>1.3368609026100042</v>
      </c>
      <c r="E811" s="1">
        <f t="shared" si="246"/>
        <v>6.9994172740438648E-2</v>
      </c>
      <c r="F811" s="1">
        <f t="shared" si="247"/>
        <v>8.1193240378908849E-2</v>
      </c>
      <c r="G811" s="1">
        <f t="shared" si="248"/>
        <v>2.519790218655793E-2</v>
      </c>
      <c r="H811" s="1">
        <f t="shared" si="249"/>
        <v>2.4416938548813008E-2</v>
      </c>
      <c r="I811" s="1">
        <f t="shared" si="250"/>
        <v>8.973565297190414E-2</v>
      </c>
      <c r="J811" s="1">
        <f t="shared" si="251"/>
        <v>9.7218444764315237E-2</v>
      </c>
      <c r="K811" s="1">
        <f t="shared" si="252"/>
        <v>5.9780589790188882E-2</v>
      </c>
      <c r="L811" s="1">
        <f t="shared" si="253"/>
        <v>5.9277220341320908E-2</v>
      </c>
      <c r="M811" s="1">
        <f t="shared" si="254"/>
        <v>0.12921861343483498</v>
      </c>
      <c r="N811" s="1">
        <f t="shared" si="255"/>
        <v>0.12926885353512785</v>
      </c>
      <c r="O811" s="1">
        <f t="shared" si="256"/>
        <v>0.12894596499745076</v>
      </c>
      <c r="P811" s="1">
        <f t="shared" si="257"/>
        <v>0.12899778392633665</v>
      </c>
      <c r="Q811" s="1">
        <f t="shared" si="258"/>
        <v>1.9598368367322827</v>
      </c>
      <c r="T811">
        <v>0.38939123878824156</v>
      </c>
      <c r="U811">
        <f t="shared" si="265"/>
        <v>2.5681111961119885</v>
      </c>
      <c r="V811" s="15">
        <f t="shared" si="259"/>
        <v>6.5114346525709896E-2</v>
      </c>
      <c r="W811" s="15">
        <f t="shared" si="260"/>
        <v>6.9929680517777204E-2</v>
      </c>
      <c r="X811" s="15">
        <f t="shared" si="261"/>
        <v>7.956034850191171E-2</v>
      </c>
      <c r="Y811" s="15">
        <f t="shared" si="262"/>
        <v>9.154364713487291E-2</v>
      </c>
      <c r="Z811" s="15">
        <f t="shared" si="263"/>
        <v>9.5772986635911189E-2</v>
      </c>
      <c r="AA811" s="15">
        <f t="shared" si="264"/>
        <v>0.10423166563798775</v>
      </c>
      <c r="AC811" s="1"/>
      <c r="AD811" s="1"/>
      <c r="AE811" s="1"/>
    </row>
    <row r="812" spans="1:31">
      <c r="A812">
        <v>613</v>
      </c>
      <c r="B812">
        <f t="shared" si="244"/>
        <v>0.76339890528513643</v>
      </c>
      <c r="C812">
        <v>0.74846871544053217</v>
      </c>
      <c r="D812">
        <f t="shared" si="245"/>
        <v>1.3360611864871628</v>
      </c>
      <c r="E812" s="1">
        <f t="shared" si="246"/>
        <v>6.9869801266518816E-2</v>
      </c>
      <c r="F812" s="1">
        <f t="shared" si="247"/>
        <v>8.1048969469161847E-2</v>
      </c>
      <c r="G812" s="1">
        <f t="shared" si="248"/>
        <v>2.5153128455946791E-2</v>
      </c>
      <c r="H812" s="1">
        <f t="shared" si="249"/>
        <v>2.4373552499417334E-2</v>
      </c>
      <c r="I812" s="1">
        <f t="shared" si="250"/>
        <v>8.9576203192210907E-2</v>
      </c>
      <c r="J812" s="1">
        <f t="shared" si="251"/>
        <v>9.7045698937139491E-2</v>
      </c>
      <c r="K812" s="1">
        <f t="shared" si="252"/>
        <v>5.9674366660849631E-2</v>
      </c>
      <c r="L812" s="1">
        <f t="shared" si="253"/>
        <v>5.9171891640729501E-2</v>
      </c>
      <c r="M812" s="1">
        <f t="shared" si="254"/>
        <v>0.12898900704359489</v>
      </c>
      <c r="N812" s="1">
        <f t="shared" si="255"/>
        <v>0.1290391578730945</v>
      </c>
      <c r="O812" s="1">
        <f t="shared" si="256"/>
        <v>0.12871684307065523</v>
      </c>
      <c r="P812" s="1">
        <f t="shared" si="257"/>
        <v>0.12876856992335378</v>
      </c>
      <c r="Q812" s="1">
        <f t="shared" si="258"/>
        <v>1.9563544354625284</v>
      </c>
      <c r="T812">
        <v>0.79287145737904952</v>
      </c>
      <c r="U812">
        <f t="shared" si="265"/>
        <v>1.2612384904176568</v>
      </c>
      <c r="V812" s="15">
        <f t="shared" si="259"/>
        <v>0</v>
      </c>
      <c r="W812" s="15">
        <f t="shared" si="260"/>
        <v>0</v>
      </c>
      <c r="X812" s="15">
        <f t="shared" si="261"/>
        <v>0</v>
      </c>
      <c r="Y812" s="15">
        <f t="shared" si="262"/>
        <v>0</v>
      </c>
      <c r="Z812" s="15">
        <f t="shared" si="263"/>
        <v>0</v>
      </c>
      <c r="AA812" s="15">
        <f t="shared" si="264"/>
        <v>0</v>
      </c>
      <c r="AC812" s="1"/>
      <c r="AD812" s="1"/>
      <c r="AE812" s="1"/>
    </row>
    <row r="813" spans="1:31">
      <c r="A813">
        <v>23</v>
      </c>
      <c r="B813">
        <f t="shared" si="244"/>
        <v>0.76466101481264526</v>
      </c>
      <c r="C813">
        <v>0.74917568095718601</v>
      </c>
      <c r="D813">
        <f t="shared" si="245"/>
        <v>1.3348004018528041</v>
      </c>
      <c r="E813" s="1">
        <f t="shared" si="246"/>
        <v>6.9673421956337217E-2</v>
      </c>
      <c r="F813" s="1">
        <f t="shared" si="247"/>
        <v>8.0821169469351167E-2</v>
      </c>
      <c r="G813" s="1">
        <f t="shared" si="248"/>
        <v>2.5082431904281402E-2</v>
      </c>
      <c r="H813" s="1">
        <f t="shared" si="249"/>
        <v>2.4305047060161067E-2</v>
      </c>
      <c r="I813" s="1">
        <f t="shared" si="250"/>
        <v>8.9324436153050829E-2</v>
      </c>
      <c r="J813" s="1">
        <f t="shared" si="251"/>
        <v>9.6772937786142765E-2</v>
      </c>
      <c r="K813" s="1">
        <f t="shared" si="252"/>
        <v>5.9506643112936825E-2</v>
      </c>
      <c r="L813" s="1">
        <f t="shared" si="253"/>
        <v>5.9005580372457483E-2</v>
      </c>
      <c r="M813" s="1">
        <f t="shared" si="254"/>
        <v>0.12862646454647791</v>
      </c>
      <c r="N813" s="1">
        <f t="shared" si="255"/>
        <v>0.12867647441972568</v>
      </c>
      <c r="O813" s="1">
        <f t="shared" si="256"/>
        <v>0.12835506553024761</v>
      </c>
      <c r="P813" s="1">
        <f t="shared" si="257"/>
        <v>0.12840664699705029</v>
      </c>
      <c r="Q813" s="1">
        <f t="shared" si="258"/>
        <v>1.9508558147774426</v>
      </c>
      <c r="T813">
        <v>0.14648539488384738</v>
      </c>
      <c r="U813">
        <f t="shared" si="265"/>
        <v>6.826619136965359</v>
      </c>
      <c r="V813" s="15">
        <f t="shared" si="259"/>
        <v>8.4781085841383441E-2</v>
      </c>
      <c r="W813" s="15">
        <f t="shared" si="260"/>
        <v>8.8678559603701718E-2</v>
      </c>
      <c r="X813" s="15">
        <f t="shared" si="261"/>
        <v>9.6473507128338201E-2</v>
      </c>
      <c r="Y813" s="15">
        <f t="shared" si="262"/>
        <v>0.12064437413950667</v>
      </c>
      <c r="Z813" s="15">
        <f t="shared" si="263"/>
        <v>0.12393725881359091</v>
      </c>
      <c r="AA813" s="15">
        <f t="shared" si="264"/>
        <v>0.1305230281617594</v>
      </c>
      <c r="AC813" s="1"/>
      <c r="AD813" s="1"/>
      <c r="AE813" s="1"/>
    </row>
    <row r="814" spans="1:31">
      <c r="A814">
        <v>267</v>
      </c>
      <c r="B814">
        <f t="shared" si="244"/>
        <v>0.76517516091572324</v>
      </c>
      <c r="C814">
        <v>0.74967850691813209</v>
      </c>
      <c r="D814">
        <f t="shared" si="245"/>
        <v>1.3339051216913225</v>
      </c>
      <c r="E814" s="1">
        <f t="shared" si="246"/>
        <v>6.9533748078296626E-2</v>
      </c>
      <c r="F814" s="1">
        <f t="shared" si="247"/>
        <v>8.0659147770824086E-2</v>
      </c>
      <c r="G814" s="1">
        <f t="shared" si="248"/>
        <v>2.5032149308186799E-2</v>
      </c>
      <c r="H814" s="1">
        <f t="shared" si="249"/>
        <v>2.4256322882655057E-2</v>
      </c>
      <c r="I814" s="1">
        <f t="shared" si="250"/>
        <v>8.9145368008398729E-2</v>
      </c>
      <c r="J814" s="1">
        <f t="shared" si="251"/>
        <v>9.6578937676338461E-2</v>
      </c>
      <c r="K814" s="1">
        <f t="shared" si="252"/>
        <v>5.9387350513558396E-2</v>
      </c>
      <c r="L814" s="1">
        <f t="shared" si="253"/>
        <v>5.8887292250455664E-2</v>
      </c>
      <c r="M814" s="1">
        <f t="shared" si="254"/>
        <v>0.12836860786860271</v>
      </c>
      <c r="N814" s="1">
        <f t="shared" si="255"/>
        <v>0.12841851748736693</v>
      </c>
      <c r="O814" s="1">
        <f t="shared" si="256"/>
        <v>0.12809775292430159</v>
      </c>
      <c r="P814" s="1">
        <f t="shared" si="257"/>
        <v>0.12814923098605685</v>
      </c>
      <c r="Q814" s="1">
        <f t="shared" si="258"/>
        <v>1.9469449461923061</v>
      </c>
      <c r="T814">
        <v>0.7212876529132991</v>
      </c>
      <c r="U814">
        <f t="shared" si="265"/>
        <v>1.3864094248126593</v>
      </c>
      <c r="V814" s="15">
        <f t="shared" si="259"/>
        <v>0</v>
      </c>
      <c r="W814" s="15">
        <f t="shared" si="260"/>
        <v>0</v>
      </c>
      <c r="X814" s="15">
        <f t="shared" si="261"/>
        <v>0</v>
      </c>
      <c r="Y814" s="15">
        <f t="shared" si="262"/>
        <v>0</v>
      </c>
      <c r="Z814" s="15">
        <f t="shared" si="263"/>
        <v>0</v>
      </c>
      <c r="AA814" s="15">
        <f t="shared" si="264"/>
        <v>0</v>
      </c>
      <c r="AC814" s="1"/>
      <c r="AD814" s="1"/>
      <c r="AE814" s="1"/>
    </row>
    <row r="815" spans="1:31">
      <c r="A815">
        <v>760</v>
      </c>
      <c r="B815">
        <f t="shared" si="244"/>
        <v>0.7661691635293042</v>
      </c>
      <c r="C815">
        <v>0.75125857763217696</v>
      </c>
      <c r="D815">
        <f t="shared" si="245"/>
        <v>1.3310996104055255</v>
      </c>
      <c r="E815" s="1">
        <f t="shared" si="246"/>
        <v>6.9094839546617492E-2</v>
      </c>
      <c r="F815" s="1">
        <f t="shared" si="247"/>
        <v>8.0150013874076304E-2</v>
      </c>
      <c r="G815" s="1">
        <f t="shared" si="248"/>
        <v>2.4874142236782318E-2</v>
      </c>
      <c r="H815" s="1">
        <f t="shared" si="249"/>
        <v>2.410321295611445E-2</v>
      </c>
      <c r="I815" s="1">
        <f t="shared" si="250"/>
        <v>8.858266768431286E-2</v>
      </c>
      <c r="J815" s="1">
        <f t="shared" si="251"/>
        <v>9.5969315429614177E-2</v>
      </c>
      <c r="K815" s="1">
        <f t="shared" si="252"/>
        <v>5.9012487723408363E-2</v>
      </c>
      <c r="L815" s="1">
        <f t="shared" si="253"/>
        <v>5.8515585910864948E-2</v>
      </c>
      <c r="M815" s="1">
        <f t="shared" si="254"/>
        <v>0.1275583239597034</v>
      </c>
      <c r="N815" s="1">
        <f t="shared" si="255"/>
        <v>0.12760791854068965</v>
      </c>
      <c r="O815" s="1">
        <f t="shared" si="256"/>
        <v>0.12728917869666045</v>
      </c>
      <c r="P815" s="1">
        <f t="shared" si="257"/>
        <v>0.12734033182036586</v>
      </c>
      <c r="Q815" s="1">
        <f t="shared" si="258"/>
        <v>1.9346555073052905</v>
      </c>
      <c r="T815">
        <v>0.74011030822621282</v>
      </c>
      <c r="U815">
        <f t="shared" si="265"/>
        <v>1.3511499419548045</v>
      </c>
      <c r="V815" s="15">
        <f t="shared" si="259"/>
        <v>0</v>
      </c>
      <c r="W815" s="15">
        <f t="shared" si="260"/>
        <v>0</v>
      </c>
      <c r="X815" s="15">
        <f t="shared" si="261"/>
        <v>0</v>
      </c>
      <c r="Y815" s="15">
        <f t="shared" si="262"/>
        <v>0</v>
      </c>
      <c r="Z815" s="15">
        <f t="shared" si="263"/>
        <v>0</v>
      </c>
      <c r="AA815" s="15">
        <f t="shared" si="264"/>
        <v>0</v>
      </c>
      <c r="AC815" s="1"/>
      <c r="AD815" s="1"/>
      <c r="AE815" s="1"/>
    </row>
    <row r="816" spans="1:31">
      <c r="A816">
        <v>607</v>
      </c>
      <c r="B816">
        <f t="shared" si="244"/>
        <v>0.76623274979268308</v>
      </c>
      <c r="C816">
        <v>0.75139136148626717</v>
      </c>
      <c r="D816">
        <f t="shared" si="245"/>
        <v>1.3308643820737838</v>
      </c>
      <c r="E816" s="1">
        <f t="shared" si="246"/>
        <v>6.9057955142703548E-2</v>
      </c>
      <c r="F816" s="1">
        <f t="shared" si="247"/>
        <v>8.0107227965536126E-2</v>
      </c>
      <c r="G816" s="1">
        <f t="shared" si="248"/>
        <v>2.4860863851373288E-2</v>
      </c>
      <c r="H816" s="1">
        <f t="shared" si="249"/>
        <v>2.4090346110368366E-2</v>
      </c>
      <c r="I816" s="1">
        <f t="shared" si="250"/>
        <v>8.8535380232513533E-2</v>
      </c>
      <c r="J816" s="1">
        <f t="shared" si="251"/>
        <v>9.5918084816490556E-2</v>
      </c>
      <c r="K816" s="1">
        <f t="shared" si="252"/>
        <v>5.8980985509242467E-2</v>
      </c>
      <c r="L816" s="1">
        <f t="shared" si="253"/>
        <v>5.8484348954238957E-2</v>
      </c>
      <c r="M816" s="1">
        <f t="shared" si="254"/>
        <v>0.12749023041213331</v>
      </c>
      <c r="N816" s="1">
        <f t="shared" si="255"/>
        <v>0.12753979851839919</v>
      </c>
      <c r="O816" s="1">
        <f t="shared" si="256"/>
        <v>0.12722122882498071</v>
      </c>
      <c r="P816" s="1">
        <f t="shared" si="257"/>
        <v>0.12727235464198006</v>
      </c>
      <c r="Q816" s="1">
        <f t="shared" si="258"/>
        <v>1.9336227439957003</v>
      </c>
      <c r="T816">
        <v>0.57165025125503011</v>
      </c>
      <c r="U816">
        <f t="shared" si="265"/>
        <v>1.7493213687994522</v>
      </c>
      <c r="V816" s="15">
        <f t="shared" si="259"/>
        <v>0</v>
      </c>
      <c r="W816" s="15">
        <f t="shared" si="260"/>
        <v>0</v>
      </c>
      <c r="X816" s="15">
        <f t="shared" si="261"/>
        <v>0</v>
      </c>
      <c r="Y816" s="15">
        <f t="shared" si="262"/>
        <v>0</v>
      </c>
      <c r="Z816" s="15">
        <f t="shared" si="263"/>
        <v>0</v>
      </c>
      <c r="AA816" s="15">
        <f t="shared" si="264"/>
        <v>0</v>
      </c>
      <c r="AC816" s="1"/>
      <c r="AD816" s="1"/>
      <c r="AE816" s="1"/>
    </row>
    <row r="817" spans="1:31">
      <c r="A817">
        <v>361</v>
      </c>
      <c r="B817">
        <f t="shared" si="244"/>
        <v>0.76631594210041831</v>
      </c>
      <c r="C817">
        <v>0.7515650876130241</v>
      </c>
      <c r="D817">
        <f t="shared" si="245"/>
        <v>1.3305567494839428</v>
      </c>
      <c r="E817" s="1">
        <f t="shared" si="246"/>
        <v>6.900969788527106E-2</v>
      </c>
      <c r="F817" s="1">
        <f t="shared" si="247"/>
        <v>8.0051249546914449E-2</v>
      </c>
      <c r="G817" s="1">
        <f t="shared" si="248"/>
        <v>2.4843491238697599E-2</v>
      </c>
      <c r="H817" s="1">
        <f t="shared" si="249"/>
        <v>2.4073511930562674E-2</v>
      </c>
      <c r="I817" s="1">
        <f t="shared" si="250"/>
        <v>8.8473512274985178E-2</v>
      </c>
      <c r="J817" s="1">
        <f t="shared" si="251"/>
        <v>9.5851057872210876E-2</v>
      </c>
      <c r="K817" s="1">
        <f t="shared" si="252"/>
        <v>5.8939769973748252E-2</v>
      </c>
      <c r="L817" s="1">
        <f t="shared" si="253"/>
        <v>5.8443480465193431E-2</v>
      </c>
      <c r="M817" s="1">
        <f t="shared" si="254"/>
        <v>0.12740114105441325</v>
      </c>
      <c r="N817" s="1">
        <f t="shared" si="255"/>
        <v>0.12745067452280345</v>
      </c>
      <c r="O817" s="1">
        <f t="shared" si="256"/>
        <v>0.12713232744384956</v>
      </c>
      <c r="P817" s="1">
        <f t="shared" si="257"/>
        <v>0.12718341753445489</v>
      </c>
      <c r="Q817" s="1">
        <f t="shared" si="258"/>
        <v>1.9322715407875908</v>
      </c>
      <c r="T817">
        <v>0.80147222469043267</v>
      </c>
      <c r="U817">
        <f t="shared" si="265"/>
        <v>1.2477038744371314</v>
      </c>
      <c r="V817" s="15">
        <f t="shared" si="259"/>
        <v>0</v>
      </c>
      <c r="W817" s="15">
        <f t="shared" si="260"/>
        <v>0</v>
      </c>
      <c r="X817" s="15">
        <f t="shared" si="261"/>
        <v>0</v>
      </c>
      <c r="Y817" s="15">
        <f t="shared" si="262"/>
        <v>0</v>
      </c>
      <c r="Z817" s="15">
        <f t="shared" si="263"/>
        <v>0</v>
      </c>
      <c r="AA817" s="15">
        <f t="shared" si="264"/>
        <v>0</v>
      </c>
      <c r="AC817" s="1"/>
      <c r="AD817" s="1"/>
      <c r="AE817" s="1"/>
    </row>
    <row r="818" spans="1:31">
      <c r="A818">
        <v>70</v>
      </c>
      <c r="B818">
        <f t="shared" si="244"/>
        <v>0.76743700604038867</v>
      </c>
      <c r="C818">
        <v>0.75250608588276202</v>
      </c>
      <c r="D818">
        <f t="shared" si="245"/>
        <v>1.3288929069947704</v>
      </c>
      <c r="E818" s="1">
        <f t="shared" si="246"/>
        <v>6.8748309477010522E-2</v>
      </c>
      <c r="F818" s="1">
        <f t="shared" si="247"/>
        <v>7.9748038993332243E-2</v>
      </c>
      <c r="G818" s="1">
        <f t="shared" si="248"/>
        <v>2.4749391411723803E-2</v>
      </c>
      <c r="H818" s="1">
        <f t="shared" si="249"/>
        <v>2.3982328558404861E-2</v>
      </c>
      <c r="I818" s="1">
        <f t="shared" si="250"/>
        <v>8.8138400671030265E-2</v>
      </c>
      <c r="J818" s="1">
        <f t="shared" si="251"/>
        <v>9.5488002298645569E-2</v>
      </c>
      <c r="K818" s="1">
        <f t="shared" si="252"/>
        <v>5.8716523486243094E-2</v>
      </c>
      <c r="L818" s="1">
        <f t="shared" si="253"/>
        <v>5.8222113776160822E-2</v>
      </c>
      <c r="M818" s="1">
        <f t="shared" si="254"/>
        <v>0.12691858305906956</v>
      </c>
      <c r="N818" s="1">
        <f t="shared" si="255"/>
        <v>0.12696792890927194</v>
      </c>
      <c r="O818" s="1">
        <f t="shared" si="256"/>
        <v>0.12665078763528159</v>
      </c>
      <c r="P818" s="1">
        <f t="shared" si="257"/>
        <v>0.12670168421167272</v>
      </c>
      <c r="Q818" s="1">
        <f t="shared" si="258"/>
        <v>1.9249526653562956</v>
      </c>
      <c r="T818">
        <v>0.9170271657074367</v>
      </c>
      <c r="U818">
        <f t="shared" si="265"/>
        <v>1.0904802359137902</v>
      </c>
      <c r="V818" s="15">
        <f t="shared" si="259"/>
        <v>0</v>
      </c>
      <c r="W818" s="15">
        <f t="shared" si="260"/>
        <v>0</v>
      </c>
      <c r="X818" s="15">
        <f t="shared" si="261"/>
        <v>0</v>
      </c>
      <c r="Y818" s="15">
        <f t="shared" si="262"/>
        <v>0</v>
      </c>
      <c r="Z818" s="15">
        <f t="shared" si="263"/>
        <v>0</v>
      </c>
      <c r="AA818" s="15">
        <f t="shared" si="264"/>
        <v>0</v>
      </c>
      <c r="AC818" s="1"/>
      <c r="AD818" s="1"/>
      <c r="AE818" s="1"/>
    </row>
    <row r="819" spans="1:31">
      <c r="A819">
        <v>614</v>
      </c>
      <c r="B819">
        <f t="shared" si="244"/>
        <v>0.76854841997725132</v>
      </c>
      <c r="C819">
        <v>0.75400042748866436</v>
      </c>
      <c r="D819">
        <f t="shared" si="245"/>
        <v>1.3262591950122389</v>
      </c>
      <c r="E819" s="1">
        <f t="shared" si="246"/>
        <v>6.8333214586482116E-2</v>
      </c>
      <c r="F819" s="1">
        <f t="shared" si="247"/>
        <v>7.9266528920319268E-2</v>
      </c>
      <c r="G819" s="1">
        <f t="shared" si="248"/>
        <v>2.4599957251133578E-2</v>
      </c>
      <c r="H819" s="1">
        <f t="shared" si="249"/>
        <v>2.3837525840733717E-2</v>
      </c>
      <c r="I819" s="1">
        <f t="shared" si="250"/>
        <v>8.7606230497593113E-2</v>
      </c>
      <c r="J819" s="1">
        <f t="shared" si="251"/>
        <v>9.4911456021908536E-2</v>
      </c>
      <c r="K819" s="1">
        <f t="shared" si="252"/>
        <v>5.8361999439409867E-2</v>
      </c>
      <c r="L819" s="1">
        <f t="shared" si="253"/>
        <v>5.7870574921924267E-2</v>
      </c>
      <c r="M819" s="1">
        <f t="shared" si="254"/>
        <v>0.12615226231981497</v>
      </c>
      <c r="N819" s="1">
        <f t="shared" si="255"/>
        <v>0.12620131022508685</v>
      </c>
      <c r="O819" s="1">
        <f t="shared" si="256"/>
        <v>0.12588608381596245</v>
      </c>
      <c r="P819" s="1">
        <f t="shared" si="257"/>
        <v>0.12593667308430528</v>
      </c>
      <c r="Q819" s="1">
        <f t="shared" si="258"/>
        <v>1.9133300084215001</v>
      </c>
      <c r="T819">
        <v>0.4553219184016869</v>
      </c>
      <c r="U819">
        <f t="shared" si="265"/>
        <v>2.1962483236262651</v>
      </c>
      <c r="V819" s="15">
        <f t="shared" si="259"/>
        <v>6.0801256331509332E-2</v>
      </c>
      <c r="W819" s="15">
        <f t="shared" si="260"/>
        <v>6.5788462981143894E-2</v>
      </c>
      <c r="X819" s="15">
        <f t="shared" si="261"/>
        <v>7.5762876280412866E-2</v>
      </c>
      <c r="Y819" s="15">
        <f t="shared" si="262"/>
        <v>8.5160091836371354E-2</v>
      </c>
      <c r="Z819" s="15">
        <f t="shared" si="263"/>
        <v>8.9561161646112775E-2</v>
      </c>
      <c r="AA819" s="15">
        <f t="shared" si="264"/>
        <v>9.8363301265595587E-2</v>
      </c>
      <c r="AC819" s="1"/>
      <c r="AD819" s="1"/>
      <c r="AE819" s="1"/>
    </row>
    <row r="820" spans="1:31">
      <c r="A820">
        <v>14</v>
      </c>
      <c r="B820">
        <f t="shared" si="244"/>
        <v>0.7696748787051042</v>
      </c>
      <c r="C820">
        <v>0.7554297543478502</v>
      </c>
      <c r="D820">
        <f t="shared" si="245"/>
        <v>1.3237498182253666</v>
      </c>
      <c r="E820" s="1">
        <f t="shared" si="246"/>
        <v>6.793617934781937E-2</v>
      </c>
      <c r="F820" s="1">
        <f t="shared" si="247"/>
        <v>7.8805968043470481E-2</v>
      </c>
      <c r="G820" s="1">
        <f t="shared" si="248"/>
        <v>2.4457024565214994E-2</v>
      </c>
      <c r="H820" s="1">
        <f t="shared" si="249"/>
        <v>2.3699023096225388E-2</v>
      </c>
      <c r="I820" s="1">
        <f t="shared" si="250"/>
        <v>8.7097213603767154E-2</v>
      </c>
      <c r="J820" s="1">
        <f t="shared" si="251"/>
        <v>9.4359993708573398E-2</v>
      </c>
      <c r="K820" s="1">
        <f t="shared" si="252"/>
        <v>5.8022899771459469E-2</v>
      </c>
      <c r="L820" s="1">
        <f t="shared" si="253"/>
        <v>5.7534330568944247E-2</v>
      </c>
      <c r="M820" s="1">
        <f t="shared" si="254"/>
        <v>0.12541928211566256</v>
      </c>
      <c r="N820" s="1">
        <f t="shared" si="255"/>
        <v>0.12546804503877906</v>
      </c>
      <c r="O820" s="1">
        <f t="shared" si="256"/>
        <v>0.12515465018394833</v>
      </c>
      <c r="P820" s="1">
        <f t="shared" si="257"/>
        <v>0.12520494551438194</v>
      </c>
      <c r="Q820" s="1">
        <f t="shared" si="258"/>
        <v>1.9022130217389437</v>
      </c>
      <c r="T820">
        <v>0.73001988683987695</v>
      </c>
      <c r="U820">
        <f t="shared" si="265"/>
        <v>1.36982569656947</v>
      </c>
      <c r="V820" s="15">
        <f t="shared" si="259"/>
        <v>0</v>
      </c>
      <c r="W820" s="15">
        <f t="shared" si="260"/>
        <v>0</v>
      </c>
      <c r="X820" s="15">
        <f t="shared" si="261"/>
        <v>0</v>
      </c>
      <c r="Y820" s="15">
        <f t="shared" si="262"/>
        <v>0</v>
      </c>
      <c r="Z820" s="15">
        <f t="shared" si="263"/>
        <v>0</v>
      </c>
      <c r="AA820" s="15">
        <f t="shared" si="264"/>
        <v>0</v>
      </c>
      <c r="AC820" s="1"/>
      <c r="AD820" s="1"/>
      <c r="AE820" s="1"/>
    </row>
    <row r="821" spans="1:31">
      <c r="A821">
        <v>824</v>
      </c>
      <c r="B821">
        <f t="shared" si="244"/>
        <v>0.77146850764800468</v>
      </c>
      <c r="C821">
        <v>0.76110591572951491</v>
      </c>
      <c r="D821">
        <f t="shared" si="245"/>
        <v>1.3138775817311927</v>
      </c>
      <c r="E821" s="1">
        <f t="shared" si="246"/>
        <v>6.6359467852912496E-2</v>
      </c>
      <c r="F821" s="1">
        <f t="shared" si="247"/>
        <v>7.6976982709378527E-2</v>
      </c>
      <c r="G821" s="1">
        <f t="shared" si="248"/>
        <v>2.3889408427048522E-2</v>
      </c>
      <c r="H821" s="1">
        <f t="shared" si="249"/>
        <v>2.3148999198905923E-2</v>
      </c>
      <c r="I821" s="1">
        <f t="shared" si="250"/>
        <v>8.5075799105899519E-2</v>
      </c>
      <c r="J821" s="1">
        <f t="shared" si="251"/>
        <v>9.2170019409637205E-2</v>
      </c>
      <c r="K821" s="1">
        <f t="shared" si="252"/>
        <v>5.6676262767204305E-2</v>
      </c>
      <c r="L821" s="1">
        <f t="shared" si="253"/>
        <v>5.6199032628573148E-2</v>
      </c>
      <c r="M821" s="1">
        <f t="shared" si="254"/>
        <v>0.12250846161187334</v>
      </c>
      <c r="N821" s="1">
        <f t="shared" si="255"/>
        <v>0.12255609281015428</v>
      </c>
      <c r="O821" s="1">
        <f t="shared" si="256"/>
        <v>0.12224997144751582</v>
      </c>
      <c r="P821" s="1">
        <f t="shared" si="257"/>
        <v>0.12229909948790751</v>
      </c>
      <c r="Q821" s="1">
        <f t="shared" si="258"/>
        <v>1.8580650998815509</v>
      </c>
      <c r="T821">
        <v>0.46031743902470157</v>
      </c>
      <c r="U821">
        <f t="shared" si="265"/>
        <v>2.1724138935921085</v>
      </c>
      <c r="V821" s="15">
        <f t="shared" si="259"/>
        <v>6.0474456560289359E-2</v>
      </c>
      <c r="W821" s="15">
        <f t="shared" si="260"/>
        <v>6.5474685878739766E-2</v>
      </c>
      <c r="X821" s="15">
        <f t="shared" si="261"/>
        <v>7.5475144515640427E-2</v>
      </c>
      <c r="Y821" s="15">
        <f t="shared" si="262"/>
        <v>8.4676414399269442E-2</v>
      </c>
      <c r="Z821" s="15">
        <f t="shared" si="263"/>
        <v>8.9090496092154692E-2</v>
      </c>
      <c r="AA821" s="15">
        <f t="shared" si="264"/>
        <v>9.7918659477925135E-2</v>
      </c>
      <c r="AC821" s="1"/>
      <c r="AD821" s="1"/>
      <c r="AE821" s="1"/>
    </row>
    <row r="822" spans="1:31">
      <c r="A822">
        <v>713</v>
      </c>
      <c r="B822">
        <f t="shared" si="244"/>
        <v>0.77155209815951564</v>
      </c>
      <c r="C822">
        <v>0.7612734215107243</v>
      </c>
      <c r="D822">
        <f t="shared" si="245"/>
        <v>1.3135884844311654</v>
      </c>
      <c r="E822" s="1">
        <f t="shared" si="246"/>
        <v>6.6312938469243243E-2</v>
      </c>
      <c r="F822" s="1">
        <f t="shared" si="247"/>
        <v>7.6923008624322164E-2</v>
      </c>
      <c r="G822" s="1">
        <f t="shared" si="248"/>
        <v>2.3872657848927573E-2</v>
      </c>
      <c r="H822" s="1">
        <f t="shared" si="249"/>
        <v>2.3132767774813226E-2</v>
      </c>
      <c r="I822" s="1">
        <f t="shared" si="250"/>
        <v>8.5016146359642664E-2</v>
      </c>
      <c r="J822" s="1">
        <f t="shared" si="251"/>
        <v>9.2105392396572228E-2</v>
      </c>
      <c r="K822" s="1">
        <f t="shared" si="252"/>
        <v>5.663652297331262E-2</v>
      </c>
      <c r="L822" s="1">
        <f t="shared" si="253"/>
        <v>5.615962745496908E-2</v>
      </c>
      <c r="M822" s="1">
        <f t="shared" si="254"/>
        <v>0.12242256214044139</v>
      </c>
      <c r="N822" s="1">
        <f t="shared" si="255"/>
        <v>0.12247015994107208</v>
      </c>
      <c r="O822" s="1">
        <f t="shared" si="256"/>
        <v>0.12216425322208269</v>
      </c>
      <c r="P822" s="1">
        <f t="shared" si="257"/>
        <v>0.12221334681528073</v>
      </c>
      <c r="Q822" s="1">
        <f t="shared" si="258"/>
        <v>1.8567622771388113</v>
      </c>
      <c r="T822">
        <v>0.57868066101057125</v>
      </c>
      <c r="U822">
        <f t="shared" si="265"/>
        <v>1.7280688078527859</v>
      </c>
      <c r="V822" s="15">
        <f t="shared" si="259"/>
        <v>0</v>
      </c>
      <c r="W822" s="15">
        <f t="shared" si="260"/>
        <v>0</v>
      </c>
      <c r="X822" s="15">
        <f t="shared" si="261"/>
        <v>0</v>
      </c>
      <c r="Y822" s="15">
        <f t="shared" si="262"/>
        <v>0</v>
      </c>
      <c r="Z822" s="15">
        <f t="shared" si="263"/>
        <v>0</v>
      </c>
      <c r="AA822" s="15">
        <f t="shared" si="264"/>
        <v>0</v>
      </c>
      <c r="AC822" s="1"/>
      <c r="AD822" s="1"/>
      <c r="AE822" s="1"/>
    </row>
    <row r="823" spans="1:31">
      <c r="A823">
        <v>775</v>
      </c>
      <c r="B823">
        <f t="shared" si="244"/>
        <v>0.77220074817652906</v>
      </c>
      <c r="C823">
        <v>0.76422447106133717</v>
      </c>
      <c r="D823">
        <f t="shared" si="245"/>
        <v>1.3085160680751602</v>
      </c>
      <c r="E823" s="1">
        <f t="shared" si="246"/>
        <v>6.5493202482961893E-2</v>
      </c>
      <c r="F823" s="1">
        <f t="shared" si="247"/>
        <v>7.5972114880235808E-2</v>
      </c>
      <c r="G823" s="1">
        <f t="shared" si="248"/>
        <v>2.3577552893866288E-2</v>
      </c>
      <c r="H823" s="1">
        <f t="shared" si="249"/>
        <v>2.2846809066828982E-2</v>
      </c>
      <c r="I823" s="1">
        <f t="shared" si="250"/>
        <v>8.3965208244175443E-2</v>
      </c>
      <c r="J823" s="1">
        <f t="shared" si="251"/>
        <v>9.0966819647107122E-2</v>
      </c>
      <c r="K823" s="1">
        <f t="shared" si="252"/>
        <v>5.5936403251720002E-2</v>
      </c>
      <c r="L823" s="1">
        <f t="shared" si="253"/>
        <v>5.5465402939155389E-2</v>
      </c>
      <c r="M823" s="1">
        <f t="shared" si="254"/>
        <v>0.12090921976660235</v>
      </c>
      <c r="N823" s="1">
        <f t="shared" si="255"/>
        <v>0.12095622918084958</v>
      </c>
      <c r="O823" s="1">
        <f t="shared" si="256"/>
        <v>0.12065410396742737</v>
      </c>
      <c r="P823" s="1">
        <f t="shared" si="257"/>
        <v>0.12070259068380818</v>
      </c>
      <c r="Q823" s="1">
        <f t="shared" si="258"/>
        <v>1.8338096695229336</v>
      </c>
      <c r="T823">
        <v>0.31853217531205014</v>
      </c>
      <c r="U823">
        <f t="shared" si="265"/>
        <v>3.1394002788583277</v>
      </c>
      <c r="V823" s="15">
        <f t="shared" si="259"/>
        <v>6.974984450087518E-2</v>
      </c>
      <c r="W823" s="15">
        <f t="shared" si="260"/>
        <v>7.4380458183311432E-2</v>
      </c>
      <c r="X823" s="15">
        <f t="shared" si="261"/>
        <v>8.3641685548183936E-2</v>
      </c>
      <c r="Y823" s="15">
        <f t="shared" si="262"/>
        <v>9.8404379539761611E-2</v>
      </c>
      <c r="Z823" s="15">
        <f t="shared" si="263"/>
        <v>0.10244915172075211</v>
      </c>
      <c r="AA823" s="15">
        <f t="shared" si="264"/>
        <v>0.11053869608273319</v>
      </c>
      <c r="AC823" s="1"/>
      <c r="AD823" s="1"/>
      <c r="AE823" s="1"/>
    </row>
    <row r="824" spans="1:31">
      <c r="A824">
        <v>695</v>
      </c>
      <c r="B824">
        <f t="shared" si="244"/>
        <v>0.77240709048352074</v>
      </c>
      <c r="C824">
        <v>0.76524800764022316</v>
      </c>
      <c r="D824">
        <f t="shared" si="245"/>
        <v>1.3067658981350059</v>
      </c>
      <c r="E824" s="1">
        <f t="shared" si="246"/>
        <v>6.5208886766604662E-2</v>
      </c>
      <c r="F824" s="1">
        <f t="shared" si="247"/>
        <v>7.5642308649261414E-2</v>
      </c>
      <c r="G824" s="1">
        <f t="shared" si="248"/>
        <v>2.3475199235977698E-2</v>
      </c>
      <c r="H824" s="1">
        <f t="shared" si="249"/>
        <v>2.2747627676393808E-2</v>
      </c>
      <c r="I824" s="1">
        <f t="shared" si="250"/>
        <v>8.3600702808100058E-2</v>
      </c>
      <c r="J824" s="1">
        <f t="shared" si="251"/>
        <v>9.0571919176337889E-2</v>
      </c>
      <c r="K824" s="1">
        <f t="shared" si="252"/>
        <v>5.5693575019811564E-2</v>
      </c>
      <c r="L824" s="1">
        <f t="shared" si="253"/>
        <v>5.5224619389537544E-2</v>
      </c>
      <c r="M824" s="1">
        <f t="shared" si="254"/>
        <v>0.12038433489109063</v>
      </c>
      <c r="N824" s="1">
        <f t="shared" si="255"/>
        <v>0.12043114023049067</v>
      </c>
      <c r="O824" s="1">
        <f t="shared" si="256"/>
        <v>0.12013032658747924</v>
      </c>
      <c r="P824" s="1">
        <f t="shared" si="257"/>
        <v>0.12017860281582499</v>
      </c>
      <c r="Q824" s="1">
        <f t="shared" si="258"/>
        <v>1.8258488294649311</v>
      </c>
      <c r="T824">
        <v>0.19723253577725453</v>
      </c>
      <c r="U824">
        <f t="shared" si="265"/>
        <v>5.0701573959853894</v>
      </c>
      <c r="V824" s="15">
        <f t="shared" si="259"/>
        <v>7.7880374898064555E-2</v>
      </c>
      <c r="W824" s="15">
        <f t="shared" si="260"/>
        <v>8.2180056543893001E-2</v>
      </c>
      <c r="X824" s="15">
        <f t="shared" si="261"/>
        <v>9.0779419835550004E-2</v>
      </c>
      <c r="Y824" s="15">
        <f t="shared" si="262"/>
        <v>0.11043755165934312</v>
      </c>
      <c r="Z824" s="15">
        <f t="shared" si="263"/>
        <v>0.11415066497199947</v>
      </c>
      <c r="AA824" s="15">
        <f t="shared" si="264"/>
        <v>0.12157689159731233</v>
      </c>
      <c r="AC824" s="1"/>
      <c r="AD824" s="1"/>
      <c r="AE824" s="1"/>
    </row>
    <row r="825" spans="1:31">
      <c r="A825">
        <v>18</v>
      </c>
      <c r="B825">
        <f t="shared" si="244"/>
        <v>0.77262105988773411</v>
      </c>
      <c r="C825">
        <v>0.76592598024429959</v>
      </c>
      <c r="D825">
        <f t="shared" si="245"/>
        <v>1.305609191740748</v>
      </c>
      <c r="E825" s="1">
        <f t="shared" si="246"/>
        <v>6.5020561043250102E-2</v>
      </c>
      <c r="F825" s="1">
        <f t="shared" si="247"/>
        <v>7.542385081017014E-2</v>
      </c>
      <c r="G825" s="1">
        <f t="shared" si="248"/>
        <v>2.340740197557005E-2</v>
      </c>
      <c r="H825" s="1">
        <f t="shared" si="249"/>
        <v>2.2681931670079675E-2</v>
      </c>
      <c r="I825" s="1">
        <f t="shared" si="250"/>
        <v>8.3359260826646853E-2</v>
      </c>
      <c r="J825" s="1">
        <f t="shared" si="251"/>
        <v>9.0310344059198633E-2</v>
      </c>
      <c r="K825" s="1">
        <f t="shared" si="252"/>
        <v>5.5532729875508641E-2</v>
      </c>
      <c r="L825" s="1">
        <f t="shared" si="253"/>
        <v>5.5065128606774483E-2</v>
      </c>
      <c r="M825" s="1">
        <f t="shared" si="254"/>
        <v>0.12003666039344024</v>
      </c>
      <c r="N825" s="1">
        <f t="shared" si="255"/>
        <v>0.12008333055725551</v>
      </c>
      <c r="O825" s="1">
        <f t="shared" si="256"/>
        <v>0.11978338567538577</v>
      </c>
      <c r="P825" s="1">
        <f t="shared" si="257"/>
        <v>0.11983152248016404</v>
      </c>
      <c r="Q825" s="1">
        <f t="shared" si="258"/>
        <v>1.8205757092110035</v>
      </c>
      <c r="T825">
        <v>0.41309134663063074</v>
      </c>
      <c r="U825">
        <f t="shared" si="265"/>
        <v>2.4207720838416855</v>
      </c>
      <c r="V825" s="15">
        <f t="shared" si="259"/>
        <v>6.3563919572190999E-2</v>
      </c>
      <c r="W825" s="15">
        <f t="shared" si="260"/>
        <v>6.8441036645266781E-2</v>
      </c>
      <c r="X825" s="15">
        <f t="shared" si="261"/>
        <v>7.8195270791418248E-2</v>
      </c>
      <c r="Y825" s="15">
        <f t="shared" si="262"/>
        <v>8.9248949888016543E-2</v>
      </c>
      <c r="Z825" s="15">
        <f t="shared" si="263"/>
        <v>9.3540021299903228E-2</v>
      </c>
      <c r="AA825" s="15">
        <f t="shared" si="264"/>
        <v>0.10212216412367656</v>
      </c>
      <c r="AC825" s="1"/>
      <c r="AD825" s="1"/>
      <c r="AE825" s="1"/>
    </row>
    <row r="826" spans="1:31">
      <c r="A826">
        <v>619</v>
      </c>
      <c r="B826">
        <f t="shared" si="244"/>
        <v>0.77285063977311674</v>
      </c>
      <c r="C826">
        <v>0.76640533003971145</v>
      </c>
      <c r="D826">
        <f t="shared" si="245"/>
        <v>1.3047925957772042</v>
      </c>
      <c r="E826" s="1">
        <f t="shared" si="246"/>
        <v>6.4887408322302359E-2</v>
      </c>
      <c r="F826" s="1">
        <f t="shared" si="247"/>
        <v>7.5269393653870753E-2</v>
      </c>
      <c r="G826" s="1">
        <f t="shared" si="248"/>
        <v>2.3359466996028866E-2</v>
      </c>
      <c r="H826" s="1">
        <f t="shared" si="249"/>
        <v>2.2635482348976263E-2</v>
      </c>
      <c r="I826" s="1">
        <f t="shared" si="250"/>
        <v>8.3188553096397083E-2</v>
      </c>
      <c r="J826" s="1">
        <f t="shared" si="251"/>
        <v>9.0125401514128789E-2</v>
      </c>
      <c r="K826" s="1">
        <f t="shared" si="252"/>
        <v>5.5419006862880982E-2</v>
      </c>
      <c r="L826" s="1">
        <f t="shared" si="253"/>
        <v>5.4952363174030017E-2</v>
      </c>
      <c r="M826" s="1">
        <f t="shared" si="254"/>
        <v>0.11979084264458639</v>
      </c>
      <c r="N826" s="1">
        <f t="shared" si="255"/>
        <v>0.11983741723464469</v>
      </c>
      <c r="O826" s="1">
        <f t="shared" si="256"/>
        <v>0.1195380865965851</v>
      </c>
      <c r="P826" s="1">
        <f t="shared" si="257"/>
        <v>0.1195861248241375</v>
      </c>
      <c r="Q826" s="1">
        <f t="shared" si="258"/>
        <v>1.8168474330244671</v>
      </c>
      <c r="T826">
        <v>0.63777178836807003</v>
      </c>
      <c r="U826">
        <f t="shared" si="265"/>
        <v>1.5679589756687093</v>
      </c>
      <c r="V826" s="15">
        <f t="shared" si="259"/>
        <v>0</v>
      </c>
      <c r="W826" s="15">
        <f t="shared" si="260"/>
        <v>0</v>
      </c>
      <c r="X826" s="15">
        <f t="shared" si="261"/>
        <v>0</v>
      </c>
      <c r="Y826" s="15">
        <f t="shared" si="262"/>
        <v>0</v>
      </c>
      <c r="Z826" s="15">
        <f t="shared" si="263"/>
        <v>0</v>
      </c>
      <c r="AA826" s="15">
        <f t="shared" si="264"/>
        <v>0</v>
      </c>
      <c r="AC826" s="1"/>
      <c r="AD826" s="1"/>
      <c r="AE826" s="1"/>
    </row>
    <row r="827" spans="1:31">
      <c r="A827">
        <v>382</v>
      </c>
      <c r="B827">
        <f t="shared" si="244"/>
        <v>0.77339918938597174</v>
      </c>
      <c r="C827">
        <v>0.76777436355805895</v>
      </c>
      <c r="D827">
        <f t="shared" si="245"/>
        <v>1.302465994521814</v>
      </c>
      <c r="E827" s="1">
        <f t="shared" si="246"/>
        <v>6.4507121233872505E-2</v>
      </c>
      <c r="F827" s="1">
        <f t="shared" si="247"/>
        <v>7.4828260631292109E-2</v>
      </c>
      <c r="G827" s="1">
        <f t="shared" si="248"/>
        <v>2.3222563644194116E-2</v>
      </c>
      <c r="H827" s="1">
        <f t="shared" si="249"/>
        <v>2.2502822070190873E-2</v>
      </c>
      <c r="I827" s="1">
        <f t="shared" si="250"/>
        <v>8.2701008078562732E-2</v>
      </c>
      <c r="J827" s="1">
        <f t="shared" si="251"/>
        <v>8.9597201553280603E-2</v>
      </c>
      <c r="K827" s="1">
        <f t="shared" si="252"/>
        <v>5.5094211447122066E-2</v>
      </c>
      <c r="L827" s="1">
        <f t="shared" si="253"/>
        <v>5.4630302627398375E-2</v>
      </c>
      <c r="M827" s="1">
        <f t="shared" si="254"/>
        <v>0.11908878176794302</v>
      </c>
      <c r="N827" s="1">
        <f t="shared" si="255"/>
        <v>0.11913508339725742</v>
      </c>
      <c r="O827" s="1">
        <f t="shared" si="256"/>
        <v>0.11883750705297796</v>
      </c>
      <c r="P827" s="1">
        <f t="shared" si="257"/>
        <v>0.1188852637418133</v>
      </c>
      <c r="Q827" s="1">
        <f t="shared" si="258"/>
        <v>1.8061993945484307</v>
      </c>
      <c r="T827">
        <v>0.704787417105875</v>
      </c>
      <c r="U827">
        <f t="shared" si="265"/>
        <v>1.4188675559878468</v>
      </c>
      <c r="V827" s="15">
        <f t="shared" si="259"/>
        <v>0</v>
      </c>
      <c r="W827" s="15">
        <f t="shared" si="260"/>
        <v>0</v>
      </c>
      <c r="X827" s="15">
        <f t="shared" si="261"/>
        <v>0</v>
      </c>
      <c r="Y827" s="15">
        <f t="shared" si="262"/>
        <v>0</v>
      </c>
      <c r="Z827" s="15">
        <f t="shared" si="263"/>
        <v>0</v>
      </c>
      <c r="AA827" s="15">
        <f t="shared" si="264"/>
        <v>0</v>
      </c>
      <c r="AC827" s="1"/>
      <c r="AD827" s="1"/>
      <c r="AE827" s="1"/>
    </row>
    <row r="828" spans="1:31">
      <c r="A828">
        <v>425</v>
      </c>
      <c r="B828">
        <f t="shared" si="244"/>
        <v>0.77480076165578571</v>
      </c>
      <c r="C828">
        <v>0.76841574169851268</v>
      </c>
      <c r="D828">
        <f t="shared" si="245"/>
        <v>1.3013788574783638</v>
      </c>
      <c r="E828" s="1">
        <f t="shared" si="246"/>
        <v>6.4328960639302019E-2</v>
      </c>
      <c r="F828" s="1">
        <f t="shared" si="247"/>
        <v>7.4621594341590353E-2</v>
      </c>
      <c r="G828" s="1">
        <f t="shared" si="248"/>
        <v>2.3158425830148738E-2</v>
      </c>
      <c r="H828" s="1">
        <f t="shared" si="249"/>
        <v>2.2440672092283731E-2</v>
      </c>
      <c r="I828" s="1">
        <f t="shared" si="250"/>
        <v>8.2472598245833778E-2</v>
      </c>
      <c r="J828" s="1">
        <f t="shared" si="251"/>
        <v>8.9349745297362615E-2</v>
      </c>
      <c r="K828" s="1">
        <f t="shared" si="252"/>
        <v>5.4942048131180199E-2</v>
      </c>
      <c r="L828" s="1">
        <f t="shared" si="253"/>
        <v>5.4479420569549658E-2</v>
      </c>
      <c r="M828" s="1">
        <f t="shared" si="254"/>
        <v>0.11875987345889716</v>
      </c>
      <c r="N828" s="1">
        <f t="shared" si="255"/>
        <v>0.11880604720890686</v>
      </c>
      <c r="O828" s="1">
        <f t="shared" si="256"/>
        <v>0.11850929273324307</v>
      </c>
      <c r="P828" s="1">
        <f t="shared" si="257"/>
        <v>0.11855691752408148</v>
      </c>
      <c r="Q828" s="1">
        <f t="shared" si="258"/>
        <v>1.8012108979004573</v>
      </c>
      <c r="T828">
        <v>0.63766590733786155</v>
      </c>
      <c r="U828">
        <f t="shared" si="265"/>
        <v>1.5682193269118259</v>
      </c>
      <c r="V828" s="15">
        <f t="shared" si="259"/>
        <v>0</v>
      </c>
      <c r="W828" s="15">
        <f t="shared" si="260"/>
        <v>0</v>
      </c>
      <c r="X828" s="15">
        <f t="shared" si="261"/>
        <v>0</v>
      </c>
      <c r="Y828" s="15">
        <f t="shared" si="262"/>
        <v>0</v>
      </c>
      <c r="Z828" s="15">
        <f t="shared" si="263"/>
        <v>0</v>
      </c>
      <c r="AA828" s="15">
        <f t="shared" si="264"/>
        <v>0</v>
      </c>
      <c r="AC828" s="1"/>
      <c r="AD828" s="1"/>
      <c r="AE828" s="1"/>
    </row>
    <row r="829" spans="1:31">
      <c r="A829">
        <v>33</v>
      </c>
      <c r="B829">
        <f t="shared" si="244"/>
        <v>0.77563252704577057</v>
      </c>
      <c r="C829">
        <v>0.76895414960755326</v>
      </c>
      <c r="D829">
        <f t="shared" si="245"/>
        <v>1.3004676553346701</v>
      </c>
      <c r="E829" s="1">
        <f t="shared" si="246"/>
        <v>6.4179402886790748E-2</v>
      </c>
      <c r="F829" s="1">
        <f t="shared" si="247"/>
        <v>7.4448107348677267E-2</v>
      </c>
      <c r="G829" s="1">
        <f t="shared" si="248"/>
        <v>2.3104585039244688E-2</v>
      </c>
      <c r="H829" s="1">
        <f t="shared" si="249"/>
        <v>2.2388499999813849E-2</v>
      </c>
      <c r="I829" s="1">
        <f t="shared" si="250"/>
        <v>8.2280858533038292E-2</v>
      </c>
      <c r="J829" s="1">
        <f t="shared" si="251"/>
        <v>8.9142016974670502E-2</v>
      </c>
      <c r="K829" s="1">
        <f t="shared" si="252"/>
        <v>5.4814313916991042E-2</v>
      </c>
      <c r="L829" s="1">
        <f t="shared" si="253"/>
        <v>5.4352761913517844E-2</v>
      </c>
      <c r="M829" s="1">
        <f t="shared" si="254"/>
        <v>0.11848376982553321</v>
      </c>
      <c r="N829" s="1">
        <f t="shared" si="255"/>
        <v>0.11852983622665675</v>
      </c>
      <c r="O829" s="1">
        <f t="shared" si="256"/>
        <v>0.11823377167248372</v>
      </c>
      <c r="P829" s="1">
        <f t="shared" si="257"/>
        <v>0.11828128574092572</v>
      </c>
      <c r="Q829" s="1">
        <f t="shared" si="258"/>
        <v>1.7970232808301416</v>
      </c>
      <c r="T829">
        <v>0.69726871144173364</v>
      </c>
      <c r="U829">
        <f t="shared" si="265"/>
        <v>1.4341673211355099</v>
      </c>
      <c r="V829" s="15">
        <f t="shared" si="259"/>
        <v>0</v>
      </c>
      <c r="W829" s="15">
        <f t="shared" si="260"/>
        <v>0</v>
      </c>
      <c r="X829" s="15">
        <f t="shared" si="261"/>
        <v>0</v>
      </c>
      <c r="Y829" s="15">
        <f t="shared" si="262"/>
        <v>0</v>
      </c>
      <c r="Z829" s="15">
        <f t="shared" si="263"/>
        <v>0</v>
      </c>
      <c r="AA829" s="15">
        <f t="shared" si="264"/>
        <v>0</v>
      </c>
      <c r="AC829" s="1"/>
      <c r="AD829" s="1"/>
      <c r="AE829" s="1"/>
    </row>
    <row r="830" spans="1:31">
      <c r="A830">
        <v>456</v>
      </c>
      <c r="B830">
        <f t="shared" si="244"/>
        <v>0.77597791513713033</v>
      </c>
      <c r="C830">
        <v>0.77002296587867225</v>
      </c>
      <c r="D830">
        <f t="shared" si="245"/>
        <v>1.2986625650299939</v>
      </c>
      <c r="E830" s="1">
        <f t="shared" si="246"/>
        <v>6.3882509478146582E-2</v>
      </c>
      <c r="F830" s="1">
        <f t="shared" si="247"/>
        <v>7.4103710994650046E-2</v>
      </c>
      <c r="G830" s="1">
        <f t="shared" si="248"/>
        <v>2.2997703412132781E-2</v>
      </c>
      <c r="H830" s="1">
        <f t="shared" si="249"/>
        <v>2.2284930976413944E-2</v>
      </c>
      <c r="I830" s="1">
        <f t="shared" si="250"/>
        <v>8.1900227934166375E-2</v>
      </c>
      <c r="J830" s="1">
        <f t="shared" si="251"/>
        <v>8.8729646711274479E-2</v>
      </c>
      <c r="K830" s="1">
        <f t="shared" si="252"/>
        <v>5.4560743335631601E-2</v>
      </c>
      <c r="L830" s="1">
        <f t="shared" si="253"/>
        <v>5.410132646806512E-2</v>
      </c>
      <c r="M830" s="1">
        <f t="shared" si="254"/>
        <v>0.11793566484620577</v>
      </c>
      <c r="N830" s="1">
        <f t="shared" si="255"/>
        <v>0.11798151814452307</v>
      </c>
      <c r="O830" s="1">
        <f t="shared" si="256"/>
        <v>0.11768682318262913</v>
      </c>
      <c r="P830" s="1">
        <f t="shared" si="257"/>
        <v>0.11773411745136747</v>
      </c>
      <c r="Q830" s="1">
        <f t="shared" si="258"/>
        <v>1.7887102653881053</v>
      </c>
      <c r="T830">
        <v>0.44553808118948868</v>
      </c>
      <c r="U830">
        <f t="shared" si="265"/>
        <v>2.2444770541952779</v>
      </c>
      <c r="V830" s="15">
        <f t="shared" si="259"/>
        <v>6.1441300884197081E-2</v>
      </c>
      <c r="W830" s="15">
        <f t="shared" si="260"/>
        <v>6.6403002350012438E-2</v>
      </c>
      <c r="X830" s="15">
        <f t="shared" si="261"/>
        <v>7.6326405281643014E-2</v>
      </c>
      <c r="Y830" s="15">
        <f t="shared" si="262"/>
        <v>8.6107384754354088E-2</v>
      </c>
      <c r="Z830" s="15">
        <f t="shared" si="263"/>
        <v>9.0482970504252608E-2</v>
      </c>
      <c r="AA830" s="15">
        <f t="shared" si="264"/>
        <v>9.9234142004049605E-2</v>
      </c>
      <c r="AC830" s="1"/>
      <c r="AD830" s="1"/>
      <c r="AE830" s="1"/>
    </row>
    <row r="831" spans="1:31">
      <c r="A831">
        <v>621</v>
      </c>
      <c r="B831">
        <f t="shared" si="244"/>
        <v>0.7760013038443665</v>
      </c>
      <c r="C831">
        <v>0.77009696161131458</v>
      </c>
      <c r="D831">
        <f t="shared" si="245"/>
        <v>1.2985377814082621</v>
      </c>
      <c r="E831" s="1">
        <f t="shared" si="246"/>
        <v>6.386195510796816E-2</v>
      </c>
      <c r="F831" s="1">
        <f t="shared" si="247"/>
        <v>7.407986792524307E-2</v>
      </c>
      <c r="G831" s="1">
        <f t="shared" si="248"/>
        <v>2.2990303838868548E-2</v>
      </c>
      <c r="H831" s="1">
        <f t="shared" si="249"/>
        <v>2.227776073960841E-2</v>
      </c>
      <c r="I831" s="1">
        <f t="shared" si="250"/>
        <v>8.1873876314350419E-2</v>
      </c>
      <c r="J831" s="1">
        <f t="shared" si="251"/>
        <v>8.8701097707498566E-2</v>
      </c>
      <c r="K831" s="1">
        <f t="shared" si="252"/>
        <v>5.4543188268917853E-2</v>
      </c>
      <c r="L831" s="1">
        <f t="shared" si="253"/>
        <v>5.4083919219970883E-2</v>
      </c>
      <c r="M831" s="1">
        <f t="shared" si="254"/>
        <v>0.1178977187271148</v>
      </c>
      <c r="N831" s="1">
        <f t="shared" si="255"/>
        <v>0.11794355727200939</v>
      </c>
      <c r="O831" s="1">
        <f t="shared" si="256"/>
        <v>0.11764895712901635</v>
      </c>
      <c r="P831" s="1">
        <f t="shared" si="257"/>
        <v>0.1176962361806958</v>
      </c>
      <c r="Q831" s="1">
        <f t="shared" si="258"/>
        <v>1.7881347430231092</v>
      </c>
      <c r="T831">
        <v>0.99805415402034459</v>
      </c>
      <c r="U831">
        <f t="shared" si="265"/>
        <v>1.0019496396781851</v>
      </c>
      <c r="V831" s="15">
        <f t="shared" si="259"/>
        <v>0</v>
      </c>
      <c r="W831" s="15">
        <f t="shared" si="260"/>
        <v>0</v>
      </c>
      <c r="X831" s="15">
        <f t="shared" si="261"/>
        <v>0</v>
      </c>
      <c r="Y831" s="15">
        <f t="shared" si="262"/>
        <v>0</v>
      </c>
      <c r="Z831" s="15">
        <f t="shared" si="263"/>
        <v>0</v>
      </c>
      <c r="AA831" s="15">
        <f t="shared" si="264"/>
        <v>0</v>
      </c>
      <c r="AC831" s="1"/>
      <c r="AD831" s="1"/>
      <c r="AE831" s="1"/>
    </row>
    <row r="832" spans="1:31">
      <c r="A832">
        <v>350</v>
      </c>
      <c r="B832">
        <f t="shared" si="244"/>
        <v>0.77601322913133353</v>
      </c>
      <c r="C832">
        <v>0.77013469009015645</v>
      </c>
      <c r="D832">
        <f t="shared" si="245"/>
        <v>1.2984741667498891</v>
      </c>
      <c r="E832" s="1">
        <f t="shared" si="246"/>
        <v>6.3851474974956524E-2</v>
      </c>
      <c r="F832" s="1">
        <f t="shared" si="247"/>
        <v>7.406771097094958E-2</v>
      </c>
      <c r="G832" s="1">
        <f t="shared" si="248"/>
        <v>2.2986530990984369E-2</v>
      </c>
      <c r="H832" s="1">
        <f t="shared" si="249"/>
        <v>2.2274104824355614E-2</v>
      </c>
      <c r="I832" s="1">
        <f t="shared" si="250"/>
        <v>8.186044031614928E-2</v>
      </c>
      <c r="J832" s="1">
        <f t="shared" si="251"/>
        <v>8.8686541320982082E-2</v>
      </c>
      <c r="K832" s="1">
        <f t="shared" si="252"/>
        <v>5.4534237401895835E-2</v>
      </c>
      <c r="L832" s="1">
        <f t="shared" si="253"/>
        <v>5.4075043721777044E-2</v>
      </c>
      <c r="M832" s="1">
        <f t="shared" si="254"/>
        <v>0.11787837099853465</v>
      </c>
      <c r="N832" s="1">
        <f t="shared" si="255"/>
        <v>0.11792420202104681</v>
      </c>
      <c r="O832" s="1">
        <f t="shared" si="256"/>
        <v>0.11762965022371874</v>
      </c>
      <c r="P832" s="1">
        <f t="shared" si="257"/>
        <v>0.1176769215166199</v>
      </c>
      <c r="Q832" s="1">
        <f t="shared" si="258"/>
        <v>1.7878412992987833</v>
      </c>
      <c r="T832">
        <v>0.87609166190795684</v>
      </c>
      <c r="U832">
        <f t="shared" si="265"/>
        <v>1.1414330754183815</v>
      </c>
      <c r="V832" s="15">
        <f t="shared" si="259"/>
        <v>0</v>
      </c>
      <c r="W832" s="15">
        <f t="shared" si="260"/>
        <v>0</v>
      </c>
      <c r="X832" s="15">
        <f t="shared" si="261"/>
        <v>0</v>
      </c>
      <c r="Y832" s="15">
        <f t="shared" si="262"/>
        <v>0</v>
      </c>
      <c r="Z832" s="15">
        <f t="shared" si="263"/>
        <v>0</v>
      </c>
      <c r="AA832" s="15">
        <f t="shared" si="264"/>
        <v>0</v>
      </c>
      <c r="AC832" s="1"/>
      <c r="AD832" s="1"/>
      <c r="AE832" s="1"/>
    </row>
    <row r="833" spans="1:31">
      <c r="A833">
        <v>751</v>
      </c>
      <c r="B833">
        <f t="shared" si="244"/>
        <v>0.77603462386113331</v>
      </c>
      <c r="C833">
        <v>0.77020237740139752</v>
      </c>
      <c r="D833">
        <f t="shared" si="245"/>
        <v>1.2983600535925657</v>
      </c>
      <c r="E833" s="1">
        <f t="shared" si="246"/>
        <v>6.3832672944056229E-2</v>
      </c>
      <c r="F833" s="1">
        <f t="shared" si="247"/>
        <v>7.4045900615105242E-2</v>
      </c>
      <c r="G833" s="1">
        <f t="shared" si="248"/>
        <v>2.2979762259860259E-2</v>
      </c>
      <c r="H833" s="1">
        <f t="shared" si="249"/>
        <v>2.2267545877873204E-2</v>
      </c>
      <c r="I833" s="1">
        <f t="shared" si="250"/>
        <v>8.1836335273486771E-2</v>
      </c>
      <c r="J833" s="1">
        <f t="shared" si="251"/>
        <v>8.8660426229811351E-2</v>
      </c>
      <c r="K833" s="1">
        <f t="shared" si="252"/>
        <v>5.4518178972279979E-2</v>
      </c>
      <c r="L833" s="1">
        <f t="shared" si="253"/>
        <v>5.4059120508673675E-2</v>
      </c>
      <c r="M833" s="1">
        <f t="shared" si="254"/>
        <v>0.11784365993234769</v>
      </c>
      <c r="N833" s="1">
        <f t="shared" si="255"/>
        <v>0.11788947745922329</v>
      </c>
      <c r="O833" s="1">
        <f t="shared" si="256"/>
        <v>0.11759501239711934</v>
      </c>
      <c r="P833" s="1">
        <f t="shared" si="257"/>
        <v>0.11764226977027453</v>
      </c>
      <c r="Q833" s="1">
        <f t="shared" si="258"/>
        <v>1.7873148424335756</v>
      </c>
      <c r="T833">
        <v>0.88941662888112005</v>
      </c>
      <c r="U833">
        <f t="shared" si="265"/>
        <v>1.1243324753866959</v>
      </c>
      <c r="V833" s="15">
        <f t="shared" si="259"/>
        <v>0</v>
      </c>
      <c r="W833" s="15">
        <f t="shared" si="260"/>
        <v>0</v>
      </c>
      <c r="X833" s="15">
        <f t="shared" si="261"/>
        <v>0</v>
      </c>
      <c r="Y833" s="15">
        <f t="shared" si="262"/>
        <v>0</v>
      </c>
      <c r="Z833" s="15">
        <f t="shared" si="263"/>
        <v>0</v>
      </c>
      <c r="AA833" s="15">
        <f t="shared" si="264"/>
        <v>0</v>
      </c>
      <c r="AC833" s="1"/>
      <c r="AD833" s="1"/>
      <c r="AE833" s="1"/>
    </row>
    <row r="834" spans="1:31">
      <c r="A834">
        <v>133</v>
      </c>
      <c r="B834">
        <f t="shared" si="244"/>
        <v>0.77606225561459008</v>
      </c>
      <c r="C834">
        <v>0.77028979701893274</v>
      </c>
      <c r="D834">
        <f t="shared" si="245"/>
        <v>1.2982127036734219</v>
      </c>
      <c r="E834" s="1">
        <f t="shared" si="246"/>
        <v>6.3808389716963121E-2</v>
      </c>
      <c r="F834" s="1">
        <f t="shared" si="247"/>
        <v>7.4017732071677222E-2</v>
      </c>
      <c r="G834" s="1">
        <f t="shared" si="248"/>
        <v>2.2971020298106729E-2</v>
      </c>
      <c r="H834" s="1">
        <f t="shared" si="249"/>
        <v>2.2259074857494149E-2</v>
      </c>
      <c r="I834" s="1">
        <f t="shared" si="250"/>
        <v>8.180520309270442E-2</v>
      </c>
      <c r="J834" s="1">
        <f t="shared" si="251"/>
        <v>8.8626698028170803E-2</v>
      </c>
      <c r="K834" s="1">
        <f t="shared" si="252"/>
        <v>5.449743916522462E-2</v>
      </c>
      <c r="L834" s="1">
        <f t="shared" si="253"/>
        <v>5.4038555336650917E-2</v>
      </c>
      <c r="M834" s="1">
        <f t="shared" si="254"/>
        <v>0.11779882984418688</v>
      </c>
      <c r="N834" s="1">
        <f t="shared" si="255"/>
        <v>0.11784462994115774</v>
      </c>
      <c r="O834" s="1">
        <f t="shared" si="256"/>
        <v>0.11755027689946035</v>
      </c>
      <c r="P834" s="1">
        <f t="shared" si="257"/>
        <v>0.11759751629496445</v>
      </c>
      <c r="Q834" s="1">
        <f t="shared" si="258"/>
        <v>1.7866349120749678</v>
      </c>
      <c r="T834">
        <v>0.16947260241876205</v>
      </c>
      <c r="U834">
        <f t="shared" si="265"/>
        <v>5.9006587833532409</v>
      </c>
      <c r="V834" s="15">
        <f t="shared" si="259"/>
        <v>8.1655233393346571E-2</v>
      </c>
      <c r="W834" s="15">
        <f t="shared" si="260"/>
        <v>8.5734897441219024E-2</v>
      </c>
      <c r="X834" s="15">
        <f t="shared" si="261"/>
        <v>9.3894225536963916E-2</v>
      </c>
      <c r="Y834" s="15">
        <f t="shared" si="262"/>
        <v>0.11602093442461953</v>
      </c>
      <c r="Z834" s="15">
        <f t="shared" si="263"/>
        <v>0.11950417234337744</v>
      </c>
      <c r="AA834" s="15">
        <f t="shared" si="264"/>
        <v>0.12647064818089332</v>
      </c>
      <c r="AC834" s="1"/>
      <c r="AD834" s="1"/>
      <c r="AE834" s="1"/>
    </row>
    <row r="835" spans="1:31">
      <c r="A835">
        <v>631</v>
      </c>
      <c r="B835">
        <f t="shared" si="244"/>
        <v>0.77688919913376042</v>
      </c>
      <c r="C835">
        <v>0.77129626475477187</v>
      </c>
      <c r="D835">
        <f t="shared" si="245"/>
        <v>1.2965186604630361</v>
      </c>
      <c r="E835" s="1">
        <f t="shared" si="246"/>
        <v>6.3528815345896689E-2</v>
      </c>
      <c r="F835" s="1">
        <f t="shared" si="247"/>
        <v>7.3693425801240164E-2</v>
      </c>
      <c r="G835" s="1">
        <f t="shared" si="248"/>
        <v>2.2870373524522827E-2</v>
      </c>
      <c r="H835" s="1">
        <f t="shared" si="249"/>
        <v>2.2161547449555966E-2</v>
      </c>
      <c r="I835" s="1">
        <f t="shared" si="250"/>
        <v>8.1446776272876303E-2</v>
      </c>
      <c r="J835" s="1">
        <f t="shared" si="251"/>
        <v>8.8238383051553682E-2</v>
      </c>
      <c r="K835" s="1">
        <f t="shared" si="252"/>
        <v>5.4258660419248872E-2</v>
      </c>
      <c r="L835" s="1">
        <f t="shared" si="253"/>
        <v>5.3801787175150578E-2</v>
      </c>
      <c r="M835" s="1">
        <f t="shared" si="254"/>
        <v>0.11728269812683539</v>
      </c>
      <c r="N835" s="1">
        <f t="shared" si="255"/>
        <v>0.11732829755218038</v>
      </c>
      <c r="O835" s="1">
        <f t="shared" si="256"/>
        <v>0.11703523420870088</v>
      </c>
      <c r="P835" s="1">
        <f t="shared" si="257"/>
        <v>0.11708226662633975</v>
      </c>
      <c r="Q835" s="1">
        <f t="shared" si="258"/>
        <v>1.7788068296851085</v>
      </c>
      <c r="T835">
        <v>0.29653818760260375</v>
      </c>
      <c r="U835">
        <f t="shared" si="265"/>
        <v>3.3722469543791718</v>
      </c>
      <c r="V835" s="15">
        <f t="shared" si="259"/>
        <v>7.1188659530193266E-2</v>
      </c>
      <c r="W835" s="15">
        <f t="shared" si="260"/>
        <v>7.5761937763635406E-2</v>
      </c>
      <c r="X835" s="15">
        <f t="shared" si="261"/>
        <v>8.4908494230519688E-2</v>
      </c>
      <c r="Y835" s="15">
        <f t="shared" si="262"/>
        <v>0.10053388643398725</v>
      </c>
      <c r="Z835" s="15">
        <f t="shared" si="263"/>
        <v>0.10452137065251323</v>
      </c>
      <c r="AA835" s="15">
        <f t="shared" si="264"/>
        <v>0.11249633908956524</v>
      </c>
      <c r="AC835" s="1"/>
      <c r="AD835" s="1"/>
      <c r="AE835" s="1"/>
    </row>
    <row r="836" spans="1:31">
      <c r="A836">
        <v>238</v>
      </c>
      <c r="B836">
        <f t="shared" si="244"/>
        <v>0.77752044446452873</v>
      </c>
      <c r="C836">
        <v>0.77179579489094119</v>
      </c>
      <c r="D836">
        <f t="shared" si="245"/>
        <v>1.2956795134408645</v>
      </c>
      <c r="E836" s="1">
        <f t="shared" si="246"/>
        <v>6.339005697473854E-2</v>
      </c>
      <c r="F836" s="1">
        <f t="shared" si="247"/>
        <v>7.3532466090696719E-2</v>
      </c>
      <c r="G836" s="1">
        <f t="shared" si="248"/>
        <v>2.2820420510905895E-2</v>
      </c>
      <c r="H836" s="1">
        <f t="shared" si="249"/>
        <v>2.2113142639711786E-2</v>
      </c>
      <c r="I836" s="1">
        <f t="shared" si="250"/>
        <v>8.1268881848902352E-2</v>
      </c>
      <c r="J836" s="1">
        <f t="shared" si="251"/>
        <v>8.8045654535537754E-2</v>
      </c>
      <c r="K836" s="1">
        <f t="shared" si="252"/>
        <v>5.4140149735553506E-2</v>
      </c>
      <c r="L836" s="1">
        <f t="shared" si="253"/>
        <v>5.3684274384880937E-2</v>
      </c>
      <c r="M836" s="1">
        <f t="shared" si="254"/>
        <v>0.11702653159722981</v>
      </c>
      <c r="N836" s="1">
        <f t="shared" si="255"/>
        <v>0.11707203142521966</v>
      </c>
      <c r="O836" s="1">
        <f t="shared" si="256"/>
        <v>0.11677960818484873</v>
      </c>
      <c r="P836" s="1">
        <f t="shared" si="257"/>
        <v>0.11682653787521924</v>
      </c>
      <c r="Q836" s="1">
        <f t="shared" si="258"/>
        <v>1.77492159529268</v>
      </c>
      <c r="T836">
        <v>0.11020993036016991</v>
      </c>
      <c r="U836">
        <f t="shared" si="265"/>
        <v>9.0735925223068836</v>
      </c>
      <c r="V836" s="15">
        <f t="shared" si="259"/>
        <v>8.9713905515664605E-2</v>
      </c>
      <c r="W836" s="15">
        <f t="shared" si="260"/>
        <v>9.3323869921740271E-2</v>
      </c>
      <c r="X836" s="15">
        <f t="shared" si="261"/>
        <v>0.10054379873389141</v>
      </c>
      <c r="Y836" s="15">
        <f t="shared" si="262"/>
        <v>0.12794049408361072</v>
      </c>
      <c r="Z836" s="15">
        <f t="shared" si="263"/>
        <v>0.13093298766566527</v>
      </c>
      <c r="AA836" s="15">
        <f t="shared" si="264"/>
        <v>0.13691797482977425</v>
      </c>
      <c r="AC836" s="1"/>
      <c r="AD836" s="1"/>
      <c r="AE836" s="1"/>
    </row>
    <row r="837" spans="1:31">
      <c r="A837">
        <v>196</v>
      </c>
      <c r="B837">
        <f t="shared" si="244"/>
        <v>0.77775096578899294</v>
      </c>
      <c r="C837">
        <v>0.77206554564779861</v>
      </c>
      <c r="D837">
        <f t="shared" si="245"/>
        <v>1.2952268180300079</v>
      </c>
      <c r="E837" s="1">
        <f t="shared" si="246"/>
        <v>6.3315126208944805E-2</v>
      </c>
      <c r="F837" s="1">
        <f t="shared" si="247"/>
        <v>7.3445546402375994E-2</v>
      </c>
      <c r="G837" s="1">
        <f t="shared" si="248"/>
        <v>2.2793445435220147E-2</v>
      </c>
      <c r="H837" s="1">
        <f t="shared" si="249"/>
        <v>2.2087003607958594E-2</v>
      </c>
      <c r="I837" s="1">
        <f t="shared" si="250"/>
        <v>8.1172817263338637E-2</v>
      </c>
      <c r="J837" s="1">
        <f t="shared" si="251"/>
        <v>8.7941579407134152E-2</v>
      </c>
      <c r="K837" s="1">
        <f t="shared" si="252"/>
        <v>5.4076152902714447E-2</v>
      </c>
      <c r="L837" s="1">
        <f t="shared" si="253"/>
        <v>5.3620816423447931E-2</v>
      </c>
      <c r="M837" s="1">
        <f t="shared" si="254"/>
        <v>0.11688819937212613</v>
      </c>
      <c r="N837" s="1">
        <f t="shared" si="255"/>
        <v>0.11693364541665024</v>
      </c>
      <c r="O837" s="1">
        <f t="shared" si="256"/>
        <v>0.11664156783770296</v>
      </c>
      <c r="P837" s="1">
        <f t="shared" si="257"/>
        <v>0.11668844205442658</v>
      </c>
      <c r="Q837" s="1">
        <f t="shared" si="258"/>
        <v>1.7728235338504561</v>
      </c>
      <c r="T837">
        <v>0.94534626632010077</v>
      </c>
      <c r="U837">
        <f t="shared" si="265"/>
        <v>1.0578134548440614</v>
      </c>
      <c r="V837" s="15">
        <f t="shared" si="259"/>
        <v>0</v>
      </c>
      <c r="W837" s="15">
        <f t="shared" si="260"/>
        <v>0</v>
      </c>
      <c r="X837" s="15">
        <f t="shared" si="261"/>
        <v>0</v>
      </c>
      <c r="Y837" s="15">
        <f t="shared" si="262"/>
        <v>0</v>
      </c>
      <c r="Z837" s="15">
        <f t="shared" si="263"/>
        <v>0</v>
      </c>
      <c r="AA837" s="15">
        <f t="shared" si="264"/>
        <v>0</v>
      </c>
      <c r="AC837" s="1"/>
      <c r="AD837" s="1"/>
      <c r="AE837" s="1"/>
    </row>
    <row r="838" spans="1:31">
      <c r="A838">
        <v>644</v>
      </c>
      <c r="B838">
        <f t="shared" si="244"/>
        <v>0.77780948255848559</v>
      </c>
      <c r="C838">
        <v>0.77213402062683223</v>
      </c>
      <c r="D838">
        <f t="shared" si="245"/>
        <v>1.2951119537359357</v>
      </c>
      <c r="E838" s="1">
        <f t="shared" si="246"/>
        <v>6.3296105381435486E-2</v>
      </c>
      <c r="F838" s="1">
        <f t="shared" si="247"/>
        <v>7.3423482242465171E-2</v>
      </c>
      <c r="G838" s="1">
        <f t="shared" si="248"/>
        <v>2.2786597937316785E-2</v>
      </c>
      <c r="H838" s="1">
        <f t="shared" si="249"/>
        <v>2.2080368335931508E-2</v>
      </c>
      <c r="I838" s="1">
        <f t="shared" si="250"/>
        <v>8.114843171365943E-2</v>
      </c>
      <c r="J838" s="1">
        <f t="shared" si="251"/>
        <v>8.7915160418292837E-2</v>
      </c>
      <c r="K838" s="1">
        <f t="shared" si="252"/>
        <v>5.4059907603394713E-2</v>
      </c>
      <c r="L838" s="1">
        <f t="shared" si="253"/>
        <v>5.3604707914136351E-2</v>
      </c>
      <c r="M838" s="1">
        <f t="shared" si="254"/>
        <v>0.11685308437810721</v>
      </c>
      <c r="N838" s="1">
        <f t="shared" si="255"/>
        <v>0.11689851676994795</v>
      </c>
      <c r="O838" s="1">
        <f t="shared" si="256"/>
        <v>0.11660652693555046</v>
      </c>
      <c r="P838" s="1">
        <f t="shared" si="257"/>
        <v>0.11665338707054601</v>
      </c>
      <c r="Q838" s="1">
        <f t="shared" si="258"/>
        <v>1.772290950680194</v>
      </c>
      <c r="T838">
        <v>0.41112811418733441</v>
      </c>
      <c r="U838">
        <f t="shared" si="265"/>
        <v>2.4323318340237381</v>
      </c>
      <c r="V838" s="15">
        <f t="shared" si="259"/>
        <v>6.3692351413782253E-2</v>
      </c>
      <c r="W838" s="15">
        <f t="shared" si="260"/>
        <v>6.856435059668263E-2</v>
      </c>
      <c r="X838" s="15">
        <f t="shared" si="261"/>
        <v>7.8308348962483287E-2</v>
      </c>
      <c r="Y838" s="15">
        <f t="shared" si="262"/>
        <v>8.9439034427400532E-2</v>
      </c>
      <c r="Z838" s="15">
        <f t="shared" si="263"/>
        <v>9.3724992187865439E-2</v>
      </c>
      <c r="AA838" s="15">
        <f t="shared" si="264"/>
        <v>0.10229690770879524</v>
      </c>
      <c r="AC838" s="1"/>
      <c r="AD838" s="1"/>
      <c r="AE838" s="1"/>
    </row>
    <row r="839" spans="1:31">
      <c r="A839">
        <v>792</v>
      </c>
      <c r="B839">
        <f t="shared" si="244"/>
        <v>0.77793338019789715</v>
      </c>
      <c r="C839">
        <v>0.77227900279749173</v>
      </c>
      <c r="D839">
        <f t="shared" si="245"/>
        <v>1.294868818623341</v>
      </c>
      <c r="E839" s="1">
        <f t="shared" si="246"/>
        <v>6.3255832556252278E-2</v>
      </c>
      <c r="F839" s="1">
        <f t="shared" si="247"/>
        <v>7.3376765765252649E-2</v>
      </c>
      <c r="G839" s="1">
        <f t="shared" si="248"/>
        <v>2.2772099720250835E-2</v>
      </c>
      <c r="H839" s="1">
        <f t="shared" si="249"/>
        <v>2.2066319465015763E-2</v>
      </c>
      <c r="I839" s="1">
        <f t="shared" si="250"/>
        <v>8.109680015458326E-2</v>
      </c>
      <c r="J839" s="1">
        <f t="shared" si="251"/>
        <v>8.7859223455581725E-2</v>
      </c>
      <c r="K839" s="1">
        <f t="shared" si="252"/>
        <v>5.4025511408001464E-2</v>
      </c>
      <c r="L839" s="1">
        <f t="shared" si="253"/>
        <v>5.3570601344422264E-2</v>
      </c>
      <c r="M839" s="1">
        <f t="shared" si="254"/>
        <v>0.116778735351245</v>
      </c>
      <c r="N839" s="1">
        <f t="shared" si="255"/>
        <v>0.11682413883623965</v>
      </c>
      <c r="O839" s="1">
        <f t="shared" si="256"/>
        <v>0.11653233478350267</v>
      </c>
      <c r="P839" s="1">
        <f t="shared" si="257"/>
        <v>0.11657916510323524</v>
      </c>
      <c r="Q839" s="1">
        <f t="shared" si="258"/>
        <v>1.7711633115750649</v>
      </c>
      <c r="T839">
        <v>0.52745475556725741</v>
      </c>
      <c r="U839">
        <f t="shared" si="265"/>
        <v>1.8958972109836003</v>
      </c>
      <c r="V839" s="15">
        <f t="shared" si="259"/>
        <v>0</v>
      </c>
      <c r="W839" s="15">
        <f t="shared" si="260"/>
        <v>0</v>
      </c>
      <c r="X839" s="15">
        <f t="shared" si="261"/>
        <v>0</v>
      </c>
      <c r="Y839" s="15">
        <f t="shared" si="262"/>
        <v>0</v>
      </c>
      <c r="Z839" s="15">
        <f t="shared" si="263"/>
        <v>0</v>
      </c>
      <c r="AA839" s="15">
        <f t="shared" si="264"/>
        <v>0</v>
      </c>
      <c r="AC839" s="1"/>
      <c r="AD839" s="1"/>
      <c r="AE839" s="1"/>
    </row>
    <row r="840" spans="1:31">
      <c r="A840">
        <v>398</v>
      </c>
      <c r="B840">
        <f t="shared" si="244"/>
        <v>0.77816011848746691</v>
      </c>
      <c r="C840">
        <v>0.77254432673384421</v>
      </c>
      <c r="D840">
        <f t="shared" si="245"/>
        <v>1.2944241066759117</v>
      </c>
      <c r="E840" s="1">
        <f t="shared" si="246"/>
        <v>6.3182131462821034E-2</v>
      </c>
      <c r="F840" s="1">
        <f t="shared" si="247"/>
        <v>7.3291272496872423E-2</v>
      </c>
      <c r="G840" s="1">
        <f t="shared" si="248"/>
        <v>2.274556732661559E-2</v>
      </c>
      <c r="H840" s="1">
        <f t="shared" si="249"/>
        <v>2.2040609395179461E-2</v>
      </c>
      <c r="I840" s="1">
        <f t="shared" si="250"/>
        <v>8.100231206386288E-2</v>
      </c>
      <c r="J840" s="1">
        <f t="shared" si="251"/>
        <v>8.7756856281283047E-2</v>
      </c>
      <c r="K840" s="1">
        <f t="shared" si="252"/>
        <v>5.3962564813149344E-2</v>
      </c>
      <c r="L840" s="1">
        <f t="shared" si="253"/>
        <v>5.3508184777675744E-2</v>
      </c>
      <c r="M840" s="1">
        <f t="shared" si="254"/>
        <v>0.11664267326594641</v>
      </c>
      <c r="N840" s="1">
        <f t="shared" si="255"/>
        <v>0.11668802385010402</v>
      </c>
      <c r="O840" s="1">
        <f t="shared" si="256"/>
        <v>0.11639655978621677</v>
      </c>
      <c r="P840" s="1">
        <f t="shared" si="257"/>
        <v>0.11644333554266828</v>
      </c>
      <c r="Q840" s="1">
        <f t="shared" si="258"/>
        <v>1.7690996809589903</v>
      </c>
      <c r="T840">
        <v>0.21544540279491486</v>
      </c>
      <c r="U840">
        <f t="shared" si="265"/>
        <v>4.6415471717069421</v>
      </c>
      <c r="V840" s="15">
        <f t="shared" si="259"/>
        <v>7.6493632829803135E-2</v>
      </c>
      <c r="W840" s="15">
        <f t="shared" si="260"/>
        <v>8.0855512780743932E-2</v>
      </c>
      <c r="X840" s="15">
        <f t="shared" si="261"/>
        <v>8.9579272682625638E-2</v>
      </c>
      <c r="Y840" s="15">
        <f t="shared" si="262"/>
        <v>0.10838547053966362</v>
      </c>
      <c r="Z840" s="15">
        <f t="shared" si="263"/>
        <v>0.11216173156057853</v>
      </c>
      <c r="AA840" s="15">
        <f t="shared" si="264"/>
        <v>0.1197142536024085</v>
      </c>
      <c r="AC840" s="1"/>
      <c r="AD840" s="1"/>
      <c r="AE840" s="1"/>
    </row>
    <row r="841" spans="1:31">
      <c r="A841">
        <v>557</v>
      </c>
      <c r="B841">
        <f t="shared" si="244"/>
        <v>0.77849101789857089</v>
      </c>
      <c r="C841">
        <v>0.77302374635032756</v>
      </c>
      <c r="D841">
        <f t="shared" si="245"/>
        <v>1.2936213211059739</v>
      </c>
      <c r="E841" s="1">
        <f t="shared" si="246"/>
        <v>6.3048959347131228E-2</v>
      </c>
      <c r="F841" s="1">
        <f t="shared" si="247"/>
        <v>7.3136792842672216E-2</v>
      </c>
      <c r="G841" s="1">
        <f t="shared" si="248"/>
        <v>2.269762536496725E-2</v>
      </c>
      <c r="H841" s="1">
        <f t="shared" si="249"/>
        <v>2.1994153308366751E-2</v>
      </c>
      <c r="I841" s="1">
        <f t="shared" si="250"/>
        <v>8.0831579468688242E-2</v>
      </c>
      <c r="J841" s="1">
        <f t="shared" si="251"/>
        <v>8.7571886797875476E-2</v>
      </c>
      <c r="K841" s="1">
        <f t="shared" si="252"/>
        <v>5.3848825235869563E-2</v>
      </c>
      <c r="L841" s="1">
        <f t="shared" si="253"/>
        <v>5.339540291975825E-2</v>
      </c>
      <c r="M841" s="1">
        <f t="shared" si="254"/>
        <v>0.11639681971180216</v>
      </c>
      <c r="N841" s="1">
        <f t="shared" si="255"/>
        <v>0.11644207470828172</v>
      </c>
      <c r="O841" s="1">
        <f t="shared" si="256"/>
        <v>0.11615122497767416</v>
      </c>
      <c r="P841" s="1">
        <f t="shared" si="257"/>
        <v>0.11619790214254122</v>
      </c>
      <c r="Q841" s="1">
        <f t="shared" si="258"/>
        <v>1.7653708617196751</v>
      </c>
      <c r="T841">
        <v>0.9860308092980693</v>
      </c>
      <c r="U841">
        <f t="shared" si="265"/>
        <v>1.0141670935331879</v>
      </c>
      <c r="V841" s="15">
        <f t="shared" si="259"/>
        <v>0</v>
      </c>
      <c r="W841" s="15">
        <f t="shared" si="260"/>
        <v>0</v>
      </c>
      <c r="X841" s="15">
        <f t="shared" si="261"/>
        <v>0</v>
      </c>
      <c r="Y841" s="15">
        <f t="shared" si="262"/>
        <v>0</v>
      </c>
      <c r="Z841" s="15">
        <f t="shared" si="263"/>
        <v>0</v>
      </c>
      <c r="AA841" s="15">
        <f t="shared" si="264"/>
        <v>0</v>
      </c>
      <c r="AC841" s="1"/>
      <c r="AD841" s="1"/>
      <c r="AE841" s="1"/>
    </row>
    <row r="842" spans="1:31">
      <c r="A842">
        <v>520</v>
      </c>
      <c r="B842">
        <f t="shared" si="244"/>
        <v>0.77868618992409178</v>
      </c>
      <c r="C842">
        <v>0.7733847759281588</v>
      </c>
      <c r="D842">
        <f t="shared" si="245"/>
        <v>1.2930174359844031</v>
      </c>
      <c r="E842" s="1">
        <f t="shared" si="246"/>
        <v>6.2948673353289214E-2</v>
      </c>
      <c r="F842" s="1">
        <f t="shared" si="247"/>
        <v>7.3020461089815497E-2</v>
      </c>
      <c r="G842" s="1">
        <f t="shared" si="248"/>
        <v>2.2661522407184123E-2</v>
      </c>
      <c r="H842" s="1">
        <f t="shared" si="249"/>
        <v>2.1959169296797282E-2</v>
      </c>
      <c r="I842" s="1">
        <f t="shared" si="250"/>
        <v>8.0703008349279182E-2</v>
      </c>
      <c r="J842" s="1">
        <f t="shared" si="251"/>
        <v>8.7432594511514472E-2</v>
      </c>
      <c r="K842" s="1">
        <f t="shared" si="252"/>
        <v>5.3763173021908806E-2</v>
      </c>
      <c r="L842" s="1">
        <f t="shared" si="253"/>
        <v>5.3310471921628355E-2</v>
      </c>
      <c r="M842" s="1">
        <f t="shared" si="254"/>
        <v>0.11621167834125901</v>
      </c>
      <c r="N842" s="1">
        <f t="shared" si="255"/>
        <v>0.11625686135491214</v>
      </c>
      <c r="O842" s="1">
        <f t="shared" si="256"/>
        <v>0.11596647425135809</v>
      </c>
      <c r="P842" s="1">
        <f t="shared" si="257"/>
        <v>0.1160130771712905</v>
      </c>
      <c r="Q842" s="1">
        <f t="shared" si="258"/>
        <v>1.7625628538920983</v>
      </c>
      <c r="T842">
        <v>0.19697762766906524</v>
      </c>
      <c r="U842">
        <f t="shared" si="265"/>
        <v>5.0767186702038201</v>
      </c>
      <c r="V842" s="15">
        <f t="shared" si="259"/>
        <v>7.7915037878889759E-2</v>
      </c>
      <c r="W842" s="15">
        <f t="shared" si="260"/>
        <v>8.2212699193151162E-2</v>
      </c>
      <c r="X842" s="15">
        <f t="shared" si="261"/>
        <v>9.0808021821674079E-2</v>
      </c>
      <c r="Y842" s="15">
        <f t="shared" si="262"/>
        <v>0.11048882157846047</v>
      </c>
      <c r="Z842" s="15">
        <f t="shared" si="263"/>
        <v>0.11419982403944362</v>
      </c>
      <c r="AA842" s="15">
        <f t="shared" si="264"/>
        <v>0.12162182896141006</v>
      </c>
      <c r="AC842" s="1"/>
      <c r="AD842" s="1"/>
      <c r="AE842" s="1"/>
    </row>
    <row r="843" spans="1:31">
      <c r="A843">
        <v>50</v>
      </c>
      <c r="B843">
        <f t="shared" ref="B843:B906" si="266">PERCENTILE($C$75:$C$1074,$C843)</f>
        <v>0.77902188170778985</v>
      </c>
      <c r="C843">
        <v>0.77557221443996482</v>
      </c>
      <c r="D843">
        <f t="shared" ref="D843:D906" si="267">1/C843</f>
        <v>1.2893705852034589</v>
      </c>
      <c r="E843" s="1">
        <f t="shared" ref="E843:E906" si="268">IF($C843&lt;=0.005,$F$14,IF($C843&lt;=0.01,$F$14+($C843-0.005)*SLOPE($E$14:$F$14,$E$11:$F$11),IF($C843&lt;=0.04,$E$14+($C843-0.01)*SLOPE($D$14:$E$14,$D$11:$E$11),IF($C843&lt;=0.1,$D$14+($C843-0.04)*SLOPE($C$14:$D$14,$C$11:$D$11),IF($C843&lt;=1,$C$14+($C843-0.1)*SLOPE($B$14:$C$14,$B$11:$C$11),)))))</f>
        <v>6.2341051544454212E-2</v>
      </c>
      <c r="F843" s="1">
        <f t="shared" ref="F843:F906" si="269">IF($C843&lt;=0.005,$F$27,IF($C843&lt;=0.01,$F$27+($C843-0.005)*SLOPE($E$27:$F$27,$E$24:$F$24),IF($C843&lt;=0.04,$E$27+($C843-0.01)*SLOPE($D$27:$E$27,$D$24:$E$24),IF($C843&lt;=0.1,$D$27+($C843-0.04)*SLOPE($C$27:$D$27,$C$24:$D$24),IF($C843&lt;=1,$C$27+($C843-0.1)*SLOPE($B$27:$C$27,$B$24:$C$24),)))))</f>
        <v>7.2315619791566893E-2</v>
      </c>
      <c r="G843" s="1">
        <f t="shared" ref="G843:G906" si="270">IF($C843&lt;=0.005,$F$15,IF($C843&lt;=0.01,$F$15+($C843-0.005)*SLOPE($E$15:$F$15,$E$11:$F$11),IF($C843&lt;=0.04,$E$15+($C843-0.01)*SLOPE($D$15:$E$15,$D$11:$E$11),IF($C843&lt;=0.1,$D$15+($C843-0.04)*SLOPE($C$15:$D$15,$C$11:$D$11),IF($C843&lt;=1,$C$15+($C843-0.1)*SLOPE($B$15:$C$15,$B$11:$C$11),)))))</f>
        <v>2.2442778556003531E-2</v>
      </c>
      <c r="H843" s="1">
        <f t="shared" ref="H843:H906" si="271">IF($C843&lt;=0.005,$F$28,IF($C843&lt;=0.01,$F$28+($C843-0.005)*SLOPE($E$28:$F$28,$E$24:$F$24),IF($C843&lt;=0.04,$E$28+($C843-0.01)*SLOPE($D$28:$E$28,$D$24:$E$24),IF($C843&lt;=0.1,$D$28+($C843-0.04)*SLOPE($C$28:$D$28,$C$24:$D$24),IF($C843&lt;=1,$C$28+($C843-0.1)*SLOPE($B$28:$C$28,$B$24:$C$24),)))))</f>
        <v>2.1747205017681348E-2</v>
      </c>
      <c r="I843" s="1">
        <f t="shared" ref="I843:I906" si="272">IF($C843&lt;=0.005,$F$16,IF($C843&lt;=0.01,$F$16+($C843-0.005)*SLOPE($E$16:$F$16,$E$11:$F$11),IF($C843&lt;=0.04,$E$16+($C843-0.01)*SLOPE($D$16:$E$16,$D$11:$E$11),IF($C843&lt;=0.1,$D$16+($C843-0.04)*SLOPE($C$16:$D$16,$C$11:$D$11),IF($C843&lt;=1,$C$16+($C843-0.1)*SLOPE($B$16:$C$16,$B$11:$C$11),)))))</f>
        <v>7.9924010074980317E-2</v>
      </c>
      <c r="J843" s="1">
        <f t="shared" ref="J843:J906" si="273">IF($C843&lt;=0.005,$F$29,IF($C843&lt;=0.01,$F$29+($C843-0.005)*SLOPE($E$29:$F$29,$E$24:$F$24),IF($C843&lt;=0.04,$E$29+($C843-0.01)*SLOPE($D$29:$E$29,$D$24:$E$24),IF($C843&lt;=0.1,$D$29+($C843-0.04)*SLOPE($C$29:$D$29,$C$24:$D$24),IF($C843&lt;=1,$C$29+($C843-0.1)*SLOPE($B$29:$C$29,$B$24:$C$24),)))))</f>
        <v>8.6588637865596563E-2</v>
      </c>
      <c r="K843" s="1">
        <f t="shared" ref="K843:K906" si="274">IF($C843&lt;=0.005,$F$17,IF($C843&lt;=0.01,$F$17+($C843-0.005)*SLOPE($E$17:$F$17,$E$11:$F$11),IF($C843&lt;=0.04,$E$17+($C843-0.01)*SLOPE($D$17:$E$17,$D$11:$E$11),IF($C843&lt;=0.1,$D$17+($C843-0.04)*SLOPE($C$17:$D$17,$C$11:$D$11),IF($C843&lt;=1,$C$17+($C843-0.1)*SLOPE($B$17:$C$17,$B$11:$C$11),)))))</f>
        <v>5.324421567618462E-2</v>
      </c>
      <c r="L843" s="1">
        <f t="shared" ref="L843:L906" si="275">IF($C843&lt;=0.005,$F$30,IF($C843&lt;=0.01,$F$30+($C843-0.005)*SLOPE($E$30:$F$30,$E$24:$F$24),IF($C843&lt;=0.04,$E$30+($C843-0.01)*SLOPE($D$30:$E$30,$D$24:$E$24),IF($C843&lt;=0.1,$D$30+($C843-0.04)*SLOPE($C$30:$D$30,$C$24:$D$24),IF($C843&lt;=1,$C$30+($C843-0.1)*SLOPE($B$30:$C$30,$B$24:$C$24),)))))</f>
        <v>5.2795884343315641E-2</v>
      </c>
      <c r="M843" s="1">
        <f t="shared" ref="M843:M906" si="276">IF($C843&lt;=0.005,$F$18,IF($C843&lt;=0.01,$F$18+($C843-0.005)*SLOPE($E$18:$F$18,$E$11:$F$11),IF($C843&lt;=0.04,$E$18+($C843-0.01)*SLOPE($D$18:$E$18,$D$11:$E$11),IF($C843&lt;=0.1,$D$18+($C843-0.04)*SLOPE($C$18:$D$18,$C$11:$D$11),IF($C843&lt;=1,$C$18+($C843-0.1)*SLOPE($B$18:$C$18,$B$11:$C$11),)))))</f>
        <v>0.11508992713603239</v>
      </c>
      <c r="N843" s="1">
        <f t="shared" ref="N843:N906" si="277">IF($C843&lt;=0.005,$F$31,IF($C843&lt;=0.01,$F$31+($C843-0.005)*SLOPE($E$31:$F$31,$E$24:$F$24),IF($C843&lt;=0.04,$E$31+($C843-0.01)*SLOPE($D$31:$E$31,$D$24:$E$24),IF($C843&lt;=0.1,$D$31+($C843-0.04)*SLOPE($C$31:$D$31,$C$24:$D$24),IF($C843&lt;=1,$C$31+($C843-0.1)*SLOPE($B$31:$C$31,$B$24:$C$24),)))))</f>
        <v>0.11513467401365562</v>
      </c>
      <c r="O843" s="1">
        <f t="shared" ref="O843:O906" si="278">IF($C843&lt;=0.005,$F$19,IF($C843&lt;=0.01,$F$19+($C843-0.005)*SLOPE($E$19:$F$19,$E$11:$F$11),IF($C843&lt;=0.04,$E$19+($C843-0.01)*SLOPE($D$19:$E$19,$D$11:$E$11),IF($C843&lt;=0.1,$D$19+($C843-0.04)*SLOPE($C$19:$D$19,$C$11:$D$11),IF($C843&lt;=1,$C$19+($C843-0.1)*SLOPE($B$19:$C$19,$B$11:$C$11),)))))</f>
        <v>0.11484708991654674</v>
      </c>
      <c r="P843" s="1">
        <f t="shared" ref="P843:P906" si="279">IF($C843&lt;=0.005,$F$32,IF($C843&lt;=0.01,$F$32+($C843-0.005)*SLOPE($E$32:$F$32,$E$24:$F$24),IF($C843&lt;=0.04,$E$32+($C843-0.01)*SLOPE($D$32:$E$32,$D$24:$E$24),IF($C843&lt;=0.1,$D$32+($C843-0.04)*SLOPE($C$32:$D$32,$C$24:$D$24),IF($C843&lt;=1,$C$32+($C843-0.1)*SLOPE($B$32:$C$32,$B$24:$C$24),)))))</f>
        <v>0.1148932429945842</v>
      </c>
      <c r="Q843" s="1">
        <f t="shared" ref="Q843:Q906" si="280">IF($C843&lt;=0.005,$F$20,IF($C843&lt;=0.01,$F$20+($C843-0.005)*SLOPE($E$20:$F$20,$E$11:$F$11),IF($C843&lt;=0.04,$E$20+($C843-0.01)*SLOPE($D$20:$E$20,$D$11:$E$11),IF($C843&lt;=0.1,$D$20+($C843-0.04)*SLOPE($C$20:$D$20,$C$11:$D$11),IF($C843&lt;=1,$C$20+($C843-0.1)*SLOPE($B$20:$C$20,$B$11:$C$11),)))))</f>
        <v>1.7455494432447187</v>
      </c>
      <c r="T843">
        <v>0.67181539941581148</v>
      </c>
      <c r="U843">
        <f t="shared" si="265"/>
        <v>1.4885041350191839</v>
      </c>
      <c r="V843" s="15">
        <f t="shared" ref="V843:V906" si="281">IF($T843&lt;=0.05,$F$63,IF($T843&lt;=0.07,$F$63+($T843-0.05)*SLOPE($E$63:$F$63,$E$62:$F$62),IF($T843&lt;=0.1,$E$63+($T843-0.07)*SLOPE($D$63:$E$63,$D$62:$E$62),IF($T843&lt;=0.2,$D$63+($T843-0.1)*SLOPE($C$63:$D$63,$C$62:$D$62),IF($T843&lt;=0.5,$C$63+($T843-0.2)*SLOPE($B$63:$C$63,$B$62:$C$62),)))))</f>
        <v>0</v>
      </c>
      <c r="W843" s="15">
        <f t="shared" ref="W843:W906" si="282">IF($T843&lt;=0.05,$F$64,IF($T843&lt;=0.07,$F$64+($T843-0.05)*SLOPE($E$64:$F$64,$E$62:$F$62),IF($T843&lt;=0.1,$E$64+($T843-0.07)*SLOPE($D$64:$E$64,$D$62:$E$62),IF($T843&lt;=0.2,$D$64+($T843-0.1)*SLOPE($C$64:$D$64,$C$62:$D$62),IF($T843&lt;=0.5,$C$64+($T843-0.2)*SLOPE($B$64:$C$64,$B$62:$C$62),)))))</f>
        <v>0</v>
      </c>
      <c r="X843" s="15">
        <f t="shared" ref="X843:X906" si="283">IF($T843&lt;=0.05,$F$65,IF($T843&lt;=0.07,$F$65+($T843-0.05)*SLOPE($E$65:$F$65,$E$62:$F$62),IF($T843&lt;=0.1,$E$65+($T843-0.07)*SLOPE($D$65:$E$65,$D$62:$E$62),IF($T843&lt;=0.2,$D$65+($T843-0.1)*SLOPE($C$65:$D$65,$C$62:$D$62),IF($T843&lt;=0.5,$C$65+($T843-0.2)*SLOPE($B$65:$C$65,$B$62:$C$62),)))))</f>
        <v>0</v>
      </c>
      <c r="Y843" s="15">
        <f t="shared" ref="Y843:Y906" si="284">IF($T843&lt;=0.05,$F$66,IF($T843&lt;=0.07,$F$66+($T843-0.05)*SLOPE($E$66:$F$66,$E$62:$F$62),IF($T843&lt;=0.1,$E$66+($T843-0.07)*SLOPE($D$66:$E$66,$D$62:$E$62),IF($T843&lt;=0.2,$D$66+($T843-0.1)*SLOPE($C$66:$D$66,$C$62:$D$62),IF($T843&lt;=0.5,$C$66+($T843-0.2)*SLOPE($B$66:$C$66,$B$62:$C$62),)))))</f>
        <v>0</v>
      </c>
      <c r="Z843" s="15">
        <f t="shared" ref="Z843:Z906" si="285">IF($T843&lt;=0.05,$F$67,IF($T843&lt;=0.07,$F$67+($T843-0.05)*SLOPE($E$67:$F$67,$E$62:$F$62),IF($T843&lt;=0.1,$E$67+($T843-0.07)*SLOPE($D$67:$E$67,$D$62:$E$62),IF($T843&lt;=0.2,$D$67+($T843-0.1)*SLOPE($C$67:$D$67,$C$62:$D$62),IF($T843&lt;=0.5,$C$67+($T843-0.2)*SLOPE($B$67:$C$67,$B$62:$C$62),)))))</f>
        <v>0</v>
      </c>
      <c r="AA843" s="15">
        <f t="shared" ref="AA843:AA906" si="286">IF($T843&lt;=0.05,$F$68,IF($T843&lt;=0.07,$F$68+($T843-0.05)*SLOPE($E$68:$F$68,$E$62:$F$62),IF($T843&lt;=0.1,$E$68+($T843-0.07)*SLOPE($D$68:$E$68,$D$62:$E$62),IF($T843&lt;=0.2,$D$68+($T843-0.1)*SLOPE($C$68:$D$68,$C$62:$D$62),IF($T843&lt;=0.5,$C$68+($T843-0.2)*SLOPE($B$68:$C$68,$B$62:$C$62),)))))</f>
        <v>0</v>
      </c>
      <c r="AC843" s="1"/>
      <c r="AD843" s="1"/>
      <c r="AE843" s="1"/>
    </row>
    <row r="844" spans="1:31">
      <c r="A844">
        <v>67</v>
      </c>
      <c r="B844">
        <f t="shared" si="266"/>
        <v>0.77915179911208354</v>
      </c>
      <c r="C844">
        <v>0.77589788444545416</v>
      </c>
      <c r="D844">
        <f t="shared" si="267"/>
        <v>1.2888293937219779</v>
      </c>
      <c r="E844" s="1">
        <f t="shared" si="268"/>
        <v>6.2250587654040485E-2</v>
      </c>
      <c r="F844" s="1">
        <f t="shared" si="269"/>
        <v>7.2210681678686994E-2</v>
      </c>
      <c r="G844" s="1">
        <f t="shared" si="270"/>
        <v>2.2410211555454598E-2</v>
      </c>
      <c r="H844" s="1">
        <f t="shared" si="271"/>
        <v>2.1715647372714114E-2</v>
      </c>
      <c r="I844" s="1">
        <f t="shared" si="272"/>
        <v>7.9808031330481755E-2</v>
      </c>
      <c r="J844" s="1">
        <f t="shared" si="273"/>
        <v>8.6462987995199969E-2</v>
      </c>
      <c r="K844" s="1">
        <f t="shared" si="274"/>
        <v>5.3166952319652072E-2</v>
      </c>
      <c r="L844" s="1">
        <f t="shared" si="275"/>
        <v>5.271927156606529E-2</v>
      </c>
      <c r="M844" s="1">
        <f t="shared" si="276"/>
        <v>0.11492291868336407</v>
      </c>
      <c r="N844" s="1">
        <f t="shared" si="277"/>
        <v>0.11496760062822575</v>
      </c>
      <c r="O844" s="1">
        <f t="shared" si="278"/>
        <v>0.11468043384804694</v>
      </c>
      <c r="P844" s="1">
        <f t="shared" si="279"/>
        <v>0.11472651995276761</v>
      </c>
      <c r="Q844" s="1">
        <f t="shared" si="280"/>
        <v>1.7430164543131346</v>
      </c>
      <c r="T844">
        <v>0.70932484700092213</v>
      </c>
      <c r="U844">
        <f t="shared" ref="U844:U907" si="287">1/T844</f>
        <v>1.4097913025718385</v>
      </c>
      <c r="V844" s="15">
        <f t="shared" si="281"/>
        <v>0</v>
      </c>
      <c r="W844" s="15">
        <f t="shared" si="282"/>
        <v>0</v>
      </c>
      <c r="X844" s="15">
        <f t="shared" si="283"/>
        <v>0</v>
      </c>
      <c r="Y844" s="15">
        <f t="shared" si="284"/>
        <v>0</v>
      </c>
      <c r="Z844" s="15">
        <f t="shared" si="285"/>
        <v>0</v>
      </c>
      <c r="AA844" s="15">
        <f t="shared" si="286"/>
        <v>0</v>
      </c>
      <c r="AC844" s="1"/>
      <c r="AD844" s="1"/>
      <c r="AE844" s="1"/>
    </row>
    <row r="845" spans="1:31">
      <c r="A845">
        <v>977</v>
      </c>
      <c r="B845">
        <f t="shared" si="266"/>
        <v>0.77944293136684506</v>
      </c>
      <c r="C845">
        <v>0.77621428268248038</v>
      </c>
      <c r="D845">
        <f t="shared" si="267"/>
        <v>1.288304044785352</v>
      </c>
      <c r="E845" s="1">
        <f t="shared" si="268"/>
        <v>6.2162699254866532E-2</v>
      </c>
      <c r="F845" s="1">
        <f t="shared" si="269"/>
        <v>7.2108731135645199E-2</v>
      </c>
      <c r="G845" s="1">
        <f t="shared" si="270"/>
        <v>2.2378571731751964E-2</v>
      </c>
      <c r="H845" s="1">
        <f t="shared" si="271"/>
        <v>2.1684988168415173E-2</v>
      </c>
      <c r="I845" s="1">
        <f t="shared" si="272"/>
        <v>7.9695354480684877E-2</v>
      </c>
      <c r="J845" s="1">
        <f t="shared" si="273"/>
        <v>8.6340915354778891E-2</v>
      </c>
      <c r="K845" s="1">
        <f t="shared" si="274"/>
        <v>5.3091888637453566E-2</v>
      </c>
      <c r="L845" s="1">
        <f t="shared" si="275"/>
        <v>5.2644839941269894E-2</v>
      </c>
      <c r="M845" s="1">
        <f t="shared" si="276"/>
        <v>0.1147606649323214</v>
      </c>
      <c r="N845" s="1">
        <f t="shared" si="277"/>
        <v>0.114805283793046</v>
      </c>
      <c r="O845" s="1">
        <f t="shared" si="278"/>
        <v>0.11451852244885674</v>
      </c>
      <c r="P845" s="1">
        <f t="shared" si="279"/>
        <v>0.11456454348697925</v>
      </c>
      <c r="Q845" s="1">
        <f t="shared" si="280"/>
        <v>1.7405555791362639</v>
      </c>
      <c r="T845">
        <v>0.54049956283964529</v>
      </c>
      <c r="U845">
        <f t="shared" si="287"/>
        <v>1.8501402568140073</v>
      </c>
      <c r="V845" s="15">
        <f t="shared" si="281"/>
        <v>0</v>
      </c>
      <c r="W845" s="15">
        <f t="shared" si="282"/>
        <v>0</v>
      </c>
      <c r="X845" s="15">
        <f t="shared" si="283"/>
        <v>0</v>
      </c>
      <c r="Y845" s="15">
        <f t="shared" si="284"/>
        <v>0</v>
      </c>
      <c r="Z845" s="15">
        <f t="shared" si="285"/>
        <v>0</v>
      </c>
      <c r="AA845" s="15">
        <f t="shared" si="286"/>
        <v>0</v>
      </c>
      <c r="AC845" s="1"/>
      <c r="AD845" s="1"/>
      <c r="AE845" s="1"/>
    </row>
    <row r="846" spans="1:31">
      <c r="A846">
        <v>130</v>
      </c>
      <c r="B846">
        <f t="shared" si="266"/>
        <v>0.77997045871784909</v>
      </c>
      <c r="C846">
        <v>0.77749991499016058</v>
      </c>
      <c r="D846">
        <f t="shared" si="267"/>
        <v>1.2861737740674288</v>
      </c>
      <c r="E846" s="1">
        <f t="shared" si="268"/>
        <v>6.1805579169399827E-2</v>
      </c>
      <c r="F846" s="1">
        <f t="shared" si="269"/>
        <v>7.169447183650382E-2</v>
      </c>
      <c r="G846" s="1">
        <f t="shared" si="270"/>
        <v>2.225000850098395E-2</v>
      </c>
      <c r="H846" s="1">
        <f t="shared" si="271"/>
        <v>2.1560409523651083E-2</v>
      </c>
      <c r="I846" s="1">
        <f t="shared" si="272"/>
        <v>7.9237510594486277E-2</v>
      </c>
      <c r="J846" s="1">
        <f t="shared" si="273"/>
        <v>8.5844893215451357E-2</v>
      </c>
      <c r="K846" s="1">
        <f t="shared" si="274"/>
        <v>5.2786879684575572E-2</v>
      </c>
      <c r="L846" s="1">
        <f t="shared" si="275"/>
        <v>5.2342399249913713E-2</v>
      </c>
      <c r="M846" s="1">
        <f t="shared" si="276"/>
        <v>0.11410137344465904</v>
      </c>
      <c r="N846" s="1">
        <f t="shared" si="277"/>
        <v>0.11414573597334615</v>
      </c>
      <c r="O846" s="1">
        <f t="shared" si="278"/>
        <v>0.11386062205175873</v>
      </c>
      <c r="P846" s="1">
        <f t="shared" si="279"/>
        <v>0.11390637870243892</v>
      </c>
      <c r="Q846" s="1">
        <f t="shared" si="280"/>
        <v>1.7305562167431958</v>
      </c>
      <c r="T846">
        <v>0.30667299206330401</v>
      </c>
      <c r="U846">
        <f t="shared" si="287"/>
        <v>3.2608023069523453</v>
      </c>
      <c r="V846" s="15">
        <f t="shared" si="281"/>
        <v>7.0525655205107077E-2</v>
      </c>
      <c r="W846" s="15">
        <f t="shared" si="282"/>
        <v>7.512535354807634E-2</v>
      </c>
      <c r="X846" s="15">
        <f t="shared" si="283"/>
        <v>8.4324750234014867E-2</v>
      </c>
      <c r="Y846" s="15">
        <f t="shared" si="284"/>
        <v>9.9552612085024125E-2</v>
      </c>
      <c r="Z846" s="15">
        <f t="shared" si="285"/>
        <v>0.10356649453133854</v>
      </c>
      <c r="AA846" s="15">
        <f t="shared" si="286"/>
        <v>0.11159425942396742</v>
      </c>
      <c r="AC846" s="1"/>
      <c r="AD846" s="1"/>
      <c r="AE846" s="1"/>
    </row>
    <row r="847" spans="1:31">
      <c r="A847">
        <v>51</v>
      </c>
      <c r="B847">
        <f t="shared" si="266"/>
        <v>0.78008387041611449</v>
      </c>
      <c r="C847">
        <v>0.7783553419747925</v>
      </c>
      <c r="D847">
        <f t="shared" si="267"/>
        <v>1.2847602451893825</v>
      </c>
      <c r="E847" s="1">
        <f t="shared" si="268"/>
        <v>6.1567960562557617E-2</v>
      </c>
      <c r="F847" s="1">
        <f t="shared" si="269"/>
        <v>7.1418834252566843E-2</v>
      </c>
      <c r="G847" s="1">
        <f t="shared" si="270"/>
        <v>2.2164465802520752E-2</v>
      </c>
      <c r="H847" s="1">
        <f t="shared" si="271"/>
        <v>2.1477518067203188E-2</v>
      </c>
      <c r="I847" s="1">
        <f t="shared" si="272"/>
        <v>7.8932872936686826E-2</v>
      </c>
      <c r="J847" s="1">
        <f t="shared" si="273"/>
        <v>8.5514852720652901E-2</v>
      </c>
      <c r="K847" s="1">
        <f t="shared" si="274"/>
        <v>5.2583934497769436E-2</v>
      </c>
      <c r="L847" s="1">
        <f t="shared" si="275"/>
        <v>5.2141162918894896E-2</v>
      </c>
      <c r="M847" s="1">
        <f t="shared" si="276"/>
        <v>0.11366269768494502</v>
      </c>
      <c r="N847" s="1">
        <f t="shared" si="277"/>
        <v>0.11370688965682474</v>
      </c>
      <c r="O847" s="1">
        <f t="shared" si="278"/>
        <v>0.11342287188826672</v>
      </c>
      <c r="P847" s="1">
        <f t="shared" si="279"/>
        <v>0.11346845262227828</v>
      </c>
      <c r="Q847" s="1">
        <f t="shared" si="280"/>
        <v>1.723902895751614</v>
      </c>
      <c r="T847">
        <v>0.44464732656226247</v>
      </c>
      <c r="U847">
        <f t="shared" si="287"/>
        <v>2.2489733779158874</v>
      </c>
      <c r="V847" s="15">
        <f t="shared" si="281"/>
        <v>6.1499572770224248E-2</v>
      </c>
      <c r="W847" s="15">
        <f t="shared" si="282"/>
        <v>6.6458952155243237E-2</v>
      </c>
      <c r="X847" s="15">
        <f t="shared" si="283"/>
        <v>7.6377710925281075E-2</v>
      </c>
      <c r="Y847" s="15">
        <f t="shared" si="284"/>
        <v>8.6193629602027921E-2</v>
      </c>
      <c r="Z847" s="15">
        <f t="shared" si="285"/>
        <v>9.0566895194330477E-2</v>
      </c>
      <c r="AA847" s="15">
        <f t="shared" si="286"/>
        <v>9.931342637893556E-2</v>
      </c>
      <c r="AC847" s="1"/>
      <c r="AD847" s="1"/>
      <c r="AE847" s="1"/>
    </row>
    <row r="848" spans="1:31">
      <c r="A848">
        <v>795</v>
      </c>
      <c r="B848">
        <f t="shared" si="266"/>
        <v>0.78020828369557804</v>
      </c>
      <c r="C848">
        <v>0.77889648155146485</v>
      </c>
      <c r="D848">
        <f t="shared" si="267"/>
        <v>1.2838676559536184</v>
      </c>
      <c r="E848" s="1">
        <f t="shared" si="268"/>
        <v>6.1417644013481959E-2</v>
      </c>
      <c r="F848" s="1">
        <f t="shared" si="269"/>
        <v>7.124446705563911E-2</v>
      </c>
      <c r="G848" s="1">
        <f t="shared" si="270"/>
        <v>2.2110351844853521E-2</v>
      </c>
      <c r="H848" s="1">
        <f t="shared" si="271"/>
        <v>2.1425081274282429E-2</v>
      </c>
      <c r="I848" s="1">
        <f t="shared" si="272"/>
        <v>7.8740160412834187E-2</v>
      </c>
      <c r="J848" s="1">
        <f t="shared" si="273"/>
        <v>8.5306070467054906E-2</v>
      </c>
      <c r="K848" s="1">
        <f t="shared" si="274"/>
        <v>5.2455552210971201E-2</v>
      </c>
      <c r="L848" s="1">
        <f t="shared" si="275"/>
        <v>5.2013861647208365E-2</v>
      </c>
      <c r="M848" s="1">
        <f t="shared" si="276"/>
        <v>0.11338519321153845</v>
      </c>
      <c r="N848" s="1">
        <f t="shared" si="277"/>
        <v>0.11342927728988639</v>
      </c>
      <c r="O848" s="1">
        <f t="shared" si="278"/>
        <v>0.11314595294320645</v>
      </c>
      <c r="P848" s="1">
        <f t="shared" si="279"/>
        <v>0.11319142239306018</v>
      </c>
      <c r="Q848" s="1">
        <f t="shared" si="280"/>
        <v>1.7196940323774959</v>
      </c>
      <c r="T848">
        <v>0.2441830846659252</v>
      </c>
      <c r="U848">
        <f t="shared" si="287"/>
        <v>4.0952877688810121</v>
      </c>
      <c r="V848" s="15">
        <f t="shared" si="281"/>
        <v>7.461365503177915E-2</v>
      </c>
      <c r="W848" s="15">
        <f t="shared" si="282"/>
        <v>7.9050450360271821E-2</v>
      </c>
      <c r="X848" s="15">
        <f t="shared" si="283"/>
        <v>8.792404101725726E-2</v>
      </c>
      <c r="Y848" s="15">
        <f t="shared" si="284"/>
        <v>0.1056030241512765</v>
      </c>
      <c r="Z848" s="15">
        <f t="shared" si="285"/>
        <v>0.10945413850311497</v>
      </c>
      <c r="AA848" s="15">
        <f t="shared" si="286"/>
        <v>0.11715636720679207</v>
      </c>
      <c r="AC848" s="1"/>
      <c r="AD848" s="1"/>
      <c r="AE848" s="1"/>
    </row>
    <row r="849" spans="1:31">
      <c r="A849">
        <v>712</v>
      </c>
      <c r="B849">
        <f t="shared" si="266"/>
        <v>0.78022947968980871</v>
      </c>
      <c r="C849">
        <v>0.77895309251732936</v>
      </c>
      <c r="D849">
        <f t="shared" si="267"/>
        <v>1.2837743499654353</v>
      </c>
      <c r="E849" s="1">
        <f t="shared" si="268"/>
        <v>6.1401918745186274E-2</v>
      </c>
      <c r="F849" s="1">
        <f t="shared" si="269"/>
        <v>7.1226225744416088E-2</v>
      </c>
      <c r="G849" s="1">
        <f t="shared" si="270"/>
        <v>2.210469074826707E-2</v>
      </c>
      <c r="H849" s="1">
        <f t="shared" si="271"/>
        <v>2.141959563319823E-2</v>
      </c>
      <c r="I849" s="1">
        <f t="shared" si="272"/>
        <v>7.8719999917132549E-2</v>
      </c>
      <c r="J849" s="1">
        <f t="shared" si="273"/>
        <v>8.5284228846997823E-2</v>
      </c>
      <c r="K849" s="1">
        <f t="shared" si="274"/>
        <v>5.2442121581298462E-2</v>
      </c>
      <c r="L849" s="1">
        <f t="shared" si="275"/>
        <v>5.2000544107230484E-2</v>
      </c>
      <c r="M849" s="1">
        <f t="shared" si="276"/>
        <v>0.11335616226102496</v>
      </c>
      <c r="N849" s="1">
        <f t="shared" si="277"/>
        <v>0.11340023505216101</v>
      </c>
      <c r="O849" s="1">
        <f t="shared" si="278"/>
        <v>0.11311698324736119</v>
      </c>
      <c r="P849" s="1">
        <f t="shared" si="279"/>
        <v>0.11316244105529494</v>
      </c>
      <c r="Q849" s="1">
        <f t="shared" si="280"/>
        <v>1.7192537248652169</v>
      </c>
      <c r="T849">
        <v>0.37833735539362112</v>
      </c>
      <c r="U849">
        <f t="shared" si="287"/>
        <v>2.6431437069162858</v>
      </c>
      <c r="V849" s="15">
        <f t="shared" si="281"/>
        <v>6.5837475672212001E-2</v>
      </c>
      <c r="W849" s="15">
        <f t="shared" si="282"/>
        <v>7.0623993636193261E-2</v>
      </c>
      <c r="X849" s="15">
        <f t="shared" si="283"/>
        <v>8.0197029564155725E-2</v>
      </c>
      <c r="Y849" s="15">
        <f t="shared" si="284"/>
        <v>9.2613908753992599E-2</v>
      </c>
      <c r="Z849" s="15">
        <f t="shared" si="285"/>
        <v>9.6814456093038057E-2</v>
      </c>
      <c r="AA849" s="15">
        <f t="shared" si="286"/>
        <v>0.105215550771129</v>
      </c>
      <c r="AC849" s="1"/>
      <c r="AD849" s="1"/>
      <c r="AE849" s="1"/>
    </row>
    <row r="850" spans="1:31">
      <c r="A850">
        <v>735</v>
      </c>
      <c r="B850">
        <f t="shared" si="266"/>
        <v>0.78026181001733663</v>
      </c>
      <c r="C850">
        <v>0.77903944143062631</v>
      </c>
      <c r="D850">
        <f t="shared" si="267"/>
        <v>1.283632056117213</v>
      </c>
      <c r="E850" s="1">
        <f t="shared" si="268"/>
        <v>6.137793293593713E-2</v>
      </c>
      <c r="F850" s="1">
        <f t="shared" si="269"/>
        <v>7.1198402205687072E-2</v>
      </c>
      <c r="G850" s="1">
        <f t="shared" si="270"/>
        <v>2.2096055856937372E-2</v>
      </c>
      <c r="H850" s="1">
        <f t="shared" si="271"/>
        <v>2.1411228364787871E-2</v>
      </c>
      <c r="I850" s="1">
        <f t="shared" si="272"/>
        <v>7.8689249039298553E-2</v>
      </c>
      <c r="J850" s="1">
        <f t="shared" si="273"/>
        <v>8.5250913744035428E-2</v>
      </c>
      <c r="K850" s="1">
        <f t="shared" si="274"/>
        <v>5.2421635792733928E-2</v>
      </c>
      <c r="L850" s="1">
        <f t="shared" si="275"/>
        <v>5.198023081479114E-2</v>
      </c>
      <c r="M850" s="1">
        <f t="shared" si="276"/>
        <v>0.11331188124602132</v>
      </c>
      <c r="N850" s="1">
        <f t="shared" si="277"/>
        <v>0.11335593682073186</v>
      </c>
      <c r="O850" s="1">
        <f t="shared" si="278"/>
        <v>0.11307279566432699</v>
      </c>
      <c r="P850" s="1">
        <f t="shared" si="279"/>
        <v>0.11311823571479757</v>
      </c>
      <c r="Q850" s="1">
        <f t="shared" si="280"/>
        <v>1.7185821222062403</v>
      </c>
      <c r="T850">
        <v>0.38694264841766524</v>
      </c>
      <c r="U850">
        <f t="shared" si="287"/>
        <v>2.5843623185227225</v>
      </c>
      <c r="V850" s="15">
        <f t="shared" si="281"/>
        <v>6.5274529784533658E-2</v>
      </c>
      <c r="W850" s="15">
        <f t="shared" si="282"/>
        <v>7.008348062179727E-2</v>
      </c>
      <c r="X850" s="15">
        <f t="shared" si="283"/>
        <v>7.9701382296324425E-2</v>
      </c>
      <c r="Y850" s="15">
        <f t="shared" si="284"/>
        <v>9.1780725110188741E-2</v>
      </c>
      <c r="Z850" s="15">
        <f t="shared" si="285"/>
        <v>9.600368674309806E-2</v>
      </c>
      <c r="AA850" s="15">
        <f t="shared" si="286"/>
        <v>0.10444961000891673</v>
      </c>
      <c r="AC850" s="1"/>
      <c r="AD850" s="1"/>
      <c r="AE850" s="1"/>
    </row>
    <row r="851" spans="1:31">
      <c r="A851">
        <v>906</v>
      </c>
      <c r="B851">
        <f t="shared" si="266"/>
        <v>0.78071172730447802</v>
      </c>
      <c r="C851">
        <v>0.77996050749338031</v>
      </c>
      <c r="D851">
        <f t="shared" si="267"/>
        <v>1.2821161974133508</v>
      </c>
      <c r="E851" s="1">
        <f t="shared" si="268"/>
        <v>6.1122081251838795E-2</v>
      </c>
      <c r="F851" s="1">
        <f t="shared" si="269"/>
        <v>7.0901614252133011E-2</v>
      </c>
      <c r="G851" s="1">
        <f t="shared" si="270"/>
        <v>2.2003949250661972E-2</v>
      </c>
      <c r="H851" s="1">
        <f t="shared" si="271"/>
        <v>2.1321976437039467E-2</v>
      </c>
      <c r="I851" s="1">
        <f t="shared" si="272"/>
        <v>7.8361235762798187E-2</v>
      </c>
      <c r="J851" s="1">
        <f t="shared" si="273"/>
        <v>8.4895548406543508E-2</v>
      </c>
      <c r="K851" s="1">
        <f t="shared" si="274"/>
        <v>5.2203118107969959E-2</v>
      </c>
      <c r="L851" s="1">
        <f t="shared" si="275"/>
        <v>5.176355311064515E-2</v>
      </c>
      <c r="M851" s="1">
        <f t="shared" si="276"/>
        <v>0.11283954478471681</v>
      </c>
      <c r="N851" s="1">
        <f t="shared" si="277"/>
        <v>0.11288341671536434</v>
      </c>
      <c r="O851" s="1">
        <f t="shared" si="278"/>
        <v>0.11260145582258585</v>
      </c>
      <c r="P851" s="1">
        <f t="shared" si="279"/>
        <v>0.11264670645785646</v>
      </c>
      <c r="Q851" s="1">
        <f t="shared" si="280"/>
        <v>1.7114182750514866</v>
      </c>
      <c r="T851">
        <v>0.66033846583205691</v>
      </c>
      <c r="U851">
        <f t="shared" si="287"/>
        <v>1.5143749027855797</v>
      </c>
      <c r="V851" s="15">
        <f t="shared" si="281"/>
        <v>0</v>
      </c>
      <c r="W851" s="15">
        <f t="shared" si="282"/>
        <v>0</v>
      </c>
      <c r="X851" s="15">
        <f t="shared" si="283"/>
        <v>0</v>
      </c>
      <c r="Y851" s="15">
        <f t="shared" si="284"/>
        <v>0</v>
      </c>
      <c r="Z851" s="15">
        <f t="shared" si="285"/>
        <v>0</v>
      </c>
      <c r="AA851" s="15">
        <f t="shared" si="286"/>
        <v>0</v>
      </c>
      <c r="AC851" s="1"/>
      <c r="AD851" s="1"/>
      <c r="AE851" s="1"/>
    </row>
    <row r="852" spans="1:31">
      <c r="A852">
        <v>731</v>
      </c>
      <c r="B852">
        <f t="shared" si="266"/>
        <v>0.78072489216998253</v>
      </c>
      <c r="C852">
        <v>0.77997428243359235</v>
      </c>
      <c r="D852">
        <f t="shared" si="267"/>
        <v>1.2820935542642597</v>
      </c>
      <c r="E852" s="1">
        <f t="shared" si="268"/>
        <v>6.111825487955766E-2</v>
      </c>
      <c r="F852" s="1">
        <f t="shared" si="269"/>
        <v>7.0897175660286915E-2</v>
      </c>
      <c r="G852" s="1">
        <f t="shared" si="270"/>
        <v>2.2002571756640776E-2</v>
      </c>
      <c r="H852" s="1">
        <f t="shared" si="271"/>
        <v>2.1320641635966822E-2</v>
      </c>
      <c r="I852" s="1">
        <f t="shared" si="272"/>
        <v>7.8356330182780348E-2</v>
      </c>
      <c r="J852" s="1">
        <f t="shared" si="273"/>
        <v>8.4890233764656986E-2</v>
      </c>
      <c r="K852" s="1">
        <f t="shared" si="274"/>
        <v>5.2199850081750515E-2</v>
      </c>
      <c r="L852" s="1">
        <f t="shared" si="275"/>
        <v>5.1760312602129432E-2</v>
      </c>
      <c r="M852" s="1">
        <f t="shared" si="276"/>
        <v>0.11283248078922553</v>
      </c>
      <c r="N852" s="1">
        <f t="shared" si="277"/>
        <v>0.11287634997339691</v>
      </c>
      <c r="O852" s="1">
        <f t="shared" si="278"/>
        <v>0.11259440673196996</v>
      </c>
      <c r="P852" s="1">
        <f t="shared" si="279"/>
        <v>0.11263965453445463</v>
      </c>
      <c r="Q852" s="1">
        <f t="shared" si="280"/>
        <v>1.7113111366276152</v>
      </c>
      <c r="T852">
        <v>0.57594449061419051</v>
      </c>
      <c r="U852">
        <f t="shared" si="287"/>
        <v>1.7362784370653399</v>
      </c>
      <c r="V852" s="15">
        <f t="shared" si="281"/>
        <v>0</v>
      </c>
      <c r="W852" s="15">
        <f t="shared" si="282"/>
        <v>0</v>
      </c>
      <c r="X852" s="15">
        <f t="shared" si="283"/>
        <v>0</v>
      </c>
      <c r="Y852" s="15">
        <f t="shared" si="284"/>
        <v>0</v>
      </c>
      <c r="Z852" s="15">
        <f t="shared" si="285"/>
        <v>0</v>
      </c>
      <c r="AA852" s="15">
        <f t="shared" si="286"/>
        <v>0</v>
      </c>
      <c r="AC852" s="1"/>
      <c r="AD852" s="1"/>
      <c r="AE852" s="1"/>
    </row>
    <row r="853" spans="1:31">
      <c r="A853">
        <v>846</v>
      </c>
      <c r="B853">
        <f t="shared" si="266"/>
        <v>0.78090641191966592</v>
      </c>
      <c r="C853">
        <v>0.78016421401309355</v>
      </c>
      <c r="D853">
        <f t="shared" si="267"/>
        <v>1.2817814275998269</v>
      </c>
      <c r="E853" s="1">
        <f t="shared" si="268"/>
        <v>6.1065496107473999E-2</v>
      </c>
      <c r="F853" s="1">
        <f t="shared" si="269"/>
        <v>7.0835975484669855E-2</v>
      </c>
      <c r="G853" s="1">
        <f t="shared" si="270"/>
        <v>2.1983578598690656E-2</v>
      </c>
      <c r="H853" s="1">
        <f t="shared" si="271"/>
        <v>2.1302237136771512E-2</v>
      </c>
      <c r="I853" s="1">
        <f t="shared" si="272"/>
        <v>7.8288691082587236E-2</v>
      </c>
      <c r="J853" s="1">
        <f t="shared" si="273"/>
        <v>8.4816954439124126E-2</v>
      </c>
      <c r="K853" s="1">
        <f t="shared" si="274"/>
        <v>5.2154789894762327E-2</v>
      </c>
      <c r="L853" s="1">
        <f t="shared" si="275"/>
        <v>5.1715631834641285E-2</v>
      </c>
      <c r="M853" s="1">
        <f t="shared" si="276"/>
        <v>0.1127350810328136</v>
      </c>
      <c r="N853" s="1">
        <f t="shared" si="277"/>
        <v>0.1127789123480325</v>
      </c>
      <c r="O853" s="1">
        <f t="shared" si="278"/>
        <v>0.11249721248690564</v>
      </c>
      <c r="P853" s="1">
        <f t="shared" si="279"/>
        <v>0.11254242123038077</v>
      </c>
      <c r="Q853" s="1">
        <f t="shared" si="280"/>
        <v>1.7098338910092732</v>
      </c>
      <c r="T853">
        <v>3.7638503115286936E-2</v>
      </c>
      <c r="U853">
        <f t="shared" si="287"/>
        <v>26.568537992517786</v>
      </c>
      <c r="V853" s="15">
        <f t="shared" si="281"/>
        <v>0.10304197639427203</v>
      </c>
      <c r="W853" s="15">
        <f t="shared" si="282"/>
        <v>0.1057753682453844</v>
      </c>
      <c r="X853" s="15">
        <f t="shared" si="283"/>
        <v>0.11124215194760896</v>
      </c>
      <c r="Y853" s="15">
        <f t="shared" si="284"/>
        <v>0.14763297309330198</v>
      </c>
      <c r="Z853" s="15">
        <f t="shared" si="285"/>
        <v>0.14970192057754048</v>
      </c>
      <c r="AA853" s="15">
        <f t="shared" si="286"/>
        <v>0.15383981554601778</v>
      </c>
      <c r="AC853" s="1"/>
      <c r="AD853" s="1"/>
      <c r="AE853" s="1"/>
    </row>
    <row r="854" spans="1:31">
      <c r="A854">
        <v>325</v>
      </c>
      <c r="B854">
        <f t="shared" si="266"/>
        <v>0.781264602733583</v>
      </c>
      <c r="C854">
        <v>0.78053900379309682</v>
      </c>
      <c r="D854">
        <f t="shared" si="267"/>
        <v>1.2811659572941436</v>
      </c>
      <c r="E854" s="1">
        <f t="shared" si="268"/>
        <v>6.0961387835250874E-2</v>
      </c>
      <c r="F854" s="1">
        <f t="shared" si="269"/>
        <v>7.0715209888891017E-2</v>
      </c>
      <c r="G854" s="1">
        <f t="shared" si="270"/>
        <v>2.1946099620690329E-2</v>
      </c>
      <c r="H854" s="1">
        <f t="shared" si="271"/>
        <v>2.1265919752255488E-2</v>
      </c>
      <c r="I854" s="1">
        <f t="shared" si="272"/>
        <v>7.8155219631722866E-2</v>
      </c>
      <c r="J854" s="1">
        <f t="shared" si="273"/>
        <v>8.4672353197101258E-2</v>
      </c>
      <c r="K854" s="1">
        <f t="shared" si="274"/>
        <v>5.2065873151098313E-2</v>
      </c>
      <c r="L854" s="1">
        <f t="shared" si="275"/>
        <v>5.1627463795070189E-2</v>
      </c>
      <c r="M854" s="1">
        <f t="shared" si="276"/>
        <v>0.11254288322466666</v>
      </c>
      <c r="N854" s="1">
        <f t="shared" si="277"/>
        <v>0.11258663981352146</v>
      </c>
      <c r="O854" s="1">
        <f t="shared" si="278"/>
        <v>0.11230542021191425</v>
      </c>
      <c r="P854" s="1">
        <f t="shared" si="279"/>
        <v>0.11235055188069953</v>
      </c>
      <c r="Q854" s="1">
        <f t="shared" si="280"/>
        <v>1.7069188593870255</v>
      </c>
      <c r="T854">
        <v>0.58877109210199752</v>
      </c>
      <c r="U854">
        <f t="shared" si="287"/>
        <v>1.69845295296319</v>
      </c>
      <c r="V854" s="15">
        <f t="shared" si="281"/>
        <v>0</v>
      </c>
      <c r="W854" s="15">
        <f t="shared" si="282"/>
        <v>0</v>
      </c>
      <c r="X854" s="15">
        <f t="shared" si="283"/>
        <v>0</v>
      </c>
      <c r="Y854" s="15">
        <f t="shared" si="284"/>
        <v>0</v>
      </c>
      <c r="Z854" s="15">
        <f t="shared" si="285"/>
        <v>0</v>
      </c>
      <c r="AA854" s="15">
        <f t="shared" si="286"/>
        <v>0</v>
      </c>
      <c r="AC854" s="1"/>
      <c r="AD854" s="1"/>
      <c r="AE854" s="1"/>
    </row>
    <row r="855" spans="1:31">
      <c r="A855">
        <v>134</v>
      </c>
      <c r="B855">
        <f t="shared" si="266"/>
        <v>0.78310493476217591</v>
      </c>
      <c r="C855">
        <v>0.7814956717237892</v>
      </c>
      <c r="D855">
        <f t="shared" si="267"/>
        <v>1.2795976179807156</v>
      </c>
      <c r="E855" s="1">
        <f t="shared" si="268"/>
        <v>6.0695646743391868E-2</v>
      </c>
      <c r="F855" s="1">
        <f t="shared" si="269"/>
        <v>7.0406950222334591E-2</v>
      </c>
      <c r="G855" s="1">
        <f t="shared" si="270"/>
        <v>2.1850432827621086E-2</v>
      </c>
      <c r="H855" s="1">
        <f t="shared" si="271"/>
        <v>2.1173217979296804E-2</v>
      </c>
      <c r="I855" s="1">
        <f t="shared" si="272"/>
        <v>7.7814527693154417E-2</v>
      </c>
      <c r="J855" s="1">
        <f t="shared" si="273"/>
        <v>8.4303251961255432E-2</v>
      </c>
      <c r="K855" s="1">
        <f t="shared" si="274"/>
        <v>5.1838909125653948E-2</v>
      </c>
      <c r="L855" s="1">
        <f t="shared" si="275"/>
        <v>5.1402410870817705E-2</v>
      </c>
      <c r="M855" s="1">
        <f t="shared" si="276"/>
        <v>0.11205228959267938</v>
      </c>
      <c r="N855" s="1">
        <f t="shared" si="277"/>
        <v>0.11209585543909684</v>
      </c>
      <c r="O855" s="1">
        <f t="shared" si="278"/>
        <v>0.11181586172171959</v>
      </c>
      <c r="P855" s="1">
        <f t="shared" si="279"/>
        <v>0.11186079665385951</v>
      </c>
      <c r="Q855" s="1">
        <f t="shared" si="280"/>
        <v>1.6994781088149731</v>
      </c>
      <c r="T855">
        <v>0.96752887961339307</v>
      </c>
      <c r="U855">
        <f t="shared" si="287"/>
        <v>1.0335608797533586</v>
      </c>
      <c r="V855" s="15">
        <f t="shared" si="281"/>
        <v>0</v>
      </c>
      <c r="W855" s="15">
        <f t="shared" si="282"/>
        <v>0</v>
      </c>
      <c r="X855" s="15">
        <f t="shared" si="283"/>
        <v>0</v>
      </c>
      <c r="Y855" s="15">
        <f t="shared" si="284"/>
        <v>0</v>
      </c>
      <c r="Z855" s="15">
        <f t="shared" si="285"/>
        <v>0</v>
      </c>
      <c r="AA855" s="15">
        <f t="shared" si="286"/>
        <v>0</v>
      </c>
      <c r="AC855" s="1"/>
      <c r="AD855" s="1"/>
      <c r="AE855" s="1"/>
    </row>
    <row r="856" spans="1:31">
      <c r="A856">
        <v>861</v>
      </c>
      <c r="B856">
        <f t="shared" si="266"/>
        <v>0.7868333529918482</v>
      </c>
      <c r="C856">
        <v>0.78374898592234377</v>
      </c>
      <c r="D856">
        <f t="shared" si="267"/>
        <v>1.275918716275166</v>
      </c>
      <c r="E856" s="1">
        <f t="shared" si="268"/>
        <v>6.0069726132682272E-2</v>
      </c>
      <c r="F856" s="1">
        <f t="shared" si="269"/>
        <v>6.9680882313911452E-2</v>
      </c>
      <c r="G856" s="1">
        <f t="shared" si="270"/>
        <v>2.1625101407765634E-2</v>
      </c>
      <c r="H856" s="1">
        <f t="shared" si="271"/>
        <v>2.0954870301343576E-2</v>
      </c>
      <c r="I856" s="1">
        <f t="shared" si="272"/>
        <v>7.7012069538260786E-2</v>
      </c>
      <c r="J856" s="1">
        <f t="shared" si="273"/>
        <v>8.343387918439904E-2</v>
      </c>
      <c r="K856" s="1">
        <f t="shared" si="274"/>
        <v>5.1304323147921022E-2</v>
      </c>
      <c r="L856" s="1">
        <f t="shared" si="275"/>
        <v>5.0872326257991485E-2</v>
      </c>
      <c r="M856" s="1">
        <f t="shared" si="276"/>
        <v>0.11089675634941765</v>
      </c>
      <c r="N856" s="1">
        <f t="shared" si="277"/>
        <v>0.11093987292537405</v>
      </c>
      <c r="O856" s="1">
        <f t="shared" si="278"/>
        <v>0.11066276662823171</v>
      </c>
      <c r="P856" s="1">
        <f t="shared" si="279"/>
        <v>0.1107072381712873</v>
      </c>
      <c r="Q856" s="1">
        <f t="shared" si="280"/>
        <v>1.6819523317151042</v>
      </c>
      <c r="T856">
        <v>0.38377136241447785</v>
      </c>
      <c r="U856">
        <f t="shared" si="287"/>
        <v>2.6057181382908596</v>
      </c>
      <c r="V856" s="15">
        <f t="shared" si="281"/>
        <v>6.5481990751773009E-2</v>
      </c>
      <c r="W856" s="15">
        <f t="shared" si="282"/>
        <v>7.0282674461252262E-2</v>
      </c>
      <c r="X856" s="15">
        <f t="shared" si="283"/>
        <v>7.9884041880210713E-2</v>
      </c>
      <c r="Y856" s="15">
        <f t="shared" si="284"/>
        <v>9.2087776086872158E-2</v>
      </c>
      <c r="Z856" s="15">
        <f t="shared" si="285"/>
        <v>9.6302477439021372E-2</v>
      </c>
      <c r="AA856" s="15">
        <f t="shared" si="286"/>
        <v>0.10473188014331977</v>
      </c>
      <c r="AC856" s="1"/>
      <c r="AD856" s="1"/>
      <c r="AE856" s="1"/>
    </row>
    <row r="857" spans="1:31">
      <c r="A857">
        <v>962</v>
      </c>
      <c r="B857">
        <f t="shared" si="266"/>
        <v>0.78800550140333925</v>
      </c>
      <c r="C857">
        <v>0.78502983682469873</v>
      </c>
      <c r="D857">
        <f t="shared" si="267"/>
        <v>1.2738369334404105</v>
      </c>
      <c r="E857" s="1">
        <f t="shared" si="268"/>
        <v>5.9713934215361447E-2</v>
      </c>
      <c r="F857" s="1">
        <f t="shared" si="269"/>
        <v>6.9268163689819306E-2</v>
      </c>
      <c r="G857" s="1">
        <f t="shared" si="270"/>
        <v>2.1497016317530135E-2</v>
      </c>
      <c r="H857" s="1">
        <f t="shared" si="271"/>
        <v>2.0830754978006544E-2</v>
      </c>
      <c r="I857" s="1">
        <f t="shared" si="272"/>
        <v>7.655592842289527E-2</v>
      </c>
      <c r="J857" s="1">
        <f t="shared" si="273"/>
        <v>8.2939701804949029E-2</v>
      </c>
      <c r="K857" s="1">
        <f t="shared" si="274"/>
        <v>5.1000448556261846E-2</v>
      </c>
      <c r="L857" s="1">
        <f t="shared" si="275"/>
        <v>5.0571010376212339E-2</v>
      </c>
      <c r="M857" s="1">
        <f t="shared" si="276"/>
        <v>0.11023991683796275</v>
      </c>
      <c r="N857" s="1">
        <f t="shared" si="277"/>
        <v>0.11028277803520825</v>
      </c>
      <c r="O857" s="1">
        <f t="shared" si="278"/>
        <v>0.11000731303372524</v>
      </c>
      <c r="P857" s="1">
        <f t="shared" si="279"/>
        <v>0.1100515211726239</v>
      </c>
      <c r="Q857" s="1">
        <f t="shared" si="280"/>
        <v>1.6719901580301215</v>
      </c>
      <c r="T857">
        <v>0.68162874624089898</v>
      </c>
      <c r="U857">
        <f t="shared" si="287"/>
        <v>1.4670742768917544</v>
      </c>
      <c r="V857" s="15">
        <f t="shared" si="281"/>
        <v>0</v>
      </c>
      <c r="W857" s="15">
        <f t="shared" si="282"/>
        <v>0</v>
      </c>
      <c r="X857" s="15">
        <f t="shared" si="283"/>
        <v>0</v>
      </c>
      <c r="Y857" s="15">
        <f t="shared" si="284"/>
        <v>0</v>
      </c>
      <c r="Z857" s="15">
        <f t="shared" si="285"/>
        <v>0</v>
      </c>
      <c r="AA857" s="15">
        <f t="shared" si="286"/>
        <v>0</v>
      </c>
      <c r="AC857" s="1"/>
      <c r="AD857" s="1"/>
      <c r="AE857" s="1"/>
    </row>
    <row r="858" spans="1:31">
      <c r="A858">
        <v>808</v>
      </c>
      <c r="B858">
        <f t="shared" si="266"/>
        <v>0.79060905156910388</v>
      </c>
      <c r="C858">
        <v>0.78689830672995942</v>
      </c>
      <c r="D858">
        <f t="shared" si="267"/>
        <v>1.2708122402189523</v>
      </c>
      <c r="E858" s="1">
        <f t="shared" si="268"/>
        <v>5.9194914797233489E-2</v>
      </c>
      <c r="F858" s="1">
        <f t="shared" si="269"/>
        <v>6.8666101164790855E-2</v>
      </c>
      <c r="G858" s="1">
        <f t="shared" si="270"/>
        <v>2.1310169327004067E-2</v>
      </c>
      <c r="H858" s="1">
        <f t="shared" si="271"/>
        <v>2.0649698973743649E-2</v>
      </c>
      <c r="I858" s="1">
        <f t="shared" si="272"/>
        <v>7.5890522367400848E-2</v>
      </c>
      <c r="J858" s="1">
        <f t="shared" si="273"/>
        <v>8.221880949838517E-2</v>
      </c>
      <c r="K858" s="1">
        <f t="shared" si="274"/>
        <v>5.0557164698285417E-2</v>
      </c>
      <c r="L858" s="1">
        <f t="shared" si="275"/>
        <v>5.0131459093509328E-2</v>
      </c>
      <c r="M858" s="1">
        <f t="shared" si="276"/>
        <v>0.1092817375077354</v>
      </c>
      <c r="N858" s="1">
        <f t="shared" si="277"/>
        <v>0.10932422616557369</v>
      </c>
      <c r="O858" s="1">
        <f t="shared" si="278"/>
        <v>0.10905115544084809</v>
      </c>
      <c r="P858" s="1">
        <f t="shared" si="279"/>
        <v>0.10909497933304069</v>
      </c>
      <c r="Q858" s="1">
        <f t="shared" si="280"/>
        <v>1.6574576143225386</v>
      </c>
      <c r="T858">
        <v>0.58683137610601066</v>
      </c>
      <c r="U858">
        <f t="shared" si="287"/>
        <v>1.7040670296731897</v>
      </c>
      <c r="V858" s="15">
        <f t="shared" si="281"/>
        <v>0</v>
      </c>
      <c r="W858" s="15">
        <f t="shared" si="282"/>
        <v>0</v>
      </c>
      <c r="X858" s="15">
        <f t="shared" si="283"/>
        <v>0</v>
      </c>
      <c r="Y858" s="15">
        <f t="shared" si="284"/>
        <v>0</v>
      </c>
      <c r="Z858" s="15">
        <f t="shared" si="285"/>
        <v>0</v>
      </c>
      <c r="AA858" s="15">
        <f t="shared" si="286"/>
        <v>0</v>
      </c>
      <c r="AC858" s="1"/>
      <c r="AD858" s="1"/>
      <c r="AE858" s="1"/>
    </row>
    <row r="859" spans="1:31">
      <c r="A859">
        <v>634</v>
      </c>
      <c r="B859">
        <f t="shared" si="266"/>
        <v>0.79102855474585931</v>
      </c>
      <c r="C859">
        <v>0.7873681949278668</v>
      </c>
      <c r="D859">
        <f t="shared" si="267"/>
        <v>1.2700538406832818</v>
      </c>
      <c r="E859" s="1">
        <f t="shared" si="268"/>
        <v>5.9064390297814767E-2</v>
      </c>
      <c r="F859" s="1">
        <f t="shared" si="269"/>
        <v>6.851469274546515E-2</v>
      </c>
      <c r="G859" s="1">
        <f t="shared" si="270"/>
        <v>2.1263180507213333E-2</v>
      </c>
      <c r="H859" s="1">
        <f t="shared" si="271"/>
        <v>2.0604166487871722E-2</v>
      </c>
      <c r="I859" s="1">
        <f t="shared" si="272"/>
        <v>7.5723184134436738E-2</v>
      </c>
      <c r="J859" s="1">
        <f t="shared" si="273"/>
        <v>8.2037517423055095E-2</v>
      </c>
      <c r="K859" s="1">
        <f t="shared" si="274"/>
        <v>5.0445686395852229E-2</v>
      </c>
      <c r="L859" s="1">
        <f t="shared" si="275"/>
        <v>5.0020919469865588E-2</v>
      </c>
      <c r="M859" s="1">
        <f t="shared" si="276"/>
        <v>0.10904077180768051</v>
      </c>
      <c r="N859" s="1">
        <f t="shared" si="277"/>
        <v>0.10908316677823476</v>
      </c>
      <c r="O859" s="1">
        <f t="shared" si="278"/>
        <v>0.10881069817312999</v>
      </c>
      <c r="P859" s="1">
        <f t="shared" si="279"/>
        <v>0.10885442543385326</v>
      </c>
      <c r="Q859" s="1">
        <f t="shared" si="280"/>
        <v>1.6538029283388145</v>
      </c>
      <c r="T859">
        <v>6.1088297083467746E-2</v>
      </c>
      <c r="U859">
        <f t="shared" si="287"/>
        <v>16.369747525187258</v>
      </c>
      <c r="V859" s="15">
        <f t="shared" si="281"/>
        <v>9.988296771671383E-2</v>
      </c>
      <c r="W859" s="15">
        <f t="shared" si="282"/>
        <v>0.10283243245682287</v>
      </c>
      <c r="X859" s="15">
        <f t="shared" si="283"/>
        <v>0.10873136193704094</v>
      </c>
      <c r="Y859" s="15">
        <f t="shared" si="284"/>
        <v>0.14296757828235698</v>
      </c>
      <c r="Z859" s="15">
        <f t="shared" si="285"/>
        <v>0.14526469257091834</v>
      </c>
      <c r="AA859" s="15">
        <f t="shared" si="286"/>
        <v>0.14985892114804106</v>
      </c>
      <c r="AC859" s="1"/>
      <c r="AD859" s="1"/>
      <c r="AE859" s="1"/>
    </row>
    <row r="860" spans="1:31">
      <c r="A860">
        <v>465</v>
      </c>
      <c r="B860">
        <f t="shared" si="266"/>
        <v>0.79298790714374789</v>
      </c>
      <c r="C860">
        <v>0.78997149674129485</v>
      </c>
      <c r="D860">
        <f t="shared" si="267"/>
        <v>1.265868457438138</v>
      </c>
      <c r="E860" s="1">
        <f t="shared" si="268"/>
        <v>5.8341250905195846E-2</v>
      </c>
      <c r="F860" s="1">
        <f t="shared" si="269"/>
        <v>6.7675851050027214E-2</v>
      </c>
      <c r="G860" s="1">
        <f t="shared" si="270"/>
        <v>2.1002850325870528E-2</v>
      </c>
      <c r="H860" s="1">
        <f t="shared" si="271"/>
        <v>2.035190477206747E-2</v>
      </c>
      <c r="I860" s="1">
        <f t="shared" si="272"/>
        <v>7.4796087162707359E-2</v>
      </c>
      <c r="J860" s="1">
        <f t="shared" si="273"/>
        <v>8.1033112565540355E-2</v>
      </c>
      <c r="K860" s="1">
        <f t="shared" si="274"/>
        <v>4.9828067847068364E-2</v>
      </c>
      <c r="L860" s="1">
        <f t="shared" si="275"/>
        <v>4.9408501443686165E-2</v>
      </c>
      <c r="M860" s="1">
        <f t="shared" si="276"/>
        <v>0.10770575967773022</v>
      </c>
      <c r="N860" s="1">
        <f t="shared" si="277"/>
        <v>0.10774763559656642</v>
      </c>
      <c r="O860" s="1">
        <f t="shared" si="278"/>
        <v>0.10747850288946398</v>
      </c>
      <c r="P860" s="1">
        <f t="shared" si="279"/>
        <v>0.10752169478692353</v>
      </c>
      <c r="Q860" s="1">
        <f t="shared" si="280"/>
        <v>1.6335550253454851</v>
      </c>
      <c r="T860">
        <v>0.23203966420892708</v>
      </c>
      <c r="U860">
        <f t="shared" si="287"/>
        <v>4.3096080293393557</v>
      </c>
      <c r="V860" s="15">
        <f t="shared" si="281"/>
        <v>7.5408060125192619E-2</v>
      </c>
      <c r="W860" s="15">
        <f t="shared" si="282"/>
        <v>7.9813199144996572E-2</v>
      </c>
      <c r="X860" s="15">
        <f t="shared" si="283"/>
        <v>8.862347718460456E-2</v>
      </c>
      <c r="Y860" s="15">
        <f t="shared" si="284"/>
        <v>0.10677877717634304</v>
      </c>
      <c r="Z860" s="15">
        <f t="shared" si="285"/>
        <v>0.11059826143797134</v>
      </c>
      <c r="AA860" s="15">
        <f t="shared" si="286"/>
        <v>0.11823722996122807</v>
      </c>
      <c r="AC860" s="1"/>
      <c r="AD860" s="1"/>
      <c r="AE860" s="1"/>
    </row>
    <row r="861" spans="1:31">
      <c r="A861">
        <v>20</v>
      </c>
      <c r="B861">
        <f t="shared" si="266"/>
        <v>0.79399372711883542</v>
      </c>
      <c r="C861">
        <v>0.79050948965067125</v>
      </c>
      <c r="D861">
        <f t="shared" si="267"/>
        <v>1.2650069519619598</v>
      </c>
      <c r="E861" s="1">
        <f t="shared" si="268"/>
        <v>5.8191808430369085E-2</v>
      </c>
      <c r="F861" s="1">
        <f t="shared" si="269"/>
        <v>6.7502497779228149E-2</v>
      </c>
      <c r="G861" s="1">
        <f t="shared" si="270"/>
        <v>2.0949051034932886E-2</v>
      </c>
      <c r="H861" s="1">
        <f t="shared" si="271"/>
        <v>2.0299772893347237E-2</v>
      </c>
      <c r="I861" s="1">
        <f t="shared" si="272"/>
        <v>7.4604495241047702E-2</v>
      </c>
      <c r="J861" s="1">
        <f t="shared" si="273"/>
        <v>8.0825544357851609E-2</v>
      </c>
      <c r="K861" s="1">
        <f t="shared" si="274"/>
        <v>4.97004320891892E-2</v>
      </c>
      <c r="L861" s="1">
        <f t="shared" si="275"/>
        <v>4.9281940414934416E-2</v>
      </c>
      <c r="M861" s="1">
        <f t="shared" si="276"/>
        <v>0.1074298688624048</v>
      </c>
      <c r="N861" s="1">
        <f t="shared" si="277"/>
        <v>0.10747163751509831</v>
      </c>
      <c r="O861" s="1">
        <f t="shared" si="278"/>
        <v>0.1072031941977018</v>
      </c>
      <c r="P861" s="1">
        <f t="shared" si="279"/>
        <v>0.10724627545810872</v>
      </c>
      <c r="Q861" s="1">
        <f t="shared" si="280"/>
        <v>1.6293706360503348</v>
      </c>
      <c r="T861">
        <v>2.169611383808856E-2</v>
      </c>
      <c r="U861">
        <f t="shared" si="287"/>
        <v>46.091203588932707</v>
      </c>
      <c r="V861" s="15">
        <f t="shared" si="281"/>
        <v>0.10304197639427203</v>
      </c>
      <c r="W861" s="15">
        <f t="shared" si="282"/>
        <v>0.1057753682453844</v>
      </c>
      <c r="X861" s="15">
        <f t="shared" si="283"/>
        <v>0.11124215194760896</v>
      </c>
      <c r="Y861" s="15">
        <f t="shared" si="284"/>
        <v>0.14763297309330198</v>
      </c>
      <c r="Z861" s="15">
        <f t="shared" si="285"/>
        <v>0.14970192057754048</v>
      </c>
      <c r="AA861" s="15">
        <f t="shared" si="286"/>
        <v>0.15383981554601778</v>
      </c>
      <c r="AC861" s="1"/>
      <c r="AD861" s="1"/>
      <c r="AE861" s="1"/>
    </row>
    <row r="862" spans="1:31">
      <c r="A862">
        <v>8</v>
      </c>
      <c r="B862">
        <f t="shared" si="266"/>
        <v>0.79554672294910178</v>
      </c>
      <c r="C862">
        <v>0.79140315563701746</v>
      </c>
      <c r="D862">
        <f t="shared" si="267"/>
        <v>1.26357848446419</v>
      </c>
      <c r="E862" s="1">
        <f t="shared" si="268"/>
        <v>5.7943567878606245E-2</v>
      </c>
      <c r="F862" s="1">
        <f t="shared" si="269"/>
        <v>6.721453873918326E-2</v>
      </c>
      <c r="G862" s="1">
        <f t="shared" si="270"/>
        <v>2.0859684436298265E-2</v>
      </c>
      <c r="H862" s="1">
        <f t="shared" si="271"/>
        <v>2.0213176051633086E-2</v>
      </c>
      <c r="I862" s="1">
        <f t="shared" si="272"/>
        <v>7.4286239775851332E-2</v>
      </c>
      <c r="J862" s="1">
        <f t="shared" si="273"/>
        <v>8.0480750506807586E-2</v>
      </c>
      <c r="K862" s="1">
        <f t="shared" si="274"/>
        <v>4.9488414916713214E-2</v>
      </c>
      <c r="L862" s="1">
        <f t="shared" si="275"/>
        <v>4.9071708486927129E-2</v>
      </c>
      <c r="M862" s="1">
        <f t="shared" si="276"/>
        <v>0.10697158357034137</v>
      </c>
      <c r="N862" s="1">
        <f t="shared" si="277"/>
        <v>0.10701317404205596</v>
      </c>
      <c r="O862" s="1">
        <f t="shared" si="278"/>
        <v>0.10674587587754308</v>
      </c>
      <c r="P862" s="1">
        <f t="shared" si="279"/>
        <v>0.10678877335751519</v>
      </c>
      <c r="Q862" s="1">
        <f t="shared" si="280"/>
        <v>1.6224199006009759</v>
      </c>
      <c r="T862">
        <v>0.46635578996186278</v>
      </c>
      <c r="U862">
        <f t="shared" si="287"/>
        <v>2.1442855895104831</v>
      </c>
      <c r="V862" s="15">
        <f t="shared" si="281"/>
        <v>6.0079436330422037E-2</v>
      </c>
      <c r="W862" s="15">
        <f t="shared" si="282"/>
        <v>6.5095406839907916E-2</v>
      </c>
      <c r="X862" s="15">
        <f t="shared" si="283"/>
        <v>7.512734785887952E-2</v>
      </c>
      <c r="Y862" s="15">
        <f t="shared" si="284"/>
        <v>8.4091767807650403E-2</v>
      </c>
      <c r="Z862" s="15">
        <f t="shared" si="285"/>
        <v>8.8521577654356864E-2</v>
      </c>
      <c r="AA862" s="15">
        <f t="shared" si="286"/>
        <v>9.7381197347769705E-2</v>
      </c>
      <c r="AC862" s="1"/>
      <c r="AD862" s="1"/>
      <c r="AE862" s="1"/>
    </row>
    <row r="863" spans="1:31">
      <c r="A863">
        <v>817</v>
      </c>
      <c r="B863">
        <f t="shared" si="266"/>
        <v>0.79672857608702274</v>
      </c>
      <c r="C863">
        <v>0.79219541217741951</v>
      </c>
      <c r="D863">
        <f t="shared" si="267"/>
        <v>1.2623148084781395</v>
      </c>
      <c r="E863" s="1">
        <f t="shared" si="268"/>
        <v>5.7723496617383463E-2</v>
      </c>
      <c r="F863" s="1">
        <f t="shared" si="269"/>
        <v>6.6959256076164819E-2</v>
      </c>
      <c r="G863" s="1">
        <f t="shared" si="270"/>
        <v>2.0780458782258066E-2</v>
      </c>
      <c r="H863" s="1">
        <f t="shared" si="271"/>
        <v>2.0136405854183026E-2</v>
      </c>
      <c r="I863" s="1">
        <f t="shared" si="272"/>
        <v>7.400409859819343E-2</v>
      </c>
      <c r="J863" s="1">
        <f t="shared" si="273"/>
        <v>8.0175082407368203E-2</v>
      </c>
      <c r="K863" s="1">
        <f t="shared" si="274"/>
        <v>4.9300456558514505E-2</v>
      </c>
      <c r="L863" s="1">
        <f t="shared" si="275"/>
        <v>4.8885332791186398E-2</v>
      </c>
      <c r="M863" s="1">
        <f t="shared" si="276"/>
        <v>0.10656530255981322</v>
      </c>
      <c r="N863" s="1">
        <f t="shared" si="277"/>
        <v>0.10660673506977469</v>
      </c>
      <c r="O863" s="1">
        <f t="shared" si="278"/>
        <v>0.10634045211102738</v>
      </c>
      <c r="P863" s="1">
        <f t="shared" si="279"/>
        <v>0.10638318666519309</v>
      </c>
      <c r="Q863" s="1">
        <f t="shared" si="280"/>
        <v>1.6162579052867381</v>
      </c>
      <c r="T863">
        <v>0.58433793363460418</v>
      </c>
      <c r="U863">
        <f t="shared" si="287"/>
        <v>1.711338495140923</v>
      </c>
      <c r="V863" s="15">
        <f t="shared" si="281"/>
        <v>0</v>
      </c>
      <c r="W863" s="15">
        <f t="shared" si="282"/>
        <v>0</v>
      </c>
      <c r="X863" s="15">
        <f t="shared" si="283"/>
        <v>0</v>
      </c>
      <c r="Y863" s="15">
        <f t="shared" si="284"/>
        <v>0</v>
      </c>
      <c r="Z863" s="15">
        <f t="shared" si="285"/>
        <v>0</v>
      </c>
      <c r="AA863" s="15">
        <f t="shared" si="286"/>
        <v>0</v>
      </c>
      <c r="AC863" s="1"/>
      <c r="AD863" s="1"/>
      <c r="AE863" s="1"/>
    </row>
    <row r="864" spans="1:31">
      <c r="A864">
        <v>278</v>
      </c>
      <c r="B864">
        <f t="shared" si="266"/>
        <v>0.79732314794430215</v>
      </c>
      <c r="C864">
        <v>0.79264819173439816</v>
      </c>
      <c r="D864">
        <f t="shared" si="267"/>
        <v>1.2615937441450464</v>
      </c>
      <c r="E864" s="1">
        <f t="shared" si="268"/>
        <v>5.7597724518222732E-2</v>
      </c>
      <c r="F864" s="1">
        <f t="shared" si="269"/>
        <v>6.6813360441138364E-2</v>
      </c>
      <c r="G864" s="1">
        <f t="shared" si="270"/>
        <v>2.0735180826560201E-2</v>
      </c>
      <c r="H864" s="1">
        <f t="shared" si="271"/>
        <v>2.0092531207249908E-2</v>
      </c>
      <c r="I864" s="1">
        <f t="shared" si="272"/>
        <v>7.3842853154437865E-2</v>
      </c>
      <c r="J864" s="1">
        <f t="shared" si="273"/>
        <v>8.0000391180992891E-2</v>
      </c>
      <c r="K864" s="1">
        <f t="shared" si="274"/>
        <v>4.9193037183835109E-2</v>
      </c>
      <c r="L864" s="1">
        <f t="shared" si="275"/>
        <v>4.8778817917978473E-2</v>
      </c>
      <c r="M864" s="1">
        <f t="shared" si="276"/>
        <v>0.10633311042686805</v>
      </c>
      <c r="N864" s="1">
        <f t="shared" si="277"/>
        <v>0.10637445266070178</v>
      </c>
      <c r="O864" s="1">
        <f t="shared" si="278"/>
        <v>0.10610874989838492</v>
      </c>
      <c r="P864" s="1">
        <f t="shared" si="279"/>
        <v>0.10615139133943557</v>
      </c>
      <c r="Q864" s="1">
        <f t="shared" si="280"/>
        <v>1.6127362865102368</v>
      </c>
      <c r="T864">
        <v>0.57296680664191635</v>
      </c>
      <c r="U864">
        <f t="shared" si="287"/>
        <v>1.745301801793492</v>
      </c>
      <c r="V864" s="15">
        <f t="shared" si="281"/>
        <v>0</v>
      </c>
      <c r="W864" s="15">
        <f t="shared" si="282"/>
        <v>0</v>
      </c>
      <c r="X864" s="15">
        <f t="shared" si="283"/>
        <v>0</v>
      </c>
      <c r="Y864" s="15">
        <f t="shared" si="284"/>
        <v>0</v>
      </c>
      <c r="Z864" s="15">
        <f t="shared" si="285"/>
        <v>0</v>
      </c>
      <c r="AA864" s="15">
        <f t="shared" si="286"/>
        <v>0</v>
      </c>
      <c r="AC864" s="1"/>
      <c r="AD864" s="1"/>
      <c r="AE864" s="1"/>
    </row>
    <row r="865" spans="1:31">
      <c r="A865">
        <v>957</v>
      </c>
      <c r="B865">
        <f t="shared" si="266"/>
        <v>0.80168116762728192</v>
      </c>
      <c r="C865">
        <v>0.7945196416816781</v>
      </c>
      <c r="D865">
        <f t="shared" si="267"/>
        <v>1.2586221252924632</v>
      </c>
      <c r="E865" s="1">
        <f t="shared" si="268"/>
        <v>5.7077877310644953E-2</v>
      </c>
      <c r="F865" s="1">
        <f t="shared" si="269"/>
        <v>6.6210337680348175E-2</v>
      </c>
      <c r="G865" s="1">
        <f t="shared" si="270"/>
        <v>2.0548035831832206E-2</v>
      </c>
      <c r="H865" s="1">
        <f t="shared" si="271"/>
        <v>1.9911186434889094E-2</v>
      </c>
      <c r="I865" s="1">
        <f t="shared" si="272"/>
        <v>7.3176385835928365E-2</v>
      </c>
      <c r="J865" s="1">
        <f t="shared" si="273"/>
        <v>7.9278349115817048E-2</v>
      </c>
      <c r="K865" s="1">
        <f t="shared" si="274"/>
        <v>4.8749046327838802E-2</v>
      </c>
      <c r="L865" s="1">
        <f t="shared" si="275"/>
        <v>4.8338565590378579E-2</v>
      </c>
      <c r="M865" s="1">
        <f t="shared" si="276"/>
        <v>0.10537340288649505</v>
      </c>
      <c r="N865" s="1">
        <f t="shared" si="277"/>
        <v>0.10541437198675463</v>
      </c>
      <c r="O865" s="1">
        <f t="shared" si="278"/>
        <v>0.10515106731985197</v>
      </c>
      <c r="P865" s="1">
        <f t="shared" si="279"/>
        <v>0.10519332390135749</v>
      </c>
      <c r="Q865" s="1">
        <f t="shared" si="280"/>
        <v>1.59818056469806</v>
      </c>
      <c r="T865">
        <v>0.84597433268021272</v>
      </c>
      <c r="U865">
        <f t="shared" si="287"/>
        <v>1.1820689604515586</v>
      </c>
      <c r="V865" s="15">
        <f t="shared" si="281"/>
        <v>0</v>
      </c>
      <c r="W865" s="15">
        <f t="shared" si="282"/>
        <v>0</v>
      </c>
      <c r="X865" s="15">
        <f t="shared" si="283"/>
        <v>0</v>
      </c>
      <c r="Y865" s="15">
        <f t="shared" si="284"/>
        <v>0</v>
      </c>
      <c r="Z865" s="15">
        <f t="shared" si="285"/>
        <v>0</v>
      </c>
      <c r="AA865" s="15">
        <f t="shared" si="286"/>
        <v>0</v>
      </c>
      <c r="AC865" s="1"/>
      <c r="AD865" s="1"/>
      <c r="AE865" s="1"/>
    </row>
    <row r="866" spans="1:31">
      <c r="A866">
        <v>25</v>
      </c>
      <c r="B866">
        <f t="shared" si="266"/>
        <v>0.80265468901207404</v>
      </c>
      <c r="C866">
        <v>0.79619855807136897</v>
      </c>
      <c r="D866">
        <f t="shared" si="267"/>
        <v>1.2559681123039197</v>
      </c>
      <c r="E866" s="1">
        <f t="shared" si="268"/>
        <v>5.6611511646841944E-2</v>
      </c>
      <c r="F866" s="1">
        <f t="shared" si="269"/>
        <v>6.5669353510336675E-2</v>
      </c>
      <c r="G866" s="1">
        <f t="shared" si="270"/>
        <v>2.0380144192863117E-2</v>
      </c>
      <c r="H866" s="1">
        <f t="shared" si="271"/>
        <v>1.9748498295169489E-2</v>
      </c>
      <c r="I866" s="1">
        <f t="shared" si="272"/>
        <v>7.2578484243173896E-2</v>
      </c>
      <c r="J866" s="1">
        <f t="shared" si="273"/>
        <v>7.8630590270312273E-2</v>
      </c>
      <c r="K866" s="1">
        <f t="shared" si="274"/>
        <v>4.8350732963333115E-2</v>
      </c>
      <c r="L866" s="1">
        <f t="shared" si="275"/>
        <v>4.7943606136891026E-2</v>
      </c>
      <c r="M866" s="1">
        <f t="shared" si="276"/>
        <v>0.10451242943583766</v>
      </c>
      <c r="N866" s="1">
        <f t="shared" si="277"/>
        <v>0.10455306379026336</v>
      </c>
      <c r="O866" s="1">
        <f t="shared" si="278"/>
        <v>0.10429191050427306</v>
      </c>
      <c r="P866" s="1">
        <f t="shared" si="279"/>
        <v>0.10433382182033402</v>
      </c>
      <c r="Q866" s="1">
        <f t="shared" si="280"/>
        <v>1.5851223261115752</v>
      </c>
      <c r="T866">
        <v>0.97955032215992377</v>
      </c>
      <c r="U866">
        <f t="shared" si="287"/>
        <v>1.0208765975340444</v>
      </c>
      <c r="V866" s="15">
        <f t="shared" si="281"/>
        <v>0</v>
      </c>
      <c r="W866" s="15">
        <f t="shared" si="282"/>
        <v>0</v>
      </c>
      <c r="X866" s="15">
        <f t="shared" si="283"/>
        <v>0</v>
      </c>
      <c r="Y866" s="15">
        <f t="shared" si="284"/>
        <v>0</v>
      </c>
      <c r="Z866" s="15">
        <f t="shared" si="285"/>
        <v>0</v>
      </c>
      <c r="AA866" s="15">
        <f t="shared" si="286"/>
        <v>0</v>
      </c>
      <c r="AC866" s="1"/>
      <c r="AD866" s="1"/>
      <c r="AE866" s="1"/>
    </row>
    <row r="867" spans="1:31">
      <c r="A867">
        <v>673</v>
      </c>
      <c r="B867">
        <f t="shared" si="266"/>
        <v>0.80515548013437921</v>
      </c>
      <c r="C867">
        <v>0.79751303222359238</v>
      </c>
      <c r="D867">
        <f t="shared" si="267"/>
        <v>1.2538980049164112</v>
      </c>
      <c r="E867" s="1">
        <f t="shared" si="268"/>
        <v>5.6246379937891E-2</v>
      </c>
      <c r="F867" s="1">
        <f t="shared" si="269"/>
        <v>6.5245800727953551E-2</v>
      </c>
      <c r="G867" s="1">
        <f t="shared" si="270"/>
        <v>2.0248696777640768E-2</v>
      </c>
      <c r="H867" s="1">
        <f t="shared" si="271"/>
        <v>1.9621124856058506E-2</v>
      </c>
      <c r="I867" s="1">
        <f t="shared" si="272"/>
        <v>7.2110369098146526E-2</v>
      </c>
      <c r="J867" s="1">
        <f t="shared" si="273"/>
        <v>7.8123440382135423E-2</v>
      </c>
      <c r="K867" s="1">
        <f t="shared" si="274"/>
        <v>4.8038881446877124E-2</v>
      </c>
      <c r="L867" s="1">
        <f t="shared" si="275"/>
        <v>4.763438049827462E-2</v>
      </c>
      <c r="M867" s="1">
        <f t="shared" si="276"/>
        <v>0.1038383474186575</v>
      </c>
      <c r="N867" s="1">
        <f t="shared" si="277"/>
        <v>0.10387871969049889</v>
      </c>
      <c r="O867" s="1">
        <f t="shared" si="278"/>
        <v>0.10361925078534978</v>
      </c>
      <c r="P867" s="1">
        <f t="shared" si="279"/>
        <v>0.10366089178270682</v>
      </c>
      <c r="Q867" s="1">
        <f t="shared" si="280"/>
        <v>1.5748986382609491</v>
      </c>
      <c r="T867">
        <v>0.68086850514951747</v>
      </c>
      <c r="U867">
        <f t="shared" si="287"/>
        <v>1.4687123760856025</v>
      </c>
      <c r="V867" s="15">
        <f t="shared" si="281"/>
        <v>0</v>
      </c>
      <c r="W867" s="15">
        <f t="shared" si="282"/>
        <v>0</v>
      </c>
      <c r="X867" s="15">
        <f t="shared" si="283"/>
        <v>0</v>
      </c>
      <c r="Y867" s="15">
        <f t="shared" si="284"/>
        <v>0</v>
      </c>
      <c r="Z867" s="15">
        <f t="shared" si="285"/>
        <v>0</v>
      </c>
      <c r="AA867" s="15">
        <f t="shared" si="286"/>
        <v>0</v>
      </c>
      <c r="AC867" s="1"/>
      <c r="AD867" s="1"/>
      <c r="AE867" s="1"/>
    </row>
    <row r="868" spans="1:31">
      <c r="A868">
        <v>88</v>
      </c>
      <c r="B868">
        <f t="shared" si="266"/>
        <v>0.81065016172419113</v>
      </c>
      <c r="C868">
        <v>0.8010352747682854</v>
      </c>
      <c r="D868">
        <f t="shared" si="267"/>
        <v>1.2483844738164234</v>
      </c>
      <c r="E868" s="1">
        <f t="shared" si="268"/>
        <v>5.5267979231031827E-2</v>
      </c>
      <c r="F868" s="1">
        <f t="shared" si="269"/>
        <v>6.4110855907996922E-2</v>
      </c>
      <c r="G868" s="1">
        <f t="shared" si="270"/>
        <v>1.9896472523171477E-2</v>
      </c>
      <c r="H868" s="1">
        <f t="shared" si="271"/>
        <v>1.9279817158572229E-2</v>
      </c>
      <c r="I868" s="1">
        <f t="shared" si="272"/>
        <v>7.0856015730420302E-2</v>
      </c>
      <c r="J868" s="1">
        <f t="shared" si="273"/>
        <v>7.6764490181668199E-2</v>
      </c>
      <c r="K868" s="1">
        <f t="shared" si="274"/>
        <v>4.7203249436137074E-2</v>
      </c>
      <c r="L868" s="1">
        <f t="shared" si="275"/>
        <v>4.6805784745058615E-2</v>
      </c>
      <c r="M868" s="1">
        <f t="shared" si="276"/>
        <v>0.10203208872919717</v>
      </c>
      <c r="N868" s="1">
        <f t="shared" si="277"/>
        <v>0.10207175872901053</v>
      </c>
      <c r="O868" s="1">
        <f t="shared" si="278"/>
        <v>0.10181680326206827</v>
      </c>
      <c r="P868" s="1">
        <f t="shared" si="279"/>
        <v>0.10185771991803133</v>
      </c>
      <c r="Q868" s="1">
        <f t="shared" si="280"/>
        <v>1.5475034184688923</v>
      </c>
      <c r="T868">
        <v>0.13304979284674245</v>
      </c>
      <c r="U868">
        <f t="shared" si="287"/>
        <v>7.5159831413783644</v>
      </c>
      <c r="V868" s="15">
        <f t="shared" si="281"/>
        <v>8.6608089380405914E-2</v>
      </c>
      <c r="W868" s="15">
        <f t="shared" si="282"/>
        <v>9.0399076255701746E-2</v>
      </c>
      <c r="X868" s="15">
        <f t="shared" si="283"/>
        <v>9.7981050006293272E-2</v>
      </c>
      <c r="Y868" s="15">
        <f t="shared" si="284"/>
        <v>0.12334669002356605</v>
      </c>
      <c r="Z868" s="15">
        <f t="shared" si="285"/>
        <v>0.12652831671044057</v>
      </c>
      <c r="AA868" s="15">
        <f t="shared" si="286"/>
        <v>0.13289157008418956</v>
      </c>
      <c r="AC868" s="1"/>
      <c r="AD868" s="1"/>
      <c r="AE868" s="1"/>
    </row>
    <row r="869" spans="1:31">
      <c r="A869">
        <v>885</v>
      </c>
      <c r="B869">
        <f t="shared" si="266"/>
        <v>0.81353355958354656</v>
      </c>
      <c r="C869">
        <v>0.80192601153171306</v>
      </c>
      <c r="D869">
        <f t="shared" si="267"/>
        <v>1.2469978347378421</v>
      </c>
      <c r="E869" s="1">
        <f t="shared" si="268"/>
        <v>5.502055235230191E-2</v>
      </c>
      <c r="F869" s="1">
        <f t="shared" si="269"/>
        <v>6.3823840728670228E-2</v>
      </c>
      <c r="G869" s="1">
        <f t="shared" si="270"/>
        <v>1.9807398846828708E-2</v>
      </c>
      <c r="H869" s="1">
        <f t="shared" si="271"/>
        <v>1.9193504160550573E-2</v>
      </c>
      <c r="I869" s="1">
        <f t="shared" si="272"/>
        <v>7.0538803430362645E-2</v>
      </c>
      <c r="J869" s="1">
        <f t="shared" si="273"/>
        <v>7.6420826482231197E-2</v>
      </c>
      <c r="K869" s="1">
        <f t="shared" si="274"/>
        <v>4.6991927205138367E-2</v>
      </c>
      <c r="L869" s="1">
        <f t="shared" si="275"/>
        <v>4.6596241906925101E-2</v>
      </c>
      <c r="M869" s="1">
        <f t="shared" si="276"/>
        <v>0.10157530558648398</v>
      </c>
      <c r="N869" s="1">
        <f t="shared" si="277"/>
        <v>0.10161479798935297</v>
      </c>
      <c r="O869" s="1">
        <f t="shared" si="278"/>
        <v>0.10136098392175763</v>
      </c>
      <c r="P869" s="1">
        <f t="shared" si="279"/>
        <v>0.10140171739967413</v>
      </c>
      <c r="Q869" s="1">
        <f t="shared" si="280"/>
        <v>1.5405754658644542</v>
      </c>
      <c r="T869">
        <v>0.37379633621464259</v>
      </c>
      <c r="U869">
        <f t="shared" si="287"/>
        <v>2.6752536157170268</v>
      </c>
      <c r="V869" s="15">
        <f t="shared" si="281"/>
        <v>6.613454261293461E-2</v>
      </c>
      <c r="W869" s="15">
        <f t="shared" si="282"/>
        <v>7.090922273391273E-2</v>
      </c>
      <c r="X869" s="15">
        <f t="shared" si="283"/>
        <v>8.0458582975868886E-2</v>
      </c>
      <c r="Y869" s="15">
        <f t="shared" si="284"/>
        <v>9.305358034862081E-2</v>
      </c>
      <c r="Z869" s="15">
        <f t="shared" si="285"/>
        <v>9.724229964903533E-2</v>
      </c>
      <c r="AA869" s="15">
        <f t="shared" si="286"/>
        <v>0.10561973824986436</v>
      </c>
      <c r="AC869" s="1"/>
      <c r="AD869" s="1"/>
      <c r="AE869" s="1"/>
    </row>
    <row r="870" spans="1:31">
      <c r="A870">
        <v>57</v>
      </c>
      <c r="B870">
        <f t="shared" si="266"/>
        <v>0.81432167840324088</v>
      </c>
      <c r="C870">
        <v>0.80231951759400777</v>
      </c>
      <c r="D870">
        <f t="shared" si="267"/>
        <v>1.2463862315088576</v>
      </c>
      <c r="E870" s="1">
        <f t="shared" si="268"/>
        <v>5.4911245112775592E-2</v>
      </c>
      <c r="F870" s="1">
        <f t="shared" si="269"/>
        <v>6.3697044330819713E-2</v>
      </c>
      <c r="G870" s="1">
        <f t="shared" si="270"/>
        <v>1.9768048240599231E-2</v>
      </c>
      <c r="H870" s="1">
        <f t="shared" si="271"/>
        <v>1.91553731555546E-2</v>
      </c>
      <c r="I870" s="1">
        <f t="shared" si="272"/>
        <v>7.0398666671409538E-2</v>
      </c>
      <c r="J870" s="1">
        <f t="shared" si="273"/>
        <v>7.6269004131710172E-2</v>
      </c>
      <c r="K870" s="1">
        <f t="shared" si="274"/>
        <v>4.6898570129950801E-2</v>
      </c>
      <c r="L870" s="1">
        <f t="shared" si="275"/>
        <v>4.6503670924675916E-2</v>
      </c>
      <c r="M870" s="1">
        <f t="shared" si="276"/>
        <v>0.10137350978867721</v>
      </c>
      <c r="N870" s="1">
        <f t="shared" si="277"/>
        <v>0.10141292373349092</v>
      </c>
      <c r="O870" s="1">
        <f t="shared" si="278"/>
        <v>0.10115961390865391</v>
      </c>
      <c r="P870" s="1">
        <f t="shared" si="279"/>
        <v>0.10120026646291846</v>
      </c>
      <c r="Q870" s="1">
        <f t="shared" si="280"/>
        <v>1.5375148631577176</v>
      </c>
      <c r="T870">
        <v>0.88685882459217302</v>
      </c>
      <c r="U870">
        <f t="shared" si="287"/>
        <v>1.1275751813822854</v>
      </c>
      <c r="V870" s="15">
        <f t="shared" si="281"/>
        <v>0</v>
      </c>
      <c r="W870" s="15">
        <f t="shared" si="282"/>
        <v>0</v>
      </c>
      <c r="X870" s="15">
        <f t="shared" si="283"/>
        <v>0</v>
      </c>
      <c r="Y870" s="15">
        <f t="shared" si="284"/>
        <v>0</v>
      </c>
      <c r="Z870" s="15">
        <f t="shared" si="285"/>
        <v>0</v>
      </c>
      <c r="AA870" s="15">
        <f t="shared" si="286"/>
        <v>0</v>
      </c>
      <c r="AC870" s="1"/>
      <c r="AD870" s="1"/>
      <c r="AE870" s="1"/>
    </row>
    <row r="871" spans="1:31">
      <c r="A871">
        <v>169</v>
      </c>
      <c r="B871">
        <f t="shared" si="266"/>
        <v>0.81541115600796987</v>
      </c>
      <c r="C871">
        <v>0.80315253236559692</v>
      </c>
      <c r="D871">
        <f t="shared" si="267"/>
        <v>1.2450935030418326</v>
      </c>
      <c r="E871" s="1">
        <f t="shared" si="268"/>
        <v>5.4679852120667505E-2</v>
      </c>
      <c r="F871" s="1">
        <f t="shared" si="269"/>
        <v>6.3428628459974323E-2</v>
      </c>
      <c r="G871" s="1">
        <f t="shared" si="270"/>
        <v>1.9684746763440314E-2</v>
      </c>
      <c r="H871" s="1">
        <f t="shared" si="271"/>
        <v>1.9074653457789456E-2</v>
      </c>
      <c r="I871" s="1">
        <f t="shared" si="272"/>
        <v>7.0102010529519809E-2</v>
      </c>
      <c r="J871" s="1">
        <f t="shared" si="273"/>
        <v>7.5947610707924273E-2</v>
      </c>
      <c r="K871" s="1">
        <f t="shared" si="274"/>
        <v>4.6700942113218097E-2</v>
      </c>
      <c r="L871" s="1">
        <f t="shared" si="275"/>
        <v>4.63077069916569E-2</v>
      </c>
      <c r="M871" s="1">
        <f t="shared" si="276"/>
        <v>0.1009463273472242</v>
      </c>
      <c r="N871" s="1">
        <f t="shared" si="277"/>
        <v>0.10098557520382406</v>
      </c>
      <c r="O871" s="1">
        <f t="shared" si="278"/>
        <v>0.10073333281277363</v>
      </c>
      <c r="P871" s="1">
        <f t="shared" si="279"/>
        <v>0.10077381405939173</v>
      </c>
      <c r="Q871" s="1">
        <f t="shared" si="280"/>
        <v>1.531035859378691</v>
      </c>
      <c r="T871">
        <v>0.58772698324009165</v>
      </c>
      <c r="U871">
        <f t="shared" si="287"/>
        <v>1.7014702889547122</v>
      </c>
      <c r="V871" s="15">
        <f t="shared" si="281"/>
        <v>0</v>
      </c>
      <c r="W871" s="15">
        <f t="shared" si="282"/>
        <v>0</v>
      </c>
      <c r="X871" s="15">
        <f t="shared" si="283"/>
        <v>0</v>
      </c>
      <c r="Y871" s="15">
        <f t="shared" si="284"/>
        <v>0</v>
      </c>
      <c r="Z871" s="15">
        <f t="shared" si="285"/>
        <v>0</v>
      </c>
      <c r="AA871" s="15">
        <f t="shared" si="286"/>
        <v>0</v>
      </c>
      <c r="AC871" s="1"/>
      <c r="AD871" s="1"/>
      <c r="AE871" s="1"/>
    </row>
    <row r="872" spans="1:31">
      <c r="A872">
        <v>579</v>
      </c>
      <c r="B872">
        <f t="shared" si="266"/>
        <v>0.81955530599924176</v>
      </c>
      <c r="C872">
        <v>0.80595182523285125</v>
      </c>
      <c r="D872">
        <f t="shared" si="267"/>
        <v>1.2407689500685546</v>
      </c>
      <c r="E872" s="1">
        <f t="shared" si="268"/>
        <v>5.3902270768652422E-2</v>
      </c>
      <c r="F872" s="1">
        <f t="shared" si="269"/>
        <v>6.2526634091636807E-2</v>
      </c>
      <c r="G872" s="1">
        <f t="shared" si="270"/>
        <v>1.9404817476714881E-2</v>
      </c>
      <c r="H872" s="1">
        <f t="shared" si="271"/>
        <v>1.880340007560774E-2</v>
      </c>
      <c r="I872" s="1">
        <f t="shared" si="272"/>
        <v>6.9105116536349709E-2</v>
      </c>
      <c r="J872" s="1">
        <f t="shared" si="273"/>
        <v>7.4867588660932294E-2</v>
      </c>
      <c r="K872" s="1">
        <f t="shared" si="274"/>
        <v>4.6036825801626102E-2</v>
      </c>
      <c r="L872" s="1">
        <f t="shared" si="275"/>
        <v>4.5649182726963777E-2</v>
      </c>
      <c r="M872" s="1">
        <f t="shared" si="276"/>
        <v>9.9510808071744228E-2</v>
      </c>
      <c r="N872" s="1">
        <f t="shared" si="277"/>
        <v>9.9549497799523046E-2</v>
      </c>
      <c r="O872" s="1">
        <f t="shared" si="278"/>
        <v>9.9300842451448434E-2</v>
      </c>
      <c r="P872" s="1">
        <f t="shared" si="279"/>
        <v>9.9340748029675796E-2</v>
      </c>
      <c r="Q872" s="1">
        <f t="shared" si="280"/>
        <v>1.5092635815222684</v>
      </c>
      <c r="T872">
        <v>0.1981486077702953</v>
      </c>
      <c r="U872">
        <f t="shared" si="287"/>
        <v>5.046717265655758</v>
      </c>
      <c r="V872" s="15">
        <f t="shared" si="281"/>
        <v>7.7755805357476587E-2</v>
      </c>
      <c r="W872" s="15">
        <f t="shared" si="282"/>
        <v>8.2062747538006645E-2</v>
      </c>
      <c r="X872" s="15">
        <f t="shared" si="283"/>
        <v>9.067663189906687E-2</v>
      </c>
      <c r="Y872" s="15">
        <f t="shared" si="284"/>
        <v>0.11025330119621542</v>
      </c>
      <c r="Z872" s="15">
        <f t="shared" si="285"/>
        <v>0.11397400034877708</v>
      </c>
      <c r="AA872" s="15">
        <f t="shared" si="286"/>
        <v>0.12141539865390055</v>
      </c>
      <c r="AC872" s="1"/>
      <c r="AD872" s="1"/>
      <c r="AE872" s="1"/>
    </row>
    <row r="873" spans="1:31">
      <c r="A873">
        <v>178</v>
      </c>
      <c r="B873">
        <f t="shared" si="266"/>
        <v>0.82071082672007112</v>
      </c>
      <c r="C873">
        <v>0.80728190782213349</v>
      </c>
      <c r="D873">
        <f t="shared" si="267"/>
        <v>1.2387246515876678</v>
      </c>
      <c r="E873" s="1">
        <f t="shared" si="268"/>
        <v>5.353280338274069E-2</v>
      </c>
      <c r="F873" s="1">
        <f t="shared" si="269"/>
        <v>6.2098051923979214E-2</v>
      </c>
      <c r="G873" s="1">
        <f t="shared" si="270"/>
        <v>1.9271809217786665E-2</v>
      </c>
      <c r="H873" s="1">
        <f t="shared" si="271"/>
        <v>1.867451416833299E-2</v>
      </c>
      <c r="I873" s="1">
        <f t="shared" si="272"/>
        <v>6.8631442859977299E-2</v>
      </c>
      <c r="J873" s="1">
        <f t="shared" si="273"/>
        <v>7.4354416731853612E-2</v>
      </c>
      <c r="K873" s="1">
        <f t="shared" si="274"/>
        <v>4.5721271272251923E-2</v>
      </c>
      <c r="L873" s="1">
        <f t="shared" si="275"/>
        <v>4.5336285255843739E-2</v>
      </c>
      <c r="M873" s="1">
        <f t="shared" si="276"/>
        <v>9.8828721814450349E-2</v>
      </c>
      <c r="N873" s="1">
        <f t="shared" si="277"/>
        <v>9.8867146347602297E-2</v>
      </c>
      <c r="O873" s="1">
        <f t="shared" si="278"/>
        <v>9.8620195381182441E-2</v>
      </c>
      <c r="P873" s="1">
        <f t="shared" si="279"/>
        <v>9.865982743086521E-2</v>
      </c>
      <c r="Q873" s="1">
        <f t="shared" si="280"/>
        <v>1.4989184947167402</v>
      </c>
      <c r="T873">
        <v>0.74100697130798765</v>
      </c>
      <c r="U873">
        <f t="shared" si="287"/>
        <v>1.3495149691167563</v>
      </c>
      <c r="V873" s="15">
        <f t="shared" si="281"/>
        <v>0</v>
      </c>
      <c r="W873" s="15">
        <f t="shared" si="282"/>
        <v>0</v>
      </c>
      <c r="X873" s="15">
        <f t="shared" si="283"/>
        <v>0</v>
      </c>
      <c r="Y873" s="15">
        <f t="shared" si="284"/>
        <v>0</v>
      </c>
      <c r="Z873" s="15">
        <f t="shared" si="285"/>
        <v>0</v>
      </c>
      <c r="AA873" s="15">
        <f t="shared" si="286"/>
        <v>0</v>
      </c>
      <c r="AC873" s="1"/>
      <c r="AD873" s="1"/>
      <c r="AE873" s="1"/>
    </row>
    <row r="874" spans="1:31">
      <c r="A874">
        <v>937</v>
      </c>
      <c r="B874">
        <f t="shared" si="266"/>
        <v>0.82089503139347597</v>
      </c>
      <c r="C874">
        <v>0.80814678255862094</v>
      </c>
      <c r="D874">
        <f t="shared" si="267"/>
        <v>1.2373989745204022</v>
      </c>
      <c r="E874" s="1">
        <f t="shared" si="268"/>
        <v>5.3292560400383049E-2</v>
      </c>
      <c r="F874" s="1">
        <f t="shared" si="269"/>
        <v>6.1819370064444351E-2</v>
      </c>
      <c r="G874" s="1">
        <f t="shared" si="270"/>
        <v>1.9185321744137923E-2</v>
      </c>
      <c r="H874" s="1">
        <f t="shared" si="271"/>
        <v>1.8590707218306413E-2</v>
      </c>
      <c r="I874" s="1">
        <f t="shared" si="272"/>
        <v>6.832344063565321E-2</v>
      </c>
      <c r="J874" s="1">
        <f t="shared" si="273"/>
        <v>7.4020731109238125E-2</v>
      </c>
      <c r="K874" s="1">
        <f t="shared" si="274"/>
        <v>4.5516084660052775E-2</v>
      </c>
      <c r="L874" s="1">
        <f t="shared" si="275"/>
        <v>4.5132826372866752E-2</v>
      </c>
      <c r="M874" s="1">
        <f t="shared" si="276"/>
        <v>9.8385201106193365E-2</v>
      </c>
      <c r="N874" s="1">
        <f t="shared" si="277"/>
        <v>9.8423453198825506E-2</v>
      </c>
      <c r="O874" s="1">
        <f t="shared" si="278"/>
        <v>9.817761049188245E-2</v>
      </c>
      <c r="P874" s="1">
        <f t="shared" si="279"/>
        <v>9.8217064681987376E-2</v>
      </c>
      <c r="Q874" s="1">
        <f t="shared" si="280"/>
        <v>1.4921916912107269</v>
      </c>
      <c r="T874">
        <v>0.92922054828675171</v>
      </c>
      <c r="U874">
        <f t="shared" si="287"/>
        <v>1.0761707775874605</v>
      </c>
      <c r="V874" s="15">
        <f t="shared" si="281"/>
        <v>0</v>
      </c>
      <c r="W874" s="15">
        <f t="shared" si="282"/>
        <v>0</v>
      </c>
      <c r="X874" s="15">
        <f t="shared" si="283"/>
        <v>0</v>
      </c>
      <c r="Y874" s="15">
        <f t="shared" si="284"/>
        <v>0</v>
      </c>
      <c r="Z874" s="15">
        <f t="shared" si="285"/>
        <v>0</v>
      </c>
      <c r="AA874" s="15">
        <f t="shared" si="286"/>
        <v>0</v>
      </c>
      <c r="AC874" s="1"/>
      <c r="AD874" s="1"/>
      <c r="AE874" s="1"/>
    </row>
    <row r="875" spans="1:31">
      <c r="A875">
        <v>314</v>
      </c>
      <c r="B875">
        <f t="shared" si="266"/>
        <v>0.82138597458736695</v>
      </c>
      <c r="C875">
        <v>0.80984425155472417</v>
      </c>
      <c r="D875">
        <f t="shared" si="267"/>
        <v>1.2348053321119687</v>
      </c>
      <c r="E875" s="1">
        <f t="shared" si="268"/>
        <v>5.2821041234798832E-2</v>
      </c>
      <c r="F875" s="1">
        <f t="shared" si="269"/>
        <v>6.1272407832366649E-2</v>
      </c>
      <c r="G875" s="1">
        <f t="shared" si="270"/>
        <v>1.9015574844527594E-2</v>
      </c>
      <c r="H875" s="1">
        <f t="shared" si="271"/>
        <v>1.8426221318410832E-2</v>
      </c>
      <c r="I875" s="1">
        <f t="shared" si="272"/>
        <v>6.7718932023638101E-2</v>
      </c>
      <c r="J875" s="1">
        <f t="shared" si="273"/>
        <v>7.3365814304597043E-2</v>
      </c>
      <c r="K875" s="1">
        <f t="shared" si="274"/>
        <v>4.5113369795194924E-2</v>
      </c>
      <c r="L875" s="1">
        <f t="shared" si="275"/>
        <v>4.473350248090302E-2</v>
      </c>
      <c r="M875" s="1">
        <f t="shared" si="276"/>
        <v>9.7514713601316472E-2</v>
      </c>
      <c r="N875" s="1">
        <f t="shared" si="277"/>
        <v>9.7552627249057555E-2</v>
      </c>
      <c r="O875" s="1">
        <f t="shared" si="278"/>
        <v>9.7308959696529529E-2</v>
      </c>
      <c r="P875" s="1">
        <f t="shared" si="279"/>
        <v>9.7348064805887369E-2</v>
      </c>
      <c r="Q875" s="1">
        <f t="shared" si="280"/>
        <v>1.4789891545743679</v>
      </c>
      <c r="T875">
        <v>0.4726794930089131</v>
      </c>
      <c r="U875">
        <f t="shared" si="287"/>
        <v>2.1155984441684748</v>
      </c>
      <c r="V875" s="15">
        <f t="shared" si="281"/>
        <v>5.9665748776112242E-2</v>
      </c>
      <c r="W875" s="15">
        <f t="shared" si="282"/>
        <v>6.4698204352258065E-2</v>
      </c>
      <c r="X875" s="15">
        <f t="shared" si="283"/>
        <v>7.4763115504549532E-2</v>
      </c>
      <c r="Y875" s="15">
        <f t="shared" si="284"/>
        <v>8.3479492788966755E-2</v>
      </c>
      <c r="Z875" s="15">
        <f t="shared" si="285"/>
        <v>8.7925774049024075E-2</v>
      </c>
      <c r="AA875" s="15">
        <f t="shared" si="286"/>
        <v>9.6818336569138658E-2</v>
      </c>
      <c r="AC875" s="1"/>
      <c r="AD875" s="1"/>
      <c r="AE875" s="1"/>
    </row>
    <row r="876" spans="1:31">
      <c r="A876">
        <v>806</v>
      </c>
      <c r="B876">
        <f t="shared" si="266"/>
        <v>0.82337090846491023</v>
      </c>
      <c r="C876">
        <v>0.81328479079670413</v>
      </c>
      <c r="D876">
        <f t="shared" si="267"/>
        <v>1.2295815823881169</v>
      </c>
      <c r="E876" s="1">
        <f t="shared" si="268"/>
        <v>5.1865335889804381E-2</v>
      </c>
      <c r="F876" s="1">
        <f t="shared" si="269"/>
        <v>6.0163789632173115E-2</v>
      </c>
      <c r="G876" s="1">
        <f t="shared" si="270"/>
        <v>1.8671520920329601E-2</v>
      </c>
      <c r="H876" s="1">
        <f t="shared" si="271"/>
        <v>1.8092830726510606E-2</v>
      </c>
      <c r="I876" s="1">
        <f t="shared" si="272"/>
        <v>6.6493675122612284E-2</v>
      </c>
      <c r="J876" s="1">
        <f t="shared" si="273"/>
        <v>7.2038386839487156E-2</v>
      </c>
      <c r="K876" s="1">
        <f t="shared" si="274"/>
        <v>4.4297121428330588E-2</v>
      </c>
      <c r="L876" s="1">
        <f t="shared" si="275"/>
        <v>4.3924127155807097E-2</v>
      </c>
      <c r="M876" s="1">
        <f t="shared" si="276"/>
        <v>9.5750353588227977E-2</v>
      </c>
      <c r="N876" s="1">
        <f t="shared" si="277"/>
        <v>9.5787581254115073E-2</v>
      </c>
      <c r="O876" s="1">
        <f t="shared" si="278"/>
        <v>9.5548322444332534E-2</v>
      </c>
      <c r="P876" s="1">
        <f t="shared" si="279"/>
        <v>9.5586720014400051E-2</v>
      </c>
      <c r="Q876" s="1">
        <f t="shared" si="280"/>
        <v>1.4522294049145241</v>
      </c>
      <c r="T876">
        <v>0.18313144646892954</v>
      </c>
      <c r="U876">
        <f t="shared" si="287"/>
        <v>5.460558627595737</v>
      </c>
      <c r="V876" s="15">
        <f t="shared" si="281"/>
        <v>7.9797872900702116E-2</v>
      </c>
      <c r="W876" s="15">
        <f t="shared" si="282"/>
        <v>8.39857931904021E-2</v>
      </c>
      <c r="X876" s="15">
        <f t="shared" si="283"/>
        <v>9.2361633769802137E-2</v>
      </c>
      <c r="Y876" s="15">
        <f t="shared" si="284"/>
        <v>0.11327371765437563</v>
      </c>
      <c r="Z876" s="15">
        <f t="shared" si="285"/>
        <v>0.11687006219034626</v>
      </c>
      <c r="AA876" s="15">
        <f t="shared" si="286"/>
        <v>0.12406275126228763</v>
      </c>
      <c r="AC876" s="1"/>
      <c r="AD876" s="1"/>
      <c r="AE876" s="1"/>
    </row>
    <row r="877" spans="1:31">
      <c r="A877">
        <v>128</v>
      </c>
      <c r="B877">
        <f t="shared" si="266"/>
        <v>0.8259531939021888</v>
      </c>
      <c r="C877">
        <v>0.81528960801050088</v>
      </c>
      <c r="D877">
        <f t="shared" si="267"/>
        <v>1.2265580110118612</v>
      </c>
      <c r="E877" s="1">
        <f t="shared" si="268"/>
        <v>5.1308442219305306E-2</v>
      </c>
      <c r="F877" s="1">
        <f t="shared" si="269"/>
        <v>5.9517792974394162E-2</v>
      </c>
      <c r="G877" s="1">
        <f t="shared" si="270"/>
        <v>1.8471039198949921E-2</v>
      </c>
      <c r="H877" s="1">
        <f t="shared" si="271"/>
        <v>1.7898562575342877E-2</v>
      </c>
      <c r="I877" s="1">
        <f t="shared" si="272"/>
        <v>6.5779712585424033E-2</v>
      </c>
      <c r="J877" s="1">
        <f t="shared" si="273"/>
        <v>7.1264889069240167E-2</v>
      </c>
      <c r="K877" s="1">
        <f t="shared" si="274"/>
        <v>4.3821489946888337E-2</v>
      </c>
      <c r="L877" s="1">
        <f t="shared" si="275"/>
        <v>4.3452500625763252E-2</v>
      </c>
      <c r="M877" s="1">
        <f t="shared" si="276"/>
        <v>9.4722253317661376E-2</v>
      </c>
      <c r="N877" s="1">
        <f t="shared" si="277"/>
        <v>9.4759081258931954E-2</v>
      </c>
      <c r="O877" s="1">
        <f t="shared" si="278"/>
        <v>9.4522391442765141E-2</v>
      </c>
      <c r="P877" s="1">
        <f t="shared" si="279"/>
        <v>9.4560376726604001E-2</v>
      </c>
      <c r="Q877" s="1">
        <f t="shared" si="280"/>
        <v>1.4366363821405495</v>
      </c>
      <c r="T877">
        <v>0.33562117787392942</v>
      </c>
      <c r="U877">
        <f t="shared" si="287"/>
        <v>2.9795497600441458</v>
      </c>
      <c r="V877" s="15">
        <f t="shared" si="281"/>
        <v>6.863190654224266E-2</v>
      </c>
      <c r="W877" s="15">
        <f t="shared" si="282"/>
        <v>7.3307069018999013E-2</v>
      </c>
      <c r="X877" s="15">
        <f t="shared" si="283"/>
        <v>8.2657393972511706E-2</v>
      </c>
      <c r="Y877" s="15">
        <f t="shared" si="284"/>
        <v>9.6749784236185452E-2</v>
      </c>
      <c r="Z877" s="15">
        <f t="shared" si="285"/>
        <v>0.10083906831516619</v>
      </c>
      <c r="AA877" s="15">
        <f t="shared" si="286"/>
        <v>0.1090176364731277</v>
      </c>
      <c r="AC877" s="1"/>
      <c r="AD877" s="1"/>
      <c r="AE877" s="1"/>
    </row>
    <row r="878" spans="1:31">
      <c r="A878">
        <v>313</v>
      </c>
      <c r="B878">
        <f t="shared" si="266"/>
        <v>0.82678018759227823</v>
      </c>
      <c r="C878">
        <v>0.81563750444271566</v>
      </c>
      <c r="D878">
        <f t="shared" si="267"/>
        <v>1.2260348433624935</v>
      </c>
      <c r="E878" s="1">
        <f t="shared" si="268"/>
        <v>5.1211804321467852E-2</v>
      </c>
      <c r="F878" s="1">
        <f t="shared" si="269"/>
        <v>5.9405693012902744E-2</v>
      </c>
      <c r="G878" s="1">
        <f t="shared" si="270"/>
        <v>1.8436249555728451E-2</v>
      </c>
      <c r="H878" s="1">
        <f t="shared" si="271"/>
        <v>1.7864851174513363E-2</v>
      </c>
      <c r="I878" s="1">
        <f t="shared" si="272"/>
        <v>6.5655818487890594E-2</v>
      </c>
      <c r="J878" s="1">
        <f t="shared" si="273"/>
        <v>7.1130663807833228E-2</v>
      </c>
      <c r="K878" s="1">
        <f t="shared" si="274"/>
        <v>4.3738953497029442E-2</v>
      </c>
      <c r="L878" s="1">
        <f t="shared" si="275"/>
        <v>4.3370659156121566E-2</v>
      </c>
      <c r="M878" s="1">
        <f t="shared" si="276"/>
        <v>9.4543846820736022E-2</v>
      </c>
      <c r="N878" s="1">
        <f t="shared" si="277"/>
        <v>9.4580605397693973E-2</v>
      </c>
      <c r="O878" s="1">
        <f t="shared" si="278"/>
        <v>9.4344361379631425E-2</v>
      </c>
      <c r="P878" s="1">
        <f t="shared" si="279"/>
        <v>9.4382275119337944E-2</v>
      </c>
      <c r="Q878" s="1">
        <f t="shared" si="280"/>
        <v>1.4339305210011011</v>
      </c>
      <c r="T878">
        <v>0.26590188409416582</v>
      </c>
      <c r="U878">
        <f t="shared" si="287"/>
        <v>3.760785687572874</v>
      </c>
      <c r="V878" s="15">
        <f t="shared" si="281"/>
        <v>7.3192842423855556E-2</v>
      </c>
      <c r="W878" s="15">
        <f t="shared" si="282"/>
        <v>7.7686255821489775E-2</v>
      </c>
      <c r="X878" s="15">
        <f t="shared" si="283"/>
        <v>8.667308261675824E-2</v>
      </c>
      <c r="Y878" s="15">
        <f t="shared" si="284"/>
        <v>0.1035001615995766</v>
      </c>
      <c r="Z878" s="15">
        <f t="shared" si="285"/>
        <v>0.10740784712817743</v>
      </c>
      <c r="AA878" s="15">
        <f t="shared" si="286"/>
        <v>0.11522321818537919</v>
      </c>
      <c r="AC878" s="1"/>
      <c r="AD878" s="1"/>
      <c r="AE878" s="1"/>
    </row>
    <row r="879" spans="1:31">
      <c r="A879">
        <v>686</v>
      </c>
      <c r="B879">
        <f t="shared" si="266"/>
        <v>0.83083584656164355</v>
      </c>
      <c r="C879">
        <v>0.81803111613746193</v>
      </c>
      <c r="D879">
        <f t="shared" si="267"/>
        <v>1.2224473865025447</v>
      </c>
      <c r="E879" s="1">
        <f t="shared" si="268"/>
        <v>5.054691218403834E-2</v>
      </c>
      <c r="F879" s="1">
        <f t="shared" si="269"/>
        <v>5.8634418133484495E-2</v>
      </c>
      <c r="G879" s="1">
        <f t="shared" si="270"/>
        <v>1.8196888386253815E-2</v>
      </c>
      <c r="H879" s="1">
        <f t="shared" si="271"/>
        <v>1.7632908573785605E-2</v>
      </c>
      <c r="I879" s="1">
        <f t="shared" si="272"/>
        <v>6.4803397096621695E-2</v>
      </c>
      <c r="J879" s="1">
        <f t="shared" si="273"/>
        <v>7.0207161507482796E-2</v>
      </c>
      <c r="K879" s="1">
        <f t="shared" si="274"/>
        <v>4.3171082736276373E-2</v>
      </c>
      <c r="L879" s="1">
        <f t="shared" si="275"/>
        <v>4.2807570027548286E-2</v>
      </c>
      <c r="M879" s="1">
        <f t="shared" si="276"/>
        <v>9.3316366921788241E-2</v>
      </c>
      <c r="N879" s="1">
        <f t="shared" si="277"/>
        <v>9.3352648255479231E-2</v>
      </c>
      <c r="O879" s="1">
        <f t="shared" si="278"/>
        <v>9.3119471436321433E-2</v>
      </c>
      <c r="P879" s="1">
        <f t="shared" si="279"/>
        <v>9.3156892935073621E-2</v>
      </c>
      <c r="Q879" s="1">
        <f t="shared" si="280"/>
        <v>1.4153135411530746</v>
      </c>
      <c r="T879">
        <v>3.8639459887533478E-2</v>
      </c>
      <c r="U879">
        <f t="shared" si="287"/>
        <v>25.880278940509648</v>
      </c>
      <c r="V879" s="15">
        <f t="shared" si="281"/>
        <v>0.10304197639427203</v>
      </c>
      <c r="W879" s="15">
        <f t="shared" si="282"/>
        <v>0.1057753682453844</v>
      </c>
      <c r="X879" s="15">
        <f t="shared" si="283"/>
        <v>0.11124215194760896</v>
      </c>
      <c r="Y879" s="15">
        <f t="shared" si="284"/>
        <v>0.14763297309330198</v>
      </c>
      <c r="Z879" s="15">
        <f t="shared" si="285"/>
        <v>0.14970192057754048</v>
      </c>
      <c r="AA879" s="15">
        <f t="shared" si="286"/>
        <v>0.15383981554601778</v>
      </c>
      <c r="AC879" s="1"/>
      <c r="AD879" s="1"/>
      <c r="AE879" s="1"/>
    </row>
    <row r="880" spans="1:31">
      <c r="A880">
        <v>708</v>
      </c>
      <c r="B880">
        <f t="shared" si="266"/>
        <v>0.83513245854135343</v>
      </c>
      <c r="C880">
        <v>0.81936044495179861</v>
      </c>
      <c r="D880">
        <f t="shared" si="267"/>
        <v>1.2204640902073667</v>
      </c>
      <c r="E880" s="1">
        <f t="shared" si="268"/>
        <v>5.0177654180055931E-2</v>
      </c>
      <c r="F880" s="1">
        <f t="shared" si="269"/>
        <v>5.8206078848864889E-2</v>
      </c>
      <c r="G880" s="1">
        <f t="shared" si="270"/>
        <v>1.8063955504820151E-2</v>
      </c>
      <c r="H880" s="1">
        <f t="shared" si="271"/>
        <v>1.7504095707815595E-2</v>
      </c>
      <c r="I880" s="1">
        <f t="shared" si="272"/>
        <v>6.4329991857226376E-2</v>
      </c>
      <c r="J880" s="1">
        <f t="shared" si="273"/>
        <v>6.9694280399550168E-2</v>
      </c>
      <c r="K880" s="1">
        <f t="shared" si="274"/>
        <v>4.2855707035720891E-2</v>
      </c>
      <c r="L880" s="1">
        <f t="shared" si="275"/>
        <v>4.2494849879457786E-2</v>
      </c>
      <c r="M880" s="1">
        <f t="shared" si="276"/>
        <v>9.2634667211567157E-2</v>
      </c>
      <c r="N880" s="1">
        <f t="shared" si="277"/>
        <v>9.2670683500920448E-2</v>
      </c>
      <c r="O880" s="1">
        <f t="shared" si="278"/>
        <v>9.2439210097522317E-2</v>
      </c>
      <c r="P880" s="1">
        <f t="shared" si="279"/>
        <v>9.2476358222742139E-2</v>
      </c>
      <c r="Q880" s="1">
        <f t="shared" si="280"/>
        <v>1.4049743170415665</v>
      </c>
      <c r="T880">
        <v>0.63642184649091738</v>
      </c>
      <c r="U880">
        <f t="shared" si="287"/>
        <v>1.5712848412004841</v>
      </c>
      <c r="V880" s="15">
        <f t="shared" si="281"/>
        <v>0</v>
      </c>
      <c r="W880" s="15">
        <f t="shared" si="282"/>
        <v>0</v>
      </c>
      <c r="X880" s="15">
        <f t="shared" si="283"/>
        <v>0</v>
      </c>
      <c r="Y880" s="15">
        <f t="shared" si="284"/>
        <v>0</v>
      </c>
      <c r="Z880" s="15">
        <f t="shared" si="285"/>
        <v>0</v>
      </c>
      <c r="AA880" s="15">
        <f t="shared" si="286"/>
        <v>0</v>
      </c>
      <c r="AC880" s="1"/>
      <c r="AD880" s="1"/>
      <c r="AE880" s="1"/>
    </row>
    <row r="881" spans="1:31">
      <c r="A881">
        <v>688</v>
      </c>
      <c r="B881">
        <f t="shared" si="266"/>
        <v>0.83746408053835908</v>
      </c>
      <c r="C881">
        <v>0.82069626791380712</v>
      </c>
      <c r="D881">
        <f t="shared" si="267"/>
        <v>1.2184775770236891</v>
      </c>
      <c r="E881" s="1">
        <f t="shared" si="268"/>
        <v>4.9806592246164683E-2</v>
      </c>
      <c r="F881" s="1">
        <f t="shared" si="269"/>
        <v>5.7775647005551045E-2</v>
      </c>
      <c r="G881" s="1">
        <f t="shared" si="270"/>
        <v>1.7930373208619302E-2</v>
      </c>
      <c r="H881" s="1">
        <f t="shared" si="271"/>
        <v>1.7374653554520572E-2</v>
      </c>
      <c r="I881" s="1">
        <f t="shared" si="272"/>
        <v>6.3854273899186798E-2</v>
      </c>
      <c r="J881" s="1">
        <f t="shared" si="273"/>
        <v>6.9178893722177448E-2</v>
      </c>
      <c r="K881" s="1">
        <f t="shared" si="274"/>
        <v>4.2538790635566176E-2</v>
      </c>
      <c r="L881" s="1">
        <f t="shared" si="275"/>
        <v>4.2180602004893791E-2</v>
      </c>
      <c r="M881" s="1">
        <f t="shared" si="276"/>
        <v>9.1949637205230972E-2</v>
      </c>
      <c r="N881" s="1">
        <f t="shared" si="277"/>
        <v>9.1985387155430032E-2</v>
      </c>
      <c r="O881" s="1">
        <f t="shared" si="278"/>
        <v>9.1755625489459869E-2</v>
      </c>
      <c r="P881" s="1">
        <f t="shared" si="279"/>
        <v>9.1792498905640174E-2</v>
      </c>
      <c r="Q881" s="1">
        <f t="shared" si="280"/>
        <v>1.3945845828926116</v>
      </c>
      <c r="T881">
        <v>0.86986328689514425</v>
      </c>
      <c r="U881">
        <f t="shared" si="287"/>
        <v>1.1496059381576622</v>
      </c>
      <c r="V881" s="15">
        <f t="shared" si="281"/>
        <v>0</v>
      </c>
      <c r="W881" s="15">
        <f t="shared" si="282"/>
        <v>0</v>
      </c>
      <c r="X881" s="15">
        <f t="shared" si="283"/>
        <v>0</v>
      </c>
      <c r="Y881" s="15">
        <f t="shared" si="284"/>
        <v>0</v>
      </c>
      <c r="Z881" s="15">
        <f t="shared" si="285"/>
        <v>0</v>
      </c>
      <c r="AA881" s="15">
        <f t="shared" si="286"/>
        <v>0</v>
      </c>
      <c r="AC881" s="1"/>
      <c r="AD881" s="1"/>
      <c r="AE881" s="1"/>
    </row>
    <row r="882" spans="1:31">
      <c r="A882">
        <v>253</v>
      </c>
      <c r="B882">
        <f t="shared" si="266"/>
        <v>0.83749672666823549</v>
      </c>
      <c r="C882">
        <v>0.8207269421897474</v>
      </c>
      <c r="D882">
        <f t="shared" si="267"/>
        <v>1.2184320370084862</v>
      </c>
      <c r="E882" s="1">
        <f t="shared" si="268"/>
        <v>4.979807161395905E-2</v>
      </c>
      <c r="F882" s="1">
        <f t="shared" si="269"/>
        <v>5.77657630721925E-2</v>
      </c>
      <c r="G882" s="1">
        <f t="shared" si="270"/>
        <v>1.7927305781025277E-2</v>
      </c>
      <c r="H882" s="1">
        <f t="shared" si="271"/>
        <v>1.7371681196325359E-2</v>
      </c>
      <c r="I882" s="1">
        <f t="shared" si="272"/>
        <v>6.3843350068462479E-2</v>
      </c>
      <c r="J882" s="1">
        <f t="shared" si="273"/>
        <v>6.9167058985384222E-2</v>
      </c>
      <c r="K882" s="1">
        <f t="shared" si="274"/>
        <v>4.2531513338061322E-2</v>
      </c>
      <c r="L882" s="1">
        <f t="shared" si="275"/>
        <v>4.217338598428913E-2</v>
      </c>
      <c r="M882" s="1">
        <f t="shared" si="276"/>
        <v>9.1933906977469282E-2</v>
      </c>
      <c r="N882" s="1">
        <f t="shared" si="277"/>
        <v>9.19696508117675E-2</v>
      </c>
      <c r="O882" s="1">
        <f t="shared" si="278"/>
        <v>9.1739928452133412E-2</v>
      </c>
      <c r="P882" s="1">
        <f t="shared" si="279"/>
        <v>9.1776795560216673E-2</v>
      </c>
      <c r="Q882" s="1">
        <f t="shared" si="280"/>
        <v>1.3943460051908545</v>
      </c>
      <c r="T882">
        <v>1.5881096864343691E-2</v>
      </c>
      <c r="U882">
        <f t="shared" si="287"/>
        <v>62.967942865785574</v>
      </c>
      <c r="V882" s="15">
        <f t="shared" si="281"/>
        <v>0.10304197639427203</v>
      </c>
      <c r="W882" s="15">
        <f t="shared" si="282"/>
        <v>0.1057753682453844</v>
      </c>
      <c r="X882" s="15">
        <f t="shared" si="283"/>
        <v>0.11124215194760896</v>
      </c>
      <c r="Y882" s="15">
        <f t="shared" si="284"/>
        <v>0.14763297309330198</v>
      </c>
      <c r="Z882" s="15">
        <f t="shared" si="285"/>
        <v>0.14970192057754048</v>
      </c>
      <c r="AA882" s="15">
        <f t="shared" si="286"/>
        <v>0.15383981554601778</v>
      </c>
      <c r="AC882" s="1"/>
      <c r="AD882" s="1"/>
      <c r="AE882" s="1"/>
    </row>
    <row r="883" spans="1:31">
      <c r="A883">
        <v>546</v>
      </c>
      <c r="B883">
        <f t="shared" si="266"/>
        <v>0.83847068439176864</v>
      </c>
      <c r="C883">
        <v>0.82122331385396774</v>
      </c>
      <c r="D883">
        <f t="shared" si="267"/>
        <v>1.2176955806418117</v>
      </c>
      <c r="E883" s="1">
        <f t="shared" si="268"/>
        <v>4.9660190596120063E-2</v>
      </c>
      <c r="F883" s="1">
        <f t="shared" si="269"/>
        <v>5.7605821091499282E-2</v>
      </c>
      <c r="G883" s="1">
        <f t="shared" si="270"/>
        <v>1.7877668614603243E-2</v>
      </c>
      <c r="H883" s="1">
        <f t="shared" si="271"/>
        <v>1.7323582444560601E-2</v>
      </c>
      <c r="I883" s="1">
        <f t="shared" si="272"/>
        <v>6.3666580450595978E-2</v>
      </c>
      <c r="J883" s="1">
        <f t="shared" si="273"/>
        <v>6.8975549069744069E-2</v>
      </c>
      <c r="K883" s="1">
        <f t="shared" si="274"/>
        <v>4.2413751983871845E-2</v>
      </c>
      <c r="L883" s="1">
        <f t="shared" si="275"/>
        <v>4.2056616213959314E-2</v>
      </c>
      <c r="M883" s="1">
        <f t="shared" si="276"/>
        <v>9.167936015954764E-2</v>
      </c>
      <c r="N883" s="1">
        <f t="shared" si="277"/>
        <v>9.1715005026233365E-2</v>
      </c>
      <c r="O883" s="1">
        <f t="shared" si="278"/>
        <v>9.1485918722409076E-2</v>
      </c>
      <c r="P883" s="1">
        <f t="shared" si="279"/>
        <v>9.1522683752756684E-2</v>
      </c>
      <c r="Q883" s="1">
        <f t="shared" si="280"/>
        <v>1.3904853366913628</v>
      </c>
      <c r="T883">
        <v>0.97881746886291687</v>
      </c>
      <c r="U883">
        <f t="shared" si="287"/>
        <v>1.0216409410445961</v>
      </c>
      <c r="V883" s="15">
        <f t="shared" si="281"/>
        <v>0</v>
      </c>
      <c r="W883" s="15">
        <f t="shared" si="282"/>
        <v>0</v>
      </c>
      <c r="X883" s="15">
        <f t="shared" si="283"/>
        <v>0</v>
      </c>
      <c r="Y883" s="15">
        <f t="shared" si="284"/>
        <v>0</v>
      </c>
      <c r="Z883" s="15">
        <f t="shared" si="285"/>
        <v>0</v>
      </c>
      <c r="AA883" s="15">
        <f t="shared" si="286"/>
        <v>0</v>
      </c>
      <c r="AC883" s="1"/>
      <c r="AD883" s="1"/>
      <c r="AE883" s="1"/>
    </row>
    <row r="884" spans="1:31">
      <c r="A884">
        <v>599</v>
      </c>
      <c r="B884">
        <f t="shared" si="266"/>
        <v>0.83882157282658021</v>
      </c>
      <c r="C884">
        <v>0.82138489623745792</v>
      </c>
      <c r="D884">
        <f t="shared" si="267"/>
        <v>1.2174560362391975</v>
      </c>
      <c r="E884" s="1">
        <f t="shared" si="268"/>
        <v>4.9615306600706122E-2</v>
      </c>
      <c r="F884" s="1">
        <f t="shared" si="269"/>
        <v>5.7553755656819111E-2</v>
      </c>
      <c r="G884" s="1">
        <f t="shared" si="270"/>
        <v>1.7861510376254219E-2</v>
      </c>
      <c r="H884" s="1">
        <f t="shared" si="271"/>
        <v>1.7307925001734448E-2</v>
      </c>
      <c r="I884" s="1">
        <f t="shared" si="272"/>
        <v>6.3609037165508586E-2</v>
      </c>
      <c r="J884" s="1">
        <f t="shared" si="273"/>
        <v>6.8913207419602218E-2</v>
      </c>
      <c r="K884" s="1">
        <f t="shared" si="274"/>
        <v>4.2375417482399341E-2</v>
      </c>
      <c r="L884" s="1">
        <f t="shared" si="275"/>
        <v>4.2018604499815371E-2</v>
      </c>
      <c r="M884" s="1">
        <f t="shared" si="276"/>
        <v>9.1596498295113404E-2</v>
      </c>
      <c r="N884" s="1">
        <f t="shared" si="277"/>
        <v>9.163211094516821E-2</v>
      </c>
      <c r="O884" s="1">
        <f t="shared" si="278"/>
        <v>9.1403231694689557E-2</v>
      </c>
      <c r="P884" s="1">
        <f t="shared" si="279"/>
        <v>9.1439963495977217E-2</v>
      </c>
      <c r="Q884" s="1">
        <f t="shared" si="280"/>
        <v>1.3892285848197723</v>
      </c>
      <c r="T884">
        <v>0.23942634899364579</v>
      </c>
      <c r="U884">
        <f t="shared" si="287"/>
        <v>4.1766497472111528</v>
      </c>
      <c r="V884" s="15">
        <f t="shared" si="281"/>
        <v>7.4924833835104093E-2</v>
      </c>
      <c r="W884" s="15">
        <f t="shared" si="282"/>
        <v>7.9349228975912775E-2</v>
      </c>
      <c r="X884" s="15">
        <f t="shared" si="283"/>
        <v>8.8198019257530236E-2</v>
      </c>
      <c r="Y884" s="15">
        <f t="shared" si="284"/>
        <v>0.10606358189741806</v>
      </c>
      <c r="Z884" s="15">
        <f t="shared" si="285"/>
        <v>0.10990230633169148</v>
      </c>
      <c r="AA884" s="15">
        <f t="shared" si="286"/>
        <v>0.11757975520023843</v>
      </c>
      <c r="AC884" s="1"/>
      <c r="AD884" s="1"/>
      <c r="AE884" s="1"/>
    </row>
    <row r="885" spans="1:31">
      <c r="A885">
        <v>958</v>
      </c>
      <c r="B885">
        <f t="shared" si="266"/>
        <v>0.83888963159972196</v>
      </c>
      <c r="C885">
        <v>0.82141623696485344</v>
      </c>
      <c r="D885">
        <f t="shared" si="267"/>
        <v>1.2174095848105175</v>
      </c>
      <c r="E885" s="1">
        <f t="shared" si="268"/>
        <v>4.960660084309626E-2</v>
      </c>
      <c r="F885" s="1">
        <f t="shared" si="269"/>
        <v>5.7543656977991658E-2</v>
      </c>
      <c r="G885" s="1">
        <f t="shared" si="270"/>
        <v>1.7858376303514667E-2</v>
      </c>
      <c r="H885" s="1">
        <f t="shared" si="271"/>
        <v>1.730488806394008E-2</v>
      </c>
      <c r="I885" s="1">
        <f t="shared" si="272"/>
        <v>6.3597875995754727E-2</v>
      </c>
      <c r="J885" s="1">
        <f t="shared" si="273"/>
        <v>6.8901115552776893E-2</v>
      </c>
      <c r="K885" s="1">
        <f t="shared" si="274"/>
        <v>4.2367982073077237E-2</v>
      </c>
      <c r="L885" s="1">
        <f t="shared" si="275"/>
        <v>4.2011231698739604E-2</v>
      </c>
      <c r="M885" s="1">
        <f t="shared" si="276"/>
        <v>9.1580426301071549E-2</v>
      </c>
      <c r="N885" s="1">
        <f t="shared" si="277"/>
        <v>9.1616032702347083E-2</v>
      </c>
      <c r="O885" s="1">
        <f t="shared" si="278"/>
        <v>9.1387193612202322E-2</v>
      </c>
      <c r="P885" s="1">
        <f t="shared" si="279"/>
        <v>9.1423918968338624E-2</v>
      </c>
      <c r="Q885" s="1">
        <f t="shared" si="280"/>
        <v>1.3889848236066964</v>
      </c>
      <c r="T885">
        <v>0.38138436515631668</v>
      </c>
      <c r="U885">
        <f t="shared" si="287"/>
        <v>2.6220267304091855</v>
      </c>
      <c r="V885" s="15">
        <f t="shared" si="281"/>
        <v>6.5638144677807445E-2</v>
      </c>
      <c r="W885" s="15">
        <f t="shared" si="282"/>
        <v>7.04326057976703E-2</v>
      </c>
      <c r="X885" s="15">
        <f t="shared" si="283"/>
        <v>8.00215280373959E-2</v>
      </c>
      <c r="Y885" s="15">
        <f t="shared" si="284"/>
        <v>9.231889047981004E-2</v>
      </c>
      <c r="Z885" s="15">
        <f t="shared" si="285"/>
        <v>9.6527374396033802E-2</v>
      </c>
      <c r="AA885" s="15">
        <f t="shared" si="286"/>
        <v>0.10494434222848131</v>
      </c>
      <c r="AC885" s="1"/>
      <c r="AD885" s="1"/>
      <c r="AE885" s="1"/>
    </row>
    <row r="886" spans="1:31">
      <c r="A886">
        <v>143</v>
      </c>
      <c r="B886">
        <f t="shared" si="266"/>
        <v>0.83955884194235719</v>
      </c>
      <c r="C886">
        <v>0.8217244050077166</v>
      </c>
      <c r="D886">
        <f t="shared" si="267"/>
        <v>1.2169530245248215</v>
      </c>
      <c r="E886" s="1">
        <f t="shared" si="268"/>
        <v>4.9520998608967609E-2</v>
      </c>
      <c r="F886" s="1">
        <f t="shared" si="269"/>
        <v>5.7444358386402439E-2</v>
      </c>
      <c r="G886" s="1">
        <f t="shared" si="270"/>
        <v>1.7827559499228346E-2</v>
      </c>
      <c r="H886" s="1">
        <f t="shared" si="271"/>
        <v>1.7275026371051563E-2</v>
      </c>
      <c r="I886" s="1">
        <f t="shared" si="272"/>
        <v>6.3488130111567009E-2</v>
      </c>
      <c r="J886" s="1">
        <f t="shared" si="273"/>
        <v>6.8782218282554097E-2</v>
      </c>
      <c r="K886" s="1">
        <f t="shared" si="274"/>
        <v>4.2294870957634151E-2</v>
      </c>
      <c r="L886" s="1">
        <f t="shared" si="275"/>
        <v>4.1938736199536114E-2</v>
      </c>
      <c r="M886" s="1">
        <f t="shared" si="276"/>
        <v>9.1422393116765643E-2</v>
      </c>
      <c r="N886" s="1">
        <f t="shared" si="277"/>
        <v>9.1457938074857303E-2</v>
      </c>
      <c r="O886" s="1">
        <f t="shared" si="278"/>
        <v>9.1229493874445733E-2</v>
      </c>
      <c r="P886" s="1">
        <f t="shared" si="279"/>
        <v>9.126615585650516E-2</v>
      </c>
      <c r="Q886" s="1">
        <f t="shared" si="280"/>
        <v>1.3865879610510934</v>
      </c>
      <c r="T886">
        <v>0.59690133113453869</v>
      </c>
      <c r="U886">
        <f t="shared" si="287"/>
        <v>1.6753187634869</v>
      </c>
      <c r="V886" s="15">
        <f t="shared" si="281"/>
        <v>0</v>
      </c>
      <c r="W886" s="15">
        <f t="shared" si="282"/>
        <v>0</v>
      </c>
      <c r="X886" s="15">
        <f t="shared" si="283"/>
        <v>0</v>
      </c>
      <c r="Y886" s="15">
        <f t="shared" si="284"/>
        <v>0</v>
      </c>
      <c r="Z886" s="15">
        <f t="shared" si="285"/>
        <v>0</v>
      </c>
      <c r="AA886" s="15">
        <f t="shared" si="286"/>
        <v>0</v>
      </c>
      <c r="AC886" s="1"/>
      <c r="AD886" s="1"/>
      <c r="AE886" s="1"/>
    </row>
    <row r="887" spans="1:31">
      <c r="A887">
        <v>306</v>
      </c>
      <c r="B887">
        <f t="shared" si="266"/>
        <v>0.84007093109248687</v>
      </c>
      <c r="C887">
        <v>0.82290497340098701</v>
      </c>
      <c r="D887">
        <f t="shared" si="267"/>
        <v>1.2152071409498186</v>
      </c>
      <c r="E887" s="1">
        <f t="shared" si="268"/>
        <v>4.9193062944170252E-2</v>
      </c>
      <c r="F887" s="1">
        <f t="shared" si="269"/>
        <v>5.7063953015237506E-2</v>
      </c>
      <c r="G887" s="1">
        <f t="shared" si="270"/>
        <v>1.7709502659901316E-2</v>
      </c>
      <c r="H887" s="1">
        <f t="shared" si="271"/>
        <v>1.7160628491030699E-2</v>
      </c>
      <c r="I887" s="1">
        <f t="shared" si="272"/>
        <v>6.3067701955033306E-2</v>
      </c>
      <c r="J887" s="1">
        <f t="shared" si="273"/>
        <v>6.8326731860383294E-2</v>
      </c>
      <c r="K887" s="1">
        <f t="shared" si="274"/>
        <v>4.201478782089188E-2</v>
      </c>
      <c r="L887" s="1">
        <f t="shared" si="275"/>
        <v>4.1661011441904428E-2</v>
      </c>
      <c r="M887" s="1">
        <f t="shared" si="276"/>
        <v>9.0816979976759193E-2</v>
      </c>
      <c r="N887" s="1">
        <f t="shared" si="277"/>
        <v>9.0852289550674648E-2</v>
      </c>
      <c r="O887" s="1">
        <f t="shared" si="278"/>
        <v>9.062535814287298E-2</v>
      </c>
      <c r="P887" s="1">
        <f t="shared" si="279"/>
        <v>9.0661777343651828E-2</v>
      </c>
      <c r="Q887" s="1">
        <f t="shared" si="280"/>
        <v>1.3774057624367684</v>
      </c>
      <c r="T887">
        <v>0.33836809474023355</v>
      </c>
      <c r="U887">
        <f t="shared" si="287"/>
        <v>2.9553613817156839</v>
      </c>
      <c r="V887" s="15">
        <f t="shared" si="281"/>
        <v>6.84522071933234E-2</v>
      </c>
      <c r="W887" s="15">
        <f t="shared" si="282"/>
        <v>7.3134530523034647E-2</v>
      </c>
      <c r="X887" s="15">
        <f t="shared" si="283"/>
        <v>8.2499177182457126E-2</v>
      </c>
      <c r="Y887" s="15">
        <f t="shared" si="284"/>
        <v>9.6483821624860217E-2</v>
      </c>
      <c r="Z887" s="15">
        <f t="shared" si="285"/>
        <v>0.10058026062601373</v>
      </c>
      <c r="AA887" s="15">
        <f t="shared" si="286"/>
        <v>0.1087731386283208</v>
      </c>
      <c r="AC887" s="1"/>
      <c r="AD887" s="1"/>
      <c r="AE887" s="1"/>
    </row>
    <row r="888" spans="1:31">
      <c r="A888">
        <v>755</v>
      </c>
      <c r="B888">
        <f t="shared" si="266"/>
        <v>0.84024928355575357</v>
      </c>
      <c r="C888">
        <v>0.82389315819203024</v>
      </c>
      <c r="D888">
        <f t="shared" si="267"/>
        <v>1.2137496106830437</v>
      </c>
      <c r="E888" s="1">
        <f t="shared" si="268"/>
        <v>4.8918567168880461E-2</v>
      </c>
      <c r="F888" s="1">
        <f t="shared" si="269"/>
        <v>5.6745537915901367E-2</v>
      </c>
      <c r="G888" s="1">
        <f t="shared" si="270"/>
        <v>1.761068418079699E-2</v>
      </c>
      <c r="H888" s="1">
        <f t="shared" si="271"/>
        <v>1.7064872712874504E-2</v>
      </c>
      <c r="I888" s="1">
        <f t="shared" si="272"/>
        <v>6.2715786121625261E-2</v>
      </c>
      <c r="J888" s="1">
        <f t="shared" si="273"/>
        <v>6.794547080216623E-2</v>
      </c>
      <c r="K888" s="1">
        <f t="shared" si="274"/>
        <v>4.178034659958349E-2</v>
      </c>
      <c r="L888" s="1">
        <f t="shared" si="275"/>
        <v>4.1428544281888774E-2</v>
      </c>
      <c r="M888" s="1">
        <f t="shared" si="276"/>
        <v>9.0310224027114638E-2</v>
      </c>
      <c r="N888" s="1">
        <f t="shared" si="277"/>
        <v>9.0345336574695734E-2</v>
      </c>
      <c r="O888" s="1">
        <f t="shared" si="278"/>
        <v>9.011967143715649E-2</v>
      </c>
      <c r="P888" s="1">
        <f t="shared" si="279"/>
        <v>9.0155887419917258E-2</v>
      </c>
      <c r="Q888" s="1">
        <f t="shared" si="280"/>
        <v>1.3697198807286544</v>
      </c>
      <c r="T888">
        <v>0.17402228716493784</v>
      </c>
      <c r="U888">
        <f t="shared" si="287"/>
        <v>5.7463903979850741</v>
      </c>
      <c r="V888" s="15">
        <f t="shared" si="281"/>
        <v>8.103655697603801E-2</v>
      </c>
      <c r="W888" s="15">
        <f t="shared" si="282"/>
        <v>8.5152280574067998E-2</v>
      </c>
      <c r="X888" s="15">
        <f t="shared" si="283"/>
        <v>9.3383727770128003E-2</v>
      </c>
      <c r="Y888" s="15">
        <f t="shared" si="284"/>
        <v>0.11510585184602726</v>
      </c>
      <c r="Z888" s="15">
        <f t="shared" si="285"/>
        <v>0.11862676494792176</v>
      </c>
      <c r="AA888" s="15">
        <f t="shared" si="286"/>
        <v>0.12566859115171086</v>
      </c>
      <c r="AC888" s="1"/>
      <c r="AD888" s="1"/>
      <c r="AE888" s="1"/>
    </row>
    <row r="889" spans="1:31">
      <c r="A889">
        <v>397</v>
      </c>
      <c r="B889">
        <f t="shared" si="266"/>
        <v>0.84051349041364665</v>
      </c>
      <c r="C889">
        <v>0.82482455060329107</v>
      </c>
      <c r="D889">
        <f t="shared" si="267"/>
        <v>1.2123790438446365</v>
      </c>
      <c r="E889" s="1">
        <f t="shared" si="268"/>
        <v>4.8659847054641353E-2</v>
      </c>
      <c r="F889" s="1">
        <f t="shared" si="269"/>
        <v>5.6445422583383975E-2</v>
      </c>
      <c r="G889" s="1">
        <f t="shared" si="270"/>
        <v>1.7517544939670907E-2</v>
      </c>
      <c r="H889" s="1">
        <f t="shared" si="271"/>
        <v>1.6974620154934505E-2</v>
      </c>
      <c r="I889" s="1">
        <f t="shared" si="272"/>
        <v>6.2384095389679484E-2</v>
      </c>
      <c r="J889" s="1">
        <f t="shared" si="273"/>
        <v>6.7586121357051054E-2</v>
      </c>
      <c r="K889" s="1">
        <f t="shared" si="274"/>
        <v>4.1559379047368034E-2</v>
      </c>
      <c r="L889" s="1">
        <f t="shared" si="275"/>
        <v>4.1209437338867172E-2</v>
      </c>
      <c r="M889" s="1">
        <f t="shared" si="276"/>
        <v>8.9832592059755634E-2</v>
      </c>
      <c r="N889" s="1">
        <f t="shared" si="277"/>
        <v>8.9867518904384935E-2</v>
      </c>
      <c r="O889" s="1">
        <f t="shared" si="278"/>
        <v>8.9643047262762288E-2</v>
      </c>
      <c r="P889" s="1">
        <f t="shared" si="279"/>
        <v>8.9679071706732449E-2</v>
      </c>
      <c r="Q889" s="1">
        <f t="shared" si="280"/>
        <v>1.3624757175299589</v>
      </c>
      <c r="T889">
        <v>0.92366588639964275</v>
      </c>
      <c r="U889">
        <f t="shared" si="287"/>
        <v>1.0826425601771437</v>
      </c>
      <c r="V889" s="15">
        <f t="shared" si="281"/>
        <v>0</v>
      </c>
      <c r="W889" s="15">
        <f t="shared" si="282"/>
        <v>0</v>
      </c>
      <c r="X889" s="15">
        <f t="shared" si="283"/>
        <v>0</v>
      </c>
      <c r="Y889" s="15">
        <f t="shared" si="284"/>
        <v>0</v>
      </c>
      <c r="Z889" s="15">
        <f t="shared" si="285"/>
        <v>0</v>
      </c>
      <c r="AA889" s="15">
        <f t="shared" si="286"/>
        <v>0</v>
      </c>
      <c r="AC889" s="1"/>
      <c r="AD889" s="1"/>
      <c r="AE889" s="1"/>
    </row>
    <row r="890" spans="1:31">
      <c r="A890">
        <v>629</v>
      </c>
      <c r="B890">
        <f t="shared" si="266"/>
        <v>0.84411824448756689</v>
      </c>
      <c r="C890">
        <v>0.82720405621170101</v>
      </c>
      <c r="D890">
        <f t="shared" si="267"/>
        <v>1.2088915576401338</v>
      </c>
      <c r="E890" s="1">
        <f t="shared" si="268"/>
        <v>4.7998873274527482E-2</v>
      </c>
      <c r="F890" s="1">
        <f t="shared" si="269"/>
        <v>5.5678692998451906E-2</v>
      </c>
      <c r="G890" s="1">
        <f t="shared" si="270"/>
        <v>1.7279594378829907E-2</v>
      </c>
      <c r="H890" s="1">
        <f t="shared" si="271"/>
        <v>1.6744044443564005E-2</v>
      </c>
      <c r="I890" s="1">
        <f t="shared" si="272"/>
        <v>6.1536697507347526E-2</v>
      </c>
      <c r="J890" s="1">
        <f t="shared" si="273"/>
        <v>6.6668061461251538E-2</v>
      </c>
      <c r="K890" s="1">
        <f t="shared" si="274"/>
        <v>4.0994854875368941E-2</v>
      </c>
      <c r="L890" s="1">
        <f t="shared" si="275"/>
        <v>4.0649666619825442E-2</v>
      </c>
      <c r="M890" s="1">
        <f t="shared" si="276"/>
        <v>8.8612345972987505E-2</v>
      </c>
      <c r="N890" s="1">
        <f t="shared" si="277"/>
        <v>8.8646798386850523E-2</v>
      </c>
      <c r="O890" s="1">
        <f t="shared" si="278"/>
        <v>8.8425375868447009E-2</v>
      </c>
      <c r="P890" s="1">
        <f t="shared" si="279"/>
        <v>8.8460910972348317E-2</v>
      </c>
      <c r="Q890" s="1">
        <f t="shared" si="280"/>
        <v>1.34396845168677</v>
      </c>
      <c r="T890">
        <v>0.69131875123118547</v>
      </c>
      <c r="U890">
        <f t="shared" si="287"/>
        <v>1.4465107422865024</v>
      </c>
      <c r="V890" s="15">
        <f t="shared" si="281"/>
        <v>0</v>
      </c>
      <c r="W890" s="15">
        <f t="shared" si="282"/>
        <v>0</v>
      </c>
      <c r="X890" s="15">
        <f t="shared" si="283"/>
        <v>0</v>
      </c>
      <c r="Y890" s="15">
        <f t="shared" si="284"/>
        <v>0</v>
      </c>
      <c r="Z890" s="15">
        <f t="shared" si="285"/>
        <v>0</v>
      </c>
      <c r="AA890" s="15">
        <f t="shared" si="286"/>
        <v>0</v>
      </c>
      <c r="AC890" s="1"/>
      <c r="AD890" s="1"/>
      <c r="AE890" s="1"/>
    </row>
    <row r="891" spans="1:31">
      <c r="A891">
        <v>395</v>
      </c>
      <c r="B891">
        <f t="shared" si="266"/>
        <v>0.84688480591560711</v>
      </c>
      <c r="C891">
        <v>0.82978365700059153</v>
      </c>
      <c r="D891">
        <f t="shared" si="267"/>
        <v>1.2051334002102274</v>
      </c>
      <c r="E891" s="1">
        <f t="shared" si="268"/>
        <v>4.7282317499835663E-2</v>
      </c>
      <c r="F891" s="1">
        <f t="shared" si="269"/>
        <v>5.4847488299809399E-2</v>
      </c>
      <c r="G891" s="1">
        <f t="shared" si="270"/>
        <v>1.7021634299940858E-2</v>
      </c>
      <c r="H891" s="1">
        <f t="shared" si="271"/>
        <v>1.6494079373152656E-2</v>
      </c>
      <c r="I891" s="1">
        <f t="shared" si="272"/>
        <v>6.0618041027597325E-2</v>
      </c>
      <c r="J891" s="1">
        <f t="shared" si="273"/>
        <v>6.5672800923481323E-2</v>
      </c>
      <c r="K891" s="1">
        <f t="shared" si="274"/>
        <v>4.0382859259855464E-2</v>
      </c>
      <c r="L891" s="1">
        <f t="shared" si="275"/>
        <v>4.004282418023028E-2</v>
      </c>
      <c r="M891" s="1">
        <f t="shared" si="276"/>
        <v>8.7289488083120537E-2</v>
      </c>
      <c r="N891" s="1">
        <f t="shared" si="277"/>
        <v>8.7323426170825058E-2</v>
      </c>
      <c r="O891" s="1">
        <f t="shared" si="278"/>
        <v>8.710530917968462E-2</v>
      </c>
      <c r="P891" s="1">
        <f t="shared" si="279"/>
        <v>8.7140313794385527E-2</v>
      </c>
      <c r="Q891" s="1">
        <f t="shared" si="280"/>
        <v>1.3239048899953998</v>
      </c>
      <c r="T891">
        <v>0.33236832285178641</v>
      </c>
      <c r="U891">
        <f t="shared" si="287"/>
        <v>3.0087103109580382</v>
      </c>
      <c r="V891" s="15">
        <f t="shared" si="281"/>
        <v>6.8844703637334331E-2</v>
      </c>
      <c r="W891" s="15">
        <f t="shared" si="282"/>
        <v>7.3511386346543708E-2</v>
      </c>
      <c r="X891" s="15">
        <f t="shared" si="283"/>
        <v>8.2844751764962435E-2</v>
      </c>
      <c r="Y891" s="15">
        <f t="shared" si="284"/>
        <v>9.7064732907025844E-2</v>
      </c>
      <c r="Z891" s="15">
        <f t="shared" si="285"/>
        <v>0.10114554424159693</v>
      </c>
      <c r="AA891" s="15">
        <f t="shared" si="286"/>
        <v>0.10930716691073916</v>
      </c>
      <c r="AC891" s="1"/>
      <c r="AD891" s="1"/>
      <c r="AE891" s="1"/>
    </row>
    <row r="892" spans="1:31">
      <c r="A892">
        <v>43</v>
      </c>
      <c r="B892">
        <f t="shared" si="266"/>
        <v>0.84707138932238402</v>
      </c>
      <c r="C892">
        <v>0.83011899178249093</v>
      </c>
      <c r="D892">
        <f t="shared" si="267"/>
        <v>1.2046465746467605</v>
      </c>
      <c r="E892" s="1">
        <f t="shared" si="268"/>
        <v>4.7189168949308052E-2</v>
      </c>
      <c r="F892" s="1">
        <f t="shared" si="269"/>
        <v>5.4739435981197376E-2</v>
      </c>
      <c r="G892" s="1">
        <f t="shared" si="270"/>
        <v>1.6988100821750923E-2</v>
      </c>
      <c r="H892" s="1">
        <f t="shared" si="271"/>
        <v>1.6461585204779847E-2</v>
      </c>
      <c r="I892" s="1">
        <f t="shared" si="272"/>
        <v>6.0498620429028649E-2</v>
      </c>
      <c r="J892" s="1">
        <f t="shared" si="273"/>
        <v>6.5543422192941514E-2</v>
      </c>
      <c r="K892" s="1">
        <f t="shared" si="274"/>
        <v>4.0303302990088663E-2</v>
      </c>
      <c r="L892" s="1">
        <f t="shared" si="275"/>
        <v>3.9963937796722693E-2</v>
      </c>
      <c r="M892" s="1">
        <f t="shared" si="276"/>
        <v>8.7117523388469786E-2</v>
      </c>
      <c r="N892" s="1">
        <f t="shared" si="277"/>
        <v>8.7151394616429567E-2</v>
      </c>
      <c r="O892" s="1">
        <f t="shared" si="278"/>
        <v>8.6933707326764142E-2</v>
      </c>
      <c r="P892" s="1">
        <f t="shared" si="279"/>
        <v>8.6968642980608302E-2</v>
      </c>
      <c r="Q892" s="1">
        <f t="shared" si="280"/>
        <v>1.3212967305806265</v>
      </c>
      <c r="T892">
        <v>1.4438429843396938E-2</v>
      </c>
      <c r="U892">
        <f t="shared" si="287"/>
        <v>69.259608617160367</v>
      </c>
      <c r="V892" s="15">
        <f t="shared" si="281"/>
        <v>0.10304197639427203</v>
      </c>
      <c r="W892" s="15">
        <f t="shared" si="282"/>
        <v>0.1057753682453844</v>
      </c>
      <c r="X892" s="15">
        <f t="shared" si="283"/>
        <v>0.11124215194760896</v>
      </c>
      <c r="Y892" s="15">
        <f t="shared" si="284"/>
        <v>0.14763297309330198</v>
      </c>
      <c r="Z892" s="15">
        <f t="shared" si="285"/>
        <v>0.14970192057754048</v>
      </c>
      <c r="AA892" s="15">
        <f t="shared" si="286"/>
        <v>0.15383981554601778</v>
      </c>
      <c r="AC892" s="1"/>
      <c r="AD892" s="1"/>
      <c r="AE892" s="1"/>
    </row>
    <row r="893" spans="1:31">
      <c r="A893">
        <v>248</v>
      </c>
      <c r="B893">
        <f t="shared" si="266"/>
        <v>0.84903165049922358</v>
      </c>
      <c r="C893">
        <v>0.83348316433059844</v>
      </c>
      <c r="D893">
        <f t="shared" si="267"/>
        <v>1.1997842821494031</v>
      </c>
      <c r="E893" s="1">
        <f t="shared" si="268"/>
        <v>4.6254676574833758E-2</v>
      </c>
      <c r="F893" s="1">
        <f t="shared" si="269"/>
        <v>5.3655424826807158E-2</v>
      </c>
      <c r="G893" s="1">
        <f t="shared" si="270"/>
        <v>1.6651683566940162E-2</v>
      </c>
      <c r="H893" s="1">
        <f t="shared" si="271"/>
        <v>1.6135594597440461E-2</v>
      </c>
      <c r="I893" s="1">
        <f t="shared" si="272"/>
        <v>5.9300559502847183E-2</v>
      </c>
      <c r="J893" s="1">
        <f t="shared" si="273"/>
        <v>6.4245458494914753E-2</v>
      </c>
      <c r="K893" s="1">
        <f t="shared" si="274"/>
        <v>3.9505172187004944E-2</v>
      </c>
      <c r="L893" s="1">
        <f t="shared" si="275"/>
        <v>3.9172527480403674E-2</v>
      </c>
      <c r="M893" s="1">
        <f t="shared" si="276"/>
        <v>8.5392325358873922E-2</v>
      </c>
      <c r="N893" s="1">
        <f t="shared" si="277"/>
        <v>8.5425525831129667E-2</v>
      </c>
      <c r="O893" s="1">
        <f t="shared" si="278"/>
        <v>8.5212149427134454E-2</v>
      </c>
      <c r="P893" s="1">
        <f t="shared" si="279"/>
        <v>8.5246393246330099E-2</v>
      </c>
      <c r="Q893" s="1">
        <f t="shared" si="280"/>
        <v>1.2951309440953462</v>
      </c>
      <c r="T893">
        <v>0.71553102229817922</v>
      </c>
      <c r="U893">
        <f t="shared" si="287"/>
        <v>1.3975634442629039</v>
      </c>
      <c r="V893" s="15">
        <f t="shared" si="281"/>
        <v>0</v>
      </c>
      <c r="W893" s="15">
        <f t="shared" si="282"/>
        <v>0</v>
      </c>
      <c r="X893" s="15">
        <f t="shared" si="283"/>
        <v>0</v>
      </c>
      <c r="Y893" s="15">
        <f t="shared" si="284"/>
        <v>0</v>
      </c>
      <c r="Z893" s="15">
        <f t="shared" si="285"/>
        <v>0</v>
      </c>
      <c r="AA893" s="15">
        <f t="shared" si="286"/>
        <v>0</v>
      </c>
      <c r="AC893" s="1"/>
      <c r="AD893" s="1"/>
      <c r="AE893" s="1"/>
    </row>
    <row r="894" spans="1:31">
      <c r="A894">
        <v>367</v>
      </c>
      <c r="B894">
        <f t="shared" si="266"/>
        <v>0.85242538929513634</v>
      </c>
      <c r="C894">
        <v>0.8365312911756384</v>
      </c>
      <c r="D894">
        <f t="shared" si="267"/>
        <v>1.1954125452911954</v>
      </c>
      <c r="E894" s="1">
        <f t="shared" si="268"/>
        <v>4.5407974673433771E-2</v>
      </c>
      <c r="F894" s="1">
        <f t="shared" si="269"/>
        <v>5.2673250621183193E-2</v>
      </c>
      <c r="G894" s="1">
        <f t="shared" si="270"/>
        <v>1.6346870882436165E-2</v>
      </c>
      <c r="H894" s="1">
        <f t="shared" si="271"/>
        <v>1.5840229033619715E-2</v>
      </c>
      <c r="I894" s="1">
        <f t="shared" si="272"/>
        <v>5.8215049880832814E-2</v>
      </c>
      <c r="J894" s="1">
        <f t="shared" si="273"/>
        <v>6.3069431422799083E-2</v>
      </c>
      <c r="K894" s="1">
        <f t="shared" si="274"/>
        <v>3.8782021429443037E-2</v>
      </c>
      <c r="L894" s="1">
        <f t="shared" si="275"/>
        <v>3.8455465856447879E-2</v>
      </c>
      <c r="M894" s="1">
        <f t="shared" si="276"/>
        <v>8.3829200295630846E-2</v>
      </c>
      <c r="N894" s="1">
        <f t="shared" si="277"/>
        <v>8.386179302603064E-2</v>
      </c>
      <c r="O894" s="1">
        <f t="shared" si="278"/>
        <v>8.3652322523456779E-2</v>
      </c>
      <c r="P894" s="1">
        <f t="shared" si="279"/>
        <v>8.3685939502104123E-2</v>
      </c>
      <c r="Q894" s="1">
        <f t="shared" si="280"/>
        <v>1.2714232908561467</v>
      </c>
      <c r="T894">
        <v>0.83866190828520992</v>
      </c>
      <c r="U894">
        <f t="shared" si="287"/>
        <v>1.1923756046637124</v>
      </c>
      <c r="V894" s="15">
        <f t="shared" si="281"/>
        <v>0</v>
      </c>
      <c r="W894" s="15">
        <f t="shared" si="282"/>
        <v>0</v>
      </c>
      <c r="X894" s="15">
        <f t="shared" si="283"/>
        <v>0</v>
      </c>
      <c r="Y894" s="15">
        <f t="shared" si="284"/>
        <v>0</v>
      </c>
      <c r="Z894" s="15">
        <f t="shared" si="285"/>
        <v>0</v>
      </c>
      <c r="AA894" s="15">
        <f t="shared" si="286"/>
        <v>0</v>
      </c>
      <c r="AC894" s="1"/>
      <c r="AD894" s="1"/>
      <c r="AE894" s="1"/>
    </row>
    <row r="895" spans="1:31">
      <c r="A895">
        <v>927</v>
      </c>
      <c r="B895">
        <f t="shared" si="266"/>
        <v>0.85303207096259748</v>
      </c>
      <c r="C895">
        <v>0.83759664015889501</v>
      </c>
      <c r="D895">
        <f t="shared" si="267"/>
        <v>1.1938920860645961</v>
      </c>
      <c r="E895" s="1">
        <f t="shared" si="268"/>
        <v>4.5112044400306917E-2</v>
      </c>
      <c r="F895" s="1">
        <f t="shared" si="269"/>
        <v>5.232997150435606E-2</v>
      </c>
      <c r="G895" s="1">
        <f t="shared" si="270"/>
        <v>1.624033598411051E-2</v>
      </c>
      <c r="H895" s="1">
        <f t="shared" si="271"/>
        <v>1.5736995992771202E-2</v>
      </c>
      <c r="I895" s="1">
        <f t="shared" si="272"/>
        <v>5.7835654064674447E-2</v>
      </c>
      <c r="J895" s="1">
        <f t="shared" si="273"/>
        <v>6.2658398907010138E-2</v>
      </c>
      <c r="K895" s="1">
        <f t="shared" si="274"/>
        <v>3.8529273442408501E-2</v>
      </c>
      <c r="L895" s="1">
        <f t="shared" si="275"/>
        <v>3.8204846078843557E-2</v>
      </c>
      <c r="M895" s="1">
        <f t="shared" si="276"/>
        <v>8.3282873393409285E-2</v>
      </c>
      <c r="N895" s="1">
        <f t="shared" si="277"/>
        <v>8.3315253712318016E-2</v>
      </c>
      <c r="O895" s="1">
        <f t="shared" si="278"/>
        <v>8.3107148359004457E-2</v>
      </c>
      <c r="P895" s="1">
        <f t="shared" si="279"/>
        <v>8.3140546250988212E-2</v>
      </c>
      <c r="Q895" s="1">
        <f t="shared" si="280"/>
        <v>1.263137243208595</v>
      </c>
      <c r="T895">
        <v>0.23862225606054377</v>
      </c>
      <c r="U895">
        <f t="shared" si="287"/>
        <v>4.1907239354332386</v>
      </c>
      <c r="V895" s="15">
        <f t="shared" si="281"/>
        <v>7.4977436437797126E-2</v>
      </c>
      <c r="W895" s="15">
        <f t="shared" si="282"/>
        <v>7.9399735413510086E-2</v>
      </c>
      <c r="X895" s="15">
        <f t="shared" si="283"/>
        <v>8.8244333364936103E-2</v>
      </c>
      <c r="Y895" s="15">
        <f t="shared" si="284"/>
        <v>0.10614143596677827</v>
      </c>
      <c r="Z895" s="15">
        <f t="shared" si="285"/>
        <v>0.10997806597204782</v>
      </c>
      <c r="AA895" s="15">
        <f t="shared" si="286"/>
        <v>0.11765132598258701</v>
      </c>
      <c r="AC895" s="1"/>
      <c r="AD895" s="1"/>
      <c r="AE895" s="1"/>
    </row>
    <row r="896" spans="1:31">
      <c r="A896">
        <v>547</v>
      </c>
      <c r="B896">
        <f t="shared" si="266"/>
        <v>0.85459661711755786</v>
      </c>
      <c r="C896">
        <v>0.83977038996317099</v>
      </c>
      <c r="D896">
        <f t="shared" si="267"/>
        <v>1.1908016905000141</v>
      </c>
      <c r="E896" s="1">
        <f t="shared" si="268"/>
        <v>4.4508225010230273E-2</v>
      </c>
      <c r="F896" s="1">
        <f t="shared" si="269"/>
        <v>5.1629541011867119E-2</v>
      </c>
      <c r="G896" s="1">
        <f t="shared" si="270"/>
        <v>1.6022961003682917E-2</v>
      </c>
      <c r="H896" s="1">
        <f t="shared" si="271"/>
        <v>1.55263581587224E-2</v>
      </c>
      <c r="I896" s="1">
        <f t="shared" si="272"/>
        <v>5.7061530660908244E-2</v>
      </c>
      <c r="J896" s="1">
        <f t="shared" si="273"/>
        <v>6.1819723632720092E-2</v>
      </c>
      <c r="K896" s="1">
        <f t="shared" si="274"/>
        <v>3.8013563664690386E-2</v>
      </c>
      <c r="L896" s="1">
        <f t="shared" si="275"/>
        <v>3.769347872309714E-2</v>
      </c>
      <c r="M896" s="1">
        <f t="shared" si="276"/>
        <v>8.216814196226413E-2</v>
      </c>
      <c r="N896" s="1">
        <f t="shared" si="277"/>
        <v>8.2200088874425814E-2</v>
      </c>
      <c r="O896" s="1">
        <f t="shared" si="278"/>
        <v>8.1994768986705324E-2</v>
      </c>
      <c r="P896" s="1">
        <f t="shared" si="279"/>
        <v>8.2027719851846537E-2</v>
      </c>
      <c r="Q896" s="1">
        <f t="shared" si="280"/>
        <v>1.2462303002864488</v>
      </c>
      <c r="T896">
        <v>0.64541806332989682</v>
      </c>
      <c r="U896">
        <f t="shared" si="287"/>
        <v>1.5493833482761752</v>
      </c>
      <c r="V896" s="15">
        <f t="shared" si="281"/>
        <v>0</v>
      </c>
      <c r="W896" s="15">
        <f t="shared" si="282"/>
        <v>0</v>
      </c>
      <c r="X896" s="15">
        <f t="shared" si="283"/>
        <v>0</v>
      </c>
      <c r="Y896" s="15">
        <f t="shared" si="284"/>
        <v>0</v>
      </c>
      <c r="Z896" s="15">
        <f t="shared" si="285"/>
        <v>0</v>
      </c>
      <c r="AA896" s="15">
        <f t="shared" si="286"/>
        <v>0</v>
      </c>
      <c r="AC896" s="1"/>
      <c r="AD896" s="1"/>
      <c r="AE896" s="1"/>
    </row>
    <row r="897" spans="1:31">
      <c r="A897">
        <v>537</v>
      </c>
      <c r="B897">
        <f t="shared" si="266"/>
        <v>0.85481178584331163</v>
      </c>
      <c r="C897">
        <v>0.84005674377647299</v>
      </c>
      <c r="D897">
        <f t="shared" si="267"/>
        <v>1.1903957767239657</v>
      </c>
      <c r="E897" s="1">
        <f t="shared" si="268"/>
        <v>4.4428682284313042E-2</v>
      </c>
      <c r="F897" s="1">
        <f t="shared" si="269"/>
        <v>5.1537271449803135E-2</v>
      </c>
      <c r="G897" s="1">
        <f t="shared" si="270"/>
        <v>1.5994325622352715E-2</v>
      </c>
      <c r="H897" s="1">
        <f t="shared" si="271"/>
        <v>1.5498610279510674E-2</v>
      </c>
      <c r="I897" s="1">
        <f t="shared" si="272"/>
        <v>5.6959553336655588E-2</v>
      </c>
      <c r="J897" s="1">
        <f t="shared" si="273"/>
        <v>6.1709242719763746E-2</v>
      </c>
      <c r="K897" s="1">
        <f t="shared" si="274"/>
        <v>3.7945627851140806E-2</v>
      </c>
      <c r="L897" s="1">
        <f t="shared" si="275"/>
        <v>3.7626114948283634E-2</v>
      </c>
      <c r="M897" s="1">
        <f t="shared" si="276"/>
        <v>8.2021295441340625E-2</v>
      </c>
      <c r="N897" s="1">
        <f t="shared" si="277"/>
        <v>8.2053185259684802E-2</v>
      </c>
      <c r="O897" s="1">
        <f t="shared" si="278"/>
        <v>8.1848232308717017E-2</v>
      </c>
      <c r="P897" s="1">
        <f t="shared" si="279"/>
        <v>8.1881124285829499E-2</v>
      </c>
      <c r="Q897" s="1">
        <f t="shared" si="280"/>
        <v>1.2440031039607664</v>
      </c>
      <c r="T897">
        <v>0.23776746943056914</v>
      </c>
      <c r="U897">
        <f t="shared" si="287"/>
        <v>4.2057898096611215</v>
      </c>
      <c r="V897" s="15">
        <f t="shared" si="281"/>
        <v>7.5033355349197611E-2</v>
      </c>
      <c r="W897" s="15">
        <f t="shared" si="282"/>
        <v>7.9453426007978181E-2</v>
      </c>
      <c r="X897" s="15">
        <f t="shared" si="283"/>
        <v>8.8293567325539404E-2</v>
      </c>
      <c r="Y897" s="15">
        <f t="shared" si="284"/>
        <v>0.10622419831281892</v>
      </c>
      <c r="Z897" s="15">
        <f t="shared" si="285"/>
        <v>0.11005860184669909</v>
      </c>
      <c r="AA897" s="15">
        <f t="shared" si="286"/>
        <v>0.11772740891445956</v>
      </c>
      <c r="AC897" s="1"/>
      <c r="AD897" s="1"/>
      <c r="AE897" s="1"/>
    </row>
    <row r="898" spans="1:31">
      <c r="A898">
        <v>572</v>
      </c>
      <c r="B898">
        <f t="shared" si="266"/>
        <v>0.85496849938563413</v>
      </c>
      <c r="C898">
        <v>0.84022961556689479</v>
      </c>
      <c r="D898">
        <f t="shared" si="267"/>
        <v>1.1901508605184188</v>
      </c>
      <c r="E898" s="1">
        <f t="shared" si="268"/>
        <v>4.4380662342529215E-2</v>
      </c>
      <c r="F898" s="1">
        <f t="shared" si="269"/>
        <v>5.1481568317333887E-2</v>
      </c>
      <c r="G898" s="1">
        <f t="shared" si="270"/>
        <v>1.5977038443310526E-2</v>
      </c>
      <c r="H898" s="1">
        <f t="shared" si="271"/>
        <v>1.5481858885476762E-2</v>
      </c>
      <c r="I898" s="1">
        <f t="shared" si="272"/>
        <v>5.6897989628379164E-2</v>
      </c>
      <c r="J898" s="1">
        <f t="shared" si="273"/>
        <v>6.1642545395184933E-2</v>
      </c>
      <c r="K898" s="1">
        <f t="shared" si="274"/>
        <v>3.7904615002083031E-2</v>
      </c>
      <c r="L898" s="1">
        <f t="shared" si="275"/>
        <v>3.7585447438997471E-2</v>
      </c>
      <c r="M898" s="1">
        <f t="shared" si="276"/>
        <v>8.1932644200078897E-2</v>
      </c>
      <c r="N898" s="1">
        <f t="shared" si="277"/>
        <v>8.1964499550886749E-2</v>
      </c>
      <c r="O898" s="1">
        <f t="shared" si="278"/>
        <v>8.1759768119627985E-2</v>
      </c>
      <c r="P898" s="1">
        <f t="shared" si="279"/>
        <v>8.1792624546038917E-2</v>
      </c>
      <c r="Q898" s="1">
        <f t="shared" si="280"/>
        <v>1.2426585455908192</v>
      </c>
      <c r="T898">
        <v>0.66187288544617762</v>
      </c>
      <c r="U898">
        <f t="shared" si="287"/>
        <v>1.5108641281261828</v>
      </c>
      <c r="V898" s="15">
        <f t="shared" si="281"/>
        <v>0</v>
      </c>
      <c r="W898" s="15">
        <f t="shared" si="282"/>
        <v>0</v>
      </c>
      <c r="X898" s="15">
        <f t="shared" si="283"/>
        <v>0</v>
      </c>
      <c r="Y898" s="15">
        <f t="shared" si="284"/>
        <v>0</v>
      </c>
      <c r="Z898" s="15">
        <f t="shared" si="285"/>
        <v>0</v>
      </c>
      <c r="AA898" s="15">
        <f t="shared" si="286"/>
        <v>0</v>
      </c>
      <c r="AC898" s="1"/>
      <c r="AD898" s="1"/>
      <c r="AE898" s="1"/>
    </row>
    <row r="899" spans="1:31">
      <c r="A899">
        <v>525</v>
      </c>
      <c r="B899">
        <f t="shared" si="266"/>
        <v>0.85522591109603974</v>
      </c>
      <c r="C899">
        <v>0.84051356820170775</v>
      </c>
      <c r="D899">
        <f t="shared" si="267"/>
        <v>1.189748789111776</v>
      </c>
      <c r="E899" s="1">
        <f t="shared" si="268"/>
        <v>4.4301786610636718E-2</v>
      </c>
      <c r="F899" s="1">
        <f t="shared" si="269"/>
        <v>5.1390072468338599E-2</v>
      </c>
      <c r="G899" s="1">
        <f t="shared" si="270"/>
        <v>1.5948643179829233E-2</v>
      </c>
      <c r="H899" s="1">
        <f t="shared" si="271"/>
        <v>1.545434368209328E-2</v>
      </c>
      <c r="I899" s="1">
        <f t="shared" si="272"/>
        <v>5.6796867420231101E-2</v>
      </c>
      <c r="J899" s="1">
        <f t="shared" si="273"/>
        <v>6.1532990903946483E-2</v>
      </c>
      <c r="K899" s="1">
        <f t="shared" si="274"/>
        <v>3.7837248854473121E-2</v>
      </c>
      <c r="L899" s="1">
        <f t="shared" si="275"/>
        <v>3.7518648533375554E-2</v>
      </c>
      <c r="M899" s="1">
        <f t="shared" si="276"/>
        <v>8.1787029039419701E-2</v>
      </c>
      <c r="N899" s="1">
        <f t="shared" si="277"/>
        <v>8.1818827775161973E-2</v>
      </c>
      <c r="O899" s="1">
        <f t="shared" si="278"/>
        <v>8.1614460203760897E-2</v>
      </c>
      <c r="P899" s="1">
        <f t="shared" si="279"/>
        <v>8.1647258235940046E-2</v>
      </c>
      <c r="Q899" s="1">
        <f t="shared" si="280"/>
        <v>1.2404500250978288</v>
      </c>
      <c r="T899">
        <v>0.36081942898006392</v>
      </c>
      <c r="U899">
        <f t="shared" si="287"/>
        <v>2.7714693824185734</v>
      </c>
      <c r="V899" s="15">
        <f t="shared" si="281"/>
        <v>6.6983473212052808E-2</v>
      </c>
      <c r="W899" s="15">
        <f t="shared" si="282"/>
        <v>7.1724324233338826E-2</v>
      </c>
      <c r="X899" s="15">
        <f t="shared" si="283"/>
        <v>8.1206026275910809E-2</v>
      </c>
      <c r="Y899" s="15">
        <f t="shared" si="284"/>
        <v>9.4310033420561601E-2</v>
      </c>
      <c r="Z899" s="15">
        <f t="shared" si="285"/>
        <v>9.8464951639317747E-2</v>
      </c>
      <c r="AA899" s="15">
        <f t="shared" si="286"/>
        <v>0.10677478807683004</v>
      </c>
      <c r="AC899" s="1"/>
      <c r="AD899" s="1"/>
      <c r="AE899" s="1"/>
    </row>
    <row r="900" spans="1:31">
      <c r="A900">
        <v>744</v>
      </c>
      <c r="B900">
        <f t="shared" si="266"/>
        <v>0.85905666630108479</v>
      </c>
      <c r="C900">
        <v>0.84275602233162461</v>
      </c>
      <c r="D900">
        <f t="shared" si="267"/>
        <v>1.1865830364917878</v>
      </c>
      <c r="E900" s="1">
        <f t="shared" si="268"/>
        <v>4.3678882685659809E-2</v>
      </c>
      <c r="F900" s="1">
        <f t="shared" si="269"/>
        <v>5.0667503915365397E-2</v>
      </c>
      <c r="G900" s="1">
        <f t="shared" si="270"/>
        <v>1.5724397766837553E-2</v>
      </c>
      <c r="H900" s="1">
        <f t="shared" si="271"/>
        <v>1.5237048352175223E-2</v>
      </c>
      <c r="I900" s="1">
        <f t="shared" si="272"/>
        <v>5.5998276791067614E-2</v>
      </c>
      <c r="J900" s="1">
        <f t="shared" si="273"/>
        <v>6.0667808154399427E-2</v>
      </c>
      <c r="K900" s="1">
        <f t="shared" si="274"/>
        <v>3.7305239366257126E-2</v>
      </c>
      <c r="L900" s="1">
        <f t="shared" si="275"/>
        <v>3.6991118715296895E-2</v>
      </c>
      <c r="M900" s="1">
        <f t="shared" si="276"/>
        <v>8.0637065001883057E-2</v>
      </c>
      <c r="N900" s="1">
        <f t="shared" si="277"/>
        <v>8.0668416632467321E-2</v>
      </c>
      <c r="O900" s="1">
        <f t="shared" si="278"/>
        <v>8.0466922565096244E-2</v>
      </c>
      <c r="P900" s="1">
        <f t="shared" si="279"/>
        <v>8.0499259441540183E-2</v>
      </c>
      <c r="Q900" s="1">
        <f t="shared" si="280"/>
        <v>1.2230087151984756</v>
      </c>
      <c r="T900">
        <v>0.41507408265765056</v>
      </c>
      <c r="U900">
        <f t="shared" si="287"/>
        <v>2.4092084805612668</v>
      </c>
      <c r="V900" s="15">
        <f t="shared" si="281"/>
        <v>6.3434211834215798E-2</v>
      </c>
      <c r="W900" s="15">
        <f t="shared" si="282"/>
        <v>6.8316497640758561E-2</v>
      </c>
      <c r="X900" s="15">
        <f t="shared" si="283"/>
        <v>7.8081069253843963E-2</v>
      </c>
      <c r="Y900" s="15">
        <f t="shared" si="284"/>
        <v>8.9056976968201071E-2</v>
      </c>
      <c r="Z900" s="15">
        <f t="shared" si="285"/>
        <v>9.335321283269149E-2</v>
      </c>
      <c r="AA900" s="15">
        <f t="shared" si="286"/>
        <v>0.10194568456167233</v>
      </c>
      <c r="AC900" s="1"/>
      <c r="AD900" s="1"/>
      <c r="AE900" s="1"/>
    </row>
    <row r="901" spans="1:31">
      <c r="A901">
        <v>454</v>
      </c>
      <c r="B901">
        <f t="shared" si="266"/>
        <v>0.85934594839766709</v>
      </c>
      <c r="C901">
        <v>0.84296018219387803</v>
      </c>
      <c r="D901">
        <f t="shared" si="267"/>
        <v>1.1862956532506814</v>
      </c>
      <c r="E901" s="1">
        <f t="shared" si="268"/>
        <v>4.362217161281165E-2</v>
      </c>
      <c r="F901" s="1">
        <f t="shared" si="269"/>
        <v>5.0601719070861528E-2</v>
      </c>
      <c r="G901" s="1">
        <f t="shared" si="270"/>
        <v>1.5703981780612206E-2</v>
      </c>
      <c r="H901" s="1">
        <f t="shared" si="271"/>
        <v>1.5217265122706866E-2</v>
      </c>
      <c r="I901" s="1">
        <f t="shared" si="272"/>
        <v>5.5925570664921376E-2</v>
      </c>
      <c r="J901" s="1">
        <f t="shared" si="273"/>
        <v>6.0589039278543699E-2</v>
      </c>
      <c r="K901" s="1">
        <f t="shared" si="274"/>
        <v>3.7256803600110272E-2</v>
      </c>
      <c r="L901" s="1">
        <f t="shared" si="275"/>
        <v>3.694309079197991E-2</v>
      </c>
      <c r="M901" s="1">
        <f t="shared" si="276"/>
        <v>8.0532368769140716E-2</v>
      </c>
      <c r="N901" s="1">
        <f t="shared" si="277"/>
        <v>8.056367969390793E-2</v>
      </c>
      <c r="O901" s="1">
        <f t="shared" si="278"/>
        <v>8.0362447239106405E-2</v>
      </c>
      <c r="P901" s="1">
        <f t="shared" si="279"/>
        <v>8.0394742130525942E-2</v>
      </c>
      <c r="Q901" s="1">
        <f t="shared" si="280"/>
        <v>1.2214208051587274</v>
      </c>
      <c r="T901">
        <v>0.33622331502306912</v>
      </c>
      <c r="U901">
        <f t="shared" si="287"/>
        <v>2.9742137303339224</v>
      </c>
      <c r="V901" s="15">
        <f t="shared" si="281"/>
        <v>6.8592515596346992E-2</v>
      </c>
      <c r="W901" s="15">
        <f t="shared" si="282"/>
        <v>7.3269247765887474E-2</v>
      </c>
      <c r="X901" s="15">
        <f t="shared" si="283"/>
        <v>8.2622712104968452E-2</v>
      </c>
      <c r="Y901" s="15">
        <f t="shared" si="284"/>
        <v>9.6691483975800574E-2</v>
      </c>
      <c r="Z901" s="15">
        <f t="shared" si="285"/>
        <v>0.10078233644751</v>
      </c>
      <c r="AA901" s="15">
        <f t="shared" si="286"/>
        <v>0.10896404139092891</v>
      </c>
      <c r="AC901" s="1"/>
      <c r="AD901" s="1"/>
      <c r="AE901" s="1"/>
    </row>
    <row r="902" spans="1:31">
      <c r="A902">
        <v>374</v>
      </c>
      <c r="B902">
        <f t="shared" si="266"/>
        <v>0.86275633818814457</v>
      </c>
      <c r="C902">
        <v>0.84603317057093819</v>
      </c>
      <c r="D902">
        <f t="shared" si="267"/>
        <v>1.1819867527477186</v>
      </c>
      <c r="E902" s="1">
        <f t="shared" si="268"/>
        <v>4.2768563730294945E-2</v>
      </c>
      <c r="F902" s="1">
        <f t="shared" si="269"/>
        <v>4.9611533927142126E-2</v>
      </c>
      <c r="G902" s="1">
        <f t="shared" si="270"/>
        <v>1.5396682942906192E-2</v>
      </c>
      <c r="H902" s="1">
        <f t="shared" si="271"/>
        <v>1.4919490459529075E-2</v>
      </c>
      <c r="I902" s="1">
        <f t="shared" si="272"/>
        <v>5.4831207266933135E-2</v>
      </c>
      <c r="J902" s="1">
        <f t="shared" si="273"/>
        <v>5.9403420140153818E-2</v>
      </c>
      <c r="K902" s="1">
        <f t="shared" si="274"/>
        <v>3.6527754585478217E-2</v>
      </c>
      <c r="L902" s="1">
        <f t="shared" si="275"/>
        <v>3.62201805759442E-2</v>
      </c>
      <c r="M902" s="1">
        <f t="shared" si="276"/>
        <v>7.895649434020946E-2</v>
      </c>
      <c r="N902" s="1">
        <f t="shared" si="277"/>
        <v>7.8987192566176867E-2</v>
      </c>
      <c r="O902" s="1">
        <f t="shared" si="278"/>
        <v>7.8789897870622239E-2</v>
      </c>
      <c r="P902" s="1">
        <f t="shared" si="279"/>
        <v>7.8821560808774394E-2</v>
      </c>
      <c r="Q902" s="1">
        <f t="shared" si="280"/>
        <v>1.197519784448259</v>
      </c>
      <c r="T902">
        <v>2.3671669123591421E-2</v>
      </c>
      <c r="U902">
        <f t="shared" si="287"/>
        <v>42.244591827425893</v>
      </c>
      <c r="V902" s="15">
        <f t="shared" si="281"/>
        <v>0.10304197639427203</v>
      </c>
      <c r="W902" s="15">
        <f t="shared" si="282"/>
        <v>0.1057753682453844</v>
      </c>
      <c r="X902" s="15">
        <f t="shared" si="283"/>
        <v>0.11124215194760896</v>
      </c>
      <c r="Y902" s="15">
        <f t="shared" si="284"/>
        <v>0.14763297309330198</v>
      </c>
      <c r="Z902" s="15">
        <f t="shared" si="285"/>
        <v>0.14970192057754048</v>
      </c>
      <c r="AA902" s="15">
        <f t="shared" si="286"/>
        <v>0.15383981554601778</v>
      </c>
      <c r="AC902" s="1"/>
      <c r="AD902" s="1"/>
      <c r="AE902" s="1"/>
    </row>
    <row r="903" spans="1:31">
      <c r="A903">
        <v>869</v>
      </c>
      <c r="B903">
        <f t="shared" si="266"/>
        <v>0.86406585175167572</v>
      </c>
      <c r="C903">
        <v>0.84636811586102723</v>
      </c>
      <c r="D903">
        <f t="shared" si="267"/>
        <v>1.1815189883218604</v>
      </c>
      <c r="E903" s="1">
        <f t="shared" si="268"/>
        <v>4.2675523371936863E-2</v>
      </c>
      <c r="F903" s="1">
        <f t="shared" si="269"/>
        <v>4.9503607111446774E-2</v>
      </c>
      <c r="G903" s="1">
        <f t="shared" si="270"/>
        <v>1.5363188413897291E-2</v>
      </c>
      <c r="H903" s="1">
        <f t="shared" si="271"/>
        <v>1.488703403317751E-2</v>
      </c>
      <c r="I903" s="1">
        <f t="shared" si="272"/>
        <v>5.4711925375553971E-2</v>
      </c>
      <c r="J903" s="1">
        <f t="shared" si="273"/>
        <v>5.9274191683187427E-2</v>
      </c>
      <c r="K903" s="1">
        <f t="shared" si="274"/>
        <v>3.6448290720428156E-2</v>
      </c>
      <c r="L903" s="1">
        <f t="shared" si="275"/>
        <v>3.6141385819079525E-2</v>
      </c>
      <c r="M903" s="1">
        <f t="shared" si="276"/>
        <v>7.8784729382788021E-2</v>
      </c>
      <c r="N903" s="1">
        <f t="shared" si="277"/>
        <v>7.8815360826668457E-2</v>
      </c>
      <c r="O903" s="1">
        <f t="shared" si="278"/>
        <v>7.8618495333489913E-2</v>
      </c>
      <c r="P903" s="1">
        <f t="shared" si="279"/>
        <v>7.8650089390883526E-2</v>
      </c>
      <c r="Q903" s="1">
        <f t="shared" si="280"/>
        <v>1.1949146544142328</v>
      </c>
      <c r="T903">
        <v>0.16175193023779499</v>
      </c>
      <c r="U903">
        <f t="shared" si="287"/>
        <v>6.1823064400522361</v>
      </c>
      <c r="V903" s="15">
        <f t="shared" si="281"/>
        <v>8.2705107850725101E-2</v>
      </c>
      <c r="W903" s="15">
        <f t="shared" si="282"/>
        <v>8.6723579974037582E-2</v>
      </c>
      <c r="X903" s="15">
        <f t="shared" si="283"/>
        <v>9.4760524220662543E-2</v>
      </c>
      <c r="Y903" s="15">
        <f t="shared" si="284"/>
        <v>0.11757380083228951</v>
      </c>
      <c r="Z903" s="15">
        <f t="shared" si="285"/>
        <v>0.12099310514804339</v>
      </c>
      <c r="AA903" s="15">
        <f t="shared" si="286"/>
        <v>0.12783171377955116</v>
      </c>
      <c r="AC903" s="1"/>
      <c r="AD903" s="1"/>
      <c r="AE903" s="1"/>
    </row>
    <row r="904" spans="1:31">
      <c r="A904">
        <v>179</v>
      </c>
      <c r="B904">
        <f t="shared" si="266"/>
        <v>0.86597689617859586</v>
      </c>
      <c r="C904">
        <v>0.84690979160660862</v>
      </c>
      <c r="D904">
        <f t="shared" si="267"/>
        <v>1.1807632995988575</v>
      </c>
      <c r="E904" s="1">
        <f t="shared" si="268"/>
        <v>4.2525057887053158E-2</v>
      </c>
      <c r="F904" s="1">
        <f t="shared" si="269"/>
        <v>4.9329067148981665E-2</v>
      </c>
      <c r="G904" s="1">
        <f t="shared" si="270"/>
        <v>1.5309020839339146E-2</v>
      </c>
      <c r="H904" s="1">
        <f t="shared" si="271"/>
        <v>1.4834545285124914E-2</v>
      </c>
      <c r="I904" s="1">
        <f t="shared" si="272"/>
        <v>5.4519021909349041E-2</v>
      </c>
      <c r="J904" s="1">
        <f t="shared" si="273"/>
        <v>5.9065202565116826E-2</v>
      </c>
      <c r="K904" s="1">
        <f t="shared" si="274"/>
        <v>3.6319781230605752E-2</v>
      </c>
      <c r="L904" s="1">
        <f t="shared" si="275"/>
        <v>3.6013958415454211E-2</v>
      </c>
      <c r="M904" s="1">
        <f t="shared" si="276"/>
        <v>7.8506949953940752E-2</v>
      </c>
      <c r="N904" s="1">
        <f t="shared" si="277"/>
        <v>7.8537473397386925E-2</v>
      </c>
      <c r="O904" s="1">
        <f t="shared" si="278"/>
        <v>7.8341302013138936E-2</v>
      </c>
      <c r="P904" s="1">
        <f t="shared" si="279"/>
        <v>7.837278467611275E-2</v>
      </c>
      <c r="Q904" s="1">
        <f t="shared" si="280"/>
        <v>1.1907016208374888</v>
      </c>
      <c r="T904">
        <v>0.3578306799546912</v>
      </c>
      <c r="U904">
        <f t="shared" si="287"/>
        <v>2.7946178346882409</v>
      </c>
      <c r="V904" s="15">
        <f t="shared" si="281"/>
        <v>6.7178992872851701E-2</v>
      </c>
      <c r="W904" s="15">
        <f t="shared" si="282"/>
        <v>7.1912052616377439E-2</v>
      </c>
      <c r="X904" s="15">
        <f t="shared" si="283"/>
        <v>8.1378172103428861E-2</v>
      </c>
      <c r="Y904" s="15">
        <f t="shared" si="284"/>
        <v>9.4599410760347419E-2</v>
      </c>
      <c r="Z904" s="15">
        <f t="shared" si="285"/>
        <v>9.8746544154257626E-2</v>
      </c>
      <c r="AA904" s="15">
        <f t="shared" si="286"/>
        <v>0.10704081094207807</v>
      </c>
      <c r="AC904" s="1"/>
      <c r="AD904" s="1"/>
      <c r="AE904" s="1"/>
    </row>
    <row r="905" spans="1:31">
      <c r="A905">
        <v>168</v>
      </c>
      <c r="B905">
        <f t="shared" si="266"/>
        <v>0.86632688971918204</v>
      </c>
      <c r="C905">
        <v>0.84746919948777011</v>
      </c>
      <c r="D905">
        <f t="shared" si="267"/>
        <v>1.1799838868532604</v>
      </c>
      <c r="E905" s="1">
        <f t="shared" si="268"/>
        <v>4.2369666808952738E-2</v>
      </c>
      <c r="F905" s="1">
        <f t="shared" si="269"/>
        <v>4.914881349838518E-2</v>
      </c>
      <c r="G905" s="1">
        <f t="shared" si="270"/>
        <v>1.5253080051223E-2</v>
      </c>
      <c r="H905" s="1">
        <f t="shared" si="271"/>
        <v>1.4780338281077846E-2</v>
      </c>
      <c r="I905" s="1">
        <f t="shared" si="272"/>
        <v>5.4319803612833728E-2</v>
      </c>
      <c r="J905" s="1">
        <f t="shared" si="273"/>
        <v>5.8849372041636039E-2</v>
      </c>
      <c r="K905" s="1">
        <f t="shared" si="274"/>
        <v>3.6187064892469673E-2</v>
      </c>
      <c r="L905" s="1">
        <f t="shared" si="275"/>
        <v>3.5882359586366097E-2</v>
      </c>
      <c r="M905" s="1">
        <f t="shared" si="276"/>
        <v>7.8220077220595652E-2</v>
      </c>
      <c r="N905" s="1">
        <f t="shared" si="277"/>
        <v>7.825048912813759E-2</v>
      </c>
      <c r="O905" s="1">
        <f t="shared" si="278"/>
        <v>7.8055034574962989E-2</v>
      </c>
      <c r="P905" s="1">
        <f t="shared" si="279"/>
        <v>7.8086402196942517E-2</v>
      </c>
      <c r="Q905" s="1">
        <f t="shared" si="280"/>
        <v>1.1863506706506772</v>
      </c>
      <c r="T905">
        <v>0.5414341888094133</v>
      </c>
      <c r="U905">
        <f t="shared" si="287"/>
        <v>1.8469465369354492</v>
      </c>
      <c r="V905" s="15">
        <f t="shared" si="281"/>
        <v>0</v>
      </c>
      <c r="W905" s="15">
        <f t="shared" si="282"/>
        <v>0</v>
      </c>
      <c r="X905" s="15">
        <f t="shared" si="283"/>
        <v>0</v>
      </c>
      <c r="Y905" s="15">
        <f t="shared" si="284"/>
        <v>0</v>
      </c>
      <c r="Z905" s="15">
        <f t="shared" si="285"/>
        <v>0</v>
      </c>
      <c r="AA905" s="15">
        <f t="shared" si="286"/>
        <v>0</v>
      </c>
      <c r="AC905" s="1"/>
      <c r="AD905" s="1"/>
      <c r="AE905" s="1"/>
    </row>
    <row r="906" spans="1:31">
      <c r="A906">
        <v>524</v>
      </c>
      <c r="B906">
        <f t="shared" si="266"/>
        <v>0.86676214506524085</v>
      </c>
      <c r="C906">
        <v>0.84869635118254982</v>
      </c>
      <c r="D906">
        <f t="shared" si="267"/>
        <v>1.1782777180632718</v>
      </c>
      <c r="E906" s="1">
        <f t="shared" si="268"/>
        <v>4.2028791338180577E-2</v>
      </c>
      <c r="F906" s="1">
        <f t="shared" si="269"/>
        <v>4.8753397952289501E-2</v>
      </c>
      <c r="G906" s="1">
        <f t="shared" si="270"/>
        <v>1.5130364881745031E-2</v>
      </c>
      <c r="H906" s="1">
        <f t="shared" si="271"/>
        <v>1.4661426447466985E-2</v>
      </c>
      <c r="I906" s="1">
        <f t="shared" si="272"/>
        <v>5.3882786047596165E-2</v>
      </c>
      <c r="J906" s="1">
        <f t="shared" si="273"/>
        <v>5.8375912868832314E-2</v>
      </c>
      <c r="K906" s="1">
        <f t="shared" si="274"/>
        <v>3.5895930132389925E-2</v>
      </c>
      <c r="L906" s="1">
        <f t="shared" si="275"/>
        <v>3.5593676263186547E-2</v>
      </c>
      <c r="M906" s="1">
        <f t="shared" si="276"/>
        <v>7.7590775466427286E-2</v>
      </c>
      <c r="N906" s="1">
        <f t="shared" si="277"/>
        <v>7.7620942701917661E-2</v>
      </c>
      <c r="O906" s="1">
        <f t="shared" si="278"/>
        <v>7.7427060633679712E-2</v>
      </c>
      <c r="P906" s="1">
        <f t="shared" si="279"/>
        <v>7.7458175894625669E-2</v>
      </c>
      <c r="Q906" s="1">
        <f t="shared" si="280"/>
        <v>1.1768061574690574</v>
      </c>
      <c r="T906">
        <v>0.20993298576222008</v>
      </c>
      <c r="U906">
        <f t="shared" si="287"/>
        <v>4.7634248442150335</v>
      </c>
      <c r="V906" s="15">
        <f t="shared" si="281"/>
        <v>7.6854247220394245E-2</v>
      </c>
      <c r="W906" s="15">
        <f t="shared" si="282"/>
        <v>8.1201757021192755E-2</v>
      </c>
      <c r="X906" s="15">
        <f t="shared" si="283"/>
        <v>8.9896776622789887E-2</v>
      </c>
      <c r="Y906" s="15">
        <f t="shared" si="284"/>
        <v>0.10891919503883339</v>
      </c>
      <c r="Z906" s="15">
        <f t="shared" si="285"/>
        <v>0.11268109781129287</v>
      </c>
      <c r="AA906" s="15">
        <f t="shared" si="286"/>
        <v>0.12020490335621199</v>
      </c>
      <c r="AC906" s="1"/>
      <c r="AD906" s="1"/>
      <c r="AE906" s="1"/>
    </row>
    <row r="907" spans="1:31">
      <c r="A907">
        <v>784</v>
      </c>
      <c r="B907">
        <f t="shared" ref="B907:B970" si="288">PERCENTILE($C$75:$C$1074,$C907)</f>
        <v>0.86693604459416962</v>
      </c>
      <c r="C907">
        <v>0.84890572391075314</v>
      </c>
      <c r="D907">
        <f t="shared" ref="D907:D970" si="289">1/C907</f>
        <v>1.1779871095616874</v>
      </c>
      <c r="E907" s="1">
        <f t="shared" ref="E907:E970" si="290">IF($C907&lt;=0.005,$F$14,IF($C907&lt;=0.01,$F$14+($C907-0.005)*SLOPE($E$14:$F$14,$E$11:$F$11),IF($C907&lt;=0.04,$E$14+($C907-0.01)*SLOPE($D$14:$E$14,$D$11:$E$11),IF($C907&lt;=0.1,$D$14+($C907-0.04)*SLOPE($C$14:$D$14,$C$11:$D$11),IF($C907&lt;=1,$C$14+($C907-0.1)*SLOPE($B$14:$C$14,$B$11:$C$11),)))))</f>
        <v>4.1970632247013001E-2</v>
      </c>
      <c r="F907" s="1">
        <f t="shared" ref="F907:F970" si="291">IF($C907&lt;=0.005,$F$27,IF($C907&lt;=0.01,$F$27+($C907-0.005)*SLOPE($E$27:$F$27,$E$24:$F$24),IF($C907&lt;=0.04,$E$27+($C907-0.01)*SLOPE($D$27:$E$27,$D$24:$E$24),IF($C907&lt;=0.1,$D$27+($C907-0.04)*SLOPE($C$27:$D$27,$C$24:$D$24),IF($C907&lt;=1,$C$27+($C907-0.1)*SLOPE($B$27:$C$27,$B$24:$C$24),)))))</f>
        <v>4.8685933406535098E-2</v>
      </c>
      <c r="G907" s="1">
        <f t="shared" ref="G907:G970" si="292">IF($C907&lt;=0.005,$F$15,IF($C907&lt;=0.01,$F$15+($C907-0.005)*SLOPE($E$15:$F$15,$E$11:$F$11),IF($C907&lt;=0.04,$E$15+($C907-0.01)*SLOPE($D$15:$E$15,$D$11:$E$11),IF($C907&lt;=0.1,$D$15+($C907-0.04)*SLOPE($C$15:$D$15,$C$11:$D$11),IF($C907&lt;=1,$C$15+($C907-0.1)*SLOPE($B$15:$C$15,$B$11:$C$11),)))))</f>
        <v>1.5109427608924697E-2</v>
      </c>
      <c r="H907" s="1">
        <f t="shared" ref="H907:H970" si="293">IF($C907&lt;=0.005,$F$28,IF($C907&lt;=0.01,$F$28+($C907-0.005)*SLOPE($E$28:$F$28,$E$24:$F$24),IF($C907&lt;=0.04,$E$28+($C907-0.01)*SLOPE($D$28:$E$28,$D$24:$E$24),IF($C907&lt;=0.1,$D$28+($C907-0.04)*SLOPE($C$28:$D$28,$C$24:$D$24),IF($C907&lt;=1,$C$28+($C907-0.1)*SLOPE($B$28:$C$28,$B$24:$C$24),)))))</f>
        <v>1.4641138087743671E-2</v>
      </c>
      <c r="I907" s="1">
        <f t="shared" ref="I907:I970" si="294">IF($C907&lt;=0.005,$F$16,IF($C907&lt;=0.01,$F$16+($C907-0.005)*SLOPE($E$16:$F$16,$E$11:$F$11),IF($C907&lt;=0.04,$E$16+($C907-0.01)*SLOPE($D$16:$E$16,$D$11:$E$11),IF($C907&lt;=0.1,$D$16+($C907-0.04)*SLOPE($C$16:$D$16,$C$11:$D$11),IF($C907&lt;=1,$C$16+($C907-0.1)*SLOPE($B$16:$C$16,$B$11:$C$11),)))))</f>
        <v>5.3808223497346042E-2</v>
      </c>
      <c r="J907" s="1">
        <f t="shared" ref="J907:J970" si="295">IF($C907&lt;=0.005,$F$29,IF($C907&lt;=0.01,$F$29+($C907-0.005)*SLOPE($E$29:$F$29,$E$24:$F$24),IF($C907&lt;=0.04,$E$29+($C907-0.01)*SLOPE($D$29:$E$29,$D$24:$E$24),IF($C907&lt;=0.1,$D$29+($C907-0.04)*SLOPE($C$29:$D$29,$C$24:$D$24),IF($C907&lt;=1,$C$29+($C907-0.1)*SLOPE($B$29:$C$29,$B$24:$C$24),)))))</f>
        <v>5.8295132767134605E-2</v>
      </c>
      <c r="K907" s="1">
        <f t="shared" ref="K907:K970" si="296">IF($C907&lt;=0.005,$F$17,IF($C907&lt;=0.01,$F$17+($C907-0.005)*SLOPE($E$17:$F$17,$E$11:$F$11),IF($C907&lt;=0.04,$E$17+($C907-0.01)*SLOPE($D$17:$E$17,$D$11:$E$11),IF($C907&lt;=0.1,$D$17+($C907-0.04)*SLOPE($C$17:$D$17,$C$11:$D$11),IF($C907&lt;=1,$C$17+($C907-0.1)*SLOPE($B$17:$C$17,$B$11:$C$11),)))))</f>
        <v>3.5846257643444984E-2</v>
      </c>
      <c r="L907" s="1">
        <f t="shared" ref="L907:L970" si="297">IF($C907&lt;=0.005,$F$30,IF($C907&lt;=0.01,$F$30+($C907-0.005)*SLOPE($E$30:$F$30,$E$24:$F$24),IF($C907&lt;=0.04,$E$30+($C907-0.01)*SLOPE($D$30:$E$30,$D$24:$E$24),IF($C907&lt;=0.1,$D$30+($C907-0.04)*SLOPE($C$30:$D$30,$C$24:$D$24),IF($C907&lt;=1,$C$30+($C907-0.1)*SLOPE($B$30:$C$30,$B$24:$C$24),)))))</f>
        <v>3.5544422030626716E-2</v>
      </c>
      <c r="M907" s="1">
        <f t="shared" ref="M907:M970" si="298">IF($C907&lt;=0.005,$F$18,IF($C907&lt;=0.01,$F$18+($C907-0.005)*SLOPE($E$18:$F$18,$E$11:$F$11),IF($C907&lt;=0.04,$E$18+($C907-0.01)*SLOPE($D$18:$E$18,$D$11:$E$11),IF($C907&lt;=0.1,$D$18+($C907-0.04)*SLOPE($C$18:$D$18,$C$11:$D$11),IF($C907&lt;=1,$C$18+($C907-0.1)*SLOPE($B$18:$C$18,$B$11:$C$11),)))))</f>
        <v>7.7483405998012012E-2</v>
      </c>
      <c r="N907" s="1">
        <f t="shared" ref="N907:N970" si="299">IF($C907&lt;=0.005,$F$31,IF($C907&lt;=0.01,$F$31+($C907-0.005)*SLOPE($E$31:$F$31,$E$24:$F$24),IF($C907&lt;=0.04,$E$31+($C907-0.01)*SLOPE($D$31:$E$31,$D$24:$E$24),IF($C907&lt;=0.1,$D$31+($C907-0.04)*SLOPE($C$31:$D$31,$C$24:$D$24),IF($C907&lt;=1,$C$31+($C907-0.1)*SLOPE($B$31:$C$31,$B$24:$C$24),)))))</f>
        <v>7.7513531488333398E-2</v>
      </c>
      <c r="O907" s="1">
        <f t="shared" ref="O907:O970" si="300">IF($C907&lt;=0.005,$F$19,IF($C907&lt;=0.01,$F$19+($C907-0.005)*SLOPE($E$19:$F$19,$E$11:$F$11),IF($C907&lt;=0.04,$E$19+($C907-0.01)*SLOPE($D$19:$E$19,$D$11:$E$11),IF($C907&lt;=0.1,$D$19+($C907-0.04)*SLOPE($C$19:$D$19,$C$11:$D$11),IF($C907&lt;=1,$C$19+($C907-0.1)*SLOPE($B$19:$C$19,$B$11:$C$11),)))))</f>
        <v>7.7319917712485531E-2</v>
      </c>
      <c r="P907" s="1">
        <f t="shared" ref="P907:P970" si="301">IF($C907&lt;=0.005,$F$32,IF($C907&lt;=0.01,$F$32+($C907-0.005)*SLOPE($E$32:$F$32,$E$24:$F$24),IF($C907&lt;=0.04,$E$32+($C907-0.01)*SLOPE($D$32:$E$32,$D$24:$E$24),IF($C907&lt;=0.1,$D$32+($C907-0.04)*SLOPE($C$32:$D$32,$C$24:$D$24),IF($C907&lt;=1,$C$32+($C907-0.1)*SLOPE($B$32:$C$32,$B$24:$C$24),)))))</f>
        <v>7.7350989916392721E-2</v>
      </c>
      <c r="Q907" s="1">
        <f t="shared" ref="Q907:Q970" si="302">IF($C907&lt;=0.005,$F$20,IF($C907&lt;=0.01,$F$20+($C907-0.005)*SLOPE($E$20:$F$20,$E$11:$F$11),IF($C907&lt;=0.04,$E$20+($C907-0.01)*SLOPE($D$20:$E$20,$D$11:$E$11),IF($C907&lt;=0.1,$D$20+($C907-0.04)*SLOPE($C$20:$D$20,$C$11:$D$11),IF($C907&lt;=1,$C$20+($C907-0.1)*SLOPE($B$20:$C$20,$B$11:$C$11),)))))</f>
        <v>1.1751777029163648</v>
      </c>
      <c r="T907">
        <v>0.89064285487654604</v>
      </c>
      <c r="U907">
        <f t="shared" si="287"/>
        <v>1.122784508430837</v>
      </c>
      <c r="V907" s="15">
        <f t="shared" ref="V907:V970" si="303">IF($T907&lt;=0.05,$F$63,IF($T907&lt;=0.07,$F$63+($T907-0.05)*SLOPE($E$63:$F$63,$E$62:$F$62),IF($T907&lt;=0.1,$E$63+($T907-0.07)*SLOPE($D$63:$E$63,$D$62:$E$62),IF($T907&lt;=0.2,$D$63+($T907-0.1)*SLOPE($C$63:$D$63,$C$62:$D$62),IF($T907&lt;=0.5,$C$63+($T907-0.2)*SLOPE($B$63:$C$63,$B$62:$C$62),)))))</f>
        <v>0</v>
      </c>
      <c r="W907" s="15">
        <f t="shared" ref="W907:W970" si="304">IF($T907&lt;=0.05,$F$64,IF($T907&lt;=0.07,$F$64+($T907-0.05)*SLOPE($E$64:$F$64,$E$62:$F$62),IF($T907&lt;=0.1,$E$64+($T907-0.07)*SLOPE($D$64:$E$64,$D$62:$E$62),IF($T907&lt;=0.2,$D$64+($T907-0.1)*SLOPE($C$64:$D$64,$C$62:$D$62),IF($T907&lt;=0.5,$C$64+($T907-0.2)*SLOPE($B$64:$C$64,$B$62:$C$62),)))))</f>
        <v>0</v>
      </c>
      <c r="X907" s="15">
        <f t="shared" ref="X907:X970" si="305">IF($T907&lt;=0.05,$F$65,IF($T907&lt;=0.07,$F$65+($T907-0.05)*SLOPE($E$65:$F$65,$E$62:$F$62),IF($T907&lt;=0.1,$E$65+($T907-0.07)*SLOPE($D$65:$E$65,$D$62:$E$62),IF($T907&lt;=0.2,$D$65+($T907-0.1)*SLOPE($C$65:$D$65,$C$62:$D$62),IF($T907&lt;=0.5,$C$65+($T907-0.2)*SLOPE($B$65:$C$65,$B$62:$C$62),)))))</f>
        <v>0</v>
      </c>
      <c r="Y907" s="15">
        <f t="shared" ref="Y907:Y970" si="306">IF($T907&lt;=0.05,$F$66,IF($T907&lt;=0.07,$F$66+($T907-0.05)*SLOPE($E$66:$F$66,$E$62:$F$62),IF($T907&lt;=0.1,$E$66+($T907-0.07)*SLOPE($D$66:$E$66,$D$62:$E$62),IF($T907&lt;=0.2,$D$66+($T907-0.1)*SLOPE($C$66:$D$66,$C$62:$D$62),IF($T907&lt;=0.5,$C$66+($T907-0.2)*SLOPE($B$66:$C$66,$B$62:$C$62),)))))</f>
        <v>0</v>
      </c>
      <c r="Z907" s="15">
        <f t="shared" ref="Z907:Z970" si="307">IF($T907&lt;=0.05,$F$67,IF($T907&lt;=0.07,$F$67+($T907-0.05)*SLOPE($E$67:$F$67,$E$62:$F$62),IF($T907&lt;=0.1,$E$67+($T907-0.07)*SLOPE($D$67:$E$67,$D$62:$E$62),IF($T907&lt;=0.2,$D$67+($T907-0.1)*SLOPE($C$67:$D$67,$C$62:$D$62),IF($T907&lt;=0.5,$C$67+($T907-0.2)*SLOPE($B$67:$C$67,$B$62:$C$62),)))))</f>
        <v>0</v>
      </c>
      <c r="AA907" s="15">
        <f t="shared" ref="AA907:AA970" si="308">IF($T907&lt;=0.05,$F$68,IF($T907&lt;=0.07,$F$68+($T907-0.05)*SLOPE($E$68:$F$68,$E$62:$F$62),IF($T907&lt;=0.1,$E$68+($T907-0.07)*SLOPE($D$68:$E$68,$D$62:$E$62),IF($T907&lt;=0.2,$D$68+($T907-0.1)*SLOPE($C$68:$D$68,$C$62:$D$62),IF($T907&lt;=0.5,$C$68+($T907-0.2)*SLOPE($B$68:$C$68,$B$62:$C$62),)))))</f>
        <v>0</v>
      </c>
      <c r="AC907" s="1"/>
      <c r="AD907" s="1"/>
      <c r="AE907" s="1"/>
    </row>
    <row r="908" spans="1:31">
      <c r="A908">
        <v>949</v>
      </c>
      <c r="B908">
        <f t="shared" si="288"/>
        <v>0.86740719681298184</v>
      </c>
      <c r="C908">
        <v>0.849099552199164</v>
      </c>
      <c r="D908">
        <f t="shared" si="289"/>
        <v>1.1777182044319827</v>
      </c>
      <c r="E908" s="1">
        <f t="shared" si="290"/>
        <v>4.1916791055787772E-2</v>
      </c>
      <c r="F908" s="1">
        <f t="shared" si="291"/>
        <v>4.8623477624713834E-2</v>
      </c>
      <c r="G908" s="1">
        <f t="shared" si="292"/>
        <v>1.5090044780083606E-2</v>
      </c>
      <c r="H908" s="1">
        <f t="shared" si="293"/>
        <v>1.4622355994805492E-2</v>
      </c>
      <c r="I908" s="1">
        <f t="shared" si="294"/>
        <v>5.3739196687510038E-2</v>
      </c>
      <c r="J908" s="1">
        <f t="shared" si="295"/>
        <v>5.8220350014939137E-2</v>
      </c>
      <c r="K908" s="1">
        <f t="shared" si="296"/>
        <v>3.5800272984430781E-2</v>
      </c>
      <c r="L908" s="1">
        <f t="shared" si="297"/>
        <v>3.5498824575428078E-2</v>
      </c>
      <c r="M908" s="1">
        <f t="shared" si="298"/>
        <v>7.7384007950954514E-2</v>
      </c>
      <c r="N908" s="1">
        <f t="shared" si="299"/>
        <v>7.7414094795389521E-2</v>
      </c>
      <c r="O908" s="1">
        <f t="shared" si="300"/>
        <v>7.7220729393125076E-2</v>
      </c>
      <c r="P908" s="1">
        <f t="shared" si="301"/>
        <v>7.7251761736673197E-2</v>
      </c>
      <c r="Q908" s="1">
        <f t="shared" si="302"/>
        <v>1.1736701495620583</v>
      </c>
      <c r="T908">
        <v>0.15773046600824314</v>
      </c>
      <c r="U908">
        <f t="shared" ref="U908:U971" si="309">1/T908</f>
        <v>6.3399292813078931</v>
      </c>
      <c r="V908" s="15">
        <f t="shared" si="303"/>
        <v>8.3251955648029063E-2</v>
      </c>
      <c r="W908" s="15">
        <f t="shared" si="304"/>
        <v>8.7238554751740763E-2</v>
      </c>
      <c r="X908" s="15">
        <f t="shared" si="305"/>
        <v>9.521175295916412E-2</v>
      </c>
      <c r="Y908" s="15">
        <f t="shared" si="306"/>
        <v>0.11838264189759366</v>
      </c>
      <c r="Z908" s="15">
        <f t="shared" si="307"/>
        <v>0.12176864513650854</v>
      </c>
      <c r="AA908" s="15">
        <f t="shared" si="308"/>
        <v>0.12854065161433831</v>
      </c>
      <c r="AC908" s="1"/>
      <c r="AD908" s="1"/>
      <c r="AE908" s="1"/>
    </row>
    <row r="909" spans="1:31">
      <c r="A909">
        <v>445</v>
      </c>
      <c r="B909">
        <f t="shared" si="288"/>
        <v>0.87001164528176222</v>
      </c>
      <c r="C909">
        <v>0.85218587695682269</v>
      </c>
      <c r="D909">
        <f t="shared" si="289"/>
        <v>1.1734529133139653</v>
      </c>
      <c r="E909" s="1">
        <f t="shared" si="290"/>
        <v>4.10594786231048E-2</v>
      </c>
      <c r="F909" s="1">
        <f t="shared" si="291"/>
        <v>4.7628995202801588E-2</v>
      </c>
      <c r="G909" s="1">
        <f t="shared" si="292"/>
        <v>1.4781412304317745E-2</v>
      </c>
      <c r="H909" s="1">
        <f t="shared" si="293"/>
        <v>1.4323289027279792E-2</v>
      </c>
      <c r="I909" s="1">
        <f t="shared" si="294"/>
        <v>5.2640083890891587E-2</v>
      </c>
      <c r="J909" s="1">
        <f t="shared" si="295"/>
        <v>5.7029585439556163E-2</v>
      </c>
      <c r="K909" s="1">
        <f t="shared" si="296"/>
        <v>3.5068059989353251E-2</v>
      </c>
      <c r="L909" s="1">
        <f t="shared" si="297"/>
        <v>3.4772777020555812E-2</v>
      </c>
      <c r="M909" s="1">
        <f t="shared" si="298"/>
        <v>7.5801294426465105E-2</v>
      </c>
      <c r="N909" s="1">
        <f t="shared" si="299"/>
        <v>7.583076591306509E-2</v>
      </c>
      <c r="O909" s="1">
        <f t="shared" si="300"/>
        <v>7.5641355359424289E-2</v>
      </c>
      <c r="P909" s="1">
        <f t="shared" si="301"/>
        <v>7.5671753007107823E-2</v>
      </c>
      <c r="Q909" s="1">
        <f t="shared" si="302"/>
        <v>1.149665401446935</v>
      </c>
      <c r="T909">
        <v>0.54457037201663883</v>
      </c>
      <c r="U909">
        <f t="shared" si="309"/>
        <v>1.8363099635715143</v>
      </c>
      <c r="V909" s="15">
        <f t="shared" si="303"/>
        <v>0</v>
      </c>
      <c r="W909" s="15">
        <f t="shared" si="304"/>
        <v>0</v>
      </c>
      <c r="X909" s="15">
        <f t="shared" si="305"/>
        <v>0</v>
      </c>
      <c r="Y909" s="15">
        <f t="shared" si="306"/>
        <v>0</v>
      </c>
      <c r="Z909" s="15">
        <f t="shared" si="307"/>
        <v>0</v>
      </c>
      <c r="AA909" s="15">
        <f t="shared" si="308"/>
        <v>0</v>
      </c>
      <c r="AC909" s="1"/>
      <c r="AD909" s="1"/>
      <c r="AE909" s="1"/>
    </row>
    <row r="910" spans="1:31">
      <c r="A910">
        <v>965</v>
      </c>
      <c r="B910">
        <f t="shared" si="288"/>
        <v>0.87001679941629873</v>
      </c>
      <c r="C910">
        <v>0.85226677332736633</v>
      </c>
      <c r="D910">
        <f t="shared" si="289"/>
        <v>1.1733415302533301</v>
      </c>
      <c r="E910" s="1">
        <f t="shared" si="290"/>
        <v>4.103700740906488E-2</v>
      </c>
      <c r="F910" s="1">
        <f t="shared" si="291"/>
        <v>4.7602928594515287E-2</v>
      </c>
      <c r="G910" s="1">
        <f t="shared" si="292"/>
        <v>1.4773322667263375E-2</v>
      </c>
      <c r="H910" s="1">
        <f t="shared" si="293"/>
        <v>1.4315450113969619E-2</v>
      </c>
      <c r="I910" s="1">
        <f t="shared" si="294"/>
        <v>5.2611274791705298E-2</v>
      </c>
      <c r="J910" s="1">
        <f t="shared" si="295"/>
        <v>5.6998374034443522E-2</v>
      </c>
      <c r="K910" s="1">
        <f t="shared" si="296"/>
        <v>3.5048867785545251E-2</v>
      </c>
      <c r="L910" s="1">
        <f t="shared" si="297"/>
        <v>3.4753746420524007E-2</v>
      </c>
      <c r="M910" s="1">
        <f t="shared" si="298"/>
        <v>7.5759809556986024E-2</v>
      </c>
      <c r="N910" s="1">
        <f t="shared" si="299"/>
        <v>7.578926491429977E-2</v>
      </c>
      <c r="O910" s="1">
        <f t="shared" si="300"/>
        <v>7.5599958022109004E-2</v>
      </c>
      <c r="P910" s="1">
        <f t="shared" si="301"/>
        <v>7.5630339033632754E-2</v>
      </c>
      <c r="Q910" s="1">
        <f t="shared" si="302"/>
        <v>1.1490362074538183</v>
      </c>
      <c r="T910">
        <v>0.49945387603501978</v>
      </c>
      <c r="U910">
        <f t="shared" si="309"/>
        <v>2.0021868844799671</v>
      </c>
      <c r="V910" s="15">
        <f t="shared" si="303"/>
        <v>5.7914207163577119E-2</v>
      </c>
      <c r="W910" s="15">
        <f t="shared" si="304"/>
        <v>6.3016460053999107E-2</v>
      </c>
      <c r="X910" s="15">
        <f t="shared" si="305"/>
        <v>7.3220965834842874E-2</v>
      </c>
      <c r="Y910" s="15">
        <f t="shared" si="306"/>
        <v>8.0887137369115167E-2</v>
      </c>
      <c r="Z910" s="15">
        <f t="shared" si="307"/>
        <v>8.5403158135717361E-2</v>
      </c>
      <c r="AA910" s="15">
        <f t="shared" si="308"/>
        <v>9.4435199668921666E-2</v>
      </c>
      <c r="AC910" s="1"/>
      <c r="AD910" s="1"/>
      <c r="AE910" s="1"/>
    </row>
    <row r="911" spans="1:31">
      <c r="A911">
        <v>856</v>
      </c>
      <c r="B911">
        <f t="shared" si="288"/>
        <v>0.87003134525892123</v>
      </c>
      <c r="C911">
        <v>0.85249507661792356</v>
      </c>
      <c r="D911">
        <f t="shared" si="289"/>
        <v>1.1730273023596429</v>
      </c>
      <c r="E911" s="1">
        <f t="shared" si="290"/>
        <v>4.0973589828354556E-2</v>
      </c>
      <c r="F911" s="1">
        <f t="shared" si="291"/>
        <v>4.7529364200891294E-2</v>
      </c>
      <c r="G911" s="1">
        <f t="shared" si="292"/>
        <v>1.475049233820766E-2</v>
      </c>
      <c r="H911" s="1">
        <f t="shared" si="293"/>
        <v>1.4293327369882605E-2</v>
      </c>
      <c r="I911" s="1">
        <f t="shared" si="294"/>
        <v>5.2529970623199085E-2</v>
      </c>
      <c r="J911" s="1">
        <f t="shared" si="295"/>
        <v>5.6910290150800291E-2</v>
      </c>
      <c r="K911" s="1">
        <f t="shared" si="296"/>
        <v>3.4994704128350679E-2</v>
      </c>
      <c r="L911" s="1">
        <f t="shared" si="297"/>
        <v>3.470003883661954E-2</v>
      </c>
      <c r="M911" s="1">
        <f t="shared" si="298"/>
        <v>7.5642732212888142E-2</v>
      </c>
      <c r="N911" s="1">
        <f t="shared" si="299"/>
        <v>7.5672142050618008E-2</v>
      </c>
      <c r="O911" s="1">
        <f t="shared" si="300"/>
        <v>7.5483127708636744E-2</v>
      </c>
      <c r="P911" s="1">
        <f t="shared" si="301"/>
        <v>7.5513461770093382E-2</v>
      </c>
      <c r="Q911" s="1">
        <f t="shared" si="302"/>
        <v>1.1472605151939286</v>
      </c>
      <c r="T911">
        <v>0.94706136809230468</v>
      </c>
      <c r="U911">
        <f t="shared" si="309"/>
        <v>1.0558977841259973</v>
      </c>
      <c r="V911" s="15">
        <f t="shared" si="303"/>
        <v>0</v>
      </c>
      <c r="W911" s="15">
        <f t="shared" si="304"/>
        <v>0</v>
      </c>
      <c r="X911" s="15">
        <f t="shared" si="305"/>
        <v>0</v>
      </c>
      <c r="Y911" s="15">
        <f t="shared" si="306"/>
        <v>0</v>
      </c>
      <c r="Z911" s="15">
        <f t="shared" si="307"/>
        <v>0</v>
      </c>
      <c r="AA911" s="15">
        <f t="shared" si="308"/>
        <v>0</v>
      </c>
      <c r="AC911" s="1"/>
      <c r="AD911" s="1"/>
      <c r="AE911" s="1"/>
    </row>
    <row r="912" spans="1:31">
      <c r="A912">
        <v>422</v>
      </c>
      <c r="B912">
        <f t="shared" si="288"/>
        <v>0.87046991189651712</v>
      </c>
      <c r="C912">
        <v>0.85320253848462657</v>
      </c>
      <c r="D912">
        <f t="shared" si="289"/>
        <v>1.17205464692604</v>
      </c>
      <c r="E912" s="1">
        <f t="shared" si="290"/>
        <v>4.0777072643159273E-2</v>
      </c>
      <c r="F912" s="1">
        <f t="shared" si="291"/>
        <v>4.7301404266064773E-2</v>
      </c>
      <c r="G912" s="1">
        <f t="shared" si="292"/>
        <v>1.467974615153736E-2</v>
      </c>
      <c r="H912" s="1">
        <f t="shared" si="293"/>
        <v>1.4224773833969084E-2</v>
      </c>
      <c r="I912" s="1">
        <f t="shared" si="294"/>
        <v>5.2278026822118795E-2</v>
      </c>
      <c r="J912" s="1">
        <f t="shared" si="295"/>
        <v>5.6637337498227414E-2</v>
      </c>
      <c r="K912" s="1">
        <f t="shared" si="296"/>
        <v>3.4826862824211741E-2</v>
      </c>
      <c r="L912" s="1">
        <f t="shared" si="297"/>
        <v>3.4533610803662074E-2</v>
      </c>
      <c r="M912" s="1">
        <f t="shared" si="298"/>
        <v>7.5279935180037671E-2</v>
      </c>
      <c r="N912" s="1">
        <f t="shared" si="299"/>
        <v>7.5309203962552473E-2</v>
      </c>
      <c r="O912" s="1">
        <f t="shared" si="300"/>
        <v>7.5121096169560475E-2</v>
      </c>
      <c r="P912" s="1">
        <f t="shared" si="301"/>
        <v>7.5151284743047997E-2</v>
      </c>
      <c r="Q912" s="1">
        <f t="shared" si="302"/>
        <v>1.1417580340084603</v>
      </c>
      <c r="T912">
        <v>0.32319026595531486</v>
      </c>
      <c r="U912">
        <f t="shared" si="309"/>
        <v>3.0941525947389228</v>
      </c>
      <c r="V912" s="15">
        <f t="shared" si="303"/>
        <v>6.9445118913410347E-2</v>
      </c>
      <c r="W912" s="15">
        <f t="shared" si="304"/>
        <v>7.4087875628843405E-2</v>
      </c>
      <c r="X912" s="15">
        <f t="shared" si="305"/>
        <v>8.337338905970948E-2</v>
      </c>
      <c r="Y912" s="15">
        <f t="shared" si="306"/>
        <v>9.7953372825117499E-2</v>
      </c>
      <c r="Z912" s="15">
        <f t="shared" si="307"/>
        <v>0.10201027798196727</v>
      </c>
      <c r="AA912" s="15">
        <f t="shared" si="308"/>
        <v>0.11012408829566687</v>
      </c>
      <c r="AC912" s="1"/>
      <c r="AD912" s="1"/>
      <c r="AE912" s="1"/>
    </row>
    <row r="913" spans="1:31">
      <c r="A913">
        <v>828</v>
      </c>
      <c r="B913">
        <f t="shared" si="288"/>
        <v>0.87162474307855065</v>
      </c>
      <c r="C913">
        <v>0.85434795218769699</v>
      </c>
      <c r="D913">
        <f t="shared" si="289"/>
        <v>1.1704832877978313</v>
      </c>
      <c r="E913" s="1">
        <f t="shared" si="290"/>
        <v>4.045890217008416E-2</v>
      </c>
      <c r="F913" s="1">
        <f t="shared" si="291"/>
        <v>4.6932326517297646E-2</v>
      </c>
      <c r="G913" s="1">
        <f t="shared" si="292"/>
        <v>1.4565204781230315E-2</v>
      </c>
      <c r="H913" s="1">
        <f t="shared" si="293"/>
        <v>1.4113782467331595E-2</v>
      </c>
      <c r="I913" s="1">
        <f t="shared" si="294"/>
        <v>5.1870118077148641E-2</v>
      </c>
      <c r="J913" s="1">
        <f t="shared" si="295"/>
        <v>5.6195414444475567E-2</v>
      </c>
      <c r="K913" s="1">
        <f t="shared" si="296"/>
        <v>3.455511993777477E-2</v>
      </c>
      <c r="L913" s="1">
        <f t="shared" si="297"/>
        <v>3.426415606907271E-2</v>
      </c>
      <c r="M913" s="1">
        <f t="shared" si="298"/>
        <v>7.4692549891277549E-2</v>
      </c>
      <c r="N913" s="1">
        <f t="shared" si="299"/>
        <v>7.4721590298831186E-2</v>
      </c>
      <c r="O913" s="1">
        <f t="shared" si="300"/>
        <v>7.4534950250863707E-2</v>
      </c>
      <c r="P913" s="1">
        <f t="shared" si="301"/>
        <v>7.4564903272554939E-2</v>
      </c>
      <c r="Q913" s="1">
        <f t="shared" si="302"/>
        <v>1.1328492607623577</v>
      </c>
      <c r="T913">
        <v>0.17055133716031723</v>
      </c>
      <c r="U913">
        <f t="shared" si="309"/>
        <v>5.8633372018655354</v>
      </c>
      <c r="V913" s="15">
        <f t="shared" si="303"/>
        <v>8.1508544604482119E-2</v>
      </c>
      <c r="W913" s="15">
        <f t="shared" si="304"/>
        <v>8.5596758407269435E-2</v>
      </c>
      <c r="X913" s="15">
        <f t="shared" si="305"/>
        <v>9.3773186012844109E-2</v>
      </c>
      <c r="Y913" s="15">
        <f t="shared" si="306"/>
        <v>0.11580396744251178</v>
      </c>
      <c r="Z913" s="15">
        <f t="shared" si="307"/>
        <v>0.11929613818435773</v>
      </c>
      <c r="AA913" s="15">
        <f t="shared" si="308"/>
        <v>0.12628047966804967</v>
      </c>
      <c r="AC913" s="1"/>
      <c r="AD913" s="1"/>
      <c r="AE913" s="1"/>
    </row>
    <row r="914" spans="1:31">
      <c r="A914">
        <v>159</v>
      </c>
      <c r="B914">
        <f t="shared" si="288"/>
        <v>0.87183047358793198</v>
      </c>
      <c r="C914">
        <v>0.85461515581957814</v>
      </c>
      <c r="D914">
        <f t="shared" si="289"/>
        <v>1.1701173249624826</v>
      </c>
      <c r="E914" s="1">
        <f t="shared" si="290"/>
        <v>4.0384678939006047E-2</v>
      </c>
      <c r="F914" s="1">
        <f t="shared" si="291"/>
        <v>4.6846227569247029E-2</v>
      </c>
      <c r="G914" s="1">
        <f t="shared" si="292"/>
        <v>1.4538484418042202E-2</v>
      </c>
      <c r="H914" s="1">
        <f t="shared" si="293"/>
        <v>1.4087890253720481E-2</v>
      </c>
      <c r="I914" s="1">
        <f t="shared" si="294"/>
        <v>5.1774960582664398E-2</v>
      </c>
      <c r="J914" s="1">
        <f t="shared" si="295"/>
        <v>5.6092322046804755E-2</v>
      </c>
      <c r="K914" s="1">
        <f t="shared" si="296"/>
        <v>3.4491727395849381E-2</v>
      </c>
      <c r="L914" s="1">
        <f t="shared" si="297"/>
        <v>3.4201297310253231E-2</v>
      </c>
      <c r="M914" s="1">
        <f t="shared" si="298"/>
        <v>7.4555523869980989E-2</v>
      </c>
      <c r="N914" s="1">
        <f t="shared" si="299"/>
        <v>7.458451100192004E-2</v>
      </c>
      <c r="O914" s="1">
        <f t="shared" si="300"/>
        <v>7.4398213351463738E-2</v>
      </c>
      <c r="P914" s="1">
        <f t="shared" si="301"/>
        <v>7.4428111423318677E-2</v>
      </c>
      <c r="Q914" s="1">
        <f t="shared" si="302"/>
        <v>1.1307710102921709</v>
      </c>
      <c r="T914">
        <v>3.0605803678920851E-2</v>
      </c>
      <c r="U914">
        <f t="shared" si="309"/>
        <v>32.673541609650016</v>
      </c>
      <c r="V914" s="15">
        <f t="shared" si="303"/>
        <v>0.10304197639427203</v>
      </c>
      <c r="W914" s="15">
        <f t="shared" si="304"/>
        <v>0.1057753682453844</v>
      </c>
      <c r="X914" s="15">
        <f t="shared" si="305"/>
        <v>0.11124215194760896</v>
      </c>
      <c r="Y914" s="15">
        <f t="shared" si="306"/>
        <v>0.14763297309330198</v>
      </c>
      <c r="Z914" s="15">
        <f t="shared" si="307"/>
        <v>0.14970192057754048</v>
      </c>
      <c r="AA914" s="15">
        <f t="shared" si="308"/>
        <v>0.15383981554601778</v>
      </c>
      <c r="AC914" s="1"/>
      <c r="AD914" s="1"/>
      <c r="AE914" s="1"/>
    </row>
    <row r="915" spans="1:31">
      <c r="A915">
        <v>530</v>
      </c>
      <c r="B915">
        <f t="shared" si="288"/>
        <v>0.87239423708650687</v>
      </c>
      <c r="C915">
        <v>0.85552259370954564</v>
      </c>
      <c r="D915">
        <f t="shared" si="289"/>
        <v>1.1688762019293966</v>
      </c>
      <c r="E915" s="1">
        <f t="shared" si="290"/>
        <v>4.0132612858459538E-2</v>
      </c>
      <c r="F915" s="1">
        <f t="shared" si="291"/>
        <v>4.6553830915813083E-2</v>
      </c>
      <c r="G915" s="1">
        <f t="shared" si="292"/>
        <v>1.4447740629045441E-2</v>
      </c>
      <c r="H915" s="1">
        <f t="shared" si="293"/>
        <v>1.3999958905181395E-2</v>
      </c>
      <c r="I915" s="1">
        <f t="shared" si="294"/>
        <v>5.1451800618851518E-2</v>
      </c>
      <c r="J915" s="1">
        <f t="shared" si="295"/>
        <v>5.5742214725450379E-2</v>
      </c>
      <c r="K915" s="1">
        <f t="shared" si="296"/>
        <v>3.4276442917567845E-2</v>
      </c>
      <c r="L915" s="1">
        <f t="shared" si="297"/>
        <v>3.398782558807803E-2</v>
      </c>
      <c r="M915" s="1">
        <f t="shared" si="298"/>
        <v>7.4090176139635477E-2</v>
      </c>
      <c r="N915" s="1">
        <f t="shared" si="299"/>
        <v>7.411898234472486E-2</v>
      </c>
      <c r="O915" s="1">
        <f t="shared" si="300"/>
        <v>7.3933847494612626E-2</v>
      </c>
      <c r="P915" s="1">
        <f t="shared" si="301"/>
        <v>7.3963558953871245E-2</v>
      </c>
      <c r="Q915" s="1">
        <f t="shared" si="302"/>
        <v>1.1237131600368677</v>
      </c>
      <c r="T915">
        <v>0.20422370030741643</v>
      </c>
      <c r="U915">
        <f t="shared" si="309"/>
        <v>4.8965913285025557</v>
      </c>
      <c r="V915" s="15">
        <f t="shared" si="303"/>
        <v>7.7227740459890351E-2</v>
      </c>
      <c r="W915" s="15">
        <f t="shared" si="304"/>
        <v>8.1560366900321868E-2</v>
      </c>
      <c r="X915" s="15">
        <f t="shared" si="305"/>
        <v>9.022561978118504E-2</v>
      </c>
      <c r="Y915" s="15">
        <f t="shared" si="306"/>
        <v>0.10947198077726884</v>
      </c>
      <c r="Z915" s="15">
        <f t="shared" si="307"/>
        <v>0.11321901251610064</v>
      </c>
      <c r="AA915" s="15">
        <f t="shared" si="308"/>
        <v>0.12071307599376439</v>
      </c>
      <c r="AC915" s="1"/>
      <c r="AD915" s="1"/>
      <c r="AE915" s="1"/>
    </row>
    <row r="916" spans="1:31">
      <c r="A916">
        <v>911</v>
      </c>
      <c r="B916">
        <f t="shared" si="288"/>
        <v>0.87392138826892152</v>
      </c>
      <c r="C916">
        <v>0.85700457813578002</v>
      </c>
      <c r="D916">
        <f t="shared" si="289"/>
        <v>1.1668549101281049</v>
      </c>
      <c r="E916" s="1">
        <f t="shared" si="290"/>
        <v>3.972095051783886E-2</v>
      </c>
      <c r="F916" s="1">
        <f t="shared" si="291"/>
        <v>4.6076302600693092E-2</v>
      </c>
      <c r="G916" s="1">
        <f t="shared" si="292"/>
        <v>1.4299542186422015E-2</v>
      </c>
      <c r="H916" s="1">
        <f t="shared" si="293"/>
        <v>1.3856353606622199E-2</v>
      </c>
      <c r="I916" s="1">
        <f t="shared" si="294"/>
        <v>5.0924031127575098E-2</v>
      </c>
      <c r="J916" s="1">
        <f t="shared" si="295"/>
        <v>5.5170436090797637E-2</v>
      </c>
      <c r="K916" s="1">
        <f t="shared" si="296"/>
        <v>3.3924850541328572E-2</v>
      </c>
      <c r="L916" s="1">
        <f t="shared" si="297"/>
        <v>3.3639193718941057E-2</v>
      </c>
      <c r="M916" s="1">
        <f t="shared" si="298"/>
        <v>7.3330192347047407E-2</v>
      </c>
      <c r="N916" s="1">
        <f t="shared" si="299"/>
        <v>7.3358703071006448E-2</v>
      </c>
      <c r="O916" s="1">
        <f t="shared" si="300"/>
        <v>7.3175467251141713E-2</v>
      </c>
      <c r="P916" s="1">
        <f t="shared" si="301"/>
        <v>7.3204873943578774E-2</v>
      </c>
      <c r="Q916" s="1">
        <f t="shared" si="302"/>
        <v>1.112186614499489</v>
      </c>
      <c r="T916">
        <v>0.44760827577410822</v>
      </c>
      <c r="U916">
        <f t="shared" si="309"/>
        <v>2.2340963161830905</v>
      </c>
      <c r="V916" s="15">
        <f t="shared" si="303"/>
        <v>6.1305871733225784E-2</v>
      </c>
      <c r="W916" s="15">
        <f t="shared" si="304"/>
        <v>6.62729699255276E-2</v>
      </c>
      <c r="X916" s="15">
        <f t="shared" si="305"/>
        <v>7.620716631013108E-2</v>
      </c>
      <c r="Y916" s="15">
        <f t="shared" si="306"/>
        <v>8.5906943902127803E-2</v>
      </c>
      <c r="Z916" s="15">
        <f t="shared" si="307"/>
        <v>9.0287921908820526E-2</v>
      </c>
      <c r="AA916" s="15">
        <f t="shared" si="308"/>
        <v>9.9049877922205945E-2</v>
      </c>
      <c r="AC916" s="1"/>
      <c r="AD916" s="1"/>
      <c r="AE916" s="1"/>
    </row>
    <row r="917" spans="1:31">
      <c r="A917">
        <v>98</v>
      </c>
      <c r="B917">
        <f t="shared" si="288"/>
        <v>0.87488022571474777</v>
      </c>
      <c r="C917">
        <v>0.85925155488771265</v>
      </c>
      <c r="D917">
        <f t="shared" si="289"/>
        <v>1.1638035384535097</v>
      </c>
      <c r="E917" s="1">
        <f t="shared" si="290"/>
        <v>3.9096790308968704E-2</v>
      </c>
      <c r="F917" s="1">
        <f t="shared" si="291"/>
        <v>4.5352276758403698E-2</v>
      </c>
      <c r="G917" s="1">
        <f t="shared" si="292"/>
        <v>1.4074844511228743E-2</v>
      </c>
      <c r="H917" s="1">
        <f t="shared" si="293"/>
        <v>1.3638620031555707E-2</v>
      </c>
      <c r="I917" s="1">
        <f t="shared" si="294"/>
        <v>5.0123829886398241E-2</v>
      </c>
      <c r="J917" s="1">
        <f t="shared" si="295"/>
        <v>5.4303508425045388E-2</v>
      </c>
      <c r="K917" s="1">
        <f t="shared" si="296"/>
        <v>3.3391768086762058E-2</v>
      </c>
      <c r="L917" s="1">
        <f t="shared" si="297"/>
        <v>3.3110599969191579E-2</v>
      </c>
      <c r="M917" s="1">
        <f t="shared" si="298"/>
        <v>7.217790904125726E-2</v>
      </c>
      <c r="N917" s="1">
        <f t="shared" si="299"/>
        <v>7.2205971758328491E-2</v>
      </c>
      <c r="O917" s="1">
        <f t="shared" si="300"/>
        <v>7.2025615237828633E-2</v>
      </c>
      <c r="P917" s="1">
        <f t="shared" si="301"/>
        <v>7.2054559844463295E-2</v>
      </c>
      <c r="Q917" s="1">
        <f t="shared" si="302"/>
        <v>1.0947101286511245</v>
      </c>
      <c r="T917">
        <v>0.44794508834937841</v>
      </c>
      <c r="U917">
        <f t="shared" si="309"/>
        <v>2.2324164858797197</v>
      </c>
      <c r="V917" s="15">
        <f t="shared" si="303"/>
        <v>6.1283837939183336E-2</v>
      </c>
      <c r="W917" s="15">
        <f t="shared" si="304"/>
        <v>6.6251814157811478E-2</v>
      </c>
      <c r="X917" s="15">
        <f t="shared" si="305"/>
        <v>7.6187766595067638E-2</v>
      </c>
      <c r="Y917" s="15">
        <f t="shared" si="306"/>
        <v>8.5874332958147337E-2</v>
      </c>
      <c r="Z917" s="15">
        <f t="shared" si="307"/>
        <v>9.025618826396492E-2</v>
      </c>
      <c r="AA917" s="15">
        <f t="shared" si="308"/>
        <v>9.901989887560006E-2</v>
      </c>
      <c r="AC917" s="1"/>
      <c r="AD917" s="1"/>
      <c r="AE917" s="1"/>
    </row>
    <row r="918" spans="1:31">
      <c r="A918">
        <v>15</v>
      </c>
      <c r="B918">
        <f t="shared" si="288"/>
        <v>0.87524546518864454</v>
      </c>
      <c r="C918">
        <v>0.86005680902555171</v>
      </c>
      <c r="D918">
        <f t="shared" si="289"/>
        <v>1.1627138922753306</v>
      </c>
      <c r="E918" s="1">
        <f t="shared" si="290"/>
        <v>3.8873108604013412E-2</v>
      </c>
      <c r="F918" s="1">
        <f t="shared" si="291"/>
        <v>4.509280598065557E-2</v>
      </c>
      <c r="G918" s="1">
        <f t="shared" si="292"/>
        <v>1.3994319097444835E-2</v>
      </c>
      <c r="H918" s="1">
        <f t="shared" si="293"/>
        <v>1.3560590358076441E-2</v>
      </c>
      <c r="I918" s="1">
        <f t="shared" si="294"/>
        <v>4.9837059958757757E-2</v>
      </c>
      <c r="J918" s="1">
        <f t="shared" si="295"/>
        <v>5.3992825597795946E-2</v>
      </c>
      <c r="K918" s="1">
        <f t="shared" si="296"/>
        <v>3.320072612249611E-2</v>
      </c>
      <c r="L918" s="1">
        <f t="shared" si="297"/>
        <v>3.2921166632217558E-2</v>
      </c>
      <c r="M918" s="1">
        <f t="shared" si="298"/>
        <v>7.1764962668246335E-2</v>
      </c>
      <c r="N918" s="1">
        <f t="shared" si="299"/>
        <v>7.1792864832076531E-2</v>
      </c>
      <c r="O918" s="1">
        <f t="shared" si="300"/>
        <v>7.1613540172598689E-2</v>
      </c>
      <c r="P918" s="1">
        <f t="shared" si="301"/>
        <v>7.1642319180499736E-2</v>
      </c>
      <c r="Q918" s="1">
        <f t="shared" si="302"/>
        <v>1.0884470409123761</v>
      </c>
      <c r="T918">
        <v>0.64990174773589982</v>
      </c>
      <c r="U918">
        <f t="shared" si="309"/>
        <v>1.5386941233559652</v>
      </c>
      <c r="V918" s="15">
        <f t="shared" si="303"/>
        <v>0</v>
      </c>
      <c r="W918" s="15">
        <f t="shared" si="304"/>
        <v>0</v>
      </c>
      <c r="X918" s="15">
        <f t="shared" si="305"/>
        <v>0</v>
      </c>
      <c r="Y918" s="15">
        <f t="shared" si="306"/>
        <v>0</v>
      </c>
      <c r="Z918" s="15">
        <f t="shared" si="307"/>
        <v>0</v>
      </c>
      <c r="AA918" s="15">
        <f t="shared" si="308"/>
        <v>0</v>
      </c>
      <c r="AC918" s="1"/>
      <c r="AD918" s="1"/>
      <c r="AE918" s="1"/>
    </row>
    <row r="919" spans="1:31">
      <c r="A919">
        <v>966</v>
      </c>
      <c r="B919">
        <f t="shared" si="288"/>
        <v>0.8784252019323493</v>
      </c>
      <c r="C919">
        <v>0.86178034297408768</v>
      </c>
      <c r="D919">
        <f t="shared" si="289"/>
        <v>1.160388500564892</v>
      </c>
      <c r="E919" s="1">
        <f t="shared" si="290"/>
        <v>3.8394349173864528E-2</v>
      </c>
      <c r="F919" s="1">
        <f t="shared" si="291"/>
        <v>4.453744504168286E-2</v>
      </c>
      <c r="G919" s="1">
        <f t="shared" si="292"/>
        <v>1.3821965702591241E-2</v>
      </c>
      <c r="H919" s="1">
        <f t="shared" si="293"/>
        <v>1.3393578746567589E-2</v>
      </c>
      <c r="I919" s="1">
        <f t="shared" si="294"/>
        <v>4.9223269004470993E-2</v>
      </c>
      <c r="J919" s="1">
        <f t="shared" si="295"/>
        <v>5.3327852423701527E-2</v>
      </c>
      <c r="K919" s="1">
        <f t="shared" si="296"/>
        <v>3.2791827495919745E-2</v>
      </c>
      <c r="L919" s="1">
        <f t="shared" si="297"/>
        <v>3.2515711047555379E-2</v>
      </c>
      <c r="M919" s="1">
        <f t="shared" si="298"/>
        <v>7.0881108665683812E-2</v>
      </c>
      <c r="N919" s="1">
        <f t="shared" si="299"/>
        <v>7.0908667187738583E-2</v>
      </c>
      <c r="O919" s="1">
        <f t="shared" si="300"/>
        <v>7.0731551082576727E-2</v>
      </c>
      <c r="P919" s="1">
        <f t="shared" si="301"/>
        <v>7.0759975649530904E-2</v>
      </c>
      <c r="Q919" s="1">
        <f t="shared" si="302"/>
        <v>1.0750417768682077</v>
      </c>
      <c r="T919">
        <v>3.6373307417926215E-3</v>
      </c>
      <c r="U919">
        <f t="shared" si="309"/>
        <v>274.92688209793101</v>
      </c>
      <c r="V919" s="15">
        <f t="shared" si="303"/>
        <v>0.10304197639427203</v>
      </c>
      <c r="W919" s="15">
        <f t="shared" si="304"/>
        <v>0.1057753682453844</v>
      </c>
      <c r="X919" s="15">
        <f t="shared" si="305"/>
        <v>0.11124215194760896</v>
      </c>
      <c r="Y919" s="15">
        <f t="shared" si="306"/>
        <v>0.14763297309330198</v>
      </c>
      <c r="Z919" s="15">
        <f t="shared" si="307"/>
        <v>0.14970192057754048</v>
      </c>
      <c r="AA919" s="15">
        <f t="shared" si="308"/>
        <v>0.15383981554601778</v>
      </c>
      <c r="AC919" s="1"/>
      <c r="AD919" s="1"/>
      <c r="AE919" s="1"/>
    </row>
    <row r="920" spans="1:31">
      <c r="A920">
        <v>682</v>
      </c>
      <c r="B920">
        <f t="shared" si="288"/>
        <v>0.87860032680241429</v>
      </c>
      <c r="C920">
        <v>0.86202396703514861</v>
      </c>
      <c r="D920">
        <f t="shared" si="289"/>
        <v>1.1600605531182702</v>
      </c>
      <c r="E920" s="1">
        <f t="shared" si="290"/>
        <v>3.8326675823569828E-2</v>
      </c>
      <c r="F920" s="1">
        <f t="shared" si="291"/>
        <v>4.4458943955341002E-2</v>
      </c>
      <c r="G920" s="1">
        <f t="shared" si="292"/>
        <v>1.3797603296485147E-2</v>
      </c>
      <c r="H920" s="1">
        <f t="shared" si="293"/>
        <v>1.336997140940159E-2</v>
      </c>
      <c r="I920" s="1">
        <f t="shared" si="294"/>
        <v>4.9136508749442143E-2</v>
      </c>
      <c r="J920" s="1">
        <f t="shared" si="295"/>
        <v>5.3233857486550962E-2</v>
      </c>
      <c r="K920" s="1">
        <f t="shared" si="296"/>
        <v>3.2734029073061055E-2</v>
      </c>
      <c r="L920" s="1">
        <f t="shared" si="297"/>
        <v>3.2458399303740199E-2</v>
      </c>
      <c r="M920" s="1">
        <f t="shared" si="298"/>
        <v>7.0756174601186772E-2</v>
      </c>
      <c r="N920" s="1">
        <f t="shared" si="299"/>
        <v>7.078368454897066E-2</v>
      </c>
      <c r="O920" s="1">
        <f t="shared" si="300"/>
        <v>7.0606880626212898E-2</v>
      </c>
      <c r="P920" s="1">
        <f t="shared" si="301"/>
        <v>7.0635255092417359E-2</v>
      </c>
      <c r="Q920" s="1">
        <f t="shared" si="302"/>
        <v>1.073146923059956</v>
      </c>
      <c r="T920">
        <v>0.26320863250274884</v>
      </c>
      <c r="U920">
        <f t="shared" si="309"/>
        <v>3.7992674878912127</v>
      </c>
      <c r="V920" s="15">
        <f t="shared" si="303"/>
        <v>7.3369031067709409E-2</v>
      </c>
      <c r="W920" s="15">
        <f t="shared" si="304"/>
        <v>7.7855423510740568E-2</v>
      </c>
      <c r="X920" s="15">
        <f t="shared" si="305"/>
        <v>8.6828208396802942E-2</v>
      </c>
      <c r="Y920" s="15">
        <f t="shared" si="306"/>
        <v>0.10376092821941714</v>
      </c>
      <c r="Z920" s="15">
        <f t="shared" si="307"/>
        <v>0.10766159860833002</v>
      </c>
      <c r="AA920" s="15">
        <f t="shared" si="308"/>
        <v>0.1154629393861559</v>
      </c>
      <c r="AC920" s="1"/>
      <c r="AD920" s="1"/>
      <c r="AE920" s="1"/>
    </row>
    <row r="921" spans="1:31">
      <c r="A921">
        <v>943</v>
      </c>
      <c r="B921">
        <f t="shared" si="288"/>
        <v>0.87993584654704404</v>
      </c>
      <c r="C921">
        <v>0.8659375147896804</v>
      </c>
      <c r="D921">
        <f t="shared" si="289"/>
        <v>1.1548177355994107</v>
      </c>
      <c r="E921" s="1">
        <f t="shared" si="290"/>
        <v>3.7239579225088776E-2</v>
      </c>
      <c r="F921" s="1">
        <f t="shared" si="291"/>
        <v>4.3197911901102976E-2</v>
      </c>
      <c r="G921" s="1">
        <f t="shared" si="292"/>
        <v>1.3406248521031977E-2</v>
      </c>
      <c r="H921" s="1">
        <f t="shared" si="293"/>
        <v>1.2990745971018777E-2</v>
      </c>
      <c r="I921" s="1">
        <f t="shared" si="294"/>
        <v>4.7742802398057949E-2</v>
      </c>
      <c r="J921" s="1">
        <f t="shared" si="295"/>
        <v>5.1723934067571198E-2</v>
      </c>
      <c r="K921" s="1">
        <f t="shared" si="296"/>
        <v>3.1805562126861142E-2</v>
      </c>
      <c r="L921" s="1">
        <f t="shared" si="297"/>
        <v>3.1537750311438711E-2</v>
      </c>
      <c r="M921" s="1">
        <f t="shared" si="298"/>
        <v>6.8749248743996239E-2</v>
      </c>
      <c r="N921" s="1">
        <f t="shared" si="299"/>
        <v>6.8775978400507365E-2</v>
      </c>
      <c r="O921" s="1">
        <f t="shared" si="300"/>
        <v>6.8604189338519472E-2</v>
      </c>
      <c r="P921" s="1">
        <f t="shared" si="301"/>
        <v>6.8631758992278524E-2</v>
      </c>
      <c r="Q921" s="1">
        <f t="shared" si="302"/>
        <v>1.0427082183024865</v>
      </c>
      <c r="T921">
        <v>0.41664977408302795</v>
      </c>
      <c r="U921">
        <f t="shared" si="309"/>
        <v>2.4000973052267272</v>
      </c>
      <c r="V921" s="15">
        <f t="shared" si="303"/>
        <v>6.3331132368393106E-2</v>
      </c>
      <c r="W921" s="15">
        <f t="shared" si="304"/>
        <v>6.8217525796370582E-2</v>
      </c>
      <c r="X921" s="15">
        <f t="shared" si="305"/>
        <v>7.7990312652325422E-2</v>
      </c>
      <c r="Y921" s="15">
        <f t="shared" si="306"/>
        <v>8.890441501364145E-2</v>
      </c>
      <c r="Z921" s="15">
        <f t="shared" si="307"/>
        <v>9.3204755097540615E-2</v>
      </c>
      <c r="AA921" s="15">
        <f t="shared" si="308"/>
        <v>0.10180543526533894</v>
      </c>
      <c r="AC921" s="1"/>
      <c r="AD921" s="1"/>
      <c r="AE921" s="1"/>
    </row>
    <row r="922" spans="1:31">
      <c r="A922">
        <v>372</v>
      </c>
      <c r="B922">
        <f t="shared" si="288"/>
        <v>0.88015917965016111</v>
      </c>
      <c r="C922">
        <v>0.86656379106548698</v>
      </c>
      <c r="D922">
        <f t="shared" si="289"/>
        <v>1.1539831346639189</v>
      </c>
      <c r="E922" s="1">
        <f t="shared" si="290"/>
        <v>3.7065613592920266E-2</v>
      </c>
      <c r="F922" s="1">
        <f t="shared" si="291"/>
        <v>4.2996111767787532E-2</v>
      </c>
      <c r="G922" s="1">
        <f t="shared" si="292"/>
        <v>1.3343620893451313E-2</v>
      </c>
      <c r="H922" s="1">
        <f t="shared" si="293"/>
        <v>1.2930059374064273E-2</v>
      </c>
      <c r="I922" s="1">
        <f t="shared" si="294"/>
        <v>4.7519770694330277E-2</v>
      </c>
      <c r="J922" s="1">
        <f t="shared" si="295"/>
        <v>5.1482304406991031E-2</v>
      </c>
      <c r="K922" s="1">
        <f t="shared" si="296"/>
        <v>3.1656981642413928E-2</v>
      </c>
      <c r="L922" s="1">
        <f t="shared" si="297"/>
        <v>3.1390420916631662E-2</v>
      </c>
      <c r="M922" s="1">
        <f t="shared" si="298"/>
        <v>6.8428084897150188E-2</v>
      </c>
      <c r="N922" s="1">
        <f t="shared" si="299"/>
        <v>6.8454689685397752E-2</v>
      </c>
      <c r="O922" s="1">
        <f t="shared" si="300"/>
        <v>6.8283703140339158E-2</v>
      </c>
      <c r="P922" s="1">
        <f t="shared" si="301"/>
        <v>6.8311144001766411E-2</v>
      </c>
      <c r="Q922" s="1">
        <f t="shared" si="302"/>
        <v>1.0378371806017688</v>
      </c>
      <c r="T922">
        <v>0.3214368187379163</v>
      </c>
      <c r="U922">
        <f t="shared" si="309"/>
        <v>3.111031287350285</v>
      </c>
      <c r="V922" s="15">
        <f t="shared" si="303"/>
        <v>6.9559826907378428E-2</v>
      </c>
      <c r="W922" s="15">
        <f t="shared" si="304"/>
        <v>7.4198012615278641E-2</v>
      </c>
      <c r="X922" s="15">
        <f t="shared" si="305"/>
        <v>8.3474384031079041E-2</v>
      </c>
      <c r="Y922" s="15">
        <f t="shared" si="306"/>
        <v>9.8123145491513381E-2</v>
      </c>
      <c r="Z922" s="15">
        <f t="shared" si="307"/>
        <v>0.10217548342664326</v>
      </c>
      <c r="AA922" s="15">
        <f t="shared" si="308"/>
        <v>0.11028015929690306</v>
      </c>
      <c r="AC922" s="1"/>
      <c r="AD922" s="1"/>
      <c r="AE922" s="1"/>
    </row>
    <row r="923" spans="1:31">
      <c r="A923">
        <v>358</v>
      </c>
      <c r="B923">
        <f t="shared" si="288"/>
        <v>0.88024262632977823</v>
      </c>
      <c r="C923">
        <v>0.86679779433239923</v>
      </c>
      <c r="D923">
        <f t="shared" si="289"/>
        <v>1.1536716020028548</v>
      </c>
      <c r="E923" s="1">
        <f t="shared" si="290"/>
        <v>3.7000612685444634E-2</v>
      </c>
      <c r="F923" s="1">
        <f t="shared" si="291"/>
        <v>4.2920710715115801E-2</v>
      </c>
      <c r="G923" s="1">
        <f t="shared" si="292"/>
        <v>1.3320220566760091E-2</v>
      </c>
      <c r="H923" s="1">
        <f t="shared" si="293"/>
        <v>1.2907384298392818E-2</v>
      </c>
      <c r="I923" s="1">
        <f t="shared" si="294"/>
        <v>4.7436436630254375E-2</v>
      </c>
      <c r="J923" s="1">
        <f t="shared" si="295"/>
        <v>5.1392021360765372E-2</v>
      </c>
      <c r="K923" s="1">
        <f t="shared" si="296"/>
        <v>3.1601465698248121E-2</v>
      </c>
      <c r="L923" s="1">
        <f t="shared" si="297"/>
        <v>3.1335372432394148E-2</v>
      </c>
      <c r="M923" s="1">
        <f t="shared" si="298"/>
        <v>6.8308084519873691E-2</v>
      </c>
      <c r="N923" s="1">
        <f t="shared" si="299"/>
        <v>6.8334642652064348E-2</v>
      </c>
      <c r="O923" s="1">
        <f t="shared" si="300"/>
        <v>6.8163955961224154E-2</v>
      </c>
      <c r="P923" s="1">
        <f t="shared" si="301"/>
        <v>6.8191348700396781E-2</v>
      </c>
      <c r="Q923" s="1">
        <f t="shared" si="302"/>
        <v>1.0360171551924511</v>
      </c>
      <c r="T923">
        <v>0.71438530927594679</v>
      </c>
      <c r="U923">
        <f t="shared" si="309"/>
        <v>1.3998048210335305</v>
      </c>
      <c r="V923" s="15">
        <f t="shared" si="303"/>
        <v>0</v>
      </c>
      <c r="W923" s="15">
        <f t="shared" si="304"/>
        <v>0</v>
      </c>
      <c r="X923" s="15">
        <f t="shared" si="305"/>
        <v>0</v>
      </c>
      <c r="Y923" s="15">
        <f t="shared" si="306"/>
        <v>0</v>
      </c>
      <c r="Z923" s="15">
        <f t="shared" si="307"/>
        <v>0</v>
      </c>
      <c r="AA923" s="15">
        <f t="shared" si="308"/>
        <v>0</v>
      </c>
      <c r="AC923" s="1"/>
      <c r="AD923" s="1"/>
      <c r="AE923" s="1"/>
    </row>
    <row r="924" spans="1:31">
      <c r="A924">
        <v>761</v>
      </c>
      <c r="B924">
        <f t="shared" si="288"/>
        <v>0.88119439945048095</v>
      </c>
      <c r="C924">
        <v>0.86923099872439824</v>
      </c>
      <c r="D924">
        <f t="shared" si="289"/>
        <v>1.1504421741372617</v>
      </c>
      <c r="E924" s="1">
        <f t="shared" si="290"/>
        <v>3.6324722576556029E-2</v>
      </c>
      <c r="F924" s="1">
        <f t="shared" si="291"/>
        <v>4.213667818880501E-2</v>
      </c>
      <c r="G924" s="1">
        <f t="shared" si="292"/>
        <v>1.3076900127560187E-2</v>
      </c>
      <c r="H924" s="1">
        <f t="shared" si="293"/>
        <v>1.2671605138380712E-2</v>
      </c>
      <c r="I924" s="1">
        <f t="shared" si="294"/>
        <v>4.6569915348785906E-2</v>
      </c>
      <c r="J924" s="1">
        <f t="shared" si="295"/>
        <v>5.0453243421901717E-2</v>
      </c>
      <c r="K924" s="1">
        <f t="shared" si="296"/>
        <v>3.1024201795257916E-2</v>
      </c>
      <c r="L924" s="1">
        <f t="shared" si="297"/>
        <v>3.0762969254494149E-2</v>
      </c>
      <c r="M924" s="1">
        <f t="shared" si="298"/>
        <v>6.7060300893245495E-2</v>
      </c>
      <c r="N924" s="1">
        <f t="shared" si="299"/>
        <v>6.7086373888094963E-2</v>
      </c>
      <c r="O924" s="1">
        <f t="shared" si="300"/>
        <v>6.6918805130653347E-2</v>
      </c>
      <c r="P924" s="1">
        <f t="shared" si="301"/>
        <v>6.6945697486720968E-2</v>
      </c>
      <c r="Q924" s="1">
        <f t="shared" si="302"/>
        <v>1.01709223214357</v>
      </c>
      <c r="T924">
        <v>0.13169368102698209</v>
      </c>
      <c r="U924">
        <f t="shared" si="309"/>
        <v>7.5933787574448219</v>
      </c>
      <c r="V924" s="15">
        <f t="shared" si="303"/>
        <v>8.6792496531434213E-2</v>
      </c>
      <c r="W924" s="15">
        <f t="shared" si="304"/>
        <v>9.0572735237370611E-2</v>
      </c>
      <c r="X924" s="15">
        <f t="shared" si="305"/>
        <v>9.8133212649243282E-2</v>
      </c>
      <c r="Y924" s="15">
        <f t="shared" si="306"/>
        <v>0.1236194461308829</v>
      </c>
      <c r="Z924" s="15">
        <f t="shared" si="307"/>
        <v>0.12678984308119026</v>
      </c>
      <c r="AA924" s="15">
        <f t="shared" si="308"/>
        <v>0.13313063698180491</v>
      </c>
      <c r="AC924" s="1"/>
      <c r="AD924" s="1"/>
      <c r="AE924" s="1"/>
    </row>
    <row r="925" spans="1:31">
      <c r="A925">
        <v>261</v>
      </c>
      <c r="B925">
        <f t="shared" si="288"/>
        <v>0.88139092530093555</v>
      </c>
      <c r="C925">
        <v>0.86960964291981313</v>
      </c>
      <c r="D925">
        <f t="shared" si="289"/>
        <v>1.1499412502400346</v>
      </c>
      <c r="E925" s="1">
        <f t="shared" si="290"/>
        <v>3.6219543633385226E-2</v>
      </c>
      <c r="F925" s="1">
        <f t="shared" si="291"/>
        <v>4.2014670614726884E-2</v>
      </c>
      <c r="G925" s="1">
        <f t="shared" si="292"/>
        <v>1.3039035708018704E-2</v>
      </c>
      <c r="H925" s="1">
        <f t="shared" si="293"/>
        <v>1.2634914258390542E-2</v>
      </c>
      <c r="I925" s="1">
        <f t="shared" si="294"/>
        <v>4.643507124998747E-2</v>
      </c>
      <c r="J925" s="1">
        <f t="shared" si="295"/>
        <v>5.0307155070876575E-2</v>
      </c>
      <c r="K925" s="1">
        <f t="shared" si="296"/>
        <v>3.0934370613459744E-2</v>
      </c>
      <c r="L925" s="1">
        <f t="shared" si="297"/>
        <v>3.0673894476616226E-2</v>
      </c>
      <c r="M925" s="1">
        <f t="shared" si="298"/>
        <v>6.686612648319179E-2</v>
      </c>
      <c r="N925" s="1">
        <f t="shared" si="299"/>
        <v>6.6892123983175844E-2</v>
      </c>
      <c r="O925" s="1">
        <f t="shared" si="300"/>
        <v>6.6725040424341797E-2</v>
      </c>
      <c r="P925" s="1">
        <f t="shared" si="301"/>
        <v>6.6751854913067565E-2</v>
      </c>
      <c r="Q925" s="1">
        <f t="shared" si="302"/>
        <v>1.0141472217347873</v>
      </c>
      <c r="T925">
        <v>0.96703931632534945</v>
      </c>
      <c r="U925">
        <f t="shared" si="309"/>
        <v>1.0340841195577215</v>
      </c>
      <c r="V925" s="15">
        <f t="shared" si="303"/>
        <v>0</v>
      </c>
      <c r="W925" s="15">
        <f t="shared" si="304"/>
        <v>0</v>
      </c>
      <c r="X925" s="15">
        <f t="shared" si="305"/>
        <v>0</v>
      </c>
      <c r="Y925" s="15">
        <f t="shared" si="306"/>
        <v>0</v>
      </c>
      <c r="Z925" s="15">
        <f t="shared" si="307"/>
        <v>0</v>
      </c>
      <c r="AA925" s="15">
        <f t="shared" si="308"/>
        <v>0</v>
      </c>
      <c r="AC925" s="1"/>
      <c r="AD925" s="1"/>
      <c r="AE925" s="1"/>
    </row>
    <row r="926" spans="1:31">
      <c r="A926">
        <v>377</v>
      </c>
      <c r="B926">
        <f t="shared" si="288"/>
        <v>0.88154324169703169</v>
      </c>
      <c r="C926">
        <v>0.86999036360598336</v>
      </c>
      <c r="D926">
        <f t="shared" si="289"/>
        <v>1.149438018893848</v>
      </c>
      <c r="E926" s="1">
        <f t="shared" si="290"/>
        <v>3.6113787887226828E-2</v>
      </c>
      <c r="F926" s="1">
        <f t="shared" si="291"/>
        <v>4.1891993949183137E-2</v>
      </c>
      <c r="G926" s="1">
        <f t="shared" si="292"/>
        <v>1.3000963639401675E-2</v>
      </c>
      <c r="H926" s="1">
        <f t="shared" si="293"/>
        <v>1.2598022165034292E-2</v>
      </c>
      <c r="I926" s="1">
        <f t="shared" si="294"/>
        <v>4.6299487664018812E-2</v>
      </c>
      <c r="J926" s="1">
        <f t="shared" si="295"/>
        <v>5.0160265569024254E-2</v>
      </c>
      <c r="K926" s="1">
        <f t="shared" si="296"/>
        <v>3.0844046796040026E-2</v>
      </c>
      <c r="L926" s="1">
        <f t="shared" si="297"/>
        <v>3.0584331211247845E-2</v>
      </c>
      <c r="M926" s="1">
        <f t="shared" si="298"/>
        <v>6.6670887217602781E-2</v>
      </c>
      <c r="N926" s="1">
        <f t="shared" si="299"/>
        <v>6.669680880870632E-2</v>
      </c>
      <c r="O926" s="1">
        <f t="shared" si="300"/>
        <v>6.6530213109316727E-2</v>
      </c>
      <c r="P926" s="1">
        <f t="shared" si="301"/>
        <v>6.6556949303674895E-2</v>
      </c>
      <c r="Q926" s="1">
        <f t="shared" si="302"/>
        <v>1.011186060842352</v>
      </c>
      <c r="T926">
        <v>0.59429765797411882</v>
      </c>
      <c r="U926">
        <f t="shared" si="309"/>
        <v>1.6826584903747832</v>
      </c>
      <c r="V926" s="15">
        <f t="shared" si="303"/>
        <v>0</v>
      </c>
      <c r="W926" s="15">
        <f t="shared" si="304"/>
        <v>0</v>
      </c>
      <c r="X926" s="15">
        <f t="shared" si="305"/>
        <v>0</v>
      </c>
      <c r="Y926" s="15">
        <f t="shared" si="306"/>
        <v>0</v>
      </c>
      <c r="Z926" s="15">
        <f t="shared" si="307"/>
        <v>0</v>
      </c>
      <c r="AA926" s="15">
        <f t="shared" si="308"/>
        <v>0</v>
      </c>
      <c r="AC926" s="1"/>
      <c r="AD926" s="1"/>
      <c r="AE926" s="1"/>
    </row>
    <row r="927" spans="1:31">
      <c r="A927">
        <v>259</v>
      </c>
      <c r="B927">
        <f t="shared" si="288"/>
        <v>0.88155237311019774</v>
      </c>
      <c r="C927">
        <v>0.8700541401857691</v>
      </c>
      <c r="D927">
        <f t="shared" si="289"/>
        <v>1.1493537629583437</v>
      </c>
      <c r="E927" s="1">
        <f t="shared" si="290"/>
        <v>3.6096072170619692E-2</v>
      </c>
      <c r="F927" s="1">
        <f t="shared" si="291"/>
        <v>4.1871443717918844E-2</v>
      </c>
      <c r="G927" s="1">
        <f t="shared" si="292"/>
        <v>1.2994585981423099E-2</v>
      </c>
      <c r="H927" s="1">
        <f t="shared" si="293"/>
        <v>1.2591842171088954E-2</v>
      </c>
      <c r="I927" s="1">
        <f t="shared" si="294"/>
        <v>4.627677532475738E-2</v>
      </c>
      <c r="J927" s="1">
        <f t="shared" si="295"/>
        <v>5.0135659314689052E-2</v>
      </c>
      <c r="K927" s="1">
        <f t="shared" si="296"/>
        <v>3.0828916165219405E-2</v>
      </c>
      <c r="L927" s="1">
        <f t="shared" si="297"/>
        <v>3.0569327984611816E-2</v>
      </c>
      <c r="M927" s="1">
        <f t="shared" si="298"/>
        <v>6.6638181633032589E-2</v>
      </c>
      <c r="N927" s="1">
        <f t="shared" si="299"/>
        <v>6.6664090508229301E-2</v>
      </c>
      <c r="O927" s="1">
        <f t="shared" si="300"/>
        <v>6.6497576532811964E-2</v>
      </c>
      <c r="P927" s="1">
        <f t="shared" si="301"/>
        <v>6.6524299611657511E-2</v>
      </c>
      <c r="Q927" s="1">
        <f t="shared" si="302"/>
        <v>1.0106900207773517</v>
      </c>
      <c r="T927">
        <v>0.73408305614304015</v>
      </c>
      <c r="U927">
        <f t="shared" si="309"/>
        <v>1.3622436747881352</v>
      </c>
      <c r="V927" s="15">
        <f t="shared" si="303"/>
        <v>0</v>
      </c>
      <c r="W927" s="15">
        <f t="shared" si="304"/>
        <v>0</v>
      </c>
      <c r="X927" s="15">
        <f t="shared" si="305"/>
        <v>0</v>
      </c>
      <c r="Y927" s="15">
        <f t="shared" si="306"/>
        <v>0</v>
      </c>
      <c r="Z927" s="15">
        <f t="shared" si="307"/>
        <v>0</v>
      </c>
      <c r="AA927" s="15">
        <f t="shared" si="308"/>
        <v>0</v>
      </c>
      <c r="AC927" s="1"/>
      <c r="AD927" s="1"/>
      <c r="AE927" s="1"/>
    </row>
    <row r="928" spans="1:31">
      <c r="A928">
        <v>71</v>
      </c>
      <c r="B928">
        <f t="shared" si="288"/>
        <v>0.88214305456043796</v>
      </c>
      <c r="C928">
        <v>0.87124431747882958</v>
      </c>
      <c r="D928">
        <f t="shared" si="289"/>
        <v>1.1477836697905339</v>
      </c>
      <c r="E928" s="1">
        <f t="shared" si="290"/>
        <v>3.5765467366991766E-2</v>
      </c>
      <c r="F928" s="1">
        <f t="shared" si="291"/>
        <v>4.1487942145710471E-2</v>
      </c>
      <c r="G928" s="1">
        <f t="shared" si="292"/>
        <v>1.2875568252117053E-2</v>
      </c>
      <c r="H928" s="1">
        <f t="shared" si="293"/>
        <v>1.2476513182144974E-2</v>
      </c>
      <c r="I928" s="1">
        <f t="shared" si="294"/>
        <v>4.5852925213131446E-2</v>
      </c>
      <c r="J928" s="1">
        <f t="shared" si="295"/>
        <v>4.967646559066996E-2</v>
      </c>
      <c r="K928" s="1">
        <f t="shared" si="296"/>
        <v>3.0546553371653185E-2</v>
      </c>
      <c r="L928" s="1">
        <f t="shared" si="297"/>
        <v>3.0289342765510457E-2</v>
      </c>
      <c r="M928" s="1">
        <f t="shared" si="298"/>
        <v>6.6027840905410695E-2</v>
      </c>
      <c r="N928" s="1">
        <f t="shared" si="299"/>
        <v>6.6053512480588827E-2</v>
      </c>
      <c r="O928" s="1">
        <f t="shared" si="300"/>
        <v>6.5888523610725447E-2</v>
      </c>
      <c r="P928" s="1">
        <f t="shared" si="301"/>
        <v>6.5915001932241368E-2</v>
      </c>
      <c r="Q928" s="1">
        <f t="shared" si="302"/>
        <v>1.0014330862757701</v>
      </c>
      <c r="T928">
        <v>8.9771893460108054E-2</v>
      </c>
      <c r="U928">
        <f t="shared" si="309"/>
        <v>11.139343968993703</v>
      </c>
      <c r="V928" s="15">
        <f t="shared" si="303"/>
        <v>9.4028062964314069E-2</v>
      </c>
      <c r="W928" s="15">
        <f t="shared" si="304"/>
        <v>9.7365533870032772E-2</v>
      </c>
      <c r="X928" s="15">
        <f t="shared" si="305"/>
        <v>0.10404047568147007</v>
      </c>
      <c r="Y928" s="15">
        <f t="shared" si="306"/>
        <v>0.13431732833904358</v>
      </c>
      <c r="Z928" s="15">
        <f t="shared" si="307"/>
        <v>0.13702346265985996</v>
      </c>
      <c r="AA928" s="15">
        <f t="shared" si="308"/>
        <v>0.14243573130149256</v>
      </c>
      <c r="AC928" s="1"/>
      <c r="AD928" s="1"/>
      <c r="AE928" s="1"/>
    </row>
    <row r="929" spans="1:31">
      <c r="A929">
        <v>345</v>
      </c>
      <c r="B929">
        <f t="shared" si="288"/>
        <v>0.88295813398000067</v>
      </c>
      <c r="C929">
        <v>0.8720150272344469</v>
      </c>
      <c r="D929">
        <f t="shared" si="289"/>
        <v>1.1467692284747102</v>
      </c>
      <c r="E929" s="1">
        <f t="shared" si="290"/>
        <v>3.555138132376473E-2</v>
      </c>
      <c r="F929" s="1">
        <f t="shared" si="291"/>
        <v>4.1239602335567116E-2</v>
      </c>
      <c r="G929" s="1">
        <f t="shared" si="292"/>
        <v>1.2798497276555326E-2</v>
      </c>
      <c r="H929" s="1">
        <f t="shared" si="293"/>
        <v>1.2401830882791023E-2</v>
      </c>
      <c r="I929" s="1">
        <f t="shared" si="294"/>
        <v>4.5578457352036916E-2</v>
      </c>
      <c r="J929" s="1">
        <f t="shared" si="295"/>
        <v>4.937911066306111E-2</v>
      </c>
      <c r="K929" s="1">
        <f t="shared" si="296"/>
        <v>3.0363706865595891E-2</v>
      </c>
      <c r="L929" s="1">
        <f t="shared" si="297"/>
        <v>3.0108035878672446E-2</v>
      </c>
      <c r="M929" s="1">
        <f t="shared" si="298"/>
        <v>6.5632609408581122E-2</v>
      </c>
      <c r="N929" s="1">
        <f t="shared" si="299"/>
        <v>6.565812731804882E-2</v>
      </c>
      <c r="O929" s="1">
        <f t="shared" si="300"/>
        <v>6.5494126043677048E-2</v>
      </c>
      <c r="P929" s="1">
        <f t="shared" si="301"/>
        <v>6.5520445870435207E-2</v>
      </c>
      <c r="Q929" s="1">
        <f t="shared" si="302"/>
        <v>0.99543867706541356</v>
      </c>
      <c r="T929">
        <v>0.319759389661745</v>
      </c>
      <c r="U929">
        <f t="shared" si="309"/>
        <v>3.1273514784283343</v>
      </c>
      <c r="V929" s="15">
        <f t="shared" si="303"/>
        <v>6.9669561903928132E-2</v>
      </c>
      <c r="W929" s="15">
        <f t="shared" si="304"/>
        <v>7.4303374773645986E-2</v>
      </c>
      <c r="X929" s="15">
        <f t="shared" si="305"/>
        <v>8.3571000513081695E-2</v>
      </c>
      <c r="Y929" s="15">
        <f t="shared" si="306"/>
        <v>9.8285557912101723E-2</v>
      </c>
      <c r="Z929" s="15">
        <f t="shared" si="307"/>
        <v>0.10233352663073379</v>
      </c>
      <c r="AA929" s="15">
        <f t="shared" si="308"/>
        <v>0.11042946406799797</v>
      </c>
      <c r="AC929" s="1"/>
      <c r="AD929" s="1"/>
      <c r="AE929" s="1"/>
    </row>
    <row r="930" spans="1:31">
      <c r="A930">
        <v>201</v>
      </c>
      <c r="B930">
        <f t="shared" si="288"/>
        <v>0.88303351249658757</v>
      </c>
      <c r="C930">
        <v>0.87258349713676719</v>
      </c>
      <c r="D930">
        <f t="shared" si="289"/>
        <v>1.1460221323017548</v>
      </c>
      <c r="E930" s="1">
        <f t="shared" si="290"/>
        <v>3.5393473017564653E-2</v>
      </c>
      <c r="F930" s="1">
        <f t="shared" si="291"/>
        <v>4.1056428700375014E-2</v>
      </c>
      <c r="G930" s="1">
        <f t="shared" si="292"/>
        <v>1.2741650286323292E-2</v>
      </c>
      <c r="H930" s="1">
        <f t="shared" si="293"/>
        <v>1.2346745762732064E-2</v>
      </c>
      <c r="I930" s="1">
        <f t="shared" si="294"/>
        <v>4.5376011856765486E-2</v>
      </c>
      <c r="J930" s="1">
        <f t="shared" si="295"/>
        <v>4.9159783834225368E-2</v>
      </c>
      <c r="K930" s="1">
        <f t="shared" si="296"/>
        <v>3.0228840614480723E-2</v>
      </c>
      <c r="L930" s="1">
        <f t="shared" si="297"/>
        <v>2.9974305239479693E-2</v>
      </c>
      <c r="M930" s="1">
        <f t="shared" si="298"/>
        <v>6.5341089535167041E-2</v>
      </c>
      <c r="N930" s="1">
        <f t="shared" si="299"/>
        <v>6.5366494101925909E-2</v>
      </c>
      <c r="O930" s="1">
        <f t="shared" si="300"/>
        <v>6.5203221270795586E-2</v>
      </c>
      <c r="P930" s="1">
        <f t="shared" si="301"/>
        <v>6.5229424192974894E-2</v>
      </c>
      <c r="Q930" s="1">
        <f t="shared" si="302"/>
        <v>0.99101724449181106</v>
      </c>
      <c r="T930">
        <v>0.31760371391663711</v>
      </c>
      <c r="U930">
        <f t="shared" si="309"/>
        <v>3.1485777910722876</v>
      </c>
      <c r="V930" s="15">
        <f t="shared" si="303"/>
        <v>6.9810583109421745E-2</v>
      </c>
      <c r="W930" s="15">
        <f t="shared" si="304"/>
        <v>7.4438776414449265E-2</v>
      </c>
      <c r="X930" s="15">
        <f t="shared" si="305"/>
        <v>8.3695163024504318E-2</v>
      </c>
      <c r="Y930" s="15">
        <f t="shared" si="306"/>
        <v>9.8494275240744708E-2</v>
      </c>
      <c r="Z930" s="15">
        <f t="shared" si="307"/>
        <v>0.10253662904893839</v>
      </c>
      <c r="AA930" s="15">
        <f t="shared" si="308"/>
        <v>0.11062133666532581</v>
      </c>
      <c r="AC930" s="1"/>
      <c r="AD930" s="1"/>
      <c r="AE930" s="1"/>
    </row>
    <row r="931" spans="1:31">
      <c r="A931">
        <v>859</v>
      </c>
      <c r="B931">
        <f t="shared" si="288"/>
        <v>0.88417698029918457</v>
      </c>
      <c r="C931">
        <v>0.87380882495409518</v>
      </c>
      <c r="D931">
        <f t="shared" si="289"/>
        <v>1.1444150842176881</v>
      </c>
      <c r="E931" s="1">
        <f t="shared" si="290"/>
        <v>3.5053104179417982E-2</v>
      </c>
      <c r="F931" s="1">
        <f t="shared" si="291"/>
        <v>4.0661600848124896E-2</v>
      </c>
      <c r="G931" s="1">
        <f t="shared" si="292"/>
        <v>1.2619117504590494E-2</v>
      </c>
      <c r="H931" s="1">
        <f t="shared" si="293"/>
        <v>1.2228010664086408E-2</v>
      </c>
      <c r="I931" s="1">
        <f t="shared" si="294"/>
        <v>4.4939643817162478E-2</v>
      </c>
      <c r="J931" s="1">
        <f t="shared" si="295"/>
        <v>4.8687028349085726E-2</v>
      </c>
      <c r="K931" s="1">
        <f t="shared" si="296"/>
        <v>2.9938138558952998E-2</v>
      </c>
      <c r="L931" s="1">
        <f t="shared" si="297"/>
        <v>2.9686050977357631E-2</v>
      </c>
      <c r="M931" s="1">
        <f t="shared" si="298"/>
        <v>6.4712723092651359E-2</v>
      </c>
      <c r="N931" s="1">
        <f t="shared" si="299"/>
        <v>6.4737883351007164E-2</v>
      </c>
      <c r="O931" s="1">
        <f t="shared" si="300"/>
        <v>6.4576180667677952E-2</v>
      </c>
      <c r="P931" s="1">
        <f t="shared" si="301"/>
        <v>6.4602131603900048E-2</v>
      </c>
      <c r="Q931" s="1">
        <f t="shared" si="302"/>
        <v>0.98148691702370439</v>
      </c>
      <c r="T931">
        <v>0.31098048824498115</v>
      </c>
      <c r="U931">
        <f t="shared" si="309"/>
        <v>3.2156358286125974</v>
      </c>
      <c r="V931" s="15">
        <f t="shared" si="303"/>
        <v>7.0243865002857148E-2</v>
      </c>
      <c r="W931" s="15">
        <f t="shared" si="304"/>
        <v>7.4854792424922004E-2</v>
      </c>
      <c r="X931" s="15">
        <f t="shared" si="305"/>
        <v>8.4076647269051716E-2</v>
      </c>
      <c r="Y931" s="15">
        <f t="shared" si="306"/>
        <v>9.9135550707300776E-2</v>
      </c>
      <c r="Z931" s="15">
        <f t="shared" si="307"/>
        <v>0.10316065293253077</v>
      </c>
      <c r="AA931" s="15">
        <f t="shared" si="308"/>
        <v>0.1112108573829908</v>
      </c>
      <c r="AC931" s="1"/>
      <c r="AD931" s="1"/>
      <c r="AE931" s="1"/>
    </row>
    <row r="932" spans="1:31">
      <c r="A932">
        <v>188</v>
      </c>
      <c r="B932">
        <f t="shared" si="288"/>
        <v>0.88477012902118479</v>
      </c>
      <c r="C932">
        <v>0.87457158568591709</v>
      </c>
      <c r="D932">
        <f t="shared" si="289"/>
        <v>1.1434169785149271</v>
      </c>
      <c r="E932" s="1">
        <f t="shared" si="290"/>
        <v>3.4841226198356362E-2</v>
      </c>
      <c r="F932" s="1">
        <f t="shared" si="291"/>
        <v>4.0415822390093392E-2</v>
      </c>
      <c r="G932" s="1">
        <f t="shared" si="292"/>
        <v>1.2542841431408297E-2</v>
      </c>
      <c r="H932" s="1">
        <f t="shared" si="293"/>
        <v>1.2154098630543078E-2</v>
      </c>
      <c r="I932" s="1">
        <f t="shared" si="294"/>
        <v>4.4668006790299641E-2</v>
      </c>
      <c r="J932" s="1">
        <f t="shared" si="295"/>
        <v>4.8392740310637117E-2</v>
      </c>
      <c r="K932" s="1">
        <f t="shared" si="296"/>
        <v>2.9757177913580568E-2</v>
      </c>
      <c r="L932" s="1">
        <f t="shared" si="297"/>
        <v>2.9506614071724918E-2</v>
      </c>
      <c r="M932" s="1">
        <f t="shared" si="298"/>
        <v>6.43215679741862E-2</v>
      </c>
      <c r="N932" s="1">
        <f t="shared" si="299"/>
        <v>6.4346576151724399E-2</v>
      </c>
      <c r="O932" s="1">
        <f t="shared" si="300"/>
        <v>6.4185850877925055E-2</v>
      </c>
      <c r="P932" s="1">
        <f t="shared" si="301"/>
        <v>6.4211644954088598E-2</v>
      </c>
      <c r="Q932" s="1">
        <f t="shared" si="302"/>
        <v>0.97555433355397891</v>
      </c>
      <c r="T932">
        <v>0.56752964574476261</v>
      </c>
      <c r="U932">
        <f t="shared" si="309"/>
        <v>1.7620224908034743</v>
      </c>
      <c r="V932" s="15">
        <f t="shared" si="303"/>
        <v>0</v>
      </c>
      <c r="W932" s="15">
        <f t="shared" si="304"/>
        <v>0</v>
      </c>
      <c r="X932" s="15">
        <f t="shared" si="305"/>
        <v>0</v>
      </c>
      <c r="Y932" s="15">
        <f t="shared" si="306"/>
        <v>0</v>
      </c>
      <c r="Z932" s="15">
        <f t="shared" si="307"/>
        <v>0</v>
      </c>
      <c r="AA932" s="15">
        <f t="shared" si="308"/>
        <v>0</v>
      </c>
      <c r="AC932" s="1"/>
      <c r="AD932" s="1"/>
      <c r="AE932" s="1"/>
    </row>
    <row r="933" spans="1:31">
      <c r="A933">
        <v>890</v>
      </c>
      <c r="B933">
        <f t="shared" si="288"/>
        <v>0.8849757257831089</v>
      </c>
      <c r="C933">
        <v>0.87484939899561986</v>
      </c>
      <c r="D933">
        <f t="shared" si="289"/>
        <v>1.1430538800713135</v>
      </c>
      <c r="E933" s="1">
        <f t="shared" si="290"/>
        <v>3.4764055834550028E-2</v>
      </c>
      <c r="F933" s="1">
        <f t="shared" si="291"/>
        <v>4.0326304768078053E-2</v>
      </c>
      <c r="G933" s="1">
        <f t="shared" si="292"/>
        <v>1.2515060100438027E-2</v>
      </c>
      <c r="H933" s="1">
        <f t="shared" si="293"/>
        <v>1.2127178331937133E-2</v>
      </c>
      <c r="I933" s="1">
        <f t="shared" si="294"/>
        <v>4.4569070940140842E-2</v>
      </c>
      <c r="J933" s="1">
        <f t="shared" si="295"/>
        <v>4.8285554491340865E-2</v>
      </c>
      <c r="K933" s="1">
        <f t="shared" si="296"/>
        <v>2.9691268285935213E-2</v>
      </c>
      <c r="L933" s="1">
        <f t="shared" si="297"/>
        <v>2.9441259421758126E-2</v>
      </c>
      <c r="M933" s="1">
        <f t="shared" si="298"/>
        <v>6.4179101151322304E-2</v>
      </c>
      <c r="N933" s="1">
        <f t="shared" si="299"/>
        <v>6.4204053937866323E-2</v>
      </c>
      <c r="O933" s="1">
        <f t="shared" si="300"/>
        <v>6.4043684656929611E-2</v>
      </c>
      <c r="P933" s="1">
        <f t="shared" si="301"/>
        <v>6.4069421601400056E-2</v>
      </c>
      <c r="Q933" s="1">
        <f t="shared" si="302"/>
        <v>0.97339356336740135</v>
      </c>
      <c r="T933">
        <v>0.38364149458691954</v>
      </c>
      <c r="U933">
        <f t="shared" si="309"/>
        <v>2.6066002090747133</v>
      </c>
      <c r="V933" s="15">
        <f t="shared" si="303"/>
        <v>6.549048651818809E-2</v>
      </c>
      <c r="W933" s="15">
        <f t="shared" si="304"/>
        <v>7.0290831679228505E-2</v>
      </c>
      <c r="X933" s="15">
        <f t="shared" si="305"/>
        <v>7.9891522001309265E-2</v>
      </c>
      <c r="Y933" s="15">
        <f t="shared" si="306"/>
        <v>9.2100350179291288E-2</v>
      </c>
      <c r="Z933" s="15">
        <f t="shared" si="307"/>
        <v>9.6314713263395191E-2</v>
      </c>
      <c r="AA933" s="15">
        <f t="shared" si="308"/>
        <v>0.10474343943160302</v>
      </c>
      <c r="AC933" s="1"/>
      <c r="AD933" s="1"/>
      <c r="AE933" s="1"/>
    </row>
    <row r="934" spans="1:31">
      <c r="A934">
        <v>938</v>
      </c>
      <c r="B934">
        <f t="shared" si="288"/>
        <v>0.88507020289192895</v>
      </c>
      <c r="C934">
        <v>0.87492797778032172</v>
      </c>
      <c r="D934">
        <f t="shared" si="289"/>
        <v>1.14295122043872</v>
      </c>
      <c r="E934" s="1">
        <f t="shared" si="290"/>
        <v>3.4742228394355062E-2</v>
      </c>
      <c r="F934" s="1">
        <f t="shared" si="291"/>
        <v>4.0300984937451878E-2</v>
      </c>
      <c r="G934" s="1">
        <f t="shared" si="292"/>
        <v>1.2507202221967842E-2</v>
      </c>
      <c r="H934" s="1">
        <f t="shared" si="293"/>
        <v>1.2119563994270846E-2</v>
      </c>
      <c r="I934" s="1">
        <f t="shared" si="294"/>
        <v>4.4541087187752404E-2</v>
      </c>
      <c r="J934" s="1">
        <f t="shared" si="295"/>
        <v>4.8255237256264627E-2</v>
      </c>
      <c r="K934" s="1">
        <f t="shared" si="296"/>
        <v>2.9672625916186773E-2</v>
      </c>
      <c r="L934" s="1">
        <f t="shared" si="297"/>
        <v>2.9422774026027804E-2</v>
      </c>
      <c r="M934" s="1">
        <f t="shared" si="298"/>
        <v>6.4138804774547031E-2</v>
      </c>
      <c r="N934" s="1">
        <f t="shared" si="299"/>
        <v>6.4163741893889847E-2</v>
      </c>
      <c r="O934" s="1">
        <f t="shared" si="300"/>
        <v>6.4003473304624581E-2</v>
      </c>
      <c r="P934" s="1">
        <f t="shared" si="301"/>
        <v>6.4029194089541663E-2</v>
      </c>
      <c r="Q934" s="1">
        <f t="shared" si="302"/>
        <v>0.97278239504194275</v>
      </c>
      <c r="T934">
        <v>0.12250322525750224</v>
      </c>
      <c r="U934">
        <f t="shared" si="309"/>
        <v>8.1630503841674074</v>
      </c>
      <c r="V934" s="15">
        <f t="shared" si="303"/>
        <v>8.8042235483935014E-2</v>
      </c>
      <c r="W934" s="15">
        <f t="shared" si="304"/>
        <v>9.1749633164772082E-2</v>
      </c>
      <c r="X934" s="15">
        <f t="shared" si="305"/>
        <v>9.9164428526446052E-2</v>
      </c>
      <c r="Y934" s="15">
        <f t="shared" si="306"/>
        <v>0.12546793156078942</v>
      </c>
      <c r="Z934" s="15">
        <f t="shared" si="307"/>
        <v>0.128562223874503</v>
      </c>
      <c r="AA934" s="15">
        <f t="shared" si="308"/>
        <v>0.13475080850193008</v>
      </c>
      <c r="AC934" s="1"/>
      <c r="AD934" s="1"/>
      <c r="AE934" s="1"/>
    </row>
    <row r="935" spans="1:31">
      <c r="A935">
        <v>106</v>
      </c>
      <c r="B935">
        <f t="shared" si="288"/>
        <v>0.88700566542667747</v>
      </c>
      <c r="C935">
        <v>0.87654161860190094</v>
      </c>
      <c r="D935">
        <f t="shared" si="289"/>
        <v>1.1408471415139618</v>
      </c>
      <c r="E935" s="1">
        <f t="shared" si="290"/>
        <v>3.4293994832805291E-2</v>
      </c>
      <c r="F935" s="1">
        <f t="shared" si="291"/>
        <v>3.978103400605415E-2</v>
      </c>
      <c r="G935" s="1">
        <f t="shared" si="292"/>
        <v>1.2345838139809912E-2</v>
      </c>
      <c r="H935" s="1">
        <f t="shared" si="293"/>
        <v>1.1963201101484577E-2</v>
      </c>
      <c r="I935" s="1">
        <f t="shared" si="294"/>
        <v>4.3966431759239089E-2</v>
      </c>
      <c r="J935" s="1">
        <f t="shared" si="295"/>
        <v>4.7632663004167408E-2</v>
      </c>
      <c r="K935" s="1">
        <f t="shared" si="296"/>
        <v>2.9289798808956408E-2</v>
      </c>
      <c r="L935" s="1">
        <f t="shared" si="297"/>
        <v>2.9043170431155813E-2</v>
      </c>
      <c r="M935" s="1">
        <f t="shared" si="298"/>
        <v>6.3311305612106628E-2</v>
      </c>
      <c r="N935" s="1">
        <f t="shared" si="299"/>
        <v>6.3335921000393758E-2</v>
      </c>
      <c r="O935" s="1">
        <f t="shared" si="300"/>
        <v>6.3177720147249428E-2</v>
      </c>
      <c r="P935" s="1">
        <f t="shared" si="301"/>
        <v>6.32031090904982E-2</v>
      </c>
      <c r="Q935" s="1">
        <f t="shared" si="302"/>
        <v>0.96023185531854871</v>
      </c>
      <c r="T935">
        <v>0.39519920035496459</v>
      </c>
      <c r="U935">
        <f t="shared" si="309"/>
        <v>2.5303694924023339</v>
      </c>
      <c r="V935" s="15">
        <f t="shared" si="303"/>
        <v>6.4734398036954771E-2</v>
      </c>
      <c r="W935" s="15">
        <f t="shared" si="304"/>
        <v>6.9564872625105328E-2</v>
      </c>
      <c r="X935" s="15">
        <f t="shared" si="305"/>
        <v>7.9225821801406318E-2</v>
      </c>
      <c r="Y935" s="15">
        <f t="shared" si="306"/>
        <v>9.0981307355423896E-2</v>
      </c>
      <c r="Z935" s="15">
        <f t="shared" si="307"/>
        <v>9.5225774912757633E-2</v>
      </c>
      <c r="AA935" s="15">
        <f t="shared" si="308"/>
        <v>0.10371471002742508</v>
      </c>
      <c r="AC935" s="1"/>
      <c r="AD935" s="1"/>
      <c r="AE935" s="1"/>
    </row>
    <row r="936" spans="1:31">
      <c r="A936">
        <v>82</v>
      </c>
      <c r="B936">
        <f t="shared" si="288"/>
        <v>0.88777436789251574</v>
      </c>
      <c r="C936">
        <v>0.87859219552137013</v>
      </c>
      <c r="D936">
        <f t="shared" si="289"/>
        <v>1.1381844786437973</v>
      </c>
      <c r="E936" s="1">
        <f t="shared" si="290"/>
        <v>3.3724390132952725E-2</v>
      </c>
      <c r="F936" s="1">
        <f t="shared" si="291"/>
        <v>3.9120292554225167E-2</v>
      </c>
      <c r="G936" s="1">
        <f t="shared" si="292"/>
        <v>1.2140780447863E-2</v>
      </c>
      <c r="H936" s="1">
        <f t="shared" si="293"/>
        <v>1.1764498803723447E-2</v>
      </c>
      <c r="I936" s="1">
        <f t="shared" si="294"/>
        <v>4.3236173115184795E-2</v>
      </c>
      <c r="J936" s="1">
        <f t="shared" si="295"/>
        <v>4.6841510242701667E-2</v>
      </c>
      <c r="K936" s="1">
        <f t="shared" si="296"/>
        <v>2.8803311097604756E-2</v>
      </c>
      <c r="L936" s="1">
        <f t="shared" si="297"/>
        <v>2.8560779083724341E-2</v>
      </c>
      <c r="M936" s="1">
        <f t="shared" si="298"/>
        <v>6.2259739079648879E-2</v>
      </c>
      <c r="N936" s="1">
        <f t="shared" si="299"/>
        <v>6.2283945619654391E-2</v>
      </c>
      <c r="O936" s="1">
        <f t="shared" si="300"/>
        <v>6.2128372397088238E-2</v>
      </c>
      <c r="P936" s="1">
        <f t="shared" si="301"/>
        <v>6.2153339643726047E-2</v>
      </c>
      <c r="Q936" s="1">
        <f t="shared" si="302"/>
        <v>0.9442829237226773</v>
      </c>
      <c r="T936">
        <v>0.15761676661216806</v>
      </c>
      <c r="U936">
        <f t="shared" si="309"/>
        <v>6.3445026915226652</v>
      </c>
      <c r="V936" s="15">
        <f t="shared" si="303"/>
        <v>8.3267416748948858E-2</v>
      </c>
      <c r="W936" s="15">
        <f t="shared" si="304"/>
        <v>8.7253114702514026E-2</v>
      </c>
      <c r="X936" s="15">
        <f t="shared" si="305"/>
        <v>9.5224510609644347E-2</v>
      </c>
      <c r="Y936" s="15">
        <f t="shared" si="306"/>
        <v>0.11840551036922398</v>
      </c>
      <c r="Z936" s="15">
        <f t="shared" si="307"/>
        <v>0.12179057208233901</v>
      </c>
      <c r="AA936" s="15">
        <f t="shared" si="308"/>
        <v>0.12856069550856911</v>
      </c>
      <c r="AC936" s="1"/>
      <c r="AD936" s="1"/>
      <c r="AE936" s="1"/>
    </row>
    <row r="937" spans="1:31">
      <c r="A937">
        <v>749</v>
      </c>
      <c r="B937">
        <f t="shared" si="288"/>
        <v>0.88778405129617588</v>
      </c>
      <c r="C937">
        <v>0.87864240625986534</v>
      </c>
      <c r="D937">
        <f t="shared" si="289"/>
        <v>1.13811943616143</v>
      </c>
      <c r="E937" s="1">
        <f t="shared" si="290"/>
        <v>3.3710442705592952E-2</v>
      </c>
      <c r="F937" s="1">
        <f t="shared" si="291"/>
        <v>3.9104113538487861E-2</v>
      </c>
      <c r="G937" s="1">
        <f t="shared" si="292"/>
        <v>1.2135759374013483E-2</v>
      </c>
      <c r="H937" s="1">
        <f t="shared" si="293"/>
        <v>1.175963334902308E-2</v>
      </c>
      <c r="I937" s="1">
        <f t="shared" si="294"/>
        <v>4.3218291890899929E-2</v>
      </c>
      <c r="J937" s="1">
        <f t="shared" si="295"/>
        <v>4.6822137955791321E-2</v>
      </c>
      <c r="K937" s="1">
        <f t="shared" si="296"/>
        <v>2.8791398885473662E-2</v>
      </c>
      <c r="L937" s="1">
        <f t="shared" si="297"/>
        <v>2.8548967175783563E-2</v>
      </c>
      <c r="M937" s="1">
        <f t="shared" si="298"/>
        <v>6.2233990261513716E-2</v>
      </c>
      <c r="N937" s="1">
        <f t="shared" si="299"/>
        <v>6.2258186790398018E-2</v>
      </c>
      <c r="O937" s="1">
        <f t="shared" si="300"/>
        <v>6.2102677908394077E-2</v>
      </c>
      <c r="P937" s="1">
        <f t="shared" si="301"/>
        <v>6.2127634829304501E-2</v>
      </c>
      <c r="Q937" s="1">
        <f t="shared" si="302"/>
        <v>0.94389239575660344</v>
      </c>
      <c r="T937">
        <v>0.21873773870579138</v>
      </c>
      <c r="U937">
        <f t="shared" si="309"/>
        <v>4.5716848218177342</v>
      </c>
      <c r="V937" s="15">
        <f t="shared" si="303"/>
        <v>7.6278252951778633E-2</v>
      </c>
      <c r="W937" s="15">
        <f t="shared" si="304"/>
        <v>8.0648715591778983E-2</v>
      </c>
      <c r="X937" s="15">
        <f t="shared" si="305"/>
        <v>8.9389640871779766E-2</v>
      </c>
      <c r="Y937" s="15">
        <f t="shared" si="306"/>
        <v>0.10806669924120976</v>
      </c>
      <c r="Z937" s="15">
        <f t="shared" si="307"/>
        <v>0.11185153584280494</v>
      </c>
      <c r="AA937" s="15">
        <f t="shared" si="308"/>
        <v>0.11942120904599542</v>
      </c>
      <c r="AC937" s="1"/>
      <c r="AD937" s="1"/>
      <c r="AE937" s="1"/>
    </row>
    <row r="938" spans="1:31">
      <c r="A938">
        <v>62</v>
      </c>
      <c r="B938">
        <f t="shared" si="288"/>
        <v>0.88799481731989705</v>
      </c>
      <c r="C938">
        <v>0.87955827190405056</v>
      </c>
      <c r="D938">
        <f t="shared" si="289"/>
        <v>1.1369343361812965</v>
      </c>
      <c r="E938" s="1">
        <f t="shared" si="290"/>
        <v>3.3456035582208166E-2</v>
      </c>
      <c r="F938" s="1">
        <f t="shared" si="291"/>
        <v>3.8809001275361465E-2</v>
      </c>
      <c r="G938" s="1">
        <f t="shared" si="292"/>
        <v>1.2044172809594952E-2</v>
      </c>
      <c r="H938" s="1">
        <f t="shared" si="293"/>
        <v>1.1670885345369947E-2</v>
      </c>
      <c r="I938" s="1">
        <f t="shared" si="294"/>
        <v>4.2892130605698409E-2</v>
      </c>
      <c r="J938" s="1">
        <f t="shared" si="295"/>
        <v>4.6468779041697827E-2</v>
      </c>
      <c r="K938" s="1">
        <f t="shared" si="296"/>
        <v>2.8574114970437409E-2</v>
      </c>
      <c r="L938" s="1">
        <f t="shared" si="297"/>
        <v>2.8333512852675768E-2</v>
      </c>
      <c r="M938" s="1">
        <f t="shared" si="298"/>
        <v>6.1764320652678784E-2</v>
      </c>
      <c r="N938" s="1">
        <f t="shared" si="299"/>
        <v>6.1788334574370329E-2</v>
      </c>
      <c r="O938" s="1">
        <f t="shared" si="300"/>
        <v>6.1633999292122266E-2</v>
      </c>
      <c r="P938" s="1">
        <f t="shared" si="301"/>
        <v>6.1658767867287356E-2</v>
      </c>
      <c r="Q938" s="1">
        <f t="shared" si="302"/>
        <v>0.9367689963018293</v>
      </c>
      <c r="T938">
        <v>0.45460355839043554</v>
      </c>
      <c r="U938">
        <f t="shared" si="309"/>
        <v>2.1997188133339503</v>
      </c>
      <c r="V938" s="15">
        <f t="shared" si="303"/>
        <v>6.0848250409813995E-2</v>
      </c>
      <c r="W938" s="15">
        <f t="shared" si="304"/>
        <v>6.5833584388865649E-2</v>
      </c>
      <c r="X938" s="15">
        <f t="shared" si="305"/>
        <v>7.580425234696879E-2</v>
      </c>
      <c r="Y938" s="15">
        <f t="shared" si="306"/>
        <v>8.5229645053218839E-2</v>
      </c>
      <c r="Z938" s="15">
        <f t="shared" si="307"/>
        <v>8.9628843743365924E-2</v>
      </c>
      <c r="AA938" s="15">
        <f t="shared" si="308"/>
        <v>9.8427241123660067E-2</v>
      </c>
      <c r="AC938" s="1"/>
      <c r="AD938" s="1"/>
      <c r="AE938" s="1"/>
    </row>
    <row r="939" spans="1:31">
      <c r="A939">
        <v>153</v>
      </c>
      <c r="B939">
        <f t="shared" si="288"/>
        <v>0.88802683285834638</v>
      </c>
      <c r="C939">
        <v>0.87968996841849911</v>
      </c>
      <c r="D939">
        <f t="shared" si="289"/>
        <v>1.1367641281595986</v>
      </c>
      <c r="E939" s="1">
        <f t="shared" si="290"/>
        <v>3.3419453217083561E-2</v>
      </c>
      <c r="F939" s="1">
        <f t="shared" si="291"/>
        <v>3.8766565731816971E-2</v>
      </c>
      <c r="G939" s="1">
        <f t="shared" si="292"/>
        <v>1.2031003158150103E-2</v>
      </c>
      <c r="H939" s="1">
        <f t="shared" si="293"/>
        <v>1.1658123863574454E-2</v>
      </c>
      <c r="I939" s="1">
        <f t="shared" si="294"/>
        <v>4.2845230381105603E-2</v>
      </c>
      <c r="J939" s="1">
        <f t="shared" si="295"/>
        <v>4.6417967945516947E-2</v>
      </c>
      <c r="K939" s="1">
        <f t="shared" si="296"/>
        <v>2.8542870721417146E-2</v>
      </c>
      <c r="L939" s="1">
        <f t="shared" si="297"/>
        <v>2.8302531689056054E-2</v>
      </c>
      <c r="M939" s="1">
        <f t="shared" si="298"/>
        <v>6.1696784709149632E-2</v>
      </c>
      <c r="N939" s="1">
        <f t="shared" si="299"/>
        <v>6.1720772372916788E-2</v>
      </c>
      <c r="O939" s="1">
        <f t="shared" si="300"/>
        <v>6.1566605847951261E-2</v>
      </c>
      <c r="P939" s="1">
        <f t="shared" si="301"/>
        <v>6.1591347340019198E-2</v>
      </c>
      <c r="Q939" s="1">
        <f t="shared" si="302"/>
        <v>0.93574469007834082</v>
      </c>
      <c r="T939">
        <v>0.82401020287683002</v>
      </c>
      <c r="U939">
        <f t="shared" si="309"/>
        <v>1.2135772063364563</v>
      </c>
      <c r="V939" s="15">
        <f t="shared" si="303"/>
        <v>0</v>
      </c>
      <c r="W939" s="15">
        <f t="shared" si="304"/>
        <v>0</v>
      </c>
      <c r="X939" s="15">
        <f t="shared" si="305"/>
        <v>0</v>
      </c>
      <c r="Y939" s="15">
        <f t="shared" si="306"/>
        <v>0</v>
      </c>
      <c r="Z939" s="15">
        <f t="shared" si="307"/>
        <v>0</v>
      </c>
      <c r="AA939" s="15">
        <f t="shared" si="308"/>
        <v>0</v>
      </c>
      <c r="AC939" s="1"/>
      <c r="AD939" s="1"/>
      <c r="AE939" s="1"/>
    </row>
    <row r="940" spans="1:31">
      <c r="A940">
        <v>709</v>
      </c>
      <c r="B940">
        <f t="shared" si="288"/>
        <v>0.88812586471246635</v>
      </c>
      <c r="C940">
        <v>0.87991029619952388</v>
      </c>
      <c r="D940">
        <f t="shared" si="289"/>
        <v>1.1364794846919772</v>
      </c>
      <c r="E940" s="1">
        <f t="shared" si="290"/>
        <v>3.3358251055687793E-2</v>
      </c>
      <c r="F940" s="1">
        <f t="shared" si="291"/>
        <v>3.869557122459788E-2</v>
      </c>
      <c r="G940" s="1">
        <f t="shared" si="292"/>
        <v>1.2008970380047626E-2</v>
      </c>
      <c r="H940" s="1">
        <f t="shared" si="293"/>
        <v>1.1636773951783988E-2</v>
      </c>
      <c r="I940" s="1">
        <f t="shared" si="294"/>
        <v>4.276676647902472E-2</v>
      </c>
      <c r="J940" s="1">
        <f t="shared" si="295"/>
        <v>4.6332961169750442E-2</v>
      </c>
      <c r="K940" s="1">
        <f t="shared" si="296"/>
        <v>2.8490599208497919E-2</v>
      </c>
      <c r="L940" s="1">
        <f t="shared" si="297"/>
        <v>2.8250700317037775E-2</v>
      </c>
      <c r="M940" s="1">
        <f t="shared" si="298"/>
        <v>6.1583797325698408E-2</v>
      </c>
      <c r="N940" s="1">
        <f t="shared" si="299"/>
        <v>6.1607741060055343E-2</v>
      </c>
      <c r="O940" s="1">
        <f t="shared" si="300"/>
        <v>6.1453856865398504E-2</v>
      </c>
      <c r="P940" s="1">
        <f t="shared" si="301"/>
        <v>6.1478553047545292E-2</v>
      </c>
      <c r="Q940" s="1">
        <f t="shared" si="302"/>
        <v>0.9340310295592591</v>
      </c>
      <c r="T940">
        <v>0.73139969754098733</v>
      </c>
      <c r="U940">
        <f t="shared" si="309"/>
        <v>1.3672414732492564</v>
      </c>
      <c r="V940" s="15">
        <f t="shared" si="303"/>
        <v>0</v>
      </c>
      <c r="W940" s="15">
        <f t="shared" si="304"/>
        <v>0</v>
      </c>
      <c r="X940" s="15">
        <f t="shared" si="305"/>
        <v>0</v>
      </c>
      <c r="Y940" s="15">
        <f t="shared" si="306"/>
        <v>0</v>
      </c>
      <c r="Z940" s="15">
        <f t="shared" si="307"/>
        <v>0</v>
      </c>
      <c r="AA940" s="15">
        <f t="shared" si="308"/>
        <v>0</v>
      </c>
      <c r="AC940" s="1"/>
      <c r="AD940" s="1"/>
      <c r="AE940" s="1"/>
    </row>
    <row r="941" spans="1:31">
      <c r="A941">
        <v>333</v>
      </c>
      <c r="B941">
        <f t="shared" si="288"/>
        <v>0.88874627178780952</v>
      </c>
      <c r="C941">
        <v>0.88026725792458516</v>
      </c>
      <c r="D941">
        <f t="shared" si="289"/>
        <v>1.1360186250227118</v>
      </c>
      <c r="E941" s="1">
        <f t="shared" si="290"/>
        <v>3.3259095020948565E-2</v>
      </c>
      <c r="F941" s="1">
        <f t="shared" si="291"/>
        <v>3.8580550224300347E-2</v>
      </c>
      <c r="G941" s="1">
        <f t="shared" si="292"/>
        <v>1.197327420754149E-2</v>
      </c>
      <c r="H941" s="1">
        <f t="shared" si="293"/>
        <v>1.1602184117913819E-2</v>
      </c>
      <c r="I941" s="1">
        <f t="shared" si="294"/>
        <v>4.2639644017610279E-2</v>
      </c>
      <c r="J941" s="1">
        <f t="shared" si="295"/>
        <v>4.6195238340707323E-2</v>
      </c>
      <c r="K941" s="1">
        <f t="shared" si="296"/>
        <v>2.8405912069470629E-2</v>
      </c>
      <c r="L941" s="1">
        <f t="shared" si="297"/>
        <v>2.8166726267637887E-2</v>
      </c>
      <c r="M941" s="1">
        <f t="shared" si="298"/>
        <v>6.1400742010933651E-2</v>
      </c>
      <c r="N941" s="1">
        <f t="shared" si="299"/>
        <v>6.1424614573521052E-2</v>
      </c>
      <c r="O941" s="1">
        <f t="shared" si="300"/>
        <v>6.1271187793328907E-2</v>
      </c>
      <c r="P941" s="1">
        <f t="shared" si="301"/>
        <v>6.1295810567085995E-2</v>
      </c>
      <c r="Q941" s="1">
        <f t="shared" si="302"/>
        <v>0.93125466058656059</v>
      </c>
      <c r="T941">
        <v>0.58393151796987997</v>
      </c>
      <c r="U941">
        <f t="shared" si="309"/>
        <v>1.712529584764735</v>
      </c>
      <c r="V941" s="15">
        <f t="shared" si="303"/>
        <v>0</v>
      </c>
      <c r="W941" s="15">
        <f t="shared" si="304"/>
        <v>0</v>
      </c>
      <c r="X941" s="15">
        <f t="shared" si="305"/>
        <v>0</v>
      </c>
      <c r="Y941" s="15">
        <f t="shared" si="306"/>
        <v>0</v>
      </c>
      <c r="Z941" s="15">
        <f t="shared" si="307"/>
        <v>0</v>
      </c>
      <c r="AA941" s="15">
        <f t="shared" si="308"/>
        <v>0</v>
      </c>
      <c r="AC941" s="1"/>
      <c r="AD941" s="1"/>
      <c r="AE941" s="1"/>
    </row>
    <row r="942" spans="1:31">
      <c r="A942">
        <v>447</v>
      </c>
      <c r="B942">
        <f t="shared" si="288"/>
        <v>0.889830044266672</v>
      </c>
      <c r="C942">
        <v>0.88090708318711497</v>
      </c>
      <c r="D942">
        <f t="shared" si="289"/>
        <v>1.1351935057463811</v>
      </c>
      <c r="E942" s="1">
        <f t="shared" si="290"/>
        <v>3.3081365781356925E-2</v>
      </c>
      <c r="F942" s="1">
        <f t="shared" si="291"/>
        <v>3.8374384306374076E-2</v>
      </c>
      <c r="G942" s="1">
        <f t="shared" si="292"/>
        <v>1.1909291681288514E-2</v>
      </c>
      <c r="H942" s="1">
        <f t="shared" si="293"/>
        <v>1.1540184614933349E-2</v>
      </c>
      <c r="I942" s="1">
        <f t="shared" si="294"/>
        <v>4.2411787201213635E-2</v>
      </c>
      <c r="J942" s="1">
        <f t="shared" si="295"/>
        <v>4.5948381215524692E-2</v>
      </c>
      <c r="K942" s="1">
        <f t="shared" si="296"/>
        <v>2.8254117164984105E-2</v>
      </c>
      <c r="L942" s="1">
        <f t="shared" si="297"/>
        <v>2.8016209519116042E-2</v>
      </c>
      <c r="M942" s="1">
        <f t="shared" si="298"/>
        <v>6.107263004092689E-2</v>
      </c>
      <c r="N942" s="1">
        <f t="shared" si="299"/>
        <v>6.1096375033825701E-2</v>
      </c>
      <c r="O942" s="1">
        <f t="shared" si="300"/>
        <v>6.0943768132375287E-2</v>
      </c>
      <c r="P942" s="1">
        <f t="shared" si="301"/>
        <v>6.0968259327481344E-2</v>
      </c>
      <c r="Q942" s="1">
        <f t="shared" si="302"/>
        <v>0.9262782418779949</v>
      </c>
      <c r="T942">
        <v>0.4547421480185122</v>
      </c>
      <c r="U942">
        <f t="shared" si="309"/>
        <v>2.1990484153654717</v>
      </c>
      <c r="V942" s="15">
        <f t="shared" si="303"/>
        <v>6.0839184075758591E-2</v>
      </c>
      <c r="W942" s="15">
        <f t="shared" si="304"/>
        <v>6.5824879339842157E-2</v>
      </c>
      <c r="X942" s="15">
        <f t="shared" si="305"/>
        <v>7.579626986800915E-2</v>
      </c>
      <c r="Y942" s="15">
        <f t="shared" si="306"/>
        <v>8.5216226496640721E-2</v>
      </c>
      <c r="Z942" s="15">
        <f t="shared" si="307"/>
        <v>8.9615786172595219E-2</v>
      </c>
      <c r="AA942" s="15">
        <f t="shared" si="308"/>
        <v>9.8414905524504159E-2</v>
      </c>
      <c r="AC942" s="1"/>
      <c r="AD942" s="1"/>
      <c r="AE942" s="1"/>
    </row>
    <row r="943" spans="1:31">
      <c r="A943">
        <v>932</v>
      </c>
      <c r="B943">
        <f t="shared" si="288"/>
        <v>0.88989558207661634</v>
      </c>
      <c r="C943">
        <v>0.88100644495733216</v>
      </c>
      <c r="D943">
        <f t="shared" si="289"/>
        <v>1.1350654762218348</v>
      </c>
      <c r="E943" s="1">
        <f t="shared" si="290"/>
        <v>3.3053765289629944E-2</v>
      </c>
      <c r="F943" s="1">
        <f t="shared" si="291"/>
        <v>3.8342367735970773E-2</v>
      </c>
      <c r="G943" s="1">
        <f t="shared" si="292"/>
        <v>1.1899355504266795E-2</v>
      </c>
      <c r="H943" s="1">
        <f t="shared" si="293"/>
        <v>1.1530556391839503E-2</v>
      </c>
      <c r="I943" s="1">
        <f t="shared" si="294"/>
        <v>4.2376402139136349E-2</v>
      </c>
      <c r="J943" s="1">
        <f t="shared" si="295"/>
        <v>4.5910045497344565E-2</v>
      </c>
      <c r="K943" s="1">
        <f t="shared" si="296"/>
        <v>2.8230544150126741E-2</v>
      </c>
      <c r="L943" s="1">
        <f t="shared" si="297"/>
        <v>2.7992834995701099E-2</v>
      </c>
      <c r="M943" s="1">
        <f t="shared" si="298"/>
        <v>6.1021675838149103E-2</v>
      </c>
      <c r="N943" s="1">
        <f t="shared" si="299"/>
        <v>6.1045401020091983E-2</v>
      </c>
      <c r="O943" s="1">
        <f t="shared" si="300"/>
        <v>6.0892921441846659E-2</v>
      </c>
      <c r="P943" s="1">
        <f t="shared" si="301"/>
        <v>6.0917392203424292E-2</v>
      </c>
      <c r="Q943" s="1">
        <f t="shared" si="302"/>
        <v>0.92550542810963954</v>
      </c>
      <c r="T943">
        <v>0.5212005887629283</v>
      </c>
      <c r="U943">
        <f t="shared" si="309"/>
        <v>1.9186471035527877</v>
      </c>
      <c r="V943" s="15">
        <f t="shared" si="303"/>
        <v>0</v>
      </c>
      <c r="W943" s="15">
        <f t="shared" si="304"/>
        <v>0</v>
      </c>
      <c r="X943" s="15">
        <f t="shared" si="305"/>
        <v>0</v>
      </c>
      <c r="Y943" s="15">
        <f t="shared" si="306"/>
        <v>0</v>
      </c>
      <c r="Z943" s="15">
        <f t="shared" si="307"/>
        <v>0</v>
      </c>
      <c r="AA943" s="15">
        <f t="shared" si="308"/>
        <v>0</v>
      </c>
      <c r="AC943" s="1"/>
      <c r="AD943" s="1"/>
      <c r="AE943" s="1"/>
    </row>
    <row r="944" spans="1:31">
      <c r="A944">
        <v>529</v>
      </c>
      <c r="B944">
        <f t="shared" si="288"/>
        <v>0.89023826739386192</v>
      </c>
      <c r="C944">
        <v>0.88152598962594142</v>
      </c>
      <c r="D944">
        <f t="shared" si="289"/>
        <v>1.1343965030734156</v>
      </c>
      <c r="E944" s="1">
        <f t="shared" si="290"/>
        <v>3.2909447326127356E-2</v>
      </c>
      <c r="F944" s="1">
        <f t="shared" si="291"/>
        <v>3.8174958898307743E-2</v>
      </c>
      <c r="G944" s="1">
        <f t="shared" si="292"/>
        <v>1.1847401037405864E-2</v>
      </c>
      <c r="H944" s="1">
        <f t="shared" si="293"/>
        <v>1.1480212160193251E-2</v>
      </c>
      <c r="I944" s="1">
        <f t="shared" si="294"/>
        <v>4.2191380069677764E-2</v>
      </c>
      <c r="J944" s="1">
        <f t="shared" si="295"/>
        <v>4.570959498248095E-2</v>
      </c>
      <c r="K944" s="1">
        <f t="shared" si="296"/>
        <v>2.810728513244401E-2</v>
      </c>
      <c r="L944" s="1">
        <f t="shared" si="297"/>
        <v>2.7870613853757248E-2</v>
      </c>
      <c r="M944" s="1">
        <f t="shared" si="298"/>
        <v>6.0755245556778414E-2</v>
      </c>
      <c r="N944" s="1">
        <f t="shared" si="299"/>
        <v>6.0778867150827087E-2</v>
      </c>
      <c r="O944" s="1">
        <f t="shared" si="300"/>
        <v>6.0627053322520275E-2</v>
      </c>
      <c r="P944" s="1">
        <f t="shared" si="301"/>
        <v>6.0651417240885186E-2</v>
      </c>
      <c r="Q944" s="1">
        <f t="shared" si="302"/>
        <v>0.92146452513156696</v>
      </c>
      <c r="T944">
        <v>0.63879481675703376</v>
      </c>
      <c r="U944">
        <f t="shared" si="309"/>
        <v>1.565447893075737</v>
      </c>
      <c r="V944" s="15">
        <f t="shared" si="303"/>
        <v>0</v>
      </c>
      <c r="W944" s="15">
        <f t="shared" si="304"/>
        <v>0</v>
      </c>
      <c r="X944" s="15">
        <f t="shared" si="305"/>
        <v>0</v>
      </c>
      <c r="Y944" s="15">
        <f t="shared" si="306"/>
        <v>0</v>
      </c>
      <c r="Z944" s="15">
        <f t="shared" si="307"/>
        <v>0</v>
      </c>
      <c r="AA944" s="15">
        <f t="shared" si="308"/>
        <v>0</v>
      </c>
      <c r="AC944" s="1"/>
      <c r="AD944" s="1"/>
      <c r="AE944" s="1"/>
    </row>
    <row r="945" spans="1:31">
      <c r="A945">
        <v>132</v>
      </c>
      <c r="B945">
        <f t="shared" si="288"/>
        <v>0.89033280049054253</v>
      </c>
      <c r="C945">
        <v>0.88166931110461555</v>
      </c>
      <c r="D945">
        <f t="shared" si="289"/>
        <v>1.134212099031928</v>
      </c>
      <c r="E945" s="1">
        <f t="shared" si="290"/>
        <v>3.2869635804273434E-2</v>
      </c>
      <c r="F945" s="1">
        <f t="shared" si="291"/>
        <v>3.8128777532957236E-2</v>
      </c>
      <c r="G945" s="1">
        <f t="shared" si="292"/>
        <v>1.1833068889538459E-2</v>
      </c>
      <c r="H945" s="1">
        <f t="shared" si="293"/>
        <v>1.1466324211460044E-2</v>
      </c>
      <c r="I945" s="1">
        <f t="shared" si="294"/>
        <v>4.2140339922055514E-2</v>
      </c>
      <c r="J945" s="1">
        <f t="shared" si="295"/>
        <v>4.5654298747283051E-2</v>
      </c>
      <c r="K945" s="1">
        <f t="shared" si="296"/>
        <v>2.8073282926778992E-2</v>
      </c>
      <c r="L945" s="1">
        <f t="shared" si="297"/>
        <v>2.7836897956266593E-2</v>
      </c>
      <c r="M945" s="1">
        <f t="shared" si="298"/>
        <v>6.0681748157619619E-2</v>
      </c>
      <c r="N945" s="1">
        <f t="shared" si="299"/>
        <v>6.0705341175934457E-2</v>
      </c>
      <c r="O945" s="1">
        <f t="shared" si="300"/>
        <v>6.0553711001260058E-2</v>
      </c>
      <c r="P945" s="1">
        <f t="shared" si="301"/>
        <v>6.0578045445879691E-2</v>
      </c>
      <c r="Q945" s="1">
        <f t="shared" si="302"/>
        <v>0.9203498025196577</v>
      </c>
      <c r="T945">
        <v>0.16622375113666288</v>
      </c>
      <c r="U945">
        <f t="shared" si="309"/>
        <v>6.0159874456078049</v>
      </c>
      <c r="V945" s="15">
        <f t="shared" si="303"/>
        <v>8.2097019535401133E-2</v>
      </c>
      <c r="W945" s="15">
        <f t="shared" si="304"/>
        <v>8.615093408142957E-2</v>
      </c>
      <c r="X945" s="15">
        <f t="shared" si="305"/>
        <v>9.4258763173486457E-2</v>
      </c>
      <c r="Y945" s="15">
        <f t="shared" si="306"/>
        <v>0.11667437908607327</v>
      </c>
      <c r="Z945" s="15">
        <f t="shared" si="307"/>
        <v>0.12013071380738667</v>
      </c>
      <c r="AA945" s="15">
        <f t="shared" si="308"/>
        <v>0.12704338325001352</v>
      </c>
      <c r="AC945" s="1"/>
      <c r="AD945" s="1"/>
      <c r="AE945" s="1"/>
    </row>
    <row r="946" spans="1:31">
      <c r="A946">
        <v>123</v>
      </c>
      <c r="B946">
        <f t="shared" si="288"/>
        <v>0.89191625123737017</v>
      </c>
      <c r="C946">
        <v>0.8829391517281201</v>
      </c>
      <c r="D946">
        <f t="shared" si="289"/>
        <v>1.1325808783569788</v>
      </c>
      <c r="E946" s="1">
        <f t="shared" si="290"/>
        <v>3.2516902297744399E-2</v>
      </c>
      <c r="F946" s="1">
        <f t="shared" si="291"/>
        <v>3.7719606665383543E-2</v>
      </c>
      <c r="G946" s="1">
        <f t="shared" si="292"/>
        <v>1.1706084827188004E-2</v>
      </c>
      <c r="H946" s="1">
        <f t="shared" si="293"/>
        <v>1.1343275791629928E-2</v>
      </c>
      <c r="I946" s="1">
        <f t="shared" si="294"/>
        <v>4.1688119825807946E-2</v>
      </c>
      <c r="J946" s="1">
        <f t="shared" si="295"/>
        <v>4.5164369349186051E-2</v>
      </c>
      <c r="K946" s="1">
        <f t="shared" si="296"/>
        <v>2.77720204611554E-2</v>
      </c>
      <c r="L946" s="1">
        <f t="shared" si="297"/>
        <v>2.7538172205684108E-2</v>
      </c>
      <c r="M946" s="1">
        <f t="shared" si="298"/>
        <v>6.0030554881934872E-2</v>
      </c>
      <c r="N946" s="1">
        <f t="shared" si="299"/>
        <v>6.0053894716790956E-2</v>
      </c>
      <c r="O946" s="1">
        <f t="shared" si="300"/>
        <v>5.990389172909022E-2</v>
      </c>
      <c r="P946" s="1">
        <f t="shared" si="301"/>
        <v>5.9927965033792385E-2</v>
      </c>
      <c r="Q946" s="1">
        <f t="shared" si="302"/>
        <v>0.9104732643368445</v>
      </c>
      <c r="T946">
        <v>0.87323278972380025</v>
      </c>
      <c r="U946">
        <f t="shared" si="309"/>
        <v>1.1451700070908877</v>
      </c>
      <c r="V946" s="15">
        <f t="shared" si="303"/>
        <v>0</v>
      </c>
      <c r="W946" s="15">
        <f t="shared" si="304"/>
        <v>0</v>
      </c>
      <c r="X946" s="15">
        <f t="shared" si="305"/>
        <v>0</v>
      </c>
      <c r="Y946" s="15">
        <f t="shared" si="306"/>
        <v>0</v>
      </c>
      <c r="Z946" s="15">
        <f t="shared" si="307"/>
        <v>0</v>
      </c>
      <c r="AA946" s="15">
        <f t="shared" si="308"/>
        <v>0</v>
      </c>
      <c r="AC946" s="1"/>
      <c r="AD946" s="1"/>
      <c r="AE946" s="1"/>
    </row>
    <row r="947" spans="1:31">
      <c r="A947">
        <v>738</v>
      </c>
      <c r="B947">
        <f t="shared" si="288"/>
        <v>0.89196093245561803</v>
      </c>
      <c r="C947">
        <v>0.88307188341760712</v>
      </c>
      <c r="D947">
        <f t="shared" si="289"/>
        <v>1.132410643774395</v>
      </c>
      <c r="E947" s="1">
        <f t="shared" si="290"/>
        <v>3.248003238399802E-2</v>
      </c>
      <c r="F947" s="1">
        <f t="shared" si="291"/>
        <v>3.7676837565437715E-2</v>
      </c>
      <c r="G947" s="1">
        <f t="shared" si="292"/>
        <v>1.1692811658239294E-2</v>
      </c>
      <c r="H947" s="1">
        <f t="shared" si="293"/>
        <v>1.1330414000669364E-2</v>
      </c>
      <c r="I947" s="1">
        <f t="shared" si="294"/>
        <v>4.1640850951050024E-2</v>
      </c>
      <c r="J947" s="1">
        <f t="shared" si="295"/>
        <v>4.511315886218864E-2</v>
      </c>
      <c r="K947" s="1">
        <f t="shared" si="296"/>
        <v>2.7740530622744924E-2</v>
      </c>
      <c r="L947" s="1">
        <f t="shared" si="297"/>
        <v>2.7506947520606173E-2</v>
      </c>
      <c r="M947" s="1">
        <f t="shared" si="298"/>
        <v>5.9962488085153975E-2</v>
      </c>
      <c r="N947" s="1">
        <f t="shared" si="299"/>
        <v>5.998580145569038E-2</v>
      </c>
      <c r="O947" s="1">
        <f t="shared" si="300"/>
        <v>5.9835968551756158E-2</v>
      </c>
      <c r="P947" s="1">
        <f t="shared" si="301"/>
        <v>5.9860014560479735E-2</v>
      </c>
      <c r="Q947" s="1">
        <f t="shared" si="302"/>
        <v>0.90944090675194555</v>
      </c>
      <c r="T947">
        <v>0.75512561973770143</v>
      </c>
      <c r="U947">
        <f t="shared" si="309"/>
        <v>1.3242829720800064</v>
      </c>
      <c r="V947" s="15">
        <f t="shared" si="303"/>
        <v>0</v>
      </c>
      <c r="W947" s="15">
        <f t="shared" si="304"/>
        <v>0</v>
      </c>
      <c r="X947" s="15">
        <f t="shared" si="305"/>
        <v>0</v>
      </c>
      <c r="Y947" s="15">
        <f t="shared" si="306"/>
        <v>0</v>
      </c>
      <c r="Z947" s="15">
        <f t="shared" si="307"/>
        <v>0</v>
      </c>
      <c r="AA947" s="15">
        <f t="shared" si="308"/>
        <v>0</v>
      </c>
      <c r="AC947" s="1"/>
      <c r="AD947" s="1"/>
      <c r="AE947" s="1"/>
    </row>
    <row r="948" spans="1:31">
      <c r="A948">
        <v>186</v>
      </c>
      <c r="B948">
        <f t="shared" si="288"/>
        <v>0.89240996716080867</v>
      </c>
      <c r="C948">
        <v>0.88425378482779193</v>
      </c>
      <c r="D948">
        <f t="shared" si="289"/>
        <v>1.130897053717163</v>
      </c>
      <c r="E948" s="1">
        <f t="shared" si="290"/>
        <v>3.2151726436724454E-2</v>
      </c>
      <c r="F948" s="1">
        <f t="shared" si="291"/>
        <v>3.7296002666600381E-2</v>
      </c>
      <c r="G948" s="1">
        <f t="shared" si="292"/>
        <v>1.1574621517220815E-2</v>
      </c>
      <c r="H948" s="1">
        <f t="shared" si="293"/>
        <v>1.1215886950403112E-2</v>
      </c>
      <c r="I948" s="1">
        <f t="shared" si="294"/>
        <v>4.1219948075857771E-2</v>
      </c>
      <c r="J948" s="1">
        <f t="shared" si="295"/>
        <v>4.46571581359686E-2</v>
      </c>
      <c r="K948" s="1">
        <f t="shared" si="296"/>
        <v>2.7460131235321317E-2</v>
      </c>
      <c r="L948" s="1">
        <f t="shared" si="297"/>
        <v>2.7228909175213201E-2</v>
      </c>
      <c r="M948" s="1">
        <f t="shared" si="298"/>
        <v>5.9356391354124405E-2</v>
      </c>
      <c r="N948" s="1">
        <f t="shared" si="299"/>
        <v>5.9379469074704927E-2</v>
      </c>
      <c r="O948" s="1">
        <f t="shared" si="300"/>
        <v>5.9231150671522348E-2</v>
      </c>
      <c r="P948" s="1">
        <f t="shared" si="301"/>
        <v>5.9254953624833351E-2</v>
      </c>
      <c r="Q948" s="1">
        <f t="shared" si="302"/>
        <v>0.90024834022828593</v>
      </c>
      <c r="T948">
        <v>0.72024083469946043</v>
      </c>
      <c r="U948">
        <f t="shared" si="309"/>
        <v>1.3884244711246849</v>
      </c>
      <c r="V948" s="15">
        <f t="shared" si="303"/>
        <v>0</v>
      </c>
      <c r="W948" s="15">
        <f t="shared" si="304"/>
        <v>0</v>
      </c>
      <c r="X948" s="15">
        <f t="shared" si="305"/>
        <v>0</v>
      </c>
      <c r="Y948" s="15">
        <f t="shared" si="306"/>
        <v>0</v>
      </c>
      <c r="Z948" s="15">
        <f t="shared" si="307"/>
        <v>0</v>
      </c>
      <c r="AA948" s="15">
        <f t="shared" si="308"/>
        <v>0</v>
      </c>
      <c r="AC948" s="1"/>
      <c r="AD948" s="1"/>
      <c r="AE948" s="1"/>
    </row>
    <row r="949" spans="1:31">
      <c r="A949">
        <v>76</v>
      </c>
      <c r="B949">
        <f t="shared" si="288"/>
        <v>0.8929293307733992</v>
      </c>
      <c r="C949">
        <v>0.88499457930127767</v>
      </c>
      <c r="D949">
        <f t="shared" si="289"/>
        <v>1.1299504238653322</v>
      </c>
      <c r="E949" s="1">
        <f t="shared" si="290"/>
        <v>3.1945950194089523E-2</v>
      </c>
      <c r="F949" s="1">
        <f t="shared" si="291"/>
        <v>3.7057302225143862E-2</v>
      </c>
      <c r="G949" s="1">
        <f t="shared" si="292"/>
        <v>1.1500542069872249E-2</v>
      </c>
      <c r="H949" s="1">
        <f t="shared" si="293"/>
        <v>1.1144103462228258E-2</v>
      </c>
      <c r="I949" s="1">
        <f t="shared" si="294"/>
        <v>4.0956133749950607E-2</v>
      </c>
      <c r="J949" s="1">
        <f t="shared" si="295"/>
        <v>4.4371345110467253E-2</v>
      </c>
      <c r="K949" s="1">
        <f t="shared" si="296"/>
        <v>2.7284381959804593E-2</v>
      </c>
      <c r="L949" s="1">
        <f t="shared" si="297"/>
        <v>2.7054639758230276E-2</v>
      </c>
      <c r="M949" s="1">
        <f t="shared" si="298"/>
        <v>5.8976500861672665E-2</v>
      </c>
      <c r="N949" s="1">
        <f t="shared" si="299"/>
        <v>5.8999430881113757E-2</v>
      </c>
      <c r="O949" s="1">
        <f t="shared" si="300"/>
        <v>5.8852061739669281E-2</v>
      </c>
      <c r="P949" s="1">
        <f t="shared" si="301"/>
        <v>5.8875712350234255E-2</v>
      </c>
      <c r="Q949" s="1">
        <f t="shared" si="302"/>
        <v>0.89448660543450753</v>
      </c>
      <c r="T949">
        <v>0.32617045163470348</v>
      </c>
      <c r="U949">
        <f t="shared" si="309"/>
        <v>3.0658816425221618</v>
      </c>
      <c r="V949" s="15">
        <f t="shared" si="303"/>
        <v>6.9250159454384133E-2</v>
      </c>
      <c r="W949" s="15">
        <f t="shared" si="304"/>
        <v>7.3900685124054635E-2</v>
      </c>
      <c r="X949" s="15">
        <f t="shared" si="305"/>
        <v>8.3201736463395598E-2</v>
      </c>
      <c r="Y949" s="15">
        <f t="shared" si="306"/>
        <v>9.7664824607569631E-2</v>
      </c>
      <c r="Z949" s="15">
        <f t="shared" si="307"/>
        <v>0.10172949228423134</v>
      </c>
      <c r="AA949" s="15">
        <f t="shared" si="308"/>
        <v>0.10985882763755482</v>
      </c>
      <c r="AC949" s="1"/>
      <c r="AD949" s="1"/>
      <c r="AE949" s="1"/>
    </row>
    <row r="950" spans="1:31">
      <c r="A950">
        <v>647</v>
      </c>
      <c r="B950">
        <f t="shared" si="288"/>
        <v>0.89478685499240673</v>
      </c>
      <c r="C950">
        <v>0.88642009998238169</v>
      </c>
      <c r="D950">
        <f t="shared" si="289"/>
        <v>1.1281332632460339</v>
      </c>
      <c r="E950" s="1">
        <f t="shared" si="290"/>
        <v>3.1549972227116169E-2</v>
      </c>
      <c r="F950" s="1">
        <f t="shared" si="291"/>
        <v>3.659796778345481E-2</v>
      </c>
      <c r="G950" s="1">
        <f t="shared" si="292"/>
        <v>1.1357990001761839E-2</v>
      </c>
      <c r="H950" s="1">
        <f t="shared" si="293"/>
        <v>1.1005969538964017E-2</v>
      </c>
      <c r="I950" s="1">
        <f t="shared" si="294"/>
        <v>4.0448472325611606E-2</v>
      </c>
      <c r="J950" s="1">
        <f t="shared" si="295"/>
        <v>4.3821351295227184E-2</v>
      </c>
      <c r="K950" s="1">
        <f t="shared" si="296"/>
        <v>2.6946185285956215E-2</v>
      </c>
      <c r="L950" s="1">
        <f t="shared" si="297"/>
        <v>2.6719290795886919E-2</v>
      </c>
      <c r="M950" s="1">
        <f t="shared" si="298"/>
        <v>5.8245472522602426E-2</v>
      </c>
      <c r="N950" s="1">
        <f t="shared" si="299"/>
        <v>5.8268118318771822E-2</v>
      </c>
      <c r="O950" s="1">
        <f t="shared" si="300"/>
        <v>5.8122575854344938E-2</v>
      </c>
      <c r="P950" s="1">
        <f t="shared" si="301"/>
        <v>5.8145933309732667E-2</v>
      </c>
      <c r="Q950" s="1">
        <f t="shared" si="302"/>
        <v>0.88339922235925439</v>
      </c>
      <c r="T950">
        <v>0.40479817133246798</v>
      </c>
      <c r="U950">
        <f t="shared" si="309"/>
        <v>2.4703668910072278</v>
      </c>
      <c r="V950" s="15">
        <f t="shared" si="303"/>
        <v>6.4106447167341069E-2</v>
      </c>
      <c r="W950" s="15">
        <f t="shared" si="304"/>
        <v>6.8961945017218737E-2</v>
      </c>
      <c r="X950" s="15">
        <f t="shared" si="305"/>
        <v>7.8672940716973977E-2</v>
      </c>
      <c r="Y950" s="15">
        <f t="shared" si="306"/>
        <v>9.0051913598179684E-2</v>
      </c>
      <c r="Z950" s="15">
        <f t="shared" si="307"/>
        <v>9.432138369240313E-2</v>
      </c>
      <c r="AA950" s="15">
        <f t="shared" si="308"/>
        <v>0.10286032388085001</v>
      </c>
      <c r="AC950" s="1"/>
      <c r="AD950" s="1"/>
      <c r="AE950" s="1"/>
    </row>
    <row r="951" spans="1:31">
      <c r="A951">
        <v>418</v>
      </c>
      <c r="B951">
        <f t="shared" si="288"/>
        <v>0.89508866557693667</v>
      </c>
      <c r="C951">
        <v>0.88730054759822174</v>
      </c>
      <c r="D951">
        <f t="shared" si="289"/>
        <v>1.1270138429496492</v>
      </c>
      <c r="E951" s="1">
        <f t="shared" si="290"/>
        <v>3.1305403444938401E-2</v>
      </c>
      <c r="F951" s="1">
        <f t="shared" si="291"/>
        <v>3.6314267996128524E-2</v>
      </c>
      <c r="G951" s="1">
        <f t="shared" si="292"/>
        <v>1.1269945240177839E-2</v>
      </c>
      <c r="H951" s="1">
        <f t="shared" si="293"/>
        <v>1.0920653566339575E-2</v>
      </c>
      <c r="I951" s="1">
        <f t="shared" si="294"/>
        <v>4.0134924232877511E-2</v>
      </c>
      <c r="J951" s="1">
        <f t="shared" si="295"/>
        <v>4.3481657350569858E-2</v>
      </c>
      <c r="K951" s="1">
        <f t="shared" si="296"/>
        <v>2.6737304096702441E-2</v>
      </c>
      <c r="L951" s="1">
        <f t="shared" si="297"/>
        <v>2.6512168445237488E-2</v>
      </c>
      <c r="M951" s="1">
        <f t="shared" si="298"/>
        <v>5.7793965808755621E-2</v>
      </c>
      <c r="N951" s="1">
        <f t="shared" si="299"/>
        <v>5.7816436059452248E-2</v>
      </c>
      <c r="O951" s="1">
        <f t="shared" si="300"/>
        <v>5.7672021809751617E-2</v>
      </c>
      <c r="P951" s="1">
        <f t="shared" si="301"/>
        <v>5.7695198203033315E-2</v>
      </c>
      <c r="Q951" s="1">
        <f t="shared" si="302"/>
        <v>0.87655129645827579</v>
      </c>
      <c r="T951">
        <v>0.63207704264408948</v>
      </c>
      <c r="U951">
        <f t="shared" si="309"/>
        <v>1.5820856201592515</v>
      </c>
      <c r="V951" s="15">
        <f t="shared" si="303"/>
        <v>0</v>
      </c>
      <c r="W951" s="15">
        <f t="shared" si="304"/>
        <v>0</v>
      </c>
      <c r="X951" s="15">
        <f t="shared" si="305"/>
        <v>0</v>
      </c>
      <c r="Y951" s="15">
        <f t="shared" si="306"/>
        <v>0</v>
      </c>
      <c r="Z951" s="15">
        <f t="shared" si="307"/>
        <v>0</v>
      </c>
      <c r="AA951" s="15">
        <f t="shared" si="308"/>
        <v>0</v>
      </c>
      <c r="AC951" s="1"/>
      <c r="AD951" s="1"/>
      <c r="AE951" s="1"/>
    </row>
    <row r="952" spans="1:31">
      <c r="A952">
        <v>440</v>
      </c>
      <c r="B952">
        <f t="shared" si="288"/>
        <v>0.89528195066607541</v>
      </c>
      <c r="C952">
        <v>0.88763660799710786</v>
      </c>
      <c r="D952">
        <f t="shared" si="289"/>
        <v>1.1265871540116317</v>
      </c>
      <c r="E952" s="1">
        <f t="shared" si="290"/>
        <v>3.121205333413668E-2</v>
      </c>
      <c r="F952" s="1">
        <f t="shared" si="291"/>
        <v>3.6205981867598602E-2</v>
      </c>
      <c r="G952" s="1">
        <f t="shared" si="292"/>
        <v>1.1236339200289228E-2</v>
      </c>
      <c r="H952" s="1">
        <f t="shared" si="293"/>
        <v>1.0888089085187375E-2</v>
      </c>
      <c r="I952" s="1">
        <f t="shared" si="294"/>
        <v>4.0015245225042739E-2</v>
      </c>
      <c r="J952" s="1">
        <f t="shared" si="295"/>
        <v>4.3351998662776337E-2</v>
      </c>
      <c r="K952" s="1">
        <f t="shared" si="296"/>
        <v>2.6657575678432549E-2</v>
      </c>
      <c r="L952" s="1">
        <f t="shared" si="297"/>
        <v>2.6433111362765799E-2</v>
      </c>
      <c r="M952" s="1">
        <f t="shared" si="298"/>
        <v>5.7621629006854747E-2</v>
      </c>
      <c r="N952" s="1">
        <f t="shared" si="299"/>
        <v>5.7644032253131694E-2</v>
      </c>
      <c r="O952" s="1">
        <f t="shared" si="300"/>
        <v>5.7500048634719136E-2</v>
      </c>
      <c r="P952" s="1">
        <f t="shared" si="301"/>
        <v>5.7523155917922619E-2</v>
      </c>
      <c r="Q952" s="1">
        <f t="shared" si="302"/>
        <v>0.87393749335582793</v>
      </c>
      <c r="T952">
        <v>0.69589242727928802</v>
      </c>
      <c r="U952">
        <f t="shared" si="309"/>
        <v>1.4370037103430959</v>
      </c>
      <c r="V952" s="15">
        <f t="shared" si="303"/>
        <v>0</v>
      </c>
      <c r="W952" s="15">
        <f t="shared" si="304"/>
        <v>0</v>
      </c>
      <c r="X952" s="15">
        <f t="shared" si="305"/>
        <v>0</v>
      </c>
      <c r="Y952" s="15">
        <f t="shared" si="306"/>
        <v>0</v>
      </c>
      <c r="Z952" s="15">
        <f t="shared" si="307"/>
        <v>0</v>
      </c>
      <c r="AA952" s="15">
        <f t="shared" si="308"/>
        <v>0</v>
      </c>
      <c r="AC952" s="1"/>
      <c r="AD952" s="1"/>
      <c r="AE952" s="1"/>
    </row>
    <row r="953" spans="1:31">
      <c r="A953">
        <v>192</v>
      </c>
      <c r="B953">
        <f t="shared" si="288"/>
        <v>0.89539298235661335</v>
      </c>
      <c r="C953">
        <v>0.88782965627815957</v>
      </c>
      <c r="D953">
        <f t="shared" si="289"/>
        <v>1.1263421906766056</v>
      </c>
      <c r="E953" s="1">
        <f t="shared" si="290"/>
        <v>3.1158428811622313E-2</v>
      </c>
      <c r="F953" s="1">
        <f t="shared" si="291"/>
        <v>3.6143777421481893E-2</v>
      </c>
      <c r="G953" s="1">
        <f t="shared" si="292"/>
        <v>1.1217034372184048E-2</v>
      </c>
      <c r="H953" s="1">
        <f t="shared" si="293"/>
        <v>1.0869382575492664E-2</v>
      </c>
      <c r="I953" s="1">
        <f t="shared" si="294"/>
        <v>3.9946496194163017E-2</v>
      </c>
      <c r="J953" s="1">
        <f t="shared" si="295"/>
        <v>4.3277516852706144E-2</v>
      </c>
      <c r="K953" s="1">
        <f t="shared" si="296"/>
        <v>2.6611776071727933E-2</v>
      </c>
      <c r="L953" s="1">
        <f t="shared" si="297"/>
        <v>2.6387697401684063E-2</v>
      </c>
      <c r="M953" s="1">
        <f t="shared" si="298"/>
        <v>5.7522630959244314E-2</v>
      </c>
      <c r="N953" s="1">
        <f t="shared" si="299"/>
        <v>5.7544995715154312E-2</v>
      </c>
      <c r="O953" s="1">
        <f t="shared" si="300"/>
        <v>5.7401259470815702E-2</v>
      </c>
      <c r="P953" s="1">
        <f t="shared" si="301"/>
        <v>5.7424327054066859E-2</v>
      </c>
      <c r="Q953" s="1">
        <f t="shared" si="302"/>
        <v>0.87243600672542598</v>
      </c>
      <c r="T953">
        <v>0.89231536934499789</v>
      </c>
      <c r="U953">
        <f t="shared" si="309"/>
        <v>1.1206800133164216</v>
      </c>
      <c r="V953" s="15">
        <f t="shared" si="303"/>
        <v>0</v>
      </c>
      <c r="W953" s="15">
        <f t="shared" si="304"/>
        <v>0</v>
      </c>
      <c r="X953" s="15">
        <f t="shared" si="305"/>
        <v>0</v>
      </c>
      <c r="Y953" s="15">
        <f t="shared" si="306"/>
        <v>0</v>
      </c>
      <c r="Z953" s="15">
        <f t="shared" si="307"/>
        <v>0</v>
      </c>
      <c r="AA953" s="15">
        <f t="shared" si="308"/>
        <v>0</v>
      </c>
      <c r="AC953" s="1"/>
      <c r="AD953" s="1"/>
      <c r="AE953" s="1"/>
    </row>
    <row r="954" spans="1:31">
      <c r="A954">
        <v>892</v>
      </c>
      <c r="B954">
        <f t="shared" si="288"/>
        <v>0.89549216605149939</v>
      </c>
      <c r="C954">
        <v>0.888073000501577</v>
      </c>
      <c r="D954">
        <f t="shared" si="289"/>
        <v>1.1260335574161218</v>
      </c>
      <c r="E954" s="1">
        <f t="shared" si="290"/>
        <v>3.1090833194006379E-2</v>
      </c>
      <c r="F954" s="1">
        <f t="shared" si="291"/>
        <v>3.6065366505047436E-2</v>
      </c>
      <c r="G954" s="1">
        <f t="shared" si="292"/>
        <v>1.1192699949842316E-2</v>
      </c>
      <c r="H954" s="1">
        <f t="shared" si="293"/>
        <v>1.0845802354784592E-2</v>
      </c>
      <c r="I954" s="1">
        <f t="shared" si="294"/>
        <v>3.9859835595897231E-2</v>
      </c>
      <c r="J954" s="1">
        <f t="shared" si="295"/>
        <v>4.3183629882402541E-2</v>
      </c>
      <c r="K954" s="1">
        <f t="shared" si="296"/>
        <v>2.6554044038758579E-2</v>
      </c>
      <c r="L954" s="1">
        <f t="shared" si="297"/>
        <v>2.6330451488736611E-2</v>
      </c>
      <c r="M954" s="1">
        <f t="shared" si="298"/>
        <v>5.7397840399678823E-2</v>
      </c>
      <c r="N954" s="1">
        <f t="shared" si="299"/>
        <v>5.7420156637112585E-2</v>
      </c>
      <c r="O954" s="1">
        <f t="shared" si="300"/>
        <v>5.7276732216591131E-2</v>
      </c>
      <c r="P954" s="1">
        <f t="shared" si="301"/>
        <v>5.7299749756640594E-2</v>
      </c>
      <c r="Q954" s="1">
        <f t="shared" si="302"/>
        <v>0.87054332943217982</v>
      </c>
      <c r="T954">
        <v>0.28448492644189693</v>
      </c>
      <c r="U954">
        <f t="shared" si="309"/>
        <v>3.5151247291277472</v>
      </c>
      <c r="V954" s="15">
        <f t="shared" si="303"/>
        <v>7.1977166532171469E-2</v>
      </c>
      <c r="W954" s="15">
        <f t="shared" si="304"/>
        <v>7.6519023490416851E-2</v>
      </c>
      <c r="X954" s="15">
        <f t="shared" si="305"/>
        <v>8.5602737406907645E-2</v>
      </c>
      <c r="Y954" s="15">
        <f t="shared" si="306"/>
        <v>0.10170091003510545</v>
      </c>
      <c r="Z954" s="15">
        <f t="shared" si="307"/>
        <v>0.1056569990022531</v>
      </c>
      <c r="AA954" s="15">
        <f t="shared" si="308"/>
        <v>0.11356917693654849</v>
      </c>
      <c r="AC954" s="1"/>
      <c r="AD954" s="1"/>
      <c r="AE954" s="1"/>
    </row>
    <row r="955" spans="1:31">
      <c r="A955">
        <v>214</v>
      </c>
      <c r="B955">
        <f t="shared" si="288"/>
        <v>0.89899986549743582</v>
      </c>
      <c r="C955">
        <v>0.88981276154553768</v>
      </c>
      <c r="D955">
        <f t="shared" si="289"/>
        <v>1.1238319377023491</v>
      </c>
      <c r="E955" s="1">
        <f t="shared" si="290"/>
        <v>3.0607566237350642E-2</v>
      </c>
      <c r="F955" s="1">
        <f t="shared" si="291"/>
        <v>3.5504776835326768E-2</v>
      </c>
      <c r="G955" s="1">
        <f t="shared" si="292"/>
        <v>1.1018723845446249E-2</v>
      </c>
      <c r="H955" s="1">
        <f t="shared" si="293"/>
        <v>1.0677218326695673E-2</v>
      </c>
      <c r="I955" s="1">
        <f t="shared" si="294"/>
        <v>3.9240265791478435E-2</v>
      </c>
      <c r="J955" s="1">
        <f t="shared" si="295"/>
        <v>4.2512395976884665E-2</v>
      </c>
      <c r="K955" s="1">
        <f t="shared" si="296"/>
        <v>2.6141295626085387E-2</v>
      </c>
      <c r="L955" s="1">
        <f t="shared" si="297"/>
        <v>2.5921178534263761E-2</v>
      </c>
      <c r="M955" s="1">
        <f t="shared" si="298"/>
        <v>5.6505664899733965E-2</v>
      </c>
      <c r="N955" s="1">
        <f t="shared" si="299"/>
        <v>5.6527634260000348E-2</v>
      </c>
      <c r="O955" s="1">
        <f t="shared" si="300"/>
        <v>5.6386439187363635E-2</v>
      </c>
      <c r="P955" s="1">
        <f t="shared" si="301"/>
        <v>5.6409098949399883E-2</v>
      </c>
      <c r="Q955" s="1">
        <f t="shared" si="302"/>
        <v>0.85701185464581897</v>
      </c>
      <c r="T955">
        <v>0.27208730824135974</v>
      </c>
      <c r="U955">
        <f t="shared" si="309"/>
        <v>3.6752908706529333</v>
      </c>
      <c r="V955" s="15">
        <f t="shared" si="303"/>
        <v>7.2788200876208103E-2</v>
      </c>
      <c r="W955" s="15">
        <f t="shared" si="304"/>
        <v>7.729773886549815E-2</v>
      </c>
      <c r="X955" s="15">
        <f t="shared" si="305"/>
        <v>8.6316814844078299E-2</v>
      </c>
      <c r="Y955" s="15">
        <f t="shared" si="306"/>
        <v>0.10290127505207244</v>
      </c>
      <c r="Z955" s="15">
        <f t="shared" si="307"/>
        <v>0.10682507181757368</v>
      </c>
      <c r="AA955" s="15">
        <f t="shared" si="308"/>
        <v>0.11467266534857626</v>
      </c>
      <c r="AC955" s="1"/>
      <c r="AD955" s="1"/>
      <c r="AE955" s="1"/>
    </row>
    <row r="956" spans="1:31">
      <c r="A956">
        <v>700</v>
      </c>
      <c r="B956">
        <f t="shared" si="288"/>
        <v>0.89984327302805878</v>
      </c>
      <c r="C956">
        <v>0.89047300957870357</v>
      </c>
      <c r="D956">
        <f t="shared" si="289"/>
        <v>1.1229986639046088</v>
      </c>
      <c r="E956" s="1">
        <f t="shared" si="290"/>
        <v>3.042416400591566E-2</v>
      </c>
      <c r="F956" s="1">
        <f t="shared" si="291"/>
        <v>3.5292030246862172E-2</v>
      </c>
      <c r="G956" s="1">
        <f t="shared" si="292"/>
        <v>1.0952699042129657E-2</v>
      </c>
      <c r="H956" s="1">
        <f t="shared" si="293"/>
        <v>1.0613239843354369E-2</v>
      </c>
      <c r="I956" s="1">
        <f t="shared" si="294"/>
        <v>3.9005135946378999E-2</v>
      </c>
      <c r="J956" s="1">
        <f t="shared" si="295"/>
        <v>4.2257659346557841E-2</v>
      </c>
      <c r="K956" s="1">
        <f t="shared" si="296"/>
        <v>2.5984655535421314E-2</v>
      </c>
      <c r="L956" s="1">
        <f t="shared" si="297"/>
        <v>2.5765857397400338E-2</v>
      </c>
      <c r="M956" s="1">
        <f t="shared" si="298"/>
        <v>5.6167079827305622E-2</v>
      </c>
      <c r="N956" s="1">
        <f t="shared" si="299"/>
        <v>5.6188917545949013E-2</v>
      </c>
      <c r="O956" s="1">
        <f t="shared" si="300"/>
        <v>5.6048568522004572E-2</v>
      </c>
      <c r="P956" s="1">
        <f t="shared" si="301"/>
        <v>5.6071092505492248E-2</v>
      </c>
      <c r="Q956" s="1">
        <f t="shared" si="302"/>
        <v>0.85187659216563993</v>
      </c>
      <c r="T956">
        <v>0.67407233511829634</v>
      </c>
      <c r="U956">
        <f t="shared" si="309"/>
        <v>1.4835203106570232</v>
      </c>
      <c r="V956" s="15">
        <f t="shared" si="303"/>
        <v>0</v>
      </c>
      <c r="W956" s="15">
        <f t="shared" si="304"/>
        <v>0</v>
      </c>
      <c r="X956" s="15">
        <f t="shared" si="305"/>
        <v>0</v>
      </c>
      <c r="Y956" s="15">
        <f t="shared" si="306"/>
        <v>0</v>
      </c>
      <c r="Z956" s="15">
        <f t="shared" si="307"/>
        <v>0</v>
      </c>
      <c r="AA956" s="15">
        <f t="shared" si="308"/>
        <v>0</v>
      </c>
      <c r="AC956" s="1"/>
      <c r="AD956" s="1"/>
      <c r="AE956" s="1"/>
    </row>
    <row r="957" spans="1:31">
      <c r="A957">
        <v>503</v>
      </c>
      <c r="B957">
        <f t="shared" si="288"/>
        <v>0.90259525936108587</v>
      </c>
      <c r="C957">
        <v>0.89189730956214319</v>
      </c>
      <c r="D957">
        <f t="shared" si="289"/>
        <v>1.1212053106101725</v>
      </c>
      <c r="E957" s="1">
        <f t="shared" si="290"/>
        <v>3.0028525121626876E-2</v>
      </c>
      <c r="F957" s="1">
        <f t="shared" si="291"/>
        <v>3.4833089141087181E-2</v>
      </c>
      <c r="G957" s="1">
        <f t="shared" si="292"/>
        <v>1.0810269043785695E-2</v>
      </c>
      <c r="H957" s="1">
        <f t="shared" si="293"/>
        <v>1.0475224206523803E-2</v>
      </c>
      <c r="I957" s="1">
        <f t="shared" si="294"/>
        <v>3.8497909241173356E-2</v>
      </c>
      <c r="J957" s="1">
        <f t="shared" si="295"/>
        <v>4.1708136500399229E-2</v>
      </c>
      <c r="K957" s="1">
        <f t="shared" si="296"/>
        <v>2.5646748465150998E-2</v>
      </c>
      <c r="L957" s="1">
        <f t="shared" si="297"/>
        <v>2.5430795600091149E-2</v>
      </c>
      <c r="M957" s="1">
        <f t="shared" si="298"/>
        <v>5.543667748026615E-2</v>
      </c>
      <c r="N957" s="1">
        <f t="shared" si="299"/>
        <v>5.5458231219023157E-2</v>
      </c>
      <c r="O957" s="1">
        <f t="shared" si="300"/>
        <v>5.5319707307881605E-2</v>
      </c>
      <c r="P957" s="1">
        <f t="shared" si="301"/>
        <v>5.5341938387225786E-2</v>
      </c>
      <c r="Q957" s="1">
        <f t="shared" si="302"/>
        <v>0.84079870340555374</v>
      </c>
      <c r="T957">
        <v>0.38355847163956558</v>
      </c>
      <c r="U957">
        <f t="shared" si="309"/>
        <v>2.6071644193527597</v>
      </c>
      <c r="V957" s="15">
        <f t="shared" si="303"/>
        <v>6.5495917759944219E-2</v>
      </c>
      <c r="W957" s="15">
        <f t="shared" si="304"/>
        <v>7.029604649102085E-2</v>
      </c>
      <c r="X957" s="15">
        <f t="shared" si="305"/>
        <v>7.9896303953174042E-2</v>
      </c>
      <c r="Y957" s="15">
        <f t="shared" si="306"/>
        <v>9.2108388646035239E-2</v>
      </c>
      <c r="Z957" s="15">
        <f t="shared" si="307"/>
        <v>9.632253547942761E-2</v>
      </c>
      <c r="AA957" s="15">
        <f t="shared" si="308"/>
        <v>0.10475082914621237</v>
      </c>
      <c r="AC957" s="1"/>
      <c r="AD957" s="1"/>
      <c r="AE957" s="1"/>
    </row>
    <row r="958" spans="1:31">
      <c r="A958">
        <v>834</v>
      </c>
      <c r="B958">
        <f t="shared" si="288"/>
        <v>0.90329074580828894</v>
      </c>
      <c r="C958">
        <v>0.89223427464082805</v>
      </c>
      <c r="D958">
        <f t="shared" si="289"/>
        <v>1.1207818713336846</v>
      </c>
      <c r="E958" s="1">
        <f t="shared" si="290"/>
        <v>2.9934923710881078E-2</v>
      </c>
      <c r="F958" s="1">
        <f t="shared" si="291"/>
        <v>3.472451150462208E-2</v>
      </c>
      <c r="G958" s="1">
        <f t="shared" si="292"/>
        <v>1.0776572535917212E-2</v>
      </c>
      <c r="H958" s="1">
        <f t="shared" si="293"/>
        <v>1.0442572061283975E-2</v>
      </c>
      <c r="I958" s="1">
        <f t="shared" si="294"/>
        <v>3.8377908055595877E-2</v>
      </c>
      <c r="J958" s="1">
        <f t="shared" si="295"/>
        <v>4.1578128769410028E-2</v>
      </c>
      <c r="K958" s="1">
        <f t="shared" si="296"/>
        <v>2.5566805416744276E-2</v>
      </c>
      <c r="L958" s="1">
        <f t="shared" si="297"/>
        <v>2.5351525694728982E-2</v>
      </c>
      <c r="M958" s="1">
        <f t="shared" si="298"/>
        <v>5.526387674502542E-2</v>
      </c>
      <c r="N958" s="1">
        <f t="shared" si="299"/>
        <v>5.5285363298985701E-2</v>
      </c>
      <c r="O958" s="1">
        <f t="shared" si="300"/>
        <v>5.5147271178398405E-2</v>
      </c>
      <c r="P958" s="1">
        <f t="shared" si="301"/>
        <v>5.5169432961618969E-2</v>
      </c>
      <c r="Q958" s="1">
        <f t="shared" si="302"/>
        <v>0.83817786390467131</v>
      </c>
      <c r="T958">
        <v>0.65395063485702776</v>
      </c>
      <c r="U958">
        <f t="shared" si="309"/>
        <v>1.5291674121833807</v>
      </c>
      <c r="V958" s="15">
        <f t="shared" si="303"/>
        <v>0</v>
      </c>
      <c r="W958" s="15">
        <f t="shared" si="304"/>
        <v>0</v>
      </c>
      <c r="X958" s="15">
        <f t="shared" si="305"/>
        <v>0</v>
      </c>
      <c r="Y958" s="15">
        <f t="shared" si="306"/>
        <v>0</v>
      </c>
      <c r="Z958" s="15">
        <f t="shared" si="307"/>
        <v>0</v>
      </c>
      <c r="AA958" s="15">
        <f t="shared" si="308"/>
        <v>0</v>
      </c>
      <c r="AC958" s="1"/>
      <c r="AD958" s="1"/>
      <c r="AE958" s="1"/>
    </row>
    <row r="959" spans="1:31">
      <c r="A959">
        <v>176</v>
      </c>
      <c r="B959">
        <f t="shared" si="288"/>
        <v>0.904272055573203</v>
      </c>
      <c r="C959">
        <v>0.89270972189573605</v>
      </c>
      <c r="D959">
        <f t="shared" si="289"/>
        <v>1.1201849553922467</v>
      </c>
      <c r="E959" s="1">
        <f t="shared" si="290"/>
        <v>2.9802855028962183E-2</v>
      </c>
      <c r="F959" s="1">
        <f t="shared" si="291"/>
        <v>3.4571311833596186E-2</v>
      </c>
      <c r="G959" s="1">
        <f t="shared" si="292"/>
        <v>1.0729027810426409E-2</v>
      </c>
      <c r="H959" s="1">
        <f t="shared" si="293"/>
        <v>1.039650089900887E-2</v>
      </c>
      <c r="I959" s="1">
        <f t="shared" si="294"/>
        <v>3.8208590111756757E-2</v>
      </c>
      <c r="J959" s="1">
        <f t="shared" si="295"/>
        <v>4.1394691900946134E-2</v>
      </c>
      <c r="K959" s="1">
        <f t="shared" si="296"/>
        <v>2.5454008259655186E-2</v>
      </c>
      <c r="L959" s="1">
        <f t="shared" si="297"/>
        <v>2.5239678321558018E-2</v>
      </c>
      <c r="M959" s="1">
        <f t="shared" si="298"/>
        <v>5.5020060277345906E-2</v>
      </c>
      <c r="N959" s="1">
        <f t="shared" si="299"/>
        <v>5.504145203564581E-2</v>
      </c>
      <c r="O959" s="1">
        <f t="shared" si="300"/>
        <v>5.4903969158112742E-2</v>
      </c>
      <c r="P959" s="1">
        <f t="shared" si="301"/>
        <v>5.4926033166656285E-2</v>
      </c>
      <c r="Q959" s="1">
        <f t="shared" si="302"/>
        <v>0.83447994081094201</v>
      </c>
      <c r="T959">
        <v>0.86464095577668398</v>
      </c>
      <c r="U959">
        <f t="shared" si="309"/>
        <v>1.1565494247282406</v>
      </c>
      <c r="V959" s="15">
        <f t="shared" si="303"/>
        <v>0</v>
      </c>
      <c r="W959" s="15">
        <f t="shared" si="304"/>
        <v>0</v>
      </c>
      <c r="X959" s="15">
        <f t="shared" si="305"/>
        <v>0</v>
      </c>
      <c r="Y959" s="15">
        <f t="shared" si="306"/>
        <v>0</v>
      </c>
      <c r="Z959" s="15">
        <f t="shared" si="307"/>
        <v>0</v>
      </c>
      <c r="AA959" s="15">
        <f t="shared" si="308"/>
        <v>0</v>
      </c>
      <c r="AC959" s="1"/>
      <c r="AD959" s="1"/>
      <c r="AE959" s="1"/>
    </row>
    <row r="960" spans="1:31">
      <c r="A960">
        <v>80</v>
      </c>
      <c r="B960">
        <f t="shared" si="288"/>
        <v>0.90552494219839275</v>
      </c>
      <c r="C960">
        <v>0.89471373188638537</v>
      </c>
      <c r="D960">
        <f t="shared" si="289"/>
        <v>1.1176759273512351</v>
      </c>
      <c r="E960" s="1">
        <f t="shared" si="290"/>
        <v>2.924618558711517E-2</v>
      </c>
      <c r="F960" s="1">
        <f t="shared" si="291"/>
        <v>3.392557528105361E-2</v>
      </c>
      <c r="G960" s="1">
        <f t="shared" si="292"/>
        <v>1.0528626811361477E-2</v>
      </c>
      <c r="H960" s="1">
        <f t="shared" si="293"/>
        <v>1.0202310968312991E-2</v>
      </c>
      <c r="I960" s="1">
        <f t="shared" si="294"/>
        <v>3.7494915045706789E-2</v>
      </c>
      <c r="J960" s="1">
        <f t="shared" si="295"/>
        <v>4.0621505573208871E-2</v>
      </c>
      <c r="K960" s="1">
        <f t="shared" si="296"/>
        <v>2.4978568287313541E-2</v>
      </c>
      <c r="L960" s="1">
        <f t="shared" si="297"/>
        <v>2.4768241688054055E-2</v>
      </c>
      <c r="M960" s="1">
        <f t="shared" si="298"/>
        <v>5.3992373962889917E-2</v>
      </c>
      <c r="N960" s="1">
        <f t="shared" si="299"/>
        <v>5.4013366157519116E-2</v>
      </c>
      <c r="O960" s="1">
        <f t="shared" si="300"/>
        <v>5.387845123921764E-2</v>
      </c>
      <c r="P960" s="1">
        <f t="shared" si="301"/>
        <v>5.3900103127536125E-2</v>
      </c>
      <c r="Q960" s="1">
        <f t="shared" si="302"/>
        <v>0.81889319643922587</v>
      </c>
      <c r="T960">
        <v>0.13473589832818111</v>
      </c>
      <c r="U960">
        <f t="shared" si="309"/>
        <v>7.4219269875966072</v>
      </c>
      <c r="V960" s="15">
        <f t="shared" si="303"/>
        <v>8.6378808945242219E-2</v>
      </c>
      <c r="W960" s="15">
        <f t="shared" si="304"/>
        <v>9.018315942891332E-2</v>
      </c>
      <c r="X960" s="15">
        <f t="shared" si="305"/>
        <v>9.7791860396255412E-2</v>
      </c>
      <c r="Y960" s="15">
        <f t="shared" si="306"/>
        <v>0.12300756196573076</v>
      </c>
      <c r="Z960" s="15">
        <f t="shared" si="307"/>
        <v>0.12620315101183341</v>
      </c>
      <c r="AA960" s="15">
        <f t="shared" si="308"/>
        <v>0.13259432910403862</v>
      </c>
      <c r="AC960" s="1"/>
      <c r="AD960" s="1"/>
      <c r="AE960" s="1"/>
    </row>
    <row r="961" spans="1:31">
      <c r="A961">
        <v>502</v>
      </c>
      <c r="B961">
        <f t="shared" si="288"/>
        <v>0.90556490897547104</v>
      </c>
      <c r="C961">
        <v>0.89485074867947234</v>
      </c>
      <c r="D961">
        <f t="shared" si="289"/>
        <v>1.1175047922524466</v>
      </c>
      <c r="E961" s="1">
        <f t="shared" si="290"/>
        <v>2.920812536681322E-2</v>
      </c>
      <c r="F961" s="1">
        <f t="shared" si="291"/>
        <v>3.3881425425503375E-2</v>
      </c>
      <c r="G961" s="1">
        <f t="shared" si="292"/>
        <v>1.051492513205278E-2</v>
      </c>
      <c r="H961" s="1">
        <f t="shared" si="293"/>
        <v>1.0189033947899981E-2</v>
      </c>
      <c r="I961" s="1">
        <f t="shared" si="294"/>
        <v>3.7446120144826733E-2</v>
      </c>
      <c r="J961" s="1">
        <f t="shared" si="295"/>
        <v>4.0568641809265782E-2</v>
      </c>
      <c r="K961" s="1">
        <f t="shared" si="296"/>
        <v>2.4946061832445743E-2</v>
      </c>
      <c r="L961" s="1">
        <f t="shared" si="297"/>
        <v>2.4736008946716515E-2</v>
      </c>
      <c r="M961" s="1">
        <f t="shared" si="298"/>
        <v>5.3922109700853704E-2</v>
      </c>
      <c r="N961" s="1">
        <f t="shared" si="299"/>
        <v>5.3943074576790373E-2</v>
      </c>
      <c r="O961" s="1">
        <f t="shared" si="300"/>
        <v>5.3808335233231697E-2</v>
      </c>
      <c r="P961" s="1">
        <f t="shared" si="301"/>
        <v>5.3829958944349554E-2</v>
      </c>
      <c r="Q961" s="1">
        <f t="shared" si="302"/>
        <v>0.81782751027077172</v>
      </c>
      <c r="T961">
        <v>0.66267964672707824</v>
      </c>
      <c r="U961">
        <f t="shared" si="309"/>
        <v>1.5090247677575734</v>
      </c>
      <c r="V961" s="15">
        <f t="shared" si="303"/>
        <v>0</v>
      </c>
      <c r="W961" s="15">
        <f t="shared" si="304"/>
        <v>0</v>
      </c>
      <c r="X961" s="15">
        <f t="shared" si="305"/>
        <v>0</v>
      </c>
      <c r="Y961" s="15">
        <f t="shared" si="306"/>
        <v>0</v>
      </c>
      <c r="Z961" s="15">
        <f t="shared" si="307"/>
        <v>0</v>
      </c>
      <c r="AA961" s="15">
        <f t="shared" si="308"/>
        <v>0</v>
      </c>
      <c r="AC961" s="1"/>
      <c r="AD961" s="1"/>
      <c r="AE961" s="1"/>
    </row>
    <row r="962" spans="1:31">
      <c r="A962">
        <v>783</v>
      </c>
      <c r="B962">
        <f t="shared" si="288"/>
        <v>0.90618814701976147</v>
      </c>
      <c r="C962">
        <v>0.89542647425840938</v>
      </c>
      <c r="D962">
        <f t="shared" si="289"/>
        <v>1.1167862786592258</v>
      </c>
      <c r="E962" s="1">
        <f t="shared" si="290"/>
        <v>2.9048201594886275E-2</v>
      </c>
      <c r="F962" s="1">
        <f t="shared" si="291"/>
        <v>3.3695913850068093E-2</v>
      </c>
      <c r="G962" s="1">
        <f t="shared" si="292"/>
        <v>1.0457352574159071E-2</v>
      </c>
      <c r="H962" s="1">
        <f t="shared" si="293"/>
        <v>1.0133245747843453E-2</v>
      </c>
      <c r="I962" s="1">
        <f t="shared" si="294"/>
        <v>3.7241090732552495E-2</v>
      </c>
      <c r="J962" s="1">
        <f t="shared" si="295"/>
        <v>4.0346515598199073E-2</v>
      </c>
      <c r="K962" s="1">
        <f t="shared" si="296"/>
        <v>2.4809474213320415E-2</v>
      </c>
      <c r="L962" s="1">
        <f t="shared" si="297"/>
        <v>2.4600571433918361E-2</v>
      </c>
      <c r="M962" s="1">
        <f t="shared" si="298"/>
        <v>5.3626869007884825E-2</v>
      </c>
      <c r="N962" s="1">
        <f t="shared" si="299"/>
        <v>5.3647719094460866E-2</v>
      </c>
      <c r="O962" s="1">
        <f t="shared" si="300"/>
        <v>5.3513717491643076E-2</v>
      </c>
      <c r="P962" s="1">
        <f t="shared" si="301"/>
        <v>5.3535222806068206E-2</v>
      </c>
      <c r="Q962" s="1">
        <f t="shared" si="302"/>
        <v>0.81334964465681647</v>
      </c>
      <c r="T962">
        <v>0.38570182181025303</v>
      </c>
      <c r="U962">
        <f t="shared" si="309"/>
        <v>2.5926763718838552</v>
      </c>
      <c r="V962" s="15">
        <f t="shared" si="303"/>
        <v>6.5355702875794217E-2</v>
      </c>
      <c r="W962" s="15">
        <f t="shared" si="304"/>
        <v>7.0161419040400935E-2</v>
      </c>
      <c r="X962" s="15">
        <f t="shared" si="305"/>
        <v>7.9772851369614289E-2</v>
      </c>
      <c r="Y962" s="15">
        <f t="shared" si="306"/>
        <v>9.1900864706969912E-2</v>
      </c>
      <c r="Z962" s="15">
        <f t="shared" si="307"/>
        <v>9.6120594346252183E-2</v>
      </c>
      <c r="AA962" s="15">
        <f t="shared" si="308"/>
        <v>0.10456005362481674</v>
      </c>
      <c r="AC962" s="1"/>
      <c r="AD962" s="1"/>
      <c r="AE962" s="1"/>
    </row>
    <row r="963" spans="1:31">
      <c r="A963">
        <v>858</v>
      </c>
      <c r="B963">
        <f t="shared" si="288"/>
        <v>0.9065960230869019</v>
      </c>
      <c r="C963">
        <v>0.8957817042415539</v>
      </c>
      <c r="D963">
        <f t="shared" si="289"/>
        <v>1.1163434074004517</v>
      </c>
      <c r="E963" s="1">
        <f t="shared" si="290"/>
        <v>2.8949526599568343E-2</v>
      </c>
      <c r="F963" s="1">
        <f t="shared" si="291"/>
        <v>3.3581450855499295E-2</v>
      </c>
      <c r="G963" s="1">
        <f t="shared" si="292"/>
        <v>1.0421829575844616E-2</v>
      </c>
      <c r="H963" s="1">
        <f t="shared" si="293"/>
        <v>1.0098823720942493E-2</v>
      </c>
      <c r="I963" s="1">
        <f t="shared" si="294"/>
        <v>3.7114584985142751E-2</v>
      </c>
      <c r="J963" s="1">
        <f t="shared" si="295"/>
        <v>4.0209460909125028E-2</v>
      </c>
      <c r="K963" s="1">
        <f t="shared" si="296"/>
        <v>2.4725197920213493E-2</v>
      </c>
      <c r="L963" s="1">
        <f t="shared" si="297"/>
        <v>2.4517004771000162E-2</v>
      </c>
      <c r="M963" s="1">
        <f t="shared" si="298"/>
        <v>5.3444701756291568E-2</v>
      </c>
      <c r="N963" s="1">
        <f t="shared" si="299"/>
        <v>5.3465481016376326E-2</v>
      </c>
      <c r="O963" s="1">
        <f t="shared" si="300"/>
        <v>5.3331934608951193E-2</v>
      </c>
      <c r="P963" s="1">
        <f t="shared" si="301"/>
        <v>5.3353366871115471E-2</v>
      </c>
      <c r="Q963" s="1">
        <f t="shared" si="302"/>
        <v>0.8105867447879147</v>
      </c>
      <c r="T963">
        <v>0.25390363865328125</v>
      </c>
      <c r="U963">
        <f t="shared" si="309"/>
        <v>3.9385020447286796</v>
      </c>
      <c r="V963" s="15">
        <f t="shared" si="303"/>
        <v>7.3977750376603826E-2</v>
      </c>
      <c r="W963" s="15">
        <f t="shared" si="304"/>
        <v>7.8439885917826427E-2</v>
      </c>
      <c r="X963" s="15">
        <f t="shared" si="305"/>
        <v>8.7364157000271683E-2</v>
      </c>
      <c r="Y963" s="15">
        <f t="shared" si="306"/>
        <v>0.10466185845612259</v>
      </c>
      <c r="Z963" s="15">
        <f t="shared" si="307"/>
        <v>0.10853829203334753</v>
      </c>
      <c r="AA963" s="15">
        <f t="shared" si="308"/>
        <v>0.1162911591877975</v>
      </c>
      <c r="AC963" s="1"/>
      <c r="AD963" s="1"/>
      <c r="AE963" s="1"/>
    </row>
    <row r="964" spans="1:31">
      <c r="A964">
        <v>299</v>
      </c>
      <c r="B964">
        <f t="shared" si="288"/>
        <v>0.91037412763983594</v>
      </c>
      <c r="C964">
        <v>0.89926852963392501</v>
      </c>
      <c r="D964">
        <f t="shared" si="289"/>
        <v>1.1120148954918736</v>
      </c>
      <c r="E964" s="1">
        <f t="shared" si="290"/>
        <v>2.7980963990576369E-2</v>
      </c>
      <c r="F964" s="1">
        <f t="shared" si="291"/>
        <v>3.2457918229068627E-2</v>
      </c>
      <c r="G964" s="1">
        <f t="shared" si="292"/>
        <v>1.0073147036607513E-2</v>
      </c>
      <c r="H964" s="1">
        <f t="shared" si="293"/>
        <v>9.760947969597672E-3</v>
      </c>
      <c r="I964" s="1">
        <f t="shared" si="294"/>
        <v>3.5872844497911449E-2</v>
      </c>
      <c r="J964" s="1">
        <f t="shared" si="295"/>
        <v>3.8864175340106999E-2</v>
      </c>
      <c r="K964" s="1">
        <f t="shared" si="296"/>
        <v>2.3897968427424393E-2</v>
      </c>
      <c r="L964" s="1">
        <f t="shared" si="297"/>
        <v>2.369674078416098E-2</v>
      </c>
      <c r="M964" s="1">
        <f t="shared" si="298"/>
        <v>5.1656605512581555E-2</v>
      </c>
      <c r="N964" s="1">
        <f t="shared" si="299"/>
        <v>5.1676689562183631E-2</v>
      </c>
      <c r="O964" s="1">
        <f t="shared" si="300"/>
        <v>5.1547611209058208E-2</v>
      </c>
      <c r="P964" s="1">
        <f t="shared" si="301"/>
        <v>5.1568326413287624E-2</v>
      </c>
      <c r="Q964" s="1">
        <f t="shared" si="302"/>
        <v>0.78346699173613921</v>
      </c>
      <c r="T964">
        <v>0.28156093433766471</v>
      </c>
      <c r="U964">
        <f t="shared" si="309"/>
        <v>3.5516290722374864</v>
      </c>
      <c r="V964" s="15">
        <f t="shared" si="303"/>
        <v>7.216844988836657E-2</v>
      </c>
      <c r="W964" s="15">
        <f t="shared" si="304"/>
        <v>7.6702684381674435E-2</v>
      </c>
      <c r="X964" s="15">
        <f t="shared" si="305"/>
        <v>8.5771153368290207E-2</v>
      </c>
      <c r="Y964" s="15">
        <f t="shared" si="306"/>
        <v>0.10198401746550333</v>
      </c>
      <c r="Z964" s="15">
        <f t="shared" si="307"/>
        <v>0.10593249028081317</v>
      </c>
      <c r="AA964" s="15">
        <f t="shared" si="308"/>
        <v>0.11382943591143296</v>
      </c>
      <c r="AC964" s="1"/>
      <c r="AD964" s="1"/>
      <c r="AE964" s="1"/>
    </row>
    <row r="965" spans="1:31">
      <c r="A965">
        <v>224</v>
      </c>
      <c r="B965">
        <f t="shared" si="288"/>
        <v>0.91130106912133901</v>
      </c>
      <c r="C965">
        <v>0.90025515163260428</v>
      </c>
      <c r="D965">
        <f t="shared" si="289"/>
        <v>1.1107961983738825</v>
      </c>
      <c r="E965" s="1">
        <f t="shared" si="290"/>
        <v>2.7706902324276583E-2</v>
      </c>
      <c r="F965" s="1">
        <f t="shared" si="291"/>
        <v>3.214000669616085E-2</v>
      </c>
      <c r="G965" s="1">
        <f t="shared" si="292"/>
        <v>9.9744848367395861E-3</v>
      </c>
      <c r="H965" s="1">
        <f t="shared" si="293"/>
        <v>9.6653436270841414E-3</v>
      </c>
      <c r="I965" s="1">
        <f t="shared" si="294"/>
        <v>3.5521485211600867E-2</v>
      </c>
      <c r="J965" s="1">
        <f t="shared" si="295"/>
        <v>3.8483517237810627E-2</v>
      </c>
      <c r="K965" s="1">
        <f t="shared" si="296"/>
        <v>2.366389796971588E-2</v>
      </c>
      <c r="L965" s="1">
        <f t="shared" si="297"/>
        <v>2.3464641265810993E-2</v>
      </c>
      <c r="M965" s="1">
        <f t="shared" si="298"/>
        <v>5.115065098624938E-2</v>
      </c>
      <c r="N965" s="1">
        <f t="shared" si="299"/>
        <v>5.1170538321109904E-2</v>
      </c>
      <c r="O965" s="1">
        <f t="shared" si="300"/>
        <v>5.1042724235668469E-2</v>
      </c>
      <c r="P965" s="1">
        <f t="shared" si="301"/>
        <v>5.1063236543264612E-2</v>
      </c>
      <c r="Q965" s="1">
        <f t="shared" si="302"/>
        <v>0.775793265079745</v>
      </c>
      <c r="T965">
        <v>0.90937498224412339</v>
      </c>
      <c r="U965">
        <f t="shared" si="309"/>
        <v>1.0996563788595057</v>
      </c>
      <c r="V965" s="15">
        <f t="shared" si="303"/>
        <v>0</v>
      </c>
      <c r="W965" s="15">
        <f t="shared" si="304"/>
        <v>0</v>
      </c>
      <c r="X965" s="15">
        <f t="shared" si="305"/>
        <v>0</v>
      </c>
      <c r="Y965" s="15">
        <f t="shared" si="306"/>
        <v>0</v>
      </c>
      <c r="Z965" s="15">
        <f t="shared" si="307"/>
        <v>0</v>
      </c>
      <c r="AA965" s="15">
        <f t="shared" si="308"/>
        <v>0</v>
      </c>
      <c r="AC965" s="1"/>
      <c r="AD965" s="1"/>
      <c r="AE965" s="1"/>
    </row>
    <row r="966" spans="1:31">
      <c r="A966">
        <v>506</v>
      </c>
      <c r="B966">
        <f t="shared" si="288"/>
        <v>0.91275136300019699</v>
      </c>
      <c r="C966">
        <v>0.90258407744202784</v>
      </c>
      <c r="D966">
        <f t="shared" si="289"/>
        <v>1.1079300255706417</v>
      </c>
      <c r="E966" s="1">
        <f t="shared" si="290"/>
        <v>2.7059978488325587E-2</v>
      </c>
      <c r="F966" s="1">
        <f t="shared" si="291"/>
        <v>3.1389575046457674E-2</v>
      </c>
      <c r="G966" s="1">
        <f t="shared" si="292"/>
        <v>9.741592255797224E-3</v>
      </c>
      <c r="H966" s="1">
        <f t="shared" si="293"/>
        <v>9.4396691326265325E-3</v>
      </c>
      <c r="I966" s="1">
        <f t="shared" si="294"/>
        <v>3.469209998467021E-2</v>
      </c>
      <c r="J966" s="1">
        <f t="shared" si="295"/>
        <v>3.758497201969152E-2</v>
      </c>
      <c r="K966" s="1">
        <f t="shared" si="296"/>
        <v>2.3111373567350352E-2</v>
      </c>
      <c r="L966" s="1">
        <f t="shared" si="297"/>
        <v>2.2916769274953619E-2</v>
      </c>
      <c r="M966" s="1">
        <f t="shared" si="298"/>
        <v>4.9956342977359403E-2</v>
      </c>
      <c r="N966" s="1">
        <f t="shared" si="299"/>
        <v>4.9975765966159047E-2</v>
      </c>
      <c r="O966" s="1">
        <f t="shared" si="300"/>
        <v>4.9850936190456552E-2</v>
      </c>
      <c r="P966" s="1">
        <f t="shared" si="301"/>
        <v>4.9870969559607736E-2</v>
      </c>
      <c r="Q966" s="1">
        <f t="shared" si="302"/>
        <v>0.75767939767311709</v>
      </c>
      <c r="T966">
        <v>0.58118539396142277</v>
      </c>
      <c r="U966">
        <f t="shared" si="309"/>
        <v>1.7206213548896874</v>
      </c>
      <c r="V966" s="15">
        <f t="shared" si="303"/>
        <v>0</v>
      </c>
      <c r="W966" s="15">
        <f t="shared" si="304"/>
        <v>0</v>
      </c>
      <c r="X966" s="15">
        <f t="shared" si="305"/>
        <v>0</v>
      </c>
      <c r="Y966" s="15">
        <f t="shared" si="306"/>
        <v>0</v>
      </c>
      <c r="Z966" s="15">
        <f t="shared" si="307"/>
        <v>0</v>
      </c>
      <c r="AA966" s="15">
        <f t="shared" si="308"/>
        <v>0</v>
      </c>
      <c r="AC966" s="1"/>
      <c r="AD966" s="1"/>
      <c r="AE966" s="1"/>
    </row>
    <row r="967" spans="1:31">
      <c r="A967">
        <v>972</v>
      </c>
      <c r="B967">
        <f t="shared" si="288"/>
        <v>0.9141296026812763</v>
      </c>
      <c r="C967">
        <v>0.90465011536070516</v>
      </c>
      <c r="D967">
        <f t="shared" si="289"/>
        <v>1.10539973744576</v>
      </c>
      <c r="E967" s="1">
        <f t="shared" si="290"/>
        <v>2.6486079066470769E-2</v>
      </c>
      <c r="F967" s="1">
        <f t="shared" si="291"/>
        <v>3.0723851717106121E-2</v>
      </c>
      <c r="G967" s="1">
        <f t="shared" si="292"/>
        <v>9.5349884639295002E-3</v>
      </c>
      <c r="H967" s="1">
        <f t="shared" si="293"/>
        <v>9.2394686535296061E-3</v>
      </c>
      <c r="I967" s="1">
        <f t="shared" si="294"/>
        <v>3.3956335315355302E-2</v>
      </c>
      <c r="J967" s="1">
        <f t="shared" si="295"/>
        <v>3.6787854101736239E-2</v>
      </c>
      <c r="K967" s="1">
        <f t="shared" si="296"/>
        <v>2.2621217821872014E-2</v>
      </c>
      <c r="L967" s="1">
        <f t="shared" si="297"/>
        <v>2.2430740779278702E-2</v>
      </c>
      <c r="M967" s="1">
        <f t="shared" si="298"/>
        <v>4.8896847813124311E-2</v>
      </c>
      <c r="N967" s="1">
        <f t="shared" si="299"/>
        <v>4.8915858870996198E-2</v>
      </c>
      <c r="O967" s="1">
        <f t="shared" si="300"/>
        <v>4.8793676537757014E-2</v>
      </c>
      <c r="P967" s="1">
        <f t="shared" si="301"/>
        <v>4.8813285030776865E-2</v>
      </c>
      <c r="Q967" s="1">
        <f t="shared" si="302"/>
        <v>0.74161021386118264</v>
      </c>
      <c r="T967">
        <v>0.72113048372054933</v>
      </c>
      <c r="U967">
        <f t="shared" si="309"/>
        <v>1.3867115904470868</v>
      </c>
      <c r="V967" s="15">
        <f t="shared" si="303"/>
        <v>0</v>
      </c>
      <c r="W967" s="15">
        <f t="shared" si="304"/>
        <v>0</v>
      </c>
      <c r="X967" s="15">
        <f t="shared" si="305"/>
        <v>0</v>
      </c>
      <c r="Y967" s="15">
        <f t="shared" si="306"/>
        <v>0</v>
      </c>
      <c r="Z967" s="15">
        <f t="shared" si="307"/>
        <v>0</v>
      </c>
      <c r="AA967" s="15">
        <f t="shared" si="308"/>
        <v>0</v>
      </c>
      <c r="AC967" s="1"/>
      <c r="AD967" s="1"/>
      <c r="AE967" s="1"/>
    </row>
    <row r="968" spans="1:31">
      <c r="A968">
        <v>635</v>
      </c>
      <c r="B968">
        <f t="shared" si="288"/>
        <v>0.91425747226064702</v>
      </c>
      <c r="C968">
        <v>0.90528580156790517</v>
      </c>
      <c r="D968">
        <f t="shared" si="289"/>
        <v>1.1046235324447318</v>
      </c>
      <c r="E968" s="1">
        <f t="shared" si="290"/>
        <v>2.6309499564470762E-2</v>
      </c>
      <c r="F968" s="1">
        <f t="shared" si="291"/>
        <v>3.0519019494786137E-2</v>
      </c>
      <c r="G968" s="1">
        <f t="shared" si="292"/>
        <v>9.471419843209497E-3</v>
      </c>
      <c r="H968" s="1">
        <f t="shared" si="293"/>
        <v>9.1778702278249025E-3</v>
      </c>
      <c r="I968" s="1">
        <f t="shared" si="294"/>
        <v>3.372995251385863E-2</v>
      </c>
      <c r="J968" s="1">
        <f t="shared" si="295"/>
        <v>3.6542593905214471E-2</v>
      </c>
      <c r="K968" s="1">
        <f t="shared" si="296"/>
        <v>2.2470404884721323E-2</v>
      </c>
      <c r="L968" s="1">
        <f t="shared" si="297"/>
        <v>2.2281197729650426E-2</v>
      </c>
      <c r="M968" s="1">
        <f t="shared" si="298"/>
        <v>4.8570858412634255E-2</v>
      </c>
      <c r="N968" s="1">
        <f t="shared" si="299"/>
        <v>4.8589742726070972E-2</v>
      </c>
      <c r="O968" s="1">
        <f t="shared" si="300"/>
        <v>4.8468374967744976E-2</v>
      </c>
      <c r="P968" s="1">
        <f t="shared" si="301"/>
        <v>4.8487852733301418E-2</v>
      </c>
      <c r="Q968" s="1">
        <f t="shared" si="302"/>
        <v>0.73666598780518289</v>
      </c>
      <c r="T968">
        <v>0.13414944951240237</v>
      </c>
      <c r="U968">
        <f t="shared" si="309"/>
        <v>7.4543727434941731</v>
      </c>
      <c r="V968" s="15">
        <f t="shared" si="303"/>
        <v>8.6458555581003266E-2</v>
      </c>
      <c r="W968" s="15">
        <f t="shared" si="304"/>
        <v>9.0258258032631003E-2</v>
      </c>
      <c r="X968" s="15">
        <f t="shared" si="305"/>
        <v>9.7857662935886366E-2</v>
      </c>
      <c r="Y968" s="15">
        <f t="shared" si="306"/>
        <v>0.12312551499423592</v>
      </c>
      <c r="Z968" s="15">
        <f t="shared" si="307"/>
        <v>0.12631624775517436</v>
      </c>
      <c r="AA968" s="15">
        <f t="shared" si="308"/>
        <v>0.13269771327705115</v>
      </c>
      <c r="AC968" s="1"/>
      <c r="AD968" s="1"/>
      <c r="AE968" s="1"/>
    </row>
    <row r="969" spans="1:31">
      <c r="A969">
        <v>848</v>
      </c>
      <c r="B969">
        <f t="shared" si="288"/>
        <v>0.91426635563267156</v>
      </c>
      <c r="C969">
        <v>0.90557778609739814</v>
      </c>
      <c r="D969">
        <f t="shared" si="289"/>
        <v>1.1042673697965979</v>
      </c>
      <c r="E969" s="1">
        <f t="shared" si="290"/>
        <v>2.6228392750722723E-2</v>
      </c>
      <c r="F969" s="1">
        <f t="shared" si="291"/>
        <v>3.0424935590838365E-2</v>
      </c>
      <c r="G969" s="1">
        <f t="shared" si="292"/>
        <v>9.4422213902601998E-3</v>
      </c>
      <c r="H969" s="1">
        <f t="shared" si="293"/>
        <v>9.1495767283857471E-3</v>
      </c>
      <c r="I969" s="1">
        <f t="shared" si="294"/>
        <v>3.3625969959208801E-2</v>
      </c>
      <c r="J969" s="1">
        <f t="shared" si="295"/>
        <v>3.6429940551604367E-2</v>
      </c>
      <c r="K969" s="1">
        <f t="shared" si="296"/>
        <v>2.2401133215780522E-2</v>
      </c>
      <c r="L969" s="1">
        <f t="shared" si="297"/>
        <v>2.221250934772534E-2</v>
      </c>
      <c r="M969" s="1">
        <f t="shared" si="298"/>
        <v>4.8421124376180902E-2</v>
      </c>
      <c r="N969" s="1">
        <f t="shared" si="299"/>
        <v>4.8439950473136151E-2</v>
      </c>
      <c r="O969" s="1">
        <f t="shared" si="300"/>
        <v>4.8318956866821139E-2</v>
      </c>
      <c r="P969" s="1">
        <f t="shared" si="301"/>
        <v>4.8338374586404498E-2</v>
      </c>
      <c r="Q969" s="1">
        <f t="shared" si="302"/>
        <v>0.73439499702023703</v>
      </c>
      <c r="T969">
        <v>0.58667556794667342</v>
      </c>
      <c r="U969">
        <f t="shared" si="309"/>
        <v>1.7045195924894834</v>
      </c>
      <c r="V969" s="15">
        <f t="shared" si="303"/>
        <v>0</v>
      </c>
      <c r="W969" s="15">
        <f t="shared" si="304"/>
        <v>0</v>
      </c>
      <c r="X969" s="15">
        <f t="shared" si="305"/>
        <v>0</v>
      </c>
      <c r="Y969" s="15">
        <f t="shared" si="306"/>
        <v>0</v>
      </c>
      <c r="Z969" s="15">
        <f t="shared" si="307"/>
        <v>0</v>
      </c>
      <c r="AA969" s="15">
        <f t="shared" si="308"/>
        <v>0</v>
      </c>
      <c r="AC969" s="1"/>
      <c r="AD969" s="1"/>
      <c r="AE969" s="1"/>
    </row>
    <row r="970" spans="1:31">
      <c r="A970">
        <v>727</v>
      </c>
      <c r="B970">
        <f t="shared" si="288"/>
        <v>0.91530267562516798</v>
      </c>
      <c r="C970">
        <v>0.90672713826603446</v>
      </c>
      <c r="D970">
        <f t="shared" si="289"/>
        <v>1.1028676189314621</v>
      </c>
      <c r="E970" s="1">
        <f t="shared" si="290"/>
        <v>2.5909128259434866E-2</v>
      </c>
      <c r="F970" s="1">
        <f t="shared" si="291"/>
        <v>3.0054588780944469E-2</v>
      </c>
      <c r="G970" s="1">
        <f t="shared" si="292"/>
        <v>9.3272861733965651E-3</v>
      </c>
      <c r="H970" s="1">
        <f t="shared" si="293"/>
        <v>9.0382037217570099E-3</v>
      </c>
      <c r="I970" s="1">
        <f t="shared" si="294"/>
        <v>3.3216658634068918E-2</v>
      </c>
      <c r="J970" s="1">
        <f t="shared" si="295"/>
        <v>3.5986497960653618E-2</v>
      </c>
      <c r="K970" s="1">
        <f t="shared" si="296"/>
        <v>2.2128455950788328E-2</v>
      </c>
      <c r="L970" s="1">
        <f t="shared" si="297"/>
        <v>2.1942128102312081E-2</v>
      </c>
      <c r="M970" s="1">
        <f t="shared" si="298"/>
        <v>4.7831719383336913E-2</v>
      </c>
      <c r="N970" s="1">
        <f t="shared" si="299"/>
        <v>4.7850316320071695E-2</v>
      </c>
      <c r="O970" s="1">
        <f t="shared" si="300"/>
        <v>4.7730795505571855E-2</v>
      </c>
      <c r="P970" s="1">
        <f t="shared" si="301"/>
        <v>4.7749976863422194E-2</v>
      </c>
      <c r="Q970" s="1">
        <f t="shared" si="302"/>
        <v>0.72545559126417736</v>
      </c>
      <c r="T970">
        <v>0.32911696211941655</v>
      </c>
      <c r="U970">
        <f t="shared" si="309"/>
        <v>3.038433490514417</v>
      </c>
      <c r="V970" s="15">
        <f t="shared" si="303"/>
        <v>6.9057402978139143E-2</v>
      </c>
      <c r="W970" s="15">
        <f t="shared" si="304"/>
        <v>7.3715609815219518E-2</v>
      </c>
      <c r="X970" s="15">
        <f t="shared" si="305"/>
        <v>8.3032023489380213E-2</v>
      </c>
      <c r="Y970" s="15">
        <f t="shared" si="306"/>
        <v>9.7379536897401003E-2</v>
      </c>
      <c r="Z970" s="15">
        <f t="shared" si="307"/>
        <v>0.10145187937975415</v>
      </c>
      <c r="AA970" s="15">
        <f t="shared" si="308"/>
        <v>0.10959656434446048</v>
      </c>
      <c r="AC970" s="1"/>
      <c r="AD970" s="1"/>
      <c r="AE970" s="1"/>
    </row>
    <row r="971" spans="1:31">
      <c r="A971">
        <v>697</v>
      </c>
      <c r="B971">
        <f t="shared" ref="B971:B1034" si="310">PERCENTILE($C$75:$C$1074,$C971)</f>
        <v>0.917128020679012</v>
      </c>
      <c r="C971">
        <v>0.90793111681554994</v>
      </c>
      <c r="D971">
        <f t="shared" ref="D971:D1034" si="311">1/C971</f>
        <v>1.1014051412924029</v>
      </c>
      <c r="E971" s="1">
        <f t="shared" ref="E971:E1034" si="312">IF($C971&lt;=0.005,$F$14,IF($C971&lt;=0.01,$F$14+($C971-0.005)*SLOPE($E$14:$F$14,$E$11:$F$11),IF($C971&lt;=0.04,$E$14+($C971-0.01)*SLOPE($D$14:$E$14,$D$11:$E$11),IF($C971&lt;=0.1,$D$14+($C971-0.04)*SLOPE($C$14:$D$14,$C$11:$D$11),IF($C971&lt;=1,$C$14+($C971-0.1)*SLOPE($B$14:$C$14,$B$11:$C$11),)))))</f>
        <v>2.5574689773458337E-2</v>
      </c>
      <c r="F971" s="1">
        <f t="shared" ref="F971:F1034" si="313">IF($C971&lt;=0.005,$F$27,IF($C971&lt;=0.01,$F$27+($C971-0.005)*SLOPE($E$27:$F$27,$E$24:$F$24),IF($C971&lt;=0.04,$E$27+($C971-0.01)*SLOPE($D$27:$E$27,$D$24:$E$24),IF($C971&lt;=0.1,$D$27+($C971-0.04)*SLOPE($C$27:$D$27,$C$24:$D$24),IF($C971&lt;=1,$C$27+($C971-0.1)*SLOPE($B$27:$C$27,$B$24:$C$24),)))))</f>
        <v>2.9666640137211708E-2</v>
      </c>
      <c r="G971" s="1">
        <f t="shared" ref="G971:G1034" si="314">IF($C971&lt;=0.005,$F$15,IF($C971&lt;=0.01,$F$15+($C971-0.005)*SLOPE($E$15:$F$15,$E$11:$F$11),IF($C971&lt;=0.04,$E$15+($C971-0.01)*SLOPE($D$15:$E$15,$D$11:$E$11),IF($C971&lt;=0.1,$D$15+($C971-0.04)*SLOPE($C$15:$D$15,$C$11:$D$11),IF($C971&lt;=1,$C$15+($C971-0.1)*SLOPE($B$15:$C$15,$B$11:$C$11),)))))</f>
        <v>9.2068883184450168E-3</v>
      </c>
      <c r="H971" s="1">
        <f t="shared" ref="H971:H1034" si="315">IF($C971&lt;=0.005,$F$28,IF($C971&lt;=0.01,$F$28+($C971-0.005)*SLOPE($E$28:$F$28,$E$24:$F$24),IF($C971&lt;=0.04,$E$28+($C971-0.01)*SLOPE($D$28:$E$28,$D$24:$E$24),IF($C971&lt;=0.1,$D$28+($C971-0.04)*SLOPE($C$28:$D$28,$C$24:$D$24),IF($C971&lt;=1,$C$28+($C971-0.1)*SLOPE($B$28:$C$28,$B$24:$C$24),)))))</f>
        <v>8.9215373816785432E-3</v>
      </c>
      <c r="I971" s="1">
        <f t="shared" ref="I971:I1034" si="316">IF($C971&lt;=0.005,$F$16,IF($C971&lt;=0.01,$F$16+($C971-0.005)*SLOPE($E$16:$F$16,$E$11:$F$11),IF($C971&lt;=0.04,$E$16+($C971-0.01)*SLOPE($D$16:$E$16,$D$11:$E$11),IF($C971&lt;=0.1,$D$16+($C971-0.04)*SLOPE($C$16:$D$16,$C$11:$D$11),IF($C971&lt;=1,$C$16+($C971-0.1)*SLOPE($B$16:$C$16,$B$11:$C$11),)))))</f>
        <v>3.2787893570592419E-2</v>
      </c>
      <c r="J971" s="1">
        <f t="shared" ref="J971:J1034" si="317">IF($C971&lt;=0.005,$F$29,IF($C971&lt;=0.01,$F$29+($C971-0.005)*SLOPE($E$29:$F$29,$E$24:$F$24),IF($C971&lt;=0.04,$E$29+($C971-0.01)*SLOPE($D$29:$E$29,$D$24:$E$24),IF($C971&lt;=0.1,$D$29+($C971-0.04)*SLOPE($C$29:$D$29,$C$24:$D$24),IF($C971&lt;=1,$C$29+($C971-0.1)*SLOPE($B$29:$C$29,$B$24:$C$24),)))))</f>
        <v>3.5521979441425711E-2</v>
      </c>
      <c r="K971" s="1">
        <f t="shared" ref="K971:K1034" si="318">IF($C971&lt;=0.005,$F$17,IF($C971&lt;=0.01,$F$17+($C971-0.005)*SLOPE($E$17:$F$17,$E$11:$F$11),IF($C971&lt;=0.04,$E$17+($C971-0.01)*SLOPE($D$17:$E$17,$D$11:$E$11),IF($C971&lt;=0.1,$D$17+($C971-0.04)*SLOPE($C$17:$D$17,$C$11:$D$11),IF($C971&lt;=1,$C$17+($C971-0.1)*SLOPE($B$17:$C$17,$B$11:$C$11),)))))</f>
        <v>2.1842818887623738E-2</v>
      </c>
      <c r="L971" s="1">
        <f t="shared" ref="L971:L1034" si="319">IF($C971&lt;=0.005,$F$30,IF($C971&lt;=0.01,$F$30+($C971-0.005)*SLOPE($E$30:$F$30,$E$24:$F$24),IF($C971&lt;=0.04,$E$30+($C971-0.01)*SLOPE($D$30:$E$30,$D$24:$E$24),IF($C971&lt;=0.1,$D$30+($C971-0.04)*SLOPE($C$30:$D$30,$C$24:$D$24),IF($C971&lt;=1,$C$30+($C971-0.1)*SLOPE($B$30:$C$30,$B$24:$C$24),)))))</f>
        <v>2.1658896183887028E-2</v>
      </c>
      <c r="M971" s="1">
        <f t="shared" ref="M971:M1034" si="320">IF($C971&lt;=0.005,$F$18,IF($C971&lt;=0.01,$F$18+($C971-0.005)*SLOPE($E$18:$F$18,$E$11:$F$11),IF($C971&lt;=0.04,$E$18+($C971-0.01)*SLOPE($D$18:$E$18,$D$11:$E$11),IF($C971&lt;=0.1,$D$18+($C971-0.04)*SLOPE($C$18:$D$18,$C$11:$D$11),IF($C971&lt;=1,$C$18+($C971-0.1)*SLOPE($B$18:$C$18,$B$11:$C$11),)))))</f>
        <v>4.7214301164860528E-2</v>
      </c>
      <c r="N971" s="1">
        <f t="shared" ref="N971:N1034" si="321">IF($C971&lt;=0.005,$F$31,IF($C971&lt;=0.01,$F$31+($C971-0.005)*SLOPE($E$31:$F$31,$E$24:$F$24),IF($C971&lt;=0.04,$E$31+($C971-0.01)*SLOPE($D$31:$E$31,$D$24:$E$24),IF($C971&lt;=0.1,$D$31+($C971-0.04)*SLOPE($C$31:$D$31,$C$24:$D$24),IF($C971&lt;=1,$C$31+($C971-0.1)*SLOPE($B$31:$C$31,$B$24:$C$24),)))))</f>
        <v>4.7232658049853549E-2</v>
      </c>
      <c r="O971" s="1">
        <f t="shared" ref="O971:O1034" si="322">IF($C971&lt;=0.005,$F$19,IF($C971&lt;=0.01,$F$19+($C971-0.005)*SLOPE($E$19:$F$19,$E$11:$F$11),IF($C971&lt;=0.04,$E$19+($C971-0.01)*SLOPE($D$19:$E$19,$D$11:$E$11),IF($C971&lt;=0.1,$D$19+($C971-0.04)*SLOPE($C$19:$D$19,$C$11:$D$11),IF($C971&lt;=1,$C$19+($C971-0.1)*SLOPE($B$19:$C$19,$B$11:$C$11),)))))</f>
        <v>4.7114680025981182E-2</v>
      </c>
      <c r="P971" s="1">
        <f t="shared" ref="P971:P1034" si="323">IF($C971&lt;=0.005,$F$32,IF($C971&lt;=0.01,$F$32+($C971-0.005)*SLOPE($E$32:$F$32,$E$24:$F$24),IF($C971&lt;=0.04,$E$32+($C971-0.01)*SLOPE($D$32:$E$32,$D$24:$E$24),IF($C971&lt;=0.1,$D$32+($C971-0.04)*SLOPE($C$32:$D$32,$C$24:$D$24),IF($C971&lt;=1,$C$32+($C971-0.1)*SLOPE($B$32:$C$32,$B$24:$C$24),)))))</f>
        <v>4.7133613788303996E-2</v>
      </c>
      <c r="Q971" s="1">
        <f t="shared" ref="Q971:Q1034" si="324">IF($C971&lt;=0.005,$F$20,IF($C971&lt;=0.01,$F$20+($C971-0.005)*SLOPE($E$20:$F$20,$E$11:$F$11),IF($C971&lt;=0.04,$E$20+($C971-0.01)*SLOPE($D$20:$E$20,$D$11:$E$11),IF($C971&lt;=0.1,$D$20+($C971-0.04)*SLOPE($C$20:$D$20,$C$11:$D$11),IF($C971&lt;=1,$C$20+($C971-0.1)*SLOPE($B$20:$C$20,$B$11:$C$11),)))))</f>
        <v>0.71609131365683432</v>
      </c>
      <c r="T971">
        <v>0.2516872567726085</v>
      </c>
      <c r="U971">
        <f t="shared" si="309"/>
        <v>3.9731848676926398</v>
      </c>
      <c r="V971" s="15">
        <f t="shared" ref="V971:V1034" si="325">IF($T971&lt;=0.05,$F$63,IF($T971&lt;=0.07,$F$63+($T971-0.05)*SLOPE($E$63:$F$63,$E$62:$F$62),IF($T971&lt;=0.1,$E$63+($T971-0.07)*SLOPE($D$63:$E$63,$D$62:$E$62),IF($T971&lt;=0.2,$D$63+($T971-0.1)*SLOPE($C$63:$D$63,$C$62:$D$62),IF($T971&lt;=0.5,$C$63+($T971-0.2)*SLOPE($B$63:$C$63,$B$62:$C$62),)))))</f>
        <v>7.4122742890137441E-2</v>
      </c>
      <c r="W971" s="15">
        <f t="shared" ref="W971:W1034" si="326">IF($T971&lt;=0.05,$F$64,IF($T971&lt;=0.07,$F$64+($T971-0.05)*SLOPE($E$64:$F$64,$E$62:$F$62),IF($T971&lt;=0.1,$E$64+($T971-0.07)*SLOPE($D$64:$E$64,$D$62:$E$62),IF($T971&lt;=0.2,$D$64+($T971-0.1)*SLOPE($C$64:$D$64,$C$62:$D$62),IF($T971&lt;=0.5,$C$64+($T971-0.2)*SLOPE($B$64:$C$64,$B$62:$C$62),)))))</f>
        <v>7.8579100613715078E-2</v>
      </c>
      <c r="X971" s="15">
        <f t="shared" ref="X971:X1034" si="327">IF($T971&lt;=0.05,$F$65,IF($T971&lt;=0.07,$F$65+($T971-0.05)*SLOPE($E$65:$F$65,$E$62:$F$62),IF($T971&lt;=0.1,$E$65+($T971-0.07)*SLOPE($D$65:$E$65,$D$62:$E$62),IF($T971&lt;=0.2,$D$65+($T971-0.1)*SLOPE($C$65:$D$65,$C$62:$D$62),IF($T971&lt;=0.5,$C$65+($T971-0.2)*SLOPE($B$65:$C$65,$B$62:$C$62),)))))</f>
        <v>8.7491816060870406E-2</v>
      </c>
      <c r="Y971" s="15">
        <f t="shared" ref="Y971:Y1034" si="328">IF($T971&lt;=0.05,$F$66,IF($T971&lt;=0.07,$F$66+($T971-0.05)*SLOPE($E$66:$F$66,$E$62:$F$62),IF($T971&lt;=0.1,$E$66+($T971-0.07)*SLOPE($D$66:$E$66,$D$62:$E$62),IF($T971&lt;=0.2,$D$66+($T971-0.1)*SLOPE($C$66:$D$66,$C$62:$D$62),IF($T971&lt;=0.5,$C$66+($T971-0.2)*SLOPE($B$66:$C$66,$B$62:$C$62),)))))</f>
        <v>0.10487645348806864</v>
      </c>
      <c r="Z971" s="15">
        <f t="shared" ref="Z971:Z1034" si="329">IF($T971&lt;=0.05,$F$67,IF($T971&lt;=0.07,$F$67+($T971-0.05)*SLOPE($E$67:$F$67,$E$62:$F$62),IF($T971&lt;=0.1,$E$67+($T971-0.07)*SLOPE($D$67:$E$67,$D$62:$E$62),IF($T971&lt;=0.2,$D$67+($T971-0.1)*SLOPE($C$67:$D$67,$C$62:$D$62),IF($T971&lt;=0.5,$C$67+($T971-0.2)*SLOPE($B$67:$C$67,$B$62:$C$62),)))))</f>
        <v>0.10874711403296926</v>
      </c>
      <c r="AA971" s="15">
        <f t="shared" ref="AA971:AA1034" si="330">IF($T971&lt;=0.05,$F$68,IF($T971&lt;=0.07,$F$68+($T971-0.05)*SLOPE($E$68:$F$68,$E$62:$F$62),IF($T971&lt;=0.1,$E$68+($T971-0.07)*SLOPE($D$68:$E$68,$D$62:$E$62),IF($T971&lt;=0.2,$D$68+($T971-0.1)*SLOPE($C$68:$D$68,$C$62:$D$62),IF($T971&lt;=0.5,$C$68+($T971-0.2)*SLOPE($B$68:$C$68,$B$62:$C$62),)))))</f>
        <v>0.11648843512277061</v>
      </c>
      <c r="AC971" s="1"/>
      <c r="AD971" s="1"/>
      <c r="AE971" s="1"/>
    </row>
    <row r="972" spans="1:31">
      <c r="A972">
        <v>439</v>
      </c>
      <c r="B972">
        <f t="shared" si="310"/>
        <v>0.92029874376445553</v>
      </c>
      <c r="C972">
        <v>0.90937404840403779</v>
      </c>
      <c r="D972">
        <f t="shared" si="311"/>
        <v>1.0996575081013273</v>
      </c>
      <c r="E972" s="1">
        <f t="shared" si="312"/>
        <v>2.5173875443322807E-2</v>
      </c>
      <c r="F972" s="1">
        <f t="shared" si="313"/>
        <v>2.92016955142545E-2</v>
      </c>
      <c r="G972" s="1">
        <f t="shared" si="314"/>
        <v>9.0625951595962317E-3</v>
      </c>
      <c r="H972" s="1">
        <f t="shared" si="315"/>
        <v>8.7817163296504686E-3</v>
      </c>
      <c r="I972" s="1">
        <f t="shared" si="316"/>
        <v>3.2274031712854867E-2</v>
      </c>
      <c r="J972" s="1">
        <f t="shared" si="317"/>
        <v>3.4965268156908813E-2</v>
      </c>
      <c r="K972" s="1">
        <f t="shared" si="318"/>
        <v>2.1500491575024233E-2</v>
      </c>
      <c r="L972" s="1">
        <f t="shared" si="319"/>
        <v>2.1319451363937397E-2</v>
      </c>
      <c r="M972" s="1">
        <f t="shared" si="320"/>
        <v>4.647434425191882E-2</v>
      </c>
      <c r="N972" s="1">
        <f t="shared" si="321"/>
        <v>4.6492413442217329E-2</v>
      </c>
      <c r="O972" s="1">
        <f t="shared" si="322"/>
        <v>4.6376284405880208E-2</v>
      </c>
      <c r="P972" s="1">
        <f t="shared" si="323"/>
        <v>4.6394921432511227E-2</v>
      </c>
      <c r="Q972" s="1">
        <f t="shared" si="324"/>
        <v>0.70486851241304027</v>
      </c>
      <c r="T972">
        <v>0.92365065408848424</v>
      </c>
      <c r="U972">
        <f t="shared" ref="U972:U1035" si="331">1/T972</f>
        <v>1.0826604144906518</v>
      </c>
      <c r="V972" s="15">
        <f t="shared" si="325"/>
        <v>0</v>
      </c>
      <c r="W972" s="15">
        <f t="shared" si="326"/>
        <v>0</v>
      </c>
      <c r="X972" s="15">
        <f t="shared" si="327"/>
        <v>0</v>
      </c>
      <c r="Y972" s="15">
        <f t="shared" si="328"/>
        <v>0</v>
      </c>
      <c r="Z972" s="15">
        <f t="shared" si="329"/>
        <v>0</v>
      </c>
      <c r="AA972" s="15">
        <f t="shared" si="330"/>
        <v>0</v>
      </c>
      <c r="AC972" s="1"/>
      <c r="AD972" s="1"/>
      <c r="AE972" s="1"/>
    </row>
    <row r="973" spans="1:31">
      <c r="A973">
        <v>577</v>
      </c>
      <c r="B973">
        <f t="shared" si="310"/>
        <v>0.92240898679894678</v>
      </c>
      <c r="C973">
        <v>0.90998722772318008</v>
      </c>
      <c r="D973">
        <f t="shared" si="311"/>
        <v>1.0989165227099231</v>
      </c>
      <c r="E973" s="1">
        <f t="shared" si="312"/>
        <v>2.5003547854672181E-2</v>
      </c>
      <c r="F973" s="1">
        <f t="shared" si="313"/>
        <v>2.9004115511419737E-2</v>
      </c>
      <c r="G973" s="1">
        <f t="shared" si="314"/>
        <v>9.0012772276820002E-3</v>
      </c>
      <c r="H973" s="1">
        <f t="shared" si="315"/>
        <v>8.72229883670185E-3</v>
      </c>
      <c r="I973" s="1">
        <f t="shared" si="316"/>
        <v>3.2055664143266216E-2</v>
      </c>
      <c r="J973" s="1">
        <f t="shared" si="317"/>
        <v>3.4728691558875757E-2</v>
      </c>
      <c r="K973" s="1">
        <f t="shared" si="318"/>
        <v>2.1355018269055809E-2</v>
      </c>
      <c r="L973" s="1">
        <f t="shared" si="319"/>
        <v>2.1175202984288849E-2</v>
      </c>
      <c r="M973" s="1">
        <f t="shared" si="320"/>
        <v>4.6159896720454285E-2</v>
      </c>
      <c r="N973" s="1">
        <f t="shared" si="321"/>
        <v>4.6177843653787631E-2</v>
      </c>
      <c r="O973" s="1">
        <f t="shared" si="322"/>
        <v>4.6062500351803426E-2</v>
      </c>
      <c r="P973" s="1">
        <f t="shared" si="323"/>
        <v>4.6081011279462791E-2</v>
      </c>
      <c r="Q973" s="1">
        <f t="shared" si="324"/>
        <v>0.70009933993082196</v>
      </c>
      <c r="T973">
        <v>0.59229921982589306</v>
      </c>
      <c r="U973">
        <f t="shared" si="331"/>
        <v>1.6883358385883929</v>
      </c>
      <c r="V973" s="15">
        <f t="shared" si="325"/>
        <v>0</v>
      </c>
      <c r="W973" s="15">
        <f t="shared" si="326"/>
        <v>0</v>
      </c>
      <c r="X973" s="15">
        <f t="shared" si="327"/>
        <v>0</v>
      </c>
      <c r="Y973" s="15">
        <f t="shared" si="328"/>
        <v>0</v>
      </c>
      <c r="Z973" s="15">
        <f t="shared" si="329"/>
        <v>0</v>
      </c>
      <c r="AA973" s="15">
        <f t="shared" si="330"/>
        <v>0</v>
      </c>
      <c r="AC973" s="1"/>
      <c r="AD973" s="1"/>
      <c r="AE973" s="1"/>
    </row>
    <row r="974" spans="1:31">
      <c r="A974">
        <v>396</v>
      </c>
      <c r="B974">
        <f t="shared" si="310"/>
        <v>0.92310581365734912</v>
      </c>
      <c r="C974">
        <v>0.91103499558218226</v>
      </c>
      <c r="D974">
        <f t="shared" si="311"/>
        <v>1.0976526750884756</v>
      </c>
      <c r="E974" s="1">
        <f t="shared" si="312"/>
        <v>2.4712501227171585E-2</v>
      </c>
      <c r="F974" s="1">
        <f t="shared" si="313"/>
        <v>2.8666501423519064E-2</v>
      </c>
      <c r="G974" s="1">
        <f t="shared" si="314"/>
        <v>8.8965004417817795E-3</v>
      </c>
      <c r="H974" s="1">
        <f t="shared" si="315"/>
        <v>8.6207694187476619E-3</v>
      </c>
      <c r="I974" s="1">
        <f t="shared" si="316"/>
        <v>3.1682529378735336E-2</v>
      </c>
      <c r="J974" s="1">
        <f t="shared" si="317"/>
        <v>3.432444218536812E-2</v>
      </c>
      <c r="K974" s="1">
        <f t="shared" si="318"/>
        <v>2.1106441303756829E-2</v>
      </c>
      <c r="L974" s="1">
        <f t="shared" si="319"/>
        <v>2.0928719107239119E-2</v>
      </c>
      <c r="M974" s="1">
        <f t="shared" si="320"/>
        <v>4.5622585681862837E-2</v>
      </c>
      <c r="N974" s="1">
        <f t="shared" si="321"/>
        <v>4.5640323709066122E-2</v>
      </c>
      <c r="O974" s="1">
        <f t="shared" si="322"/>
        <v>4.5526323027706872E-2</v>
      </c>
      <c r="P974" s="1">
        <f t="shared" si="323"/>
        <v>4.5544618484221977E-2</v>
      </c>
      <c r="Q974" s="1">
        <f t="shared" si="324"/>
        <v>0.69195003436080516</v>
      </c>
      <c r="T974">
        <v>0.56978400915990013</v>
      </c>
      <c r="U974">
        <f t="shared" si="331"/>
        <v>1.7550510086697908</v>
      </c>
      <c r="V974" s="15">
        <f t="shared" si="325"/>
        <v>0</v>
      </c>
      <c r="W974" s="15">
        <f t="shared" si="326"/>
        <v>0</v>
      </c>
      <c r="X974" s="15">
        <f t="shared" si="327"/>
        <v>0</v>
      </c>
      <c r="Y974" s="15">
        <f t="shared" si="328"/>
        <v>0</v>
      </c>
      <c r="Z974" s="15">
        <f t="shared" si="329"/>
        <v>0</v>
      </c>
      <c r="AA974" s="15">
        <f t="shared" si="330"/>
        <v>0</v>
      </c>
      <c r="AC974" s="1"/>
      <c r="AD974" s="1"/>
      <c r="AE974" s="1"/>
    </row>
    <row r="975" spans="1:31">
      <c r="A975">
        <v>389</v>
      </c>
      <c r="B975">
        <f t="shared" si="310"/>
        <v>0.9238921649513242</v>
      </c>
      <c r="C975">
        <v>0.91178471713035947</v>
      </c>
      <c r="D975">
        <f t="shared" si="311"/>
        <v>1.096750122273686</v>
      </c>
      <c r="E975" s="1">
        <f t="shared" si="312"/>
        <v>2.4504245241566802E-2</v>
      </c>
      <c r="F975" s="1">
        <f t="shared" si="313"/>
        <v>2.8424924480217495E-2</v>
      </c>
      <c r="G975" s="1">
        <f t="shared" si="314"/>
        <v>8.8215282869640588E-3</v>
      </c>
      <c r="H975" s="1">
        <f t="shared" si="315"/>
        <v>8.5481208909653356E-3</v>
      </c>
      <c r="I975" s="1">
        <f t="shared" si="316"/>
        <v>3.141553591168128E-2</v>
      </c>
      <c r="J975" s="1">
        <f t="shared" si="317"/>
        <v>3.4035184919503525E-2</v>
      </c>
      <c r="K975" s="1">
        <f t="shared" si="318"/>
        <v>2.092857413054286E-2</v>
      </c>
      <c r="L975" s="1">
        <f t="shared" si="319"/>
        <v>2.0752349625855676E-2</v>
      </c>
      <c r="M975" s="1">
        <f t="shared" si="320"/>
        <v>4.5238117251910126E-2</v>
      </c>
      <c r="N975" s="1">
        <f t="shared" si="321"/>
        <v>4.5255705798075307E-2</v>
      </c>
      <c r="O975" s="1">
        <f t="shared" si="322"/>
        <v>4.5142665817700489E-2</v>
      </c>
      <c r="P975" s="1">
        <f t="shared" si="323"/>
        <v>4.5160807095636357E-2</v>
      </c>
      <c r="Q975" s="1">
        <f t="shared" si="324"/>
        <v>0.68611886676387179</v>
      </c>
      <c r="T975">
        <v>0.29916331742501667</v>
      </c>
      <c r="U975">
        <f t="shared" si="331"/>
        <v>3.3426558062241152</v>
      </c>
      <c r="V975" s="15">
        <f t="shared" si="325"/>
        <v>7.1016927314448849E-2</v>
      </c>
      <c r="W975" s="15">
        <f t="shared" si="326"/>
        <v>7.5597048917953033E-2</v>
      </c>
      <c r="X975" s="15">
        <f t="shared" si="327"/>
        <v>8.4757292124961414E-2</v>
      </c>
      <c r="Y975" s="15">
        <f t="shared" si="328"/>
        <v>0.10027971551560193</v>
      </c>
      <c r="Z975" s="15">
        <f t="shared" si="329"/>
        <v>0.10427403743635441</v>
      </c>
      <c r="AA975" s="15">
        <f t="shared" si="330"/>
        <v>0.11226268127785947</v>
      </c>
      <c r="AC975" s="1"/>
      <c r="AD975" s="1"/>
      <c r="AE975" s="1"/>
    </row>
    <row r="976" spans="1:31">
      <c r="A976">
        <v>803</v>
      </c>
      <c r="B976">
        <f t="shared" si="310"/>
        <v>0.92405362710490058</v>
      </c>
      <c r="C976">
        <v>0.91199939997383883</v>
      </c>
      <c r="D976">
        <f t="shared" si="311"/>
        <v>1.0964919494779115</v>
      </c>
      <c r="E976" s="1">
        <f t="shared" si="312"/>
        <v>2.444461111837809E-2</v>
      </c>
      <c r="F976" s="1">
        <f t="shared" si="313"/>
        <v>2.8355748897318622E-2</v>
      </c>
      <c r="G976" s="1">
        <f t="shared" si="314"/>
        <v>8.800060002616128E-3</v>
      </c>
      <c r="H976" s="1">
        <f t="shared" si="315"/>
        <v>8.5273179774612295E-3</v>
      </c>
      <c r="I976" s="1">
        <f t="shared" si="316"/>
        <v>3.1339082304556121E-2</v>
      </c>
      <c r="J976" s="1">
        <f t="shared" si="317"/>
        <v>3.3952356071267953E-2</v>
      </c>
      <c r="K976" s="1">
        <f t="shared" si="318"/>
        <v>2.0877641846950318E-2</v>
      </c>
      <c r="L976" s="1">
        <f t="shared" si="319"/>
        <v>2.0701846206474944E-2</v>
      </c>
      <c r="M976" s="1">
        <f t="shared" si="320"/>
        <v>4.5128024676912182E-2</v>
      </c>
      <c r="N976" s="1">
        <f t="shared" si="321"/>
        <v>4.5145570419166503E-2</v>
      </c>
      <c r="O976" s="1">
        <f t="shared" si="322"/>
        <v>4.503280553561867E-2</v>
      </c>
      <c r="P976" s="1">
        <f t="shared" si="323"/>
        <v>4.5050902664502346E-2</v>
      </c>
      <c r="Q976" s="1">
        <f t="shared" si="324"/>
        <v>0.68444911131458763</v>
      </c>
      <c r="T976">
        <v>0.27524806222780729</v>
      </c>
      <c r="U976">
        <f t="shared" si="331"/>
        <v>3.6330864308587083</v>
      </c>
      <c r="V976" s="15">
        <f t="shared" si="325"/>
        <v>7.2581428898349593E-2</v>
      </c>
      <c r="W976" s="15">
        <f t="shared" si="326"/>
        <v>7.7099206559834016E-2</v>
      </c>
      <c r="X976" s="15">
        <f t="shared" si="327"/>
        <v>8.6134761882802918E-2</v>
      </c>
      <c r="Y976" s="15">
        <f t="shared" si="328"/>
        <v>0.10259524380871586</v>
      </c>
      <c r="Z976" s="15">
        <f t="shared" si="329"/>
        <v>0.10652727342212659</v>
      </c>
      <c r="AA976" s="15">
        <f t="shared" si="330"/>
        <v>0.11439133264894817</v>
      </c>
      <c r="AC976" s="1"/>
      <c r="AD976" s="1"/>
      <c r="AE976" s="1"/>
    </row>
    <row r="977" spans="1:31">
      <c r="A977">
        <v>294</v>
      </c>
      <c r="B977">
        <f t="shared" si="310"/>
        <v>0.92437798760215706</v>
      </c>
      <c r="C977">
        <v>0.9131028047396581</v>
      </c>
      <c r="D977">
        <f t="shared" si="311"/>
        <v>1.0951669349927338</v>
      </c>
      <c r="E977" s="1">
        <f t="shared" si="312"/>
        <v>2.4138109794539397E-2</v>
      </c>
      <c r="F977" s="1">
        <f t="shared" si="313"/>
        <v>2.8000207361665697E-2</v>
      </c>
      <c r="G977" s="1">
        <f t="shared" si="314"/>
        <v>8.6897195260342008E-3</v>
      </c>
      <c r="H977" s="1">
        <f t="shared" si="315"/>
        <v>8.4203973054068348E-3</v>
      </c>
      <c r="I977" s="1">
        <f t="shared" si="316"/>
        <v>3.0946133929647679E-2</v>
      </c>
      <c r="J977" s="1">
        <f t="shared" si="317"/>
        <v>3.3526640888772719E-2</v>
      </c>
      <c r="K977" s="1">
        <f t="shared" si="318"/>
        <v>2.0615865341947565E-2</v>
      </c>
      <c r="L977" s="1">
        <f t="shared" si="319"/>
        <v>2.0442273933573479E-2</v>
      </c>
      <c r="M977" s="1">
        <f t="shared" si="320"/>
        <v>4.4562182199864131E-2</v>
      </c>
      <c r="N977" s="1">
        <f t="shared" si="321"/>
        <v>4.4579507942986429E-2</v>
      </c>
      <c r="O977" s="1">
        <f t="shared" si="322"/>
        <v>4.446815697377432E-2</v>
      </c>
      <c r="P977" s="1">
        <f t="shared" si="323"/>
        <v>4.4486027189906741E-2</v>
      </c>
      <c r="Q977" s="1">
        <f t="shared" si="324"/>
        <v>0.67586707424710468</v>
      </c>
      <c r="T977">
        <v>0.54733209522955883</v>
      </c>
      <c r="U977">
        <f t="shared" si="331"/>
        <v>1.8270443277779751</v>
      </c>
      <c r="V977" s="15">
        <f t="shared" si="325"/>
        <v>0</v>
      </c>
      <c r="W977" s="15">
        <f t="shared" si="326"/>
        <v>0</v>
      </c>
      <c r="X977" s="15">
        <f t="shared" si="327"/>
        <v>0</v>
      </c>
      <c r="Y977" s="15">
        <f t="shared" si="328"/>
        <v>0</v>
      </c>
      <c r="Z977" s="15">
        <f t="shared" si="329"/>
        <v>0</v>
      </c>
      <c r="AA977" s="15">
        <f t="shared" si="330"/>
        <v>0</v>
      </c>
      <c r="AC977" s="1"/>
      <c r="AD977" s="1"/>
      <c r="AE977" s="1"/>
    </row>
    <row r="978" spans="1:31">
      <c r="A978">
        <v>243</v>
      </c>
      <c r="B978">
        <f t="shared" si="310"/>
        <v>0.92449162142929731</v>
      </c>
      <c r="C978">
        <v>0.91378904587116183</v>
      </c>
      <c r="D978">
        <f t="shared" si="311"/>
        <v>1.0943444819330799</v>
      </c>
      <c r="E978" s="1">
        <f t="shared" si="312"/>
        <v>2.3947487258010575E-2</v>
      </c>
      <c r="F978" s="1">
        <f t="shared" si="313"/>
        <v>2.7779085219292288E-2</v>
      </c>
      <c r="G978" s="1">
        <f t="shared" si="314"/>
        <v>8.6210954128838335E-3</v>
      </c>
      <c r="H978" s="1">
        <f t="shared" si="315"/>
        <v>8.3539000731629037E-3</v>
      </c>
      <c r="I978" s="1">
        <f t="shared" si="316"/>
        <v>3.0701747331208895E-2</v>
      </c>
      <c r="J978" s="1">
        <f t="shared" si="317"/>
        <v>3.3261875611710512E-2</v>
      </c>
      <c r="K978" s="1">
        <f t="shared" si="318"/>
        <v>2.0453058536540308E-2</v>
      </c>
      <c r="L978" s="1">
        <f t="shared" si="319"/>
        <v>2.0280838007446567E-2</v>
      </c>
      <c r="M978" s="1">
        <f t="shared" si="320"/>
        <v>4.4210267477605369E-2</v>
      </c>
      <c r="N978" s="1">
        <f t="shared" si="321"/>
        <v>4.4227456396546738E-2</v>
      </c>
      <c r="O978" s="1">
        <f t="shared" si="322"/>
        <v>4.4116984783853286E-2</v>
      </c>
      <c r="P978" s="1">
        <f t="shared" si="323"/>
        <v>4.4134713876013865E-2</v>
      </c>
      <c r="Q978" s="1">
        <f t="shared" si="324"/>
        <v>0.67052964322429709</v>
      </c>
      <c r="T978">
        <v>0.48392004553219814</v>
      </c>
      <c r="U978">
        <f t="shared" si="331"/>
        <v>2.066457071230094</v>
      </c>
      <c r="V978" s="15">
        <f t="shared" si="325"/>
        <v>5.893040800380675E-2</v>
      </c>
      <c r="W978" s="15">
        <f t="shared" si="326"/>
        <v>6.3992166230039421E-2</v>
      </c>
      <c r="X978" s="15">
        <f t="shared" si="327"/>
        <v>7.4115682682504597E-2</v>
      </c>
      <c r="Y978" s="15">
        <f t="shared" si="328"/>
        <v>8.2391157448897412E-2</v>
      </c>
      <c r="Z978" s="15">
        <f t="shared" si="329"/>
        <v>8.6866717089916917E-2</v>
      </c>
      <c r="AA978" s="15">
        <f t="shared" si="330"/>
        <v>9.5817836371955845E-2</v>
      </c>
      <c r="AC978" s="1"/>
      <c r="AD978" s="1"/>
      <c r="AE978" s="1"/>
    </row>
    <row r="979" spans="1:31">
      <c r="A979">
        <v>126</v>
      </c>
      <c r="B979">
        <f t="shared" si="310"/>
        <v>0.92456220332674366</v>
      </c>
      <c r="C979">
        <v>0.91424588381530647</v>
      </c>
      <c r="D979">
        <f t="shared" si="311"/>
        <v>1.0937976508319915</v>
      </c>
      <c r="E979" s="1">
        <f t="shared" si="312"/>
        <v>2.382058782908153E-2</v>
      </c>
      <c r="F979" s="1">
        <f t="shared" si="313"/>
        <v>2.7631881881734599E-2</v>
      </c>
      <c r="G979" s="1">
        <f t="shared" si="314"/>
        <v>8.5754116184693641E-3</v>
      </c>
      <c r="H979" s="1">
        <f t="shared" si="315"/>
        <v>8.3096321657539357E-3</v>
      </c>
      <c r="I979" s="1">
        <f t="shared" si="316"/>
        <v>3.0539056600382752E-2</v>
      </c>
      <c r="J979" s="1">
        <f t="shared" si="317"/>
        <v>3.3085618580032838E-2</v>
      </c>
      <c r="K979" s="1">
        <f t="shared" si="318"/>
        <v>2.0344676332588157E-2</v>
      </c>
      <c r="L979" s="1">
        <f t="shared" si="319"/>
        <v>2.0173368412260251E-2</v>
      </c>
      <c r="M979" s="1">
        <f t="shared" si="320"/>
        <v>4.3975994142985142E-2</v>
      </c>
      <c r="N979" s="1">
        <f t="shared" si="321"/>
        <v>4.3993091976629206E-2</v>
      </c>
      <c r="O979" s="1">
        <f t="shared" si="322"/>
        <v>4.3883205760825716E-2</v>
      </c>
      <c r="P979" s="1">
        <f t="shared" si="323"/>
        <v>4.3900840905272853E-2</v>
      </c>
      <c r="Q979" s="1">
        <f t="shared" si="324"/>
        <v>0.6669764592142835</v>
      </c>
      <c r="T979">
        <v>0.95102282583987241</v>
      </c>
      <c r="U979">
        <f t="shared" si="331"/>
        <v>1.0514994728090512</v>
      </c>
      <c r="V979" s="15">
        <f t="shared" si="325"/>
        <v>0</v>
      </c>
      <c r="W979" s="15">
        <f t="shared" si="326"/>
        <v>0</v>
      </c>
      <c r="X979" s="15">
        <f t="shared" si="327"/>
        <v>0</v>
      </c>
      <c r="Y979" s="15">
        <f t="shared" si="328"/>
        <v>0</v>
      </c>
      <c r="Z979" s="15">
        <f t="shared" si="329"/>
        <v>0</v>
      </c>
      <c r="AA979" s="15">
        <f t="shared" si="330"/>
        <v>0</v>
      </c>
      <c r="AC979" s="1"/>
      <c r="AD979" s="1"/>
      <c r="AE979" s="1"/>
    </row>
    <row r="980" spans="1:31">
      <c r="A980">
        <v>711</v>
      </c>
      <c r="B980">
        <f t="shared" si="310"/>
        <v>0.9245667815734202</v>
      </c>
      <c r="C980">
        <v>0.91427633838871913</v>
      </c>
      <c r="D980">
        <f t="shared" si="311"/>
        <v>1.0937612163980492</v>
      </c>
      <c r="E980" s="1">
        <f t="shared" si="312"/>
        <v>2.3812128225355778E-2</v>
      </c>
      <c r="F980" s="1">
        <f t="shared" si="313"/>
        <v>2.7622068741412709E-2</v>
      </c>
      <c r="G980" s="1">
        <f t="shared" si="314"/>
        <v>8.5723661611280949E-3</v>
      </c>
      <c r="H980" s="1">
        <f t="shared" si="315"/>
        <v>8.3066810968830396E-3</v>
      </c>
      <c r="I980" s="1">
        <f t="shared" si="316"/>
        <v>3.0528211010893092E-2</v>
      </c>
      <c r="J980" s="1">
        <f t="shared" si="317"/>
        <v>3.3073868608780421E-2</v>
      </c>
      <c r="K980" s="1">
        <f t="shared" si="318"/>
        <v>2.0337451158258413E-2</v>
      </c>
      <c r="L980" s="1">
        <f t="shared" si="319"/>
        <v>2.0166204075938859E-2</v>
      </c>
      <c r="M980" s="1">
        <f t="shared" si="320"/>
        <v>4.3960376581967608E-2</v>
      </c>
      <c r="N980" s="1">
        <f t="shared" si="321"/>
        <v>4.3977468343515569E-2</v>
      </c>
      <c r="O980" s="1">
        <f t="shared" si="322"/>
        <v>4.3867621152519021E-2</v>
      </c>
      <c r="P980" s="1">
        <f t="shared" si="323"/>
        <v>4.3885250034050416E-2</v>
      </c>
      <c r="Q980" s="1">
        <f t="shared" si="324"/>
        <v>0.66673959030996333</v>
      </c>
      <c r="T980">
        <v>0.20010858517334762</v>
      </c>
      <c r="U980">
        <f t="shared" si="331"/>
        <v>4.9972868437090403</v>
      </c>
      <c r="V980" s="15">
        <f t="shared" si="325"/>
        <v>7.7496945370818318E-2</v>
      </c>
      <c r="W980" s="15">
        <f t="shared" si="326"/>
        <v>8.1818844244380601E-2</v>
      </c>
      <c r="X980" s="15">
        <f t="shared" si="327"/>
        <v>9.0462641991505291E-2</v>
      </c>
      <c r="Y980" s="15">
        <f t="shared" si="328"/>
        <v>0.10987041539332386</v>
      </c>
      <c r="Z980" s="15">
        <f t="shared" si="329"/>
        <v>0.11360672845010253</v>
      </c>
      <c r="AA980" s="15">
        <f t="shared" si="330"/>
        <v>0.12107935456366005</v>
      </c>
      <c r="AC980" s="1"/>
      <c r="AD980" s="1"/>
      <c r="AE980" s="1"/>
    </row>
    <row r="981" spans="1:31">
      <c r="A981">
        <v>690</v>
      </c>
      <c r="B981">
        <f t="shared" si="310"/>
        <v>0.92482937580849489</v>
      </c>
      <c r="C981">
        <v>0.91552734194255991</v>
      </c>
      <c r="D981">
        <f t="shared" si="311"/>
        <v>1.0922666688230267</v>
      </c>
      <c r="E981" s="1">
        <f t="shared" si="312"/>
        <v>2.3464627238177799E-2</v>
      </c>
      <c r="F981" s="1">
        <f t="shared" si="313"/>
        <v>2.7218967596286225E-2</v>
      </c>
      <c r="G981" s="1">
        <f t="shared" si="314"/>
        <v>8.4472658057440225E-3</v>
      </c>
      <c r="H981" s="1">
        <f t="shared" si="315"/>
        <v>8.1854580019113804E-3</v>
      </c>
      <c r="I981" s="1">
        <f t="shared" si="316"/>
        <v>3.0082699237956811E-2</v>
      </c>
      <c r="J981" s="1">
        <f t="shared" si="317"/>
        <v>3.2591206921316951E-2</v>
      </c>
      <c r="K981" s="1">
        <f t="shared" si="318"/>
        <v>2.0040657680275464E-2</v>
      </c>
      <c r="L981" s="1">
        <f t="shared" si="319"/>
        <v>1.9871909682858957E-2</v>
      </c>
      <c r="M981" s="1">
        <f t="shared" si="320"/>
        <v>4.3318843237514837E-2</v>
      </c>
      <c r="N981" s="1">
        <f t="shared" si="321"/>
        <v>4.3335685571378124E-2</v>
      </c>
      <c r="O981" s="1">
        <f t="shared" si="322"/>
        <v>4.3227441429338376E-2</v>
      </c>
      <c r="P981" s="1">
        <f t="shared" si="323"/>
        <v>4.3244813044754082E-2</v>
      </c>
      <c r="Q981" s="1">
        <f t="shared" si="324"/>
        <v>0.65700956266897936</v>
      </c>
      <c r="T981">
        <v>0.73037217071691396</v>
      </c>
      <c r="U981">
        <f t="shared" si="331"/>
        <v>1.3691649820370708</v>
      </c>
      <c r="V981" s="15">
        <f t="shared" si="325"/>
        <v>0</v>
      </c>
      <c r="W981" s="15">
        <f t="shared" si="326"/>
        <v>0</v>
      </c>
      <c r="X981" s="15">
        <f t="shared" si="327"/>
        <v>0</v>
      </c>
      <c r="Y981" s="15">
        <f t="shared" si="328"/>
        <v>0</v>
      </c>
      <c r="Z981" s="15">
        <f t="shared" si="329"/>
        <v>0</v>
      </c>
      <c r="AA981" s="15">
        <f t="shared" si="330"/>
        <v>0</v>
      </c>
      <c r="AC981" s="1"/>
      <c r="AD981" s="1"/>
      <c r="AE981" s="1"/>
    </row>
    <row r="982" spans="1:31">
      <c r="A982">
        <v>589</v>
      </c>
      <c r="B982">
        <f t="shared" si="310"/>
        <v>0.92768513946570086</v>
      </c>
      <c r="C982">
        <v>0.9170952611479789</v>
      </c>
      <c r="D982">
        <f t="shared" si="311"/>
        <v>1.090399266427617</v>
      </c>
      <c r="E982" s="1">
        <f t="shared" si="312"/>
        <v>2.3029094125561395E-2</v>
      </c>
      <c r="F982" s="1">
        <f t="shared" si="313"/>
        <v>2.6713749185651225E-2</v>
      </c>
      <c r="G982" s="1">
        <f t="shared" si="314"/>
        <v>8.2904738852021265E-3</v>
      </c>
      <c r="H982" s="1">
        <f t="shared" si="315"/>
        <v>8.0335255648188858E-3</v>
      </c>
      <c r="I982" s="1">
        <f t="shared" si="316"/>
        <v>2.952432635173885E-2</v>
      </c>
      <c r="J982" s="1">
        <f t="shared" si="317"/>
        <v>3.1986272964758256E-2</v>
      </c>
      <c r="K982" s="1">
        <f t="shared" si="318"/>
        <v>1.9668677766434411E-2</v>
      </c>
      <c r="L982" s="1">
        <f t="shared" si="319"/>
        <v>1.9503061944944527E-2</v>
      </c>
      <c r="M982" s="1">
        <f t="shared" si="320"/>
        <v>4.2514790804093705E-2</v>
      </c>
      <c r="N982" s="1">
        <f t="shared" si="321"/>
        <v>4.2531320522972094E-2</v>
      </c>
      <c r="O982" s="1">
        <f t="shared" si="322"/>
        <v>4.2425085528899009E-2</v>
      </c>
      <c r="P982" s="1">
        <f t="shared" si="323"/>
        <v>4.2442134705195755E-2</v>
      </c>
      <c r="Q982" s="1">
        <f t="shared" si="324"/>
        <v>0.64481463551572027</v>
      </c>
      <c r="T982">
        <v>0.91841296067406863</v>
      </c>
      <c r="U982">
        <f t="shared" si="331"/>
        <v>1.0888348083263661</v>
      </c>
      <c r="V982" s="15">
        <f t="shared" si="325"/>
        <v>0</v>
      </c>
      <c r="W982" s="15">
        <f t="shared" si="326"/>
        <v>0</v>
      </c>
      <c r="X982" s="15">
        <f t="shared" si="327"/>
        <v>0</v>
      </c>
      <c r="Y982" s="15">
        <f t="shared" si="328"/>
        <v>0</v>
      </c>
      <c r="Z982" s="15">
        <f t="shared" si="329"/>
        <v>0</v>
      </c>
      <c r="AA982" s="15">
        <f t="shared" si="330"/>
        <v>0</v>
      </c>
      <c r="AC982" s="1"/>
      <c r="AD982" s="1"/>
      <c r="AE982" s="1"/>
    </row>
    <row r="983" spans="1:31">
      <c r="A983">
        <v>715</v>
      </c>
      <c r="B983">
        <f t="shared" si="310"/>
        <v>0.92798264729070645</v>
      </c>
      <c r="C983">
        <v>0.91850818087096398</v>
      </c>
      <c r="D983">
        <f t="shared" si="311"/>
        <v>1.0887219306547302</v>
      </c>
      <c r="E983" s="1">
        <f t="shared" si="312"/>
        <v>2.263661642473222E-2</v>
      </c>
      <c r="F983" s="1">
        <f t="shared" si="313"/>
        <v>2.6258475052689412E-2</v>
      </c>
      <c r="G983" s="1">
        <f t="shared" si="314"/>
        <v>8.1491819129036192E-3</v>
      </c>
      <c r="H983" s="1">
        <f t="shared" si="315"/>
        <v>7.896612682964238E-3</v>
      </c>
      <c r="I983" s="1">
        <f t="shared" si="316"/>
        <v>2.9021152424797525E-2</v>
      </c>
      <c r="J983" s="1">
        <f t="shared" si="317"/>
        <v>3.1441140846106275E-2</v>
      </c>
      <c r="K983" s="1">
        <f t="shared" si="318"/>
        <v>1.9333470598230956E-2</v>
      </c>
      <c r="L983" s="1">
        <f t="shared" si="319"/>
        <v>1.9170677315764301E-2</v>
      </c>
      <c r="M983" s="1">
        <f t="shared" si="320"/>
        <v>4.1790224424928024E-2</v>
      </c>
      <c r="N983" s="1">
        <f t="shared" si="321"/>
        <v>4.1806472432939834E-2</v>
      </c>
      <c r="O983" s="1">
        <f t="shared" si="322"/>
        <v>4.1702047968885603E-2</v>
      </c>
      <c r="P983" s="1">
        <f t="shared" si="323"/>
        <v>4.1718806581364398E-2</v>
      </c>
      <c r="Q983" s="1">
        <f t="shared" si="324"/>
        <v>0.63382525989250293</v>
      </c>
      <c r="T983">
        <v>0.87576810146930417</v>
      </c>
      <c r="U983">
        <f t="shared" si="331"/>
        <v>1.1418547881822461</v>
      </c>
      <c r="V983" s="15">
        <f t="shared" si="325"/>
        <v>0</v>
      </c>
      <c r="W983" s="15">
        <f t="shared" si="326"/>
        <v>0</v>
      </c>
      <c r="X983" s="15">
        <f t="shared" si="327"/>
        <v>0</v>
      </c>
      <c r="Y983" s="15">
        <f t="shared" si="328"/>
        <v>0</v>
      </c>
      <c r="Z983" s="15">
        <f t="shared" si="329"/>
        <v>0</v>
      </c>
      <c r="AA983" s="15">
        <f t="shared" si="330"/>
        <v>0</v>
      </c>
      <c r="AC983" s="1"/>
      <c r="AD983" s="1"/>
      <c r="AE983" s="1"/>
    </row>
    <row r="984" spans="1:31">
      <c r="A984">
        <v>553</v>
      </c>
      <c r="B984">
        <f t="shared" si="310"/>
        <v>0.93068913090520311</v>
      </c>
      <c r="C984">
        <v>0.92236155231654215</v>
      </c>
      <c r="D984">
        <f t="shared" si="311"/>
        <v>1.0841735515627968</v>
      </c>
      <c r="E984" s="1">
        <f t="shared" si="312"/>
        <v>2.1566235467627176E-2</v>
      </c>
      <c r="F984" s="1">
        <f t="shared" si="313"/>
        <v>2.5016833142447514E-2</v>
      </c>
      <c r="G984" s="1">
        <f t="shared" si="314"/>
        <v>7.7638447683457956E-3</v>
      </c>
      <c r="H984" s="1">
        <f t="shared" si="315"/>
        <v>7.5232183698351746E-3</v>
      </c>
      <c r="I984" s="1">
        <f t="shared" si="316"/>
        <v>2.7648876271599676E-2</v>
      </c>
      <c r="J984" s="1">
        <f t="shared" si="317"/>
        <v>2.995443462641878E-2</v>
      </c>
      <c r="K984" s="1">
        <f t="shared" si="318"/>
        <v>1.8419280139073513E-2</v>
      </c>
      <c r="L984" s="1">
        <f t="shared" si="319"/>
        <v>1.8264184598452526E-2</v>
      </c>
      <c r="M984" s="1">
        <f t="shared" si="320"/>
        <v>3.981415787954462E-2</v>
      </c>
      <c r="N984" s="1">
        <f t="shared" si="321"/>
        <v>3.9829637594361034E-2</v>
      </c>
      <c r="O984" s="1">
        <f t="shared" si="322"/>
        <v>3.9730150880528947E-2</v>
      </c>
      <c r="P984" s="1">
        <f t="shared" si="323"/>
        <v>3.9746117055687258E-2</v>
      </c>
      <c r="Q984" s="1">
        <f t="shared" si="324"/>
        <v>0.60385459309356193</v>
      </c>
      <c r="T984">
        <v>0.79375088915808811</v>
      </c>
      <c r="U984">
        <f t="shared" si="331"/>
        <v>1.2598411084120802</v>
      </c>
      <c r="V984" s="15">
        <f t="shared" si="325"/>
        <v>0</v>
      </c>
      <c r="W984" s="15">
        <f t="shared" si="326"/>
        <v>0</v>
      </c>
      <c r="X984" s="15">
        <f t="shared" si="327"/>
        <v>0</v>
      </c>
      <c r="Y984" s="15">
        <f t="shared" si="328"/>
        <v>0</v>
      </c>
      <c r="Z984" s="15">
        <f t="shared" si="329"/>
        <v>0</v>
      </c>
      <c r="AA984" s="15">
        <f t="shared" si="330"/>
        <v>0</v>
      </c>
      <c r="AC984" s="1"/>
      <c r="AD984" s="1"/>
      <c r="AE984" s="1"/>
    </row>
    <row r="985" spans="1:31">
      <c r="A985">
        <v>273</v>
      </c>
      <c r="B985">
        <f t="shared" si="310"/>
        <v>0.93072906171390135</v>
      </c>
      <c r="C985">
        <v>0.92297566648196916</v>
      </c>
      <c r="D985">
        <f t="shared" si="311"/>
        <v>1.0834521822353327</v>
      </c>
      <c r="E985" s="1">
        <f t="shared" si="312"/>
        <v>2.1395648199452999E-2</v>
      </c>
      <c r="F985" s="1">
        <f t="shared" si="313"/>
        <v>2.4818951911365517E-2</v>
      </c>
      <c r="G985" s="1">
        <f t="shared" si="314"/>
        <v>7.7024333518030952E-3</v>
      </c>
      <c r="H985" s="1">
        <f t="shared" si="315"/>
        <v>7.4637102896459168E-3</v>
      </c>
      <c r="I985" s="1">
        <f t="shared" si="316"/>
        <v>2.7430175781273602E-2</v>
      </c>
      <c r="J985" s="1">
        <f t="shared" si="317"/>
        <v>2.9717497346368527E-2</v>
      </c>
      <c r="K985" s="1">
        <f t="shared" si="318"/>
        <v>1.8273585046141044E-2</v>
      </c>
      <c r="L985" s="1">
        <f t="shared" si="319"/>
        <v>1.8119716299348804E-2</v>
      </c>
      <c r="M985" s="1">
        <f t="shared" si="320"/>
        <v>3.9499230944914754E-2</v>
      </c>
      <c r="N985" s="1">
        <f t="shared" si="321"/>
        <v>3.9514588216374436E-2</v>
      </c>
      <c r="O985" s="1">
        <f t="shared" si="322"/>
        <v>3.941588843481697E-2</v>
      </c>
      <c r="P985" s="1">
        <f t="shared" si="323"/>
        <v>3.9431728318754522E-2</v>
      </c>
      <c r="Q985" s="1">
        <f t="shared" si="324"/>
        <v>0.59907814958468464</v>
      </c>
      <c r="T985">
        <v>0.85787799365947215</v>
      </c>
      <c r="U985">
        <f t="shared" si="331"/>
        <v>1.1656669216263194</v>
      </c>
      <c r="V985" s="15">
        <f t="shared" si="325"/>
        <v>0</v>
      </c>
      <c r="W985" s="15">
        <f t="shared" si="326"/>
        <v>0</v>
      </c>
      <c r="X985" s="15">
        <f t="shared" si="327"/>
        <v>0</v>
      </c>
      <c r="Y985" s="15">
        <f t="shared" si="328"/>
        <v>0</v>
      </c>
      <c r="Z985" s="15">
        <f t="shared" si="329"/>
        <v>0</v>
      </c>
      <c r="AA985" s="15">
        <f t="shared" si="330"/>
        <v>0</v>
      </c>
      <c r="AC985" s="1"/>
      <c r="AD985" s="1"/>
      <c r="AE985" s="1"/>
    </row>
    <row r="986" spans="1:31">
      <c r="A986">
        <v>640</v>
      </c>
      <c r="B986">
        <f t="shared" si="310"/>
        <v>0.93079605319051606</v>
      </c>
      <c r="C986">
        <v>0.92402557419013265</v>
      </c>
      <c r="D986">
        <f t="shared" si="311"/>
        <v>1.0822211288648105</v>
      </c>
      <c r="E986" s="1">
        <f t="shared" si="312"/>
        <v>2.1104007169407579E-2</v>
      </c>
      <c r="F986" s="1">
        <f t="shared" si="313"/>
        <v>2.448064831651281E-2</v>
      </c>
      <c r="G986" s="1">
        <f t="shared" si="314"/>
        <v>7.5974425809867546E-3</v>
      </c>
      <c r="H986" s="1">
        <f t="shared" si="315"/>
        <v>7.3619735188530377E-3</v>
      </c>
      <c r="I986" s="1">
        <f t="shared" si="316"/>
        <v>2.7056278966154812E-2</v>
      </c>
      <c r="J986" s="1">
        <f t="shared" si="317"/>
        <v>2.9312422377119007E-2</v>
      </c>
      <c r="K986" s="1">
        <f t="shared" si="318"/>
        <v>1.8024500413799077E-2</v>
      </c>
      <c r="L986" s="1">
        <f t="shared" si="319"/>
        <v>1.7872729029955958E-2</v>
      </c>
      <c r="M986" s="1">
        <f t="shared" si="320"/>
        <v>3.8960822559649222E-2</v>
      </c>
      <c r="N986" s="1">
        <f t="shared" si="321"/>
        <v>3.8975970498331236E-2</v>
      </c>
      <c r="O986" s="1">
        <f t="shared" si="322"/>
        <v>3.8878616079423722E-2</v>
      </c>
      <c r="P986" s="1">
        <f t="shared" si="323"/>
        <v>3.8894240052161799E-2</v>
      </c>
      <c r="Q986" s="1">
        <f t="shared" si="324"/>
        <v>0.59091220074341333</v>
      </c>
      <c r="T986">
        <v>0.85405794056679207</v>
      </c>
      <c r="U986">
        <f t="shared" si="331"/>
        <v>1.1708807476649115</v>
      </c>
      <c r="V986" s="15">
        <f t="shared" si="325"/>
        <v>0</v>
      </c>
      <c r="W986" s="15">
        <f t="shared" si="326"/>
        <v>0</v>
      </c>
      <c r="X986" s="15">
        <f t="shared" si="327"/>
        <v>0</v>
      </c>
      <c r="Y986" s="15">
        <f t="shared" si="328"/>
        <v>0</v>
      </c>
      <c r="Z986" s="15">
        <f t="shared" si="329"/>
        <v>0</v>
      </c>
      <c r="AA986" s="15">
        <f t="shared" si="330"/>
        <v>0</v>
      </c>
      <c r="AC986" s="1"/>
      <c r="AD986" s="1"/>
      <c r="AE986" s="1"/>
    </row>
    <row r="987" spans="1:31">
      <c r="A987">
        <v>774</v>
      </c>
      <c r="B987">
        <f t="shared" si="310"/>
        <v>0.9309050677680597</v>
      </c>
      <c r="C987">
        <v>0.92434654364751034</v>
      </c>
      <c r="D987">
        <f t="shared" si="311"/>
        <v>1.081845339145163</v>
      </c>
      <c r="E987" s="1">
        <f t="shared" si="312"/>
        <v>2.101484898680267E-2</v>
      </c>
      <c r="F987" s="1">
        <f t="shared" si="313"/>
        <v>2.4377224824691124E-2</v>
      </c>
      <c r="G987" s="1">
        <f t="shared" si="314"/>
        <v>7.5653456352489795E-3</v>
      </c>
      <c r="H987" s="1">
        <f t="shared" si="315"/>
        <v>7.3308713601939052E-3</v>
      </c>
      <c r="I987" s="1">
        <f t="shared" si="316"/>
        <v>2.694197419733485E-2</v>
      </c>
      <c r="J987" s="1">
        <f t="shared" si="317"/>
        <v>2.9188586070302391E-2</v>
      </c>
      <c r="K987" s="1">
        <f t="shared" si="318"/>
        <v>1.7948352235571313E-2</v>
      </c>
      <c r="L987" s="1">
        <f t="shared" si="319"/>
        <v>1.7797222040894151E-2</v>
      </c>
      <c r="M987" s="1">
        <f t="shared" si="320"/>
        <v>3.8796224618399155E-2</v>
      </c>
      <c r="N987" s="1">
        <f t="shared" si="321"/>
        <v>3.8811308561524704E-2</v>
      </c>
      <c r="O987" s="1">
        <f t="shared" si="322"/>
        <v>3.8714365436215981E-2</v>
      </c>
      <c r="P987" s="1">
        <f t="shared" si="323"/>
        <v>3.8729923402294586E-2</v>
      </c>
      <c r="Q987" s="1">
        <f t="shared" si="324"/>
        <v>0.58841577163047543</v>
      </c>
      <c r="T987">
        <v>0.66397344492906085</v>
      </c>
      <c r="U987">
        <f t="shared" si="331"/>
        <v>1.506084328578593</v>
      </c>
      <c r="V987" s="15">
        <f t="shared" si="325"/>
        <v>0</v>
      </c>
      <c r="W987" s="15">
        <f t="shared" si="326"/>
        <v>0</v>
      </c>
      <c r="X987" s="15">
        <f t="shared" si="327"/>
        <v>0</v>
      </c>
      <c r="Y987" s="15">
        <f t="shared" si="328"/>
        <v>0</v>
      </c>
      <c r="Z987" s="15">
        <f t="shared" si="329"/>
        <v>0</v>
      </c>
      <c r="AA987" s="15">
        <f t="shared" si="330"/>
        <v>0</v>
      </c>
      <c r="AC987" s="1"/>
      <c r="AD987" s="1"/>
      <c r="AE987" s="1"/>
    </row>
    <row r="988" spans="1:31">
      <c r="A988">
        <v>120</v>
      </c>
      <c r="B988">
        <f t="shared" si="310"/>
        <v>0.93096136489979497</v>
      </c>
      <c r="C988">
        <v>0.92451229817531855</v>
      </c>
      <c r="D988">
        <f t="shared" si="311"/>
        <v>1.0816513765946318</v>
      </c>
      <c r="E988" s="1">
        <f t="shared" si="312"/>
        <v>2.0968806062411499E-2</v>
      </c>
      <c r="F988" s="1">
        <f t="shared" si="313"/>
        <v>2.4323815032397333E-2</v>
      </c>
      <c r="G988" s="1">
        <f t="shared" si="314"/>
        <v>7.5487701824681619E-3</v>
      </c>
      <c r="H988" s="1">
        <f t="shared" si="315"/>
        <v>7.3148096337465329E-3</v>
      </c>
      <c r="I988" s="1">
        <f t="shared" si="316"/>
        <v>2.6882945113580969E-2</v>
      </c>
      <c r="J988" s="1">
        <f t="shared" si="317"/>
        <v>2.9124634725119558E-2</v>
      </c>
      <c r="K988" s="1">
        <f t="shared" si="318"/>
        <v>1.7909027916588716E-2</v>
      </c>
      <c r="L988" s="1">
        <f t="shared" si="319"/>
        <v>1.7758228843783086E-2</v>
      </c>
      <c r="M988" s="1">
        <f t="shared" si="320"/>
        <v>3.871122321591991E-2</v>
      </c>
      <c r="N988" s="1">
        <f t="shared" si="321"/>
        <v>3.872627411056373E-2</v>
      </c>
      <c r="O988" s="1">
        <f t="shared" si="322"/>
        <v>3.8629543384829823E-2</v>
      </c>
      <c r="P988" s="1">
        <f t="shared" si="323"/>
        <v>3.8645067263856137E-2</v>
      </c>
      <c r="Q988" s="1">
        <f t="shared" si="324"/>
        <v>0.58712656974752342</v>
      </c>
      <c r="T988">
        <v>0.13786011398485287</v>
      </c>
      <c r="U988">
        <f t="shared" si="331"/>
        <v>7.2537296763723349</v>
      </c>
      <c r="V988" s="15">
        <f t="shared" si="325"/>
        <v>8.5953971037298446E-2</v>
      </c>
      <c r="W988" s="15">
        <f t="shared" si="326"/>
        <v>8.9783083195120586E-2</v>
      </c>
      <c r="X988" s="15">
        <f t="shared" si="327"/>
        <v>9.7441307510764755E-2</v>
      </c>
      <c r="Y988" s="15">
        <f t="shared" si="328"/>
        <v>0.12237918539049912</v>
      </c>
      <c r="Z988" s="15">
        <f t="shared" si="329"/>
        <v>0.125600645547149</v>
      </c>
      <c r="AA988" s="15">
        <f t="shared" si="330"/>
        <v>0.13204356586044869</v>
      </c>
      <c r="AC988" s="1"/>
      <c r="AD988" s="1"/>
      <c r="AE988" s="1"/>
    </row>
    <row r="989" spans="1:31">
      <c r="A989">
        <v>879</v>
      </c>
      <c r="B989">
        <f t="shared" si="310"/>
        <v>0.93101247444872859</v>
      </c>
      <c r="C989">
        <v>0.92466277900602667</v>
      </c>
      <c r="D989">
        <f t="shared" si="311"/>
        <v>1.0814753472341101</v>
      </c>
      <c r="E989" s="1">
        <f t="shared" si="312"/>
        <v>2.092700583165924E-2</v>
      </c>
      <c r="F989" s="1">
        <f t="shared" si="313"/>
        <v>2.4275326764724714E-2</v>
      </c>
      <c r="G989" s="1">
        <f t="shared" si="314"/>
        <v>7.5337220993973442E-3</v>
      </c>
      <c r="H989" s="1">
        <f t="shared" si="315"/>
        <v>7.3002279389333263E-3</v>
      </c>
      <c r="I989" s="1">
        <f t="shared" si="316"/>
        <v>2.6829355352404161E-2</v>
      </c>
      <c r="J989" s="1">
        <f t="shared" si="317"/>
        <v>2.9066576271602362E-2</v>
      </c>
      <c r="K989" s="1">
        <f t="shared" si="318"/>
        <v>1.7873327195372907E-2</v>
      </c>
      <c r="L989" s="1">
        <f t="shared" si="319"/>
        <v>1.7722828732722296E-2</v>
      </c>
      <c r="M989" s="1">
        <f t="shared" si="320"/>
        <v>3.8634054393893946E-2</v>
      </c>
      <c r="N989" s="1">
        <f t="shared" si="321"/>
        <v>3.8649075285357437E-2</v>
      </c>
      <c r="O989" s="1">
        <f t="shared" si="322"/>
        <v>3.855253738732406E-2</v>
      </c>
      <c r="P989" s="1">
        <f t="shared" si="323"/>
        <v>3.8568030320300206E-2</v>
      </c>
      <c r="Q989" s="1">
        <f t="shared" si="324"/>
        <v>0.58595616328646027</v>
      </c>
      <c r="T989">
        <v>0.19480386149134687</v>
      </c>
      <c r="U989">
        <f t="shared" si="331"/>
        <v>5.133368467875159</v>
      </c>
      <c r="V989" s="15">
        <f t="shared" si="325"/>
        <v>7.8210631517993609E-2</v>
      </c>
      <c r="W989" s="15">
        <f t="shared" si="326"/>
        <v>8.249106415930528E-2</v>
      </c>
      <c r="X989" s="15">
        <f t="shared" si="327"/>
        <v>9.1051929441928733E-2</v>
      </c>
      <c r="Y989" s="15">
        <f t="shared" si="328"/>
        <v>0.11092603331292959</v>
      </c>
      <c r="Z989" s="15">
        <f t="shared" si="329"/>
        <v>0.11461903517751745</v>
      </c>
      <c r="AA989" s="15">
        <f t="shared" si="330"/>
        <v>0.12200503890669333</v>
      </c>
      <c r="AC989" s="1"/>
      <c r="AD989" s="1"/>
      <c r="AE989" s="1"/>
    </row>
    <row r="990" spans="1:31">
      <c r="A990">
        <v>894</v>
      </c>
      <c r="B990">
        <f t="shared" si="310"/>
        <v>0.93110537256071546</v>
      </c>
      <c r="C990">
        <v>0.92493507849397627</v>
      </c>
      <c r="D990">
        <f t="shared" si="311"/>
        <v>1.0811569625278437</v>
      </c>
      <c r="E990" s="1">
        <f t="shared" si="312"/>
        <v>2.0851367085006567E-2</v>
      </c>
      <c r="F990" s="1">
        <f t="shared" si="313"/>
        <v>2.4187585818607638E-2</v>
      </c>
      <c r="G990" s="1">
        <f t="shared" si="314"/>
        <v>7.5064921506023813E-3</v>
      </c>
      <c r="H990" s="1">
        <f t="shared" si="315"/>
        <v>7.2738419334043153E-3</v>
      </c>
      <c r="I990" s="1">
        <f t="shared" si="316"/>
        <v>2.673238310378534E-2</v>
      </c>
      <c r="J990" s="1">
        <f t="shared" si="317"/>
        <v>2.8961517792794933E-2</v>
      </c>
      <c r="K990" s="1">
        <f t="shared" si="318"/>
        <v>1.7808725690578286E-2</v>
      </c>
      <c r="L990" s="1">
        <f t="shared" si="319"/>
        <v>1.7658771190842359E-2</v>
      </c>
      <c r="M990" s="1">
        <f t="shared" si="320"/>
        <v>3.849441514134283E-2</v>
      </c>
      <c r="N990" s="1">
        <f t="shared" si="321"/>
        <v>3.8509381741169357E-2</v>
      </c>
      <c r="O990" s="1">
        <f t="shared" si="322"/>
        <v>3.8413192770530125E-2</v>
      </c>
      <c r="P990" s="1">
        <f t="shared" si="323"/>
        <v>3.842862970571842E-2</v>
      </c>
      <c r="Q990" s="1">
        <f t="shared" si="324"/>
        <v>0.58383827838018476</v>
      </c>
      <c r="T990">
        <v>0.11518488668968441</v>
      </c>
      <c r="U990">
        <f t="shared" si="331"/>
        <v>8.6816945238142669</v>
      </c>
      <c r="V990" s="15">
        <f t="shared" si="325"/>
        <v>8.9037399707037376E-2</v>
      </c>
      <c r="W990" s="15">
        <f t="shared" si="326"/>
        <v>9.2686794248892562E-2</v>
      </c>
      <c r="X990" s="15">
        <f t="shared" si="327"/>
        <v>9.9985583332602768E-2</v>
      </c>
      <c r="Y990" s="15">
        <f t="shared" si="328"/>
        <v>0.1269398762121807</v>
      </c>
      <c r="Z990" s="15">
        <f t="shared" si="329"/>
        <v>0.12997356658066503</v>
      </c>
      <c r="AA990" s="15">
        <f t="shared" si="330"/>
        <v>0.13604094731763358</v>
      </c>
      <c r="AC990" s="1"/>
      <c r="AD990" s="1"/>
      <c r="AE990" s="1"/>
    </row>
    <row r="991" spans="1:31">
      <c r="A991">
        <v>424</v>
      </c>
      <c r="B991">
        <f t="shared" si="310"/>
        <v>0.9332599664213268</v>
      </c>
      <c r="C991">
        <v>0.9276843056395957</v>
      </c>
      <c r="D991">
        <f t="shared" si="311"/>
        <v>1.0779529134219274</v>
      </c>
      <c r="E991" s="1">
        <f t="shared" si="312"/>
        <v>2.0087692877890057E-2</v>
      </c>
      <c r="F991" s="1">
        <f t="shared" si="313"/>
        <v>2.3301723738352487E-2</v>
      </c>
      <c r="G991" s="1">
        <f t="shared" si="314"/>
        <v>7.231569436040447E-3</v>
      </c>
      <c r="H991" s="1">
        <f t="shared" si="315"/>
        <v>7.007439953690589E-3</v>
      </c>
      <c r="I991" s="1">
        <f t="shared" si="316"/>
        <v>2.5753318690987348E-2</v>
      </c>
      <c r="J991" s="1">
        <f t="shared" si="317"/>
        <v>2.7900812082366666E-2</v>
      </c>
      <c r="K991" s="1">
        <f t="shared" si="318"/>
        <v>1.7156487186692049E-2</v>
      </c>
      <c r="L991" s="1">
        <f t="shared" si="319"/>
        <v>1.701202471935967E-2</v>
      </c>
      <c r="M991" s="1">
        <f t="shared" si="320"/>
        <v>3.7084570317181764E-2</v>
      </c>
      <c r="N991" s="1">
        <f t="shared" si="321"/>
        <v>3.7098988770394747E-2</v>
      </c>
      <c r="O991" s="1">
        <f t="shared" si="322"/>
        <v>3.7006322687995252E-2</v>
      </c>
      <c r="P991" s="1">
        <f t="shared" si="323"/>
        <v>3.7021194250697775E-2</v>
      </c>
      <c r="Q991" s="1">
        <f t="shared" si="324"/>
        <v>0.56245540058092303</v>
      </c>
      <c r="T991">
        <v>6.4218227107173065E-2</v>
      </c>
      <c r="U991">
        <f t="shared" si="331"/>
        <v>15.571902947914015</v>
      </c>
      <c r="V991" s="15">
        <f t="shared" si="325"/>
        <v>9.8991263965397785E-2</v>
      </c>
      <c r="W991" s="15">
        <f t="shared" si="326"/>
        <v>0.10200172030931112</v>
      </c>
      <c r="X991" s="15">
        <f t="shared" si="327"/>
        <v>0.10802263299713788</v>
      </c>
      <c r="Y991" s="15">
        <f t="shared" si="328"/>
        <v>0.14165066197128631</v>
      </c>
      <c r="Z991" s="15">
        <f t="shared" si="329"/>
        <v>0.1440121816528388</v>
      </c>
      <c r="AA991" s="15">
        <f t="shared" si="330"/>
        <v>0.14873522101594369</v>
      </c>
      <c r="AC991" s="1"/>
      <c r="AD991" s="1"/>
      <c r="AE991" s="1"/>
    </row>
    <row r="992" spans="1:31">
      <c r="A992">
        <v>676</v>
      </c>
      <c r="B992">
        <f t="shared" si="310"/>
        <v>0.9332683306489149</v>
      </c>
      <c r="C992">
        <v>0.92768898569434688</v>
      </c>
      <c r="D992">
        <f t="shared" si="311"/>
        <v>1.0779474753077192</v>
      </c>
      <c r="E992" s="1">
        <f t="shared" si="312"/>
        <v>2.0086392862681407E-2</v>
      </c>
      <c r="F992" s="1">
        <f t="shared" si="313"/>
        <v>2.3300215720710449E-2</v>
      </c>
      <c r="G992" s="1">
        <f t="shared" si="314"/>
        <v>7.2311014305653232E-3</v>
      </c>
      <c r="H992" s="1">
        <f t="shared" si="315"/>
        <v>7.0069864532030512E-3</v>
      </c>
      <c r="I992" s="1">
        <f t="shared" si="316"/>
        <v>2.5751652013476123E-2</v>
      </c>
      <c r="J992" s="1">
        <f t="shared" si="317"/>
        <v>2.789900642552684E-2</v>
      </c>
      <c r="K992" s="1">
        <f t="shared" si="318"/>
        <v>1.7155376870320455E-2</v>
      </c>
      <c r="L992" s="1">
        <f t="shared" si="319"/>
        <v>1.701092375216548E-2</v>
      </c>
      <c r="M992" s="1">
        <f t="shared" si="320"/>
        <v>3.7082170315065444E-2</v>
      </c>
      <c r="N992" s="1">
        <f t="shared" si="321"/>
        <v>3.70965878351594E-2</v>
      </c>
      <c r="O992" s="1">
        <f t="shared" si="322"/>
        <v>3.700392774983069E-2</v>
      </c>
      <c r="P992" s="1">
        <f t="shared" si="323"/>
        <v>3.701879835009031E-2</v>
      </c>
      <c r="Q992" s="1">
        <f t="shared" si="324"/>
        <v>0.56241900015508062</v>
      </c>
      <c r="T992">
        <v>0.88346254306858052</v>
      </c>
      <c r="U992">
        <f t="shared" si="331"/>
        <v>1.1319099013826248</v>
      </c>
      <c r="V992" s="15">
        <f t="shared" si="325"/>
        <v>0</v>
      </c>
      <c r="W992" s="15">
        <f t="shared" si="326"/>
        <v>0</v>
      </c>
      <c r="X992" s="15">
        <f t="shared" si="327"/>
        <v>0</v>
      </c>
      <c r="Y992" s="15">
        <f t="shared" si="328"/>
        <v>0</v>
      </c>
      <c r="Z992" s="15">
        <f t="shared" si="329"/>
        <v>0</v>
      </c>
      <c r="AA992" s="15">
        <f t="shared" si="330"/>
        <v>0</v>
      </c>
      <c r="AC992" s="1"/>
      <c r="AD992" s="1"/>
      <c r="AE992" s="1"/>
    </row>
    <row r="993" spans="1:31">
      <c r="A993">
        <v>145</v>
      </c>
      <c r="B993">
        <f t="shared" si="310"/>
        <v>0.93386302878587746</v>
      </c>
      <c r="C993">
        <v>0.92818699348967693</v>
      </c>
      <c r="D993">
        <f t="shared" si="311"/>
        <v>1.0773691152903682</v>
      </c>
      <c r="E993" s="1">
        <f t="shared" si="312"/>
        <v>1.9948057363978616E-2</v>
      </c>
      <c r="F993" s="1">
        <f t="shared" si="313"/>
        <v>2.3139746542215234E-2</v>
      </c>
      <c r="G993" s="1">
        <f t="shared" si="314"/>
        <v>7.1813006510323268E-3</v>
      </c>
      <c r="H993" s="1">
        <f t="shared" si="315"/>
        <v>6.9587291592212996E-3</v>
      </c>
      <c r="I993" s="1">
        <f t="shared" si="316"/>
        <v>2.5574299730860783E-2</v>
      </c>
      <c r="J993" s="1">
        <f t="shared" si="317"/>
        <v>2.7706865258440627E-2</v>
      </c>
      <c r="K993" s="1">
        <f t="shared" si="318"/>
        <v>1.7037227353330797E-2</v>
      </c>
      <c r="L993" s="1">
        <f t="shared" si="319"/>
        <v>1.6893769087475891E-2</v>
      </c>
      <c r="M993" s="1">
        <f t="shared" si="320"/>
        <v>3.6826784464625062E-2</v>
      </c>
      <c r="N993" s="1">
        <f t="shared" si="321"/>
        <v>3.6841102690891248E-2</v>
      </c>
      <c r="O993" s="1">
        <f t="shared" si="322"/>
        <v>3.6749080757927766E-2</v>
      </c>
      <c r="P993" s="1">
        <f t="shared" si="323"/>
        <v>3.6763848943985045E-2</v>
      </c>
      <c r="Q993" s="1">
        <f t="shared" si="324"/>
        <v>0.55854560619140248</v>
      </c>
      <c r="T993">
        <v>0.21193155608084957</v>
      </c>
      <c r="U993">
        <f t="shared" si="331"/>
        <v>4.7185044950007864</v>
      </c>
      <c r="V993" s="15">
        <f t="shared" si="325"/>
        <v>7.6723503625845527E-2</v>
      </c>
      <c r="W993" s="15">
        <f t="shared" si="326"/>
        <v>8.1076223438038011E-2</v>
      </c>
      <c r="X993" s="15">
        <f t="shared" si="327"/>
        <v>8.9781663062423064E-2</v>
      </c>
      <c r="Y993" s="15">
        <f t="shared" si="328"/>
        <v>0.10872568900762432</v>
      </c>
      <c r="Z993" s="15">
        <f t="shared" si="329"/>
        <v>0.11249279747642722</v>
      </c>
      <c r="AA993" s="15">
        <f t="shared" si="330"/>
        <v>0.12002701441403318</v>
      </c>
      <c r="AC993" s="1"/>
      <c r="AD993" s="1"/>
      <c r="AE993" s="1"/>
    </row>
    <row r="994" spans="1:31">
      <c r="A994">
        <v>600</v>
      </c>
      <c r="B994">
        <f t="shared" si="310"/>
        <v>0.93446235062939054</v>
      </c>
      <c r="C994">
        <v>0.92934869905540585</v>
      </c>
      <c r="D994">
        <f t="shared" si="311"/>
        <v>1.0760223810679506</v>
      </c>
      <c r="E994" s="1">
        <f t="shared" si="312"/>
        <v>1.9625361373498351E-2</v>
      </c>
      <c r="F994" s="1">
        <f t="shared" si="313"/>
        <v>2.2765419193258141E-2</v>
      </c>
      <c r="G994" s="1">
        <f t="shared" si="314"/>
        <v>7.0651300944594292E-3</v>
      </c>
      <c r="H994" s="1">
        <f t="shared" si="315"/>
        <v>6.8461591000147509E-3</v>
      </c>
      <c r="I994" s="1">
        <f t="shared" si="316"/>
        <v>2.5160589070624184E-2</v>
      </c>
      <c r="J994" s="1">
        <f t="shared" si="317"/>
        <v>2.7258656484797306E-2</v>
      </c>
      <c r="K994" s="1">
        <f t="shared" si="318"/>
        <v>1.676161931513917E-2</v>
      </c>
      <c r="L994" s="1">
        <f t="shared" si="319"/>
        <v>1.6620481746801197E-2</v>
      </c>
      <c r="M994" s="1">
        <f t="shared" si="320"/>
        <v>3.6231044464875795E-2</v>
      </c>
      <c r="N994" s="1">
        <f t="shared" si="321"/>
        <v>3.6245131067875469E-2</v>
      </c>
      <c r="O994" s="1">
        <f t="shared" si="322"/>
        <v>3.6154597756498652E-2</v>
      </c>
      <c r="P994" s="1">
        <f t="shared" si="323"/>
        <v>3.6169127040374116E-2</v>
      </c>
      <c r="Q994" s="1">
        <f t="shared" si="324"/>
        <v>0.54951011845795517</v>
      </c>
      <c r="T994">
        <v>0.44563712979688863</v>
      </c>
      <c r="U994">
        <f t="shared" si="331"/>
        <v>2.24397819018307</v>
      </c>
      <c r="V994" s="15">
        <f t="shared" si="325"/>
        <v>6.1434821266819692E-2</v>
      </c>
      <c r="W994" s="15">
        <f t="shared" si="326"/>
        <v>6.6396780939398312E-2</v>
      </c>
      <c r="X994" s="15">
        <f t="shared" si="327"/>
        <v>7.6320700284555398E-2</v>
      </c>
      <c r="Y994" s="15">
        <f t="shared" si="328"/>
        <v>8.6097794647498144E-2</v>
      </c>
      <c r="Z994" s="15">
        <f t="shared" si="329"/>
        <v>9.0473638390307184E-2</v>
      </c>
      <c r="AA994" s="15">
        <f t="shared" si="330"/>
        <v>9.922532587592521E-2</v>
      </c>
      <c r="AC994" s="1"/>
      <c r="AD994" s="1"/>
      <c r="AE994" s="1"/>
    </row>
    <row r="995" spans="1:31">
      <c r="A995">
        <v>93</v>
      </c>
      <c r="B995">
        <f t="shared" si="310"/>
        <v>0.93457279608586652</v>
      </c>
      <c r="C995">
        <v>0.92973775304363682</v>
      </c>
      <c r="D995">
        <f t="shared" si="311"/>
        <v>1.0755721134549492</v>
      </c>
      <c r="E995" s="1">
        <f t="shared" si="312"/>
        <v>1.951729082121198E-2</v>
      </c>
      <c r="F995" s="1">
        <f t="shared" si="313"/>
        <v>2.2640057352605936E-2</v>
      </c>
      <c r="G995" s="1">
        <f t="shared" si="314"/>
        <v>7.0262246956363378E-3</v>
      </c>
      <c r="H995" s="1">
        <f t="shared" si="315"/>
        <v>6.8084595040226875E-3</v>
      </c>
      <c r="I995" s="1">
        <f t="shared" si="316"/>
        <v>2.502203779990031E-2</v>
      </c>
      <c r="J995" s="1">
        <f t="shared" si="317"/>
        <v>2.7108551831699079E-2</v>
      </c>
      <c r="K995" s="1">
        <f t="shared" si="318"/>
        <v>1.6669318469201749E-2</v>
      </c>
      <c r="L995" s="1">
        <f t="shared" si="319"/>
        <v>1.6528958100053587E-2</v>
      </c>
      <c r="M995" s="1">
        <f t="shared" si="320"/>
        <v>3.6031531757276969E-2</v>
      </c>
      <c r="N995" s="1">
        <f t="shared" si="321"/>
        <v>3.6045540789885144E-2</v>
      </c>
      <c r="O995" s="1">
        <f t="shared" si="322"/>
        <v>3.5955506016332628E-2</v>
      </c>
      <c r="P995" s="1">
        <f t="shared" si="323"/>
        <v>3.596995529211533E-2</v>
      </c>
      <c r="Q995" s="1">
        <f t="shared" si="324"/>
        <v>0.54648414299393622</v>
      </c>
      <c r="T995">
        <v>0.4507381201764995</v>
      </c>
      <c r="U995">
        <f t="shared" si="331"/>
        <v>2.2185831533583653</v>
      </c>
      <c r="V995" s="15">
        <f t="shared" si="325"/>
        <v>6.1101121815881163E-2</v>
      </c>
      <c r="W995" s="15">
        <f t="shared" si="326"/>
        <v>6.6076379103134908E-2</v>
      </c>
      <c r="X995" s="15">
        <f t="shared" si="327"/>
        <v>7.6026893677642232E-2</v>
      </c>
      <c r="Y995" s="15">
        <f t="shared" si="328"/>
        <v>8.5603905393568325E-2</v>
      </c>
      <c r="Z995" s="15">
        <f t="shared" si="329"/>
        <v>8.9993035737664026E-2</v>
      </c>
      <c r="AA995" s="15">
        <f t="shared" si="330"/>
        <v>9.8771296425855359E-2</v>
      </c>
      <c r="AC995" s="1"/>
      <c r="AD995" s="1"/>
      <c r="AE995" s="1"/>
    </row>
    <row r="996" spans="1:31">
      <c r="A996">
        <v>150</v>
      </c>
      <c r="B996">
        <f t="shared" si="310"/>
        <v>0.9355718155554309</v>
      </c>
      <c r="C996">
        <v>0.93065927382291447</v>
      </c>
      <c r="D996">
        <f t="shared" si="311"/>
        <v>1.0745071027898871</v>
      </c>
      <c r="E996" s="1">
        <f t="shared" si="312"/>
        <v>1.9261312826968191E-2</v>
      </c>
      <c r="F996" s="1">
        <f t="shared" si="313"/>
        <v>2.2343122879283139E-2</v>
      </c>
      <c r="G996" s="1">
        <f t="shared" si="314"/>
        <v>6.9340726177085643E-3</v>
      </c>
      <c r="H996" s="1">
        <f t="shared" si="315"/>
        <v>6.7191635139339512E-3</v>
      </c>
      <c r="I996" s="1">
        <f t="shared" si="316"/>
        <v>2.4693862588156812E-2</v>
      </c>
      <c r="J996" s="1">
        <f t="shared" si="317"/>
        <v>2.675301105566108E-2</v>
      </c>
      <c r="K996" s="1">
        <f t="shared" si="318"/>
        <v>1.6450692905528752E-2</v>
      </c>
      <c r="L996" s="1">
        <f t="shared" si="319"/>
        <v>1.6312173425369475E-2</v>
      </c>
      <c r="M996" s="1">
        <f t="shared" si="320"/>
        <v>3.5558962110534054E-2</v>
      </c>
      <c r="N996" s="1">
        <f t="shared" si="321"/>
        <v>3.557278740841685E-2</v>
      </c>
      <c r="O996" s="1">
        <f t="shared" si="322"/>
        <v>3.5483933481169183E-2</v>
      </c>
      <c r="P996" s="1">
        <f t="shared" si="323"/>
        <v>3.5498193248240495E-2</v>
      </c>
      <c r="Q996" s="1">
        <f t="shared" si="324"/>
        <v>0.53931675915511068</v>
      </c>
      <c r="T996">
        <v>0.14703228279915859</v>
      </c>
      <c r="U996">
        <f t="shared" si="331"/>
        <v>6.8012274648960469</v>
      </c>
      <c r="V996" s="15">
        <f t="shared" si="325"/>
        <v>8.4706718786303745E-2</v>
      </c>
      <c r="W996" s="15">
        <f t="shared" si="326"/>
        <v>8.8608527031847323E-2</v>
      </c>
      <c r="X996" s="15">
        <f t="shared" si="327"/>
        <v>9.6412143522934424E-2</v>
      </c>
      <c r="Y996" s="15">
        <f t="shared" si="328"/>
        <v>0.12053437803391615</v>
      </c>
      <c r="Z996" s="15">
        <f t="shared" si="329"/>
        <v>0.12383179139592364</v>
      </c>
      <c r="AA996" s="15">
        <f t="shared" si="330"/>
        <v>0.13042661811993861</v>
      </c>
      <c r="AC996" s="1"/>
      <c r="AD996" s="1"/>
      <c r="AE996" s="1"/>
    </row>
    <row r="997" spans="1:31">
      <c r="A997">
        <v>777</v>
      </c>
      <c r="B997">
        <f t="shared" si="310"/>
        <v>0.93565984889470555</v>
      </c>
      <c r="C997">
        <v>0.93072725585878735</v>
      </c>
      <c r="D997">
        <f t="shared" si="311"/>
        <v>1.074428618808734</v>
      </c>
      <c r="E997" s="1">
        <f t="shared" si="312"/>
        <v>1.9242428928114619E-2</v>
      </c>
      <c r="F997" s="1">
        <f t="shared" si="313"/>
        <v>2.2321217556612982E-2</v>
      </c>
      <c r="G997" s="1">
        <f t="shared" si="314"/>
        <v>6.9272744141212761E-3</v>
      </c>
      <c r="H997" s="1">
        <f t="shared" si="315"/>
        <v>6.7125760084343206E-3</v>
      </c>
      <c r="I997" s="1">
        <f t="shared" si="316"/>
        <v>2.466965258712478E-2</v>
      </c>
      <c r="J997" s="1">
        <f t="shared" si="317"/>
        <v>2.6726782253951586E-2</v>
      </c>
      <c r="K997" s="1">
        <f t="shared" si="318"/>
        <v>1.6434564554170278E-2</v>
      </c>
      <c r="L997" s="1">
        <f t="shared" si="319"/>
        <v>1.6296180879284278E-2</v>
      </c>
      <c r="M997" s="1">
        <f t="shared" si="320"/>
        <v>3.5524099905145157E-2</v>
      </c>
      <c r="N997" s="1">
        <f t="shared" si="321"/>
        <v>3.5537911648628573E-2</v>
      </c>
      <c r="O997" s="1">
        <f t="shared" si="322"/>
        <v>3.5449144834268254E-2</v>
      </c>
      <c r="P997" s="1">
        <f t="shared" si="323"/>
        <v>3.5463390620984192E-2</v>
      </c>
      <c r="Q997" s="1">
        <f t="shared" si="324"/>
        <v>0.53878800998721044</v>
      </c>
      <c r="T997">
        <v>0.24135016596610104</v>
      </c>
      <c r="U997">
        <f t="shared" si="331"/>
        <v>4.1433574159648829</v>
      </c>
      <c r="V997" s="15">
        <f t="shared" si="325"/>
        <v>7.4798980496901257E-2</v>
      </c>
      <c r="W997" s="15">
        <f t="shared" si="326"/>
        <v>7.9228390776908686E-2</v>
      </c>
      <c r="X997" s="15">
        <f t="shared" si="327"/>
        <v>8.8087211336923626E-2</v>
      </c>
      <c r="Y997" s="15">
        <f t="shared" si="328"/>
        <v>0.10587731365174144</v>
      </c>
      <c r="Z997" s="15">
        <f t="shared" si="329"/>
        <v>0.10972104907156066</v>
      </c>
      <c r="AA997" s="15">
        <f t="shared" si="330"/>
        <v>0.11740851991119923</v>
      </c>
      <c r="AC997" s="1"/>
      <c r="AD997" s="1"/>
      <c r="AE997" s="1"/>
    </row>
    <row r="998" spans="1:31">
      <c r="A998">
        <v>573</v>
      </c>
      <c r="B998">
        <f t="shared" si="310"/>
        <v>0.93570423029418193</v>
      </c>
      <c r="C998">
        <v>0.9307615285322558</v>
      </c>
      <c r="D998">
        <f t="shared" si="311"/>
        <v>1.0743890559990465</v>
      </c>
      <c r="E998" s="1">
        <f t="shared" si="312"/>
        <v>1.9232908741040028E-2</v>
      </c>
      <c r="F998" s="1">
        <f t="shared" si="313"/>
        <v>2.2310174139606453E-2</v>
      </c>
      <c r="G998" s="1">
        <f t="shared" si="314"/>
        <v>6.9238471467744367E-3</v>
      </c>
      <c r="H998" s="1">
        <f t="shared" si="315"/>
        <v>6.7092549630719533E-3</v>
      </c>
      <c r="I998" s="1">
        <f t="shared" si="316"/>
        <v>2.4657447282452949E-2</v>
      </c>
      <c r="J998" s="1">
        <f t="shared" si="317"/>
        <v>2.6713559184872837E-2</v>
      </c>
      <c r="K998" s="1">
        <f t="shared" si="318"/>
        <v>1.6426433557317988E-2</v>
      </c>
      <c r="L998" s="1">
        <f t="shared" si="319"/>
        <v>1.6288118347721814E-2</v>
      </c>
      <c r="M998" s="1">
        <f t="shared" si="320"/>
        <v>3.5506524365278735E-2</v>
      </c>
      <c r="N998" s="1">
        <f t="shared" si="321"/>
        <v>3.5520329275405382E-2</v>
      </c>
      <c r="O998" s="1">
        <f t="shared" si="322"/>
        <v>3.5431606378405089E-2</v>
      </c>
      <c r="P998" s="1">
        <f t="shared" si="323"/>
        <v>3.5445845117021479E-2</v>
      </c>
      <c r="Q998" s="1">
        <f t="shared" si="324"/>
        <v>0.53852144474912222</v>
      </c>
      <c r="T998">
        <v>0.69956008024739069</v>
      </c>
      <c r="U998">
        <f t="shared" si="331"/>
        <v>1.4294697885653544</v>
      </c>
      <c r="V998" s="15">
        <f t="shared" si="325"/>
        <v>0</v>
      </c>
      <c r="W998" s="15">
        <f t="shared" si="326"/>
        <v>0</v>
      </c>
      <c r="X998" s="15">
        <f t="shared" si="327"/>
        <v>0</v>
      </c>
      <c r="Y998" s="15">
        <f t="shared" si="328"/>
        <v>0</v>
      </c>
      <c r="Z998" s="15">
        <f t="shared" si="329"/>
        <v>0</v>
      </c>
      <c r="AA998" s="15">
        <f t="shared" si="330"/>
        <v>0</v>
      </c>
      <c r="AC998" s="1"/>
      <c r="AD998" s="1"/>
      <c r="AE998" s="1"/>
    </row>
    <row r="999" spans="1:31">
      <c r="A999">
        <v>226</v>
      </c>
      <c r="B999">
        <f t="shared" si="310"/>
        <v>0.93607040163127775</v>
      </c>
      <c r="C999">
        <v>0.93110151010600573</v>
      </c>
      <c r="D999">
        <f t="shared" si="311"/>
        <v>1.0739967545387723</v>
      </c>
      <c r="E999" s="1">
        <f t="shared" si="312"/>
        <v>1.9138469414998388E-2</v>
      </c>
      <c r="F999" s="1">
        <f t="shared" si="313"/>
        <v>2.2200624521398149E-2</v>
      </c>
      <c r="G999" s="1">
        <f t="shared" si="314"/>
        <v>6.8898489893994413E-3</v>
      </c>
      <c r="H999" s="1">
        <f t="shared" si="315"/>
        <v>6.6763105174092868E-3</v>
      </c>
      <c r="I999" s="1">
        <f t="shared" si="316"/>
        <v>2.4536371852073913E-2</v>
      </c>
      <c r="J999" s="1">
        <f t="shared" si="317"/>
        <v>2.6582387630972149E-2</v>
      </c>
      <c r="K999" s="1">
        <f t="shared" si="318"/>
        <v>1.6345774862613599E-2</v>
      </c>
      <c r="L999" s="1">
        <f t="shared" si="319"/>
        <v>1.6208138822005919E-2</v>
      </c>
      <c r="M999" s="1">
        <f t="shared" si="320"/>
        <v>3.5332176726224906E-2</v>
      </c>
      <c r="N999" s="1">
        <f t="shared" si="321"/>
        <v>3.534591385011987E-2</v>
      </c>
      <c r="O999" s="1">
        <f t="shared" si="322"/>
        <v>3.5257626609041914E-2</v>
      </c>
      <c r="P999" s="1">
        <f t="shared" si="323"/>
        <v>3.5271795431199127E-2</v>
      </c>
      <c r="Q999" s="1">
        <f t="shared" si="324"/>
        <v>0.53587714361995609</v>
      </c>
      <c r="T999">
        <v>0.73196158758930174</v>
      </c>
      <c r="U999">
        <f t="shared" si="331"/>
        <v>1.3661919108261902</v>
      </c>
      <c r="V999" s="15">
        <f t="shared" si="325"/>
        <v>0</v>
      </c>
      <c r="W999" s="15">
        <f t="shared" si="326"/>
        <v>0</v>
      </c>
      <c r="X999" s="15">
        <f t="shared" si="327"/>
        <v>0</v>
      </c>
      <c r="Y999" s="15">
        <f t="shared" si="328"/>
        <v>0</v>
      </c>
      <c r="Z999" s="15">
        <f t="shared" si="329"/>
        <v>0</v>
      </c>
      <c r="AA999" s="15">
        <f t="shared" si="330"/>
        <v>0</v>
      </c>
      <c r="AC999" s="1"/>
      <c r="AD999" s="1"/>
      <c r="AE999" s="1"/>
    </row>
    <row r="1000" spans="1:31">
      <c r="A1000">
        <v>3</v>
      </c>
      <c r="B1000">
        <f t="shared" si="310"/>
        <v>0.93639811198704093</v>
      </c>
      <c r="C1000">
        <v>0.93148229453867082</v>
      </c>
      <c r="D1000">
        <f t="shared" si="311"/>
        <v>1.0735577110408348</v>
      </c>
      <c r="E1000" s="1">
        <f t="shared" si="312"/>
        <v>1.90326959614803E-2</v>
      </c>
      <c r="F1000" s="1">
        <f t="shared" si="313"/>
        <v>2.2077927315317158E-2</v>
      </c>
      <c r="G1000" s="1">
        <f t="shared" si="314"/>
        <v>6.8517705461329376E-3</v>
      </c>
      <c r="H1000" s="1">
        <f t="shared" si="315"/>
        <v>6.6394122469743549E-3</v>
      </c>
      <c r="I1000" s="1">
        <f t="shared" si="316"/>
        <v>2.4400765564480009E-2</v>
      </c>
      <c r="J1000" s="1">
        <f t="shared" si="317"/>
        <v>2.6435473534472786E-2</v>
      </c>
      <c r="K1000" s="1">
        <f t="shared" si="318"/>
        <v>1.6255435921700534E-2</v>
      </c>
      <c r="L1000" s="1">
        <f t="shared" si="319"/>
        <v>1.6118560560488271E-2</v>
      </c>
      <c r="M1000" s="1">
        <f t="shared" si="320"/>
        <v>3.5136904770479316E-2</v>
      </c>
      <c r="N1000" s="1">
        <f t="shared" si="321"/>
        <v>3.5150565972783876E-2</v>
      </c>
      <c r="O1000" s="1">
        <f t="shared" si="322"/>
        <v>3.506276667283581E-2</v>
      </c>
      <c r="P1000" s="1">
        <f t="shared" si="323"/>
        <v>3.5076857187516075E-2</v>
      </c>
      <c r="Q1000" s="1">
        <f t="shared" si="324"/>
        <v>0.53291548692144985</v>
      </c>
      <c r="T1000">
        <v>0.45240986276719741</v>
      </c>
      <c r="U1000">
        <f t="shared" si="331"/>
        <v>2.2103850563368095</v>
      </c>
      <c r="V1000" s="15">
        <f t="shared" si="325"/>
        <v>6.0991758821028974E-2</v>
      </c>
      <c r="W1000" s="15">
        <f t="shared" si="326"/>
        <v>6.5971374122541268E-2</v>
      </c>
      <c r="X1000" s="15">
        <f t="shared" si="327"/>
        <v>7.5930604725565704E-2</v>
      </c>
      <c r="Y1000" s="15">
        <f t="shared" si="328"/>
        <v>8.5442043551173436E-2</v>
      </c>
      <c r="Z1000" s="15">
        <f t="shared" si="329"/>
        <v>8.9835528300120648E-2</v>
      </c>
      <c r="AA1000" s="15">
        <f t="shared" si="330"/>
        <v>9.8622497798015019E-2</v>
      </c>
      <c r="AC1000" s="1"/>
      <c r="AD1000" s="1"/>
      <c r="AE1000" s="1"/>
    </row>
    <row r="1001" spans="1:31">
      <c r="A1001">
        <v>763</v>
      </c>
      <c r="B1001">
        <f t="shared" si="310"/>
        <v>0.9367630826359209</v>
      </c>
      <c r="C1001">
        <v>0.93190637372637186</v>
      </c>
      <c r="D1001">
        <f t="shared" si="311"/>
        <v>1.073069171102828</v>
      </c>
      <c r="E1001" s="1">
        <f t="shared" si="312"/>
        <v>1.8914896187118918E-2</v>
      </c>
      <c r="F1001" s="1">
        <f t="shared" si="313"/>
        <v>2.1941279577057937E-2</v>
      </c>
      <c r="G1001" s="1">
        <f t="shared" si="314"/>
        <v>6.8093626273628277E-3</v>
      </c>
      <c r="H1001" s="1">
        <f t="shared" si="315"/>
        <v>6.5983186853386805E-3</v>
      </c>
      <c r="I1001" s="1">
        <f t="shared" si="316"/>
        <v>2.4249740996885427E-2</v>
      </c>
      <c r="J1001" s="1">
        <f t="shared" si="317"/>
        <v>2.6271855473016859E-2</v>
      </c>
      <c r="K1001" s="1">
        <f t="shared" si="318"/>
        <v>1.6154825546397023E-2</v>
      </c>
      <c r="L1001" s="1">
        <f t="shared" si="319"/>
        <v>1.6018797352958497E-2</v>
      </c>
      <c r="M1001" s="1">
        <f t="shared" si="320"/>
        <v>3.4919430616418445E-2</v>
      </c>
      <c r="N1001" s="1">
        <f t="shared" si="321"/>
        <v>3.4933007264934479E-2</v>
      </c>
      <c r="O1001" s="1">
        <f t="shared" si="322"/>
        <v>3.4845751384465384E-2</v>
      </c>
      <c r="P1001" s="1">
        <f t="shared" si="323"/>
        <v>3.485975468819813E-2</v>
      </c>
      <c r="Q1001" s="1">
        <f t="shared" si="324"/>
        <v>0.52961709323933093</v>
      </c>
      <c r="T1001">
        <v>0.62348044181265638</v>
      </c>
      <c r="U1001">
        <f t="shared" si="331"/>
        <v>1.6038995499083841</v>
      </c>
      <c r="V1001" s="15">
        <f t="shared" si="325"/>
        <v>0</v>
      </c>
      <c r="W1001" s="15">
        <f t="shared" si="326"/>
        <v>0</v>
      </c>
      <c r="X1001" s="15">
        <f t="shared" si="327"/>
        <v>0</v>
      </c>
      <c r="Y1001" s="15">
        <f t="shared" si="328"/>
        <v>0</v>
      </c>
      <c r="Z1001" s="15">
        <f t="shared" si="329"/>
        <v>0</v>
      </c>
      <c r="AA1001" s="15">
        <f t="shared" si="330"/>
        <v>0</v>
      </c>
      <c r="AC1001" s="1"/>
      <c r="AD1001" s="1"/>
      <c r="AE1001" s="1"/>
    </row>
    <row r="1002" spans="1:31">
      <c r="A1002">
        <v>4</v>
      </c>
      <c r="B1002">
        <f t="shared" si="310"/>
        <v>0.93779809762816002</v>
      </c>
      <c r="C1002">
        <v>0.93369536993122049</v>
      </c>
      <c r="D1002">
        <f t="shared" si="311"/>
        <v>1.071013129339673</v>
      </c>
      <c r="E1002" s="1">
        <f t="shared" si="312"/>
        <v>1.8417952796883186E-2</v>
      </c>
      <c r="F1002" s="1">
        <f t="shared" si="313"/>
        <v>2.1364825244384489E-2</v>
      </c>
      <c r="G1002" s="1">
        <f t="shared" si="314"/>
        <v>6.6304630068779596E-3</v>
      </c>
      <c r="H1002" s="1">
        <f t="shared" si="315"/>
        <v>6.4249637366828732E-3</v>
      </c>
      <c r="I1002" s="1">
        <f t="shared" si="316"/>
        <v>2.361263739430064E-2</v>
      </c>
      <c r="J1002" s="1">
        <f t="shared" si="317"/>
        <v>2.5581625677548292E-2</v>
      </c>
      <c r="K1002" s="1">
        <f t="shared" si="318"/>
        <v>1.5730396371831379E-2</v>
      </c>
      <c r="L1002" s="1">
        <f t="shared" si="319"/>
        <v>1.5597941991907172E-2</v>
      </c>
      <c r="M1002" s="1">
        <f t="shared" si="320"/>
        <v>3.4002006589135547E-2</v>
      </c>
      <c r="N1002" s="1">
        <f t="shared" si="321"/>
        <v>3.4015226543875732E-2</v>
      </c>
      <c r="O1002" s="1">
        <f t="shared" si="322"/>
        <v>3.3930263101738245E-2</v>
      </c>
      <c r="P1002" s="1">
        <f t="shared" si="323"/>
        <v>3.394389850235574E-2</v>
      </c>
      <c r="Q1002" s="1">
        <f t="shared" si="324"/>
        <v>0.51570267831273053</v>
      </c>
      <c r="T1002">
        <v>0.56494009790087329</v>
      </c>
      <c r="U1002">
        <f t="shared" si="331"/>
        <v>1.7700991728426827</v>
      </c>
      <c r="V1002" s="15">
        <f t="shared" si="325"/>
        <v>0</v>
      </c>
      <c r="W1002" s="15">
        <f t="shared" si="326"/>
        <v>0</v>
      </c>
      <c r="X1002" s="15">
        <f t="shared" si="327"/>
        <v>0</v>
      </c>
      <c r="Y1002" s="15">
        <f t="shared" si="328"/>
        <v>0</v>
      </c>
      <c r="Z1002" s="15">
        <f t="shared" si="329"/>
        <v>0</v>
      </c>
      <c r="AA1002" s="15">
        <f t="shared" si="330"/>
        <v>0</v>
      </c>
      <c r="AC1002" s="1"/>
      <c r="AD1002" s="1"/>
      <c r="AE1002" s="1"/>
    </row>
    <row r="1003" spans="1:31">
      <c r="A1003">
        <v>472</v>
      </c>
      <c r="B1003">
        <f t="shared" si="310"/>
        <v>0.93792853394158793</v>
      </c>
      <c r="C1003">
        <v>0.93434318541161576</v>
      </c>
      <c r="D1003">
        <f t="shared" si="311"/>
        <v>1.0702705554163803</v>
      </c>
      <c r="E1003" s="1">
        <f t="shared" si="312"/>
        <v>1.8238004052328949E-2</v>
      </c>
      <c r="F1003" s="1">
        <f t="shared" si="313"/>
        <v>2.1156084700701572E-2</v>
      </c>
      <c r="G1003" s="1">
        <f t="shared" si="314"/>
        <v>6.5656814588384432E-3</v>
      </c>
      <c r="H1003" s="1">
        <f t="shared" si="315"/>
        <v>6.3621899761584083E-3</v>
      </c>
      <c r="I1003" s="1">
        <f t="shared" si="316"/>
        <v>2.3381935073495619E-2</v>
      </c>
      <c r="J1003" s="1">
        <f t="shared" si="317"/>
        <v>2.5331685769725831E-2</v>
      </c>
      <c r="K1003" s="1">
        <f t="shared" si="318"/>
        <v>1.5576705833601184E-2</v>
      </c>
      <c r="L1003" s="1">
        <f t="shared" si="319"/>
        <v>1.5445545571413116E-2</v>
      </c>
      <c r="M1003" s="1">
        <f t="shared" si="320"/>
        <v>3.3669797115828848E-2</v>
      </c>
      <c r="N1003" s="1">
        <f t="shared" si="321"/>
        <v>3.3682887907774184E-2</v>
      </c>
      <c r="O1003" s="1">
        <f t="shared" si="322"/>
        <v>3.3598754583126667E-2</v>
      </c>
      <c r="P1003" s="1">
        <f t="shared" si="323"/>
        <v>3.3612256761922532E-2</v>
      </c>
      <c r="Q1003" s="1">
        <f t="shared" si="324"/>
        <v>0.51066411346521168</v>
      </c>
      <c r="T1003">
        <v>0.47203467564741441</v>
      </c>
      <c r="U1003">
        <f t="shared" si="331"/>
        <v>2.1184884322925219</v>
      </c>
      <c r="V1003" s="15">
        <f t="shared" si="325"/>
        <v>5.9707931800088883E-2</v>
      </c>
      <c r="W1003" s="15">
        <f t="shared" si="326"/>
        <v>6.4738706421719805E-2</v>
      </c>
      <c r="X1003" s="15">
        <f t="shared" si="327"/>
        <v>7.4800255664981496E-2</v>
      </c>
      <c r="Y1003" s="15">
        <f t="shared" si="328"/>
        <v>8.3541925442606829E-2</v>
      </c>
      <c r="Z1003" s="15">
        <f t="shared" si="329"/>
        <v>8.7986527140354209E-2</v>
      </c>
      <c r="AA1003" s="15">
        <f t="shared" si="330"/>
        <v>9.6875730535848914E-2</v>
      </c>
      <c r="AC1003" s="1"/>
      <c r="AD1003" s="1"/>
      <c r="AE1003" s="1"/>
    </row>
    <row r="1004" spans="1:31">
      <c r="A1004">
        <v>852</v>
      </c>
      <c r="B1004">
        <f t="shared" si="310"/>
        <v>0.9379908853260811</v>
      </c>
      <c r="C1004">
        <v>0.93462735166060118</v>
      </c>
      <c r="D1004">
        <f t="shared" si="311"/>
        <v>1.0699451478958408</v>
      </c>
      <c r="E1004" s="1">
        <f t="shared" si="312"/>
        <v>1.8159068983166327E-2</v>
      </c>
      <c r="F1004" s="1">
        <f t="shared" si="313"/>
        <v>2.1064520020472932E-2</v>
      </c>
      <c r="G1004" s="1">
        <f t="shared" si="314"/>
        <v>6.5372648339398903E-3</v>
      </c>
      <c r="H1004" s="1">
        <f t="shared" si="315"/>
        <v>6.3346540734163653E-3</v>
      </c>
      <c r="I1004" s="1">
        <f t="shared" si="316"/>
        <v>2.328073679231929E-2</v>
      </c>
      <c r="J1004" s="1">
        <f t="shared" si="317"/>
        <v>2.5222048861953394E-2</v>
      </c>
      <c r="K1004" s="1">
        <f t="shared" si="318"/>
        <v>1.5509289007243798E-2</v>
      </c>
      <c r="L1004" s="1">
        <f t="shared" si="319"/>
        <v>1.5378696413773069E-2</v>
      </c>
      <c r="M1004" s="1">
        <f t="shared" si="320"/>
        <v>3.3524072410625161E-2</v>
      </c>
      <c r="N1004" s="1">
        <f t="shared" si="321"/>
        <v>3.3537106544914097E-2</v>
      </c>
      <c r="O1004" s="1">
        <f t="shared" si="322"/>
        <v>3.3453337353851642E-2</v>
      </c>
      <c r="P1004" s="1">
        <f t="shared" si="323"/>
        <v>3.3466781094486475E-2</v>
      </c>
      <c r="Q1004" s="1">
        <f t="shared" si="324"/>
        <v>0.50845393152865803</v>
      </c>
      <c r="T1004">
        <v>0.54373781337921367</v>
      </c>
      <c r="U1004">
        <f t="shared" si="331"/>
        <v>1.8391216784891506</v>
      </c>
      <c r="V1004" s="15">
        <f t="shared" si="325"/>
        <v>0</v>
      </c>
      <c r="W1004" s="15">
        <f t="shared" si="326"/>
        <v>0</v>
      </c>
      <c r="X1004" s="15">
        <f t="shared" si="327"/>
        <v>0</v>
      </c>
      <c r="Y1004" s="15">
        <f t="shared" si="328"/>
        <v>0</v>
      </c>
      <c r="Z1004" s="15">
        <f t="shared" si="329"/>
        <v>0</v>
      </c>
      <c r="AA1004" s="15">
        <f t="shared" si="330"/>
        <v>0</v>
      </c>
      <c r="AC1004" s="1"/>
      <c r="AD1004" s="1"/>
      <c r="AE1004" s="1"/>
    </row>
    <row r="1005" spans="1:31">
      <c r="A1005">
        <v>960</v>
      </c>
      <c r="B1005">
        <f t="shared" si="310"/>
        <v>0.93880704200125131</v>
      </c>
      <c r="C1005">
        <v>0.93592359793513324</v>
      </c>
      <c r="D1005">
        <f t="shared" si="311"/>
        <v>1.068463282907103</v>
      </c>
      <c r="E1005" s="1">
        <f t="shared" si="312"/>
        <v>1.7799000573574086E-2</v>
      </c>
      <c r="F1005" s="1">
        <f t="shared" si="313"/>
        <v>2.0646840665345945E-2</v>
      </c>
      <c r="G1005" s="1">
        <f t="shared" si="314"/>
        <v>6.407640206486695E-3</v>
      </c>
      <c r="H1005" s="1">
        <f t="shared" si="315"/>
        <v>6.2090469280474958E-3</v>
      </c>
      <c r="I1005" s="1">
        <f t="shared" si="316"/>
        <v>2.2819113023021587E-2</v>
      </c>
      <c r="J1005" s="1">
        <f t="shared" si="317"/>
        <v>2.472193164620845E-2</v>
      </c>
      <c r="K1005" s="1">
        <f t="shared" si="318"/>
        <v>1.520176195109782E-2</v>
      </c>
      <c r="L1005" s="1">
        <f t="shared" si="319"/>
        <v>1.507375882228959E-2</v>
      </c>
      <c r="M1005" s="1">
        <f t="shared" si="320"/>
        <v>3.2859337921916587E-2</v>
      </c>
      <c r="N1005" s="1">
        <f t="shared" si="321"/>
        <v>3.2872113607933295E-2</v>
      </c>
      <c r="O1005" s="1">
        <f t="shared" si="322"/>
        <v>3.2790005440320125E-2</v>
      </c>
      <c r="P1005" s="1">
        <f t="shared" si="323"/>
        <v>3.2803182610773751E-2</v>
      </c>
      <c r="Q1005" s="1">
        <f t="shared" si="324"/>
        <v>0.49837201606007575</v>
      </c>
      <c r="T1005">
        <v>0.52248271864654061</v>
      </c>
      <c r="U1005">
        <f t="shared" si="331"/>
        <v>1.9139389003916505</v>
      </c>
      <c r="V1005" s="15">
        <f t="shared" si="325"/>
        <v>0</v>
      </c>
      <c r="W1005" s="15">
        <f t="shared" si="326"/>
        <v>0</v>
      </c>
      <c r="X1005" s="15">
        <f t="shared" si="327"/>
        <v>0</v>
      </c>
      <c r="Y1005" s="15">
        <f t="shared" si="328"/>
        <v>0</v>
      </c>
      <c r="Z1005" s="15">
        <f t="shared" si="329"/>
        <v>0</v>
      </c>
      <c r="AA1005" s="15">
        <f t="shared" si="330"/>
        <v>0</v>
      </c>
      <c r="AC1005" s="1"/>
      <c r="AD1005" s="1"/>
      <c r="AE1005" s="1"/>
    </row>
    <row r="1006" spans="1:31">
      <c r="A1006">
        <v>816</v>
      </c>
      <c r="B1006">
        <f t="shared" si="310"/>
        <v>0.93891287432225901</v>
      </c>
      <c r="C1006">
        <v>0.93678507851578963</v>
      </c>
      <c r="D1006">
        <f t="shared" si="311"/>
        <v>1.0674807092192009</v>
      </c>
      <c r="E1006" s="1">
        <f t="shared" si="312"/>
        <v>1.7559700412280638E-2</v>
      </c>
      <c r="F1006" s="1">
        <f t="shared" si="313"/>
        <v>2.0369252478245559E-2</v>
      </c>
      <c r="G1006" s="1">
        <f t="shared" si="314"/>
        <v>6.3214921484210512E-3</v>
      </c>
      <c r="H1006" s="1">
        <f t="shared" si="315"/>
        <v>6.1255688740287639E-3</v>
      </c>
      <c r="I1006" s="1">
        <f t="shared" si="316"/>
        <v>2.2512319537375591E-2</v>
      </c>
      <c r="J1006" s="1">
        <f t="shared" si="317"/>
        <v>2.4389555555429154E-2</v>
      </c>
      <c r="K1006" s="1">
        <f t="shared" si="318"/>
        <v>1.4997380583065101E-2</v>
      </c>
      <c r="L1006" s="1">
        <f t="shared" si="319"/>
        <v>1.4871098403095723E-2</v>
      </c>
      <c r="M1006" s="1">
        <f t="shared" si="320"/>
        <v>3.2417557787565443E-2</v>
      </c>
      <c r="N1006" s="1">
        <f t="shared" si="321"/>
        <v>3.2430161709796179E-2</v>
      </c>
      <c r="O1006" s="1">
        <f t="shared" si="322"/>
        <v>3.2349157452353283E-2</v>
      </c>
      <c r="P1006" s="1">
        <f t="shared" si="323"/>
        <v>3.2362157461229668E-2</v>
      </c>
      <c r="Q1006" s="1">
        <f t="shared" si="324"/>
        <v>0.4916716115438593</v>
      </c>
      <c r="T1006">
        <v>0.90573165934005628</v>
      </c>
      <c r="U1006">
        <f t="shared" si="331"/>
        <v>1.1040797676528504</v>
      </c>
      <c r="V1006" s="15">
        <f t="shared" si="325"/>
        <v>0</v>
      </c>
      <c r="W1006" s="15">
        <f t="shared" si="326"/>
        <v>0</v>
      </c>
      <c r="X1006" s="15">
        <f t="shared" si="327"/>
        <v>0</v>
      </c>
      <c r="Y1006" s="15">
        <f t="shared" si="328"/>
        <v>0</v>
      </c>
      <c r="Z1006" s="15">
        <f t="shared" si="329"/>
        <v>0</v>
      </c>
      <c r="AA1006" s="15">
        <f t="shared" si="330"/>
        <v>0</v>
      </c>
      <c r="AC1006" s="1"/>
      <c r="AD1006" s="1"/>
      <c r="AE1006" s="1"/>
    </row>
    <row r="1007" spans="1:31">
      <c r="A1007">
        <v>991</v>
      </c>
      <c r="B1007">
        <f t="shared" si="310"/>
        <v>0.93894441775464599</v>
      </c>
      <c r="C1007">
        <v>0.93766821803630607</v>
      </c>
      <c r="D1007">
        <f t="shared" si="311"/>
        <v>1.0664753062594263</v>
      </c>
      <c r="E1007" s="1">
        <f t="shared" si="312"/>
        <v>1.7314383878803852E-2</v>
      </c>
      <c r="F1007" s="1">
        <f t="shared" si="313"/>
        <v>2.0084685299412486E-2</v>
      </c>
      <c r="G1007" s="1">
        <f t="shared" si="314"/>
        <v>6.2331781963694127E-3</v>
      </c>
      <c r="H1007" s="1">
        <f t="shared" si="315"/>
        <v>6.0399920540108593E-3</v>
      </c>
      <c r="I1007" s="1">
        <f t="shared" si="316"/>
        <v>2.219781279410743E-2</v>
      </c>
      <c r="J1007" s="1">
        <f t="shared" si="317"/>
        <v>2.4048823021193377E-2</v>
      </c>
      <c r="K1007" s="1">
        <f t="shared" si="318"/>
        <v>1.4787860754737259E-2</v>
      </c>
      <c r="L1007" s="1">
        <f t="shared" si="319"/>
        <v>1.4663342790893596E-2</v>
      </c>
      <c r="M1007" s="1">
        <f t="shared" si="320"/>
        <v>3.1964670624714531E-2</v>
      </c>
      <c r="N1007" s="1">
        <f t="shared" si="321"/>
        <v>3.1977098464754994E-2</v>
      </c>
      <c r="O1007" s="1">
        <f t="shared" si="322"/>
        <v>3.1897225871472978E-2</v>
      </c>
      <c r="P1007" s="1">
        <f t="shared" si="323"/>
        <v>3.1910044264658988E-2</v>
      </c>
      <c r="Q1007" s="1">
        <f t="shared" si="324"/>
        <v>0.4848027486065094</v>
      </c>
      <c r="T1007">
        <v>0.44304935734108364</v>
      </c>
      <c r="U1007">
        <f t="shared" si="331"/>
        <v>2.2570848674770683</v>
      </c>
      <c r="V1007" s="15">
        <f t="shared" si="325"/>
        <v>6.1604109617393266E-2</v>
      </c>
      <c r="W1007" s="15">
        <f t="shared" si="326"/>
        <v>6.6559323305677986E-2</v>
      </c>
      <c r="X1007" s="15">
        <f t="shared" si="327"/>
        <v>7.6469750682247262E-2</v>
      </c>
      <c r="Y1007" s="15">
        <f t="shared" si="328"/>
        <v>8.6348348542413578E-2</v>
      </c>
      <c r="Z1007" s="15">
        <f t="shared" si="329"/>
        <v>9.071745188810712E-2</v>
      </c>
      <c r="AA1007" s="15">
        <f t="shared" si="330"/>
        <v>9.9455658579494163E-2</v>
      </c>
      <c r="AC1007" s="1"/>
      <c r="AD1007" s="1"/>
      <c r="AE1007" s="1"/>
    </row>
    <row r="1008" spans="1:31">
      <c r="A1008">
        <v>750</v>
      </c>
      <c r="B1008">
        <f t="shared" si="310"/>
        <v>0.93894774928937674</v>
      </c>
      <c r="C1008">
        <v>0.93783873652078076</v>
      </c>
      <c r="D1008">
        <f t="shared" si="311"/>
        <v>1.0662813989853168</v>
      </c>
      <c r="E1008" s="1">
        <f t="shared" si="312"/>
        <v>1.7267017633116444E-2</v>
      </c>
      <c r="F1008" s="1">
        <f t="shared" si="313"/>
        <v>2.0029740454415079E-2</v>
      </c>
      <c r="G1008" s="1">
        <f t="shared" si="314"/>
        <v>6.2161263479219436E-3</v>
      </c>
      <c r="H1008" s="1">
        <f t="shared" si="315"/>
        <v>6.0234686969233148E-3</v>
      </c>
      <c r="I1008" s="1">
        <f t="shared" si="316"/>
        <v>2.2137087153398016E-2</v>
      </c>
      <c r="J1008" s="1">
        <f t="shared" si="317"/>
        <v>2.3983033648167562E-2</v>
      </c>
      <c r="K1008" s="1">
        <f t="shared" si="318"/>
        <v>1.4747406214130843E-2</v>
      </c>
      <c r="L1008" s="1">
        <f t="shared" si="319"/>
        <v>1.462322888894399E-2</v>
      </c>
      <c r="M1008" s="1">
        <f t="shared" si="320"/>
        <v>3.1877226193961161E-2</v>
      </c>
      <c r="N1008" s="1">
        <f t="shared" si="321"/>
        <v>3.1889620035672306E-2</v>
      </c>
      <c r="O1008" s="1">
        <f t="shared" si="322"/>
        <v>3.1809965946548668E-2</v>
      </c>
      <c r="P1008" s="1">
        <f t="shared" si="323"/>
        <v>3.1822749272985285E-2</v>
      </c>
      <c r="Q1008" s="1">
        <f t="shared" si="324"/>
        <v>0.48347649372726131</v>
      </c>
      <c r="T1008">
        <v>0.83184433489171539</v>
      </c>
      <c r="U1008">
        <f t="shared" si="331"/>
        <v>1.2021479957907919</v>
      </c>
      <c r="V1008" s="15">
        <f t="shared" si="325"/>
        <v>0</v>
      </c>
      <c r="W1008" s="15">
        <f t="shared" si="326"/>
        <v>0</v>
      </c>
      <c r="X1008" s="15">
        <f t="shared" si="327"/>
        <v>0</v>
      </c>
      <c r="Y1008" s="15">
        <f t="shared" si="328"/>
        <v>0</v>
      </c>
      <c r="Z1008" s="15">
        <f t="shared" si="329"/>
        <v>0</v>
      </c>
      <c r="AA1008" s="15">
        <f t="shared" si="330"/>
        <v>0</v>
      </c>
      <c r="AC1008" s="1"/>
      <c r="AD1008" s="1"/>
      <c r="AE1008" s="1"/>
    </row>
    <row r="1009" spans="1:31">
      <c r="A1009">
        <v>536</v>
      </c>
      <c r="B1009">
        <f t="shared" si="310"/>
        <v>0.93902484205108505</v>
      </c>
      <c r="C1009">
        <v>0.93805837484346788</v>
      </c>
      <c r="D1009">
        <f t="shared" si="311"/>
        <v>1.0660317383413034</v>
      </c>
      <c r="E1009" s="1">
        <f t="shared" si="312"/>
        <v>1.7206006987925571E-2</v>
      </c>
      <c r="F1009" s="1">
        <f t="shared" si="313"/>
        <v>1.995896810599368E-2</v>
      </c>
      <c r="G1009" s="1">
        <f t="shared" si="314"/>
        <v>6.1941625156532315E-3</v>
      </c>
      <c r="H1009" s="1">
        <f t="shared" si="315"/>
        <v>6.0021855941145424E-3</v>
      </c>
      <c r="I1009" s="1">
        <f t="shared" si="316"/>
        <v>2.2058868783638275E-2</v>
      </c>
      <c r="J1009" s="1">
        <f t="shared" si="317"/>
        <v>2.3898292878939242E-2</v>
      </c>
      <c r="K1009" s="1">
        <f t="shared" si="318"/>
        <v>1.4695298271280854E-2</v>
      </c>
      <c r="L1009" s="1">
        <f t="shared" si="319"/>
        <v>1.4571559709688764E-2</v>
      </c>
      <c r="M1009" s="1">
        <f t="shared" si="320"/>
        <v>3.1764592375063627E-2</v>
      </c>
      <c r="N1009" s="1">
        <f t="shared" si="321"/>
        <v>3.1776942424830201E-2</v>
      </c>
      <c r="O1009" s="1">
        <f t="shared" si="322"/>
        <v>3.1697569782536184E-2</v>
      </c>
      <c r="P1009" s="1">
        <f t="shared" si="323"/>
        <v>3.1710307940837179E-2</v>
      </c>
      <c r="Q1009" s="1">
        <f t="shared" si="324"/>
        <v>0.48176819566191753</v>
      </c>
      <c r="T1009">
        <v>0.32096693639558471</v>
      </c>
      <c r="U1009">
        <f t="shared" si="331"/>
        <v>3.1155857087021634</v>
      </c>
      <c r="V1009" s="15">
        <f t="shared" si="325"/>
        <v>6.9590565934111059E-2</v>
      </c>
      <c r="W1009" s="15">
        <f t="shared" si="326"/>
        <v>7.4227526720208645E-2</v>
      </c>
      <c r="X1009" s="15">
        <f t="shared" si="327"/>
        <v>8.3501448292403802E-2</v>
      </c>
      <c r="Y1009" s="15">
        <f t="shared" si="328"/>
        <v>9.8168640546829805E-2</v>
      </c>
      <c r="Z1009" s="15">
        <f t="shared" si="329"/>
        <v>0.1022197545746653</v>
      </c>
      <c r="AA1009" s="15">
        <f t="shared" si="330"/>
        <v>0.11032198263033632</v>
      </c>
      <c r="AC1009" s="1"/>
      <c r="AD1009" s="1"/>
      <c r="AE1009" s="1"/>
    </row>
    <row r="1010" spans="1:31">
      <c r="A1010">
        <v>30</v>
      </c>
      <c r="B1010">
        <f t="shared" si="310"/>
        <v>0.93949785275920739</v>
      </c>
      <c r="C1010">
        <v>0.93881638497857711</v>
      </c>
      <c r="D1010">
        <f t="shared" si="311"/>
        <v>1.0651710132038428</v>
      </c>
      <c r="E1010" s="1">
        <f t="shared" si="312"/>
        <v>1.6995448617061898E-2</v>
      </c>
      <c r="F1010" s="1">
        <f t="shared" si="313"/>
        <v>1.9714720395791807E-2</v>
      </c>
      <c r="G1010" s="1">
        <f t="shared" si="314"/>
        <v>6.1183615021423027E-3</v>
      </c>
      <c r="H1010" s="1">
        <f t="shared" si="315"/>
        <v>5.9287338966227954E-3</v>
      </c>
      <c r="I1010" s="1">
        <f t="shared" si="316"/>
        <v>2.1788923555937423E-2</v>
      </c>
      <c r="J1010" s="1">
        <f t="shared" si="317"/>
        <v>2.3605837713801647E-2</v>
      </c>
      <c r="K1010" s="1">
        <f t="shared" si="318"/>
        <v>1.4515464677959194E-2</v>
      </c>
      <c r="L1010" s="1">
        <f t="shared" si="319"/>
        <v>1.4393240366010251E-2</v>
      </c>
      <c r="M1010" s="1">
        <f t="shared" si="320"/>
        <v>3.1375873433688362E-2</v>
      </c>
      <c r="N1010" s="1">
        <f t="shared" si="321"/>
        <v>3.1388072349821161E-2</v>
      </c>
      <c r="O1010" s="1">
        <f t="shared" si="322"/>
        <v>3.1309671029592978E-2</v>
      </c>
      <c r="P1010" s="1">
        <f t="shared" si="323"/>
        <v>3.1322253304785164E-2</v>
      </c>
      <c r="Q1010" s="1">
        <f t="shared" si="324"/>
        <v>0.47587256127773436</v>
      </c>
      <c r="T1010">
        <v>0.17907853659662021</v>
      </c>
      <c r="U1010">
        <f t="shared" si="331"/>
        <v>5.5841421256000663</v>
      </c>
      <c r="V1010" s="15">
        <f t="shared" si="325"/>
        <v>8.0348996747597767E-2</v>
      </c>
      <c r="W1010" s="15">
        <f t="shared" si="326"/>
        <v>8.4504794788179849E-2</v>
      </c>
      <c r="X1010" s="15">
        <f t="shared" si="327"/>
        <v>9.2816390869344081E-2</v>
      </c>
      <c r="Y1010" s="15">
        <f t="shared" si="328"/>
        <v>0.11408888341281027</v>
      </c>
      <c r="Z1010" s="15">
        <f t="shared" si="329"/>
        <v>0.11765166647580111</v>
      </c>
      <c r="AA1010" s="15">
        <f t="shared" si="330"/>
        <v>0.12477723260178288</v>
      </c>
      <c r="AC1010" s="1"/>
      <c r="AD1010" s="1"/>
      <c r="AE1010" s="1"/>
    </row>
    <row r="1011" spans="1:31">
      <c r="A1011">
        <v>832</v>
      </c>
      <c r="B1011">
        <f t="shared" si="310"/>
        <v>0.93956883164951122</v>
      </c>
      <c r="C1011">
        <v>0.93893013022219463</v>
      </c>
      <c r="D1011">
        <f t="shared" si="311"/>
        <v>1.0650419747030095</v>
      </c>
      <c r="E1011" s="1">
        <f t="shared" si="312"/>
        <v>1.6963852716057021E-2</v>
      </c>
      <c r="F1011" s="1">
        <f t="shared" si="313"/>
        <v>1.9678069150626198E-2</v>
      </c>
      <c r="G1011" s="1">
        <f t="shared" si="314"/>
        <v>6.1069869777805458E-3</v>
      </c>
      <c r="H1011" s="1">
        <f t="shared" si="315"/>
        <v>5.9177119051765786E-3</v>
      </c>
      <c r="I1011" s="1">
        <f t="shared" si="316"/>
        <v>2.1748416200869147E-2</v>
      </c>
      <c r="J1011" s="1">
        <f t="shared" si="317"/>
        <v>2.356195256970528E-2</v>
      </c>
      <c r="K1011" s="1">
        <f t="shared" si="318"/>
        <v>1.4488479265844539E-2</v>
      </c>
      <c r="L1011" s="1">
        <f t="shared" si="319"/>
        <v>1.436648217868669E-2</v>
      </c>
      <c r="M1011" s="1">
        <f t="shared" si="320"/>
        <v>3.1317543170493289E-2</v>
      </c>
      <c r="N1011" s="1">
        <f t="shared" si="321"/>
        <v>3.1329719407863332E-2</v>
      </c>
      <c r="O1011" s="1">
        <f t="shared" si="322"/>
        <v>3.1251463841972582E-2</v>
      </c>
      <c r="P1011" s="1">
        <f t="shared" si="323"/>
        <v>3.126402272570683E-2</v>
      </c>
      <c r="Q1011" s="1">
        <f t="shared" si="324"/>
        <v>0.4749878760495978</v>
      </c>
      <c r="T1011">
        <v>0.21888339748231933</v>
      </c>
      <c r="U1011">
        <f t="shared" si="331"/>
        <v>4.5686425352602482</v>
      </c>
      <c r="V1011" s="15">
        <f t="shared" si="325"/>
        <v>7.6268724164203189E-2</v>
      </c>
      <c r="W1011" s="15">
        <f t="shared" si="326"/>
        <v>8.0639566517580766E-2</v>
      </c>
      <c r="X1011" s="15">
        <f t="shared" si="327"/>
        <v>8.9381251224336031E-2</v>
      </c>
      <c r="Y1011" s="15">
        <f t="shared" si="328"/>
        <v>0.10805259623392803</v>
      </c>
      <c r="Z1011" s="15">
        <f t="shared" si="329"/>
        <v>0.11183781223441315</v>
      </c>
      <c r="AA1011" s="15">
        <f t="shared" si="330"/>
        <v>0.11940824423538351</v>
      </c>
      <c r="AC1011" s="1"/>
      <c r="AD1011" s="1"/>
      <c r="AE1011" s="1"/>
    </row>
    <row r="1012" spans="1:31">
      <c r="A1012">
        <v>528</v>
      </c>
      <c r="B1012">
        <f t="shared" si="310"/>
        <v>0.93957807760725953</v>
      </c>
      <c r="C1012">
        <v>0.93894968745442442</v>
      </c>
      <c r="D1012">
        <f t="shared" si="311"/>
        <v>1.065019791114781</v>
      </c>
      <c r="E1012" s="1">
        <f t="shared" si="312"/>
        <v>1.6958420151548748E-2</v>
      </c>
      <c r="F1012" s="1">
        <f t="shared" si="313"/>
        <v>1.9671767375796567E-2</v>
      </c>
      <c r="G1012" s="1">
        <f t="shared" si="314"/>
        <v>6.1050312545575663E-3</v>
      </c>
      <c r="H1012" s="1">
        <f t="shared" si="315"/>
        <v>5.9158167960758068E-3</v>
      </c>
      <c r="I1012" s="1">
        <f t="shared" si="316"/>
        <v>2.1741451410739077E-2</v>
      </c>
      <c r="J1012" s="1">
        <f t="shared" si="317"/>
        <v>2.3554407006240508E-2</v>
      </c>
      <c r="K1012" s="1">
        <f t="shared" si="318"/>
        <v>1.4483839423731104E-2</v>
      </c>
      <c r="L1012" s="1">
        <f t="shared" si="319"/>
        <v>1.436188140535416E-2</v>
      </c>
      <c r="M1012" s="1">
        <f t="shared" si="320"/>
        <v>3.1307513929119735E-2</v>
      </c>
      <c r="N1012" s="1">
        <f t="shared" si="321"/>
        <v>3.1319686267128222E-2</v>
      </c>
      <c r="O1012" s="1">
        <f t="shared" si="322"/>
        <v>3.1241455762078152E-2</v>
      </c>
      <c r="P1012" s="1">
        <f t="shared" si="323"/>
        <v>3.1254010623910866E-2</v>
      </c>
      <c r="Q1012" s="1">
        <f t="shared" si="324"/>
        <v>0.47483576424336604</v>
      </c>
      <c r="T1012">
        <v>0.77886961755098783</v>
      </c>
      <c r="U1012">
        <f t="shared" si="331"/>
        <v>1.2839119378469479</v>
      </c>
      <c r="V1012" s="15">
        <f t="shared" si="325"/>
        <v>0</v>
      </c>
      <c r="W1012" s="15">
        <f t="shared" si="326"/>
        <v>0</v>
      </c>
      <c r="X1012" s="15">
        <f t="shared" si="327"/>
        <v>0</v>
      </c>
      <c r="Y1012" s="15">
        <f t="shared" si="328"/>
        <v>0</v>
      </c>
      <c r="Z1012" s="15">
        <f t="shared" si="329"/>
        <v>0</v>
      </c>
      <c r="AA1012" s="15">
        <f t="shared" si="330"/>
        <v>0</v>
      </c>
      <c r="AC1012" s="1"/>
      <c r="AD1012" s="1"/>
      <c r="AE1012" s="1"/>
    </row>
    <row r="1013" spans="1:31">
      <c r="A1013">
        <v>348</v>
      </c>
      <c r="B1013">
        <f t="shared" si="310"/>
        <v>0.93979595774953795</v>
      </c>
      <c r="C1013">
        <v>0.93957432843266997</v>
      </c>
      <c r="D1013">
        <f t="shared" si="311"/>
        <v>1.0643117523954999</v>
      </c>
      <c r="E1013" s="1">
        <f t="shared" si="312"/>
        <v>1.6784908768702783E-2</v>
      </c>
      <c r="F1013" s="1">
        <f t="shared" si="313"/>
        <v>1.9470494171695218E-2</v>
      </c>
      <c r="G1013" s="1">
        <f t="shared" si="314"/>
        <v>6.0425671567330141E-3</v>
      </c>
      <c r="H1013" s="1">
        <f t="shared" si="315"/>
        <v>5.8552886605668653E-3</v>
      </c>
      <c r="I1013" s="1">
        <f t="shared" si="316"/>
        <v>2.1519002074913918E-2</v>
      </c>
      <c r="J1013" s="1">
        <f t="shared" si="317"/>
        <v>2.3313408275506931E-2</v>
      </c>
      <c r="K1013" s="1">
        <f t="shared" si="318"/>
        <v>1.4335646904329369E-2</v>
      </c>
      <c r="L1013" s="1">
        <f t="shared" si="319"/>
        <v>1.4214936708817349E-2</v>
      </c>
      <c r="M1013" s="1">
        <f t="shared" si="320"/>
        <v>3.0987188687336187E-2</v>
      </c>
      <c r="N1013" s="1">
        <f t="shared" si="321"/>
        <v>3.0999236483130188E-2</v>
      </c>
      <c r="O1013" s="1">
        <f t="shared" si="322"/>
        <v>3.0921806399522134E-2</v>
      </c>
      <c r="P1013" s="1">
        <f t="shared" si="323"/>
        <v>3.0934232805318318E-2</v>
      </c>
      <c r="Q1013" s="1">
        <f t="shared" si="324"/>
        <v>0.46997744552367848</v>
      </c>
      <c r="T1013">
        <v>3.7991411172350054E-2</v>
      </c>
      <c r="U1013">
        <f t="shared" si="331"/>
        <v>26.321738759938317</v>
      </c>
      <c r="V1013" s="15">
        <f t="shared" si="325"/>
        <v>0.10304197639427203</v>
      </c>
      <c r="W1013" s="15">
        <f t="shared" si="326"/>
        <v>0.1057753682453844</v>
      </c>
      <c r="X1013" s="15">
        <f t="shared" si="327"/>
        <v>0.11124215194760896</v>
      </c>
      <c r="Y1013" s="15">
        <f t="shared" si="328"/>
        <v>0.14763297309330198</v>
      </c>
      <c r="Z1013" s="15">
        <f t="shared" si="329"/>
        <v>0.14970192057754048</v>
      </c>
      <c r="AA1013" s="15">
        <f t="shared" si="330"/>
        <v>0.15383981554601778</v>
      </c>
      <c r="AC1013" s="1"/>
      <c r="AD1013" s="1"/>
      <c r="AE1013" s="1"/>
    </row>
    <row r="1014" spans="1:31">
      <c r="A1014">
        <v>660</v>
      </c>
      <c r="B1014">
        <f t="shared" si="310"/>
        <v>0.93991774697501884</v>
      </c>
      <c r="C1014">
        <v>0.93992348618586685</v>
      </c>
      <c r="D1014">
        <f t="shared" si="311"/>
        <v>1.0639163875539686</v>
      </c>
      <c r="E1014" s="1">
        <f t="shared" si="312"/>
        <v>1.6687920503925868E-2</v>
      </c>
      <c r="F1014" s="1">
        <f t="shared" si="313"/>
        <v>1.9357987784553998E-2</v>
      </c>
      <c r="G1014" s="1">
        <f t="shared" si="314"/>
        <v>6.0076513814133342E-3</v>
      </c>
      <c r="H1014" s="1">
        <f t="shared" si="315"/>
        <v>5.8214550368765605E-3</v>
      </c>
      <c r="I1014" s="1">
        <f t="shared" si="316"/>
        <v>2.1394658791328847E-2</v>
      </c>
      <c r="J1014" s="1">
        <f t="shared" si="317"/>
        <v>2.3178696371746521E-2</v>
      </c>
      <c r="K1014" s="1">
        <f t="shared" si="318"/>
        <v>1.4252811213241318E-2</v>
      </c>
      <c r="L1014" s="1">
        <f t="shared" si="319"/>
        <v>1.4132798517642153E-2</v>
      </c>
      <c r="M1014" s="1">
        <f t="shared" si="320"/>
        <v>3.0808135366134748E-2</v>
      </c>
      <c r="N1014" s="1">
        <f t="shared" si="321"/>
        <v>3.0820113546131345E-2</v>
      </c>
      <c r="O1014" s="1">
        <f t="shared" si="322"/>
        <v>3.074313087689734E-2</v>
      </c>
      <c r="P1014" s="1">
        <f t="shared" si="323"/>
        <v>3.0755485479173339E-2</v>
      </c>
      <c r="Q1014" s="1">
        <f t="shared" si="324"/>
        <v>0.4672617741099252</v>
      </c>
      <c r="T1014">
        <v>0.58335364343612861</v>
      </c>
      <c r="U1014">
        <f t="shared" si="331"/>
        <v>1.7142260295310729</v>
      </c>
      <c r="V1014" s="15">
        <f t="shared" si="325"/>
        <v>0</v>
      </c>
      <c r="W1014" s="15">
        <f t="shared" si="326"/>
        <v>0</v>
      </c>
      <c r="X1014" s="15">
        <f t="shared" si="327"/>
        <v>0</v>
      </c>
      <c r="Y1014" s="15">
        <f t="shared" si="328"/>
        <v>0</v>
      </c>
      <c r="Z1014" s="15">
        <f t="shared" si="329"/>
        <v>0</v>
      </c>
      <c r="AA1014" s="15">
        <f t="shared" si="330"/>
        <v>0</v>
      </c>
      <c r="AC1014" s="1"/>
      <c r="AD1014" s="1"/>
      <c r="AE1014" s="1"/>
    </row>
    <row r="1015" spans="1:31">
      <c r="A1015">
        <v>868</v>
      </c>
      <c r="B1015">
        <f t="shared" si="310"/>
        <v>0.94197726355668798</v>
      </c>
      <c r="C1015">
        <v>0.94139043615610596</v>
      </c>
      <c r="D1015">
        <f t="shared" si="311"/>
        <v>1.0622585078335927</v>
      </c>
      <c r="E1015" s="1">
        <f t="shared" si="312"/>
        <v>1.628043440108165E-2</v>
      </c>
      <c r="F1015" s="1">
        <f t="shared" si="313"/>
        <v>1.8885303905254724E-2</v>
      </c>
      <c r="G1015" s="1">
        <f t="shared" si="314"/>
        <v>5.8609563843894236E-3</v>
      </c>
      <c r="H1015" s="1">
        <f t="shared" si="315"/>
        <v>5.6793065873257942E-3</v>
      </c>
      <c r="I1015" s="1">
        <f t="shared" si="316"/>
        <v>2.0872243423248116E-2</v>
      </c>
      <c r="J1015" s="1">
        <f t="shared" si="317"/>
        <v>2.2612718324852676E-2</v>
      </c>
      <c r="K1015" s="1">
        <f t="shared" si="318"/>
        <v>1.3904785676177478E-2</v>
      </c>
      <c r="L1015" s="1">
        <f t="shared" si="319"/>
        <v>1.378770345388744E-2</v>
      </c>
      <c r="M1015" s="1">
        <f t="shared" si="320"/>
        <v>3.0055861467581046E-2</v>
      </c>
      <c r="N1015" s="1">
        <f t="shared" si="321"/>
        <v>3.0067547164048303E-2</v>
      </c>
      <c r="O1015" s="1">
        <f t="shared" si="322"/>
        <v>2.9992444259753559E-2</v>
      </c>
      <c r="P1015" s="1">
        <f t="shared" si="323"/>
        <v>3.0004497187010648E-2</v>
      </c>
      <c r="Q1015" s="1">
        <f t="shared" si="324"/>
        <v>0.45585216323028721</v>
      </c>
      <c r="T1015">
        <v>0.50046081766974215</v>
      </c>
      <c r="U1015">
        <f t="shared" si="331"/>
        <v>1.9981584265801753</v>
      </c>
      <c r="V1015" s="15">
        <f t="shared" si="325"/>
        <v>0</v>
      </c>
      <c r="W1015" s="15">
        <f t="shared" si="326"/>
        <v>0</v>
      </c>
      <c r="X1015" s="15">
        <f t="shared" si="327"/>
        <v>0</v>
      </c>
      <c r="Y1015" s="15">
        <f t="shared" si="328"/>
        <v>0</v>
      </c>
      <c r="Z1015" s="15">
        <f t="shared" si="329"/>
        <v>0</v>
      </c>
      <c r="AA1015" s="15">
        <f t="shared" si="330"/>
        <v>0</v>
      </c>
      <c r="AC1015" s="1"/>
      <c r="AD1015" s="1"/>
      <c r="AE1015" s="1"/>
    </row>
    <row r="1016" spans="1:31">
      <c r="A1016">
        <v>611</v>
      </c>
      <c r="B1016">
        <f t="shared" si="310"/>
        <v>0.9427004356604517</v>
      </c>
      <c r="C1016">
        <v>0.94269726834381196</v>
      </c>
      <c r="D1016">
        <f t="shared" si="311"/>
        <v>1.0607859315821091</v>
      </c>
      <c r="E1016" s="1">
        <f t="shared" si="312"/>
        <v>1.5917425460052231E-2</v>
      </c>
      <c r="F1016" s="1">
        <f t="shared" si="313"/>
        <v>1.8464213533660567E-2</v>
      </c>
      <c r="G1016" s="1">
        <f t="shared" si="314"/>
        <v>5.7302731656188183E-3</v>
      </c>
      <c r="H1016" s="1">
        <f t="shared" si="315"/>
        <v>5.5526736597725918E-3</v>
      </c>
      <c r="I1016" s="1">
        <f t="shared" si="316"/>
        <v>2.0406849761425538E-2</v>
      </c>
      <c r="J1016" s="1">
        <f t="shared" si="317"/>
        <v>2.210851685634907E-2</v>
      </c>
      <c r="K1016" s="1">
        <f t="shared" si="318"/>
        <v>1.3594747172339078E-2</v>
      </c>
      <c r="L1016" s="1">
        <f t="shared" si="319"/>
        <v>1.3480275561810362E-2</v>
      </c>
      <c r="M1016" s="1">
        <f t="shared" si="320"/>
        <v>2.9385698364172153E-2</v>
      </c>
      <c r="N1016" s="1">
        <f t="shared" si="321"/>
        <v>2.9397123501725853E-2</v>
      </c>
      <c r="O1016" s="1">
        <f t="shared" si="322"/>
        <v>2.9323695185779597E-2</v>
      </c>
      <c r="P1016" s="1">
        <f t="shared" si="323"/>
        <v>2.9335479365885819E-2</v>
      </c>
      <c r="Q1016" s="1">
        <f t="shared" si="324"/>
        <v>0.44568791288146326</v>
      </c>
      <c r="T1016">
        <v>0.41769523366473094</v>
      </c>
      <c r="U1016">
        <f t="shared" si="331"/>
        <v>2.3940900431788608</v>
      </c>
      <c r="V1016" s="15">
        <f t="shared" si="325"/>
        <v>6.3262739906845417E-2</v>
      </c>
      <c r="W1016" s="15">
        <f t="shared" si="326"/>
        <v>6.8151858711199109E-2</v>
      </c>
      <c r="X1016" s="15">
        <f t="shared" si="327"/>
        <v>7.793009631990637E-2</v>
      </c>
      <c r="Y1016" s="15">
        <f t="shared" si="328"/>
        <v>8.8803191287581323E-2</v>
      </c>
      <c r="Z1016" s="15">
        <f t="shared" si="329"/>
        <v>9.3106254490637697E-2</v>
      </c>
      <c r="AA1016" s="15">
        <f t="shared" si="330"/>
        <v>0.1017123808967504</v>
      </c>
      <c r="AC1016" s="1"/>
      <c r="AD1016" s="1"/>
      <c r="AE1016" s="1"/>
    </row>
    <row r="1017" spans="1:31">
      <c r="A1017">
        <v>492</v>
      </c>
      <c r="B1017">
        <f t="shared" si="310"/>
        <v>0.94270045326188956</v>
      </c>
      <c r="C1017">
        <v>0.94270146584984249</v>
      </c>
      <c r="D1017">
        <f t="shared" si="311"/>
        <v>1.0607812082889923</v>
      </c>
      <c r="E1017" s="1">
        <f t="shared" si="312"/>
        <v>1.5916259486154855E-2</v>
      </c>
      <c r="F1017" s="1">
        <f t="shared" si="313"/>
        <v>1.8462861003939623E-2</v>
      </c>
      <c r="G1017" s="1">
        <f t="shared" si="314"/>
        <v>5.7298534150157648E-3</v>
      </c>
      <c r="H1017" s="1">
        <f t="shared" si="315"/>
        <v>5.552266918584195E-3</v>
      </c>
      <c r="I1017" s="1">
        <f t="shared" si="316"/>
        <v>2.0405354930857045E-2</v>
      </c>
      <c r="J1017" s="1">
        <f t="shared" si="317"/>
        <v>2.2106897376262369E-2</v>
      </c>
      <c r="K1017" s="1">
        <f t="shared" si="318"/>
        <v>1.3593751337906912E-2</v>
      </c>
      <c r="L1017" s="1">
        <f t="shared" si="319"/>
        <v>1.3479288112585364E-2</v>
      </c>
      <c r="M1017" s="1">
        <f t="shared" si="320"/>
        <v>2.938354582026137E-2</v>
      </c>
      <c r="N1017" s="1">
        <f t="shared" si="321"/>
        <v>2.9394970120907638E-2</v>
      </c>
      <c r="O1017" s="1">
        <f t="shared" si="322"/>
        <v>2.9321547183689234E-2</v>
      </c>
      <c r="P1017" s="1">
        <f t="shared" si="323"/>
        <v>2.9333330500587673E-2</v>
      </c>
      <c r="Q1017" s="1">
        <f t="shared" si="324"/>
        <v>0.44565526561233693</v>
      </c>
      <c r="T1017">
        <v>0.57821572158847567</v>
      </c>
      <c r="U1017">
        <f t="shared" si="331"/>
        <v>1.7294583365059626</v>
      </c>
      <c r="V1017" s="15">
        <f t="shared" si="325"/>
        <v>0</v>
      </c>
      <c r="W1017" s="15">
        <f t="shared" si="326"/>
        <v>0</v>
      </c>
      <c r="X1017" s="15">
        <f t="shared" si="327"/>
        <v>0</v>
      </c>
      <c r="Y1017" s="15">
        <f t="shared" si="328"/>
        <v>0</v>
      </c>
      <c r="Z1017" s="15">
        <f t="shared" si="329"/>
        <v>0</v>
      </c>
      <c r="AA1017" s="15">
        <f t="shared" si="330"/>
        <v>0</v>
      </c>
      <c r="AC1017" s="1"/>
      <c r="AD1017" s="1"/>
      <c r="AE1017" s="1"/>
    </row>
    <row r="1018" spans="1:31">
      <c r="A1018">
        <v>329</v>
      </c>
      <c r="B1018">
        <f t="shared" si="310"/>
        <v>0.94445455420458868</v>
      </c>
      <c r="C1018">
        <v>0.94433561687104106</v>
      </c>
      <c r="D1018">
        <f t="shared" si="311"/>
        <v>1.0589455508555286</v>
      </c>
      <c r="E1018" s="1">
        <f t="shared" si="312"/>
        <v>1.5462328646933032E-2</v>
      </c>
      <c r="F1018" s="1">
        <f t="shared" si="313"/>
        <v>1.793630123044232E-2</v>
      </c>
      <c r="G1018" s="1">
        <f t="shared" si="314"/>
        <v>5.5664383128959105E-3</v>
      </c>
      <c r="H1018" s="1">
        <f t="shared" si="315"/>
        <v>5.3939165735091554E-3</v>
      </c>
      <c r="I1018" s="1">
        <f t="shared" si="316"/>
        <v>1.9823395338124827E-2</v>
      </c>
      <c r="J1018" s="1">
        <f t="shared" si="317"/>
        <v>2.1476409887205894E-2</v>
      </c>
      <c r="K1018" s="1">
        <f t="shared" si="318"/>
        <v>1.3206058302470014E-2</v>
      </c>
      <c r="L1018" s="1">
        <f t="shared" si="319"/>
        <v>1.3094859561996491E-2</v>
      </c>
      <c r="M1018" s="1">
        <f t="shared" si="320"/>
        <v>2.8545528720508362E-2</v>
      </c>
      <c r="N1018" s="1">
        <f t="shared" si="321"/>
        <v>2.8556627200732765E-2</v>
      </c>
      <c r="O1018" s="1">
        <f t="shared" si="322"/>
        <v>2.8485298281618221E-2</v>
      </c>
      <c r="P1018" s="1">
        <f t="shared" si="323"/>
        <v>2.8496745538971135E-2</v>
      </c>
      <c r="Q1018" s="1">
        <f t="shared" si="324"/>
        <v>0.43294520211412557</v>
      </c>
      <c r="T1018">
        <v>0.4239288020029276</v>
      </c>
      <c r="U1018">
        <f t="shared" si="331"/>
        <v>2.3588866698259725</v>
      </c>
      <c r="V1018" s="15">
        <f t="shared" si="325"/>
        <v>6.2854948835496097E-2</v>
      </c>
      <c r="W1018" s="15">
        <f t="shared" si="326"/>
        <v>6.7760317737113981E-2</v>
      </c>
      <c r="X1018" s="15">
        <f t="shared" si="327"/>
        <v>7.757105554034964E-2</v>
      </c>
      <c r="Y1018" s="15">
        <f t="shared" si="328"/>
        <v>8.8199643312235537E-2</v>
      </c>
      <c r="Z1018" s="15">
        <f t="shared" si="329"/>
        <v>9.2518943153854061E-2</v>
      </c>
      <c r="AA1018" s="15">
        <f t="shared" si="330"/>
        <v>0.10115754283709108</v>
      </c>
      <c r="AC1018" s="1"/>
      <c r="AD1018" s="1"/>
      <c r="AE1018" s="1"/>
    </row>
    <row r="1019" spans="1:31">
      <c r="A1019">
        <v>864</v>
      </c>
      <c r="B1019">
        <f t="shared" si="310"/>
        <v>0.94454685890141288</v>
      </c>
      <c r="C1019">
        <v>0.94463958577392115</v>
      </c>
      <c r="D1019">
        <f t="shared" si="311"/>
        <v>1.0586048002431778</v>
      </c>
      <c r="E1019" s="1">
        <f t="shared" si="312"/>
        <v>1.5377892840577445E-2</v>
      </c>
      <c r="F1019" s="1">
        <f t="shared" si="313"/>
        <v>1.7838355695069863E-2</v>
      </c>
      <c r="G1019" s="1">
        <f t="shared" si="314"/>
        <v>5.5360414226078986E-3</v>
      </c>
      <c r="H1019" s="1">
        <f t="shared" si="315"/>
        <v>5.3644617801401617E-3</v>
      </c>
      <c r="I1019" s="1">
        <f t="shared" si="316"/>
        <v>1.9715144866394474E-2</v>
      </c>
      <c r="J1019" s="1">
        <f t="shared" si="317"/>
        <v>2.135913272748069E-2</v>
      </c>
      <c r="K1019" s="1">
        <f t="shared" si="318"/>
        <v>1.3133943409105037E-2</v>
      </c>
      <c r="L1019" s="1">
        <f t="shared" si="319"/>
        <v>1.302335189639986E-2</v>
      </c>
      <c r="M1019" s="1">
        <f t="shared" si="320"/>
        <v>2.8389648918028532E-2</v>
      </c>
      <c r="N1019" s="1">
        <f t="shared" si="321"/>
        <v>2.8400686792302232E-2</v>
      </c>
      <c r="O1019" s="1">
        <f t="shared" si="322"/>
        <v>2.8329747382099313E-2</v>
      </c>
      <c r="P1019" s="1">
        <f t="shared" si="323"/>
        <v>2.8341132128919255E-2</v>
      </c>
      <c r="Q1019" s="1">
        <f t="shared" si="324"/>
        <v>0.43058099953616935</v>
      </c>
      <c r="T1019">
        <v>0.49928517976565023</v>
      </c>
      <c r="U1019">
        <f t="shared" si="331"/>
        <v>2.0028633745335092</v>
      </c>
      <c r="V1019" s="15">
        <f t="shared" si="325"/>
        <v>5.792524303078616E-2</v>
      </c>
      <c r="W1019" s="15">
        <f t="shared" si="326"/>
        <v>6.3027056152100525E-2</v>
      </c>
      <c r="X1019" s="15">
        <f t="shared" si="327"/>
        <v>7.3230682394729074E-2</v>
      </c>
      <c r="Y1019" s="15">
        <f t="shared" si="328"/>
        <v>8.0903470917783035E-2</v>
      </c>
      <c r="Z1019" s="15">
        <f t="shared" si="329"/>
        <v>8.5419052279504443E-2</v>
      </c>
      <c r="AA1019" s="15">
        <f t="shared" si="330"/>
        <v>9.4450215002947147E-2</v>
      </c>
      <c r="AC1019" s="1"/>
      <c r="AD1019" s="1"/>
      <c r="AE1019" s="1"/>
    </row>
    <row r="1020" spans="1:31">
      <c r="A1020">
        <v>985</v>
      </c>
      <c r="B1020">
        <f t="shared" si="310"/>
        <v>0.94584363963318396</v>
      </c>
      <c r="C1020">
        <v>0.94590067420738277</v>
      </c>
      <c r="D1020">
        <f t="shared" si="311"/>
        <v>1.0571934530419378</v>
      </c>
      <c r="E1020" s="1">
        <f t="shared" si="312"/>
        <v>1.5027590497949217E-2</v>
      </c>
      <c r="F1020" s="1">
        <f t="shared" si="313"/>
        <v>1.7432004977621096E-2</v>
      </c>
      <c r="G1020" s="1">
        <f t="shared" si="314"/>
        <v>5.409932579261742E-3</v>
      </c>
      <c r="H1020" s="1">
        <f t="shared" si="315"/>
        <v>5.2422614534761436E-3</v>
      </c>
      <c r="I1020" s="1">
        <f t="shared" si="316"/>
        <v>1.9266041630759401E-2</v>
      </c>
      <c r="J1020" s="1">
        <f t="shared" si="317"/>
        <v>2.0872580095822324E-2</v>
      </c>
      <c r="K1020" s="1">
        <f t="shared" si="318"/>
        <v>1.2834757350790454E-2</v>
      </c>
      <c r="L1020" s="1">
        <f t="shared" si="319"/>
        <v>1.2726685069190447E-2</v>
      </c>
      <c r="M1020" s="1">
        <f t="shared" si="320"/>
        <v>2.7742943896379713E-2</v>
      </c>
      <c r="N1020" s="1">
        <f t="shared" si="321"/>
        <v>2.7753730332224558E-2</v>
      </c>
      <c r="O1020" s="1">
        <f t="shared" si="322"/>
        <v>2.7684406893847935E-2</v>
      </c>
      <c r="P1020" s="1">
        <f t="shared" si="323"/>
        <v>2.7695532300618997E-2</v>
      </c>
      <c r="Q1020" s="1">
        <f t="shared" si="324"/>
        <v>0.42077253394257941</v>
      </c>
      <c r="T1020">
        <v>0.87636054325358159</v>
      </c>
      <c r="U1020">
        <f t="shared" si="331"/>
        <v>1.1410828656061964</v>
      </c>
      <c r="V1020" s="15">
        <f t="shared" si="325"/>
        <v>0</v>
      </c>
      <c r="W1020" s="15">
        <f t="shared" si="326"/>
        <v>0</v>
      </c>
      <c r="X1020" s="15">
        <f t="shared" si="327"/>
        <v>0</v>
      </c>
      <c r="Y1020" s="15">
        <f t="shared" si="328"/>
        <v>0</v>
      </c>
      <c r="Z1020" s="15">
        <f t="shared" si="329"/>
        <v>0</v>
      </c>
      <c r="AA1020" s="15">
        <f t="shared" si="330"/>
        <v>0</v>
      </c>
      <c r="AC1020" s="1"/>
      <c r="AD1020" s="1"/>
      <c r="AE1020" s="1"/>
    </row>
    <row r="1021" spans="1:31">
      <c r="A1021">
        <v>181</v>
      </c>
      <c r="B1021">
        <f t="shared" si="310"/>
        <v>0.94829769684170651</v>
      </c>
      <c r="C1021">
        <v>0.94773456501107423</v>
      </c>
      <c r="D1021">
        <f t="shared" si="311"/>
        <v>1.0551477564694658</v>
      </c>
      <c r="E1021" s="1">
        <f t="shared" si="312"/>
        <v>1.4518176385812709E-2</v>
      </c>
      <c r="F1021" s="1">
        <f t="shared" si="313"/>
        <v>1.6841084607542745E-2</v>
      </c>
      <c r="G1021" s="1">
        <f t="shared" si="314"/>
        <v>5.2265434988925941E-3</v>
      </c>
      <c r="H1021" s="1">
        <f t="shared" si="315"/>
        <v>5.0645561876669354E-3</v>
      </c>
      <c r="I1021" s="1">
        <f t="shared" si="316"/>
        <v>1.8612950006186735E-2</v>
      </c>
      <c r="J1021" s="1">
        <f t="shared" si="317"/>
        <v>2.0165029084303676E-2</v>
      </c>
      <c r="K1021" s="1">
        <f t="shared" si="318"/>
        <v>1.2399677187990399E-2</v>
      </c>
      <c r="L1021" s="1">
        <f t="shared" si="319"/>
        <v>1.2295268404233561E-2</v>
      </c>
      <c r="M1021" s="1">
        <f t="shared" si="320"/>
        <v>2.6802497246934731E-2</v>
      </c>
      <c r="N1021" s="1">
        <f t="shared" si="321"/>
        <v>2.6812918037825428E-2</v>
      </c>
      <c r="O1021" s="1">
        <f t="shared" si="322"/>
        <v>2.6745944566186008E-2</v>
      </c>
      <c r="P1021" s="1">
        <f t="shared" si="323"/>
        <v>2.6756692837366813E-2</v>
      </c>
      <c r="Q1021" s="1">
        <f t="shared" si="324"/>
        <v>0.40650893880275696</v>
      </c>
      <c r="T1021">
        <v>0.78931940221343755</v>
      </c>
      <c r="U1021">
        <f t="shared" si="331"/>
        <v>1.2669142519438448</v>
      </c>
      <c r="V1021" s="15">
        <f t="shared" si="325"/>
        <v>0</v>
      </c>
      <c r="W1021" s="15">
        <f t="shared" si="326"/>
        <v>0</v>
      </c>
      <c r="X1021" s="15">
        <f t="shared" si="327"/>
        <v>0</v>
      </c>
      <c r="Y1021" s="15">
        <f t="shared" si="328"/>
        <v>0</v>
      </c>
      <c r="Z1021" s="15">
        <f t="shared" si="329"/>
        <v>0</v>
      </c>
      <c r="AA1021" s="15">
        <f t="shared" si="330"/>
        <v>0</v>
      </c>
      <c r="AC1021" s="1"/>
      <c r="AD1021" s="1"/>
      <c r="AE1021" s="1"/>
    </row>
    <row r="1022" spans="1:31">
      <c r="A1022">
        <v>781</v>
      </c>
      <c r="B1022">
        <f t="shared" si="310"/>
        <v>0.94889341933347582</v>
      </c>
      <c r="C1022">
        <v>0.94845026155465595</v>
      </c>
      <c r="D1022">
        <f t="shared" si="311"/>
        <v>1.054351546448884</v>
      </c>
      <c r="E1022" s="1">
        <f t="shared" si="312"/>
        <v>1.431937179037332E-2</v>
      </c>
      <c r="F1022" s="1">
        <f t="shared" si="313"/>
        <v>1.6610471276833072E-2</v>
      </c>
      <c r="G1022" s="1">
        <f t="shared" si="314"/>
        <v>5.1549738445344218E-3</v>
      </c>
      <c r="H1022" s="1">
        <f t="shared" si="315"/>
        <v>4.9952047059648036E-3</v>
      </c>
      <c r="I1022" s="1">
        <f t="shared" si="316"/>
        <v>1.8358073643096884E-2</v>
      </c>
      <c r="J1022" s="1">
        <f t="shared" si="317"/>
        <v>1.9888899332012933E-2</v>
      </c>
      <c r="K1022" s="1">
        <f t="shared" si="318"/>
        <v>1.2229882253597252E-2</v>
      </c>
      <c r="L1022" s="1">
        <f t="shared" si="319"/>
        <v>1.2126903191140376E-2</v>
      </c>
      <c r="M1022" s="1">
        <f t="shared" si="320"/>
        <v>2.6435477348543901E-2</v>
      </c>
      <c r="N1022" s="1">
        <f t="shared" si="321"/>
        <v>2.6445755442372432E-2</v>
      </c>
      <c r="O1022" s="1">
        <f t="shared" si="322"/>
        <v>2.637969907172294E-2</v>
      </c>
      <c r="P1022" s="1">
        <f t="shared" si="323"/>
        <v>2.6390300161491465E-2</v>
      </c>
      <c r="Q1022" s="1">
        <f t="shared" si="324"/>
        <v>0.40094241013045462</v>
      </c>
      <c r="T1022">
        <v>0.69367490015059685</v>
      </c>
      <c r="U1022">
        <f t="shared" si="331"/>
        <v>1.4415974973044288</v>
      </c>
      <c r="V1022" s="15">
        <f t="shared" si="325"/>
        <v>0</v>
      </c>
      <c r="W1022" s="15">
        <f t="shared" si="326"/>
        <v>0</v>
      </c>
      <c r="X1022" s="15">
        <f t="shared" si="327"/>
        <v>0</v>
      </c>
      <c r="Y1022" s="15">
        <f t="shared" si="328"/>
        <v>0</v>
      </c>
      <c r="Z1022" s="15">
        <f t="shared" si="329"/>
        <v>0</v>
      </c>
      <c r="AA1022" s="15">
        <f t="shared" si="330"/>
        <v>0</v>
      </c>
      <c r="AC1022" s="1"/>
      <c r="AD1022" s="1"/>
      <c r="AE1022" s="1"/>
    </row>
    <row r="1023" spans="1:31">
      <c r="A1023">
        <v>801</v>
      </c>
      <c r="B1023">
        <f t="shared" si="310"/>
        <v>0.94934377932344516</v>
      </c>
      <c r="C1023">
        <v>0.94933337794703754</v>
      </c>
      <c r="D1023">
        <f t="shared" si="311"/>
        <v>1.0533707370139356</v>
      </c>
      <c r="E1023" s="1">
        <f t="shared" si="312"/>
        <v>1.4074061681378452E-2</v>
      </c>
      <c r="F1023" s="1">
        <f t="shared" si="313"/>
        <v>1.632591155039903E-2</v>
      </c>
      <c r="G1023" s="1">
        <f t="shared" si="314"/>
        <v>5.0666622052962657E-3</v>
      </c>
      <c r="H1023" s="1">
        <f t="shared" si="315"/>
        <v>4.9096301270788872E-3</v>
      </c>
      <c r="I1023" s="1">
        <f t="shared" si="316"/>
        <v>1.8043575136301226E-2</v>
      </c>
      <c r="J1023" s="1">
        <f t="shared" si="317"/>
        <v>1.954817572106482E-2</v>
      </c>
      <c r="K1023" s="1">
        <f t="shared" si="318"/>
        <v>1.2020367912287833E-2</v>
      </c>
      <c r="L1023" s="1">
        <f t="shared" si="319"/>
        <v>1.1919153019754436E-2</v>
      </c>
      <c r="M1023" s="1">
        <f t="shared" si="320"/>
        <v>2.5982602046146719E-2</v>
      </c>
      <c r="N1023" s="1">
        <f t="shared" si="321"/>
        <v>2.5992704062396288E-2</v>
      </c>
      <c r="O1023" s="1">
        <f t="shared" si="322"/>
        <v>2.592777932627105E-2</v>
      </c>
      <c r="P1023" s="1">
        <f t="shared" si="323"/>
        <v>2.593819880510545E-2</v>
      </c>
      <c r="Q1023" s="1">
        <f t="shared" si="324"/>
        <v>0.39407372707859789</v>
      </c>
      <c r="T1023">
        <v>0.5080301856703523</v>
      </c>
      <c r="U1023">
        <f t="shared" si="331"/>
        <v>1.9683869742513178</v>
      </c>
      <c r="V1023" s="15">
        <f t="shared" si="325"/>
        <v>0</v>
      </c>
      <c r="W1023" s="15">
        <f t="shared" si="326"/>
        <v>0</v>
      </c>
      <c r="X1023" s="15">
        <f t="shared" si="327"/>
        <v>0</v>
      </c>
      <c r="Y1023" s="15">
        <f t="shared" si="328"/>
        <v>0</v>
      </c>
      <c r="Z1023" s="15">
        <f t="shared" si="329"/>
        <v>0</v>
      </c>
      <c r="AA1023" s="15">
        <f t="shared" si="330"/>
        <v>0</v>
      </c>
      <c r="AC1023" s="1"/>
      <c r="AD1023" s="1"/>
      <c r="AE1023" s="1"/>
    </row>
    <row r="1024" spans="1:31">
      <c r="A1024">
        <v>371</v>
      </c>
      <c r="B1024">
        <f t="shared" si="310"/>
        <v>0.94934451212074145</v>
      </c>
      <c r="C1024">
        <v>0.94936046172127819</v>
      </c>
      <c r="D1024">
        <f t="shared" si="311"/>
        <v>1.0533406859886578</v>
      </c>
      <c r="E1024" s="1">
        <f t="shared" si="312"/>
        <v>1.406653841075603E-2</v>
      </c>
      <c r="F1024" s="1">
        <f t="shared" si="313"/>
        <v>1.6317184556477016E-2</v>
      </c>
      <c r="G1024" s="1">
        <f t="shared" si="314"/>
        <v>5.0639538278721974E-3</v>
      </c>
      <c r="H1024" s="1">
        <f t="shared" si="315"/>
        <v>4.9070056909396864E-3</v>
      </c>
      <c r="I1024" s="1">
        <f t="shared" si="316"/>
        <v>1.8033929967634255E-2</v>
      </c>
      <c r="J1024" s="1">
        <f t="shared" si="317"/>
        <v>1.9537726270191791E-2</v>
      </c>
      <c r="K1024" s="1">
        <f t="shared" si="318"/>
        <v>1.2013942440890019E-2</v>
      </c>
      <c r="L1024" s="1">
        <f t="shared" si="319"/>
        <v>1.1912781652640397E-2</v>
      </c>
      <c r="M1024" s="1">
        <f t="shared" si="320"/>
        <v>2.5968713081390649E-2</v>
      </c>
      <c r="N1024" s="1">
        <f t="shared" si="321"/>
        <v>2.5978809697621119E-2</v>
      </c>
      <c r="O1024" s="1">
        <f t="shared" si="322"/>
        <v>2.5913919666925689E-2</v>
      </c>
      <c r="P1024" s="1">
        <f t="shared" si="323"/>
        <v>2.5924333576041791E-2</v>
      </c>
      <c r="Q1024" s="1">
        <f t="shared" si="324"/>
        <v>0.39386307550117028</v>
      </c>
      <c r="T1024">
        <v>0.11231532985741643</v>
      </c>
      <c r="U1024">
        <f t="shared" si="331"/>
        <v>8.9035041010830263</v>
      </c>
      <c r="V1024" s="15">
        <f t="shared" si="325"/>
        <v>8.9427608532328645E-2</v>
      </c>
      <c r="W1024" s="15">
        <f t="shared" si="326"/>
        <v>9.3054259755845109E-2</v>
      </c>
      <c r="X1024" s="15">
        <f t="shared" si="327"/>
        <v>0.10030756220287787</v>
      </c>
      <c r="Y1024" s="15">
        <f t="shared" si="328"/>
        <v>0.12751703300698852</v>
      </c>
      <c r="Z1024" s="15">
        <f t="shared" si="329"/>
        <v>0.13052696105232126</v>
      </c>
      <c r="AA1024" s="15">
        <f t="shared" si="330"/>
        <v>0.13654681714298655</v>
      </c>
      <c r="AC1024" s="1"/>
      <c r="AD1024" s="1"/>
      <c r="AE1024" s="1"/>
    </row>
    <row r="1025" spans="1:31">
      <c r="A1025">
        <v>405</v>
      </c>
      <c r="B1025">
        <f t="shared" si="310"/>
        <v>0.94952145977295621</v>
      </c>
      <c r="C1025">
        <v>0.95015323525625561</v>
      </c>
      <c r="D1025">
        <f t="shared" si="311"/>
        <v>1.0524618165724613</v>
      </c>
      <c r="E1025" s="1">
        <f t="shared" si="312"/>
        <v>1.3846323539928984E-2</v>
      </c>
      <c r="F1025" s="1">
        <f t="shared" si="313"/>
        <v>1.6061735306317659E-2</v>
      </c>
      <c r="G1025" s="1">
        <f t="shared" si="314"/>
        <v>4.9846764743744498E-3</v>
      </c>
      <c r="H1025" s="1">
        <f t="shared" si="315"/>
        <v>4.830185396363762E-3</v>
      </c>
      <c r="I1025" s="1">
        <f t="shared" si="316"/>
        <v>1.7751604676055022E-2</v>
      </c>
      <c r="J1025" s="1">
        <f t="shared" si="317"/>
        <v>1.923185870411348E-2</v>
      </c>
      <c r="K1025" s="1">
        <f t="shared" si="318"/>
        <v>1.1825861428668732E-2</v>
      </c>
      <c r="L1025" s="1">
        <f t="shared" si="319"/>
        <v>1.1726284335658615E-2</v>
      </c>
      <c r="M1025" s="1">
        <f t="shared" si="320"/>
        <v>2.5562166948307152E-2</v>
      </c>
      <c r="N1025" s="1">
        <f t="shared" si="321"/>
        <v>2.5572105499705011E-2</v>
      </c>
      <c r="O1025" s="1">
        <f t="shared" si="322"/>
        <v>2.5508231337257325E-2</v>
      </c>
      <c r="P1025" s="1">
        <f t="shared" si="323"/>
        <v>2.5518482214248295E-2</v>
      </c>
      <c r="Q1025" s="1">
        <f t="shared" si="324"/>
        <v>0.38769705911801289</v>
      </c>
      <c r="T1025">
        <v>0.10415052421035309</v>
      </c>
      <c r="U1025">
        <f t="shared" si="331"/>
        <v>9.6014879193531222</v>
      </c>
      <c r="V1025" s="15">
        <f t="shared" si="325"/>
        <v>9.0537877262484467E-2</v>
      </c>
      <c r="W1025" s="15">
        <f t="shared" si="326"/>
        <v>9.4099816481723206E-2</v>
      </c>
      <c r="X1025" s="15">
        <f t="shared" si="327"/>
        <v>0.10122369492020045</v>
      </c>
      <c r="Y1025" s="15">
        <f t="shared" si="328"/>
        <v>0.12915922841657146</v>
      </c>
      <c r="Z1025" s="15">
        <f t="shared" si="329"/>
        <v>0.13210154506349106</v>
      </c>
      <c r="AA1025" s="15">
        <f t="shared" si="330"/>
        <v>0.1379861783573301</v>
      </c>
      <c r="AC1025" s="1"/>
      <c r="AD1025" s="1"/>
      <c r="AE1025" s="1"/>
    </row>
    <row r="1026" spans="1:31">
      <c r="A1026">
        <v>494</v>
      </c>
      <c r="B1026">
        <f t="shared" si="310"/>
        <v>0.94961790843621086</v>
      </c>
      <c r="C1026">
        <v>0.95027501682968551</v>
      </c>
      <c r="D1026">
        <f t="shared" si="311"/>
        <v>1.0523269393487871</v>
      </c>
      <c r="E1026" s="1">
        <f t="shared" si="312"/>
        <v>1.3812495325087354E-2</v>
      </c>
      <c r="F1026" s="1">
        <f t="shared" si="313"/>
        <v>1.6022494577101309E-2</v>
      </c>
      <c r="G1026" s="1">
        <f t="shared" si="314"/>
        <v>4.9724983170314624E-3</v>
      </c>
      <c r="H1026" s="1">
        <f t="shared" si="315"/>
        <v>4.8183846790945117E-3</v>
      </c>
      <c r="I1026" s="1">
        <f t="shared" si="316"/>
        <v>1.7708235395030081E-2</v>
      </c>
      <c r="J1026" s="1">
        <f t="shared" si="317"/>
        <v>1.9184872986484525E-2</v>
      </c>
      <c r="K1026" s="1">
        <f t="shared" si="318"/>
        <v>1.1796969443013283E-2</v>
      </c>
      <c r="L1026" s="1">
        <f t="shared" si="319"/>
        <v>1.1697635628681868E-2</v>
      </c>
      <c r="M1026" s="1">
        <f t="shared" si="320"/>
        <v>2.549971553491559E-2</v>
      </c>
      <c r="N1026" s="1">
        <f t="shared" si="321"/>
        <v>2.5509629805250622E-2</v>
      </c>
      <c r="O1026" s="1">
        <f t="shared" si="322"/>
        <v>2.5445911694976953E-2</v>
      </c>
      <c r="P1026" s="1">
        <f t="shared" si="323"/>
        <v>2.5456137527856526E-2</v>
      </c>
      <c r="Q1026" s="1">
        <f t="shared" si="324"/>
        <v>0.38674986910244691</v>
      </c>
      <c r="T1026">
        <v>0.17696200532616302</v>
      </c>
      <c r="U1026">
        <f t="shared" si="331"/>
        <v>5.6509305382072013</v>
      </c>
      <c r="V1026" s="15">
        <f t="shared" si="325"/>
        <v>8.0636807454620624E-2</v>
      </c>
      <c r="W1026" s="15">
        <f t="shared" si="326"/>
        <v>8.477583045038864E-2</v>
      </c>
      <c r="X1026" s="15">
        <f t="shared" si="327"/>
        <v>9.3053876441924685E-2</v>
      </c>
      <c r="Y1026" s="15">
        <f t="shared" si="328"/>
        <v>0.11451458343395329</v>
      </c>
      <c r="Z1026" s="15">
        <f t="shared" si="329"/>
        <v>0.11805983985330232</v>
      </c>
      <c r="AA1026" s="15">
        <f t="shared" si="330"/>
        <v>0.12515035269200045</v>
      </c>
      <c r="AC1026" s="1"/>
      <c r="AD1026" s="1"/>
      <c r="AE1026" s="1"/>
    </row>
    <row r="1027" spans="1:31">
      <c r="A1027">
        <v>984</v>
      </c>
      <c r="B1027">
        <f t="shared" si="310"/>
        <v>0.95010067772778029</v>
      </c>
      <c r="C1027">
        <v>0.95088458882318971</v>
      </c>
      <c r="D1027">
        <f t="shared" si="311"/>
        <v>1.0516523369440609</v>
      </c>
      <c r="E1027" s="1">
        <f t="shared" si="312"/>
        <v>1.3643169771336172E-2</v>
      </c>
      <c r="F1027" s="1">
        <f t="shared" si="313"/>
        <v>1.5826076934749966E-2</v>
      </c>
      <c r="G1027" s="1">
        <f t="shared" si="314"/>
        <v>4.911541117681037E-3</v>
      </c>
      <c r="H1027" s="1">
        <f t="shared" si="315"/>
        <v>4.7593167384529789E-3</v>
      </c>
      <c r="I1027" s="1">
        <f t="shared" si="316"/>
        <v>1.7491152478898819E-2</v>
      </c>
      <c r="J1027" s="1">
        <f t="shared" si="317"/>
        <v>1.8949688165376732E-2</v>
      </c>
      <c r="K1027" s="1">
        <f t="shared" si="318"/>
        <v>1.1652351954535595E-2</v>
      </c>
      <c r="L1027" s="1">
        <f t="shared" si="319"/>
        <v>1.1554235860299078E-2</v>
      </c>
      <c r="M1027" s="1">
        <f t="shared" si="320"/>
        <v>2.5187117894024114E-2</v>
      </c>
      <c r="N1027" s="1">
        <f t="shared" si="321"/>
        <v>2.5196910626630098E-2</v>
      </c>
      <c r="O1027" s="1">
        <f t="shared" si="322"/>
        <v>2.5133973628244766E-2</v>
      </c>
      <c r="P1027" s="1">
        <f t="shared" si="323"/>
        <v>2.5144074103991221E-2</v>
      </c>
      <c r="Q1027" s="1">
        <f t="shared" si="324"/>
        <v>0.38200875359741371</v>
      </c>
      <c r="T1027">
        <v>2.1071281414063225E-2</v>
      </c>
      <c r="U1027">
        <f t="shared" si="331"/>
        <v>47.457958552657743</v>
      </c>
      <c r="V1027" s="15">
        <f t="shared" si="325"/>
        <v>0.10304197639427203</v>
      </c>
      <c r="W1027" s="15">
        <f t="shared" si="326"/>
        <v>0.1057753682453844</v>
      </c>
      <c r="X1027" s="15">
        <f t="shared" si="327"/>
        <v>0.11124215194760896</v>
      </c>
      <c r="Y1027" s="15">
        <f t="shared" si="328"/>
        <v>0.14763297309330198</v>
      </c>
      <c r="Z1027" s="15">
        <f t="shared" si="329"/>
        <v>0.14970192057754048</v>
      </c>
      <c r="AA1027" s="15">
        <f t="shared" si="330"/>
        <v>0.15383981554601778</v>
      </c>
      <c r="AC1027" s="1"/>
      <c r="AD1027" s="1"/>
      <c r="AE1027" s="1"/>
    </row>
    <row r="1028" spans="1:31">
      <c r="A1028">
        <v>255</v>
      </c>
      <c r="B1028">
        <f t="shared" si="310"/>
        <v>0.95060960632524749</v>
      </c>
      <c r="C1028">
        <v>0.95250139389408672</v>
      </c>
      <c r="D1028">
        <f t="shared" si="311"/>
        <v>1.0498672300223373</v>
      </c>
      <c r="E1028" s="1">
        <f t="shared" si="312"/>
        <v>1.3194057251642549E-2</v>
      </c>
      <c r="F1028" s="1">
        <f t="shared" si="313"/>
        <v>1.5305106411905411E-2</v>
      </c>
      <c r="G1028" s="1">
        <f t="shared" si="314"/>
        <v>4.749860610591336E-3</v>
      </c>
      <c r="H1028" s="1">
        <f t="shared" si="315"/>
        <v>4.6026472277563291E-3</v>
      </c>
      <c r="I1028" s="1">
        <f t="shared" si="316"/>
        <v>1.6915370186821266E-2</v>
      </c>
      <c r="J1028" s="1">
        <f t="shared" si="317"/>
        <v>1.8325893083881772E-2</v>
      </c>
      <c r="K1028" s="1">
        <f t="shared" si="318"/>
        <v>1.1268774147151495E-2</v>
      </c>
      <c r="L1028" s="1">
        <f t="shared" si="319"/>
        <v>1.1173887886380629E-2</v>
      </c>
      <c r="M1028" s="1">
        <f t="shared" si="320"/>
        <v>2.4357996057178588E-2</v>
      </c>
      <c r="N1028" s="1">
        <f t="shared" si="321"/>
        <v>2.4367466427834328E-2</v>
      </c>
      <c r="O1028" s="1">
        <f t="shared" si="322"/>
        <v>2.430660122027184E-2</v>
      </c>
      <c r="P1028" s="1">
        <f t="shared" si="323"/>
        <v>2.4316369203629173E-2</v>
      </c>
      <c r="Q1028" s="1">
        <f t="shared" si="324"/>
        <v>0.3694336030459926</v>
      </c>
      <c r="T1028">
        <v>0.65450654520196916</v>
      </c>
      <c r="U1028">
        <f t="shared" si="331"/>
        <v>1.5278686016675627</v>
      </c>
      <c r="V1028" s="15">
        <f t="shared" si="325"/>
        <v>0</v>
      </c>
      <c r="W1028" s="15">
        <f t="shared" si="326"/>
        <v>0</v>
      </c>
      <c r="X1028" s="15">
        <f t="shared" si="327"/>
        <v>0</v>
      </c>
      <c r="Y1028" s="15">
        <f t="shared" si="328"/>
        <v>0</v>
      </c>
      <c r="Z1028" s="15">
        <f t="shared" si="329"/>
        <v>0</v>
      </c>
      <c r="AA1028" s="15">
        <f t="shared" si="330"/>
        <v>0</v>
      </c>
      <c r="AC1028" s="1"/>
      <c r="AD1028" s="1"/>
      <c r="AE1028" s="1"/>
    </row>
    <row r="1029" spans="1:31">
      <c r="A1029">
        <v>204</v>
      </c>
      <c r="B1029">
        <f t="shared" si="310"/>
        <v>0.95148029697632486</v>
      </c>
      <c r="C1029">
        <v>0.9533217694963485</v>
      </c>
      <c r="D1029">
        <f t="shared" si="311"/>
        <v>1.0489637727755994</v>
      </c>
      <c r="E1029" s="1">
        <f t="shared" si="312"/>
        <v>1.2966175139903169E-2</v>
      </c>
      <c r="F1029" s="1">
        <f t="shared" si="313"/>
        <v>1.5040763162287696E-2</v>
      </c>
      <c r="G1029" s="1">
        <f t="shared" si="314"/>
        <v>4.667823050365158E-3</v>
      </c>
      <c r="H1029" s="1">
        <f t="shared" si="315"/>
        <v>4.5231522740928481E-3</v>
      </c>
      <c r="I1029" s="1">
        <f t="shared" si="316"/>
        <v>1.6623215150238679E-2</v>
      </c>
      <c r="J1029" s="1">
        <f t="shared" si="317"/>
        <v>1.8009376099316965E-2</v>
      </c>
      <c r="K1029" s="1">
        <f t="shared" si="318"/>
        <v>1.1074144701455596E-2</v>
      </c>
      <c r="L1029" s="1">
        <f t="shared" si="319"/>
        <v>1.0980897275583434E-2</v>
      </c>
      <c r="M1029" s="1">
        <f t="shared" si="320"/>
        <v>2.3937295170909645E-2</v>
      </c>
      <c r="N1029" s="1">
        <f t="shared" si="321"/>
        <v>2.3946601973375337E-2</v>
      </c>
      <c r="O1029" s="1">
        <f t="shared" si="322"/>
        <v>2.3886788003636528E-2</v>
      </c>
      <c r="P1029" s="1">
        <f t="shared" si="323"/>
        <v>2.3896387278564579E-2</v>
      </c>
      <c r="Q1029" s="1">
        <f t="shared" si="324"/>
        <v>0.36305290391729006</v>
      </c>
      <c r="T1029">
        <v>0.80339295553814849</v>
      </c>
      <c r="U1029">
        <f t="shared" si="331"/>
        <v>1.2447208966752208</v>
      </c>
      <c r="V1029" s="15">
        <f t="shared" si="325"/>
        <v>0</v>
      </c>
      <c r="W1029" s="15">
        <f t="shared" si="326"/>
        <v>0</v>
      </c>
      <c r="X1029" s="15">
        <f t="shared" si="327"/>
        <v>0</v>
      </c>
      <c r="Y1029" s="15">
        <f t="shared" si="328"/>
        <v>0</v>
      </c>
      <c r="Z1029" s="15">
        <f t="shared" si="329"/>
        <v>0</v>
      </c>
      <c r="AA1029" s="15">
        <f t="shared" si="330"/>
        <v>0</v>
      </c>
      <c r="AC1029" s="1"/>
      <c r="AD1029" s="1"/>
      <c r="AE1029" s="1"/>
    </row>
    <row r="1030" spans="1:31">
      <c r="A1030">
        <v>617</v>
      </c>
      <c r="B1030">
        <f t="shared" si="310"/>
        <v>0.95203416953392439</v>
      </c>
      <c r="C1030">
        <v>0.95366468466563148</v>
      </c>
      <c r="D1030">
        <f t="shared" si="311"/>
        <v>1.0485865903177638</v>
      </c>
      <c r="E1030" s="1">
        <f t="shared" si="312"/>
        <v>1.2870920926213475E-2</v>
      </c>
      <c r="F1030" s="1">
        <f t="shared" si="313"/>
        <v>1.4930268274407632E-2</v>
      </c>
      <c r="G1030" s="1">
        <f t="shared" si="314"/>
        <v>4.6335315334368604E-3</v>
      </c>
      <c r="H1030" s="1">
        <f t="shared" si="315"/>
        <v>4.4899235610283833E-3</v>
      </c>
      <c r="I1030" s="1">
        <f t="shared" si="316"/>
        <v>1.6501094997530108E-2</v>
      </c>
      <c r="J1030" s="1">
        <f t="shared" si="317"/>
        <v>1.7877072706768804E-2</v>
      </c>
      <c r="K1030" s="1">
        <f t="shared" si="318"/>
        <v>1.0992790027896021E-2</v>
      </c>
      <c r="L1030" s="1">
        <f t="shared" si="319"/>
        <v>1.0900227631350873E-2</v>
      </c>
      <c r="M1030" s="1">
        <f t="shared" si="320"/>
        <v>2.3761443140163374E-2</v>
      </c>
      <c r="N1030" s="1">
        <f t="shared" si="321"/>
        <v>2.3770681571490981E-2</v>
      </c>
      <c r="O1030" s="1">
        <f t="shared" si="322"/>
        <v>2.3711307016814342E-2</v>
      </c>
      <c r="P1030" s="1">
        <f t="shared" si="323"/>
        <v>2.3720835771995796E-2</v>
      </c>
      <c r="Q1030" s="1">
        <f t="shared" si="324"/>
        <v>0.3603857859339783</v>
      </c>
      <c r="T1030">
        <v>0.32159913762337133</v>
      </c>
      <c r="U1030">
        <f t="shared" si="331"/>
        <v>3.1094610743985021</v>
      </c>
      <c r="V1030" s="15">
        <f t="shared" si="325"/>
        <v>6.9549208239448795E-2</v>
      </c>
      <c r="W1030" s="15">
        <f t="shared" si="326"/>
        <v>7.4187817091450975E-2</v>
      </c>
      <c r="X1030" s="15">
        <f t="shared" si="327"/>
        <v>8.3465034795455292E-2</v>
      </c>
      <c r="Y1030" s="15">
        <f t="shared" si="328"/>
        <v>9.8107429415365405E-2</v>
      </c>
      <c r="Z1030" s="15">
        <f t="shared" si="329"/>
        <v>0.10216019014413961</v>
      </c>
      <c r="AA1030" s="15">
        <f t="shared" si="330"/>
        <v>0.11026571160168809</v>
      </c>
      <c r="AC1030" s="1"/>
      <c r="AD1030" s="1"/>
      <c r="AE1030" s="1"/>
    </row>
    <row r="1031" spans="1:31">
      <c r="A1031">
        <v>747</v>
      </c>
      <c r="B1031">
        <f t="shared" si="310"/>
        <v>0.95338328640677206</v>
      </c>
      <c r="C1031">
        <v>0.95513452848925273</v>
      </c>
      <c r="D1031">
        <f t="shared" si="311"/>
        <v>1.0469729343590075</v>
      </c>
      <c r="E1031" s="1">
        <f t="shared" si="312"/>
        <v>1.2462630975207556E-2</v>
      </c>
      <c r="F1031" s="1">
        <f t="shared" si="313"/>
        <v>1.4456651931240794E-2</v>
      </c>
      <c r="G1031" s="1">
        <f t="shared" si="314"/>
        <v>4.4865471510747434E-3</v>
      </c>
      <c r="H1031" s="1">
        <f t="shared" si="315"/>
        <v>4.347494695117235E-3</v>
      </c>
      <c r="I1031" s="1">
        <f t="shared" si="316"/>
        <v>1.5977649060234078E-2</v>
      </c>
      <c r="J1031" s="1">
        <f t="shared" si="317"/>
        <v>1.7309978154528172E-2</v>
      </c>
      <c r="K1031" s="1">
        <f t="shared" si="318"/>
        <v>1.064407794057623E-2</v>
      </c>
      <c r="L1031" s="1">
        <f t="shared" si="319"/>
        <v>1.0554451798287234E-2</v>
      </c>
      <c r="M1031" s="1">
        <f t="shared" si="320"/>
        <v>2.3007685230287012E-2</v>
      </c>
      <c r="N1031" s="1">
        <f t="shared" si="321"/>
        <v>2.3016630601102817E-2</v>
      </c>
      <c r="O1031" s="1">
        <f t="shared" si="322"/>
        <v>2.295913951957923E-2</v>
      </c>
      <c r="P1031" s="1">
        <f t="shared" si="323"/>
        <v>2.2968366004627205E-2</v>
      </c>
      <c r="Q1031" s="1">
        <f t="shared" si="324"/>
        <v>0.34895366730581312</v>
      </c>
      <c r="T1031">
        <v>0.8165563843995497</v>
      </c>
      <c r="U1031">
        <f t="shared" si="331"/>
        <v>1.2246551727537403</v>
      </c>
      <c r="V1031" s="15">
        <f t="shared" si="325"/>
        <v>0</v>
      </c>
      <c r="W1031" s="15">
        <f t="shared" si="326"/>
        <v>0</v>
      </c>
      <c r="X1031" s="15">
        <f t="shared" si="327"/>
        <v>0</v>
      </c>
      <c r="Y1031" s="15">
        <f t="shared" si="328"/>
        <v>0</v>
      </c>
      <c r="Z1031" s="15">
        <f t="shared" si="329"/>
        <v>0</v>
      </c>
      <c r="AA1031" s="15">
        <f t="shared" si="330"/>
        <v>0</v>
      </c>
      <c r="AC1031" s="1"/>
      <c r="AD1031" s="1"/>
      <c r="AE1031" s="1"/>
    </row>
    <row r="1032" spans="1:31">
      <c r="A1032">
        <v>844</v>
      </c>
      <c r="B1032">
        <f t="shared" si="310"/>
        <v>0.95451211321668661</v>
      </c>
      <c r="C1032">
        <v>0.9565330763372174</v>
      </c>
      <c r="D1032">
        <f t="shared" si="311"/>
        <v>1.0454421543154861</v>
      </c>
      <c r="E1032" s="1">
        <f t="shared" si="312"/>
        <v>1.2074145461884039E-2</v>
      </c>
      <c r="F1032" s="1">
        <f t="shared" si="313"/>
        <v>1.4006008735785502E-2</v>
      </c>
      <c r="G1032" s="1">
        <f t="shared" si="314"/>
        <v>4.3466923662782708E-3</v>
      </c>
      <c r="H1032" s="1">
        <f t="shared" si="315"/>
        <v>4.2119744577240464E-3</v>
      </c>
      <c r="I1032" s="1">
        <f t="shared" si="316"/>
        <v>1.5479593295827987E-2</v>
      </c>
      <c r="J1032" s="1">
        <f t="shared" si="317"/>
        <v>1.6770390986910189E-2</v>
      </c>
      <c r="K1032" s="1">
        <f t="shared" si="318"/>
        <v>1.031228041798038E-2</v>
      </c>
      <c r="L1032" s="1">
        <f t="shared" si="319"/>
        <v>1.0225448104535684E-2</v>
      </c>
      <c r="M1032" s="1">
        <f t="shared" si="320"/>
        <v>2.2290488963715771E-2</v>
      </c>
      <c r="N1032" s="1">
        <f t="shared" si="321"/>
        <v>2.2299155489159339E-2</v>
      </c>
      <c r="O1032" s="1">
        <f t="shared" si="322"/>
        <v>2.2243456521384597E-2</v>
      </c>
      <c r="P1032" s="1">
        <f t="shared" si="323"/>
        <v>2.2252395398158875E-2</v>
      </c>
      <c r="Q1032" s="1">
        <f t="shared" si="324"/>
        <v>0.3380760729327541</v>
      </c>
      <c r="T1032">
        <v>0.35006863627021112</v>
      </c>
      <c r="U1032">
        <f t="shared" si="331"/>
        <v>2.8565826709140536</v>
      </c>
      <c r="V1032" s="15">
        <f t="shared" si="325"/>
        <v>6.7686774602067484E-2</v>
      </c>
      <c r="W1032" s="15">
        <f t="shared" si="326"/>
        <v>7.2399599713036333E-2</v>
      </c>
      <c r="X1032" s="15">
        <f t="shared" si="327"/>
        <v>8.1825249934973962E-2</v>
      </c>
      <c r="Y1032" s="15">
        <f t="shared" si="328"/>
        <v>9.5350949124274109E-2</v>
      </c>
      <c r="Z1032" s="15">
        <f t="shared" si="329"/>
        <v>9.9477864644412675E-2</v>
      </c>
      <c r="AA1032" s="15">
        <f t="shared" si="330"/>
        <v>0.10773169568468985</v>
      </c>
      <c r="AC1032" s="1"/>
      <c r="AD1032" s="1"/>
      <c r="AE1032" s="1"/>
    </row>
    <row r="1033" spans="1:31">
      <c r="A1033">
        <v>678</v>
      </c>
      <c r="B1033">
        <f t="shared" si="310"/>
        <v>0.95551362342823387</v>
      </c>
      <c r="C1033">
        <v>0.95722829155158429</v>
      </c>
      <c r="D1033">
        <f t="shared" si="311"/>
        <v>1.0446828711874849</v>
      </c>
      <c r="E1033" s="1">
        <f t="shared" si="312"/>
        <v>1.1881030124559905E-2</v>
      </c>
      <c r="F1033" s="1">
        <f t="shared" si="313"/>
        <v>1.3781994944489506E-2</v>
      </c>
      <c r="G1033" s="1">
        <f t="shared" si="314"/>
        <v>4.2771708448415824E-3</v>
      </c>
      <c r="H1033" s="1">
        <f t="shared" si="315"/>
        <v>4.1446076307488505E-3</v>
      </c>
      <c r="I1033" s="1">
        <f t="shared" si="316"/>
        <v>1.5232010815527275E-2</v>
      </c>
      <c r="J1033" s="1">
        <f t="shared" si="317"/>
        <v>1.6502163332810904E-2</v>
      </c>
      <c r="K1033" s="1">
        <f t="shared" si="318"/>
        <v>1.014734456245453E-2</v>
      </c>
      <c r="L1033" s="1">
        <f t="shared" si="319"/>
        <v>1.0061901055493427E-2</v>
      </c>
      <c r="M1033" s="1">
        <f t="shared" si="320"/>
        <v>2.193397219746207E-2</v>
      </c>
      <c r="N1033" s="1">
        <f t="shared" si="321"/>
        <v>2.1942500109453422E-2</v>
      </c>
      <c r="O1033" s="1">
        <f t="shared" si="322"/>
        <v>2.1887691997680425E-2</v>
      </c>
      <c r="P1033" s="1">
        <f t="shared" si="323"/>
        <v>2.1896487904982553E-2</v>
      </c>
      <c r="Q1033" s="1">
        <f t="shared" si="324"/>
        <v>0.33266884348767878</v>
      </c>
      <c r="T1033">
        <v>0.31237410810446342</v>
      </c>
      <c r="U1033">
        <f t="shared" si="331"/>
        <v>3.2012896525520684</v>
      </c>
      <c r="V1033" s="15">
        <f t="shared" si="325"/>
        <v>7.0152696396896808E-2</v>
      </c>
      <c r="W1033" s="15">
        <f t="shared" si="326"/>
        <v>7.4767256803640297E-2</v>
      </c>
      <c r="X1033" s="15">
        <f t="shared" si="327"/>
        <v>8.3996377617127277E-2</v>
      </c>
      <c r="Y1033" s="15">
        <f t="shared" si="328"/>
        <v>9.9000617327419757E-2</v>
      </c>
      <c r="Z1033" s="15">
        <f t="shared" si="329"/>
        <v>0.10302934952840742</v>
      </c>
      <c r="AA1033" s="15">
        <f t="shared" si="330"/>
        <v>0.11108681393038281</v>
      </c>
      <c r="AC1033" s="1"/>
      <c r="AD1033" s="1"/>
      <c r="AE1033" s="1"/>
    </row>
    <row r="1034" spans="1:31">
      <c r="A1034">
        <v>766</v>
      </c>
      <c r="B1034">
        <f t="shared" si="310"/>
        <v>0.95553655323143594</v>
      </c>
      <c r="C1034">
        <v>0.95724470340048284</v>
      </c>
      <c r="D1034">
        <f t="shared" si="311"/>
        <v>1.0446649602213882</v>
      </c>
      <c r="E1034" s="1">
        <f t="shared" si="312"/>
        <v>1.187647127764363E-2</v>
      </c>
      <c r="F1034" s="1">
        <f t="shared" si="313"/>
        <v>1.3776706682066653E-2</v>
      </c>
      <c r="G1034" s="1">
        <f t="shared" si="314"/>
        <v>4.2755296599517323E-3</v>
      </c>
      <c r="H1034" s="1">
        <f t="shared" si="315"/>
        <v>4.1430173114315461E-3</v>
      </c>
      <c r="I1034" s="1">
        <f t="shared" si="316"/>
        <v>1.5226166170340227E-2</v>
      </c>
      <c r="J1034" s="1">
        <f t="shared" si="317"/>
        <v>1.6495831319876586E-2</v>
      </c>
      <c r="K1034" s="1">
        <f t="shared" si="318"/>
        <v>1.0143450944646831E-2</v>
      </c>
      <c r="L1034" s="1">
        <f t="shared" si="319"/>
        <v>1.0058040223047293E-2</v>
      </c>
      <c r="M1034" s="1">
        <f t="shared" si="320"/>
        <v>2.1925555955733367E-2</v>
      </c>
      <c r="N1034" s="1">
        <f t="shared" si="321"/>
        <v>2.1934080595496286E-2</v>
      </c>
      <c r="O1034" s="1">
        <f t="shared" si="322"/>
        <v>2.1879293514037002E-2</v>
      </c>
      <c r="P1034" s="1">
        <f t="shared" si="323"/>
        <v>2.1888086046278732E-2</v>
      </c>
      <c r="Q1034" s="1">
        <f t="shared" si="324"/>
        <v>0.33254119577402275</v>
      </c>
      <c r="T1034">
        <v>0.72003535533593055</v>
      </c>
      <c r="U1034">
        <f t="shared" si="331"/>
        <v>1.388820691358208</v>
      </c>
      <c r="V1034" s="15">
        <f t="shared" si="325"/>
        <v>0</v>
      </c>
      <c r="W1034" s="15">
        <f t="shared" si="326"/>
        <v>0</v>
      </c>
      <c r="X1034" s="15">
        <f t="shared" si="327"/>
        <v>0</v>
      </c>
      <c r="Y1034" s="15">
        <f t="shared" si="328"/>
        <v>0</v>
      </c>
      <c r="Z1034" s="15">
        <f t="shared" si="329"/>
        <v>0</v>
      </c>
      <c r="AA1034" s="15">
        <f t="shared" si="330"/>
        <v>0</v>
      </c>
      <c r="AC1034" s="1"/>
      <c r="AD1034" s="1"/>
      <c r="AE1034" s="1"/>
    </row>
    <row r="1035" spans="1:31">
      <c r="A1035">
        <v>74</v>
      </c>
      <c r="B1035">
        <f t="shared" ref="B1035:B1074" si="332">PERCENTILE($C$75:$C$1074,$C1035)</f>
        <v>0.95583499953906337</v>
      </c>
      <c r="C1035">
        <v>0.95745831429203354</v>
      </c>
      <c r="D1035">
        <f t="shared" ref="D1035:D1074" si="333">1/C1035</f>
        <v>1.0444318933502841</v>
      </c>
      <c r="E1035" s="1">
        <f t="shared" ref="E1035:E1074" si="334">IF($C1035&lt;=0.005,$F$14,IF($C1035&lt;=0.01,$F$14+($C1035-0.005)*SLOPE($E$14:$F$14,$E$11:$F$11),IF($C1035&lt;=0.04,$E$14+($C1035-0.01)*SLOPE($D$14:$E$14,$D$11:$E$11),IF($C1035&lt;=0.1,$D$14+($C1035-0.04)*SLOPE($C$14:$D$14,$C$11:$D$11),IF($C1035&lt;=1,$C$14+($C1035-0.1)*SLOPE($B$14:$C$14,$B$11:$C$11),)))))</f>
        <v>1.1817134918879563E-2</v>
      </c>
      <c r="F1035" s="1">
        <f t="shared" ref="F1035:F1074" si="335">IF($C1035&lt;=0.005,$F$27,IF($C1035&lt;=0.01,$F$27+($C1035-0.005)*SLOPE($E$27:$F$27,$E$24:$F$24),IF($C1035&lt;=0.04,$E$27+($C1035-0.01)*SLOPE($D$27:$E$27,$D$24:$E$24),IF($C1035&lt;=0.1,$D$27+($C1035-0.04)*SLOPE($C$27:$D$27,$C$24:$D$24),IF($C1035&lt;=1,$C$27+($C1035-0.1)*SLOPE($B$27:$C$27,$B$24:$C$24),)))))</f>
        <v>1.3707876505900329E-2</v>
      </c>
      <c r="G1035" s="1">
        <f t="shared" ref="G1035:G1074" si="336">IF($C1035&lt;=0.005,$F$15,IF($C1035&lt;=0.01,$F$15+($C1035-0.005)*SLOPE($E$15:$F$15,$E$11:$F$11),IF($C1035&lt;=0.04,$E$15+($C1035-0.01)*SLOPE($D$15:$E$15,$D$11:$E$11),IF($C1035&lt;=0.1,$D$15+($C1035-0.04)*SLOPE($C$15:$D$15,$C$11:$D$11),IF($C1035&lt;=1,$C$15+($C1035-0.1)*SLOPE($B$15:$C$15,$B$11:$C$11),)))))</f>
        <v>4.2541685707966626E-3</v>
      </c>
      <c r="H1035" s="1">
        <f t="shared" ref="H1035:H1074" si="337">IF($C1035&lt;=0.005,$F$28,IF($C1035&lt;=0.01,$F$28+($C1035-0.005)*SLOPE($E$28:$F$28,$E$24:$F$24),IF($C1035&lt;=0.04,$E$28+($C1035-0.01)*SLOPE($D$28:$E$28,$D$24:$E$24),IF($C1035&lt;=0.1,$D$28+($C1035-0.04)*SLOPE($C$28:$D$28,$C$24:$D$24),IF($C1035&lt;=1,$C$28+($C1035-0.1)*SLOPE($B$28:$C$28,$B$24:$C$24),)))))</f>
        <v>4.1223182707981892E-3</v>
      </c>
      <c r="I1035" s="1">
        <f t="shared" ref="I1035:I1074" si="338">IF($C1035&lt;=0.005,$F$16,IF($C1035&lt;=0.01,$F$16+($C1035-0.005)*SLOPE($E$16:$F$16,$E$11:$F$11),IF($C1035&lt;=0.04,$E$16+($C1035-0.01)*SLOPE($D$16:$E$16,$D$11:$E$11),IF($C1035&lt;=0.1,$D$16+($C1035-0.04)*SLOPE($C$16:$D$16,$C$11:$D$11),IF($C1035&lt;=1,$C$16+($C1035-0.1)*SLOPE($B$16:$C$16,$B$11:$C$11),)))))</f>
        <v>1.5150094310495354E-2</v>
      </c>
      <c r="J1035" s="1">
        <f t="shared" ref="J1035:J1074" si="339">IF($C1035&lt;=0.005,$F$29,IF($C1035&lt;=0.01,$F$29+($C1035-0.005)*SLOPE($E$29:$F$29,$E$24:$F$24),IF($C1035&lt;=0.04,$E$29+($C1035-0.01)*SLOPE($D$29:$E$29,$D$24:$E$24),IF($C1035&lt;=0.1,$D$29+($C1035-0.04)*SLOPE($C$29:$D$29,$C$24:$D$24),IF($C1035&lt;=1,$C$29+($C1035-0.1)*SLOPE($B$29:$C$29,$B$24:$C$24),)))))</f>
        <v>1.6413416051702545E-2</v>
      </c>
      <c r="K1035" s="1">
        <f t="shared" ref="K1035:K1074" si="340">IF($C1035&lt;=0.005,$F$17,IF($C1035&lt;=0.01,$F$17+($C1035-0.005)*SLOPE($E$17:$F$17,$E$11:$F$11),IF($C1035&lt;=0.04,$E$17+($C1035-0.01)*SLOPE($D$17:$E$17,$D$11:$E$11),IF($C1035&lt;=0.1,$D$17+($C1035-0.04)*SLOPE($C$17:$D$17,$C$11:$D$11),IF($C1035&lt;=1,$C$17+($C1035-0.1)*SLOPE($B$17:$C$17,$B$11:$C$11),)))))</f>
        <v>1.0092772975552555E-2</v>
      </c>
      <c r="L1035" s="1">
        <f t="shared" ref="L1035:L1074" si="341">IF($C1035&lt;=0.005,$F$30,IF($C1035&lt;=0.01,$F$30+($C1035-0.005)*SLOPE($E$30:$F$30,$E$24:$F$24),IF($C1035&lt;=0.04,$E$30+($C1035-0.01)*SLOPE($D$30:$E$30,$D$24:$E$24),IF($C1035&lt;=0.1,$D$30+($C1035-0.04)*SLOPE($C$30:$D$30,$C$24:$D$24),IF($C1035&lt;=1,$C$30+($C1035-0.1)*SLOPE($B$30:$C$30,$B$24:$C$24),)))))</f>
        <v>1.0007788976764909E-2</v>
      </c>
      <c r="M1035" s="1">
        <f t="shared" ref="M1035:M1074" si="342">IF($C1035&lt;=0.005,$F$18,IF($C1035&lt;=0.01,$F$18+($C1035-0.005)*SLOPE($E$18:$F$18,$E$11:$F$11),IF($C1035&lt;=0.04,$E$18+($C1035-0.01)*SLOPE($D$18:$E$18,$D$11:$E$11),IF($C1035&lt;=0.1,$D$18+($C1035-0.04)*SLOPE($C$18:$D$18,$C$11:$D$11),IF($C1035&lt;=1,$C$18+($C1035-0.1)*SLOPE($B$18:$C$18,$B$11:$C$11),)))))</f>
        <v>2.1816013093726883E-2</v>
      </c>
      <c r="N1035" s="1">
        <f t="shared" ref="N1035:N1074" si="343">IF($C1035&lt;=0.005,$F$31,IF($C1035&lt;=0.01,$F$31+($C1035-0.005)*SLOPE($E$31:$F$31,$E$24:$F$24),IF($C1035&lt;=0.04,$E$31+($C1035-0.01)*SLOPE($D$31:$E$31,$D$24:$E$24),IF($C1035&lt;=0.1,$D$31+($C1035-0.04)*SLOPE($C$31:$D$31,$C$24:$D$24),IF($C1035&lt;=1,$C$31+($C1035-0.1)*SLOPE($B$31:$C$31,$B$24:$C$24),)))))</f>
        <v>2.1824495143306921E-2</v>
      </c>
      <c r="O1035" s="1">
        <f t="shared" ref="O1035:O1074" si="344">IF($C1035&lt;=0.005,$F$19,IF($C1035&lt;=0.01,$F$19+($C1035-0.005)*SLOPE($E$19:$F$19,$E$11:$F$11),IF($C1035&lt;=0.04,$E$19+($C1035-0.01)*SLOPE($D$19:$E$19,$D$11:$E$11),IF($C1035&lt;=0.1,$D$19+($C1035-0.04)*SLOPE($C$19:$D$19,$C$11:$D$11),IF($C1035&lt;=1,$C$19+($C1035-0.1)*SLOPE($B$19:$C$19,$B$11:$C$11),)))))</f>
        <v>2.1769981785064341E-2</v>
      </c>
      <c r="P1035" s="1">
        <f t="shared" ref="P1035:P1074" si="345">IF($C1035&lt;=0.005,$F$32,IF($C1035&lt;=0.01,$F$32+($C1035-0.005)*SLOPE($E$32:$F$32,$E$24:$F$24),IF($C1035&lt;=0.04,$E$32+($C1035-0.01)*SLOPE($D$32:$E$32,$D$24:$E$24),IF($C1035&lt;=0.1,$D$32+($C1035-0.04)*SLOPE($C$32:$D$32,$C$24:$D$24),IF($C1035&lt;=1,$C$32+($C1035-0.1)*SLOPE($B$32:$C$32,$B$24:$C$24),)))))</f>
        <v>2.1778730388698375E-2</v>
      </c>
      <c r="Q1035" s="1">
        <f t="shared" ref="Q1035:Q1074" si="346">IF($C1035&lt;=0.005,$F$20,IF($C1035&lt;=0.01,$F$20+($C1035-0.005)*SLOPE($E$20:$F$20,$E$11:$F$11),IF($C1035&lt;=0.04,$E$20+($C1035-0.01)*SLOPE($D$20:$E$20,$D$11:$E$11),IF($C1035&lt;=0.1,$D$20+($C1035-0.04)*SLOPE($C$20:$D$20,$C$11:$D$11),IF($C1035&lt;=1,$C$20+($C1035-0.1)*SLOPE($B$20:$C$20,$B$11:$C$11),)))))</f>
        <v>0.33087977772862853</v>
      </c>
      <c r="T1035">
        <v>0.63277566189022283</v>
      </c>
      <c r="U1035">
        <f t="shared" si="331"/>
        <v>1.5803389103379977</v>
      </c>
      <c r="V1035" s="15">
        <f t="shared" ref="V1035:V1074" si="347">IF($T1035&lt;=0.05,$F$63,IF($T1035&lt;=0.07,$F$63+($T1035-0.05)*SLOPE($E$63:$F$63,$E$62:$F$62),IF($T1035&lt;=0.1,$E$63+($T1035-0.07)*SLOPE($D$63:$E$63,$D$62:$E$62),IF($T1035&lt;=0.2,$D$63+($T1035-0.1)*SLOPE($C$63:$D$63,$C$62:$D$62),IF($T1035&lt;=0.5,$C$63+($T1035-0.2)*SLOPE($B$63:$C$63,$B$62:$C$62),)))))</f>
        <v>0</v>
      </c>
      <c r="W1035" s="15">
        <f t="shared" ref="W1035:W1074" si="348">IF($T1035&lt;=0.05,$F$64,IF($T1035&lt;=0.07,$F$64+($T1035-0.05)*SLOPE($E$64:$F$64,$E$62:$F$62),IF($T1035&lt;=0.1,$E$64+($T1035-0.07)*SLOPE($D$64:$E$64,$D$62:$E$62),IF($T1035&lt;=0.2,$D$64+($T1035-0.1)*SLOPE($C$64:$D$64,$C$62:$D$62),IF($T1035&lt;=0.5,$C$64+($T1035-0.2)*SLOPE($B$64:$C$64,$B$62:$C$62),)))))</f>
        <v>0</v>
      </c>
      <c r="X1035" s="15">
        <f t="shared" ref="X1035:X1074" si="349">IF($T1035&lt;=0.05,$F$65,IF($T1035&lt;=0.07,$F$65+($T1035-0.05)*SLOPE($E$65:$F$65,$E$62:$F$62),IF($T1035&lt;=0.1,$E$65+($T1035-0.07)*SLOPE($D$65:$E$65,$D$62:$E$62),IF($T1035&lt;=0.2,$D$65+($T1035-0.1)*SLOPE($C$65:$D$65,$C$62:$D$62),IF($T1035&lt;=0.5,$C$65+($T1035-0.2)*SLOPE($B$65:$C$65,$B$62:$C$62),)))))</f>
        <v>0</v>
      </c>
      <c r="Y1035" s="15">
        <f t="shared" ref="Y1035:Y1074" si="350">IF($T1035&lt;=0.05,$F$66,IF($T1035&lt;=0.07,$F$66+($T1035-0.05)*SLOPE($E$66:$F$66,$E$62:$F$62),IF($T1035&lt;=0.1,$E$66+($T1035-0.07)*SLOPE($D$66:$E$66,$D$62:$E$62),IF($T1035&lt;=0.2,$D$66+($T1035-0.1)*SLOPE($C$66:$D$66,$C$62:$D$62),IF($T1035&lt;=0.5,$C$66+($T1035-0.2)*SLOPE($B$66:$C$66,$B$62:$C$62),)))))</f>
        <v>0</v>
      </c>
      <c r="Z1035" s="15">
        <f t="shared" ref="Z1035:Z1074" si="351">IF($T1035&lt;=0.05,$F$67,IF($T1035&lt;=0.07,$F$67+($T1035-0.05)*SLOPE($E$67:$F$67,$E$62:$F$62),IF($T1035&lt;=0.1,$E$67+($T1035-0.07)*SLOPE($D$67:$E$67,$D$62:$E$62),IF($T1035&lt;=0.2,$D$67+($T1035-0.1)*SLOPE($C$67:$D$67,$C$62:$D$62),IF($T1035&lt;=0.5,$C$67+($T1035-0.2)*SLOPE($B$67:$C$67,$B$62:$C$62),)))))</f>
        <v>0</v>
      </c>
      <c r="AA1035" s="15">
        <f t="shared" ref="AA1035:AA1074" si="352">IF($T1035&lt;=0.05,$F$68,IF($T1035&lt;=0.07,$F$68+($T1035-0.05)*SLOPE($E$68:$F$68,$E$62:$F$62),IF($T1035&lt;=0.1,$E$68+($T1035-0.07)*SLOPE($D$68:$E$68,$D$62:$E$62),IF($T1035&lt;=0.2,$D$68+($T1035-0.1)*SLOPE($C$68:$D$68,$C$62:$D$62),IF($T1035&lt;=0.5,$C$68+($T1035-0.2)*SLOPE($B$68:$C$68,$B$62:$C$62),)))))</f>
        <v>0</v>
      </c>
      <c r="AC1035" s="1"/>
      <c r="AD1035" s="1"/>
      <c r="AE1035" s="1"/>
    </row>
    <row r="1036" spans="1:31">
      <c r="A1036">
        <v>156</v>
      </c>
      <c r="B1036">
        <f t="shared" si="332"/>
        <v>0.95723629771643359</v>
      </c>
      <c r="C1036">
        <v>0.95944727560615028</v>
      </c>
      <c r="D1036">
        <f t="shared" si="333"/>
        <v>1.0422667565221129</v>
      </c>
      <c r="E1036" s="1">
        <f t="shared" si="334"/>
        <v>1.1264645664958245E-2</v>
      </c>
      <c r="F1036" s="1">
        <f t="shared" si="335"/>
        <v>1.3066988971351556E-2</v>
      </c>
      <c r="G1036" s="1">
        <f t="shared" si="336"/>
        <v>4.0552724393849854E-3</v>
      </c>
      <c r="H1036" s="1">
        <f t="shared" si="337"/>
        <v>3.9295865670904845E-3</v>
      </c>
      <c r="I1036" s="1">
        <f t="shared" si="338"/>
        <v>1.4441778431908692E-2</v>
      </c>
      <c r="J1036" s="1">
        <f t="shared" si="339"/>
        <v>1.5646035798286217E-2</v>
      </c>
      <c r="K1036" s="1">
        <f t="shared" si="340"/>
        <v>9.6209032161279073E-3</v>
      </c>
      <c r="L1036" s="1">
        <f t="shared" si="341"/>
        <v>9.5398924939769369E-3</v>
      </c>
      <c r="M1036" s="1">
        <f t="shared" si="342"/>
        <v>2.079604396580953E-2</v>
      </c>
      <c r="N1036" s="1">
        <f t="shared" si="343"/>
        <v>2.0804129452155262E-2</v>
      </c>
      <c r="O1036" s="1">
        <f t="shared" si="344"/>
        <v>2.0752164769613779E-2</v>
      </c>
      <c r="P1036" s="1">
        <f t="shared" si="345"/>
        <v>2.0760504347749786E-2</v>
      </c>
      <c r="Q1036" s="1">
        <f t="shared" si="346"/>
        <v>0.31541007861883141</v>
      </c>
      <c r="T1036">
        <v>0.67371880229001435</v>
      </c>
      <c r="U1036">
        <f t="shared" ref="U1036:U1074" si="353">1/T1036</f>
        <v>1.4842987854887446</v>
      </c>
      <c r="V1036" s="15">
        <f t="shared" si="347"/>
        <v>0</v>
      </c>
      <c r="W1036" s="15">
        <f t="shared" si="348"/>
        <v>0</v>
      </c>
      <c r="X1036" s="15">
        <f t="shared" si="349"/>
        <v>0</v>
      </c>
      <c r="Y1036" s="15">
        <f t="shared" si="350"/>
        <v>0</v>
      </c>
      <c r="Z1036" s="15">
        <f t="shared" si="351"/>
        <v>0</v>
      </c>
      <c r="AA1036" s="15">
        <f t="shared" si="352"/>
        <v>0</v>
      </c>
      <c r="AC1036" s="1"/>
      <c r="AD1036" s="1"/>
      <c r="AE1036" s="1"/>
    </row>
    <row r="1037" spans="1:31">
      <c r="A1037">
        <v>612</v>
      </c>
      <c r="B1037">
        <f t="shared" si="332"/>
        <v>0.95848005628580646</v>
      </c>
      <c r="C1037">
        <v>0.96147518149972777</v>
      </c>
      <c r="D1037">
        <f t="shared" si="333"/>
        <v>1.040068448194555</v>
      </c>
      <c r="E1037" s="1">
        <f t="shared" si="334"/>
        <v>1.0701338472297817E-2</v>
      </c>
      <c r="F1037" s="1">
        <f t="shared" si="335"/>
        <v>1.2413552627865476E-2</v>
      </c>
      <c r="G1037" s="1">
        <f t="shared" si="336"/>
        <v>3.852481850027234E-3</v>
      </c>
      <c r="H1037" s="1">
        <f t="shared" si="337"/>
        <v>3.7330811071531328E-3</v>
      </c>
      <c r="I1037" s="1">
        <f t="shared" si="338"/>
        <v>1.3719593473103586E-2</v>
      </c>
      <c r="J1037" s="1">
        <f t="shared" si="339"/>
        <v>1.4863629962902136E-2</v>
      </c>
      <c r="K1037" s="1">
        <f t="shared" si="340"/>
        <v>9.1397940767260766E-3</v>
      </c>
      <c r="L1037" s="1">
        <f t="shared" si="341"/>
        <v>9.062834429400507E-3</v>
      </c>
      <c r="M1037" s="1">
        <f t="shared" si="342"/>
        <v>1.9756103474715014E-2</v>
      </c>
      <c r="N1037" s="1">
        <f t="shared" si="343"/>
        <v>1.976378463297529E-2</v>
      </c>
      <c r="O1037" s="1">
        <f t="shared" si="344"/>
        <v>1.971441853012379E-2</v>
      </c>
      <c r="P1037" s="1">
        <f t="shared" si="345"/>
        <v>1.97223410738952E-2</v>
      </c>
      <c r="Q1037" s="1">
        <f t="shared" si="346"/>
        <v>0.29963747722434064</v>
      </c>
      <c r="T1037">
        <v>0.17310471325045063</v>
      </c>
      <c r="U1037">
        <f t="shared" si="353"/>
        <v>5.7768502152404384</v>
      </c>
      <c r="V1037" s="15">
        <f t="shared" si="347"/>
        <v>8.1161330751299665E-2</v>
      </c>
      <c r="W1037" s="15">
        <f t="shared" si="348"/>
        <v>8.5269781910811693E-2</v>
      </c>
      <c r="X1037" s="15">
        <f t="shared" si="349"/>
        <v>9.3486684229835748E-2</v>
      </c>
      <c r="Y1037" s="15">
        <f t="shared" si="350"/>
        <v>0.11529040439209623</v>
      </c>
      <c r="Z1037" s="15">
        <f t="shared" si="351"/>
        <v>0.11880371921692359</v>
      </c>
      <c r="AA1037" s="15">
        <f t="shared" si="352"/>
        <v>0.12583034886657837</v>
      </c>
      <c r="AC1037" s="1"/>
      <c r="AD1037" s="1"/>
      <c r="AE1037" s="1"/>
    </row>
    <row r="1038" spans="1:31">
      <c r="A1038">
        <v>908</v>
      </c>
      <c r="B1038">
        <f t="shared" si="332"/>
        <v>0.95910506263964379</v>
      </c>
      <c r="C1038">
        <v>0.96178973361362896</v>
      </c>
      <c r="D1038">
        <f t="shared" si="333"/>
        <v>1.0397282951262203</v>
      </c>
      <c r="E1038" s="1">
        <f t="shared" si="334"/>
        <v>1.0613962885103051E-2</v>
      </c>
      <c r="F1038" s="1">
        <f t="shared" si="335"/>
        <v>1.2312196946719534E-2</v>
      </c>
      <c r="G1038" s="1">
        <f t="shared" si="336"/>
        <v>3.8210266386371206E-3</v>
      </c>
      <c r="H1038" s="1">
        <f t="shared" si="337"/>
        <v>3.7026007934402722E-3</v>
      </c>
      <c r="I1038" s="1">
        <f t="shared" si="338"/>
        <v>1.3607574071148432E-2</v>
      </c>
      <c r="J1038" s="1">
        <f t="shared" si="339"/>
        <v>1.4742269592961876E-2</v>
      </c>
      <c r="K1038" s="1">
        <f t="shared" si="340"/>
        <v>9.0651683767390689E-3</v>
      </c>
      <c r="L1038" s="1">
        <f t="shared" si="341"/>
        <v>8.9888370988826516E-3</v>
      </c>
      <c r="M1038" s="1">
        <f t="shared" si="342"/>
        <v>1.9594796443239193E-2</v>
      </c>
      <c r="N1038" s="1">
        <f t="shared" si="343"/>
        <v>1.9602414885446229E-2</v>
      </c>
      <c r="O1038" s="1">
        <f t="shared" si="344"/>
        <v>1.9553451852942993E-2</v>
      </c>
      <c r="P1038" s="1">
        <f t="shared" si="345"/>
        <v>1.9561309709767438E-2</v>
      </c>
      <c r="Q1038" s="1">
        <f t="shared" si="346"/>
        <v>0.29719096078288665</v>
      </c>
      <c r="T1038">
        <v>0.13377938658078503</v>
      </c>
      <c r="U1038">
        <f t="shared" si="353"/>
        <v>7.4749931626882775</v>
      </c>
      <c r="V1038" s="15">
        <f t="shared" si="347"/>
        <v>8.6508877575050033E-2</v>
      </c>
      <c r="W1038" s="15">
        <f t="shared" si="348"/>
        <v>9.030564700964723E-2</v>
      </c>
      <c r="X1038" s="15">
        <f t="shared" si="349"/>
        <v>9.7899185878841527E-2</v>
      </c>
      <c r="Y1038" s="15">
        <f t="shared" si="350"/>
        <v>0.12319994611652202</v>
      </c>
      <c r="Z1038" s="15">
        <f t="shared" si="351"/>
        <v>0.12638761444783542</v>
      </c>
      <c r="AA1038" s="15">
        <f t="shared" si="352"/>
        <v>0.13276295111046216</v>
      </c>
      <c r="AC1038" s="1"/>
      <c r="AD1038" s="1"/>
      <c r="AE1038" s="1"/>
    </row>
    <row r="1039" spans="1:31">
      <c r="A1039">
        <v>40</v>
      </c>
      <c r="B1039">
        <f t="shared" si="332"/>
        <v>0.95993192307211606</v>
      </c>
      <c r="C1039">
        <v>0.96220119032068452</v>
      </c>
      <c r="D1039">
        <f t="shared" si="333"/>
        <v>1.0392836862597497</v>
      </c>
      <c r="E1039" s="1">
        <f t="shared" si="334"/>
        <v>1.0499669355365393E-2</v>
      </c>
      <c r="F1039" s="1">
        <f t="shared" si="335"/>
        <v>1.2179616452223874E-2</v>
      </c>
      <c r="G1039" s="1">
        <f t="shared" si="336"/>
        <v>3.7798809679315676E-3</v>
      </c>
      <c r="H1039" s="1">
        <f t="shared" si="337"/>
        <v>3.6627303587616622E-3</v>
      </c>
      <c r="I1039" s="1">
        <f t="shared" si="338"/>
        <v>1.346104466562914E-2</v>
      </c>
      <c r="J1039" s="1">
        <f t="shared" si="339"/>
        <v>1.4583521531906507E-2</v>
      </c>
      <c r="K1039" s="1">
        <f t="shared" si="340"/>
        <v>8.9675526131774708E-3</v>
      </c>
      <c r="L1039" s="1">
        <f t="shared" si="341"/>
        <v>8.8920432876182509E-3</v>
      </c>
      <c r="M1039" s="1">
        <f t="shared" si="342"/>
        <v>1.938379528615658E-2</v>
      </c>
      <c r="N1039" s="1">
        <f t="shared" si="343"/>
        <v>1.9391331691271496E-2</v>
      </c>
      <c r="O1039" s="1">
        <f t="shared" si="344"/>
        <v>1.9342895903669333E-2</v>
      </c>
      <c r="P1039" s="1">
        <f t="shared" si="345"/>
        <v>1.9350669145331401E-2</v>
      </c>
      <c r="Q1039" s="1">
        <f t="shared" si="346"/>
        <v>0.29399074195023189</v>
      </c>
      <c r="T1039">
        <v>0.46835462148653506</v>
      </c>
      <c r="U1039">
        <f t="shared" si="353"/>
        <v>2.1351342639174735</v>
      </c>
      <c r="V1039" s="15">
        <f t="shared" si="347"/>
        <v>5.9948675648149853E-2</v>
      </c>
      <c r="W1039" s="15">
        <f t="shared" si="348"/>
        <v>6.4969856849959692E-2</v>
      </c>
      <c r="X1039" s="15">
        <f t="shared" si="349"/>
        <v>7.5012219253579177E-2</v>
      </c>
      <c r="Y1039" s="15">
        <f t="shared" si="350"/>
        <v>8.3898236485890287E-2</v>
      </c>
      <c r="Z1039" s="15">
        <f t="shared" si="351"/>
        <v>8.833325270930617E-2</v>
      </c>
      <c r="AA1039" s="15">
        <f t="shared" si="352"/>
        <v>9.7203285156137909E-2</v>
      </c>
      <c r="AC1039" s="1"/>
      <c r="AD1039" s="1"/>
      <c r="AE1039" s="1"/>
    </row>
    <row r="1040" spans="1:31">
      <c r="A1040">
        <v>661</v>
      </c>
      <c r="B1040">
        <f t="shared" si="332"/>
        <v>0.9620344264529832</v>
      </c>
      <c r="C1040">
        <v>0.96455925812962295</v>
      </c>
      <c r="D1040">
        <f t="shared" si="333"/>
        <v>1.0367429388828844</v>
      </c>
      <c r="E1040" s="1">
        <f t="shared" si="334"/>
        <v>9.844650519549164E-3</v>
      </c>
      <c r="F1040" s="1">
        <f t="shared" si="335"/>
        <v>1.1419794602677058E-2</v>
      </c>
      <c r="G1040" s="1">
        <f t="shared" si="336"/>
        <v>3.5440741870377129E-3</v>
      </c>
      <c r="H1040" s="1">
        <f t="shared" si="337"/>
        <v>3.4342319847363023E-3</v>
      </c>
      <c r="I1040" s="1">
        <f t="shared" si="338"/>
        <v>1.2621281287628572E-2</v>
      </c>
      <c r="J1040" s="1">
        <f t="shared" si="339"/>
        <v>1.3673732759267754E-2</v>
      </c>
      <c r="K1040" s="1">
        <f t="shared" si="340"/>
        <v>8.408114437174069E-3</v>
      </c>
      <c r="L1040" s="1">
        <f t="shared" si="341"/>
        <v>8.3373157390496111E-3</v>
      </c>
      <c r="M1040" s="1">
        <f t="shared" si="342"/>
        <v>1.8174542823787387E-2</v>
      </c>
      <c r="N1040" s="1">
        <f t="shared" si="343"/>
        <v>1.8181609072449034E-2</v>
      </c>
      <c r="O1040" s="1">
        <f t="shared" si="344"/>
        <v>1.8136194937446837E-2</v>
      </c>
      <c r="P1040" s="1">
        <f t="shared" si="345"/>
        <v>1.8143483247676173E-2</v>
      </c>
      <c r="Q1040" s="1">
        <f t="shared" si="346"/>
        <v>0.27565021454737781</v>
      </c>
      <c r="T1040">
        <v>9.1516583039396693E-2</v>
      </c>
      <c r="U1040">
        <f t="shared" si="353"/>
        <v>10.926981392754939</v>
      </c>
      <c r="V1040" s="15">
        <f t="shared" si="347"/>
        <v>9.3651658102711782E-2</v>
      </c>
      <c r="W1040" s="15">
        <f t="shared" si="348"/>
        <v>9.7013774943750603E-2</v>
      </c>
      <c r="X1040" s="15">
        <f t="shared" si="349"/>
        <v>0.10373800862582813</v>
      </c>
      <c r="Y1040" s="15">
        <f t="shared" si="350"/>
        <v>0.13376113238257656</v>
      </c>
      <c r="Z1040" s="15">
        <f t="shared" si="351"/>
        <v>0.13649323003860336</v>
      </c>
      <c r="AA1040" s="15">
        <f t="shared" si="352"/>
        <v>0.14195742535065678</v>
      </c>
      <c r="AC1040" s="1"/>
      <c r="AD1040" s="1"/>
      <c r="AE1040" s="1"/>
    </row>
    <row r="1041" spans="1:31">
      <c r="A1041">
        <v>249</v>
      </c>
      <c r="B1041">
        <f t="shared" si="332"/>
        <v>0.96293950993684896</v>
      </c>
      <c r="C1041">
        <v>0.96527838202279415</v>
      </c>
      <c r="D1041">
        <f t="shared" si="333"/>
        <v>1.0359705745242578</v>
      </c>
      <c r="E1041" s="1">
        <f t="shared" si="334"/>
        <v>9.644893882557154E-3</v>
      </c>
      <c r="F1041" s="1">
        <f t="shared" si="335"/>
        <v>1.1188076903766331E-2</v>
      </c>
      <c r="G1041" s="1">
        <f t="shared" si="336"/>
        <v>3.4721617977205993E-3</v>
      </c>
      <c r="H1041" s="1">
        <f t="shared" si="337"/>
        <v>3.3645483905285628E-3</v>
      </c>
      <c r="I1041" s="1">
        <f t="shared" si="338"/>
        <v>1.2365184364783011E-2</v>
      </c>
      <c r="J1041" s="1">
        <f t="shared" si="339"/>
        <v>1.3396280668338312E-2</v>
      </c>
      <c r="K1041" s="1">
        <f t="shared" si="340"/>
        <v>8.2375063835841145E-3</v>
      </c>
      <c r="L1041" s="1">
        <f t="shared" si="341"/>
        <v>8.1681442534528581E-3</v>
      </c>
      <c r="M1041" s="1">
        <f t="shared" si="342"/>
        <v>1.7805765329234613E-2</v>
      </c>
      <c r="N1041" s="1">
        <f t="shared" si="343"/>
        <v>1.7812688197482107E-2</v>
      </c>
      <c r="O1041" s="1">
        <f t="shared" si="344"/>
        <v>1.7768195555311173E-2</v>
      </c>
      <c r="P1041" s="1">
        <f t="shared" si="345"/>
        <v>1.7775335979301365E-2</v>
      </c>
      <c r="Q1041" s="1">
        <f t="shared" si="346"/>
        <v>0.27005702871160153</v>
      </c>
      <c r="T1041">
        <v>0.65179518519105939</v>
      </c>
      <c r="U1041">
        <f t="shared" si="353"/>
        <v>1.5342242819834149</v>
      </c>
      <c r="V1041" s="15">
        <f t="shared" si="347"/>
        <v>0</v>
      </c>
      <c r="W1041" s="15">
        <f t="shared" si="348"/>
        <v>0</v>
      </c>
      <c r="X1041" s="15">
        <f t="shared" si="349"/>
        <v>0</v>
      </c>
      <c r="Y1041" s="15">
        <f t="shared" si="350"/>
        <v>0</v>
      </c>
      <c r="Z1041" s="15">
        <f t="shared" si="351"/>
        <v>0</v>
      </c>
      <c r="AA1041" s="15">
        <f t="shared" si="352"/>
        <v>0</v>
      </c>
      <c r="AC1041" s="1"/>
      <c r="AD1041" s="1"/>
      <c r="AE1041" s="1"/>
    </row>
    <row r="1042" spans="1:31">
      <c r="A1042">
        <v>215</v>
      </c>
      <c r="B1042">
        <f t="shared" si="332"/>
        <v>0.96494706129100838</v>
      </c>
      <c r="C1042">
        <v>0.96650577747330768</v>
      </c>
      <c r="D1042">
        <f t="shared" si="333"/>
        <v>1.0346549635887896</v>
      </c>
      <c r="E1042" s="1">
        <f t="shared" si="334"/>
        <v>9.3039507018589651E-3</v>
      </c>
      <c r="F1042" s="1">
        <f t="shared" si="335"/>
        <v>1.0792582814156404E-2</v>
      </c>
      <c r="G1042" s="1">
        <f t="shared" si="336"/>
        <v>3.3494222526692513E-3</v>
      </c>
      <c r="H1042" s="1">
        <f t="shared" si="337"/>
        <v>3.2456129368213515E-3</v>
      </c>
      <c r="I1042" s="1">
        <f t="shared" si="338"/>
        <v>1.1928079992398644E-2</v>
      </c>
      <c r="J1042" s="1">
        <f t="shared" si="339"/>
        <v>1.2922727449795501E-2</v>
      </c>
      <c r="K1042" s="1">
        <f t="shared" si="340"/>
        <v>7.9463137938429185E-3</v>
      </c>
      <c r="L1042" s="1">
        <f t="shared" si="341"/>
        <v>7.8794035875539292E-3</v>
      </c>
      <c r="M1042" s="1">
        <f t="shared" si="342"/>
        <v>1.7176338573477945E-2</v>
      </c>
      <c r="N1042" s="1">
        <f t="shared" si="343"/>
        <v>1.7183016721073419E-2</v>
      </c>
      <c r="O1042" s="1">
        <f t="shared" si="344"/>
        <v>1.7140096876190281E-2</v>
      </c>
      <c r="P1042" s="1">
        <f t="shared" si="345"/>
        <v>1.7146984889019057E-2</v>
      </c>
      <c r="Q1042" s="1">
        <f t="shared" si="346"/>
        <v>0.26051061965205236</v>
      </c>
      <c r="T1042">
        <v>0.92522096984117153</v>
      </c>
      <c r="U1042">
        <f t="shared" si="353"/>
        <v>1.0808228872846077</v>
      </c>
      <c r="V1042" s="15">
        <f t="shared" si="347"/>
        <v>0</v>
      </c>
      <c r="W1042" s="15">
        <f t="shared" si="348"/>
        <v>0</v>
      </c>
      <c r="X1042" s="15">
        <f t="shared" si="349"/>
        <v>0</v>
      </c>
      <c r="Y1042" s="15">
        <f t="shared" si="350"/>
        <v>0</v>
      </c>
      <c r="Z1042" s="15">
        <f t="shared" si="351"/>
        <v>0</v>
      </c>
      <c r="AA1042" s="15">
        <f t="shared" si="352"/>
        <v>0</v>
      </c>
      <c r="AC1042" s="1"/>
      <c r="AD1042" s="1"/>
      <c r="AE1042" s="1"/>
    </row>
    <row r="1043" spans="1:31">
      <c r="A1043">
        <v>41</v>
      </c>
      <c r="B1043">
        <f t="shared" si="332"/>
        <v>0.96561662637885626</v>
      </c>
      <c r="C1043">
        <v>0.96724282177713394</v>
      </c>
      <c r="D1043">
        <f t="shared" si="333"/>
        <v>1.0338665508653564</v>
      </c>
      <c r="E1043" s="1">
        <f t="shared" si="334"/>
        <v>9.099216173018343E-3</v>
      </c>
      <c r="F1043" s="1">
        <f t="shared" si="335"/>
        <v>1.0555090760701269E-2</v>
      </c>
      <c r="G1043" s="1">
        <f t="shared" si="336"/>
        <v>3.2757178222866251E-3</v>
      </c>
      <c r="H1043" s="1">
        <f t="shared" si="337"/>
        <v>3.1741928426363697E-3</v>
      </c>
      <c r="I1043" s="1">
        <f t="shared" si="338"/>
        <v>1.1665601190062658E-2</v>
      </c>
      <c r="J1043" s="1">
        <f t="shared" si="339"/>
        <v>1.2638361313242197E-2</v>
      </c>
      <c r="K1043" s="1">
        <f t="shared" si="340"/>
        <v>7.7714542247485363E-3</v>
      </c>
      <c r="L1043" s="1">
        <f t="shared" si="341"/>
        <v>7.7060163854140162E-3</v>
      </c>
      <c r="M1043" s="1">
        <f t="shared" si="342"/>
        <v>1.6798371224151232E-2</v>
      </c>
      <c r="N1043" s="1">
        <f t="shared" si="343"/>
        <v>1.680490241832383E-2</v>
      </c>
      <c r="O1043" s="1">
        <f t="shared" si="344"/>
        <v>1.6762927029672414E-2</v>
      </c>
      <c r="P1043" s="1">
        <f t="shared" si="345"/>
        <v>1.6769663470969254E-2</v>
      </c>
      <c r="Q1043" s="1">
        <f t="shared" si="346"/>
        <v>0.25477805284451449</v>
      </c>
      <c r="T1043">
        <v>0.62483149625312251</v>
      </c>
      <c r="U1043">
        <f t="shared" si="353"/>
        <v>1.6004314859231981</v>
      </c>
      <c r="V1043" s="15">
        <f t="shared" si="347"/>
        <v>0</v>
      </c>
      <c r="W1043" s="15">
        <f t="shared" si="348"/>
        <v>0</v>
      </c>
      <c r="X1043" s="15">
        <f t="shared" si="349"/>
        <v>0</v>
      </c>
      <c r="Y1043" s="15">
        <f t="shared" si="350"/>
        <v>0</v>
      </c>
      <c r="Z1043" s="15">
        <f t="shared" si="351"/>
        <v>0</v>
      </c>
      <c r="AA1043" s="15">
        <f t="shared" si="352"/>
        <v>0</v>
      </c>
      <c r="AC1043" s="1"/>
      <c r="AD1043" s="1"/>
      <c r="AE1043" s="1"/>
    </row>
    <row r="1044" spans="1:31">
      <c r="A1044">
        <v>26</v>
      </c>
      <c r="B1044">
        <f t="shared" si="332"/>
        <v>0.96713877785473423</v>
      </c>
      <c r="C1044">
        <v>0.96882766393488962</v>
      </c>
      <c r="D1044">
        <f t="shared" si="333"/>
        <v>1.0321753158229443</v>
      </c>
      <c r="E1044" s="1">
        <f t="shared" si="334"/>
        <v>8.6589822403084216E-3</v>
      </c>
      <c r="F1044" s="1">
        <f t="shared" si="335"/>
        <v>1.0044419398757776E-2</v>
      </c>
      <c r="G1044" s="1">
        <f t="shared" si="336"/>
        <v>3.1172336065110468E-3</v>
      </c>
      <c r="H1044" s="1">
        <f t="shared" si="337"/>
        <v>3.0206205599559027E-3</v>
      </c>
      <c r="I1044" s="1">
        <f t="shared" si="338"/>
        <v>1.110120164270878E-2</v>
      </c>
      <c r="J1044" s="1">
        <f t="shared" si="339"/>
        <v>1.2026898150026499E-2</v>
      </c>
      <c r="K1044" s="1">
        <f t="shared" si="340"/>
        <v>7.3954594367160176E-3</v>
      </c>
      <c r="L1044" s="1">
        <f t="shared" si="341"/>
        <v>7.3331875796826818E-3</v>
      </c>
      <c r="M1044" s="1">
        <f t="shared" si="342"/>
        <v>1.5985640447509442E-2</v>
      </c>
      <c r="N1044" s="1">
        <f t="shared" si="343"/>
        <v>1.5991855652563725E-2</v>
      </c>
      <c r="O1044" s="1">
        <f t="shared" si="344"/>
        <v>1.5951911097126015E-2</v>
      </c>
      <c r="P1044" s="1">
        <f t="shared" si="345"/>
        <v>1.5958321619136184E-2</v>
      </c>
      <c r="Q1044" s="1">
        <f t="shared" si="346"/>
        <v>0.24245150272863736</v>
      </c>
      <c r="T1044">
        <v>0.28444464696913951</v>
      </c>
      <c r="U1044">
        <f t="shared" si="353"/>
        <v>3.5156224968736844</v>
      </c>
      <c r="V1044" s="15">
        <f t="shared" si="347"/>
        <v>7.1979801557322073E-2</v>
      </c>
      <c r="W1044" s="15">
        <f t="shared" si="348"/>
        <v>7.6521553512250803E-2</v>
      </c>
      <c r="X1044" s="15">
        <f t="shared" si="349"/>
        <v>8.5605057422108305E-2</v>
      </c>
      <c r="Y1044" s="15">
        <f t="shared" si="350"/>
        <v>0.10170480998340341</v>
      </c>
      <c r="Z1044" s="15">
        <f t="shared" si="351"/>
        <v>0.10566079403420055</v>
      </c>
      <c r="AA1044" s="15">
        <f t="shared" si="352"/>
        <v>0.11357276213579494</v>
      </c>
      <c r="AC1044" s="1"/>
      <c r="AD1044" s="1"/>
      <c r="AE1044" s="1"/>
    </row>
    <row r="1045" spans="1:31">
      <c r="A1045">
        <v>521</v>
      </c>
      <c r="B1045">
        <f t="shared" si="332"/>
        <v>0.96915629576081797</v>
      </c>
      <c r="C1045">
        <v>0.97020824672465233</v>
      </c>
      <c r="D1045">
        <f t="shared" si="333"/>
        <v>1.0307065553976915</v>
      </c>
      <c r="E1045" s="1">
        <f t="shared" si="334"/>
        <v>8.2754870209298947E-3</v>
      </c>
      <c r="F1045" s="1">
        <f t="shared" si="335"/>
        <v>9.5995649442787157E-3</v>
      </c>
      <c r="G1045" s="1">
        <f t="shared" si="336"/>
        <v>2.9791753275347777E-3</v>
      </c>
      <c r="H1045" s="1">
        <f t="shared" si="337"/>
        <v>2.8868411489176016E-3</v>
      </c>
      <c r="I1045" s="1">
        <f t="shared" si="338"/>
        <v>1.0609543657834064E-2</v>
      </c>
      <c r="J1045" s="1">
        <f t="shared" si="339"/>
        <v>1.1494242253930864E-2</v>
      </c>
      <c r="K1045" s="1">
        <f t="shared" si="340"/>
        <v>7.0679240220011263E-3</v>
      </c>
      <c r="L1045" s="1">
        <f t="shared" si="341"/>
        <v>7.008410105660029E-3</v>
      </c>
      <c r="M1045" s="1">
        <f t="shared" si="342"/>
        <v>1.5277656931642347E-2</v>
      </c>
      <c r="N1045" s="1">
        <f t="shared" si="343"/>
        <v>1.5283596873234995E-2</v>
      </c>
      <c r="O1045" s="1">
        <f t="shared" si="344"/>
        <v>1.5245421410933824E-2</v>
      </c>
      <c r="P1045" s="1">
        <f t="shared" si="345"/>
        <v>1.5251548019144801E-2</v>
      </c>
      <c r="Q1045" s="1">
        <f t="shared" si="346"/>
        <v>0.23171363658603816</v>
      </c>
      <c r="T1045">
        <v>0.6296721055397646</v>
      </c>
      <c r="U1045">
        <f t="shared" si="353"/>
        <v>1.5881281562294787</v>
      </c>
      <c r="V1045" s="15">
        <f t="shared" si="347"/>
        <v>0</v>
      </c>
      <c r="W1045" s="15">
        <f t="shared" si="348"/>
        <v>0</v>
      </c>
      <c r="X1045" s="15">
        <f t="shared" si="349"/>
        <v>0</v>
      </c>
      <c r="Y1045" s="15">
        <f t="shared" si="350"/>
        <v>0</v>
      </c>
      <c r="Z1045" s="15">
        <f t="shared" si="351"/>
        <v>0</v>
      </c>
      <c r="AA1045" s="15">
        <f t="shared" si="352"/>
        <v>0</v>
      </c>
      <c r="AC1045" s="1"/>
      <c r="AD1045" s="1"/>
      <c r="AE1045" s="1"/>
    </row>
    <row r="1046" spans="1:31">
      <c r="A1046">
        <v>534</v>
      </c>
      <c r="B1046">
        <f t="shared" si="332"/>
        <v>0.96954697721494454</v>
      </c>
      <c r="C1046">
        <v>0.97049151298695346</v>
      </c>
      <c r="D1046">
        <f t="shared" si="333"/>
        <v>1.0304057136184799</v>
      </c>
      <c r="E1046" s="1">
        <f t="shared" si="334"/>
        <v>8.1968019480684606E-3</v>
      </c>
      <c r="F1046" s="1">
        <f t="shared" si="335"/>
        <v>9.5082902597594665E-3</v>
      </c>
      <c r="G1046" s="1">
        <f t="shared" si="336"/>
        <v>2.950848701304673E-3</v>
      </c>
      <c r="H1046" s="1">
        <f t="shared" si="337"/>
        <v>2.8593924554972117E-3</v>
      </c>
      <c r="I1046" s="1">
        <f t="shared" si="338"/>
        <v>1.0508665883072088E-2</v>
      </c>
      <c r="J1046" s="1">
        <f t="shared" si="339"/>
        <v>1.1384952578658569E-2</v>
      </c>
      <c r="K1046" s="1">
        <f t="shared" si="340"/>
        <v>7.0007207123658488E-3</v>
      </c>
      <c r="L1046" s="1">
        <f t="shared" si="341"/>
        <v>6.9417726668709878E-3</v>
      </c>
      <c r="M1046" s="1">
        <f t="shared" si="342"/>
        <v>1.5132393753079232E-2</v>
      </c>
      <c r="N1046" s="1">
        <f t="shared" si="343"/>
        <v>1.5138277216456664E-2</v>
      </c>
      <c r="O1046" s="1">
        <f t="shared" si="344"/>
        <v>1.5100464734488284E-2</v>
      </c>
      <c r="P1046" s="1">
        <f t="shared" si="345"/>
        <v>1.5106533089618512E-2</v>
      </c>
      <c r="Q1046" s="1">
        <f t="shared" si="346"/>
        <v>0.22951045454591856</v>
      </c>
      <c r="T1046">
        <v>0.31284462872002594</v>
      </c>
      <c r="U1046">
        <f t="shared" si="353"/>
        <v>3.1964748894408221</v>
      </c>
      <c r="V1046" s="15">
        <f t="shared" si="347"/>
        <v>7.0121915615247804E-2</v>
      </c>
      <c r="W1046" s="15">
        <f t="shared" si="348"/>
        <v>7.4737702607688736E-2</v>
      </c>
      <c r="X1046" s="15">
        <f t="shared" si="349"/>
        <v>8.3969276592570613E-2</v>
      </c>
      <c r="Y1046" s="15">
        <f t="shared" si="350"/>
        <v>9.8955060473066986E-2</v>
      </c>
      <c r="Z1046" s="15">
        <f t="shared" si="351"/>
        <v>0.10298501824386579</v>
      </c>
      <c r="AA1046" s="15">
        <f t="shared" si="352"/>
        <v>0.11104493378546344</v>
      </c>
      <c r="AC1046" s="1"/>
      <c r="AD1046" s="1"/>
      <c r="AE1046" s="1"/>
    </row>
    <row r="1047" spans="1:31">
      <c r="A1047">
        <v>368</v>
      </c>
      <c r="B1047">
        <f t="shared" si="332"/>
        <v>0.97002640873781365</v>
      </c>
      <c r="C1047">
        <v>0.97083912809403872</v>
      </c>
      <c r="D1047">
        <f t="shared" si="333"/>
        <v>1.0300367703176634</v>
      </c>
      <c r="E1047" s="1">
        <f t="shared" si="334"/>
        <v>8.1002421961003379E-3</v>
      </c>
      <c r="F1047" s="1">
        <f t="shared" si="335"/>
        <v>9.3962809474764097E-3</v>
      </c>
      <c r="G1047" s="1">
        <f t="shared" si="336"/>
        <v>2.9160871905961477E-3</v>
      </c>
      <c r="H1047" s="1">
        <f t="shared" si="337"/>
        <v>2.8257083152640333E-3</v>
      </c>
      <c r="I1047" s="1">
        <f t="shared" si="338"/>
        <v>1.0384871972030418E-2</v>
      </c>
      <c r="J1047" s="1">
        <f t="shared" si="339"/>
        <v>1.1250835857999852E-2</v>
      </c>
      <c r="K1047" s="1">
        <f t="shared" si="340"/>
        <v>6.9182510052938906E-3</v>
      </c>
      <c r="L1047" s="1">
        <f t="shared" si="341"/>
        <v>6.8599973780231194E-3</v>
      </c>
      <c r="M1047" s="1">
        <f t="shared" si="342"/>
        <v>1.4954131523890524E-2</v>
      </c>
      <c r="N1047" s="1">
        <f t="shared" si="343"/>
        <v>1.4959945679046516E-2</v>
      </c>
      <c r="O1047" s="1">
        <f t="shared" si="344"/>
        <v>1.4922578634689376E-2</v>
      </c>
      <c r="P1047" s="1">
        <f t="shared" si="345"/>
        <v>1.4928575503541264E-2</v>
      </c>
      <c r="Q1047" s="1">
        <f t="shared" si="346"/>
        <v>0.22680678149081057</v>
      </c>
      <c r="T1047">
        <v>0.70247581606576348</v>
      </c>
      <c r="U1047">
        <f t="shared" si="353"/>
        <v>1.423536550483018</v>
      </c>
      <c r="V1047" s="15">
        <f t="shared" si="347"/>
        <v>0</v>
      </c>
      <c r="W1047" s="15">
        <f t="shared" si="348"/>
        <v>0</v>
      </c>
      <c r="X1047" s="15">
        <f t="shared" si="349"/>
        <v>0</v>
      </c>
      <c r="Y1047" s="15">
        <f t="shared" si="350"/>
        <v>0</v>
      </c>
      <c r="Z1047" s="15">
        <f t="shared" si="351"/>
        <v>0</v>
      </c>
      <c r="AA1047" s="15">
        <f t="shared" si="352"/>
        <v>0</v>
      </c>
      <c r="AC1047" s="1"/>
      <c r="AD1047" s="1"/>
      <c r="AE1047" s="1"/>
    </row>
    <row r="1048" spans="1:31">
      <c r="A1048">
        <v>173</v>
      </c>
      <c r="B1048">
        <f t="shared" si="332"/>
        <v>0.97021158264541674</v>
      </c>
      <c r="C1048">
        <v>0.97098275938515533</v>
      </c>
      <c r="D1048">
        <f t="shared" si="333"/>
        <v>1.0298844035430854</v>
      </c>
      <c r="E1048" s="1">
        <f t="shared" si="334"/>
        <v>8.0603446152346103E-3</v>
      </c>
      <c r="F1048" s="1">
        <f t="shared" si="335"/>
        <v>9.3499997536721779E-3</v>
      </c>
      <c r="G1048" s="1">
        <f t="shared" si="336"/>
        <v>2.9017240614844786E-3</v>
      </c>
      <c r="H1048" s="1">
        <f t="shared" si="337"/>
        <v>2.8117903454945026E-3</v>
      </c>
      <c r="I1048" s="1">
        <f t="shared" si="338"/>
        <v>1.0333721492914616E-2</v>
      </c>
      <c r="J1048" s="1">
        <f t="shared" si="339"/>
        <v>1.1195420091090091E-2</v>
      </c>
      <c r="K1048" s="1">
        <f t="shared" si="340"/>
        <v>6.8841752983889726E-3</v>
      </c>
      <c r="L1048" s="1">
        <f t="shared" si="341"/>
        <v>6.8262085981937726E-3</v>
      </c>
      <c r="M1048" s="1">
        <f t="shared" si="342"/>
        <v>1.4880475248274627E-2</v>
      </c>
      <c r="N1048" s="1">
        <f t="shared" si="343"/>
        <v>1.4886260765925752E-2</v>
      </c>
      <c r="O1048" s="1">
        <f t="shared" si="344"/>
        <v>1.4849077772198016E-2</v>
      </c>
      <c r="P1048" s="1">
        <f t="shared" si="345"/>
        <v>1.4855045103592313E-2</v>
      </c>
      <c r="Q1048" s="1">
        <f t="shared" si="346"/>
        <v>0.22568964922657031</v>
      </c>
      <c r="T1048">
        <v>0.55679648094233603</v>
      </c>
      <c r="U1048">
        <f t="shared" si="353"/>
        <v>1.7959883624041149</v>
      </c>
      <c r="V1048" s="15">
        <f t="shared" si="347"/>
        <v>0</v>
      </c>
      <c r="W1048" s="15">
        <f t="shared" si="348"/>
        <v>0</v>
      </c>
      <c r="X1048" s="15">
        <f t="shared" si="349"/>
        <v>0</v>
      </c>
      <c r="Y1048" s="15">
        <f t="shared" si="350"/>
        <v>0</v>
      </c>
      <c r="Z1048" s="15">
        <f t="shared" si="351"/>
        <v>0</v>
      </c>
      <c r="AA1048" s="15">
        <f t="shared" si="352"/>
        <v>0</v>
      </c>
      <c r="AC1048" s="1"/>
      <c r="AD1048" s="1"/>
      <c r="AE1048" s="1"/>
    </row>
    <row r="1049" spans="1:31">
      <c r="A1049">
        <v>247</v>
      </c>
      <c r="B1049">
        <f t="shared" si="332"/>
        <v>0.97033632890717203</v>
      </c>
      <c r="C1049">
        <v>0.9714235853835419</v>
      </c>
      <c r="D1049">
        <f t="shared" si="333"/>
        <v>1.0294170483879856</v>
      </c>
      <c r="E1049" s="1">
        <f t="shared" si="334"/>
        <v>7.9378929490161176E-3</v>
      </c>
      <c r="F1049" s="1">
        <f t="shared" si="335"/>
        <v>9.2079558208587042E-3</v>
      </c>
      <c r="G1049" s="1">
        <f t="shared" si="336"/>
        <v>2.8576414616458268E-3</v>
      </c>
      <c r="H1049" s="1">
        <f t="shared" si="337"/>
        <v>2.7690740065166169E-3</v>
      </c>
      <c r="I1049" s="1">
        <f t="shared" si="338"/>
        <v>1.017673299236671E-2</v>
      </c>
      <c r="J1049" s="1">
        <f t="shared" si="339"/>
        <v>1.1025340781878057E-2</v>
      </c>
      <c r="K1049" s="1">
        <f t="shared" si="340"/>
        <v>6.779591837498905E-3</v>
      </c>
      <c r="L1049" s="1">
        <f t="shared" si="341"/>
        <v>6.7225057595801663E-3</v>
      </c>
      <c r="M1049" s="1">
        <f t="shared" si="342"/>
        <v>1.4654413079067841E-2</v>
      </c>
      <c r="N1049" s="1">
        <f t="shared" si="343"/>
        <v>1.4660110703916596E-2</v>
      </c>
      <c r="O1049" s="1">
        <f t="shared" si="344"/>
        <v>1.4623492589205089E-2</v>
      </c>
      <c r="P1049" s="1">
        <f t="shared" si="345"/>
        <v>1.4629369265707182E-2</v>
      </c>
      <c r="Q1049" s="1">
        <f t="shared" si="346"/>
        <v>0.22226100257245296</v>
      </c>
      <c r="T1049">
        <v>0.67007894130350976</v>
      </c>
      <c r="U1049">
        <f t="shared" si="353"/>
        <v>1.4923614791634732</v>
      </c>
      <c r="V1049" s="15">
        <f t="shared" si="347"/>
        <v>0</v>
      </c>
      <c r="W1049" s="15">
        <f t="shared" si="348"/>
        <v>0</v>
      </c>
      <c r="X1049" s="15">
        <f t="shared" si="349"/>
        <v>0</v>
      </c>
      <c r="Y1049" s="15">
        <f t="shared" si="350"/>
        <v>0</v>
      </c>
      <c r="Z1049" s="15">
        <f t="shared" si="351"/>
        <v>0</v>
      </c>
      <c r="AA1049" s="15">
        <f t="shared" si="352"/>
        <v>0</v>
      </c>
      <c r="AC1049" s="1"/>
      <c r="AD1049" s="1"/>
      <c r="AE1049" s="1"/>
    </row>
    <row r="1050" spans="1:31">
      <c r="A1050">
        <v>285</v>
      </c>
      <c r="B1050">
        <f t="shared" si="332"/>
        <v>0.97035392853050373</v>
      </c>
      <c r="C1050">
        <v>0.97148577860213825</v>
      </c>
      <c r="D1050">
        <f t="shared" si="333"/>
        <v>1.0293511464870753</v>
      </c>
      <c r="E1050" s="1">
        <f t="shared" si="334"/>
        <v>7.9206170549615817E-3</v>
      </c>
      <c r="F1050" s="1">
        <f t="shared" si="335"/>
        <v>9.1879157837554404E-3</v>
      </c>
      <c r="G1050" s="1">
        <f t="shared" si="336"/>
        <v>2.8514221397861889E-3</v>
      </c>
      <c r="H1050" s="1">
        <f t="shared" si="337"/>
        <v>2.7630474413471162E-3</v>
      </c>
      <c r="I1050" s="1">
        <f t="shared" si="338"/>
        <v>1.0154584525244925E-2</v>
      </c>
      <c r="J1050" s="1">
        <f t="shared" si="339"/>
        <v>1.1001345419319464E-2</v>
      </c>
      <c r="K1050" s="1">
        <f t="shared" si="340"/>
        <v>6.7648368501149747E-3</v>
      </c>
      <c r="L1050" s="1">
        <f t="shared" si="341"/>
        <v>6.707875013357012E-3</v>
      </c>
      <c r="M1050" s="1">
        <f t="shared" si="342"/>
        <v>1.4622519465811612E-2</v>
      </c>
      <c r="N1050" s="1">
        <f t="shared" si="343"/>
        <v>1.4628204690447344E-2</v>
      </c>
      <c r="O1050" s="1">
        <f t="shared" si="344"/>
        <v>1.4591666270772574E-2</v>
      </c>
      <c r="P1050" s="1">
        <f t="shared" si="345"/>
        <v>1.4597530157376748E-2</v>
      </c>
      <c r="Q1050" s="1">
        <f t="shared" si="346"/>
        <v>0.22177727753892551</v>
      </c>
      <c r="T1050">
        <v>0.99958122155921836</v>
      </c>
      <c r="U1050">
        <f t="shared" si="353"/>
        <v>1.0004189538896382</v>
      </c>
      <c r="V1050" s="15">
        <f t="shared" si="347"/>
        <v>0</v>
      </c>
      <c r="W1050" s="15">
        <f t="shared" si="348"/>
        <v>0</v>
      </c>
      <c r="X1050" s="15">
        <f t="shared" si="349"/>
        <v>0</v>
      </c>
      <c r="Y1050" s="15">
        <f t="shared" si="350"/>
        <v>0</v>
      </c>
      <c r="Z1050" s="15">
        <f t="shared" si="351"/>
        <v>0</v>
      </c>
      <c r="AA1050" s="15">
        <f t="shared" si="352"/>
        <v>0</v>
      </c>
      <c r="AC1050" s="1"/>
      <c r="AD1050" s="1"/>
      <c r="AE1050" s="1"/>
    </row>
    <row r="1051" spans="1:31">
      <c r="A1051">
        <v>532</v>
      </c>
      <c r="B1051">
        <f t="shared" si="332"/>
        <v>0.97089073371704315</v>
      </c>
      <c r="C1051">
        <v>0.97333262496720852</v>
      </c>
      <c r="D1051">
        <f t="shared" si="333"/>
        <v>1.0273980079869305</v>
      </c>
      <c r="E1051" s="1">
        <f t="shared" si="334"/>
        <v>7.4076041757754063E-3</v>
      </c>
      <c r="F1051" s="1">
        <f t="shared" si="335"/>
        <v>8.5928208438995068E-3</v>
      </c>
      <c r="G1051" s="1">
        <f t="shared" si="336"/>
        <v>2.6667375032791568E-3</v>
      </c>
      <c r="H1051" s="1">
        <f t="shared" si="337"/>
        <v>2.584086772831326E-3</v>
      </c>
      <c r="I1051" s="1">
        <f t="shared" si="338"/>
        <v>9.4968791207181158E-3</v>
      </c>
      <c r="J1051" s="1">
        <f t="shared" si="339"/>
        <v>1.0288795898325875E-2</v>
      </c>
      <c r="K1051" s="1">
        <f t="shared" si="340"/>
        <v>6.3266830540633923E-3</v>
      </c>
      <c r="L1051" s="1">
        <f t="shared" si="341"/>
        <v>6.2734105960086661E-3</v>
      </c>
      <c r="M1051" s="1">
        <f t="shared" si="342"/>
        <v>1.367542901060359E-2</v>
      </c>
      <c r="N1051" s="1">
        <f t="shared" si="343"/>
        <v>1.3680746007178446E-2</v>
      </c>
      <c r="O1051" s="1">
        <f t="shared" si="344"/>
        <v>1.3646574155631919E-2</v>
      </c>
      <c r="P1051" s="1">
        <f t="shared" si="345"/>
        <v>1.3652058242363263E-2</v>
      </c>
      <c r="Q1051" s="1">
        <f t="shared" si="346"/>
        <v>0.20741291692171249</v>
      </c>
      <c r="T1051">
        <v>9.84787584100697E-2</v>
      </c>
      <c r="U1051">
        <f t="shared" si="353"/>
        <v>10.154474082989124</v>
      </c>
      <c r="V1051" s="15">
        <f t="shared" si="347"/>
        <v>9.2149616313754942E-2</v>
      </c>
      <c r="W1051" s="15">
        <f t="shared" si="348"/>
        <v>9.5610082641092026E-2</v>
      </c>
      <c r="X1051" s="15">
        <f t="shared" si="349"/>
        <v>0.102531015295766</v>
      </c>
      <c r="Y1051" s="15">
        <f t="shared" si="350"/>
        <v>0.13154163509472006</v>
      </c>
      <c r="Z1051" s="15">
        <f t="shared" si="351"/>
        <v>0.13437733931496798</v>
      </c>
      <c r="AA1051" s="15">
        <f t="shared" si="352"/>
        <v>0.14004874775546364</v>
      </c>
      <c r="AC1051" s="1"/>
      <c r="AD1051" s="1"/>
      <c r="AE1051" s="1"/>
    </row>
    <row r="1052" spans="1:31">
      <c r="A1052">
        <v>434</v>
      </c>
      <c r="B1052">
        <f t="shared" si="332"/>
        <v>0.97141500011383952</v>
      </c>
      <c r="C1052">
        <v>0.97495548006406363</v>
      </c>
      <c r="D1052">
        <f t="shared" si="333"/>
        <v>1.0256878600593031</v>
      </c>
      <c r="E1052" s="1">
        <f t="shared" si="334"/>
        <v>6.9568110933156402E-3</v>
      </c>
      <c r="F1052" s="1">
        <f t="shared" si="335"/>
        <v>8.0699008682461604E-3</v>
      </c>
      <c r="G1052" s="1">
        <f t="shared" si="336"/>
        <v>2.5044519935936566E-3</v>
      </c>
      <c r="H1052" s="1">
        <f t="shared" si="337"/>
        <v>2.4268310105056978E-3</v>
      </c>
      <c r="I1052" s="1">
        <f t="shared" si="338"/>
        <v>8.9189422721785427E-3</v>
      </c>
      <c r="J1052" s="1">
        <f t="shared" si="339"/>
        <v>9.6626665982516013E-3</v>
      </c>
      <c r="K1052" s="1">
        <f t="shared" si="340"/>
        <v>5.9416699124306416E-3</v>
      </c>
      <c r="L1052" s="1">
        <f t="shared" si="341"/>
        <v>5.8916393737613038E-3</v>
      </c>
      <c r="M1052" s="1">
        <f t="shared" si="342"/>
        <v>1.2843204629904348E-2</v>
      </c>
      <c r="N1052" s="1">
        <f t="shared" si="343"/>
        <v>1.2848198058262206E-2</v>
      </c>
      <c r="O1052" s="1">
        <f t="shared" si="344"/>
        <v>1.2816105750104667E-2</v>
      </c>
      <c r="P1052" s="1">
        <f t="shared" si="345"/>
        <v>1.282125610027246E-2</v>
      </c>
      <c r="Q1052" s="1">
        <f t="shared" si="346"/>
        <v>0.19479071061283904</v>
      </c>
      <c r="T1052">
        <v>0.47498463038054761</v>
      </c>
      <c r="U1052">
        <f t="shared" si="353"/>
        <v>2.1053312802959985</v>
      </c>
      <c r="V1052" s="15">
        <f t="shared" si="347"/>
        <v>5.9514950006068101E-2</v>
      </c>
      <c r="W1052" s="15">
        <f t="shared" si="348"/>
        <v>6.4553414773814002E-2</v>
      </c>
      <c r="X1052" s="15">
        <f t="shared" si="349"/>
        <v>7.4630344309305624E-2</v>
      </c>
      <c r="Y1052" s="15">
        <f t="shared" si="350"/>
        <v>8.3256304252632141E-2</v>
      </c>
      <c r="Z1052" s="15">
        <f t="shared" si="351"/>
        <v>8.7708589727339678E-2</v>
      </c>
      <c r="AA1052" s="15">
        <f t="shared" si="352"/>
        <v>9.6613160676754697E-2</v>
      </c>
      <c r="AC1052" s="1"/>
      <c r="AD1052" s="1"/>
      <c r="AE1052" s="1"/>
    </row>
    <row r="1053" spans="1:31">
      <c r="A1053">
        <v>65</v>
      </c>
      <c r="B1053">
        <f t="shared" si="332"/>
        <v>0.97146259346156183</v>
      </c>
      <c r="C1053">
        <v>0.975602810710547</v>
      </c>
      <c r="D1053">
        <f t="shared" si="333"/>
        <v>1.0250072970491795</v>
      </c>
      <c r="E1053" s="1">
        <f t="shared" si="334"/>
        <v>6.7769970248480471E-3</v>
      </c>
      <c r="F1053" s="1">
        <f t="shared" si="335"/>
        <v>7.8613165488237713E-3</v>
      </c>
      <c r="G1053" s="1">
        <f t="shared" si="336"/>
        <v>2.4397189289453169E-3</v>
      </c>
      <c r="H1053" s="1">
        <f t="shared" si="337"/>
        <v>2.3641042307169374E-3</v>
      </c>
      <c r="I1053" s="1">
        <f t="shared" si="338"/>
        <v>8.6884126121265504E-3</v>
      </c>
      <c r="J1053" s="1">
        <f t="shared" si="339"/>
        <v>9.412913748853835E-3</v>
      </c>
      <c r="K1053" s="1">
        <f t="shared" si="340"/>
        <v>5.7880943982885069E-3</v>
      </c>
      <c r="L1053" s="1">
        <f t="shared" si="341"/>
        <v>5.7393570088200008E-3</v>
      </c>
      <c r="M1053" s="1">
        <f t="shared" si="342"/>
        <v>1.2511243786683557E-2</v>
      </c>
      <c r="N1053" s="1">
        <f t="shared" si="343"/>
        <v>1.251610814891374E-2</v>
      </c>
      <c r="O1053" s="1">
        <f t="shared" si="344"/>
        <v>1.248484533697497E-2</v>
      </c>
      <c r="P1053" s="1">
        <f t="shared" si="345"/>
        <v>1.24898625650261E-2</v>
      </c>
      <c r="Q1053" s="1">
        <f t="shared" si="346"/>
        <v>0.18975591669574587</v>
      </c>
      <c r="T1053">
        <v>0.24702969546031361</v>
      </c>
      <c r="U1053">
        <f t="shared" si="353"/>
        <v>4.0480963154514935</v>
      </c>
      <c r="V1053" s="15">
        <f t="shared" si="347"/>
        <v>7.4427433849531863E-2</v>
      </c>
      <c r="W1053" s="15">
        <f t="shared" si="348"/>
        <v>7.8871649920009307E-2</v>
      </c>
      <c r="X1053" s="15">
        <f t="shared" si="349"/>
        <v>8.7760082060964251E-2</v>
      </c>
      <c r="Y1053" s="15">
        <f t="shared" si="350"/>
        <v>0.10532740895170885</v>
      </c>
      <c r="Z1053" s="15">
        <f t="shared" si="351"/>
        <v>0.10918593789950394</v>
      </c>
      <c r="AA1053" s="15">
        <f t="shared" si="352"/>
        <v>0.11690299579509425</v>
      </c>
      <c r="AC1053" s="1"/>
      <c r="AD1053" s="1"/>
      <c r="AE1053" s="1"/>
    </row>
    <row r="1054" spans="1:31">
      <c r="A1054">
        <v>212</v>
      </c>
      <c r="B1054">
        <f t="shared" si="332"/>
        <v>0.97358640565494359</v>
      </c>
      <c r="C1054">
        <v>0.97713351265471537</v>
      </c>
      <c r="D1054">
        <f t="shared" si="333"/>
        <v>1.0234015997293553</v>
      </c>
      <c r="E1054" s="1">
        <f t="shared" si="334"/>
        <v>6.3518020403568187E-3</v>
      </c>
      <c r="F1054" s="1">
        <f t="shared" si="335"/>
        <v>7.3680903668139619E-3</v>
      </c>
      <c r="G1054" s="1">
        <f t="shared" si="336"/>
        <v>2.2866487345284819E-3</v>
      </c>
      <c r="H1054" s="1">
        <f t="shared" si="337"/>
        <v>2.2157781715450575E-3</v>
      </c>
      <c r="I1054" s="1">
        <f t="shared" si="338"/>
        <v>8.1432936675082668E-3</v>
      </c>
      <c r="J1054" s="1">
        <f t="shared" si="339"/>
        <v>8.8223389410463926E-3</v>
      </c>
      <c r="K1054" s="1">
        <f t="shared" si="340"/>
        <v>5.4249440680035343E-3</v>
      </c>
      <c r="L1054" s="1">
        <f t="shared" si="341"/>
        <v>5.3792645068745093E-3</v>
      </c>
      <c r="M1054" s="1">
        <f t="shared" si="342"/>
        <v>1.1726276921811107E-2</v>
      </c>
      <c r="N1054" s="1">
        <f t="shared" si="343"/>
        <v>1.1730836089511143E-2</v>
      </c>
      <c r="O1054" s="1">
        <f t="shared" si="344"/>
        <v>1.1701534734953667E-2</v>
      </c>
      <c r="P1054" s="1">
        <f t="shared" si="345"/>
        <v>1.170623717753333E-2</v>
      </c>
      <c r="Q1054" s="1">
        <f t="shared" si="346"/>
        <v>0.17785045712999192</v>
      </c>
      <c r="T1054">
        <v>0.84654076728397742</v>
      </c>
      <c r="U1054">
        <f t="shared" si="353"/>
        <v>1.1812780183149096</v>
      </c>
      <c r="V1054" s="15">
        <f t="shared" si="347"/>
        <v>0</v>
      </c>
      <c r="W1054" s="15">
        <f t="shared" si="348"/>
        <v>0</v>
      </c>
      <c r="X1054" s="15">
        <f t="shared" si="349"/>
        <v>0</v>
      </c>
      <c r="Y1054" s="15">
        <f t="shared" si="350"/>
        <v>0</v>
      </c>
      <c r="Z1054" s="15">
        <f t="shared" si="351"/>
        <v>0</v>
      </c>
      <c r="AA1054" s="15">
        <f t="shared" si="352"/>
        <v>0</v>
      </c>
      <c r="AC1054" s="1"/>
      <c r="AD1054" s="1"/>
      <c r="AE1054" s="1"/>
    </row>
    <row r="1055" spans="1:31">
      <c r="A1055">
        <v>981</v>
      </c>
      <c r="B1055">
        <f t="shared" si="332"/>
        <v>0.97513345751245817</v>
      </c>
      <c r="C1055">
        <v>0.97825319375057629</v>
      </c>
      <c r="D1055">
        <f t="shared" si="333"/>
        <v>1.0222302430376409</v>
      </c>
      <c r="E1055" s="1">
        <f t="shared" si="334"/>
        <v>6.0407795137287779E-3</v>
      </c>
      <c r="F1055" s="1">
        <f t="shared" si="335"/>
        <v>7.0073042359254378E-3</v>
      </c>
      <c r="G1055" s="1">
        <f t="shared" si="336"/>
        <v>2.1746806249423878E-3</v>
      </c>
      <c r="H1055" s="1">
        <f t="shared" si="337"/>
        <v>2.1072803120427419E-3</v>
      </c>
      <c r="I1055" s="1">
        <f t="shared" si="338"/>
        <v>7.7445489088633357E-3</v>
      </c>
      <c r="J1055" s="1">
        <f t="shared" si="339"/>
        <v>8.3903440314476718E-3</v>
      </c>
      <c r="K1055" s="1">
        <f t="shared" si="340"/>
        <v>5.1593060962711046E-3</v>
      </c>
      <c r="L1055" s="1">
        <f t="shared" si="341"/>
        <v>5.1158632818837646E-3</v>
      </c>
      <c r="M1055" s="1">
        <f t="shared" si="342"/>
        <v>1.1152087699132396E-2</v>
      </c>
      <c r="N1055" s="1">
        <f t="shared" si="343"/>
        <v>1.1156423622491918E-2</v>
      </c>
      <c r="O1055" s="1">
        <f t="shared" si="344"/>
        <v>1.1128557038928566E-2</v>
      </c>
      <c r="P1055" s="1">
        <f t="shared" si="345"/>
        <v>1.1133029221565782E-2</v>
      </c>
      <c r="Q1055" s="1">
        <f t="shared" si="346"/>
        <v>0.16914182638440778</v>
      </c>
      <c r="T1055">
        <v>2.4150956117329314E-2</v>
      </c>
      <c r="U1055">
        <f t="shared" si="353"/>
        <v>41.406228189966292</v>
      </c>
      <c r="V1055" s="15">
        <f t="shared" si="347"/>
        <v>0.10304197639427203</v>
      </c>
      <c r="W1055" s="15">
        <f t="shared" si="348"/>
        <v>0.1057753682453844</v>
      </c>
      <c r="X1055" s="15">
        <f t="shared" si="349"/>
        <v>0.11124215194760896</v>
      </c>
      <c r="Y1055" s="15">
        <f t="shared" si="350"/>
        <v>0.14763297309330198</v>
      </c>
      <c r="Z1055" s="15">
        <f t="shared" si="351"/>
        <v>0.14970192057754048</v>
      </c>
      <c r="AA1055" s="15">
        <f t="shared" si="352"/>
        <v>0.15383981554601778</v>
      </c>
      <c r="AC1055" s="1"/>
      <c r="AD1055" s="1"/>
      <c r="AE1055" s="1"/>
    </row>
    <row r="1056" spans="1:31">
      <c r="A1056">
        <v>767</v>
      </c>
      <c r="B1056">
        <f t="shared" si="332"/>
        <v>0.97523321522773487</v>
      </c>
      <c r="C1056">
        <v>0.97840745428712284</v>
      </c>
      <c r="D1056">
        <f t="shared" si="333"/>
        <v>1.0220690731844533</v>
      </c>
      <c r="E1056" s="1">
        <f t="shared" si="334"/>
        <v>5.9979293646880705E-3</v>
      </c>
      <c r="F1056" s="1">
        <f t="shared" si="335"/>
        <v>6.9575980630381951E-3</v>
      </c>
      <c r="G1056" s="1">
        <f t="shared" si="336"/>
        <v>2.1592545712877248E-3</v>
      </c>
      <c r="H1056" s="1">
        <f t="shared" si="337"/>
        <v>2.0923323611638234E-3</v>
      </c>
      <c r="I1056" s="1">
        <f t="shared" si="338"/>
        <v>7.6896131055876893E-3</v>
      </c>
      <c r="J1056" s="1">
        <f t="shared" si="339"/>
        <v>8.3308272933456662E-3</v>
      </c>
      <c r="K1056" s="1">
        <f t="shared" si="340"/>
        <v>5.1227086613424844E-3</v>
      </c>
      <c r="L1056" s="1">
        <f t="shared" si="341"/>
        <v>5.0795740076928497E-3</v>
      </c>
      <c r="M1056" s="1">
        <f t="shared" si="342"/>
        <v>1.1072980587386816E-2</v>
      </c>
      <c r="N1056" s="1">
        <f t="shared" si="343"/>
        <v>1.1077285753960442E-2</v>
      </c>
      <c r="O1056" s="1">
        <f t="shared" si="344"/>
        <v>1.1049616841452004E-2</v>
      </c>
      <c r="P1056" s="1">
        <f t="shared" si="345"/>
        <v>1.1054057300750875E-2</v>
      </c>
      <c r="Q1056" s="1">
        <f t="shared" si="346"/>
        <v>0.16794202221126753</v>
      </c>
      <c r="T1056">
        <v>0.60809875411847936</v>
      </c>
      <c r="U1056">
        <f t="shared" si="353"/>
        <v>1.6444697398691994</v>
      </c>
      <c r="V1056" s="15">
        <f t="shared" si="347"/>
        <v>0</v>
      </c>
      <c r="W1056" s="15">
        <f t="shared" si="348"/>
        <v>0</v>
      </c>
      <c r="X1056" s="15">
        <f t="shared" si="349"/>
        <v>0</v>
      </c>
      <c r="Y1056" s="15">
        <f t="shared" si="350"/>
        <v>0</v>
      </c>
      <c r="Z1056" s="15">
        <f t="shared" si="351"/>
        <v>0</v>
      </c>
      <c r="AA1056" s="15">
        <f t="shared" si="352"/>
        <v>0</v>
      </c>
      <c r="AC1056" s="1"/>
      <c r="AD1056" s="1"/>
      <c r="AE1056" s="1"/>
    </row>
    <row r="1057" spans="1:31">
      <c r="A1057">
        <v>269</v>
      </c>
      <c r="B1057">
        <f t="shared" si="332"/>
        <v>0.97609829624691569</v>
      </c>
      <c r="C1057">
        <v>0.97930300124848491</v>
      </c>
      <c r="D1057">
        <f t="shared" si="333"/>
        <v>1.0211344177697088</v>
      </c>
      <c r="E1057" s="1">
        <f t="shared" si="334"/>
        <v>5.7491663198652732E-3</v>
      </c>
      <c r="F1057" s="1">
        <f t="shared" si="335"/>
        <v>6.6690329310437613E-3</v>
      </c>
      <c r="G1057" s="1">
        <f t="shared" si="336"/>
        <v>2.0696998751515289E-3</v>
      </c>
      <c r="H1057" s="1">
        <f t="shared" si="337"/>
        <v>2.0055532516916885E-3</v>
      </c>
      <c r="I1057" s="1">
        <f t="shared" si="338"/>
        <v>7.3706877809719407E-3</v>
      </c>
      <c r="J1057" s="1">
        <f t="shared" si="339"/>
        <v>7.9853077252783344E-3</v>
      </c>
      <c r="K1057" s="1">
        <f t="shared" si="340"/>
        <v>4.9102452382421558E-3</v>
      </c>
      <c r="L1057" s="1">
        <f t="shared" si="341"/>
        <v>4.8688995866175144E-3</v>
      </c>
      <c r="M1057" s="1">
        <f t="shared" si="342"/>
        <v>1.0613730703185276E-2</v>
      </c>
      <c r="N1057" s="1">
        <f t="shared" si="343"/>
        <v>1.0617857313747314E-2</v>
      </c>
      <c r="O1057" s="1">
        <f t="shared" si="344"/>
        <v>1.059133596442341E-2</v>
      </c>
      <c r="P1057" s="1">
        <f t="shared" si="345"/>
        <v>1.0595592256469111E-2</v>
      </c>
      <c r="Q1057" s="1">
        <f t="shared" si="346"/>
        <v>0.16097665695622965</v>
      </c>
      <c r="T1057">
        <v>0.5446168549648106</v>
      </c>
      <c r="U1057">
        <f t="shared" si="353"/>
        <v>1.836153234854645</v>
      </c>
      <c r="V1057" s="15">
        <f t="shared" si="347"/>
        <v>0</v>
      </c>
      <c r="W1057" s="15">
        <f t="shared" si="348"/>
        <v>0</v>
      </c>
      <c r="X1057" s="15">
        <f t="shared" si="349"/>
        <v>0</v>
      </c>
      <c r="Y1057" s="15">
        <f t="shared" si="350"/>
        <v>0</v>
      </c>
      <c r="Z1057" s="15">
        <f t="shared" si="351"/>
        <v>0</v>
      </c>
      <c r="AA1057" s="15">
        <f t="shared" si="352"/>
        <v>0</v>
      </c>
      <c r="AC1057" s="1"/>
      <c r="AD1057" s="1"/>
      <c r="AE1057" s="1"/>
    </row>
    <row r="1058" spans="1:31">
      <c r="A1058">
        <v>912</v>
      </c>
      <c r="B1058">
        <f t="shared" si="332"/>
        <v>0.97725245286154805</v>
      </c>
      <c r="C1058">
        <v>0.98008631317301043</v>
      </c>
      <c r="D1058">
        <f t="shared" si="333"/>
        <v>1.0203182990715576</v>
      </c>
      <c r="E1058" s="1">
        <f t="shared" si="334"/>
        <v>5.5315796741637613E-3</v>
      </c>
      <c r="F1058" s="1">
        <f t="shared" si="335"/>
        <v>6.4166324220299997E-3</v>
      </c>
      <c r="G1058" s="1">
        <f t="shared" si="336"/>
        <v>1.991368682698974E-3</v>
      </c>
      <c r="H1058" s="1">
        <f t="shared" si="337"/>
        <v>1.9296497936018564E-3</v>
      </c>
      <c r="I1058" s="1">
        <f t="shared" si="338"/>
        <v>7.0917319912893184E-3</v>
      </c>
      <c r="J1058" s="1">
        <f t="shared" si="339"/>
        <v>7.6830906339351301E-3</v>
      </c>
      <c r="K1058" s="1">
        <f t="shared" si="340"/>
        <v>4.7244089392870503E-3</v>
      </c>
      <c r="L1058" s="1">
        <f t="shared" si="341"/>
        <v>4.6846280817822716E-3</v>
      </c>
      <c r="M1058" s="1">
        <f t="shared" si="342"/>
        <v>1.0212036625540377E-2</v>
      </c>
      <c r="N1058" s="1">
        <f t="shared" si="343"/>
        <v>1.0216007057745335E-2</v>
      </c>
      <c r="O1058" s="1">
        <f t="shared" si="344"/>
        <v>1.0190489452463258E-2</v>
      </c>
      <c r="P1058" s="1">
        <f t="shared" si="345"/>
        <v>1.0194584658143102E-2</v>
      </c>
      <c r="Q1058" s="1">
        <f t="shared" si="346"/>
        <v>0.15488423087658632</v>
      </c>
      <c r="T1058">
        <v>0.24771300289889642</v>
      </c>
      <c r="U1058">
        <f t="shared" si="353"/>
        <v>4.0369297868798117</v>
      </c>
      <c r="V1058" s="15">
        <f t="shared" si="347"/>
        <v>7.438273286009485E-2</v>
      </c>
      <c r="W1058" s="15">
        <f t="shared" si="348"/>
        <v>7.8828730223683377E-2</v>
      </c>
      <c r="X1058" s="15">
        <f t="shared" si="349"/>
        <v>8.7720724950860501E-2</v>
      </c>
      <c r="Y1058" s="15">
        <f t="shared" si="350"/>
        <v>0.10526124960304682</v>
      </c>
      <c r="Z1058" s="15">
        <f t="shared" si="351"/>
        <v>0.10912155836864532</v>
      </c>
      <c r="AA1058" s="15">
        <f t="shared" si="352"/>
        <v>0.11684217589984244</v>
      </c>
      <c r="AC1058" s="1"/>
      <c r="AD1058" s="1"/>
      <c r="AE1058" s="1"/>
    </row>
    <row r="1059" spans="1:31">
      <c r="A1059">
        <v>827</v>
      </c>
      <c r="B1059">
        <f t="shared" si="332"/>
        <v>0.97762312942408569</v>
      </c>
      <c r="C1059">
        <v>0.98041770003978834</v>
      </c>
      <c r="D1059">
        <f t="shared" si="333"/>
        <v>1.0199734255709754</v>
      </c>
      <c r="E1059" s="1">
        <f t="shared" si="334"/>
        <v>5.4395277667254327E-3</v>
      </c>
      <c r="F1059" s="1">
        <f t="shared" si="335"/>
        <v>6.3098522094015563E-3</v>
      </c>
      <c r="G1059" s="1">
        <f t="shared" si="336"/>
        <v>1.9582299960211741E-3</v>
      </c>
      <c r="H1059" s="1">
        <f t="shared" si="337"/>
        <v>1.8975381808886416E-3</v>
      </c>
      <c r="I1059" s="1">
        <f t="shared" si="338"/>
        <v>6.9737173380992612E-3</v>
      </c>
      <c r="J1059" s="1">
        <f t="shared" si="339"/>
        <v>7.5552350864179774E-3</v>
      </c>
      <c r="K1059" s="1">
        <f t="shared" si="340"/>
        <v>4.6457892899288145E-3</v>
      </c>
      <c r="L1059" s="1">
        <f t="shared" si="341"/>
        <v>4.6066704320748553E-3</v>
      </c>
      <c r="M1059" s="1">
        <f t="shared" si="342"/>
        <v>1.0042096480846918E-2</v>
      </c>
      <c r="N1059" s="1">
        <f t="shared" si="343"/>
        <v>1.0046000840450653E-2</v>
      </c>
      <c r="O1059" s="1">
        <f t="shared" si="344"/>
        <v>1.0020907877744067E-2</v>
      </c>
      <c r="P1059" s="1">
        <f t="shared" si="345"/>
        <v>1.0024934934447227E-2</v>
      </c>
      <c r="Q1059" s="1">
        <f t="shared" si="346"/>
        <v>0.152306777468314</v>
      </c>
      <c r="T1059">
        <v>0.13391842748151306</v>
      </c>
      <c r="U1059">
        <f t="shared" si="353"/>
        <v>7.4672322458240208</v>
      </c>
      <c r="V1059" s="15">
        <f t="shared" si="347"/>
        <v>8.6489970479037698E-2</v>
      </c>
      <c r="W1059" s="15">
        <f t="shared" si="348"/>
        <v>9.0287841913578526E-2</v>
      </c>
      <c r="X1059" s="15">
        <f t="shared" si="349"/>
        <v>9.7883584782660044E-2</v>
      </c>
      <c r="Y1059" s="15">
        <f t="shared" si="350"/>
        <v>0.12317198068307635</v>
      </c>
      <c r="Z1059" s="15">
        <f t="shared" si="351"/>
        <v>0.12636080038897735</v>
      </c>
      <c r="AA1059" s="15">
        <f t="shared" si="352"/>
        <v>0.13273843980077932</v>
      </c>
      <c r="AC1059" s="1"/>
      <c r="AD1059" s="1"/>
      <c r="AE1059" s="1"/>
    </row>
    <row r="1060" spans="1:31">
      <c r="A1060">
        <v>286</v>
      </c>
      <c r="B1060">
        <f t="shared" si="332"/>
        <v>0.9784080091288595</v>
      </c>
      <c r="C1060">
        <v>0.98198260215843036</v>
      </c>
      <c r="D1060">
        <f t="shared" si="333"/>
        <v>1.0183479807096041</v>
      </c>
      <c r="E1060" s="1">
        <f t="shared" si="334"/>
        <v>5.0048327337693377E-3</v>
      </c>
      <c r="F1060" s="1">
        <f t="shared" si="335"/>
        <v>5.8056059711724672E-3</v>
      </c>
      <c r="G1060" s="1">
        <f t="shared" si="336"/>
        <v>1.8017397841569721E-3</v>
      </c>
      <c r="H1060" s="1">
        <f t="shared" si="337"/>
        <v>1.745898101556273E-3</v>
      </c>
      <c r="I1060" s="1">
        <f t="shared" si="338"/>
        <v>6.4164189074054079E-3</v>
      </c>
      <c r="J1060" s="1">
        <f t="shared" si="339"/>
        <v>6.9514651810648198E-3</v>
      </c>
      <c r="K1060" s="1">
        <f t="shared" si="340"/>
        <v>4.2745251627656911E-3</v>
      </c>
      <c r="L1060" s="1">
        <f t="shared" si="341"/>
        <v>4.2385324537123903E-3</v>
      </c>
      <c r="M1060" s="1">
        <f t="shared" si="342"/>
        <v>9.2395912546776038E-3</v>
      </c>
      <c r="N1060" s="1">
        <f t="shared" si="343"/>
        <v>9.2431836008494139E-3</v>
      </c>
      <c r="O1060" s="1">
        <f t="shared" si="344"/>
        <v>9.2200959199831845E-3</v>
      </c>
      <c r="P1060" s="1">
        <f t="shared" si="345"/>
        <v>9.2238011580246249E-3</v>
      </c>
      <c r="Q1060" s="1">
        <f t="shared" si="346"/>
        <v>0.14013531654554257</v>
      </c>
      <c r="T1060">
        <v>0.20399259929999969</v>
      </c>
      <c r="U1060">
        <f t="shared" si="353"/>
        <v>4.9021386238103668</v>
      </c>
      <c r="V1060" s="15">
        <f t="shared" si="347"/>
        <v>7.7242858755269719E-2</v>
      </c>
      <c r="W1060" s="15">
        <f t="shared" si="348"/>
        <v>8.157488274560451E-2</v>
      </c>
      <c r="X1060" s="15">
        <f t="shared" si="349"/>
        <v>9.0238930726274189E-2</v>
      </c>
      <c r="Y1060" s="15">
        <f t="shared" si="350"/>
        <v>0.10949435649171671</v>
      </c>
      <c r="Z1060" s="15">
        <f t="shared" si="351"/>
        <v>0.11324078627941471</v>
      </c>
      <c r="AA1060" s="15">
        <f t="shared" si="352"/>
        <v>0.12073364585481088</v>
      </c>
      <c r="AC1060" s="1"/>
      <c r="AD1060" s="1"/>
      <c r="AE1060" s="1"/>
    </row>
    <row r="1061" spans="1:31">
      <c r="A1061">
        <v>756</v>
      </c>
      <c r="B1061">
        <f t="shared" si="332"/>
        <v>0.97852041865374606</v>
      </c>
      <c r="C1061">
        <v>0.98210824832975152</v>
      </c>
      <c r="D1061">
        <f t="shared" si="333"/>
        <v>1.0182176982024911</v>
      </c>
      <c r="E1061" s="1">
        <f t="shared" si="334"/>
        <v>4.9699310195134572E-3</v>
      </c>
      <c r="F1061" s="1">
        <f t="shared" si="335"/>
        <v>5.7651199826356248E-3</v>
      </c>
      <c r="G1061" s="1">
        <f t="shared" si="336"/>
        <v>1.7891751670248562E-3</v>
      </c>
      <c r="H1061" s="1">
        <f t="shared" si="337"/>
        <v>1.7337229021236883E-3</v>
      </c>
      <c r="I1061" s="1">
        <f t="shared" si="338"/>
        <v>6.3716733522260482E-3</v>
      </c>
      <c r="J1061" s="1">
        <f t="shared" si="339"/>
        <v>6.9029884258333674E-3</v>
      </c>
      <c r="K1061" s="1">
        <f t="shared" si="340"/>
        <v>4.2447163232406937E-3</v>
      </c>
      <c r="L1061" s="1">
        <f t="shared" si="341"/>
        <v>4.2089746130345995E-3</v>
      </c>
      <c r="M1061" s="1">
        <f t="shared" si="342"/>
        <v>9.1751580176512859E-3</v>
      </c>
      <c r="N1061" s="1">
        <f t="shared" si="343"/>
        <v>9.1787253122287416E-3</v>
      </c>
      <c r="O1061" s="1">
        <f t="shared" si="344"/>
        <v>9.1557986356723964E-3</v>
      </c>
      <c r="P1061" s="1">
        <f t="shared" si="345"/>
        <v>9.1594780348564497E-3</v>
      </c>
      <c r="Q1061" s="1">
        <f t="shared" si="346"/>
        <v>0.13915806854637758</v>
      </c>
      <c r="T1061">
        <v>0.83853100499121958</v>
      </c>
      <c r="U1061">
        <f t="shared" si="353"/>
        <v>1.1925617467304876</v>
      </c>
      <c r="V1061" s="15">
        <f t="shared" si="347"/>
        <v>0</v>
      </c>
      <c r="W1061" s="15">
        <f t="shared" si="348"/>
        <v>0</v>
      </c>
      <c r="X1061" s="15">
        <f t="shared" si="349"/>
        <v>0</v>
      </c>
      <c r="Y1061" s="15">
        <f t="shared" si="350"/>
        <v>0</v>
      </c>
      <c r="Z1061" s="15">
        <f t="shared" si="351"/>
        <v>0</v>
      </c>
      <c r="AA1061" s="15">
        <f t="shared" si="352"/>
        <v>0</v>
      </c>
      <c r="AC1061" s="1"/>
      <c r="AD1061" s="1"/>
      <c r="AE1061" s="1"/>
    </row>
    <row r="1062" spans="1:31">
      <c r="A1062">
        <v>155</v>
      </c>
      <c r="B1062">
        <f t="shared" si="332"/>
        <v>0.97963297163950858</v>
      </c>
      <c r="C1062">
        <v>0.98340465496495288</v>
      </c>
      <c r="D1062">
        <f t="shared" si="333"/>
        <v>1.0168753980889369</v>
      </c>
      <c r="E1062" s="1">
        <f t="shared" si="334"/>
        <v>4.6098180652908438E-3</v>
      </c>
      <c r="F1062" s="1">
        <f t="shared" si="335"/>
        <v>5.3473889557373866E-3</v>
      </c>
      <c r="G1062" s="1">
        <f t="shared" si="336"/>
        <v>1.6595345035047282E-3</v>
      </c>
      <c r="H1062" s="1">
        <f t="shared" si="337"/>
        <v>1.6081002176969172E-3</v>
      </c>
      <c r="I1062" s="1">
        <f t="shared" si="338"/>
        <v>5.909992474724457E-3</v>
      </c>
      <c r="J1062" s="1">
        <f t="shared" si="339"/>
        <v>6.4028093397995867E-3</v>
      </c>
      <c r="K1062" s="1">
        <f t="shared" si="340"/>
        <v>3.9371512224380123E-3</v>
      </c>
      <c r="L1062" s="1">
        <f t="shared" si="341"/>
        <v>3.9039992972411397E-3</v>
      </c>
      <c r="M1062" s="1">
        <f t="shared" si="342"/>
        <v>8.5103412935916278E-3</v>
      </c>
      <c r="N1062" s="1">
        <f t="shared" si="343"/>
        <v>8.5136501079237648E-3</v>
      </c>
      <c r="O1062" s="1">
        <f t="shared" si="344"/>
        <v>8.4923846603046083E-3</v>
      </c>
      <c r="P1062" s="1">
        <f t="shared" si="345"/>
        <v>8.4957974563296124E-3</v>
      </c>
      <c r="Q1062" s="1">
        <f t="shared" si="346"/>
        <v>0.12907490582814507</v>
      </c>
      <c r="T1062">
        <v>0.41516081724100806</v>
      </c>
      <c r="U1062">
        <f t="shared" si="353"/>
        <v>2.4087051534525781</v>
      </c>
      <c r="V1062" s="15">
        <f t="shared" si="347"/>
        <v>6.3428537782572916E-2</v>
      </c>
      <c r="W1062" s="15">
        <f t="shared" si="348"/>
        <v>6.8311049694829012E-2</v>
      </c>
      <c r="X1062" s="15">
        <f t="shared" si="349"/>
        <v>7.807607351934108E-2</v>
      </c>
      <c r="Y1062" s="15">
        <f t="shared" si="350"/>
        <v>8.9048579132589456E-2</v>
      </c>
      <c r="Z1062" s="15">
        <f t="shared" si="351"/>
        <v>9.3345040915527311E-2</v>
      </c>
      <c r="AA1062" s="15">
        <f t="shared" si="352"/>
        <v>0.10193796448140297</v>
      </c>
      <c r="AC1062" s="1"/>
      <c r="AD1062" s="1"/>
      <c r="AE1062" s="1"/>
    </row>
    <row r="1063" spans="1:31">
      <c r="A1063">
        <v>865</v>
      </c>
      <c r="B1063">
        <f t="shared" si="332"/>
        <v>0.98007966550124714</v>
      </c>
      <c r="C1063">
        <v>0.98397548886743968</v>
      </c>
      <c r="D1063">
        <f t="shared" si="333"/>
        <v>1.016285477955355</v>
      </c>
      <c r="E1063" s="1">
        <f t="shared" si="334"/>
        <v>4.4512530923778437E-3</v>
      </c>
      <c r="F1063" s="1">
        <f t="shared" si="335"/>
        <v>5.1634535871583065E-3</v>
      </c>
      <c r="G1063" s="1">
        <f t="shared" si="336"/>
        <v>1.6024511132560482E-3</v>
      </c>
      <c r="H1063" s="1">
        <f t="shared" si="337"/>
        <v>1.552786024414457E-3</v>
      </c>
      <c r="I1063" s="1">
        <f t="shared" si="338"/>
        <v>5.7067051034230265E-3</v>
      </c>
      <c r="J1063" s="1">
        <f t="shared" si="339"/>
        <v>6.1825704333714482E-3</v>
      </c>
      <c r="K1063" s="1">
        <f t="shared" si="340"/>
        <v>3.8017241257287393E-3</v>
      </c>
      <c r="L1063" s="1">
        <f t="shared" si="341"/>
        <v>3.7697125349326066E-3</v>
      </c>
      <c r="M1063" s="1">
        <f t="shared" si="342"/>
        <v>8.2176091255133921E-3</v>
      </c>
      <c r="N1063" s="1">
        <f t="shared" si="343"/>
        <v>8.220804125797454E-3</v>
      </c>
      <c r="O1063" s="1">
        <f t="shared" si="344"/>
        <v>8.2002701506741493E-3</v>
      </c>
      <c r="P1063" s="1">
        <f t="shared" si="345"/>
        <v>8.2035655559688503E-3</v>
      </c>
      <c r="Q1063" s="1">
        <f t="shared" si="346"/>
        <v>0.12463508658658107</v>
      </c>
      <c r="T1063">
        <v>0.32702443727595276</v>
      </c>
      <c r="U1063">
        <f t="shared" si="353"/>
        <v>3.0578754552100058</v>
      </c>
      <c r="V1063" s="15">
        <f t="shared" si="347"/>
        <v>6.9194292942513558E-2</v>
      </c>
      <c r="W1063" s="15">
        <f t="shared" si="348"/>
        <v>7.3847044841043596E-2</v>
      </c>
      <c r="X1063" s="15">
        <f t="shared" si="349"/>
        <v>8.3152548638103688E-2</v>
      </c>
      <c r="Y1063" s="15">
        <f t="shared" si="350"/>
        <v>9.7582139815042032E-2</v>
      </c>
      <c r="Z1063" s="15">
        <f t="shared" si="351"/>
        <v>0.10164903187674967</v>
      </c>
      <c r="AA1063" s="15">
        <f t="shared" si="352"/>
        <v>0.109782816000165</v>
      </c>
      <c r="AC1063" s="1"/>
      <c r="AD1063" s="1"/>
      <c r="AE1063" s="1"/>
    </row>
    <row r="1064" spans="1:31">
      <c r="A1064">
        <v>10</v>
      </c>
      <c r="B1064">
        <f t="shared" si="332"/>
        <v>0.98127301786759358</v>
      </c>
      <c r="C1064">
        <v>0.98553209524294161</v>
      </c>
      <c r="D1064">
        <f t="shared" si="333"/>
        <v>1.0146802979090113</v>
      </c>
      <c r="E1064" s="1">
        <f t="shared" si="334"/>
        <v>4.0188624325162015E-3</v>
      </c>
      <c r="F1064" s="1">
        <f t="shared" si="335"/>
        <v>4.6618804217188337E-3</v>
      </c>
      <c r="G1064" s="1">
        <f t="shared" si="336"/>
        <v>1.4467904757058531E-3</v>
      </c>
      <c r="H1064" s="1">
        <f t="shared" si="337"/>
        <v>1.4019498082329385E-3</v>
      </c>
      <c r="I1064" s="1">
        <f t="shared" si="338"/>
        <v>5.1523609818698857E-3</v>
      </c>
      <c r="J1064" s="1">
        <f t="shared" si="339"/>
        <v>5.5820011882965481E-3</v>
      </c>
      <c r="K1064" s="1">
        <f t="shared" si="340"/>
        <v>3.432428116443037E-3</v>
      </c>
      <c r="L1064" s="1">
        <f t="shared" si="341"/>
        <v>3.4035261023391827E-3</v>
      </c>
      <c r="M1064" s="1">
        <f t="shared" si="342"/>
        <v>7.4193580805772541E-3</v>
      </c>
      <c r="N1064" s="1">
        <f t="shared" si="343"/>
        <v>7.422242721451866E-3</v>
      </c>
      <c r="O1064" s="1">
        <f t="shared" si="344"/>
        <v>7.4037033979174049E-3</v>
      </c>
      <c r="P1064" s="1">
        <f t="shared" si="345"/>
        <v>7.4066786905516158E-3</v>
      </c>
      <c r="Q1064" s="1">
        <f t="shared" si="346"/>
        <v>0.11252814811045475</v>
      </c>
      <c r="T1064">
        <v>0.37760169386992393</v>
      </c>
      <c r="U1064">
        <f t="shared" si="353"/>
        <v>2.6482932048087675</v>
      </c>
      <c r="V1064" s="15">
        <f t="shared" si="347"/>
        <v>6.5885601590566126E-2</v>
      </c>
      <c r="W1064" s="15">
        <f t="shared" si="348"/>
        <v>7.0670201781184688E-2</v>
      </c>
      <c r="X1064" s="15">
        <f t="shared" si="349"/>
        <v>8.023940216242173E-2</v>
      </c>
      <c r="Y1064" s="15">
        <f t="shared" si="350"/>
        <v>9.2685137141824095E-2</v>
      </c>
      <c r="Z1064" s="15">
        <f t="shared" si="351"/>
        <v>9.6883768295850603E-2</v>
      </c>
      <c r="AA1064" s="15">
        <f t="shared" si="352"/>
        <v>0.10528103060390361</v>
      </c>
      <c r="AC1064" s="1"/>
      <c r="AD1064" s="1"/>
      <c r="AE1064" s="1"/>
    </row>
    <row r="1065" spans="1:31">
      <c r="A1065">
        <v>1000</v>
      </c>
      <c r="B1065">
        <f t="shared" si="332"/>
        <v>0.98344352397713608</v>
      </c>
      <c r="C1065">
        <v>0.98805614778006379</v>
      </c>
      <c r="D1065">
        <f t="shared" si="333"/>
        <v>1.0120882322798874</v>
      </c>
      <c r="E1065" s="1">
        <f t="shared" si="334"/>
        <v>3.3177367277600345E-3</v>
      </c>
      <c r="F1065" s="1">
        <f t="shared" si="335"/>
        <v>3.8485746042016822E-3</v>
      </c>
      <c r="G1065" s="1">
        <f t="shared" si="336"/>
        <v>1.1943852219936379E-3</v>
      </c>
      <c r="H1065" s="1">
        <f t="shared" si="337"/>
        <v>1.157367401187312E-3</v>
      </c>
      <c r="I1065" s="1">
        <f t="shared" si="338"/>
        <v>4.2534865403504041E-3</v>
      </c>
      <c r="J1065" s="1">
        <f t="shared" si="339"/>
        <v>4.6081722546588155E-3</v>
      </c>
      <c r="K1065" s="1">
        <f t="shared" si="340"/>
        <v>2.8336110077272214E-3</v>
      </c>
      <c r="L1065" s="1">
        <f t="shared" si="341"/>
        <v>2.8097512027926708E-3</v>
      </c>
      <c r="M1065" s="1">
        <f t="shared" si="342"/>
        <v>6.1249861655310878E-3</v>
      </c>
      <c r="N1065" s="1">
        <f t="shared" si="343"/>
        <v>6.1273675555729157E-3</v>
      </c>
      <c r="O1065" s="1">
        <f t="shared" si="344"/>
        <v>6.1120625791943883E-3</v>
      </c>
      <c r="P1065" s="1">
        <f t="shared" si="345"/>
        <v>6.1145188060033884E-3</v>
      </c>
      <c r="Q1065" s="1">
        <f t="shared" si="346"/>
        <v>9.2896628377282298E-2</v>
      </c>
      <c r="T1065">
        <v>0.50180620260809539</v>
      </c>
      <c r="U1065">
        <f t="shared" si="353"/>
        <v>1.9928011945699045</v>
      </c>
      <c r="V1065" s="15">
        <f t="shared" si="347"/>
        <v>0</v>
      </c>
      <c r="W1065" s="15">
        <f t="shared" si="348"/>
        <v>0</v>
      </c>
      <c r="X1065" s="15">
        <f t="shared" si="349"/>
        <v>0</v>
      </c>
      <c r="Y1065" s="15">
        <f t="shared" si="350"/>
        <v>0</v>
      </c>
      <c r="Z1065" s="15">
        <f t="shared" si="351"/>
        <v>0</v>
      </c>
      <c r="AA1065" s="15">
        <f t="shared" si="352"/>
        <v>0</v>
      </c>
      <c r="AC1065" s="1"/>
      <c r="AD1065" s="1"/>
      <c r="AE1065" s="1"/>
    </row>
    <row r="1066" spans="1:31">
      <c r="A1066">
        <v>826</v>
      </c>
      <c r="B1066">
        <f t="shared" si="332"/>
        <v>0.98346736370341425</v>
      </c>
      <c r="C1066">
        <v>0.988097952567348</v>
      </c>
      <c r="D1066">
        <f t="shared" si="333"/>
        <v>1.0120454125036158</v>
      </c>
      <c r="E1066" s="1">
        <f t="shared" si="334"/>
        <v>3.3061242868477614E-3</v>
      </c>
      <c r="F1066" s="1">
        <f t="shared" si="335"/>
        <v>3.8351041727434088E-3</v>
      </c>
      <c r="G1066" s="1">
        <f t="shared" si="336"/>
        <v>1.1902047432652135E-3</v>
      </c>
      <c r="H1066" s="1">
        <f t="shared" si="337"/>
        <v>1.1533164888748171E-3</v>
      </c>
      <c r="I1066" s="1">
        <f t="shared" si="338"/>
        <v>4.2385988728909085E-3</v>
      </c>
      <c r="J1066" s="1">
        <f t="shared" si="339"/>
        <v>4.5920431484602897E-3</v>
      </c>
      <c r="K1066" s="1">
        <f t="shared" si="340"/>
        <v>2.8236930597115295E-3</v>
      </c>
      <c r="L1066" s="1">
        <f t="shared" si="341"/>
        <v>2.7999167667002445E-3</v>
      </c>
      <c r="M1066" s="1">
        <f t="shared" si="342"/>
        <v>6.1035480449772028E-3</v>
      </c>
      <c r="N1066" s="1">
        <f t="shared" si="343"/>
        <v>6.1059210998937741E-3</v>
      </c>
      <c r="O1066" s="1">
        <f t="shared" si="344"/>
        <v>6.0906696926042447E-3</v>
      </c>
      <c r="P1066" s="1">
        <f t="shared" si="345"/>
        <v>6.0931173223510715E-3</v>
      </c>
      <c r="Q1066" s="1">
        <f t="shared" si="346"/>
        <v>9.2571480031738318E-2</v>
      </c>
      <c r="T1066">
        <v>0.49406106183949972</v>
      </c>
      <c r="U1066">
        <f t="shared" si="353"/>
        <v>2.02404131237701</v>
      </c>
      <c r="V1066" s="15">
        <f t="shared" si="347"/>
        <v>5.8266997308653978E-2</v>
      </c>
      <c r="W1066" s="15">
        <f t="shared" si="348"/>
        <v>6.3355191837885322E-2</v>
      </c>
      <c r="X1066" s="15">
        <f t="shared" si="349"/>
        <v>7.3531580896347801E-2</v>
      </c>
      <c r="Y1066" s="15">
        <f t="shared" si="350"/>
        <v>8.1409281655105914E-2</v>
      </c>
      <c r="Z1066" s="15">
        <f t="shared" si="351"/>
        <v>8.591125570397358E-2</v>
      </c>
      <c r="AA1066" s="15">
        <f t="shared" si="352"/>
        <v>9.4915203801708828E-2</v>
      </c>
      <c r="AC1066" s="1"/>
      <c r="AD1066" s="1"/>
      <c r="AE1066" s="1"/>
    </row>
    <row r="1067" spans="1:31">
      <c r="A1067">
        <v>136</v>
      </c>
      <c r="B1067">
        <f t="shared" si="332"/>
        <v>0.98739974984344847</v>
      </c>
      <c r="C1067">
        <v>0.99073067351267252</v>
      </c>
      <c r="D1067">
        <f t="shared" si="333"/>
        <v>1.0093560507766079</v>
      </c>
      <c r="E1067" s="1">
        <f t="shared" si="334"/>
        <v>2.5748129131465125E-3</v>
      </c>
      <c r="F1067" s="1">
        <f t="shared" si="335"/>
        <v>2.98678297924998E-3</v>
      </c>
      <c r="G1067" s="1">
        <f t="shared" si="336"/>
        <v>9.2693264873276726E-4</v>
      </c>
      <c r="H1067" s="1">
        <f t="shared" si="337"/>
        <v>8.9820403918662584E-4</v>
      </c>
      <c r="I1067" s="1">
        <f t="shared" si="338"/>
        <v>3.3010250567359622E-3</v>
      </c>
      <c r="J1067" s="1">
        <f t="shared" si="339"/>
        <v>3.5762878133219766E-3</v>
      </c>
      <c r="K1067" s="1">
        <f t="shared" si="340"/>
        <v>2.1990949892085054E-3</v>
      </c>
      <c r="L1067" s="1">
        <f t="shared" si="341"/>
        <v>2.1805779883456722E-3</v>
      </c>
      <c r="M1067" s="1">
        <f t="shared" si="342"/>
        <v>4.7534493439148617E-3</v>
      </c>
      <c r="N1067" s="1">
        <f t="shared" si="343"/>
        <v>4.7552974814658588E-3</v>
      </c>
      <c r="O1067" s="1">
        <f t="shared" si="344"/>
        <v>4.7434196701600095E-3</v>
      </c>
      <c r="P1067" s="1">
        <f t="shared" si="345"/>
        <v>4.7453258866637094E-3</v>
      </c>
      <c r="Q1067" s="1">
        <f t="shared" si="346"/>
        <v>7.2094761568103571E-2</v>
      </c>
      <c r="T1067">
        <v>0.84502782610033889</v>
      </c>
      <c r="U1067">
        <f t="shared" si="353"/>
        <v>1.1833929831811949</v>
      </c>
      <c r="V1067" s="15">
        <f t="shared" si="347"/>
        <v>0</v>
      </c>
      <c r="W1067" s="15">
        <f t="shared" si="348"/>
        <v>0</v>
      </c>
      <c r="X1067" s="15">
        <f t="shared" si="349"/>
        <v>0</v>
      </c>
      <c r="Y1067" s="15">
        <f t="shared" si="350"/>
        <v>0</v>
      </c>
      <c r="Z1067" s="15">
        <f t="shared" si="351"/>
        <v>0</v>
      </c>
      <c r="AA1067" s="15">
        <f t="shared" si="352"/>
        <v>0</v>
      </c>
      <c r="AC1067" s="1"/>
      <c r="AD1067" s="1"/>
      <c r="AE1067" s="1"/>
    </row>
    <row r="1068" spans="1:31">
      <c r="A1068">
        <v>769</v>
      </c>
      <c r="B1068">
        <f t="shared" si="332"/>
        <v>0.99131412248946515</v>
      </c>
      <c r="C1068">
        <v>0.99322695426122787</v>
      </c>
      <c r="D1068">
        <f t="shared" si="333"/>
        <v>1.0068192327138463</v>
      </c>
      <c r="E1068" s="1">
        <f t="shared" si="334"/>
        <v>1.8814015941033546E-3</v>
      </c>
      <c r="F1068" s="1">
        <f t="shared" si="335"/>
        <v>2.1824258491598969E-3</v>
      </c>
      <c r="G1068" s="1">
        <f t="shared" si="336"/>
        <v>6.7730457387722709E-4</v>
      </c>
      <c r="H1068" s="1">
        <f t="shared" si="337"/>
        <v>6.5631273733621209E-4</v>
      </c>
      <c r="I1068" s="1">
        <f t="shared" si="338"/>
        <v>2.4120408019581707E-3</v>
      </c>
      <c r="J1068" s="1">
        <f t="shared" si="339"/>
        <v>2.6131737799676147E-3</v>
      </c>
      <c r="K1068" s="1">
        <f t="shared" si="340"/>
        <v>1.6068665793762815E-3</v>
      </c>
      <c r="L1068" s="1">
        <f t="shared" si="341"/>
        <v>1.5933363089774277E-3</v>
      </c>
      <c r="M1068" s="1">
        <f t="shared" si="342"/>
        <v>3.4733192176678029E-3</v>
      </c>
      <c r="N1068" s="1">
        <f t="shared" si="343"/>
        <v>3.4746696415827727E-3</v>
      </c>
      <c r="O1068" s="1">
        <f t="shared" si="344"/>
        <v>3.4659905903743904E-3</v>
      </c>
      <c r="P1068" s="1">
        <f t="shared" si="345"/>
        <v>3.4673834522597757E-3</v>
      </c>
      <c r="Q1068" s="1">
        <f t="shared" si="346"/>
        <v>5.2679244634894928E-2</v>
      </c>
      <c r="T1068">
        <v>0.47176480283220523</v>
      </c>
      <c r="U1068">
        <f t="shared" si="353"/>
        <v>2.1197003125213532</v>
      </c>
      <c r="V1068" s="15">
        <f t="shared" si="347"/>
        <v>5.9725586491346197E-2</v>
      </c>
      <c r="W1068" s="15">
        <f t="shared" si="348"/>
        <v>6.475565758984908E-2</v>
      </c>
      <c r="X1068" s="15">
        <f t="shared" si="349"/>
        <v>7.4815799786854695E-2</v>
      </c>
      <c r="Y1068" s="15">
        <f t="shared" si="350"/>
        <v>8.3568055129871546E-2</v>
      </c>
      <c r="Z1068" s="15">
        <f t="shared" si="351"/>
        <v>8.8011953887164832E-2</v>
      </c>
      <c r="AA1068" s="15">
        <f t="shared" si="352"/>
        <v>9.6899751401751347E-2</v>
      </c>
      <c r="AC1068" s="1"/>
      <c r="AD1068" s="1"/>
      <c r="AE1068" s="1"/>
    </row>
    <row r="1069" spans="1:31">
      <c r="A1069">
        <v>305</v>
      </c>
      <c r="B1069">
        <f t="shared" si="332"/>
        <v>0.99165516704416157</v>
      </c>
      <c r="C1069">
        <v>0.99336371209218688</v>
      </c>
      <c r="D1069">
        <f t="shared" si="333"/>
        <v>1.0066806224417399</v>
      </c>
      <c r="E1069" s="1">
        <f t="shared" si="334"/>
        <v>1.8434133077258608E-3</v>
      </c>
      <c r="F1069" s="1">
        <f t="shared" si="335"/>
        <v>2.1383594369620007E-3</v>
      </c>
      <c r="G1069" s="1">
        <f t="shared" si="336"/>
        <v>6.6362879078132875E-4</v>
      </c>
      <c r="H1069" s="1">
        <f t="shared" si="337"/>
        <v>6.4306081052947772E-4</v>
      </c>
      <c r="I1069" s="1">
        <f t="shared" si="338"/>
        <v>2.3633381235793616E-3</v>
      </c>
      <c r="J1069" s="1">
        <f t="shared" si="339"/>
        <v>2.5604099286884452E-3</v>
      </c>
      <c r="K1069" s="1">
        <f t="shared" si="340"/>
        <v>1.5744215618004875E-3</v>
      </c>
      <c r="L1069" s="1">
        <f t="shared" si="341"/>
        <v>1.5611644876125375E-3</v>
      </c>
      <c r="M1069" s="1">
        <f t="shared" si="342"/>
        <v>3.4031877552863632E-3</v>
      </c>
      <c r="N1069" s="1">
        <f t="shared" si="343"/>
        <v>3.4045109121412231E-3</v>
      </c>
      <c r="O1069" s="1">
        <f t="shared" si="344"/>
        <v>3.3960071038388606E-3</v>
      </c>
      <c r="P1069" s="1">
        <f t="shared" si="345"/>
        <v>3.3973718417785737E-3</v>
      </c>
      <c r="Q1069" s="1">
        <f t="shared" si="346"/>
        <v>5.1615572616324989E-2</v>
      </c>
      <c r="T1069">
        <v>2.144421441758082E-2</v>
      </c>
      <c r="U1069">
        <f t="shared" si="353"/>
        <v>46.632624563768594</v>
      </c>
      <c r="V1069" s="15">
        <f t="shared" si="347"/>
        <v>0.10304197639427203</v>
      </c>
      <c r="W1069" s="15">
        <f t="shared" si="348"/>
        <v>0.1057753682453844</v>
      </c>
      <c r="X1069" s="15">
        <f t="shared" si="349"/>
        <v>0.11124215194760896</v>
      </c>
      <c r="Y1069" s="15">
        <f t="shared" si="350"/>
        <v>0.14763297309330198</v>
      </c>
      <c r="Z1069" s="15">
        <f t="shared" si="351"/>
        <v>0.14970192057754048</v>
      </c>
      <c r="AA1069" s="15">
        <f t="shared" si="352"/>
        <v>0.15383981554601778</v>
      </c>
      <c r="AC1069" s="1"/>
      <c r="AD1069" s="1"/>
      <c r="AE1069" s="1"/>
    </row>
    <row r="1070" spans="1:31">
      <c r="A1070">
        <v>49</v>
      </c>
      <c r="B1070">
        <f t="shared" si="332"/>
        <v>0.99299729093570266</v>
      </c>
      <c r="C1070">
        <v>0.99390189969775866</v>
      </c>
      <c r="D1070">
        <f t="shared" si="333"/>
        <v>1.006135515289885</v>
      </c>
      <c r="E1070" s="1">
        <f t="shared" si="334"/>
        <v>1.6939167506225816E-3</v>
      </c>
      <c r="F1070" s="1">
        <f t="shared" si="335"/>
        <v>1.9649434307222324E-3</v>
      </c>
      <c r="G1070" s="1">
        <f t="shared" si="336"/>
        <v>6.0981003022414493E-4</v>
      </c>
      <c r="H1070" s="1">
        <f t="shared" si="337"/>
        <v>5.9091006561552695E-4</v>
      </c>
      <c r="I1070" s="1">
        <f t="shared" si="338"/>
        <v>2.1716768660278163E-3</v>
      </c>
      <c r="J1070" s="1">
        <f t="shared" si="339"/>
        <v>2.3527666033920092E-3</v>
      </c>
      <c r="K1070" s="1">
        <f t="shared" si="340"/>
        <v>1.4467396133563404E-3</v>
      </c>
      <c r="L1070" s="1">
        <f t="shared" si="341"/>
        <v>1.434557657233354E-3</v>
      </c>
      <c r="M1070" s="1">
        <f t="shared" si="342"/>
        <v>3.1271970968382301E-3</v>
      </c>
      <c r="N1070" s="1">
        <f t="shared" si="343"/>
        <v>3.1284129487313961E-3</v>
      </c>
      <c r="O1070" s="1">
        <f t="shared" si="344"/>
        <v>3.1205987796207313E-3</v>
      </c>
      <c r="P1070" s="1">
        <f t="shared" si="345"/>
        <v>3.1218528404689527E-3</v>
      </c>
      <c r="Q1070" s="1">
        <f t="shared" si="346"/>
        <v>4.7429669017433618E-2</v>
      </c>
      <c r="T1070">
        <v>0.26124063305158118</v>
      </c>
      <c r="U1070">
        <f t="shared" si="353"/>
        <v>3.8278884426166315</v>
      </c>
      <c r="V1070" s="15">
        <f t="shared" si="347"/>
        <v>7.3497774760096474E-2</v>
      </c>
      <c r="W1070" s="15">
        <f t="shared" si="348"/>
        <v>7.7979036885986258E-2</v>
      </c>
      <c r="X1070" s="15">
        <f t="shared" si="349"/>
        <v>8.6941561137765896E-2</v>
      </c>
      <c r="Y1070" s="15">
        <f t="shared" si="350"/>
        <v>0.10395147431112445</v>
      </c>
      <c r="Z1070" s="15">
        <f t="shared" si="351"/>
        <v>0.1078470186319419</v>
      </c>
      <c r="AA1070" s="15">
        <f t="shared" si="352"/>
        <v>0.11563810727357691</v>
      </c>
      <c r="AC1070" s="1"/>
      <c r="AD1070" s="1"/>
      <c r="AE1070" s="1"/>
    </row>
    <row r="1071" spans="1:31">
      <c r="A1071">
        <v>986</v>
      </c>
      <c r="B1071">
        <f t="shared" si="332"/>
        <v>0.99324274673037227</v>
      </c>
      <c r="C1071">
        <v>0.99410958720946807</v>
      </c>
      <c r="D1071">
        <f t="shared" si="333"/>
        <v>1.005925315343821</v>
      </c>
      <c r="E1071" s="1">
        <f t="shared" si="334"/>
        <v>1.6362257751477427E-3</v>
      </c>
      <c r="F1071" s="1">
        <f t="shared" si="335"/>
        <v>1.898021899171376E-3</v>
      </c>
      <c r="G1071" s="1">
        <f t="shared" si="336"/>
        <v>5.8904127905320958E-4</v>
      </c>
      <c r="H1071" s="1">
        <f t="shared" si="337"/>
        <v>5.707850045163082E-4</v>
      </c>
      <c r="I1071" s="1">
        <f t="shared" si="338"/>
        <v>2.0977144609856113E-3</v>
      </c>
      <c r="J1071" s="1">
        <f t="shared" si="339"/>
        <v>2.2726366912435014E-3</v>
      </c>
      <c r="K1071" s="1">
        <f t="shared" si="340"/>
        <v>1.3974669324397782E-3</v>
      </c>
      <c r="L1071" s="1">
        <f t="shared" si="341"/>
        <v>1.3856998662053754E-3</v>
      </c>
      <c r="M1071" s="1">
        <f t="shared" si="342"/>
        <v>3.0206918326613486E-3</v>
      </c>
      <c r="N1071" s="1">
        <f t="shared" si="343"/>
        <v>3.0218662753874748E-3</v>
      </c>
      <c r="O1071" s="1">
        <f t="shared" si="344"/>
        <v>3.0143182392129986E-3</v>
      </c>
      <c r="P1071" s="1">
        <f t="shared" si="345"/>
        <v>3.0155295895835099E-3</v>
      </c>
      <c r="Q1071" s="1">
        <f t="shared" si="346"/>
        <v>4.5814321704138017E-2</v>
      </c>
      <c r="T1071">
        <v>0.89129234250183054</v>
      </c>
      <c r="U1071">
        <f t="shared" si="353"/>
        <v>1.1219663317122532</v>
      </c>
      <c r="V1071" s="15">
        <f t="shared" si="347"/>
        <v>0</v>
      </c>
      <c r="W1071" s="15">
        <f t="shared" si="348"/>
        <v>0</v>
      </c>
      <c r="X1071" s="15">
        <f t="shared" si="349"/>
        <v>0</v>
      </c>
      <c r="Y1071" s="15">
        <f t="shared" si="350"/>
        <v>0</v>
      </c>
      <c r="Z1071" s="15">
        <f t="shared" si="351"/>
        <v>0</v>
      </c>
      <c r="AA1071" s="15">
        <f t="shared" si="352"/>
        <v>0</v>
      </c>
      <c r="AC1071" s="1"/>
      <c r="AD1071" s="1"/>
      <c r="AE1071" s="1"/>
    </row>
    <row r="1072" spans="1:31">
      <c r="A1072">
        <v>104</v>
      </c>
      <c r="B1072">
        <f t="shared" si="332"/>
        <v>0.99401039916757938</v>
      </c>
      <c r="C1072">
        <v>0.99651893585407769</v>
      </c>
      <c r="D1072">
        <f t="shared" si="333"/>
        <v>1.00349322428373</v>
      </c>
      <c r="E1072" s="1">
        <f t="shared" si="334"/>
        <v>9.6696226275616581E-4</v>
      </c>
      <c r="F1072" s="1">
        <f t="shared" si="335"/>
        <v>1.1216762247971968E-3</v>
      </c>
      <c r="G1072" s="1">
        <f t="shared" si="336"/>
        <v>3.4810641459225022E-4</v>
      </c>
      <c r="H1072" s="1">
        <f t="shared" si="337"/>
        <v>3.3731748264664851E-4</v>
      </c>
      <c r="I1072" s="1">
        <f t="shared" si="338"/>
        <v>1.2396887719409166E-3</v>
      </c>
      <c r="J1072" s="1">
        <f t="shared" si="339"/>
        <v>1.3430627672328388E-3</v>
      </c>
      <c r="K1072" s="1">
        <f t="shared" si="340"/>
        <v>8.2586266983655787E-4</v>
      </c>
      <c r="L1072" s="1">
        <f t="shared" si="341"/>
        <v>8.1890867292194747E-4</v>
      </c>
      <c r="M1072" s="1">
        <f t="shared" si="342"/>
        <v>1.7851417903104738E-3</v>
      </c>
      <c r="N1072" s="1">
        <f t="shared" si="343"/>
        <v>1.7858358521038453E-3</v>
      </c>
      <c r="O1072" s="1">
        <f t="shared" si="344"/>
        <v>1.7813751803252287E-3</v>
      </c>
      <c r="P1072" s="1">
        <f t="shared" si="345"/>
        <v>1.7820910534724899E-3</v>
      </c>
      <c r="Q1072" s="1">
        <f t="shared" si="346"/>
        <v>2.7074943357174419E-2</v>
      </c>
      <c r="T1072">
        <v>0.71216392350152047</v>
      </c>
      <c r="U1072">
        <f t="shared" si="353"/>
        <v>1.4041711002198287</v>
      </c>
      <c r="V1072" s="15">
        <f t="shared" si="347"/>
        <v>0</v>
      </c>
      <c r="W1072" s="15">
        <f t="shared" si="348"/>
        <v>0</v>
      </c>
      <c r="X1072" s="15">
        <f t="shared" si="349"/>
        <v>0</v>
      </c>
      <c r="Y1072" s="15">
        <f t="shared" si="350"/>
        <v>0</v>
      </c>
      <c r="Z1072" s="15">
        <f t="shared" si="351"/>
        <v>0</v>
      </c>
      <c r="AA1072" s="15">
        <f t="shared" si="352"/>
        <v>0</v>
      </c>
      <c r="AC1072" s="1"/>
      <c r="AD1072" s="1"/>
      <c r="AE1072" s="1"/>
    </row>
    <row r="1073" spans="1:31">
      <c r="A1073">
        <v>714</v>
      </c>
      <c r="B1073">
        <f t="shared" si="332"/>
        <v>0.99673393304723101</v>
      </c>
      <c r="C1073">
        <v>0.99813146097639183</v>
      </c>
      <c r="D1073">
        <f t="shared" si="333"/>
        <v>1.0018720369977923</v>
      </c>
      <c r="E1073" s="1">
        <f t="shared" si="334"/>
        <v>5.1903861766891546E-4</v>
      </c>
      <c r="F1073" s="1">
        <f t="shared" si="335"/>
        <v>6.0208479649598301E-4</v>
      </c>
      <c r="G1073" s="1">
        <f t="shared" si="336"/>
        <v>1.8685390236082566E-4</v>
      </c>
      <c r="H1073" s="1">
        <f t="shared" si="337"/>
        <v>1.8106270187777385E-4</v>
      </c>
      <c r="I1073" s="1">
        <f t="shared" si="338"/>
        <v>6.654306701627255E-4</v>
      </c>
      <c r="J1073" s="1">
        <f t="shared" si="339"/>
        <v>7.2091897377685177E-4</v>
      </c>
      <c r="K1073" s="1">
        <f t="shared" si="340"/>
        <v>4.4330025591124422E-4</v>
      </c>
      <c r="L1073" s="1">
        <f t="shared" si="341"/>
        <v>4.3956754256260777E-4</v>
      </c>
      <c r="M1073" s="1">
        <f t="shared" si="342"/>
        <v>9.5821477515034559E-4</v>
      </c>
      <c r="N1073" s="1">
        <f t="shared" si="343"/>
        <v>9.5858732833853377E-4</v>
      </c>
      <c r="O1073" s="1">
        <f t="shared" si="344"/>
        <v>9.5619296301213685E-4</v>
      </c>
      <c r="P1073" s="1">
        <f t="shared" si="345"/>
        <v>9.5657722393222011E-4</v>
      </c>
      <c r="Q1073" s="1">
        <f t="shared" si="346"/>
        <v>1.4533081294731076E-2</v>
      </c>
      <c r="T1073">
        <v>0.54099654986492463</v>
      </c>
      <c r="U1073">
        <f t="shared" si="353"/>
        <v>1.8484406236041224</v>
      </c>
      <c r="V1073" s="15">
        <f t="shared" si="347"/>
        <v>0</v>
      </c>
      <c r="W1073" s="15">
        <f t="shared" si="348"/>
        <v>0</v>
      </c>
      <c r="X1073" s="15">
        <f t="shared" si="349"/>
        <v>0</v>
      </c>
      <c r="Y1073" s="15">
        <f t="shared" si="350"/>
        <v>0</v>
      </c>
      <c r="Z1073" s="15">
        <f t="shared" si="351"/>
        <v>0</v>
      </c>
      <c r="AA1073" s="15">
        <f t="shared" si="352"/>
        <v>0</v>
      </c>
      <c r="AC1073" s="1"/>
      <c r="AD1073" s="1"/>
      <c r="AE1073" s="1"/>
    </row>
    <row r="1074" spans="1:31">
      <c r="A1074">
        <v>559</v>
      </c>
      <c r="B1074">
        <f t="shared" si="332"/>
        <v>0.99815448761340186</v>
      </c>
      <c r="C1074">
        <v>0.99902480070245436</v>
      </c>
      <c r="D1074">
        <f t="shared" si="333"/>
        <v>1.0009761512395488</v>
      </c>
      <c r="E1074" s="1">
        <f t="shared" si="334"/>
        <v>2.7088869376265534E-4</v>
      </c>
      <c r="F1074" s="1">
        <f t="shared" si="335"/>
        <v>3.1423088476473238E-4</v>
      </c>
      <c r="G1074" s="1">
        <f t="shared" si="336"/>
        <v>9.7519929754583123E-5</v>
      </c>
      <c r="H1074" s="1">
        <f t="shared" si="337"/>
        <v>9.4497475006949383E-5</v>
      </c>
      <c r="I1074" s="1">
        <f t="shared" si="338"/>
        <v>3.4729139392281061E-4</v>
      </c>
      <c r="J1074" s="1">
        <f t="shared" si="339"/>
        <v>3.7625100034410774E-4</v>
      </c>
      <c r="K1074" s="1">
        <f t="shared" si="340"/>
        <v>2.313604868319219E-4</v>
      </c>
      <c r="L1074" s="1">
        <f t="shared" si="341"/>
        <v>2.2941236619353211E-4</v>
      </c>
      <c r="M1074" s="1">
        <f t="shared" si="342"/>
        <v>5.0009679424301012E-4</v>
      </c>
      <c r="N1074" s="1">
        <f t="shared" si="343"/>
        <v>5.0029123150274746E-4</v>
      </c>
      <c r="O1074" s="1">
        <f t="shared" si="344"/>
        <v>4.9904160098668271E-4</v>
      </c>
      <c r="P1074" s="1">
        <f t="shared" si="345"/>
        <v>4.9924214856666982E-4</v>
      </c>
      <c r="Q1074" s="1">
        <f t="shared" si="346"/>
        <v>7.5848834253555708E-3</v>
      </c>
      <c r="T1074">
        <v>2.5742395867686896E-2</v>
      </c>
      <c r="U1074">
        <f t="shared" si="353"/>
        <v>38.846423042357472</v>
      </c>
      <c r="V1074" s="15">
        <f t="shared" si="347"/>
        <v>0.10304197639427203</v>
      </c>
      <c r="W1074" s="15">
        <f t="shared" si="348"/>
        <v>0.1057753682453844</v>
      </c>
      <c r="X1074" s="15">
        <f t="shared" si="349"/>
        <v>0.11124215194760896</v>
      </c>
      <c r="Y1074" s="15">
        <f t="shared" si="350"/>
        <v>0.14763297309330198</v>
      </c>
      <c r="Z1074" s="15">
        <f t="shared" si="351"/>
        <v>0.14970192057754048</v>
      </c>
      <c r="AA1074" s="15">
        <f t="shared" si="352"/>
        <v>0.15383981554601778</v>
      </c>
      <c r="AC1074" s="1"/>
      <c r="AD1074" s="1"/>
      <c r="AE1074" s="1"/>
    </row>
    <row r="1075" spans="1:31">
      <c r="E1075" s="1"/>
      <c r="F1075" s="1"/>
      <c r="G1075" s="1"/>
      <c r="H1075" s="1"/>
      <c r="I1075" s="1"/>
      <c r="J1075" s="1"/>
      <c r="K1075" s="1"/>
    </row>
  </sheetData>
  <sortState xmlns:xlrd2="http://schemas.microsoft.com/office/spreadsheetml/2017/richdata2" ref="A75:P1074">
    <sortCondition ref="B75:B1074"/>
  </sortState>
  <mergeCells count="6">
    <mergeCell ref="O73:P73"/>
    <mergeCell ref="E73:F73"/>
    <mergeCell ref="G73:H73"/>
    <mergeCell ref="I73:J73"/>
    <mergeCell ref="K73:L73"/>
    <mergeCell ref="M73:N7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DA44-B2E1-44F7-84B9-FBBD14153D57}">
  <dimension ref="A1:I8"/>
  <sheetViews>
    <sheetView workbookViewId="0">
      <selection activeCell="R13" sqref="R13"/>
    </sheetView>
  </sheetViews>
  <sheetFormatPr baseColWidth="10" defaultColWidth="8.83203125" defaultRowHeight="15"/>
  <sheetData>
    <row r="1" spans="1:9">
      <c r="B1" t="s">
        <v>79</v>
      </c>
      <c r="F1" t="s">
        <v>80</v>
      </c>
    </row>
    <row r="2" spans="1:9">
      <c r="B2" t="s">
        <v>81</v>
      </c>
      <c r="C2" t="s">
        <v>82</v>
      </c>
      <c r="D2" t="s">
        <v>83</v>
      </c>
      <c r="E2" t="s">
        <v>84</v>
      </c>
      <c r="F2" t="s">
        <v>81</v>
      </c>
      <c r="G2" t="s">
        <v>82</v>
      </c>
      <c r="H2" t="s">
        <v>83</v>
      </c>
      <c r="I2" t="s">
        <v>84</v>
      </c>
    </row>
    <row r="3" spans="1:9" s="85" customFormat="1">
      <c r="A3" s="85" t="s">
        <v>12</v>
      </c>
      <c r="B3" s="86">
        <v>92.689411276849498</v>
      </c>
      <c r="C3" s="87">
        <v>107.724089770874</v>
      </c>
      <c r="D3" s="87">
        <v>148.578348790343</v>
      </c>
      <c r="E3" s="87">
        <v>154.26320486480299</v>
      </c>
      <c r="F3" s="85">
        <f>B3*0.7</f>
        <v>64.88258789379465</v>
      </c>
      <c r="G3" s="85">
        <f t="shared" ref="G3:I3" si="0">C3*0.7</f>
        <v>75.40686283961179</v>
      </c>
      <c r="H3" s="85">
        <f t="shared" si="0"/>
        <v>104.0048441532401</v>
      </c>
      <c r="I3" s="85">
        <f t="shared" si="0"/>
        <v>107.98424340536208</v>
      </c>
    </row>
    <row r="4" spans="1:9">
      <c r="A4" t="s">
        <v>85</v>
      </c>
      <c r="B4" s="84">
        <v>298.13221510010902</v>
      </c>
      <c r="C4" s="83">
        <v>344.05970870607399</v>
      </c>
      <c r="D4" s="83">
        <v>471.64262625479699</v>
      </c>
      <c r="E4" s="83">
        <v>490.57679011763298</v>
      </c>
      <c r="F4" s="85">
        <f>B4*0.6</f>
        <v>178.8793290600654</v>
      </c>
      <c r="G4" s="85">
        <f>C4*0.6</f>
        <v>206.4358252236444</v>
      </c>
      <c r="H4" s="85">
        <f>D4*0.7</f>
        <v>330.14983837835786</v>
      </c>
      <c r="I4" s="85">
        <f t="shared" ref="I4:I8" si="1">E4*0.7</f>
        <v>343.40375308234309</v>
      </c>
    </row>
    <row r="5" spans="1:9">
      <c r="A5" t="s">
        <v>86</v>
      </c>
      <c r="B5" s="83">
        <v>357.43199441973098</v>
      </c>
      <c r="C5" s="83">
        <v>412.41639746037998</v>
      </c>
      <c r="D5" s="83">
        <v>565.35040780021097</v>
      </c>
      <c r="E5" s="83">
        <v>588.07132005685003</v>
      </c>
      <c r="F5" s="85">
        <f t="shared" ref="F5:F8" si="2">B5*0.7</f>
        <v>250.20239609381167</v>
      </c>
      <c r="G5" s="85">
        <f t="shared" ref="G5:G8" si="3">C5*0.7</f>
        <v>288.69147822226597</v>
      </c>
      <c r="H5" s="85">
        <f t="shared" ref="H5:H8" si="4">D5*0.7</f>
        <v>395.74528546014767</v>
      </c>
      <c r="I5" s="85">
        <f t="shared" si="1"/>
        <v>411.649924039795</v>
      </c>
    </row>
    <row r="6" spans="1:9">
      <c r="A6" t="s">
        <v>87</v>
      </c>
      <c r="B6" s="83">
        <v>162.67653292743401</v>
      </c>
      <c r="C6" s="83">
        <v>220.98389066196901</v>
      </c>
      <c r="D6" s="83">
        <v>258.93895755801299</v>
      </c>
      <c r="E6" s="83">
        <v>267.76727252096498</v>
      </c>
      <c r="F6" s="85">
        <f>B6*0.8</f>
        <v>130.1412263419472</v>
      </c>
      <c r="G6" s="85">
        <f>C6*0.8</f>
        <v>176.78711252957521</v>
      </c>
      <c r="H6" s="85">
        <f>D6*0.9</f>
        <v>233.04506180221171</v>
      </c>
      <c r="I6" s="85">
        <f>E6*0.9</f>
        <v>240.99054526886849</v>
      </c>
    </row>
    <row r="7" spans="1:9">
      <c r="A7" t="s">
        <v>88</v>
      </c>
      <c r="B7" s="83">
        <v>14.263540259444</v>
      </c>
      <c r="C7" s="83">
        <v>16.740495362852698</v>
      </c>
      <c r="D7" s="83">
        <v>21.1765211595519</v>
      </c>
      <c r="E7" s="83">
        <v>22.024287970326</v>
      </c>
      <c r="F7" s="85">
        <f t="shared" si="2"/>
        <v>9.9844781816107986</v>
      </c>
      <c r="G7" s="85">
        <f t="shared" si="3"/>
        <v>11.718346753996888</v>
      </c>
      <c r="H7" s="85">
        <f t="shared" si="4"/>
        <v>14.823564811686328</v>
      </c>
      <c r="I7" s="85">
        <f t="shared" si="1"/>
        <v>15.417001579228199</v>
      </c>
    </row>
    <row r="8" spans="1:9">
      <c r="A8" t="s">
        <v>89</v>
      </c>
      <c r="B8" s="83">
        <v>5.5796796168612799</v>
      </c>
      <c r="C8" s="83">
        <v>6.38000802737265</v>
      </c>
      <c r="D8" s="83">
        <v>7.93635101199476</v>
      </c>
      <c r="E8" s="83">
        <v>8.2474320175743205</v>
      </c>
      <c r="F8" s="85">
        <f t="shared" si="2"/>
        <v>3.9057757318028958</v>
      </c>
      <c r="G8" s="85">
        <f t="shared" si="3"/>
        <v>4.466005619160855</v>
      </c>
      <c r="H8" s="85">
        <f t="shared" si="4"/>
        <v>5.5554457083963316</v>
      </c>
      <c r="I8" s="85">
        <f t="shared" si="1"/>
        <v>5.773202412302024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6092-815D-44F5-B9FF-1909563C58CC}">
  <dimension ref="A1:Q145"/>
  <sheetViews>
    <sheetView zoomScale="88" workbookViewId="0">
      <selection activeCell="N146" sqref="N146"/>
    </sheetView>
  </sheetViews>
  <sheetFormatPr baseColWidth="10" defaultColWidth="8.83203125" defaultRowHeight="15"/>
  <cols>
    <col min="2" max="2" width="9.5" bestFit="1" customWidth="1"/>
  </cols>
  <sheetData>
    <row r="1" spans="1:17" ht="19">
      <c r="A1" s="148" t="s">
        <v>90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</row>
    <row r="2" spans="1:17" s="31" customFormat="1">
      <c r="A2" s="31">
        <v>10</v>
      </c>
      <c r="E2" s="31">
        <v>25</v>
      </c>
      <c r="I2" s="31">
        <v>100</v>
      </c>
      <c r="M2" s="31">
        <v>200</v>
      </c>
      <c r="Q2"/>
    </row>
    <row r="3" spans="1:17">
      <c r="A3" s="48"/>
      <c r="B3" s="49" t="s">
        <v>91</v>
      </c>
      <c r="C3" s="50"/>
      <c r="E3" s="48"/>
      <c r="F3" s="49" t="s">
        <v>91</v>
      </c>
      <c r="G3" s="50"/>
      <c r="I3" s="48"/>
      <c r="J3" s="49" t="s">
        <v>91</v>
      </c>
      <c r="K3" s="50"/>
      <c r="M3" s="48"/>
      <c r="N3" s="49" t="s">
        <v>91</v>
      </c>
      <c r="O3" s="50"/>
    </row>
    <row r="4" spans="1:17">
      <c r="A4" s="51"/>
      <c r="B4" s="15"/>
      <c r="C4" s="52"/>
      <c r="E4" s="51"/>
      <c r="F4" s="15"/>
      <c r="G4" s="52"/>
      <c r="I4" s="51"/>
      <c r="J4" s="15"/>
      <c r="K4" s="52"/>
      <c r="M4" s="51"/>
      <c r="N4" s="15"/>
      <c r="O4" s="52"/>
    </row>
    <row r="5" spans="1:17">
      <c r="A5" s="53">
        <v>2020</v>
      </c>
      <c r="B5" s="126">
        <f>MINDSET!C14</f>
        <v>0.25</v>
      </c>
      <c r="C5" s="125">
        <f>(B35-B5)/30</f>
        <v>7.0511156352519944E-3</v>
      </c>
      <c r="E5" s="53">
        <v>2020</v>
      </c>
      <c r="F5" s="126">
        <f>MINDSET!D14</f>
        <v>0.28999999999999998</v>
      </c>
      <c r="G5" s="147">
        <f>(F35-F5)/30</f>
        <v>7.1584029273184689E-3</v>
      </c>
      <c r="I5" s="53">
        <v>2020</v>
      </c>
      <c r="J5" s="126">
        <f>MINDSET!E14</f>
        <v>0.33</v>
      </c>
      <c r="K5" s="147">
        <f>(J35-J5)/30</f>
        <v>6.8916067518810615E-3</v>
      </c>
      <c r="M5" s="53">
        <v>2020</v>
      </c>
      <c r="N5" s="126">
        <f>MINDSET!F14</f>
        <v>0.34</v>
      </c>
      <c r="O5" s="147">
        <f>(N35-N5)/30</f>
        <v>7.1989802118990589E-3</v>
      </c>
    </row>
    <row r="6" spans="1:17">
      <c r="A6" s="53">
        <v>2021</v>
      </c>
      <c r="B6" s="15">
        <f t="shared" ref="B6:B34" si="0">B5+$C$5</f>
        <v>0.25705111563525201</v>
      </c>
      <c r="C6" s="52"/>
      <c r="E6" s="53">
        <v>2021</v>
      </c>
      <c r="F6" s="15">
        <f>F5+$G$5</f>
        <v>0.29715840292731843</v>
      </c>
      <c r="G6" s="52"/>
      <c r="I6" s="53">
        <v>2021</v>
      </c>
      <c r="J6" s="15">
        <f>J5+$K$5</f>
        <v>0.33689160675188107</v>
      </c>
      <c r="K6" s="52"/>
      <c r="M6" s="53">
        <v>2021</v>
      </c>
      <c r="N6" s="15">
        <f>N5+$O$5</f>
        <v>0.3471989802118991</v>
      </c>
      <c r="O6" s="52"/>
    </row>
    <row r="7" spans="1:17">
      <c r="A7" s="53">
        <v>2022</v>
      </c>
      <c r="B7" s="15">
        <f t="shared" si="0"/>
        <v>0.26410223127050403</v>
      </c>
      <c r="C7" s="52"/>
      <c r="E7" s="53">
        <v>2022</v>
      </c>
      <c r="F7" s="15">
        <f t="shared" ref="F7:F33" si="1">F6+$G$5</f>
        <v>0.30431680585463688</v>
      </c>
      <c r="G7" s="52"/>
      <c r="I7" s="53">
        <v>2022</v>
      </c>
      <c r="J7" s="15">
        <f t="shared" ref="J7:J34" si="2">J6+$K$5</f>
        <v>0.34378321350376212</v>
      </c>
      <c r="K7" s="52"/>
      <c r="M7" s="53">
        <v>2022</v>
      </c>
      <c r="N7" s="15">
        <f t="shared" ref="N7:N33" si="3">N6+$O$5</f>
        <v>0.35439796042379818</v>
      </c>
      <c r="O7" s="52"/>
    </row>
    <row r="8" spans="1:17">
      <c r="A8" s="53">
        <v>2023</v>
      </c>
      <c r="B8" s="15">
        <f t="shared" si="0"/>
        <v>0.27115334690575604</v>
      </c>
      <c r="C8" s="52"/>
      <c r="E8" s="53">
        <v>2023</v>
      </c>
      <c r="F8" s="15">
        <f t="shared" si="1"/>
        <v>0.31147520878195534</v>
      </c>
      <c r="G8" s="52"/>
      <c r="I8" s="53">
        <v>2023</v>
      </c>
      <c r="J8" s="15">
        <f t="shared" si="2"/>
        <v>0.35067482025564317</v>
      </c>
      <c r="K8" s="52"/>
      <c r="M8" s="53">
        <v>2023</v>
      </c>
      <c r="N8" s="15">
        <f t="shared" si="3"/>
        <v>0.36159694063569725</v>
      </c>
      <c r="O8" s="52"/>
    </row>
    <row r="9" spans="1:17">
      <c r="A9" s="53">
        <v>2024</v>
      </c>
      <c r="B9" s="15">
        <f t="shared" si="0"/>
        <v>0.27820446254100806</v>
      </c>
      <c r="C9" s="52"/>
      <c r="E9" s="53">
        <v>2024</v>
      </c>
      <c r="F9" s="15">
        <f t="shared" si="1"/>
        <v>0.31863361170927379</v>
      </c>
      <c r="G9" s="52"/>
      <c r="I9" s="53">
        <v>2024</v>
      </c>
      <c r="J9" s="15">
        <f t="shared" si="2"/>
        <v>0.35756642700752422</v>
      </c>
      <c r="K9" s="52"/>
      <c r="M9" s="53">
        <v>2024</v>
      </c>
      <c r="N9" s="15">
        <f t="shared" si="3"/>
        <v>0.36879592084759633</v>
      </c>
      <c r="O9" s="52"/>
    </row>
    <row r="10" spans="1:17">
      <c r="A10" s="53">
        <v>2025</v>
      </c>
      <c r="B10" s="15">
        <f t="shared" si="0"/>
        <v>0.28525557817626007</v>
      </c>
      <c r="C10" s="52"/>
      <c r="E10" s="53">
        <v>2025</v>
      </c>
      <c r="F10" s="15">
        <f t="shared" si="1"/>
        <v>0.32579201463659224</v>
      </c>
      <c r="G10" s="52"/>
      <c r="I10" s="53">
        <v>2025</v>
      </c>
      <c r="J10" s="15">
        <f t="shared" si="2"/>
        <v>0.36445803375940528</v>
      </c>
      <c r="K10" s="52"/>
      <c r="M10" s="53">
        <v>2025</v>
      </c>
      <c r="N10" s="15">
        <f t="shared" si="3"/>
        <v>0.3759949010594954</v>
      </c>
      <c r="O10" s="52"/>
    </row>
    <row r="11" spans="1:17">
      <c r="A11" s="53">
        <v>2026</v>
      </c>
      <c r="B11" s="15">
        <f t="shared" si="0"/>
        <v>0.29230669381151209</v>
      </c>
      <c r="C11" s="52"/>
      <c r="E11" s="53">
        <v>2026</v>
      </c>
      <c r="F11" s="15">
        <f t="shared" si="1"/>
        <v>0.33295041756391069</v>
      </c>
      <c r="G11" s="52"/>
      <c r="I11" s="53">
        <v>2026</v>
      </c>
      <c r="J11" s="15">
        <f t="shared" si="2"/>
        <v>0.37134964051128633</v>
      </c>
      <c r="K11" s="52"/>
      <c r="M11" s="53">
        <v>2026</v>
      </c>
      <c r="N11" s="15">
        <f>N10+$O$5</f>
        <v>0.38319388127139448</v>
      </c>
      <c r="O11" s="52"/>
    </row>
    <row r="12" spans="1:17">
      <c r="A12" s="53">
        <v>2027</v>
      </c>
      <c r="B12" s="15">
        <f t="shared" si="0"/>
        <v>0.2993578094467641</v>
      </c>
      <c r="C12" s="52"/>
      <c r="E12" s="53">
        <v>2027</v>
      </c>
      <c r="F12" s="15">
        <f t="shared" si="1"/>
        <v>0.34010882049122915</v>
      </c>
      <c r="G12" s="52"/>
      <c r="I12" s="53">
        <v>2027</v>
      </c>
      <c r="J12" s="15">
        <f t="shared" si="2"/>
        <v>0.37824124726316738</v>
      </c>
      <c r="K12" s="52"/>
      <c r="M12" s="53">
        <v>2027</v>
      </c>
      <c r="N12" s="15">
        <f t="shared" si="3"/>
        <v>0.39039286148329355</v>
      </c>
      <c r="O12" s="52"/>
    </row>
    <row r="13" spans="1:17">
      <c r="A13" s="53">
        <v>2028</v>
      </c>
      <c r="B13" s="15">
        <f t="shared" si="0"/>
        <v>0.30640892508201611</v>
      </c>
      <c r="C13" s="52"/>
      <c r="E13" s="53">
        <v>2028</v>
      </c>
      <c r="F13" s="15">
        <f t="shared" si="1"/>
        <v>0.3472672234185476</v>
      </c>
      <c r="G13" s="52"/>
      <c r="I13" s="53">
        <v>2028</v>
      </c>
      <c r="J13" s="15">
        <f t="shared" si="2"/>
        <v>0.38513285401504843</v>
      </c>
      <c r="K13" s="52"/>
      <c r="M13" s="53">
        <v>2028</v>
      </c>
      <c r="N13" s="15">
        <f t="shared" si="3"/>
        <v>0.39759184169519263</v>
      </c>
      <c r="O13" s="52"/>
    </row>
    <row r="14" spans="1:17">
      <c r="A14" s="53">
        <v>2029</v>
      </c>
      <c r="B14" s="15">
        <f t="shared" si="0"/>
        <v>0.31346004071726813</v>
      </c>
      <c r="C14" s="54"/>
      <c r="E14" s="53">
        <v>2029</v>
      </c>
      <c r="F14" s="15">
        <f t="shared" si="1"/>
        <v>0.35442562634586605</v>
      </c>
      <c r="G14" s="54"/>
      <c r="I14" s="53">
        <v>2029</v>
      </c>
      <c r="J14" s="15">
        <f t="shared" si="2"/>
        <v>0.39202446076692948</v>
      </c>
      <c r="K14" s="54"/>
      <c r="M14" s="53">
        <v>2029</v>
      </c>
      <c r="N14" s="15">
        <f t="shared" si="3"/>
        <v>0.4047908219070917</v>
      </c>
      <c r="O14" s="54"/>
    </row>
    <row r="15" spans="1:17">
      <c r="A15" s="124">
        <v>2030</v>
      </c>
      <c r="B15" s="18">
        <f t="shared" si="0"/>
        <v>0.32051115635252014</v>
      </c>
      <c r="C15" s="52"/>
      <c r="E15" s="124">
        <v>2030</v>
      </c>
      <c r="F15" s="18">
        <f t="shared" si="1"/>
        <v>0.3615840292731845</v>
      </c>
      <c r="G15" s="52"/>
      <c r="I15" s="124">
        <v>2030</v>
      </c>
      <c r="J15" s="18">
        <f t="shared" si="2"/>
        <v>0.39891606751881054</v>
      </c>
      <c r="K15" s="52"/>
      <c r="M15" s="124">
        <v>2030</v>
      </c>
      <c r="N15" s="18">
        <f t="shared" si="3"/>
        <v>0.41198980211899078</v>
      </c>
      <c r="O15" s="52"/>
    </row>
    <row r="16" spans="1:17">
      <c r="A16" s="53">
        <v>2031</v>
      </c>
      <c r="B16" s="15">
        <f t="shared" si="0"/>
        <v>0.32756227198777216</v>
      </c>
      <c r="C16" s="52"/>
      <c r="E16" s="53">
        <v>2031</v>
      </c>
      <c r="F16" s="15">
        <f t="shared" si="1"/>
        <v>0.36874243220050296</v>
      </c>
      <c r="G16" s="52"/>
      <c r="I16" s="53">
        <v>2031</v>
      </c>
      <c r="J16" s="15">
        <f t="shared" si="2"/>
        <v>0.40580767427069159</v>
      </c>
      <c r="K16" s="52"/>
      <c r="M16" s="53">
        <v>2031</v>
      </c>
      <c r="N16" s="15">
        <f t="shared" si="3"/>
        <v>0.41918878233088985</v>
      </c>
      <c r="O16" s="52"/>
    </row>
    <row r="17" spans="1:15">
      <c r="A17" s="53">
        <v>2032</v>
      </c>
      <c r="B17" s="15">
        <f t="shared" si="0"/>
        <v>0.33461338762302417</v>
      </c>
      <c r="C17" s="52"/>
      <c r="E17" s="53">
        <v>2032</v>
      </c>
      <c r="F17" s="15">
        <f t="shared" si="1"/>
        <v>0.37590083512782141</v>
      </c>
      <c r="G17" s="52"/>
      <c r="I17" s="53">
        <v>2032</v>
      </c>
      <c r="J17" s="15">
        <f t="shared" si="2"/>
        <v>0.41269928102257264</v>
      </c>
      <c r="K17" s="52"/>
      <c r="M17" s="53">
        <v>2032</v>
      </c>
      <c r="N17" s="15">
        <f t="shared" si="3"/>
        <v>0.42638776254278893</v>
      </c>
      <c r="O17" s="52"/>
    </row>
    <row r="18" spans="1:15">
      <c r="A18" s="53">
        <v>2033</v>
      </c>
      <c r="B18" s="15">
        <f t="shared" si="0"/>
        <v>0.34166450325827619</v>
      </c>
      <c r="C18" s="52"/>
      <c r="E18" s="53">
        <v>2033</v>
      </c>
      <c r="F18" s="15">
        <f t="shared" si="1"/>
        <v>0.38305923805513986</v>
      </c>
      <c r="G18" s="52"/>
      <c r="I18" s="53">
        <v>2033</v>
      </c>
      <c r="J18" s="15">
        <f t="shared" si="2"/>
        <v>0.41959088777445369</v>
      </c>
      <c r="K18" s="52"/>
      <c r="M18" s="53">
        <v>2033</v>
      </c>
      <c r="N18" s="15">
        <f t="shared" si="3"/>
        <v>0.433586742754688</v>
      </c>
      <c r="O18" s="52"/>
    </row>
    <row r="19" spans="1:15">
      <c r="A19" s="53">
        <v>2034</v>
      </c>
      <c r="B19" s="15">
        <f t="shared" si="0"/>
        <v>0.3487156188935282</v>
      </c>
      <c r="C19" s="52"/>
      <c r="E19" s="53">
        <v>2034</v>
      </c>
      <c r="F19" s="15">
        <f t="shared" si="1"/>
        <v>0.39021764098245831</v>
      </c>
      <c r="G19" s="52"/>
      <c r="I19" s="53">
        <v>2034</v>
      </c>
      <c r="J19" s="15">
        <f t="shared" si="2"/>
        <v>0.42648249452633474</v>
      </c>
      <c r="K19" s="52"/>
      <c r="M19" s="53">
        <v>2034</v>
      </c>
      <c r="N19" s="15">
        <f t="shared" si="3"/>
        <v>0.44078572296658708</v>
      </c>
      <c r="O19" s="52"/>
    </row>
    <row r="20" spans="1:15">
      <c r="A20" s="53">
        <v>2035</v>
      </c>
      <c r="B20" s="15">
        <f t="shared" si="0"/>
        <v>0.35576673452878022</v>
      </c>
      <c r="C20" s="52"/>
      <c r="E20" s="53">
        <v>2035</v>
      </c>
      <c r="F20" s="15">
        <f t="shared" si="1"/>
        <v>0.39737604390977677</v>
      </c>
      <c r="G20" s="52"/>
      <c r="I20" s="53">
        <v>2035</v>
      </c>
      <c r="J20" s="15">
        <f t="shared" si="2"/>
        <v>0.4333741012782158</v>
      </c>
      <c r="K20" s="52"/>
      <c r="M20" s="53">
        <v>2035</v>
      </c>
      <c r="N20" s="15">
        <f t="shared" si="3"/>
        <v>0.44798470317848615</v>
      </c>
      <c r="O20" s="52"/>
    </row>
    <row r="21" spans="1:15">
      <c r="A21" s="53">
        <v>2036</v>
      </c>
      <c r="B21" s="15">
        <f t="shared" si="0"/>
        <v>0.36281785016403223</v>
      </c>
      <c r="C21" s="52"/>
      <c r="E21" s="53">
        <v>2036</v>
      </c>
      <c r="F21" s="15">
        <f t="shared" si="1"/>
        <v>0.40453444683709522</v>
      </c>
      <c r="G21" s="52"/>
      <c r="I21" s="53">
        <v>2036</v>
      </c>
      <c r="J21" s="15">
        <f t="shared" si="2"/>
        <v>0.44026570803009685</v>
      </c>
      <c r="K21" s="52"/>
      <c r="M21" s="53">
        <v>2036</v>
      </c>
      <c r="N21" s="15">
        <f t="shared" si="3"/>
        <v>0.45518368339038523</v>
      </c>
      <c r="O21" s="52"/>
    </row>
    <row r="22" spans="1:15">
      <c r="A22" s="53">
        <v>2037</v>
      </c>
      <c r="B22" s="15">
        <f t="shared" si="0"/>
        <v>0.36986896579928424</v>
      </c>
      <c r="C22" s="52"/>
      <c r="E22" s="53">
        <v>2037</v>
      </c>
      <c r="F22" s="15">
        <f t="shared" si="1"/>
        <v>0.41169284976441367</v>
      </c>
      <c r="G22" s="52"/>
      <c r="I22" s="53">
        <v>2037</v>
      </c>
      <c r="J22" s="15">
        <f t="shared" si="2"/>
        <v>0.4471573147819779</v>
      </c>
      <c r="K22" s="52"/>
      <c r="M22" s="53">
        <v>2037</v>
      </c>
      <c r="N22" s="15">
        <f t="shared" si="3"/>
        <v>0.46238266360228431</v>
      </c>
      <c r="O22" s="52"/>
    </row>
    <row r="23" spans="1:15">
      <c r="A23" s="53">
        <v>2038</v>
      </c>
      <c r="B23" s="15">
        <f t="shared" si="0"/>
        <v>0.37692008143453626</v>
      </c>
      <c r="C23" s="52"/>
      <c r="E23" s="53">
        <v>2038</v>
      </c>
      <c r="F23" s="15">
        <f t="shared" si="1"/>
        <v>0.41885125269173212</v>
      </c>
      <c r="G23" s="52"/>
      <c r="I23" s="53">
        <v>2038</v>
      </c>
      <c r="J23" s="15">
        <f t="shared" si="2"/>
        <v>0.45404892153385895</v>
      </c>
      <c r="K23" s="52"/>
      <c r="M23" s="53">
        <v>2038</v>
      </c>
      <c r="N23" s="15">
        <f t="shared" si="3"/>
        <v>0.46958164381418338</v>
      </c>
      <c r="O23" s="52"/>
    </row>
    <row r="24" spans="1:15">
      <c r="A24" s="53">
        <v>2039</v>
      </c>
      <c r="B24" s="15">
        <f t="shared" si="0"/>
        <v>0.38397119706978827</v>
      </c>
      <c r="C24" s="52"/>
      <c r="E24" s="53">
        <v>2039</v>
      </c>
      <c r="F24" s="15">
        <f t="shared" si="1"/>
        <v>0.42600965561905058</v>
      </c>
      <c r="G24" s="52"/>
      <c r="I24" s="53">
        <v>2039</v>
      </c>
      <c r="J24" s="15">
        <f t="shared" si="2"/>
        <v>0.46094052828574</v>
      </c>
      <c r="K24" s="52"/>
      <c r="M24" s="53">
        <v>2039</v>
      </c>
      <c r="N24" s="15">
        <f t="shared" si="3"/>
        <v>0.47678062402608246</v>
      </c>
      <c r="O24" s="52"/>
    </row>
    <row r="25" spans="1:15">
      <c r="A25" s="53">
        <v>2040</v>
      </c>
      <c r="B25" s="15">
        <f t="shared" si="0"/>
        <v>0.39102231270504029</v>
      </c>
      <c r="C25" s="54"/>
      <c r="E25" s="53">
        <v>2040</v>
      </c>
      <c r="F25" s="15">
        <f t="shared" si="1"/>
        <v>0.43316805854636903</v>
      </c>
      <c r="G25" s="54"/>
      <c r="I25" s="53">
        <v>2040</v>
      </c>
      <c r="J25" s="15">
        <f t="shared" si="2"/>
        <v>0.46783213503762106</v>
      </c>
      <c r="K25" s="54"/>
      <c r="M25" s="53">
        <v>2040</v>
      </c>
      <c r="N25" s="15">
        <f t="shared" si="3"/>
        <v>0.48397960423798153</v>
      </c>
      <c r="O25" s="54"/>
    </row>
    <row r="26" spans="1:15">
      <c r="A26" s="53">
        <v>2041</v>
      </c>
      <c r="B26" s="15">
        <f t="shared" si="0"/>
        <v>0.3980734283402923</v>
      </c>
      <c r="C26" s="52"/>
      <c r="E26" s="53">
        <v>2041</v>
      </c>
      <c r="F26" s="15">
        <f t="shared" si="1"/>
        <v>0.44032646147368748</v>
      </c>
      <c r="G26" s="52"/>
      <c r="I26" s="53">
        <v>2041</v>
      </c>
      <c r="J26" s="15">
        <f t="shared" si="2"/>
        <v>0.47472374178950211</v>
      </c>
      <c r="K26" s="52"/>
      <c r="M26" s="53">
        <v>2041</v>
      </c>
      <c r="N26" s="15">
        <f t="shared" si="3"/>
        <v>0.49117858444988061</v>
      </c>
      <c r="O26" s="52"/>
    </row>
    <row r="27" spans="1:15">
      <c r="A27" s="53">
        <v>2042</v>
      </c>
      <c r="B27" s="15">
        <f t="shared" si="0"/>
        <v>0.40512454397554432</v>
      </c>
      <c r="C27" s="52"/>
      <c r="E27" s="53">
        <v>2042</v>
      </c>
      <c r="F27" s="15">
        <f>F26+$G$5</f>
        <v>0.44748486440100593</v>
      </c>
      <c r="G27" s="52"/>
      <c r="I27" s="53">
        <v>2042</v>
      </c>
      <c r="J27" s="15">
        <f t="shared" si="2"/>
        <v>0.48161534854138316</v>
      </c>
      <c r="K27" s="52"/>
      <c r="M27" s="53">
        <v>2042</v>
      </c>
      <c r="N27" s="15">
        <f t="shared" si="3"/>
        <v>0.49837756466177968</v>
      </c>
      <c r="O27" s="52"/>
    </row>
    <row r="28" spans="1:15">
      <c r="A28" s="53">
        <v>2043</v>
      </c>
      <c r="B28" s="15">
        <f t="shared" si="0"/>
        <v>0.41217565961079633</v>
      </c>
      <c r="C28" s="52"/>
      <c r="E28" s="53">
        <v>2043</v>
      </c>
      <c r="F28" s="15">
        <f t="shared" si="1"/>
        <v>0.45464326732832439</v>
      </c>
      <c r="G28" s="52"/>
      <c r="I28" s="53">
        <v>2043</v>
      </c>
      <c r="J28" s="15">
        <f t="shared" si="2"/>
        <v>0.48850695529326421</v>
      </c>
      <c r="K28" s="52"/>
      <c r="M28" s="53">
        <v>2043</v>
      </c>
      <c r="N28" s="15">
        <f t="shared" si="3"/>
        <v>0.50557654487367876</v>
      </c>
      <c r="O28" s="52"/>
    </row>
    <row r="29" spans="1:15">
      <c r="A29" s="53">
        <v>2044</v>
      </c>
      <c r="B29" s="15">
        <f t="shared" si="0"/>
        <v>0.41922677524604834</v>
      </c>
      <c r="C29" s="52"/>
      <c r="E29" s="53">
        <v>2044</v>
      </c>
      <c r="F29" s="15">
        <f t="shared" si="1"/>
        <v>0.46180167025564284</v>
      </c>
      <c r="G29" s="52"/>
      <c r="I29" s="53">
        <v>2044</v>
      </c>
      <c r="J29" s="15">
        <f t="shared" si="2"/>
        <v>0.49539856204514526</v>
      </c>
      <c r="K29" s="52"/>
      <c r="M29" s="53">
        <v>2044</v>
      </c>
      <c r="N29" s="15">
        <f t="shared" si="3"/>
        <v>0.51277552508557778</v>
      </c>
      <c r="O29" s="52"/>
    </row>
    <row r="30" spans="1:15">
      <c r="A30" s="53">
        <v>2045</v>
      </c>
      <c r="B30" s="15">
        <f t="shared" si="0"/>
        <v>0.42627789088130036</v>
      </c>
      <c r="C30" s="52"/>
      <c r="E30" s="53">
        <v>2045</v>
      </c>
      <c r="F30" s="15">
        <f t="shared" si="1"/>
        <v>0.46896007318296129</v>
      </c>
      <c r="G30" s="52"/>
      <c r="I30" s="53">
        <v>2045</v>
      </c>
      <c r="J30" s="15">
        <f t="shared" si="2"/>
        <v>0.50229016879702637</v>
      </c>
      <c r="K30" s="52"/>
      <c r="M30" s="53">
        <v>2045</v>
      </c>
      <c r="N30" s="15">
        <f t="shared" si="3"/>
        <v>0.5199745052974768</v>
      </c>
      <c r="O30" s="52"/>
    </row>
    <row r="31" spans="1:15">
      <c r="A31" s="53">
        <v>2046</v>
      </c>
      <c r="B31" s="15">
        <f t="shared" si="0"/>
        <v>0.43332900651655237</v>
      </c>
      <c r="C31" s="52"/>
      <c r="E31" s="53">
        <v>2046</v>
      </c>
      <c r="F31" s="15">
        <f>F30+$G$5</f>
        <v>0.47611847611027974</v>
      </c>
      <c r="G31" s="52"/>
      <c r="I31" s="53">
        <v>2046</v>
      </c>
      <c r="J31" s="15">
        <f t="shared" si="2"/>
        <v>0.50918177554890742</v>
      </c>
      <c r="K31" s="52"/>
      <c r="M31" s="53">
        <v>2046</v>
      </c>
      <c r="N31" s="15">
        <f t="shared" si="3"/>
        <v>0.52717348550937582</v>
      </c>
      <c r="O31" s="52"/>
    </row>
    <row r="32" spans="1:15">
      <c r="A32" s="53">
        <v>2047</v>
      </c>
      <c r="B32" s="15">
        <f t="shared" si="0"/>
        <v>0.44038012215180439</v>
      </c>
      <c r="C32" s="52"/>
      <c r="E32" s="53">
        <v>2047</v>
      </c>
      <c r="F32" s="15">
        <f t="shared" si="1"/>
        <v>0.48327687903759819</v>
      </c>
      <c r="G32" s="52"/>
      <c r="I32" s="53">
        <v>2047</v>
      </c>
      <c r="J32" s="15">
        <f t="shared" si="2"/>
        <v>0.51607338230078847</v>
      </c>
      <c r="K32" s="52"/>
      <c r="M32" s="53">
        <v>2047</v>
      </c>
      <c r="N32" s="15">
        <f t="shared" si="3"/>
        <v>0.53437246572127484</v>
      </c>
      <c r="O32" s="52"/>
    </row>
    <row r="33" spans="1:16">
      <c r="A33" s="53">
        <v>2048</v>
      </c>
      <c r="B33" s="15">
        <f t="shared" si="0"/>
        <v>0.4474312377870564</v>
      </c>
      <c r="C33" s="52"/>
      <c r="E33" s="53">
        <v>2048</v>
      </c>
      <c r="F33" s="15">
        <f t="shared" si="1"/>
        <v>0.49043528196491665</v>
      </c>
      <c r="G33" s="52"/>
      <c r="I33" s="53">
        <v>2048</v>
      </c>
      <c r="J33" s="15">
        <f t="shared" si="2"/>
        <v>0.52296498905266953</v>
      </c>
      <c r="K33" s="52"/>
      <c r="M33" s="53">
        <v>2048</v>
      </c>
      <c r="N33" s="15">
        <f t="shared" si="3"/>
        <v>0.54157144593317386</v>
      </c>
      <c r="O33" s="52"/>
    </row>
    <row r="34" spans="1:16">
      <c r="A34" s="53">
        <v>2049</v>
      </c>
      <c r="B34" s="15">
        <f t="shared" si="0"/>
        <v>0.45448235342230842</v>
      </c>
      <c r="C34" s="52"/>
      <c r="E34" s="53">
        <v>2049</v>
      </c>
      <c r="F34" s="15">
        <f>F33+$G$5</f>
        <v>0.4975936848922351</v>
      </c>
      <c r="G34" s="52"/>
      <c r="I34" s="53">
        <v>2049</v>
      </c>
      <c r="J34" s="15">
        <f t="shared" si="2"/>
        <v>0.52985659580455058</v>
      </c>
      <c r="K34" s="52"/>
      <c r="M34" s="53">
        <v>2049</v>
      </c>
      <c r="N34" s="15">
        <f>N33+$O$5</f>
        <v>0.54877042614507288</v>
      </c>
      <c r="O34" s="52"/>
    </row>
    <row r="35" spans="1:16">
      <c r="A35" s="122">
        <v>2050</v>
      </c>
      <c r="B35" s="92">
        <f>MINDSET!C18</f>
        <v>0.46153346905755982</v>
      </c>
      <c r="C35" s="123"/>
      <c r="E35" s="122">
        <v>2050</v>
      </c>
      <c r="F35" s="92">
        <f>MINDSET!D18</f>
        <v>0.50475208781955405</v>
      </c>
      <c r="G35" s="123"/>
      <c r="I35" s="122">
        <v>2050</v>
      </c>
      <c r="J35" s="92">
        <f>MINDSET!E18</f>
        <v>0.53674820255643185</v>
      </c>
      <c r="K35" s="123"/>
      <c r="M35" s="122">
        <v>2050</v>
      </c>
      <c r="N35" s="92">
        <f>MINDSET!F18</f>
        <v>0.55596940635697178</v>
      </c>
      <c r="O35" s="123"/>
    </row>
    <row r="38" spans="1:16" ht="19">
      <c r="A38" s="148" t="s">
        <v>92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</row>
    <row r="39" spans="1:16">
      <c r="A39" s="31">
        <v>10</v>
      </c>
      <c r="B39" s="31"/>
      <c r="C39" s="31"/>
      <c r="D39" s="31"/>
      <c r="E39" s="31">
        <v>25</v>
      </c>
      <c r="F39" s="31"/>
      <c r="G39" s="31"/>
      <c r="H39" s="31"/>
      <c r="I39" s="31">
        <v>100</v>
      </c>
      <c r="J39" s="31"/>
      <c r="K39" s="31"/>
      <c r="L39" s="31"/>
      <c r="M39" s="31">
        <v>200</v>
      </c>
      <c r="N39" s="31"/>
      <c r="O39" s="31"/>
    </row>
    <row r="40" spans="1:16">
      <c r="A40" s="48"/>
      <c r="B40" s="49" t="s">
        <v>91</v>
      </c>
      <c r="C40" s="50"/>
      <c r="E40" s="48"/>
      <c r="F40" s="49" t="s">
        <v>91</v>
      </c>
      <c r="G40" s="50"/>
      <c r="I40" s="48"/>
      <c r="J40" s="49" t="s">
        <v>91</v>
      </c>
      <c r="K40" s="50"/>
      <c r="M40" s="48"/>
      <c r="N40" s="49" t="s">
        <v>91</v>
      </c>
      <c r="O40" s="50"/>
    </row>
    <row r="41" spans="1:16">
      <c r="A41" s="51"/>
      <c r="B41" s="15"/>
      <c r="C41" s="52"/>
      <c r="E41" s="51"/>
      <c r="F41" s="15"/>
      <c r="G41" s="52"/>
      <c r="I41" s="51"/>
      <c r="J41" s="15"/>
      <c r="K41" s="52"/>
      <c r="M41" s="51"/>
      <c r="N41" s="15"/>
      <c r="O41" s="52"/>
    </row>
    <row r="42" spans="1:16">
      <c r="A42" s="53">
        <v>2020</v>
      </c>
      <c r="B42" s="126">
        <f>MINDSET!C15</f>
        <v>0.09</v>
      </c>
      <c r="C42" s="147">
        <f>(B72-B42)/30</f>
        <v>1.2351988119023454E-2</v>
      </c>
      <c r="E42" s="53">
        <v>2020</v>
      </c>
      <c r="F42" s="126">
        <f>MINDSET!D15</f>
        <v>0.16</v>
      </c>
      <c r="G42" s="147">
        <f>(F72-F42)/30</f>
        <v>1.1467409422467368E-2</v>
      </c>
      <c r="I42" s="53">
        <v>2020</v>
      </c>
      <c r="J42" s="126">
        <f>MINDSET!E15</f>
        <v>0.18</v>
      </c>
      <c r="K42" s="147">
        <f>(J72-J42)/30</f>
        <v>1.1886156726471529E-2</v>
      </c>
      <c r="M42" s="53">
        <v>2020</v>
      </c>
      <c r="N42" s="126">
        <f>MINDSET!F15</f>
        <v>0.19</v>
      </c>
      <c r="O42" s="147">
        <f>(N72-N42)/30</f>
        <v>1.2192852313260488E-2</v>
      </c>
    </row>
    <row r="43" spans="1:16">
      <c r="A43" s="53">
        <v>2021</v>
      </c>
      <c r="B43" s="15">
        <f>B42+$C$42</f>
        <v>0.10235198811902345</v>
      </c>
      <c r="C43" s="52"/>
      <c r="E43" s="53">
        <v>2021</v>
      </c>
      <c r="F43" s="15">
        <f>F42+$G$42</f>
        <v>0.17146740942246738</v>
      </c>
      <c r="G43" s="52"/>
      <c r="I43" s="53">
        <v>2021</v>
      </c>
      <c r="J43" s="15">
        <f>J42+$K$42</f>
        <v>0.19188615672647152</v>
      </c>
      <c r="K43" s="52"/>
      <c r="M43" s="53">
        <v>2021</v>
      </c>
      <c r="N43" s="15">
        <f>N42+$O$42</f>
        <v>0.20219285231326048</v>
      </c>
      <c r="O43" s="52"/>
    </row>
    <row r="44" spans="1:16">
      <c r="A44" s="53">
        <v>2022</v>
      </c>
      <c r="B44" s="15">
        <f t="shared" ref="B44:B71" si="4">B43+$C$42</f>
        <v>0.1147039762380469</v>
      </c>
      <c r="C44" s="52"/>
      <c r="E44" s="53">
        <v>2022</v>
      </c>
      <c r="F44" s="15">
        <f t="shared" ref="F44:F71" si="5">F43+$G$42</f>
        <v>0.18293481884493476</v>
      </c>
      <c r="G44" s="52"/>
      <c r="I44" s="53">
        <v>2022</v>
      </c>
      <c r="J44" s="15">
        <f>J43+$K$42</f>
        <v>0.20377231345294305</v>
      </c>
      <c r="K44" s="52"/>
      <c r="M44" s="53">
        <v>2022</v>
      </c>
      <c r="N44" s="15">
        <f t="shared" ref="N44:N70" si="6">N43+$O$42</f>
        <v>0.21438570462652096</v>
      </c>
      <c r="O44" s="52"/>
    </row>
    <row r="45" spans="1:16">
      <c r="A45" s="53">
        <v>2023</v>
      </c>
      <c r="B45" s="15">
        <f t="shared" si="4"/>
        <v>0.12705596435707037</v>
      </c>
      <c r="C45" s="52"/>
      <c r="E45" s="53">
        <v>2023</v>
      </c>
      <c r="F45" s="15">
        <f t="shared" si="5"/>
        <v>0.19440222826740214</v>
      </c>
      <c r="G45" s="52"/>
      <c r="I45" s="53">
        <v>2023</v>
      </c>
      <c r="J45" s="15">
        <f t="shared" ref="J45:J70" si="7">J44+$K$42</f>
        <v>0.21565847017941459</v>
      </c>
      <c r="K45" s="52"/>
      <c r="M45" s="53">
        <v>2023</v>
      </c>
      <c r="N45" s="15">
        <f t="shared" si="6"/>
        <v>0.22657855693978143</v>
      </c>
      <c r="O45" s="52"/>
    </row>
    <row r="46" spans="1:16">
      <c r="A46" s="53">
        <v>2024</v>
      </c>
      <c r="B46" s="15">
        <f t="shared" si="4"/>
        <v>0.13940795247609383</v>
      </c>
      <c r="C46" s="52"/>
      <c r="E46" s="53">
        <v>2024</v>
      </c>
      <c r="F46" s="15">
        <f t="shared" si="5"/>
        <v>0.20586963768986952</v>
      </c>
      <c r="G46" s="52"/>
      <c r="I46" s="53">
        <v>2024</v>
      </c>
      <c r="J46" s="15">
        <f t="shared" si="7"/>
        <v>0.22754462690588612</v>
      </c>
      <c r="K46" s="52"/>
      <c r="M46" s="53">
        <v>2024</v>
      </c>
      <c r="N46" s="15">
        <f t="shared" si="6"/>
        <v>0.23877140925304191</v>
      </c>
      <c r="O46" s="52"/>
    </row>
    <row r="47" spans="1:16">
      <c r="A47" s="53">
        <v>2025</v>
      </c>
      <c r="B47" s="15">
        <f t="shared" si="4"/>
        <v>0.1517599405951173</v>
      </c>
      <c r="C47" s="52"/>
      <c r="E47" s="53">
        <v>2025</v>
      </c>
      <c r="F47" s="15">
        <f t="shared" si="5"/>
        <v>0.2173370471123369</v>
      </c>
      <c r="G47" s="52"/>
      <c r="I47" s="53">
        <v>2025</v>
      </c>
      <c r="J47" s="15">
        <f t="shared" si="7"/>
        <v>0.23943078363235765</v>
      </c>
      <c r="K47" s="52"/>
      <c r="M47" s="53">
        <v>2025</v>
      </c>
      <c r="N47" s="15">
        <f t="shared" si="6"/>
        <v>0.25096426156630242</v>
      </c>
      <c r="O47" s="52"/>
    </row>
    <row r="48" spans="1:16">
      <c r="A48" s="53">
        <v>2026</v>
      </c>
      <c r="B48" s="15">
        <f t="shared" si="4"/>
        <v>0.16411192871414076</v>
      </c>
      <c r="C48" s="52"/>
      <c r="E48" s="53">
        <v>2026</v>
      </c>
      <c r="F48" s="15">
        <f t="shared" si="5"/>
        <v>0.22880445653480427</v>
      </c>
      <c r="G48" s="52"/>
      <c r="I48" s="53">
        <v>2026</v>
      </c>
      <c r="J48" s="15">
        <f t="shared" si="7"/>
        <v>0.25131694035882918</v>
      </c>
      <c r="K48" s="52"/>
      <c r="M48" s="53">
        <v>2026</v>
      </c>
      <c r="N48" s="15">
        <f t="shared" si="6"/>
        <v>0.26315711387956292</v>
      </c>
      <c r="O48" s="52"/>
    </row>
    <row r="49" spans="1:15">
      <c r="A49" s="53">
        <v>2027</v>
      </c>
      <c r="B49" s="15">
        <f t="shared" si="4"/>
        <v>0.17646391683316423</v>
      </c>
      <c r="C49" s="52"/>
      <c r="E49" s="53">
        <v>2027</v>
      </c>
      <c r="F49" s="15">
        <f t="shared" si="5"/>
        <v>0.24027186595727165</v>
      </c>
      <c r="G49" s="52"/>
      <c r="I49" s="53">
        <v>2027</v>
      </c>
      <c r="J49" s="15">
        <f t="shared" si="7"/>
        <v>0.26320309708530071</v>
      </c>
      <c r="K49" s="52"/>
      <c r="M49" s="53">
        <v>2027</v>
      </c>
      <c r="N49" s="15">
        <f t="shared" si="6"/>
        <v>0.27534996619282343</v>
      </c>
      <c r="O49" s="52"/>
    </row>
    <row r="50" spans="1:15">
      <c r="A50" s="53">
        <v>2028</v>
      </c>
      <c r="B50" s="15">
        <f t="shared" si="4"/>
        <v>0.1888159049521877</v>
      </c>
      <c r="C50" s="52"/>
      <c r="E50" s="53">
        <v>2028</v>
      </c>
      <c r="F50" s="15">
        <f t="shared" si="5"/>
        <v>0.251739275379739</v>
      </c>
      <c r="G50" s="52"/>
      <c r="I50" s="53">
        <v>2028</v>
      </c>
      <c r="J50" s="15">
        <f t="shared" si="7"/>
        <v>0.27508925381177224</v>
      </c>
      <c r="K50" s="52"/>
      <c r="M50" s="53">
        <v>2028</v>
      </c>
      <c r="N50" s="15">
        <f t="shared" si="6"/>
        <v>0.28754281850608393</v>
      </c>
      <c r="O50" s="52"/>
    </row>
    <row r="51" spans="1:15">
      <c r="A51" s="53">
        <v>2029</v>
      </c>
      <c r="B51" s="15">
        <f t="shared" si="4"/>
        <v>0.20116789307121116</v>
      </c>
      <c r="C51" s="54"/>
      <c r="E51" s="53">
        <v>2029</v>
      </c>
      <c r="F51" s="15">
        <f t="shared" si="5"/>
        <v>0.26320668480220638</v>
      </c>
      <c r="G51" s="54"/>
      <c r="I51" s="53">
        <v>2029</v>
      </c>
      <c r="J51" s="15">
        <f t="shared" si="7"/>
        <v>0.28697541053824377</v>
      </c>
      <c r="K51" s="54"/>
      <c r="M51" s="53">
        <v>2029</v>
      </c>
      <c r="N51" s="15">
        <f t="shared" si="6"/>
        <v>0.29973567081934444</v>
      </c>
      <c r="O51" s="54"/>
    </row>
    <row r="52" spans="1:15">
      <c r="A52" s="124">
        <v>2030</v>
      </c>
      <c r="B52" s="18">
        <f t="shared" si="4"/>
        <v>0.21351988119023463</v>
      </c>
      <c r="C52" s="52"/>
      <c r="E52" s="124">
        <v>2030</v>
      </c>
      <c r="F52" s="18">
        <f t="shared" si="5"/>
        <v>0.27467409422467376</v>
      </c>
      <c r="G52" s="52"/>
      <c r="I52" s="124">
        <v>2030</v>
      </c>
      <c r="J52" s="18">
        <f t="shared" si="7"/>
        <v>0.2988615672647153</v>
      </c>
      <c r="K52" s="52"/>
      <c r="M52" s="124">
        <v>2030</v>
      </c>
      <c r="N52" s="18">
        <f t="shared" si="6"/>
        <v>0.31192852313260494</v>
      </c>
      <c r="O52" s="52"/>
    </row>
    <row r="53" spans="1:15">
      <c r="A53" s="53">
        <v>2031</v>
      </c>
      <c r="B53" s="15">
        <f t="shared" si="4"/>
        <v>0.22587186930925809</v>
      </c>
      <c r="C53" s="52"/>
      <c r="E53" s="53">
        <v>2031</v>
      </c>
      <c r="F53" s="15">
        <f t="shared" si="5"/>
        <v>0.28614150364714114</v>
      </c>
      <c r="G53" s="52"/>
      <c r="I53" s="53">
        <v>2031</v>
      </c>
      <c r="J53" s="15">
        <f t="shared" si="7"/>
        <v>0.31074772399118683</v>
      </c>
      <c r="K53" s="52"/>
      <c r="M53" s="53">
        <v>2031</v>
      </c>
      <c r="N53" s="15">
        <f t="shared" si="6"/>
        <v>0.32412137544586545</v>
      </c>
      <c r="O53" s="52"/>
    </row>
    <row r="54" spans="1:15">
      <c r="A54" s="53">
        <v>2032</v>
      </c>
      <c r="B54" s="15">
        <f t="shared" si="4"/>
        <v>0.23822385742828156</v>
      </c>
      <c r="C54" s="52"/>
      <c r="E54" s="53">
        <v>2032</v>
      </c>
      <c r="F54" s="15">
        <f t="shared" si="5"/>
        <v>0.29760891306960852</v>
      </c>
      <c r="G54" s="52"/>
      <c r="I54" s="53">
        <v>2032</v>
      </c>
      <c r="J54" s="15">
        <f t="shared" si="7"/>
        <v>0.32263388071765836</v>
      </c>
      <c r="K54" s="52"/>
      <c r="M54" s="53">
        <v>2032</v>
      </c>
      <c r="N54" s="15">
        <f>N53+$O$42</f>
        <v>0.33631422775912595</v>
      </c>
      <c r="O54" s="52"/>
    </row>
    <row r="55" spans="1:15">
      <c r="A55" s="53">
        <v>2033</v>
      </c>
      <c r="B55" s="15">
        <f t="shared" si="4"/>
        <v>0.250575845547305</v>
      </c>
      <c r="C55" s="52"/>
      <c r="E55" s="53">
        <v>2033</v>
      </c>
      <c r="F55" s="15">
        <f t="shared" si="5"/>
        <v>0.30907632249207589</v>
      </c>
      <c r="G55" s="52"/>
      <c r="I55" s="53">
        <v>2033</v>
      </c>
      <c r="J55" s="15">
        <f t="shared" si="7"/>
        <v>0.33452003744412989</v>
      </c>
      <c r="K55" s="52"/>
      <c r="M55" s="53">
        <v>2033</v>
      </c>
      <c r="N55" s="15">
        <f t="shared" si="6"/>
        <v>0.34850708007238645</v>
      </c>
      <c r="O55" s="52"/>
    </row>
    <row r="56" spans="1:15">
      <c r="A56" s="53">
        <v>2034</v>
      </c>
      <c r="B56" s="15">
        <f t="shared" si="4"/>
        <v>0.26292783366632844</v>
      </c>
      <c r="C56" s="52"/>
      <c r="E56" s="53">
        <v>2034</v>
      </c>
      <c r="F56" s="15">
        <f t="shared" si="5"/>
        <v>0.32054373191454327</v>
      </c>
      <c r="G56" s="52"/>
      <c r="I56" s="53">
        <v>2034</v>
      </c>
      <c r="J56" s="15">
        <f t="shared" si="7"/>
        <v>0.34640619417060142</v>
      </c>
      <c r="K56" s="52"/>
      <c r="M56" s="53">
        <v>2034</v>
      </c>
      <c r="N56" s="15">
        <f t="shared" si="6"/>
        <v>0.36069993238564696</v>
      </c>
      <c r="O56" s="52"/>
    </row>
    <row r="57" spans="1:15">
      <c r="A57" s="53">
        <v>2035</v>
      </c>
      <c r="B57" s="15">
        <f t="shared" si="4"/>
        <v>0.27527982178535187</v>
      </c>
      <c r="C57" s="52"/>
      <c r="E57" s="53">
        <v>2035</v>
      </c>
      <c r="F57" s="15">
        <f t="shared" si="5"/>
        <v>0.33201114133701065</v>
      </c>
      <c r="G57" s="52"/>
      <c r="I57" s="53">
        <v>2035</v>
      </c>
      <c r="J57" s="15">
        <f t="shared" si="7"/>
        <v>0.35829235089707295</v>
      </c>
      <c r="K57" s="52"/>
      <c r="M57" s="53">
        <v>2035</v>
      </c>
      <c r="N57" s="15">
        <f t="shared" si="6"/>
        <v>0.37289278469890746</v>
      </c>
      <c r="O57" s="52"/>
    </row>
    <row r="58" spans="1:15">
      <c r="A58" s="53">
        <v>2036</v>
      </c>
      <c r="B58" s="15">
        <f t="shared" si="4"/>
        <v>0.28763180990437531</v>
      </c>
      <c r="C58" s="52"/>
      <c r="E58" s="53">
        <v>2036</v>
      </c>
      <c r="F58" s="15">
        <f t="shared" si="5"/>
        <v>0.34347855075947803</v>
      </c>
      <c r="G58" s="52"/>
      <c r="I58" s="53">
        <v>2036</v>
      </c>
      <c r="J58" s="15">
        <f t="shared" si="7"/>
        <v>0.37017850762354448</v>
      </c>
      <c r="K58" s="52"/>
      <c r="M58" s="53">
        <v>2036</v>
      </c>
      <c r="N58" s="15">
        <f t="shared" si="6"/>
        <v>0.38508563701216797</v>
      </c>
      <c r="O58" s="52"/>
    </row>
    <row r="59" spans="1:15">
      <c r="A59" s="53">
        <v>2037</v>
      </c>
      <c r="B59" s="15">
        <f t="shared" si="4"/>
        <v>0.29998379802339875</v>
      </c>
      <c r="C59" s="52"/>
      <c r="E59" s="53">
        <v>2037</v>
      </c>
      <c r="F59" s="15">
        <f t="shared" si="5"/>
        <v>0.35494596018194541</v>
      </c>
      <c r="G59" s="52"/>
      <c r="I59" s="53">
        <v>2037</v>
      </c>
      <c r="J59" s="15">
        <f t="shared" si="7"/>
        <v>0.38206466435001601</v>
      </c>
      <c r="K59" s="52"/>
      <c r="M59" s="53">
        <v>2037</v>
      </c>
      <c r="N59" s="15">
        <f t="shared" si="6"/>
        <v>0.39727848932542847</v>
      </c>
      <c r="O59" s="52"/>
    </row>
    <row r="60" spans="1:15">
      <c r="A60" s="53">
        <v>2038</v>
      </c>
      <c r="B60" s="15">
        <f t="shared" si="4"/>
        <v>0.31233578614242219</v>
      </c>
      <c r="C60" s="52"/>
      <c r="E60" s="53">
        <v>2038</v>
      </c>
      <c r="F60" s="15">
        <f t="shared" si="5"/>
        <v>0.36641336960441279</v>
      </c>
      <c r="G60" s="52"/>
      <c r="I60" s="53">
        <v>2038</v>
      </c>
      <c r="J60" s="15">
        <f t="shared" si="7"/>
        <v>0.39395082107648755</v>
      </c>
      <c r="K60" s="52"/>
      <c r="M60" s="53">
        <v>2038</v>
      </c>
      <c r="N60" s="15">
        <f t="shared" si="6"/>
        <v>0.40947134163868898</v>
      </c>
      <c r="O60" s="52"/>
    </row>
    <row r="61" spans="1:15">
      <c r="A61" s="53">
        <v>2039</v>
      </c>
      <c r="B61" s="15">
        <f t="shared" si="4"/>
        <v>0.32468777426144563</v>
      </c>
      <c r="C61" s="52"/>
      <c r="E61" s="53">
        <v>2039</v>
      </c>
      <c r="F61" s="15">
        <f t="shared" si="5"/>
        <v>0.37788077902688016</v>
      </c>
      <c r="G61" s="52"/>
      <c r="I61" s="53">
        <v>2039</v>
      </c>
      <c r="J61" s="15">
        <f t="shared" si="7"/>
        <v>0.40583697780295908</v>
      </c>
      <c r="K61" s="52"/>
      <c r="M61" s="53">
        <v>2039</v>
      </c>
      <c r="N61" s="15">
        <f t="shared" si="6"/>
        <v>0.42166419395194948</v>
      </c>
      <c r="O61" s="52"/>
    </row>
    <row r="62" spans="1:15">
      <c r="A62" s="53">
        <v>2040</v>
      </c>
      <c r="B62" s="15">
        <f t="shared" si="4"/>
        <v>0.33703976238046907</v>
      </c>
      <c r="C62" s="54"/>
      <c r="E62" s="53">
        <v>2040</v>
      </c>
      <c r="F62" s="15">
        <f t="shared" si="5"/>
        <v>0.38934818844934754</v>
      </c>
      <c r="G62" s="54"/>
      <c r="I62" s="53">
        <v>2040</v>
      </c>
      <c r="J62" s="15">
        <f t="shared" si="7"/>
        <v>0.41772313452943061</v>
      </c>
      <c r="K62" s="54"/>
      <c r="M62" s="53">
        <v>2040</v>
      </c>
      <c r="N62" s="15">
        <f t="shared" si="6"/>
        <v>0.43385704626520999</v>
      </c>
      <c r="O62" s="54"/>
    </row>
    <row r="63" spans="1:15">
      <c r="A63" s="53">
        <v>2041</v>
      </c>
      <c r="B63" s="15">
        <f t="shared" si="4"/>
        <v>0.3493917504994925</v>
      </c>
      <c r="C63" s="52"/>
      <c r="E63" s="53">
        <v>2041</v>
      </c>
      <c r="F63" s="15">
        <f t="shared" si="5"/>
        <v>0.40081559787181492</v>
      </c>
      <c r="G63" s="52"/>
      <c r="I63" s="53">
        <v>2041</v>
      </c>
      <c r="J63" s="15">
        <f t="shared" si="7"/>
        <v>0.42960929125590214</v>
      </c>
      <c r="K63" s="52"/>
      <c r="M63" s="53">
        <v>2041</v>
      </c>
      <c r="N63" s="15">
        <f t="shared" si="6"/>
        <v>0.44604989857847049</v>
      </c>
      <c r="O63" s="52"/>
    </row>
    <row r="64" spans="1:15">
      <c r="A64" s="53">
        <v>2042</v>
      </c>
      <c r="B64" s="15">
        <f t="shared" si="4"/>
        <v>0.36174373861851594</v>
      </c>
      <c r="C64" s="52"/>
      <c r="E64" s="53">
        <v>2042</v>
      </c>
      <c r="F64" s="15">
        <f t="shared" si="5"/>
        <v>0.4122830072942823</v>
      </c>
      <c r="G64" s="52"/>
      <c r="I64" s="53">
        <v>2042</v>
      </c>
      <c r="J64" s="15">
        <f t="shared" si="7"/>
        <v>0.44149544798237367</v>
      </c>
      <c r="K64" s="52"/>
      <c r="M64" s="53">
        <v>2042</v>
      </c>
      <c r="N64" s="15">
        <f t="shared" si="6"/>
        <v>0.458242750891731</v>
      </c>
      <c r="O64" s="52"/>
    </row>
    <row r="65" spans="1:16">
      <c r="A65" s="53">
        <v>2043</v>
      </c>
      <c r="B65" s="15">
        <f t="shared" si="4"/>
        <v>0.37409572673753938</v>
      </c>
      <c r="C65" s="52"/>
      <c r="E65" s="53">
        <v>2043</v>
      </c>
      <c r="F65" s="15">
        <f t="shared" si="5"/>
        <v>0.42375041671674968</v>
      </c>
      <c r="G65" s="52"/>
      <c r="I65" s="53">
        <v>2043</v>
      </c>
      <c r="J65" s="15">
        <f t="shared" si="7"/>
        <v>0.4533816047088452</v>
      </c>
      <c r="K65" s="52"/>
      <c r="M65" s="53">
        <v>2043</v>
      </c>
      <c r="N65" s="15">
        <f t="shared" si="6"/>
        <v>0.4704356032049915</v>
      </c>
      <c r="O65" s="52"/>
    </row>
    <row r="66" spans="1:16">
      <c r="A66" s="53">
        <v>2044</v>
      </c>
      <c r="B66" s="15">
        <f t="shared" si="4"/>
        <v>0.38644771485656282</v>
      </c>
      <c r="C66" s="52"/>
      <c r="E66" s="53">
        <v>2044</v>
      </c>
      <c r="F66" s="15">
        <f t="shared" si="5"/>
        <v>0.43521782613921706</v>
      </c>
      <c r="G66" s="52"/>
      <c r="I66" s="53">
        <v>2044</v>
      </c>
      <c r="J66" s="15">
        <f t="shared" si="7"/>
        <v>0.46526776143531673</v>
      </c>
      <c r="K66" s="52"/>
      <c r="M66" s="53">
        <v>2044</v>
      </c>
      <c r="N66" s="15">
        <f t="shared" si="6"/>
        <v>0.48262845551825201</v>
      </c>
      <c r="O66" s="52"/>
    </row>
    <row r="67" spans="1:16">
      <c r="A67" s="53">
        <v>2045</v>
      </c>
      <c r="B67" s="15">
        <f t="shared" si="4"/>
        <v>0.39879970297558626</v>
      </c>
      <c r="C67" s="52"/>
      <c r="E67" s="53">
        <v>2045</v>
      </c>
      <c r="F67" s="15">
        <f t="shared" si="5"/>
        <v>0.44668523556168444</v>
      </c>
      <c r="G67" s="52"/>
      <c r="I67" s="53">
        <v>2045</v>
      </c>
      <c r="J67" s="15">
        <f t="shared" si="7"/>
        <v>0.47715391816178826</v>
      </c>
      <c r="K67" s="52"/>
      <c r="M67" s="53">
        <v>2045</v>
      </c>
      <c r="N67" s="15">
        <f t="shared" si="6"/>
        <v>0.49482130783151251</v>
      </c>
      <c r="O67" s="52"/>
    </row>
    <row r="68" spans="1:16">
      <c r="A68" s="53">
        <v>2046</v>
      </c>
      <c r="B68" s="15">
        <f t="shared" si="4"/>
        <v>0.41115169109460969</v>
      </c>
      <c r="C68" s="52"/>
      <c r="E68" s="53">
        <v>2046</v>
      </c>
      <c r="F68" s="15">
        <f t="shared" si="5"/>
        <v>0.45815264498415181</v>
      </c>
      <c r="G68" s="52"/>
      <c r="I68" s="53">
        <v>2046</v>
      </c>
      <c r="J68" s="15">
        <f t="shared" si="7"/>
        <v>0.48904007488825979</v>
      </c>
      <c r="K68" s="52"/>
      <c r="M68" s="53">
        <v>2046</v>
      </c>
      <c r="N68" s="15">
        <f t="shared" si="6"/>
        <v>0.50701416014477296</v>
      </c>
      <c r="O68" s="52"/>
    </row>
    <row r="69" spans="1:16">
      <c r="A69" s="53">
        <v>2047</v>
      </c>
      <c r="B69" s="15">
        <f t="shared" si="4"/>
        <v>0.42350367921363313</v>
      </c>
      <c r="C69" s="52"/>
      <c r="E69" s="53">
        <v>2047</v>
      </c>
      <c r="F69" s="15">
        <f t="shared" si="5"/>
        <v>0.46962005440661919</v>
      </c>
      <c r="G69" s="52"/>
      <c r="I69" s="53">
        <v>2047</v>
      </c>
      <c r="J69" s="15">
        <f t="shared" si="7"/>
        <v>0.50092623161473127</v>
      </c>
      <c r="K69" s="52"/>
      <c r="M69" s="53">
        <v>2047</v>
      </c>
      <c r="N69" s="15">
        <f t="shared" si="6"/>
        <v>0.51920701245803347</v>
      </c>
      <c r="O69" s="52"/>
    </row>
    <row r="70" spans="1:16">
      <c r="A70" s="53">
        <v>2048</v>
      </c>
      <c r="B70" s="15">
        <f t="shared" si="4"/>
        <v>0.43585566733265657</v>
      </c>
      <c r="C70" s="52"/>
      <c r="E70" s="53">
        <v>2048</v>
      </c>
      <c r="F70" s="15">
        <f>F69+$G$42</f>
        <v>0.48108746382908657</v>
      </c>
      <c r="G70" s="52"/>
      <c r="I70" s="53">
        <v>2048</v>
      </c>
      <c r="J70" s="15">
        <f t="shared" si="7"/>
        <v>0.5128123883412028</v>
      </c>
      <c r="K70" s="52"/>
      <c r="M70" s="53">
        <v>2048</v>
      </c>
      <c r="N70" s="15">
        <f t="shared" si="6"/>
        <v>0.53139986477129397</v>
      </c>
      <c r="O70" s="52"/>
    </row>
    <row r="71" spans="1:16">
      <c r="A71" s="53">
        <v>2049</v>
      </c>
      <c r="B71" s="15">
        <f t="shared" si="4"/>
        <v>0.44820765545168001</v>
      </c>
      <c r="C71" s="52"/>
      <c r="E71" s="53">
        <v>2049</v>
      </c>
      <c r="F71" s="15">
        <f t="shared" si="5"/>
        <v>0.49255487325155395</v>
      </c>
      <c r="G71" s="52"/>
      <c r="I71" s="53">
        <v>2049</v>
      </c>
      <c r="J71" s="15">
        <f>J70+$K$42</f>
        <v>0.52469854506767433</v>
      </c>
      <c r="K71" s="52"/>
      <c r="M71" s="53">
        <v>2049</v>
      </c>
      <c r="N71" s="15">
        <f>N70+$O$42</f>
        <v>0.54359271708455448</v>
      </c>
      <c r="O71" s="52"/>
    </row>
    <row r="72" spans="1:16">
      <c r="A72" s="122">
        <v>2050</v>
      </c>
      <c r="B72" s="92">
        <f>MINDSET!C19</f>
        <v>0.46055964357070356</v>
      </c>
      <c r="C72" s="123"/>
      <c r="E72" s="122">
        <v>2050</v>
      </c>
      <c r="F72" s="92">
        <f>MINDSET!D19</f>
        <v>0.50402228267402105</v>
      </c>
      <c r="G72" s="123"/>
      <c r="I72" s="122">
        <v>2050</v>
      </c>
      <c r="J72" s="92">
        <f>MINDSET!E19</f>
        <v>0.53658470179414586</v>
      </c>
      <c r="K72" s="123"/>
      <c r="M72" s="122">
        <v>2050</v>
      </c>
      <c r="N72" s="92">
        <f>MINDSET!F19</f>
        <v>0.55578556939781465</v>
      </c>
      <c r="O72" s="123"/>
    </row>
    <row r="75" spans="1:16" ht="19">
      <c r="A75" s="149" t="s">
        <v>93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</row>
    <row r="76" spans="1:16">
      <c r="A76" s="31">
        <v>10</v>
      </c>
      <c r="B76" s="31"/>
      <c r="C76" s="31"/>
      <c r="D76" s="31"/>
      <c r="E76" s="31">
        <v>25</v>
      </c>
      <c r="F76" s="31"/>
      <c r="G76" s="31"/>
      <c r="H76" s="31"/>
      <c r="I76" s="31">
        <v>100</v>
      </c>
      <c r="J76" s="31"/>
      <c r="K76" s="31"/>
      <c r="L76" s="31"/>
      <c r="M76" s="31">
        <v>200</v>
      </c>
      <c r="N76" s="31"/>
      <c r="O76" s="31"/>
      <c r="P76" s="31"/>
    </row>
    <row r="77" spans="1:16">
      <c r="A77" s="48"/>
      <c r="B77" s="49" t="s">
        <v>91</v>
      </c>
      <c r="C77" s="50"/>
      <c r="E77" s="48"/>
      <c r="F77" s="49" t="s">
        <v>91</v>
      </c>
      <c r="G77" s="50"/>
      <c r="I77" s="48"/>
      <c r="J77" s="49" t="s">
        <v>91</v>
      </c>
      <c r="K77" s="50"/>
      <c r="M77" s="48"/>
      <c r="N77" s="49" t="s">
        <v>91</v>
      </c>
      <c r="O77" s="50"/>
    </row>
    <row r="78" spans="1:16">
      <c r="A78" s="51"/>
      <c r="B78" s="15"/>
      <c r="C78" s="52"/>
      <c r="E78" s="51"/>
      <c r="F78" s="15"/>
      <c r="G78" s="52"/>
      <c r="I78" s="51"/>
      <c r="J78" s="15"/>
      <c r="K78" s="52"/>
      <c r="M78" s="51"/>
      <c r="N78" s="15"/>
      <c r="O78" s="52"/>
    </row>
    <row r="79" spans="1:16">
      <c r="A79" s="53">
        <v>2020</v>
      </c>
      <c r="B79" s="126">
        <f>MINDSET!C27</f>
        <v>0.28999999999999998</v>
      </c>
      <c r="C79" s="125">
        <f>(B109-B79)/30</f>
        <v>5.7237637641754267E-3</v>
      </c>
      <c r="E79" s="53">
        <v>2020</v>
      </c>
      <c r="F79" s="126">
        <f>MINDSET!D27</f>
        <v>0.35</v>
      </c>
      <c r="G79" s="147">
        <f>(F109-F79)/30</f>
        <v>5.1645639408983519E-3</v>
      </c>
      <c r="I79" s="53">
        <v>2020</v>
      </c>
      <c r="J79" s="126">
        <f>MINDSET!E27</f>
        <v>0.39</v>
      </c>
      <c r="K79" s="147">
        <f>(J109-J79)/30</f>
        <v>4.8982707623375123E-3</v>
      </c>
      <c r="M79" s="53">
        <v>2020</v>
      </c>
      <c r="N79" s="126">
        <f>MINDSET!F27</f>
        <v>0.4</v>
      </c>
      <c r="O79" s="147">
        <f>(N109-N79)/30</f>
        <v>5.2057411721716258E-3</v>
      </c>
    </row>
    <row r="80" spans="1:16">
      <c r="A80" s="53">
        <v>2021</v>
      </c>
      <c r="B80" s="15">
        <f>B79+$C$79</f>
        <v>0.29572376376417542</v>
      </c>
      <c r="C80" s="52"/>
      <c r="E80" s="53">
        <v>2021</v>
      </c>
      <c r="F80" s="15">
        <f>F79+$G$79</f>
        <v>0.35516456394089835</v>
      </c>
      <c r="G80" s="52"/>
      <c r="I80" s="53">
        <v>2021</v>
      </c>
      <c r="J80" s="15">
        <f>J79+$K$79</f>
        <v>0.39489827076233752</v>
      </c>
      <c r="K80" s="52"/>
      <c r="M80" s="53">
        <v>2021</v>
      </c>
      <c r="N80" s="15">
        <f>N79+$O$79</f>
        <v>0.40520574117217167</v>
      </c>
      <c r="O80" s="52"/>
    </row>
    <row r="81" spans="1:15">
      <c r="A81" s="53">
        <v>2022</v>
      </c>
      <c r="B81" s="15">
        <f t="shared" ref="B81:B107" si="8">B80+$C$79</f>
        <v>0.30144752752835086</v>
      </c>
      <c r="C81" s="52"/>
      <c r="E81" s="53">
        <v>2022</v>
      </c>
      <c r="F81" s="15">
        <f t="shared" ref="F81:F107" si="9">F80+$G$79</f>
        <v>0.36032912788179672</v>
      </c>
      <c r="G81" s="52"/>
      <c r="I81" s="53">
        <v>2022</v>
      </c>
      <c r="J81" s="15">
        <f t="shared" ref="J81:J108" si="10">J80+$K$79</f>
        <v>0.39979654152467503</v>
      </c>
      <c r="K81" s="52"/>
      <c r="M81" s="53">
        <v>2022</v>
      </c>
      <c r="N81" s="15">
        <f t="shared" ref="N81:N107" si="11">N80+$O$79</f>
        <v>0.41041148234434333</v>
      </c>
      <c r="O81" s="52"/>
    </row>
    <row r="82" spans="1:15">
      <c r="A82" s="53">
        <v>2023</v>
      </c>
      <c r="B82" s="15">
        <f t="shared" si="8"/>
        <v>0.30717129129252629</v>
      </c>
      <c r="C82" s="52"/>
      <c r="E82" s="53">
        <v>2023</v>
      </c>
      <c r="F82" s="15">
        <f t="shared" si="9"/>
        <v>0.36549369182269509</v>
      </c>
      <c r="G82" s="52"/>
      <c r="I82" s="53">
        <v>2023</v>
      </c>
      <c r="J82" s="15">
        <f t="shared" si="10"/>
        <v>0.40469481228701254</v>
      </c>
      <c r="K82" s="52"/>
      <c r="M82" s="53">
        <v>2023</v>
      </c>
      <c r="N82" s="15">
        <f t="shared" si="11"/>
        <v>0.41561722351651498</v>
      </c>
      <c r="O82" s="52"/>
    </row>
    <row r="83" spans="1:15">
      <c r="A83" s="53">
        <v>2024</v>
      </c>
      <c r="B83" s="15">
        <f t="shared" si="8"/>
        <v>0.31289505505670173</v>
      </c>
      <c r="C83" s="52"/>
      <c r="E83" s="53">
        <v>2024</v>
      </c>
      <c r="F83" s="15">
        <f t="shared" si="9"/>
        <v>0.37065825576359346</v>
      </c>
      <c r="G83" s="52"/>
      <c r="I83" s="53">
        <v>2024</v>
      </c>
      <c r="J83" s="15">
        <f t="shared" si="10"/>
        <v>0.40959308304935005</v>
      </c>
      <c r="K83" s="52"/>
      <c r="M83" s="53">
        <v>2024</v>
      </c>
      <c r="N83" s="15">
        <f t="shared" si="11"/>
        <v>0.42082296468868663</v>
      </c>
      <c r="O83" s="52"/>
    </row>
    <row r="84" spans="1:15">
      <c r="A84" s="53">
        <v>2025</v>
      </c>
      <c r="B84" s="15">
        <f t="shared" si="8"/>
        <v>0.31861881882087717</v>
      </c>
      <c r="C84" s="52"/>
      <c r="E84" s="53">
        <v>2025</v>
      </c>
      <c r="F84" s="15">
        <f t="shared" si="9"/>
        <v>0.37582281970449183</v>
      </c>
      <c r="G84" s="52"/>
      <c r="I84" s="53">
        <v>2025</v>
      </c>
      <c r="J84" s="15">
        <f t="shared" si="10"/>
        <v>0.41449135381168756</v>
      </c>
      <c r="K84" s="52"/>
      <c r="M84" s="53">
        <v>2025</v>
      </c>
      <c r="N84" s="15">
        <f t="shared" si="11"/>
        <v>0.42602870586085828</v>
      </c>
      <c r="O84" s="52"/>
    </row>
    <row r="85" spans="1:15">
      <c r="A85" s="53">
        <v>2026</v>
      </c>
      <c r="B85" s="15">
        <f t="shared" si="8"/>
        <v>0.32434258258505261</v>
      </c>
      <c r="C85" s="52"/>
      <c r="E85" s="53">
        <v>2026</v>
      </c>
      <c r="F85" s="15">
        <f t="shared" si="9"/>
        <v>0.3809873836453902</v>
      </c>
      <c r="G85" s="52"/>
      <c r="I85" s="53">
        <v>2026</v>
      </c>
      <c r="J85" s="15">
        <f t="shared" si="10"/>
        <v>0.41938962457402507</v>
      </c>
      <c r="K85" s="52"/>
      <c r="M85" s="53">
        <v>2026</v>
      </c>
      <c r="N85" s="15">
        <f t="shared" si="11"/>
        <v>0.43123444703302993</v>
      </c>
      <c r="O85" s="52"/>
    </row>
    <row r="86" spans="1:15">
      <c r="A86" s="53">
        <v>2027</v>
      </c>
      <c r="B86" s="15">
        <f t="shared" si="8"/>
        <v>0.33006634634922805</v>
      </c>
      <c r="C86" s="52"/>
      <c r="E86" s="53">
        <v>2027</v>
      </c>
      <c r="F86" s="15">
        <f t="shared" si="9"/>
        <v>0.38615194758628857</v>
      </c>
      <c r="G86" s="52"/>
      <c r="I86" s="53">
        <v>2027</v>
      </c>
      <c r="J86" s="15">
        <f t="shared" si="10"/>
        <v>0.42428789533636257</v>
      </c>
      <c r="K86" s="52"/>
      <c r="M86" s="53">
        <v>2027</v>
      </c>
      <c r="N86" s="15">
        <f t="shared" si="11"/>
        <v>0.43644018820520158</v>
      </c>
      <c r="O86" s="52"/>
    </row>
    <row r="87" spans="1:15">
      <c r="A87" s="53">
        <v>2028</v>
      </c>
      <c r="B87" s="15">
        <f t="shared" si="8"/>
        <v>0.33579011011340348</v>
      </c>
      <c r="C87" s="52"/>
      <c r="E87" s="53">
        <v>2028</v>
      </c>
      <c r="F87" s="15">
        <f t="shared" si="9"/>
        <v>0.39131651152718694</v>
      </c>
      <c r="G87" s="52"/>
      <c r="I87" s="53">
        <v>2028</v>
      </c>
      <c r="J87" s="15">
        <f t="shared" si="10"/>
        <v>0.42918616609870008</v>
      </c>
      <c r="K87" s="52"/>
      <c r="M87" s="53">
        <v>2028</v>
      </c>
      <c r="N87" s="15">
        <f t="shared" si="11"/>
        <v>0.44164592937737324</v>
      </c>
      <c r="O87" s="52"/>
    </row>
    <row r="88" spans="1:15">
      <c r="A88" s="53">
        <v>2029</v>
      </c>
      <c r="B88" s="15">
        <f t="shared" si="8"/>
        <v>0.34151387387757892</v>
      </c>
      <c r="C88" s="54"/>
      <c r="E88" s="53">
        <v>2029</v>
      </c>
      <c r="F88" s="15">
        <f t="shared" si="9"/>
        <v>0.39648107546808531</v>
      </c>
      <c r="G88" s="54"/>
      <c r="I88" s="53">
        <v>2029</v>
      </c>
      <c r="J88" s="15">
        <f t="shared" si="10"/>
        <v>0.43408443686103759</v>
      </c>
      <c r="K88" s="54"/>
      <c r="M88" s="53">
        <v>2029</v>
      </c>
      <c r="N88" s="15">
        <f t="shared" si="11"/>
        <v>0.44685167054954489</v>
      </c>
      <c r="O88" s="54"/>
    </row>
    <row r="89" spans="1:15">
      <c r="A89" s="124">
        <v>2030</v>
      </c>
      <c r="B89" s="18">
        <f>B88+$C$79</f>
        <v>0.34723763764175436</v>
      </c>
      <c r="C89" s="52"/>
      <c r="E89" s="124">
        <v>2030</v>
      </c>
      <c r="F89" s="18">
        <f>F88+$G$79</f>
        <v>0.40164563940898368</v>
      </c>
      <c r="G89" s="52"/>
      <c r="I89" s="124">
        <v>2030</v>
      </c>
      <c r="J89" s="18">
        <f t="shared" si="10"/>
        <v>0.4389827076233751</v>
      </c>
      <c r="K89" s="52"/>
      <c r="M89" s="124">
        <v>2030</v>
      </c>
      <c r="N89" s="18">
        <f t="shared" si="11"/>
        <v>0.45205741172171654</v>
      </c>
      <c r="O89" s="52"/>
    </row>
    <row r="90" spans="1:15">
      <c r="A90" s="53">
        <v>2031</v>
      </c>
      <c r="B90" s="15">
        <f t="shared" si="8"/>
        <v>0.3529614014059298</v>
      </c>
      <c r="C90" s="52"/>
      <c r="E90" s="53">
        <v>2031</v>
      </c>
      <c r="F90" s="15">
        <f t="shared" si="9"/>
        <v>0.40681020334988205</v>
      </c>
      <c r="G90" s="52"/>
      <c r="I90" s="53">
        <v>2031</v>
      </c>
      <c r="J90" s="15">
        <f t="shared" si="10"/>
        <v>0.44388097838571261</v>
      </c>
      <c r="K90" s="52"/>
      <c r="M90" s="53">
        <v>2031</v>
      </c>
      <c r="N90" s="15">
        <f t="shared" si="11"/>
        <v>0.45726315289388819</v>
      </c>
      <c r="O90" s="52"/>
    </row>
    <row r="91" spans="1:15">
      <c r="A91" s="53">
        <v>2032</v>
      </c>
      <c r="B91" s="15">
        <f t="shared" si="8"/>
        <v>0.35868516517010524</v>
      </c>
      <c r="C91" s="52"/>
      <c r="E91" s="53">
        <v>2032</v>
      </c>
      <c r="F91" s="15">
        <f t="shared" si="9"/>
        <v>0.41197476729078042</v>
      </c>
      <c r="G91" s="52"/>
      <c r="I91" s="53">
        <v>2032</v>
      </c>
      <c r="J91" s="15">
        <f t="shared" si="10"/>
        <v>0.44877924914805012</v>
      </c>
      <c r="K91" s="52"/>
      <c r="M91" s="53">
        <v>2032</v>
      </c>
      <c r="N91" s="15">
        <f t="shared" si="11"/>
        <v>0.46246889406605984</v>
      </c>
      <c r="O91" s="52"/>
    </row>
    <row r="92" spans="1:15">
      <c r="A92" s="53">
        <v>2033</v>
      </c>
      <c r="B92" s="15">
        <f t="shared" si="8"/>
        <v>0.36440892893428067</v>
      </c>
      <c r="C92" s="52"/>
      <c r="E92" s="53">
        <v>2033</v>
      </c>
      <c r="F92" s="15">
        <f t="shared" si="9"/>
        <v>0.41713933123167879</v>
      </c>
      <c r="G92" s="52"/>
      <c r="I92" s="53">
        <v>2033</v>
      </c>
      <c r="J92" s="15">
        <f t="shared" si="10"/>
        <v>0.45367751991038763</v>
      </c>
      <c r="K92" s="52"/>
      <c r="M92" s="53">
        <v>2033</v>
      </c>
      <c r="N92" s="15">
        <f t="shared" si="11"/>
        <v>0.4676746352382315</v>
      </c>
      <c r="O92" s="52"/>
    </row>
    <row r="93" spans="1:15">
      <c r="A93" s="53">
        <v>2034</v>
      </c>
      <c r="B93" s="15">
        <f t="shared" si="8"/>
        <v>0.37013269269845611</v>
      </c>
      <c r="C93" s="52"/>
      <c r="E93" s="53">
        <v>2034</v>
      </c>
      <c r="F93" s="15">
        <f t="shared" si="9"/>
        <v>0.42230389517257716</v>
      </c>
      <c r="G93" s="52"/>
      <c r="I93" s="53">
        <v>2034</v>
      </c>
      <c r="J93" s="15">
        <f t="shared" si="10"/>
        <v>0.45857579067272514</v>
      </c>
      <c r="K93" s="52"/>
      <c r="M93" s="53">
        <v>2034</v>
      </c>
      <c r="N93" s="15">
        <f t="shared" si="11"/>
        <v>0.47288037641040315</v>
      </c>
      <c r="O93" s="52"/>
    </row>
    <row r="94" spans="1:15">
      <c r="A94" s="53">
        <v>2035</v>
      </c>
      <c r="B94" s="15">
        <f t="shared" si="8"/>
        <v>0.37585645646263155</v>
      </c>
      <c r="C94" s="52"/>
      <c r="E94" s="53">
        <v>2035</v>
      </c>
      <c r="F94" s="15">
        <f t="shared" si="9"/>
        <v>0.42746845911347553</v>
      </c>
      <c r="G94" s="52"/>
      <c r="I94" s="53">
        <v>2035</v>
      </c>
      <c r="J94" s="15">
        <f t="shared" si="10"/>
        <v>0.46347406143506265</v>
      </c>
      <c r="K94" s="52"/>
      <c r="M94" s="53">
        <v>2035</v>
      </c>
      <c r="N94" s="15">
        <f t="shared" si="11"/>
        <v>0.4780861175825748</v>
      </c>
      <c r="O94" s="52"/>
    </row>
    <row r="95" spans="1:15">
      <c r="A95" s="53">
        <v>2036</v>
      </c>
      <c r="B95" s="15">
        <f t="shared" si="8"/>
        <v>0.38158022022680699</v>
      </c>
      <c r="C95" s="52"/>
      <c r="E95" s="53">
        <v>2036</v>
      </c>
      <c r="F95" s="15">
        <f t="shared" si="9"/>
        <v>0.4326330230543739</v>
      </c>
      <c r="G95" s="52"/>
      <c r="I95" s="53">
        <v>2036</v>
      </c>
      <c r="J95" s="15">
        <f t="shared" si="10"/>
        <v>0.46837233219740015</v>
      </c>
      <c r="K95" s="52"/>
      <c r="M95" s="53">
        <v>2036</v>
      </c>
      <c r="N95" s="15">
        <f t="shared" si="11"/>
        <v>0.48329185875474645</v>
      </c>
      <c r="O95" s="52"/>
    </row>
    <row r="96" spans="1:15">
      <c r="A96" s="53">
        <v>2037</v>
      </c>
      <c r="B96" s="15">
        <f t="shared" si="8"/>
        <v>0.38730398399098243</v>
      </c>
      <c r="C96" s="52"/>
      <c r="E96" s="53">
        <v>2037</v>
      </c>
      <c r="F96" s="15">
        <f t="shared" si="9"/>
        <v>0.43779758699527227</v>
      </c>
      <c r="G96" s="52"/>
      <c r="I96" s="53">
        <v>2037</v>
      </c>
      <c r="J96" s="15">
        <f t="shared" si="10"/>
        <v>0.47327060295973766</v>
      </c>
      <c r="K96" s="52"/>
      <c r="M96" s="53">
        <v>2037</v>
      </c>
      <c r="N96" s="15">
        <f t="shared" si="11"/>
        <v>0.4884975999269181</v>
      </c>
      <c r="O96" s="52"/>
    </row>
    <row r="97" spans="1:16">
      <c r="A97" s="53">
        <v>2038</v>
      </c>
      <c r="B97" s="15">
        <f t="shared" si="8"/>
        <v>0.39302774775515786</v>
      </c>
      <c r="C97" s="52"/>
      <c r="E97" s="53">
        <v>2038</v>
      </c>
      <c r="F97" s="15">
        <f t="shared" si="9"/>
        <v>0.44296215093617064</v>
      </c>
      <c r="G97" s="52"/>
      <c r="I97" s="53">
        <v>2038</v>
      </c>
      <c r="J97" s="15">
        <f t="shared" si="10"/>
        <v>0.47816887372207517</v>
      </c>
      <c r="K97" s="52"/>
      <c r="M97" s="53">
        <v>2038</v>
      </c>
      <c r="N97" s="15">
        <f t="shared" si="11"/>
        <v>0.49370334109908975</v>
      </c>
      <c r="O97" s="52"/>
    </row>
    <row r="98" spans="1:16">
      <c r="A98" s="53">
        <v>2039</v>
      </c>
      <c r="B98" s="15">
        <f t="shared" si="8"/>
        <v>0.3987515115193333</v>
      </c>
      <c r="C98" s="52"/>
      <c r="E98" s="53">
        <v>2039</v>
      </c>
      <c r="F98" s="15">
        <f t="shared" si="9"/>
        <v>0.44812671487706901</v>
      </c>
      <c r="G98" s="52"/>
      <c r="I98" s="53">
        <v>2039</v>
      </c>
      <c r="J98" s="15">
        <f t="shared" si="10"/>
        <v>0.48306714448441268</v>
      </c>
      <c r="K98" s="52"/>
      <c r="M98" s="53">
        <v>2039</v>
      </c>
      <c r="N98" s="15">
        <f t="shared" si="11"/>
        <v>0.49890908227126141</v>
      </c>
      <c r="O98" s="52"/>
    </row>
    <row r="99" spans="1:16">
      <c r="A99" s="53">
        <v>2040</v>
      </c>
      <c r="B99" s="15">
        <f t="shared" si="8"/>
        <v>0.40447527528350874</v>
      </c>
      <c r="C99" s="54"/>
      <c r="E99" s="53">
        <v>2040</v>
      </c>
      <c r="F99" s="15">
        <f t="shared" si="9"/>
        <v>0.45329127881796738</v>
      </c>
      <c r="G99" s="54"/>
      <c r="I99" s="53">
        <v>2040</v>
      </c>
      <c r="J99" s="15">
        <f t="shared" si="10"/>
        <v>0.48796541524675019</v>
      </c>
      <c r="K99" s="54"/>
      <c r="M99" s="53">
        <v>2040</v>
      </c>
      <c r="N99" s="15">
        <f t="shared" si="11"/>
        <v>0.50411482344343306</v>
      </c>
      <c r="O99" s="54"/>
    </row>
    <row r="100" spans="1:16">
      <c r="A100" s="53">
        <v>2041</v>
      </c>
      <c r="B100" s="15">
        <f t="shared" si="8"/>
        <v>0.41019903904768418</v>
      </c>
      <c r="C100" s="52"/>
      <c r="E100" s="53">
        <v>2041</v>
      </c>
      <c r="F100" s="15">
        <f t="shared" si="9"/>
        <v>0.45845584275886575</v>
      </c>
      <c r="G100" s="52"/>
      <c r="I100" s="53">
        <v>2041</v>
      </c>
      <c r="J100" s="15">
        <f t="shared" si="10"/>
        <v>0.4928636860090877</v>
      </c>
      <c r="K100" s="52"/>
      <c r="M100" s="53">
        <v>2041</v>
      </c>
      <c r="N100" s="15">
        <f t="shared" si="11"/>
        <v>0.50932056461560471</v>
      </c>
      <c r="O100" s="52"/>
    </row>
    <row r="101" spans="1:16">
      <c r="A101" s="53">
        <v>2042</v>
      </c>
      <c r="B101" s="15">
        <f t="shared" si="8"/>
        <v>0.41592280281185962</v>
      </c>
      <c r="C101" s="52"/>
      <c r="E101" s="53">
        <v>2042</v>
      </c>
      <c r="F101" s="15">
        <f t="shared" si="9"/>
        <v>0.46362040669976412</v>
      </c>
      <c r="G101" s="52"/>
      <c r="I101" s="53">
        <v>2042</v>
      </c>
      <c r="J101" s="15">
        <f t="shared" si="10"/>
        <v>0.49776195677142521</v>
      </c>
      <c r="K101" s="52"/>
      <c r="M101" s="53">
        <v>2042</v>
      </c>
      <c r="N101" s="15">
        <f t="shared" si="11"/>
        <v>0.51452630578777636</v>
      </c>
      <c r="O101" s="52"/>
    </row>
    <row r="102" spans="1:16">
      <c r="A102" s="53">
        <v>2043</v>
      </c>
      <c r="B102" s="15">
        <f t="shared" si="8"/>
        <v>0.42164656657603505</v>
      </c>
      <c r="C102" s="52"/>
      <c r="E102" s="53">
        <v>2043</v>
      </c>
      <c r="F102" s="15">
        <f t="shared" si="9"/>
        <v>0.46878497064066249</v>
      </c>
      <c r="G102" s="52"/>
      <c r="I102" s="53">
        <v>2043</v>
      </c>
      <c r="J102" s="15">
        <f t="shared" si="10"/>
        <v>0.50266022753376272</v>
      </c>
      <c r="K102" s="52"/>
      <c r="M102" s="53">
        <v>2043</v>
      </c>
      <c r="N102" s="15">
        <f t="shared" si="11"/>
        <v>0.51973204695994801</v>
      </c>
      <c r="O102" s="52"/>
    </row>
    <row r="103" spans="1:16">
      <c r="A103" s="53">
        <v>2044</v>
      </c>
      <c r="B103" s="15">
        <f t="shared" si="8"/>
        <v>0.42737033034021049</v>
      </c>
      <c r="C103" s="52"/>
      <c r="E103" s="53">
        <v>2044</v>
      </c>
      <c r="F103" s="15">
        <f t="shared" si="9"/>
        <v>0.47394953458156086</v>
      </c>
      <c r="G103" s="52"/>
      <c r="I103" s="53">
        <v>2044</v>
      </c>
      <c r="J103" s="15">
        <f t="shared" si="10"/>
        <v>0.50755849829610022</v>
      </c>
      <c r="K103" s="52"/>
      <c r="M103" s="53">
        <v>2044</v>
      </c>
      <c r="N103" s="15">
        <f t="shared" si="11"/>
        <v>0.52493778813211966</v>
      </c>
      <c r="O103" s="52"/>
    </row>
    <row r="104" spans="1:16">
      <c r="A104" s="53">
        <v>2045</v>
      </c>
      <c r="B104" s="15">
        <f t="shared" si="8"/>
        <v>0.43309409410438593</v>
      </c>
      <c r="C104" s="52"/>
      <c r="E104" s="53">
        <v>2045</v>
      </c>
      <c r="F104" s="15">
        <f t="shared" si="9"/>
        <v>0.47911409852245923</v>
      </c>
      <c r="G104" s="52"/>
      <c r="I104" s="53">
        <v>2045</v>
      </c>
      <c r="J104" s="15">
        <f t="shared" si="10"/>
        <v>0.51245676905843773</v>
      </c>
      <c r="K104" s="52"/>
      <c r="M104" s="53">
        <v>2045</v>
      </c>
      <c r="N104" s="15">
        <f t="shared" si="11"/>
        <v>0.53014352930429132</v>
      </c>
      <c r="O104" s="52"/>
    </row>
    <row r="105" spans="1:16">
      <c r="A105" s="53">
        <v>2046</v>
      </c>
      <c r="B105" s="15">
        <f t="shared" si="8"/>
        <v>0.43881785786856137</v>
      </c>
      <c r="C105" s="52"/>
      <c r="E105" s="53">
        <v>2046</v>
      </c>
      <c r="F105" s="15">
        <f t="shared" si="9"/>
        <v>0.4842786624633576</v>
      </c>
      <c r="G105" s="52"/>
      <c r="I105" s="53">
        <v>2046</v>
      </c>
      <c r="J105" s="15">
        <f t="shared" si="10"/>
        <v>0.51735503982077524</v>
      </c>
      <c r="K105" s="52"/>
      <c r="M105" s="53">
        <v>2046</v>
      </c>
      <c r="N105" s="15">
        <f t="shared" si="11"/>
        <v>0.53534927047646297</v>
      </c>
      <c r="O105" s="52"/>
    </row>
    <row r="106" spans="1:16">
      <c r="A106" s="53">
        <v>2047</v>
      </c>
      <c r="B106" s="15">
        <f t="shared" si="8"/>
        <v>0.44454162163273681</v>
      </c>
      <c r="C106" s="52"/>
      <c r="E106" s="53">
        <v>2047</v>
      </c>
      <c r="F106" s="15">
        <f t="shared" si="9"/>
        <v>0.48944322640425597</v>
      </c>
      <c r="G106" s="52"/>
      <c r="I106" s="53">
        <v>2047</v>
      </c>
      <c r="J106" s="15">
        <f t="shared" si="10"/>
        <v>0.52225331058311275</v>
      </c>
      <c r="K106" s="52"/>
      <c r="M106" s="53">
        <v>2047</v>
      </c>
      <c r="N106" s="15">
        <f t="shared" si="11"/>
        <v>0.54055501164863462</v>
      </c>
      <c r="O106" s="52"/>
    </row>
    <row r="107" spans="1:16">
      <c r="A107" s="53">
        <v>2048</v>
      </c>
      <c r="B107" s="15">
        <f t="shared" si="8"/>
        <v>0.45026538539691224</v>
      </c>
      <c r="C107" s="52"/>
      <c r="E107" s="53">
        <v>2048</v>
      </c>
      <c r="F107" s="15">
        <f t="shared" si="9"/>
        <v>0.49460779034515434</v>
      </c>
      <c r="G107" s="52"/>
      <c r="I107" s="53">
        <v>2048</v>
      </c>
      <c r="J107" s="15">
        <f t="shared" si="10"/>
        <v>0.52715158134545026</v>
      </c>
      <c r="K107" s="52"/>
      <c r="M107" s="53">
        <v>2048</v>
      </c>
      <c r="N107" s="15">
        <f t="shared" si="11"/>
        <v>0.54576075282080627</v>
      </c>
      <c r="O107" s="52"/>
    </row>
    <row r="108" spans="1:16">
      <c r="A108" s="53">
        <v>2049</v>
      </c>
      <c r="B108" s="15">
        <f>B107+$C$79</f>
        <v>0.45598914916108768</v>
      </c>
      <c r="C108" s="52"/>
      <c r="E108" s="53">
        <v>2049</v>
      </c>
      <c r="F108" s="15">
        <f>F107+$G$79</f>
        <v>0.49977235428605271</v>
      </c>
      <c r="G108" s="52"/>
      <c r="I108" s="53">
        <v>2049</v>
      </c>
      <c r="J108" s="15">
        <f t="shared" si="10"/>
        <v>0.53204985210778777</v>
      </c>
      <c r="K108" s="52"/>
      <c r="M108" s="53">
        <v>2049</v>
      </c>
      <c r="N108" s="15">
        <f>N107+$O$79</f>
        <v>0.55096649399297792</v>
      </c>
      <c r="O108" s="52"/>
    </row>
    <row r="109" spans="1:16">
      <c r="A109" s="122">
        <v>2050</v>
      </c>
      <c r="B109" s="92">
        <f>MINDSET!C31</f>
        <v>0.46171291292526279</v>
      </c>
      <c r="C109" s="123"/>
      <c r="E109" s="122">
        <v>2050</v>
      </c>
      <c r="F109" s="92">
        <f>MINDSET!D31</f>
        <v>0.50493691822695053</v>
      </c>
      <c r="G109" s="123"/>
      <c r="I109" s="122">
        <v>2050</v>
      </c>
      <c r="J109" s="92">
        <f>MINDSET!E31</f>
        <v>0.53694812287012539</v>
      </c>
      <c r="K109" s="123"/>
      <c r="M109" s="122">
        <v>2050</v>
      </c>
      <c r="N109" s="92">
        <f>MINDSET!F31</f>
        <v>0.5561722351651488</v>
      </c>
      <c r="O109" s="123"/>
    </row>
    <row r="111" spans="1:16" ht="19">
      <c r="A111" s="149" t="s">
        <v>94</v>
      </c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</row>
    <row r="112" spans="1:16">
      <c r="A112" s="31">
        <v>10</v>
      </c>
      <c r="B112" s="31"/>
      <c r="C112" s="31"/>
      <c r="D112" s="31"/>
      <c r="E112" s="31">
        <v>25</v>
      </c>
      <c r="F112" s="31"/>
      <c r="G112" s="31"/>
      <c r="H112" s="31"/>
      <c r="I112" s="31">
        <v>100</v>
      </c>
      <c r="J112" s="31"/>
      <c r="K112" s="31"/>
      <c r="L112" s="31"/>
      <c r="M112" s="31">
        <v>200</v>
      </c>
      <c r="N112" s="31"/>
      <c r="O112" s="31"/>
      <c r="P112" s="31"/>
    </row>
    <row r="113" spans="1:15">
      <c r="A113" s="48"/>
      <c r="B113" s="49" t="s">
        <v>91</v>
      </c>
      <c r="C113" s="50"/>
      <c r="E113" s="48"/>
      <c r="F113" s="49" t="s">
        <v>91</v>
      </c>
      <c r="G113" s="50"/>
      <c r="I113" s="48"/>
      <c r="J113" s="49" t="s">
        <v>91</v>
      </c>
      <c r="K113" s="50"/>
      <c r="M113" s="48"/>
      <c r="N113" s="49" t="s">
        <v>91</v>
      </c>
      <c r="O113" s="50"/>
    </row>
    <row r="114" spans="1:15">
      <c r="A114" s="51"/>
      <c r="B114" s="15"/>
      <c r="C114" s="52"/>
      <c r="E114" s="51"/>
      <c r="F114" s="15"/>
      <c r="G114" s="52"/>
      <c r="I114" s="51"/>
      <c r="J114" s="15"/>
      <c r="K114" s="52"/>
      <c r="M114" s="51"/>
      <c r="N114" s="15"/>
      <c r="O114" s="52"/>
    </row>
    <row r="115" spans="1:15">
      <c r="A115" s="53">
        <v>2020</v>
      </c>
      <c r="B115" s="126">
        <f>MINDSET!C28</f>
        <v>8.721061194393645E-2</v>
      </c>
      <c r="C115" s="125">
        <f>(B145-B115)/30</f>
        <v>1.2451137154581867E-2</v>
      </c>
      <c r="E115" s="53">
        <v>2020</v>
      </c>
      <c r="F115" s="126">
        <f>MINDSET!D28</f>
        <v>0.15629635836318961</v>
      </c>
      <c r="G115" s="147">
        <f>(F145-F115)/30</f>
        <v>1.1597370358735398E-2</v>
      </c>
      <c r="I115" s="53">
        <v>2020</v>
      </c>
      <c r="J115" s="126">
        <f>MINDSET!E28</f>
        <v>0.1764963671233932</v>
      </c>
      <c r="K115" s="147">
        <f>(J145-J115)/30</f>
        <v>1.2009607133619293E-2</v>
      </c>
      <c r="M115" s="53">
        <v>2020</v>
      </c>
      <c r="N115" s="126">
        <f>MINDSET!F28</f>
        <v>0.19014795477128335</v>
      </c>
      <c r="O115" s="147">
        <f>(N145-N115)/30</f>
        <v>1.2194678514238003E-2</v>
      </c>
    </row>
    <row r="116" spans="1:15">
      <c r="A116" s="53">
        <v>2021</v>
      </c>
      <c r="B116" s="15">
        <f>B115+$C$115</f>
        <v>9.9661749098518312E-2</v>
      </c>
      <c r="C116" s="52"/>
      <c r="E116" s="53">
        <v>2021</v>
      </c>
      <c r="F116" s="15">
        <f>F115+$G$115</f>
        <v>0.16789372872192501</v>
      </c>
      <c r="G116" s="52"/>
      <c r="I116" s="53">
        <v>2021</v>
      </c>
      <c r="J116" s="15">
        <f>J115+$K$115</f>
        <v>0.18850597425701249</v>
      </c>
      <c r="K116" s="52"/>
      <c r="M116" s="53">
        <v>2021</v>
      </c>
      <c r="N116" s="15">
        <f>N115+$O$115</f>
        <v>0.20234263328552135</v>
      </c>
      <c r="O116" s="52"/>
    </row>
    <row r="117" spans="1:15">
      <c r="A117" s="53">
        <v>2022</v>
      </c>
      <c r="B117" s="15">
        <f t="shared" ref="B117:B142" si="12">B116+$C$115</f>
        <v>0.11211288625310017</v>
      </c>
      <c r="C117" s="52"/>
      <c r="E117" s="53">
        <v>2022</v>
      </c>
      <c r="F117" s="15">
        <f t="shared" ref="F117:F144" si="13">F116+$G$115</f>
        <v>0.17949109908066041</v>
      </c>
      <c r="G117" s="52"/>
      <c r="I117" s="53">
        <v>2022</v>
      </c>
      <c r="J117" s="15">
        <f t="shared" ref="J117:J144" si="14">J116+$K$115</f>
        <v>0.20051558139063178</v>
      </c>
      <c r="K117" s="52"/>
      <c r="M117" s="53">
        <v>2022</v>
      </c>
      <c r="N117" s="15">
        <f t="shared" ref="N117:N144" si="15">N116+$O$115</f>
        <v>0.21453731179975935</v>
      </c>
      <c r="O117" s="52"/>
    </row>
    <row r="118" spans="1:15">
      <c r="A118" s="53">
        <v>2023</v>
      </c>
      <c r="B118" s="15">
        <f t="shared" si="12"/>
        <v>0.12456402340768204</v>
      </c>
      <c r="C118" s="52"/>
      <c r="E118" s="53">
        <v>2023</v>
      </c>
      <c r="F118" s="15">
        <f t="shared" si="13"/>
        <v>0.19108846943939581</v>
      </c>
      <c r="G118" s="52"/>
      <c r="I118" s="53">
        <v>2023</v>
      </c>
      <c r="J118" s="15">
        <f t="shared" si="14"/>
        <v>0.21252518852425106</v>
      </c>
      <c r="K118" s="52"/>
      <c r="M118" s="53">
        <v>2023</v>
      </c>
      <c r="N118" s="15">
        <f t="shared" si="15"/>
        <v>0.22673199031399735</v>
      </c>
      <c r="O118" s="52"/>
    </row>
    <row r="119" spans="1:15">
      <c r="A119" s="53">
        <v>2024</v>
      </c>
      <c r="B119" s="15">
        <f t="shared" si="12"/>
        <v>0.1370151605622639</v>
      </c>
      <c r="C119" s="52"/>
      <c r="E119" s="53">
        <v>2024</v>
      </c>
      <c r="F119" s="15">
        <f t="shared" si="13"/>
        <v>0.20268583979813121</v>
      </c>
      <c r="G119" s="52"/>
      <c r="I119" s="53">
        <v>2024</v>
      </c>
      <c r="J119" s="15">
        <f t="shared" si="14"/>
        <v>0.22453479565787035</v>
      </c>
      <c r="K119" s="52"/>
      <c r="M119" s="53">
        <v>2024</v>
      </c>
      <c r="N119" s="15">
        <f t="shared" si="15"/>
        <v>0.23892666882823535</v>
      </c>
      <c r="O119" s="52"/>
    </row>
    <row r="120" spans="1:15">
      <c r="A120" s="53">
        <v>2025</v>
      </c>
      <c r="B120" s="15">
        <f t="shared" si="12"/>
        <v>0.14946629771684578</v>
      </c>
      <c r="C120" s="52"/>
      <c r="E120" s="53">
        <v>2025</v>
      </c>
      <c r="F120" s="15">
        <f t="shared" si="13"/>
        <v>0.2142832101568666</v>
      </c>
      <c r="G120" s="52"/>
      <c r="I120" s="53">
        <v>2025</v>
      </c>
      <c r="J120" s="15">
        <f t="shared" si="14"/>
        <v>0.23654440279148964</v>
      </c>
      <c r="K120" s="52"/>
      <c r="M120" s="53">
        <v>2025</v>
      </c>
      <c r="N120" s="15">
        <f t="shared" si="15"/>
        <v>0.25112134734247338</v>
      </c>
      <c r="O120" s="52"/>
    </row>
    <row r="121" spans="1:15">
      <c r="A121" s="53">
        <v>2026</v>
      </c>
      <c r="B121" s="15">
        <f t="shared" si="12"/>
        <v>0.16191743487142765</v>
      </c>
      <c r="C121" s="52"/>
      <c r="E121" s="53">
        <v>2026</v>
      </c>
      <c r="F121" s="15">
        <f t="shared" si="13"/>
        <v>0.225880580515602</v>
      </c>
      <c r="G121" s="52"/>
      <c r="I121" s="53">
        <v>2026</v>
      </c>
      <c r="J121" s="15">
        <f t="shared" si="14"/>
        <v>0.24855400992510893</v>
      </c>
      <c r="K121" s="52"/>
      <c r="M121" s="53">
        <v>2026</v>
      </c>
      <c r="N121" s="15">
        <f t="shared" si="15"/>
        <v>0.26331602585671138</v>
      </c>
      <c r="O121" s="52"/>
    </row>
    <row r="122" spans="1:15">
      <c r="A122" s="53">
        <v>2027</v>
      </c>
      <c r="B122" s="15">
        <f t="shared" si="12"/>
        <v>0.17436857202600953</v>
      </c>
      <c r="C122" s="52"/>
      <c r="E122" s="53">
        <v>2027</v>
      </c>
      <c r="F122" s="15">
        <f t="shared" si="13"/>
        <v>0.2374779508743374</v>
      </c>
      <c r="G122" s="52"/>
      <c r="I122" s="53">
        <v>2027</v>
      </c>
      <c r="J122" s="15">
        <f t="shared" si="14"/>
        <v>0.26056361705872821</v>
      </c>
      <c r="K122" s="52"/>
      <c r="M122" s="53">
        <v>2027</v>
      </c>
      <c r="N122" s="15">
        <f t="shared" si="15"/>
        <v>0.27551070437094938</v>
      </c>
      <c r="O122" s="52"/>
    </row>
    <row r="123" spans="1:15">
      <c r="A123" s="53">
        <v>2028</v>
      </c>
      <c r="B123" s="15">
        <f t="shared" si="12"/>
        <v>0.1868197091805914</v>
      </c>
      <c r="C123" s="52"/>
      <c r="E123" s="53">
        <v>2028</v>
      </c>
      <c r="F123" s="15">
        <f t="shared" si="13"/>
        <v>0.2490753212330728</v>
      </c>
      <c r="G123" s="52"/>
      <c r="I123" s="53">
        <v>2028</v>
      </c>
      <c r="J123" s="15">
        <f t="shared" si="14"/>
        <v>0.27257322419234753</v>
      </c>
      <c r="K123" s="52"/>
      <c r="M123" s="53">
        <v>2028</v>
      </c>
      <c r="N123" s="15">
        <f t="shared" si="15"/>
        <v>0.28770538288518738</v>
      </c>
      <c r="O123" s="52"/>
    </row>
    <row r="124" spans="1:15">
      <c r="A124" s="53">
        <v>2029</v>
      </c>
      <c r="B124" s="15">
        <f t="shared" si="12"/>
        <v>0.19927084633517328</v>
      </c>
      <c r="C124" s="54"/>
      <c r="E124" s="53">
        <v>2029</v>
      </c>
      <c r="F124" s="15">
        <f t="shared" si="13"/>
        <v>0.26067269159180817</v>
      </c>
      <c r="G124" s="54"/>
      <c r="I124" s="53">
        <v>2029</v>
      </c>
      <c r="J124" s="15">
        <f t="shared" si="14"/>
        <v>0.28458283132596685</v>
      </c>
      <c r="K124" s="54"/>
      <c r="M124" s="53">
        <v>2029</v>
      </c>
      <c r="N124" s="15">
        <f t="shared" si="15"/>
        <v>0.29990006139942538</v>
      </c>
      <c r="O124" s="54"/>
    </row>
    <row r="125" spans="1:15">
      <c r="A125" s="124">
        <v>2030</v>
      </c>
      <c r="B125" s="18">
        <f>B124+$C$115</f>
        <v>0.21172198348975516</v>
      </c>
      <c r="C125" s="52"/>
      <c r="E125" s="124">
        <v>2030</v>
      </c>
      <c r="F125" s="18">
        <f>F124+$G$115</f>
        <v>0.2722700619505436</v>
      </c>
      <c r="G125" s="52"/>
      <c r="I125" s="124">
        <v>2030</v>
      </c>
      <c r="J125" s="18">
        <f>J124+$K$115</f>
        <v>0.29659243845958616</v>
      </c>
      <c r="K125" s="52"/>
      <c r="M125" s="124">
        <v>2030</v>
      </c>
      <c r="N125" s="18">
        <f>N124+$O$115</f>
        <v>0.31209473991366338</v>
      </c>
      <c r="O125" s="52"/>
    </row>
    <row r="126" spans="1:15">
      <c r="A126" s="53">
        <v>2031</v>
      </c>
      <c r="B126" s="15">
        <f t="shared" si="12"/>
        <v>0.22417312064433703</v>
      </c>
      <c r="C126" s="52"/>
      <c r="E126" s="53">
        <v>2031</v>
      </c>
      <c r="F126" s="15">
        <f t="shared" si="13"/>
        <v>0.28386743230927902</v>
      </c>
      <c r="G126" s="52"/>
      <c r="I126" s="53">
        <v>2031</v>
      </c>
      <c r="J126" s="15">
        <f t="shared" si="14"/>
        <v>0.30860204559320548</v>
      </c>
      <c r="K126" s="52"/>
      <c r="M126" s="53">
        <v>2031</v>
      </c>
      <c r="N126" s="15">
        <f t="shared" si="15"/>
        <v>0.32428941842790138</v>
      </c>
      <c r="O126" s="52"/>
    </row>
    <row r="127" spans="1:15">
      <c r="A127" s="53">
        <v>2032</v>
      </c>
      <c r="B127" s="15">
        <f t="shared" si="12"/>
        <v>0.23662425779891891</v>
      </c>
      <c r="C127" s="52"/>
      <c r="E127" s="53">
        <v>2032</v>
      </c>
      <c r="F127" s="15">
        <f t="shared" si="13"/>
        <v>0.29546480266801445</v>
      </c>
      <c r="G127" s="52"/>
      <c r="I127" s="53">
        <v>2032</v>
      </c>
      <c r="J127" s="15">
        <f t="shared" si="14"/>
        <v>0.32061165272682479</v>
      </c>
      <c r="K127" s="52"/>
      <c r="M127" s="53">
        <v>2032</v>
      </c>
      <c r="N127" s="15">
        <f t="shared" si="15"/>
        <v>0.33648409694213938</v>
      </c>
      <c r="O127" s="52"/>
    </row>
    <row r="128" spans="1:15">
      <c r="A128" s="53">
        <v>2033</v>
      </c>
      <c r="B128" s="15">
        <f t="shared" si="12"/>
        <v>0.24907539495350078</v>
      </c>
      <c r="C128" s="52"/>
      <c r="E128" s="53">
        <v>2033</v>
      </c>
      <c r="F128" s="15">
        <f t="shared" si="13"/>
        <v>0.30706217302674987</v>
      </c>
      <c r="G128" s="52"/>
      <c r="I128" s="53">
        <v>2033</v>
      </c>
      <c r="J128" s="15">
        <f t="shared" si="14"/>
        <v>0.33262125986044411</v>
      </c>
      <c r="K128" s="52"/>
      <c r="M128" s="53">
        <v>2033</v>
      </c>
      <c r="N128" s="15">
        <f t="shared" si="15"/>
        <v>0.34867877545637738</v>
      </c>
      <c r="O128" s="52"/>
    </row>
    <row r="129" spans="1:15">
      <c r="A129" s="53">
        <v>2034</v>
      </c>
      <c r="B129" s="15">
        <f t="shared" si="12"/>
        <v>0.26152653210808263</v>
      </c>
      <c r="C129" s="52"/>
      <c r="E129" s="53">
        <v>2034</v>
      </c>
      <c r="F129" s="15">
        <f t="shared" si="13"/>
        <v>0.3186595433854853</v>
      </c>
      <c r="G129" s="52"/>
      <c r="I129" s="53">
        <v>2034</v>
      </c>
      <c r="J129" s="15">
        <f t="shared" si="14"/>
        <v>0.34463086699406342</v>
      </c>
      <c r="K129" s="52"/>
      <c r="M129" s="53">
        <v>2034</v>
      </c>
      <c r="N129" s="15">
        <f t="shared" si="15"/>
        <v>0.36087345397061538</v>
      </c>
      <c r="O129" s="52"/>
    </row>
    <row r="130" spans="1:15">
      <c r="A130" s="53">
        <v>2035</v>
      </c>
      <c r="B130" s="15">
        <f t="shared" si="12"/>
        <v>0.27397766926266448</v>
      </c>
      <c r="C130" s="52"/>
      <c r="E130" s="53">
        <v>2035</v>
      </c>
      <c r="F130" s="15">
        <f t="shared" si="13"/>
        <v>0.33025691374422073</v>
      </c>
      <c r="G130" s="52"/>
      <c r="I130" s="53">
        <v>2035</v>
      </c>
      <c r="J130" s="15">
        <f t="shared" si="14"/>
        <v>0.35664047412768274</v>
      </c>
      <c r="K130" s="52"/>
      <c r="M130" s="53">
        <v>2035</v>
      </c>
      <c r="N130" s="15">
        <f t="shared" si="15"/>
        <v>0.37306813248485338</v>
      </c>
      <c r="O130" s="52"/>
    </row>
    <row r="131" spans="1:15">
      <c r="A131" s="53">
        <v>2036</v>
      </c>
      <c r="B131" s="15">
        <f t="shared" si="12"/>
        <v>0.28642880641724633</v>
      </c>
      <c r="C131" s="52"/>
      <c r="E131" s="53">
        <v>2036</v>
      </c>
      <c r="F131" s="15">
        <f t="shared" si="13"/>
        <v>0.34185428410295615</v>
      </c>
      <c r="G131" s="52"/>
      <c r="I131" s="53">
        <v>2036</v>
      </c>
      <c r="J131" s="15">
        <f t="shared" si="14"/>
        <v>0.36865008126130205</v>
      </c>
      <c r="K131" s="52"/>
      <c r="M131" s="53">
        <v>2036</v>
      </c>
      <c r="N131" s="15">
        <f t="shared" si="15"/>
        <v>0.38526281099909138</v>
      </c>
      <c r="O131" s="52"/>
    </row>
    <row r="132" spans="1:15">
      <c r="A132" s="53">
        <v>2037</v>
      </c>
      <c r="B132" s="15">
        <f t="shared" si="12"/>
        <v>0.29887994357182818</v>
      </c>
      <c r="C132" s="52"/>
      <c r="E132" s="53">
        <v>2037</v>
      </c>
      <c r="F132" s="15">
        <f t="shared" si="13"/>
        <v>0.35345165446169158</v>
      </c>
      <c r="G132" s="52"/>
      <c r="I132" s="53">
        <v>2037</v>
      </c>
      <c r="J132" s="15">
        <f t="shared" si="14"/>
        <v>0.38065968839492137</v>
      </c>
      <c r="K132" s="52"/>
      <c r="M132" s="53">
        <v>2037</v>
      </c>
      <c r="N132" s="15">
        <f t="shared" si="15"/>
        <v>0.39745748951332938</v>
      </c>
      <c r="O132" s="52"/>
    </row>
    <row r="133" spans="1:15">
      <c r="A133" s="53">
        <v>2038</v>
      </c>
      <c r="B133" s="15">
        <f t="shared" si="12"/>
        <v>0.31133108072641003</v>
      </c>
      <c r="C133" s="52"/>
      <c r="E133" s="53">
        <v>2038</v>
      </c>
      <c r="F133" s="15">
        <f t="shared" si="13"/>
        <v>0.365049024820427</v>
      </c>
      <c r="G133" s="52"/>
      <c r="I133" s="53">
        <v>2038</v>
      </c>
      <c r="J133" s="15">
        <f t="shared" si="14"/>
        <v>0.39266929552854068</v>
      </c>
      <c r="K133" s="52"/>
      <c r="M133" s="53">
        <v>2038</v>
      </c>
      <c r="N133" s="15">
        <f t="shared" si="15"/>
        <v>0.40965216802756738</v>
      </c>
      <c r="O133" s="52"/>
    </row>
    <row r="134" spans="1:15">
      <c r="A134" s="53">
        <v>2039</v>
      </c>
      <c r="B134" s="15">
        <f t="shared" si="12"/>
        <v>0.32378221788099187</v>
      </c>
      <c r="C134" s="52"/>
      <c r="E134" s="53">
        <v>2039</v>
      </c>
      <c r="F134" s="15">
        <f t="shared" si="13"/>
        <v>0.37664639517916243</v>
      </c>
      <c r="G134" s="52"/>
      <c r="I134" s="53">
        <v>2039</v>
      </c>
      <c r="J134" s="15">
        <f t="shared" si="14"/>
        <v>0.40467890266216</v>
      </c>
      <c r="K134" s="52"/>
      <c r="M134" s="53">
        <v>2039</v>
      </c>
      <c r="N134" s="15">
        <f t="shared" si="15"/>
        <v>0.42184684654180538</v>
      </c>
      <c r="O134" s="52"/>
    </row>
    <row r="135" spans="1:15">
      <c r="A135" s="53">
        <v>2040</v>
      </c>
      <c r="B135" s="15">
        <f t="shared" si="12"/>
        <v>0.33623335503557372</v>
      </c>
      <c r="C135" s="54"/>
      <c r="E135" s="53">
        <v>2040</v>
      </c>
      <c r="F135" s="15">
        <f t="shared" si="13"/>
        <v>0.38824376553789786</v>
      </c>
      <c r="G135" s="54"/>
      <c r="I135" s="53">
        <v>2040</v>
      </c>
      <c r="J135" s="15">
        <f t="shared" si="14"/>
        <v>0.41668850979577932</v>
      </c>
      <c r="K135" s="54"/>
      <c r="M135" s="53">
        <v>2040</v>
      </c>
      <c r="N135" s="15">
        <f t="shared" si="15"/>
        <v>0.43404152505604338</v>
      </c>
      <c r="O135" s="54"/>
    </row>
    <row r="136" spans="1:15">
      <c r="A136" s="53">
        <v>2041</v>
      </c>
      <c r="B136" s="15">
        <f t="shared" si="12"/>
        <v>0.34868449219015557</v>
      </c>
      <c r="C136" s="52"/>
      <c r="E136" s="53">
        <v>2041</v>
      </c>
      <c r="F136" s="15">
        <f t="shared" si="13"/>
        <v>0.39984113589663328</v>
      </c>
      <c r="G136" s="52"/>
      <c r="I136" s="53">
        <v>2041</v>
      </c>
      <c r="J136" s="15">
        <f t="shared" si="14"/>
        <v>0.42869811692939863</v>
      </c>
      <c r="K136" s="52"/>
      <c r="M136" s="53">
        <v>2041</v>
      </c>
      <c r="N136" s="15">
        <f>N135+$O$115</f>
        <v>0.44623620357028138</v>
      </c>
      <c r="O136" s="52"/>
    </row>
    <row r="137" spans="1:15">
      <c r="A137" s="53">
        <v>2042</v>
      </c>
      <c r="B137" s="15">
        <f t="shared" si="12"/>
        <v>0.36113562934473742</v>
      </c>
      <c r="C137" s="52"/>
      <c r="E137" s="53">
        <v>2042</v>
      </c>
      <c r="F137" s="15">
        <f t="shared" si="13"/>
        <v>0.41143850625536871</v>
      </c>
      <c r="G137" s="52"/>
      <c r="I137" s="53">
        <v>2042</v>
      </c>
      <c r="J137" s="15">
        <f t="shared" si="14"/>
        <v>0.44070772406301795</v>
      </c>
      <c r="K137" s="52"/>
      <c r="M137" s="53">
        <v>2042</v>
      </c>
      <c r="N137" s="15">
        <f t="shared" si="15"/>
        <v>0.45843088208451938</v>
      </c>
      <c r="O137" s="52"/>
    </row>
    <row r="138" spans="1:15">
      <c r="A138" s="53">
        <v>2043</v>
      </c>
      <c r="B138" s="15">
        <f t="shared" si="12"/>
        <v>0.37358676649931927</v>
      </c>
      <c r="C138" s="52"/>
      <c r="E138" s="53">
        <v>2043</v>
      </c>
      <c r="F138" s="15">
        <f t="shared" si="13"/>
        <v>0.42303587661410413</v>
      </c>
      <c r="G138" s="52"/>
      <c r="I138" s="53">
        <v>2043</v>
      </c>
      <c r="J138" s="15">
        <f t="shared" si="14"/>
        <v>0.45271733119663726</v>
      </c>
      <c r="K138" s="52"/>
      <c r="M138" s="53">
        <v>2043</v>
      </c>
      <c r="N138" s="15">
        <f t="shared" si="15"/>
        <v>0.47062556059875738</v>
      </c>
      <c r="O138" s="52"/>
    </row>
    <row r="139" spans="1:15">
      <c r="A139" s="53">
        <v>2044</v>
      </c>
      <c r="B139" s="15">
        <f t="shared" si="12"/>
        <v>0.38603790365390112</v>
      </c>
      <c r="C139" s="52"/>
      <c r="E139" s="53">
        <v>2044</v>
      </c>
      <c r="F139" s="15">
        <f t="shared" si="13"/>
        <v>0.43463324697283956</v>
      </c>
      <c r="G139" s="52"/>
      <c r="I139" s="53">
        <v>2044</v>
      </c>
      <c r="J139" s="15">
        <f t="shared" si="14"/>
        <v>0.46472693833025658</v>
      </c>
      <c r="K139" s="52"/>
      <c r="M139" s="53">
        <v>2044</v>
      </c>
      <c r="N139" s="15">
        <f t="shared" si="15"/>
        <v>0.48282023911299538</v>
      </c>
      <c r="O139" s="52"/>
    </row>
    <row r="140" spans="1:15">
      <c r="A140" s="53">
        <v>2045</v>
      </c>
      <c r="B140" s="15">
        <f t="shared" si="12"/>
        <v>0.39848904080848296</v>
      </c>
      <c r="C140" s="52"/>
      <c r="E140" s="53">
        <v>2045</v>
      </c>
      <c r="F140" s="15">
        <f t="shared" si="13"/>
        <v>0.44623061733157499</v>
      </c>
      <c r="G140" s="52"/>
      <c r="I140" s="53">
        <v>2045</v>
      </c>
      <c r="J140" s="15">
        <f t="shared" si="14"/>
        <v>0.47673654546387589</v>
      </c>
      <c r="K140" s="52"/>
      <c r="M140" s="53">
        <v>2045</v>
      </c>
      <c r="N140" s="15">
        <f t="shared" si="15"/>
        <v>0.49501491762723338</v>
      </c>
      <c r="O140" s="52"/>
    </row>
    <row r="141" spans="1:15">
      <c r="A141" s="53">
        <v>2046</v>
      </c>
      <c r="B141" s="15">
        <f t="shared" si="12"/>
        <v>0.41094017796306481</v>
      </c>
      <c r="C141" s="52"/>
      <c r="E141" s="53">
        <v>2046</v>
      </c>
      <c r="F141" s="15">
        <f t="shared" si="13"/>
        <v>0.45782798769031041</v>
      </c>
      <c r="G141" s="52"/>
      <c r="I141" s="53">
        <v>2046</v>
      </c>
      <c r="J141" s="15">
        <f t="shared" si="14"/>
        <v>0.48874615259749521</v>
      </c>
      <c r="K141" s="52"/>
      <c r="M141" s="53">
        <v>2046</v>
      </c>
      <c r="N141" s="15">
        <f t="shared" si="15"/>
        <v>0.50720959614147143</v>
      </c>
      <c r="O141" s="52"/>
    </row>
    <row r="142" spans="1:15">
      <c r="A142" s="53">
        <v>2047</v>
      </c>
      <c r="B142" s="15">
        <f t="shared" si="12"/>
        <v>0.42339131511764666</v>
      </c>
      <c r="C142" s="52"/>
      <c r="E142" s="53">
        <v>2047</v>
      </c>
      <c r="F142" s="15">
        <f t="shared" si="13"/>
        <v>0.46942535804904584</v>
      </c>
      <c r="G142" s="52"/>
      <c r="I142" s="53">
        <v>2047</v>
      </c>
      <c r="J142" s="15">
        <f t="shared" si="14"/>
        <v>0.50075575973111452</v>
      </c>
      <c r="K142" s="52"/>
      <c r="M142" s="53">
        <v>2047</v>
      </c>
      <c r="N142" s="15">
        <f t="shared" si="15"/>
        <v>0.51940427465570949</v>
      </c>
      <c r="O142" s="52"/>
    </row>
    <row r="143" spans="1:15">
      <c r="A143" s="53">
        <v>2048</v>
      </c>
      <c r="B143" s="15">
        <f>B142+$C$115</f>
        <v>0.43584245227222851</v>
      </c>
      <c r="C143" s="52"/>
      <c r="E143" s="53">
        <v>2048</v>
      </c>
      <c r="F143" s="15">
        <f t="shared" si="13"/>
        <v>0.48102272840778126</v>
      </c>
      <c r="G143" s="52"/>
      <c r="I143" s="53">
        <v>2048</v>
      </c>
      <c r="J143" s="15">
        <f t="shared" si="14"/>
        <v>0.51276536686473384</v>
      </c>
      <c r="K143" s="52"/>
      <c r="M143" s="53">
        <v>2048</v>
      </c>
      <c r="N143" s="15">
        <f t="shared" si="15"/>
        <v>0.53159895316994754</v>
      </c>
      <c r="O143" s="52"/>
    </row>
    <row r="144" spans="1:15">
      <c r="A144" s="53">
        <v>2049</v>
      </c>
      <c r="B144" s="15">
        <f>B143+$C$115</f>
        <v>0.44829358942681036</v>
      </c>
      <c r="C144" s="52"/>
      <c r="E144" s="53">
        <v>2049</v>
      </c>
      <c r="F144" s="15">
        <f t="shared" si="13"/>
        <v>0.49262009876651669</v>
      </c>
      <c r="G144" s="52"/>
      <c r="I144" s="53">
        <v>2049</v>
      </c>
      <c r="J144" s="15">
        <f t="shared" si="14"/>
        <v>0.52477497399835316</v>
      </c>
      <c r="K144" s="52"/>
      <c r="M144" s="53">
        <v>2049</v>
      </c>
      <c r="N144" s="15">
        <f t="shared" si="15"/>
        <v>0.5437936316841856</v>
      </c>
      <c r="O144" s="52"/>
    </row>
    <row r="145" spans="1:15">
      <c r="A145" s="122">
        <v>2050</v>
      </c>
      <c r="B145" s="92">
        <f>MINDSET!C32</f>
        <v>0.46074472658139248</v>
      </c>
      <c r="C145" s="123"/>
      <c r="E145" s="122">
        <v>2050</v>
      </c>
      <c r="F145" s="92">
        <f>MINDSET!D32</f>
        <v>0.50421746912525156</v>
      </c>
      <c r="G145" s="123"/>
      <c r="I145" s="122">
        <v>2050</v>
      </c>
      <c r="J145" s="92">
        <f>MINDSET!E32</f>
        <v>0.53678458113197203</v>
      </c>
      <c r="K145" s="123"/>
      <c r="M145" s="122">
        <v>2050</v>
      </c>
      <c r="N145" s="92">
        <f>MINDSET!F32</f>
        <v>0.55598831019842343</v>
      </c>
      <c r="O145" s="1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692B-C237-DA42-8239-36A54BDB74E7}">
  <dimension ref="A1:M18"/>
  <sheetViews>
    <sheetView workbookViewId="0">
      <selection activeCell="C4" sqref="C4"/>
    </sheetView>
  </sheetViews>
  <sheetFormatPr baseColWidth="10" defaultColWidth="10.83203125" defaultRowHeight="15"/>
  <cols>
    <col min="13" max="13" width="12.5" bestFit="1" customWidth="1"/>
  </cols>
  <sheetData>
    <row r="1" spans="1:13" ht="19">
      <c r="A1" s="162"/>
      <c r="B1" s="159" t="s">
        <v>95</v>
      </c>
      <c r="C1" s="160"/>
      <c r="D1" s="160"/>
      <c r="E1" s="160"/>
      <c r="F1" s="161"/>
      <c r="G1" s="160"/>
      <c r="H1" s="159" t="s">
        <v>96</v>
      </c>
      <c r="I1" s="160"/>
      <c r="J1" s="160"/>
      <c r="K1" s="160"/>
    </row>
    <row r="2" spans="1:13">
      <c r="A2" s="151"/>
      <c r="B2" s="129" t="s">
        <v>5</v>
      </c>
      <c r="C2" s="128"/>
      <c r="D2" s="129" t="s">
        <v>97</v>
      </c>
      <c r="E2" s="128"/>
      <c r="F2" s="89"/>
      <c r="H2" s="129" t="s">
        <v>5</v>
      </c>
      <c r="I2" s="128"/>
      <c r="J2" s="129" t="s">
        <v>97</v>
      </c>
      <c r="K2" s="128"/>
      <c r="M2" s="129" t="s">
        <v>98</v>
      </c>
    </row>
    <row r="3" spans="1:13">
      <c r="A3" s="151"/>
      <c r="B3" s="129" t="s">
        <v>22</v>
      </c>
      <c r="C3" s="129" t="s">
        <v>99</v>
      </c>
      <c r="D3" s="129" t="s">
        <v>22</v>
      </c>
      <c r="E3" s="129" t="s">
        <v>99</v>
      </c>
      <c r="F3" s="89"/>
      <c r="H3" s="129" t="s">
        <v>22</v>
      </c>
      <c r="I3" s="129" t="s">
        <v>99</v>
      </c>
      <c r="J3" s="129" t="s">
        <v>22</v>
      </c>
      <c r="K3" s="129" t="s">
        <v>99</v>
      </c>
      <c r="M3" s="128"/>
    </row>
    <row r="4" spans="1:13">
      <c r="A4" s="152">
        <v>10</v>
      </c>
      <c r="B4" s="130">
        <v>4775</v>
      </c>
      <c r="C4" s="155">
        <v>0.25</v>
      </c>
      <c r="D4" s="130">
        <v>5729</v>
      </c>
      <c r="E4" s="155">
        <v>0.28999999999999998</v>
      </c>
      <c r="F4" s="89"/>
      <c r="G4">
        <v>10</v>
      </c>
      <c r="H4" s="156">
        <v>1697.1107467122999</v>
      </c>
      <c r="I4" s="155">
        <f>H4/$H$8</f>
        <v>8.7175450422251971E-2</v>
      </c>
      <c r="J4" s="156">
        <v>2035.8017920194</v>
      </c>
      <c r="K4" s="155">
        <f>J4/$J$8</f>
        <v>8.721061194393645E-2</v>
      </c>
      <c r="M4" s="130">
        <v>7</v>
      </c>
    </row>
    <row r="5" spans="1:13">
      <c r="A5" s="152">
        <v>25</v>
      </c>
      <c r="B5" s="130">
        <v>5639</v>
      </c>
      <c r="C5" s="155">
        <v>0.28999999999999998</v>
      </c>
      <c r="D5" s="130">
        <v>6765</v>
      </c>
      <c r="E5" s="155">
        <v>0.35</v>
      </c>
      <c r="F5" s="89"/>
      <c r="G5">
        <v>25</v>
      </c>
      <c r="H5" s="156">
        <v>3041.3835530115998</v>
      </c>
      <c r="I5" s="155">
        <f t="shared" ref="I5:I7" si="0">H5/$H$8</f>
        <v>0.15622668211502505</v>
      </c>
      <c r="J5" s="156">
        <v>3648.5056044147</v>
      </c>
      <c r="K5" s="155">
        <f t="shared" ref="K5:K7" si="1">J5/$J$8</f>
        <v>0.15629635836318961</v>
      </c>
      <c r="M5" s="130">
        <v>8</v>
      </c>
    </row>
    <row r="6" spans="1:13">
      <c r="A6" s="152">
        <v>100</v>
      </c>
      <c r="B6" s="130">
        <v>6369</v>
      </c>
      <c r="C6" s="155">
        <v>0.33</v>
      </c>
      <c r="D6" s="130">
        <v>7641</v>
      </c>
      <c r="E6" s="155">
        <v>0.39</v>
      </c>
      <c r="F6" s="89"/>
      <c r="G6">
        <v>100</v>
      </c>
      <c r="H6" s="156">
        <v>3434.4242452909998</v>
      </c>
      <c r="I6" s="155">
        <f t="shared" si="0"/>
        <v>0.17641599471593034</v>
      </c>
      <c r="J6" s="156">
        <v>4120.0447109085999</v>
      </c>
      <c r="K6" s="155">
        <f t="shared" si="1"/>
        <v>0.1764963671233932</v>
      </c>
      <c r="M6" s="130">
        <v>14</v>
      </c>
    </row>
    <row r="7" spans="1:13">
      <c r="A7" s="152">
        <v>200</v>
      </c>
      <c r="B7" s="130">
        <v>6524</v>
      </c>
      <c r="C7" s="155">
        <v>0.34</v>
      </c>
      <c r="D7" s="130">
        <v>7826</v>
      </c>
      <c r="E7" s="155">
        <v>0.4</v>
      </c>
      <c r="F7" s="89"/>
      <c r="G7">
        <v>200</v>
      </c>
      <c r="H7" s="156">
        <v>3700.0708525967998</v>
      </c>
      <c r="I7" s="155">
        <f t="shared" si="0"/>
        <v>0.19006145815424066</v>
      </c>
      <c r="J7" s="156">
        <v>4438.7206836830001</v>
      </c>
      <c r="K7" s="155">
        <f t="shared" si="1"/>
        <v>0.19014795477128335</v>
      </c>
      <c r="M7" s="130">
        <v>21</v>
      </c>
    </row>
    <row r="8" spans="1:13">
      <c r="A8" s="153" t="s">
        <v>100</v>
      </c>
      <c r="B8" s="157">
        <v>19467.759999999998</v>
      </c>
      <c r="C8" s="128"/>
      <c r="D8" s="158">
        <v>23343.51</v>
      </c>
      <c r="E8" s="128"/>
      <c r="F8" s="89"/>
      <c r="H8" s="157">
        <v>19467.759999999998</v>
      </c>
      <c r="I8" s="128"/>
      <c r="J8" s="158">
        <v>23343.51</v>
      </c>
      <c r="K8" s="128"/>
      <c r="M8" s="128"/>
    </row>
    <row r="9" spans="1:13">
      <c r="A9" s="43"/>
      <c r="F9" s="89"/>
    </row>
    <row r="10" spans="1:13">
      <c r="A10" s="43"/>
      <c r="F10" s="89"/>
    </row>
    <row r="11" spans="1:13" ht="19">
      <c r="A11" s="47"/>
      <c r="B11" s="163" t="s">
        <v>101</v>
      </c>
      <c r="C11" s="45"/>
      <c r="D11" s="45"/>
      <c r="E11" s="45"/>
      <c r="F11" s="46"/>
      <c r="G11" s="45"/>
      <c r="H11" s="163" t="s">
        <v>102</v>
      </c>
      <c r="I11" s="45"/>
      <c r="J11" s="45"/>
      <c r="K11" s="45"/>
      <c r="M11" s="150" t="s">
        <v>98</v>
      </c>
    </row>
    <row r="12" spans="1:13">
      <c r="A12" s="43"/>
      <c r="B12" s="35" t="s">
        <v>13</v>
      </c>
      <c r="D12" s="35" t="s">
        <v>75</v>
      </c>
      <c r="F12" s="89"/>
      <c r="H12" s="129" t="s">
        <v>5</v>
      </c>
      <c r="I12" s="128"/>
      <c r="J12" s="129" t="s">
        <v>97</v>
      </c>
      <c r="K12" s="128"/>
    </row>
    <row r="13" spans="1:13">
      <c r="A13" s="43"/>
      <c r="B13" s="35" t="s">
        <v>22</v>
      </c>
      <c r="C13" s="35" t="s">
        <v>99</v>
      </c>
      <c r="D13" s="35" t="s">
        <v>22</v>
      </c>
      <c r="F13" s="89"/>
      <c r="H13" s="129" t="s">
        <v>22</v>
      </c>
      <c r="I13" s="129" t="s">
        <v>99</v>
      </c>
      <c r="J13" s="129" t="s">
        <v>22</v>
      </c>
      <c r="K13" s="129" t="s">
        <v>99</v>
      </c>
    </row>
    <row r="14" spans="1:13">
      <c r="A14" s="43">
        <v>10</v>
      </c>
      <c r="B14">
        <f>'GIS output'!D46</f>
        <v>8985.0228075800005</v>
      </c>
      <c r="C14" s="154">
        <f>B14/$B$8</f>
        <v>0.46153346905755982</v>
      </c>
      <c r="D14">
        <f>'GIS output'!D6</f>
        <v>10778</v>
      </c>
      <c r="E14" s="154">
        <f>D14/$D$8</f>
        <v>0.46171291292526279</v>
      </c>
      <c r="F14" s="89"/>
      <c r="G14">
        <v>10</v>
      </c>
      <c r="H14">
        <f>'GIS output'!D66</f>
        <v>8966.0646067199996</v>
      </c>
      <c r="I14" s="154">
        <f>H14/$H$8</f>
        <v>0.46055964357070356</v>
      </c>
      <c r="J14">
        <f>'GIS output'!D26</f>
        <v>10755.3991324</v>
      </c>
      <c r="K14" s="154">
        <f>J14/$J$8</f>
        <v>0.46074472658139248</v>
      </c>
    </row>
    <row r="15" spans="1:13">
      <c r="A15" s="43">
        <v>25</v>
      </c>
      <c r="B15">
        <f>'GIS output'!D50</f>
        <v>9826.3925051700007</v>
      </c>
      <c r="C15" s="154">
        <f>B15/$B$8</f>
        <v>0.50475208781955405</v>
      </c>
      <c r="D15">
        <f>'GIS output'!D10</f>
        <v>11787</v>
      </c>
      <c r="E15" s="154">
        <f t="shared" ref="E15:E16" si="2">D15/$D$8</f>
        <v>0.50493691822695053</v>
      </c>
      <c r="F15" s="89"/>
      <c r="G15">
        <v>25</v>
      </c>
      <c r="H15">
        <f>'GIS output'!D70</f>
        <v>9812.1848337499996</v>
      </c>
      <c r="I15" s="154">
        <f t="shared" ref="I15:I16" si="3">H15/$H$8</f>
        <v>0.50402228267402105</v>
      </c>
      <c r="J15">
        <f>'GIS output'!D30</f>
        <v>11770.2055327</v>
      </c>
      <c r="K15" s="154">
        <f t="shared" ref="K15:K16" si="4">J15/$J$8</f>
        <v>0.50421746912525156</v>
      </c>
    </row>
    <row r="16" spans="1:13">
      <c r="A16" s="43">
        <v>100</v>
      </c>
      <c r="B16">
        <f>'GIS output'!D54</f>
        <v>10449.2851878</v>
      </c>
      <c r="C16" s="154">
        <f t="shared" ref="C16" si="5">B16/$B$8</f>
        <v>0.53674820255643185</v>
      </c>
      <c r="D16" s="17">
        <f>'GIS output'!D14</f>
        <v>12534.2538757</v>
      </c>
      <c r="E16" s="154">
        <f t="shared" si="2"/>
        <v>0.53694812287012539</v>
      </c>
      <c r="F16" s="89"/>
      <c r="G16">
        <v>100</v>
      </c>
      <c r="H16">
        <f>'GIS output'!D74</f>
        <v>10446.102194200001</v>
      </c>
      <c r="I16" s="154">
        <f t="shared" si="3"/>
        <v>0.53658470179414586</v>
      </c>
      <c r="J16">
        <f>'GIS output'!D34</f>
        <v>12530.4362375</v>
      </c>
      <c r="K16" s="154">
        <f t="shared" si="4"/>
        <v>0.53678458113197203</v>
      </c>
    </row>
    <row r="17" spans="1:11">
      <c r="A17" s="47">
        <v>200</v>
      </c>
      <c r="B17" s="45">
        <f>'GIS output'!D58</f>
        <v>10823.478970300001</v>
      </c>
      <c r="C17" s="154">
        <f>B17/$B$8</f>
        <v>0.55596940635697178</v>
      </c>
      <c r="D17" s="45">
        <f>'GIS output'!D18</f>
        <v>12983.012133300001</v>
      </c>
      <c r="E17" s="154">
        <f>D17/$D$8</f>
        <v>0.5561722351651488</v>
      </c>
      <c r="F17" s="46"/>
      <c r="G17" s="45">
        <v>200</v>
      </c>
      <c r="H17" s="45">
        <f>'GIS output'!D78</f>
        <v>10819.9000765</v>
      </c>
      <c r="I17" s="154">
        <f>H17/$H$8</f>
        <v>0.55578556939781465</v>
      </c>
      <c r="J17" s="45">
        <f>'GIS output'!D38</f>
        <v>12978.718679</v>
      </c>
      <c r="K17" s="154">
        <f>J17/$J$8</f>
        <v>0.55598831019842343</v>
      </c>
    </row>
    <row r="18" spans="1:1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FD8-3E0D-7342-ADE7-0B920A4C926C}">
  <dimension ref="A1:D354"/>
  <sheetViews>
    <sheetView workbookViewId="0">
      <selection activeCell="E9" sqref="E9"/>
    </sheetView>
  </sheetViews>
  <sheetFormatPr baseColWidth="10" defaultColWidth="10.83203125" defaultRowHeight="15"/>
  <cols>
    <col min="2" max="2" width="20.5" bestFit="1" customWidth="1"/>
    <col min="3" max="3" width="20.83203125" bestFit="1" customWidth="1"/>
    <col min="4" max="4" width="17.83203125" bestFit="1" customWidth="1"/>
  </cols>
  <sheetData>
    <row r="1" spans="1:4" ht="16">
      <c r="A1" s="131" t="s">
        <v>75</v>
      </c>
      <c r="B1" s="131" t="s">
        <v>101</v>
      </c>
      <c r="C1" s="67"/>
      <c r="D1" s="67"/>
    </row>
    <row r="2" spans="1:4">
      <c r="A2" s="207" t="s">
        <v>103</v>
      </c>
      <c r="B2" s="207"/>
      <c r="C2" s="207"/>
      <c r="D2" s="207"/>
    </row>
    <row r="3" spans="1:4" ht="19">
      <c r="A3" s="132" t="s">
        <v>104</v>
      </c>
      <c r="B3" s="133" t="s">
        <v>105</v>
      </c>
      <c r="C3" s="133" t="s">
        <v>106</v>
      </c>
      <c r="D3" s="133" t="s">
        <v>107</v>
      </c>
    </row>
    <row r="4" spans="1:4" s="135" customFormat="1" ht="19">
      <c r="A4" s="134" t="s">
        <v>108</v>
      </c>
    </row>
    <row r="5" spans="1:4">
      <c r="A5" s="136">
        <v>0</v>
      </c>
      <c r="B5" s="137">
        <v>28145170</v>
      </c>
      <c r="C5" s="137">
        <v>19.545281224299998</v>
      </c>
      <c r="D5" s="137">
        <v>0</v>
      </c>
    </row>
    <row r="6" spans="1:4">
      <c r="A6" s="136">
        <v>1</v>
      </c>
      <c r="B6" s="137">
        <v>5342830</v>
      </c>
      <c r="C6" s="137">
        <v>3.7103032201800001</v>
      </c>
      <c r="D6" s="137">
        <v>10778</v>
      </c>
    </row>
    <row r="7" spans="1:4">
      <c r="A7" s="138"/>
      <c r="B7" s="137"/>
      <c r="C7" s="137"/>
      <c r="D7" s="137"/>
    </row>
    <row r="8" spans="1:4">
      <c r="A8" s="139" t="s">
        <v>109</v>
      </c>
      <c r="B8" s="137"/>
      <c r="C8" s="137"/>
      <c r="D8" s="137"/>
    </row>
    <row r="9" spans="1:4">
      <c r="A9" s="136">
        <v>0</v>
      </c>
      <c r="B9" s="137">
        <v>27710956</v>
      </c>
      <c r="C9" s="137">
        <v>19.243743349700001</v>
      </c>
      <c r="D9" s="137">
        <v>0</v>
      </c>
    </row>
    <row r="10" spans="1:4">
      <c r="A10" s="136">
        <v>1</v>
      </c>
      <c r="B10" s="137">
        <v>5777044</v>
      </c>
      <c r="C10" s="137">
        <v>4.0118410947600003</v>
      </c>
      <c r="D10" s="137">
        <v>11787</v>
      </c>
    </row>
    <row r="11" spans="1:4">
      <c r="A11" s="140"/>
      <c r="B11" s="137"/>
      <c r="C11" s="137"/>
      <c r="D11" s="137"/>
    </row>
    <row r="12" spans="1:4">
      <c r="A12" s="139" t="s">
        <v>110</v>
      </c>
      <c r="B12" s="138"/>
      <c r="C12" s="138"/>
      <c r="D12" s="138"/>
    </row>
    <row r="13" spans="1:4">
      <c r="A13" s="136">
        <v>0</v>
      </c>
      <c r="B13" s="141">
        <v>27188102</v>
      </c>
      <c r="C13" s="141">
        <v>18.880649843099999</v>
      </c>
      <c r="D13" s="141">
        <v>0</v>
      </c>
    </row>
    <row r="14" spans="1:4">
      <c r="A14" s="136">
        <v>1</v>
      </c>
      <c r="B14" s="141">
        <v>6299898</v>
      </c>
      <c r="C14" s="141">
        <v>4.3749346013599997</v>
      </c>
      <c r="D14" s="141">
        <v>12534.2538757</v>
      </c>
    </row>
    <row r="15" spans="1:4">
      <c r="A15" s="140"/>
      <c r="B15" s="138"/>
      <c r="C15" s="138"/>
      <c r="D15" s="138"/>
    </row>
    <row r="16" spans="1:4">
      <c r="A16" s="139" t="s">
        <v>111</v>
      </c>
      <c r="B16" s="138"/>
      <c r="C16" s="138"/>
      <c r="D16" s="138"/>
    </row>
    <row r="17" spans="1:4">
      <c r="A17" s="136">
        <v>0</v>
      </c>
      <c r="B17" s="137">
        <v>26910078</v>
      </c>
      <c r="C17" s="137">
        <v>18.687577381000001</v>
      </c>
      <c r="D17" s="137">
        <v>0</v>
      </c>
    </row>
    <row r="18" spans="1:4">
      <c r="A18" s="136">
        <v>1</v>
      </c>
      <c r="B18" s="137">
        <v>6577922</v>
      </c>
      <c r="C18" s="137">
        <v>4.5680070634299996</v>
      </c>
      <c r="D18" s="137">
        <v>12983.012133300001</v>
      </c>
    </row>
    <row r="19" spans="1:4">
      <c r="A19" s="140"/>
      <c r="B19" s="138"/>
      <c r="C19" s="138"/>
      <c r="D19" s="138"/>
    </row>
    <row r="20" spans="1:4">
      <c r="A20" s="142"/>
    </row>
    <row r="21" spans="1:4" ht="16">
      <c r="A21" s="131" t="s">
        <v>75</v>
      </c>
      <c r="B21" s="131" t="s">
        <v>102</v>
      </c>
      <c r="C21" s="67"/>
      <c r="D21" s="67"/>
    </row>
    <row r="22" spans="1:4">
      <c r="A22" s="207" t="s">
        <v>103</v>
      </c>
      <c r="B22" s="207"/>
      <c r="C22" s="207"/>
      <c r="D22" s="207"/>
    </row>
    <row r="23" spans="1:4" ht="19">
      <c r="A23" s="132" t="s">
        <v>104</v>
      </c>
      <c r="B23" s="133" t="s">
        <v>105</v>
      </c>
      <c r="C23" s="133" t="s">
        <v>106</v>
      </c>
      <c r="D23" s="133" t="s">
        <v>107</v>
      </c>
    </row>
    <row r="24" spans="1:4">
      <c r="A24" s="134" t="s">
        <v>108</v>
      </c>
    </row>
    <row r="25" spans="1:4">
      <c r="A25" s="136">
        <v>0</v>
      </c>
      <c r="B25" s="137">
        <v>28154370</v>
      </c>
      <c r="C25" s="137">
        <v>19.551670121099999</v>
      </c>
      <c r="D25" s="137">
        <v>0</v>
      </c>
    </row>
    <row r="26" spans="1:4">
      <c r="A26" s="136">
        <v>1</v>
      </c>
      <c r="B26" s="137">
        <v>5333630</v>
      </c>
      <c r="C26" s="137">
        <v>3.7039143233499998</v>
      </c>
      <c r="D26" s="137">
        <v>10755.3991324</v>
      </c>
    </row>
    <row r="27" spans="1:4">
      <c r="A27" s="138"/>
      <c r="B27" s="137"/>
      <c r="C27" s="137"/>
      <c r="D27" s="137"/>
    </row>
    <row r="28" spans="1:4">
      <c r="A28" s="139" t="s">
        <v>109</v>
      </c>
      <c r="B28" s="137"/>
      <c r="C28" s="137"/>
      <c r="D28" s="137"/>
    </row>
    <row r="29" spans="1:4">
      <c r="A29" s="136">
        <v>0</v>
      </c>
      <c r="B29" s="137">
        <v>27718912</v>
      </c>
      <c r="C29" s="137">
        <v>19.249268356599998</v>
      </c>
      <c r="D29" s="137">
        <v>0</v>
      </c>
    </row>
    <row r="30" spans="1:4">
      <c r="A30" s="136">
        <v>1</v>
      </c>
      <c r="B30" s="137">
        <v>5769088</v>
      </c>
      <c r="C30" s="137">
        <v>4.0063160879000002</v>
      </c>
      <c r="D30" s="137">
        <v>11770.2055327</v>
      </c>
    </row>
    <row r="31" spans="1:4">
      <c r="A31" s="140"/>
      <c r="B31" s="137"/>
      <c r="C31" s="137"/>
      <c r="D31" s="137"/>
    </row>
    <row r="32" spans="1:4">
      <c r="A32" s="139" t="s">
        <v>110</v>
      </c>
      <c r="B32" s="137"/>
      <c r="C32" s="137"/>
      <c r="D32" s="137"/>
    </row>
    <row r="33" spans="1:4">
      <c r="A33" s="136">
        <v>0</v>
      </c>
      <c r="B33" s="137">
        <v>27190601</v>
      </c>
      <c r="C33" s="137">
        <v>18.882385261900001</v>
      </c>
      <c r="D33" s="137">
        <v>0</v>
      </c>
    </row>
    <row r="34" spans="1:4">
      <c r="A34" s="136">
        <v>1</v>
      </c>
      <c r="B34" s="137">
        <v>6297399</v>
      </c>
      <c r="C34" s="137">
        <v>4.3731991825399996</v>
      </c>
      <c r="D34" s="137">
        <v>12530.4362375</v>
      </c>
    </row>
    <row r="35" spans="1:4">
      <c r="A35" s="140"/>
      <c r="B35" s="137"/>
      <c r="C35" s="137"/>
      <c r="D35" s="137"/>
    </row>
    <row r="36" spans="1:4">
      <c r="A36" s="139" t="s">
        <v>111</v>
      </c>
      <c r="B36" s="137"/>
      <c r="C36" s="137"/>
      <c r="D36" s="137"/>
    </row>
    <row r="37" spans="1:4">
      <c r="A37" s="136">
        <v>0</v>
      </c>
      <c r="B37" s="137">
        <v>26912478</v>
      </c>
      <c r="C37" s="137">
        <v>18.689244049799999</v>
      </c>
      <c r="D37" s="137">
        <v>0</v>
      </c>
    </row>
    <row r="38" spans="1:4">
      <c r="A38" s="136">
        <v>1</v>
      </c>
      <c r="B38" s="137">
        <v>6575522</v>
      </c>
      <c r="C38" s="137">
        <v>4.5663403946900001</v>
      </c>
      <c r="D38" s="137">
        <v>12978.718679</v>
      </c>
    </row>
    <row r="39" spans="1:4">
      <c r="A39" s="142"/>
      <c r="B39" s="137"/>
      <c r="C39" s="137"/>
      <c r="D39" s="137"/>
    </row>
    <row r="40" spans="1:4">
      <c r="A40" s="142"/>
      <c r="B40" s="137"/>
      <c r="C40" s="137"/>
      <c r="D40" s="137"/>
    </row>
    <row r="41" spans="1:4" ht="16">
      <c r="A41" s="143" t="s">
        <v>13</v>
      </c>
      <c r="B41" s="144" t="s">
        <v>112</v>
      </c>
      <c r="C41" s="145"/>
      <c r="D41" s="145"/>
    </row>
    <row r="42" spans="1:4">
      <c r="A42" s="207" t="s">
        <v>103</v>
      </c>
      <c r="B42" s="207"/>
      <c r="C42" s="207"/>
      <c r="D42" s="207"/>
    </row>
    <row r="43" spans="1:4" ht="19">
      <c r="A43" s="132" t="s">
        <v>104</v>
      </c>
      <c r="B43" s="133" t="s">
        <v>105</v>
      </c>
      <c r="C43" s="133" t="s">
        <v>106</v>
      </c>
      <c r="D43" s="133" t="s">
        <v>107</v>
      </c>
    </row>
    <row r="44" spans="1:4">
      <c r="A44" s="134" t="s">
        <v>108</v>
      </c>
    </row>
    <row r="45" spans="1:4">
      <c r="A45" s="136">
        <v>0</v>
      </c>
      <c r="B45" s="137">
        <v>28145170</v>
      </c>
      <c r="C45" s="137">
        <v>19.545281224299998</v>
      </c>
      <c r="D45" s="137">
        <v>0</v>
      </c>
    </row>
    <row r="46" spans="1:4">
      <c r="A46" s="136">
        <v>1</v>
      </c>
      <c r="B46" s="137">
        <v>5342830</v>
      </c>
      <c r="C46" s="137">
        <v>3.7103032201800001</v>
      </c>
      <c r="D46" s="137">
        <v>8985.0228075800005</v>
      </c>
    </row>
    <row r="47" spans="1:4">
      <c r="A47" s="138"/>
      <c r="B47" s="137"/>
      <c r="C47" s="137"/>
      <c r="D47" s="137"/>
    </row>
    <row r="48" spans="1:4">
      <c r="A48" s="139" t="s">
        <v>109</v>
      </c>
      <c r="B48" s="137"/>
      <c r="C48" s="137"/>
      <c r="D48" s="137"/>
    </row>
    <row r="49" spans="1:4">
      <c r="A49" s="136">
        <v>0</v>
      </c>
      <c r="B49" s="137">
        <v>27710956</v>
      </c>
      <c r="C49" s="137">
        <v>19.243743349700001</v>
      </c>
      <c r="D49" s="137">
        <v>0</v>
      </c>
    </row>
    <row r="50" spans="1:4">
      <c r="A50" s="136">
        <v>1</v>
      </c>
      <c r="B50" s="137">
        <v>5777044</v>
      </c>
      <c r="C50" s="137">
        <v>4.0118410947600003</v>
      </c>
      <c r="D50" s="137">
        <v>9826.3925051700007</v>
      </c>
    </row>
    <row r="51" spans="1:4">
      <c r="A51" s="140"/>
      <c r="B51" s="137"/>
      <c r="C51" s="137"/>
      <c r="D51" s="137"/>
    </row>
    <row r="52" spans="1:4">
      <c r="A52" s="139" t="s">
        <v>110</v>
      </c>
      <c r="B52" s="137"/>
      <c r="C52" s="137"/>
      <c r="D52" s="137"/>
    </row>
    <row r="53" spans="1:4">
      <c r="A53" s="136">
        <v>0</v>
      </c>
      <c r="B53" s="137">
        <v>27188102</v>
      </c>
      <c r="C53" s="137">
        <v>18.880649843099999</v>
      </c>
      <c r="D53" s="137">
        <v>0</v>
      </c>
    </row>
    <row r="54" spans="1:4">
      <c r="A54" s="136">
        <v>1</v>
      </c>
      <c r="B54" s="137">
        <v>6299898</v>
      </c>
      <c r="C54" s="137">
        <v>4.3749346013599997</v>
      </c>
      <c r="D54" s="137">
        <v>10449.2851878</v>
      </c>
    </row>
    <row r="55" spans="1:4">
      <c r="A55" s="140"/>
      <c r="B55" s="137"/>
      <c r="C55" s="137"/>
      <c r="D55" s="137"/>
    </row>
    <row r="56" spans="1:4">
      <c r="A56" s="139" t="s">
        <v>111</v>
      </c>
      <c r="B56" s="137"/>
      <c r="C56" s="137"/>
      <c r="D56" s="137"/>
    </row>
    <row r="57" spans="1:4">
      <c r="A57" s="136">
        <v>0</v>
      </c>
      <c r="B57" s="137">
        <v>26910078</v>
      </c>
      <c r="C57" s="137">
        <v>18.687577381000001</v>
      </c>
      <c r="D57" s="137">
        <v>0</v>
      </c>
    </row>
    <row r="58" spans="1:4">
      <c r="A58" s="136">
        <v>1</v>
      </c>
      <c r="B58" s="137">
        <v>6577922</v>
      </c>
      <c r="C58" s="137">
        <v>4.5680070634299996</v>
      </c>
      <c r="D58" s="137">
        <v>10823.478970300001</v>
      </c>
    </row>
    <row r="59" spans="1:4">
      <c r="A59" s="142"/>
      <c r="B59" s="137"/>
      <c r="C59" s="137"/>
      <c r="D59" s="137"/>
    </row>
    <row r="60" spans="1:4">
      <c r="A60" s="142"/>
      <c r="B60" s="137"/>
      <c r="C60" s="137"/>
      <c r="D60" s="137"/>
    </row>
    <row r="61" spans="1:4" ht="16">
      <c r="A61" s="143" t="s">
        <v>13</v>
      </c>
      <c r="B61" s="144" t="s">
        <v>102</v>
      </c>
      <c r="C61" s="146"/>
      <c r="D61" s="146"/>
    </row>
    <row r="62" spans="1:4">
      <c r="A62" s="207" t="s">
        <v>103</v>
      </c>
      <c r="B62" s="207"/>
      <c r="C62" s="207"/>
      <c r="D62" s="207"/>
    </row>
    <row r="63" spans="1:4" ht="19">
      <c r="A63" s="132" t="s">
        <v>104</v>
      </c>
      <c r="B63" s="133" t="s">
        <v>105</v>
      </c>
      <c r="C63" s="133" t="s">
        <v>106</v>
      </c>
      <c r="D63" s="133" t="s">
        <v>107</v>
      </c>
    </row>
    <row r="64" spans="1:4">
      <c r="A64" s="134" t="s">
        <v>108</v>
      </c>
    </row>
    <row r="65" spans="1:4">
      <c r="A65" s="136">
        <v>0</v>
      </c>
      <c r="B65" s="137">
        <v>28154370</v>
      </c>
      <c r="C65" s="137">
        <v>19.551670121099999</v>
      </c>
      <c r="D65" s="137">
        <v>0</v>
      </c>
    </row>
    <row r="66" spans="1:4">
      <c r="A66" s="136">
        <v>1</v>
      </c>
      <c r="B66" s="137">
        <v>5333630</v>
      </c>
      <c r="C66" s="137">
        <v>3.7039143233499998</v>
      </c>
      <c r="D66" s="137">
        <v>8966.0646067199996</v>
      </c>
    </row>
    <row r="67" spans="1:4">
      <c r="A67" s="138"/>
      <c r="B67" s="137"/>
      <c r="C67" s="137"/>
      <c r="D67" s="137"/>
    </row>
    <row r="68" spans="1:4">
      <c r="A68" s="139" t="s">
        <v>109</v>
      </c>
      <c r="B68" s="137"/>
      <c r="C68" s="137"/>
      <c r="D68" s="137"/>
    </row>
    <row r="69" spans="1:4">
      <c r="A69" s="136">
        <v>0</v>
      </c>
      <c r="B69" s="137">
        <v>27718912</v>
      </c>
      <c r="C69" s="137">
        <v>19.249268356599998</v>
      </c>
      <c r="D69" s="137">
        <v>0</v>
      </c>
    </row>
    <row r="70" spans="1:4">
      <c r="A70" s="136">
        <v>1</v>
      </c>
      <c r="B70" s="137">
        <v>5769088</v>
      </c>
      <c r="C70" s="137">
        <v>4.0063160879000002</v>
      </c>
      <c r="D70" s="137">
        <v>9812.1848337499996</v>
      </c>
    </row>
    <row r="71" spans="1:4">
      <c r="A71" s="140"/>
      <c r="B71" s="137"/>
      <c r="C71" s="137"/>
      <c r="D71" s="137"/>
    </row>
    <row r="72" spans="1:4">
      <c r="A72" s="139" t="s">
        <v>110</v>
      </c>
      <c r="B72" s="137"/>
      <c r="C72" s="137"/>
      <c r="D72" s="137"/>
    </row>
    <row r="73" spans="1:4">
      <c r="A73" s="136">
        <v>0</v>
      </c>
      <c r="B73" s="137">
        <v>27190601</v>
      </c>
      <c r="C73" s="137">
        <v>18.882385261900001</v>
      </c>
      <c r="D73" s="137">
        <v>0</v>
      </c>
    </row>
    <row r="74" spans="1:4">
      <c r="A74" s="136">
        <v>1</v>
      </c>
      <c r="B74" s="137">
        <v>6297399</v>
      </c>
      <c r="C74" s="137">
        <v>4.3731991825399996</v>
      </c>
      <c r="D74" s="137">
        <v>10446.102194200001</v>
      </c>
    </row>
    <row r="75" spans="1:4">
      <c r="A75" s="140"/>
      <c r="B75" s="137"/>
      <c r="C75" s="137"/>
      <c r="D75" s="137"/>
    </row>
    <row r="76" spans="1:4">
      <c r="A76" s="139" t="s">
        <v>111</v>
      </c>
      <c r="B76" s="137"/>
      <c r="C76" s="137"/>
      <c r="D76" s="137"/>
    </row>
    <row r="77" spans="1:4">
      <c r="A77" s="136">
        <v>0</v>
      </c>
      <c r="B77" s="137">
        <v>26912478</v>
      </c>
      <c r="C77" s="137">
        <v>18.689244049799999</v>
      </c>
      <c r="D77" s="137">
        <v>0</v>
      </c>
    </row>
    <row r="78" spans="1:4">
      <c r="A78" s="136">
        <v>1</v>
      </c>
      <c r="B78" s="137">
        <v>6575522</v>
      </c>
      <c r="C78" s="137">
        <v>4.5663403946900001</v>
      </c>
      <c r="D78" s="137">
        <v>10819.9000765</v>
      </c>
    </row>
    <row r="79" spans="1:4">
      <c r="A79" s="142"/>
    </row>
    <row r="80" spans="1:4">
      <c r="A80" s="142"/>
    </row>
    <row r="81" spans="1:1">
      <c r="A81" s="142"/>
    </row>
    <row r="82" spans="1:1">
      <c r="A82" s="142"/>
    </row>
    <row r="83" spans="1:1">
      <c r="A83" s="142"/>
    </row>
    <row r="84" spans="1:1">
      <c r="A84" s="142"/>
    </row>
    <row r="85" spans="1:1">
      <c r="A85" s="142"/>
    </row>
    <row r="86" spans="1:1">
      <c r="A86" s="142"/>
    </row>
    <row r="87" spans="1:1">
      <c r="A87" s="142"/>
    </row>
    <row r="88" spans="1:1">
      <c r="A88" s="142"/>
    </row>
    <row r="89" spans="1:1">
      <c r="A89" s="142"/>
    </row>
    <row r="90" spans="1:1">
      <c r="A90" s="142"/>
    </row>
    <row r="91" spans="1:1">
      <c r="A91" s="142"/>
    </row>
    <row r="92" spans="1:1">
      <c r="A92" s="142"/>
    </row>
    <row r="93" spans="1:1">
      <c r="A93" s="142"/>
    </row>
    <row r="94" spans="1:1">
      <c r="A94" s="142"/>
    </row>
    <row r="95" spans="1:1">
      <c r="A95" s="142"/>
    </row>
    <row r="96" spans="1:1">
      <c r="A96" s="142"/>
    </row>
    <row r="97" spans="1:1">
      <c r="A97" s="142"/>
    </row>
    <row r="98" spans="1:1">
      <c r="A98" s="142"/>
    </row>
    <row r="99" spans="1:1">
      <c r="A99" s="142"/>
    </row>
    <row r="100" spans="1:1">
      <c r="A100" s="142"/>
    </row>
    <row r="101" spans="1:1">
      <c r="A101" s="142"/>
    </row>
    <row r="102" spans="1:1">
      <c r="A102" s="142"/>
    </row>
    <row r="103" spans="1:1">
      <c r="A103" s="142"/>
    </row>
    <row r="104" spans="1:1">
      <c r="A104" s="142"/>
    </row>
    <row r="105" spans="1:1">
      <c r="A105" s="142"/>
    </row>
    <row r="106" spans="1:1">
      <c r="A106" s="142"/>
    </row>
    <row r="107" spans="1:1">
      <c r="A107" s="142"/>
    </row>
    <row r="108" spans="1:1">
      <c r="A108" s="142"/>
    </row>
    <row r="109" spans="1:1">
      <c r="A109" s="142"/>
    </row>
    <row r="110" spans="1:1">
      <c r="A110" s="142"/>
    </row>
    <row r="111" spans="1:1">
      <c r="A111" s="142"/>
    </row>
    <row r="112" spans="1:1">
      <c r="A112" s="142"/>
    </row>
    <row r="113" spans="1:1">
      <c r="A113" s="142"/>
    </row>
    <row r="114" spans="1:1">
      <c r="A114" s="142"/>
    </row>
    <row r="115" spans="1:1">
      <c r="A115" s="142"/>
    </row>
    <row r="116" spans="1:1">
      <c r="A116" s="142"/>
    </row>
    <row r="117" spans="1:1">
      <c r="A117" s="142"/>
    </row>
    <row r="118" spans="1:1">
      <c r="A118" s="142"/>
    </row>
    <row r="119" spans="1:1">
      <c r="A119" s="142"/>
    </row>
    <row r="120" spans="1:1">
      <c r="A120" s="142"/>
    </row>
    <row r="121" spans="1:1">
      <c r="A121" s="142"/>
    </row>
    <row r="122" spans="1:1">
      <c r="A122" s="142"/>
    </row>
    <row r="123" spans="1:1">
      <c r="A123" s="142"/>
    </row>
    <row r="124" spans="1:1">
      <c r="A124" s="142"/>
    </row>
    <row r="125" spans="1:1">
      <c r="A125" s="142"/>
    </row>
    <row r="126" spans="1:1">
      <c r="A126" s="142"/>
    </row>
    <row r="127" spans="1:1">
      <c r="A127" s="142"/>
    </row>
    <row r="128" spans="1:1">
      <c r="A128" s="142"/>
    </row>
    <row r="129" spans="1:1">
      <c r="A129" s="142"/>
    </row>
    <row r="130" spans="1:1">
      <c r="A130" s="142"/>
    </row>
    <row r="131" spans="1:1">
      <c r="A131" s="142"/>
    </row>
    <row r="132" spans="1:1">
      <c r="A132" s="142"/>
    </row>
    <row r="133" spans="1:1">
      <c r="A133" s="142"/>
    </row>
    <row r="134" spans="1:1">
      <c r="A134" s="142"/>
    </row>
    <row r="135" spans="1:1">
      <c r="A135" s="142"/>
    </row>
    <row r="136" spans="1:1">
      <c r="A136" s="142"/>
    </row>
    <row r="137" spans="1:1">
      <c r="A137" s="142"/>
    </row>
    <row r="138" spans="1:1">
      <c r="A138" s="142"/>
    </row>
    <row r="139" spans="1:1">
      <c r="A139" s="142"/>
    </row>
    <row r="140" spans="1:1">
      <c r="A140" s="142"/>
    </row>
    <row r="141" spans="1:1">
      <c r="A141" s="142"/>
    </row>
    <row r="142" spans="1:1">
      <c r="A142" s="142"/>
    </row>
    <row r="143" spans="1:1">
      <c r="A143" s="142"/>
    </row>
    <row r="144" spans="1:1">
      <c r="A144" s="142"/>
    </row>
    <row r="145" spans="1:1">
      <c r="A145" s="142"/>
    </row>
    <row r="146" spans="1:1">
      <c r="A146" s="142"/>
    </row>
    <row r="147" spans="1:1">
      <c r="A147" s="142"/>
    </row>
    <row r="148" spans="1:1">
      <c r="A148" s="142"/>
    </row>
    <row r="149" spans="1:1">
      <c r="A149" s="142"/>
    </row>
    <row r="150" spans="1:1">
      <c r="A150" s="142"/>
    </row>
    <row r="151" spans="1:1">
      <c r="A151" s="142"/>
    </row>
    <row r="152" spans="1:1">
      <c r="A152" s="142"/>
    </row>
    <row r="153" spans="1:1">
      <c r="A153" s="142"/>
    </row>
    <row r="154" spans="1:1">
      <c r="A154" s="142"/>
    </row>
    <row r="155" spans="1:1">
      <c r="A155" s="142"/>
    </row>
    <row r="156" spans="1:1">
      <c r="A156" s="142"/>
    </row>
    <row r="157" spans="1:1">
      <c r="A157" s="142"/>
    </row>
    <row r="158" spans="1:1">
      <c r="A158" s="142"/>
    </row>
    <row r="159" spans="1:1">
      <c r="A159" s="142"/>
    </row>
    <row r="160" spans="1:1">
      <c r="A160" s="142"/>
    </row>
    <row r="161" spans="1:1">
      <c r="A161" s="142"/>
    </row>
    <row r="162" spans="1:1">
      <c r="A162" s="142"/>
    </row>
    <row r="163" spans="1:1">
      <c r="A163" s="142"/>
    </row>
    <row r="164" spans="1:1">
      <c r="A164" s="142"/>
    </row>
    <row r="165" spans="1:1">
      <c r="A165" s="142"/>
    </row>
    <row r="166" spans="1:1">
      <c r="A166" s="142"/>
    </row>
    <row r="167" spans="1:1">
      <c r="A167" s="142"/>
    </row>
    <row r="168" spans="1:1">
      <c r="A168" s="142"/>
    </row>
    <row r="169" spans="1:1">
      <c r="A169" s="142"/>
    </row>
    <row r="170" spans="1:1">
      <c r="A170" s="142"/>
    </row>
    <row r="171" spans="1:1">
      <c r="A171" s="142"/>
    </row>
    <row r="172" spans="1:1">
      <c r="A172" s="142"/>
    </row>
    <row r="173" spans="1:1">
      <c r="A173" s="142"/>
    </row>
    <row r="174" spans="1:1">
      <c r="A174" s="142"/>
    </row>
    <row r="175" spans="1:1">
      <c r="A175" s="142"/>
    </row>
    <row r="176" spans="1:1">
      <c r="A176" s="142"/>
    </row>
    <row r="177" spans="1:1">
      <c r="A177" s="142"/>
    </row>
    <row r="178" spans="1:1">
      <c r="A178" s="142"/>
    </row>
    <row r="179" spans="1:1">
      <c r="A179" s="142"/>
    </row>
    <row r="180" spans="1:1">
      <c r="A180" s="142"/>
    </row>
    <row r="181" spans="1:1">
      <c r="A181" s="142"/>
    </row>
    <row r="182" spans="1:1">
      <c r="A182" s="142"/>
    </row>
    <row r="183" spans="1:1">
      <c r="A183" s="142"/>
    </row>
    <row r="184" spans="1:1">
      <c r="A184" s="142"/>
    </row>
    <row r="185" spans="1:1">
      <c r="A185" s="142"/>
    </row>
    <row r="186" spans="1:1">
      <c r="A186" s="142"/>
    </row>
    <row r="187" spans="1:1">
      <c r="A187" s="142"/>
    </row>
    <row r="188" spans="1:1">
      <c r="A188" s="142"/>
    </row>
    <row r="189" spans="1:1">
      <c r="A189" s="142"/>
    </row>
    <row r="190" spans="1:1">
      <c r="A190" s="142"/>
    </row>
    <row r="191" spans="1:1">
      <c r="A191" s="142"/>
    </row>
    <row r="192" spans="1:1">
      <c r="A192" s="142"/>
    </row>
    <row r="193" spans="1:1">
      <c r="A193" s="142"/>
    </row>
    <row r="194" spans="1:1">
      <c r="A194" s="142"/>
    </row>
    <row r="195" spans="1:1">
      <c r="A195" s="142"/>
    </row>
    <row r="196" spans="1:1">
      <c r="A196" s="142"/>
    </row>
    <row r="197" spans="1:1">
      <c r="A197" s="142"/>
    </row>
    <row r="198" spans="1:1">
      <c r="A198" s="142"/>
    </row>
    <row r="199" spans="1:1">
      <c r="A199" s="142"/>
    </row>
    <row r="200" spans="1:1">
      <c r="A200" s="142"/>
    </row>
    <row r="201" spans="1:1">
      <c r="A201" s="142"/>
    </row>
    <row r="202" spans="1:1">
      <c r="A202" s="142"/>
    </row>
    <row r="203" spans="1:1">
      <c r="A203" s="142"/>
    </row>
    <row r="204" spans="1:1">
      <c r="A204" s="142"/>
    </row>
    <row r="205" spans="1:1">
      <c r="A205" s="142"/>
    </row>
    <row r="206" spans="1:1">
      <c r="A206" s="142"/>
    </row>
    <row r="207" spans="1:1">
      <c r="A207" s="142"/>
    </row>
    <row r="208" spans="1:1">
      <c r="A208" s="142"/>
    </row>
    <row r="209" spans="1:1">
      <c r="A209" s="142"/>
    </row>
    <row r="210" spans="1:1">
      <c r="A210" s="142"/>
    </row>
    <row r="211" spans="1:1">
      <c r="A211" s="142"/>
    </row>
    <row r="212" spans="1:1">
      <c r="A212" s="142"/>
    </row>
    <row r="213" spans="1:1">
      <c r="A213" s="142"/>
    </row>
    <row r="214" spans="1:1">
      <c r="A214" s="142"/>
    </row>
    <row r="215" spans="1:1">
      <c r="A215" s="142"/>
    </row>
    <row r="216" spans="1:1">
      <c r="A216" s="142"/>
    </row>
    <row r="217" spans="1:1">
      <c r="A217" s="142"/>
    </row>
    <row r="218" spans="1:1">
      <c r="A218" s="142"/>
    </row>
    <row r="219" spans="1:1">
      <c r="A219" s="142"/>
    </row>
    <row r="220" spans="1:1">
      <c r="A220" s="142"/>
    </row>
    <row r="221" spans="1:1">
      <c r="A221" s="142"/>
    </row>
    <row r="222" spans="1:1">
      <c r="A222" s="142"/>
    </row>
    <row r="223" spans="1:1">
      <c r="A223" s="142"/>
    </row>
    <row r="224" spans="1:1">
      <c r="A224" s="142"/>
    </row>
    <row r="225" spans="1:1">
      <c r="A225" s="142"/>
    </row>
    <row r="226" spans="1:1">
      <c r="A226" s="142"/>
    </row>
    <row r="227" spans="1:1">
      <c r="A227" s="142"/>
    </row>
    <row r="228" spans="1:1">
      <c r="A228" s="142"/>
    </row>
    <row r="229" spans="1:1">
      <c r="A229" s="142"/>
    </row>
    <row r="230" spans="1:1">
      <c r="A230" s="142"/>
    </row>
    <row r="231" spans="1:1">
      <c r="A231" s="142"/>
    </row>
    <row r="232" spans="1:1">
      <c r="A232" s="142"/>
    </row>
    <row r="233" spans="1:1">
      <c r="A233" s="142"/>
    </row>
    <row r="234" spans="1:1">
      <c r="A234" s="142"/>
    </row>
    <row r="235" spans="1:1">
      <c r="A235" s="142"/>
    </row>
    <row r="236" spans="1:1">
      <c r="A236" s="142"/>
    </row>
    <row r="237" spans="1:1">
      <c r="A237" s="142"/>
    </row>
    <row r="238" spans="1:1">
      <c r="A238" s="142"/>
    </row>
    <row r="239" spans="1:1">
      <c r="A239" s="142"/>
    </row>
    <row r="240" spans="1:1">
      <c r="A240" s="142"/>
    </row>
    <row r="241" spans="1:1">
      <c r="A241" s="142"/>
    </row>
    <row r="242" spans="1:1">
      <c r="A242" s="142"/>
    </row>
    <row r="243" spans="1:1">
      <c r="A243" s="142"/>
    </row>
    <row r="244" spans="1:1">
      <c r="A244" s="142"/>
    </row>
    <row r="245" spans="1:1">
      <c r="A245" s="142"/>
    </row>
    <row r="246" spans="1:1">
      <c r="A246" s="142"/>
    </row>
    <row r="247" spans="1:1">
      <c r="A247" s="142"/>
    </row>
    <row r="248" spans="1:1">
      <c r="A248" s="142"/>
    </row>
    <row r="249" spans="1:1">
      <c r="A249" s="142"/>
    </row>
    <row r="250" spans="1:1">
      <c r="A250" s="142"/>
    </row>
    <row r="251" spans="1:1">
      <c r="A251" s="142"/>
    </row>
    <row r="252" spans="1:1">
      <c r="A252" s="142"/>
    </row>
    <row r="253" spans="1:1">
      <c r="A253" s="142"/>
    </row>
    <row r="254" spans="1:1">
      <c r="A254" s="142"/>
    </row>
    <row r="255" spans="1:1">
      <c r="A255" s="142"/>
    </row>
    <row r="256" spans="1:1">
      <c r="A256" s="142"/>
    </row>
    <row r="257" spans="1:1">
      <c r="A257" s="142"/>
    </row>
    <row r="258" spans="1:1">
      <c r="A258" s="142"/>
    </row>
    <row r="259" spans="1:1">
      <c r="A259" s="142"/>
    </row>
    <row r="260" spans="1:1">
      <c r="A260" s="142"/>
    </row>
    <row r="261" spans="1:1">
      <c r="A261" s="142"/>
    </row>
    <row r="262" spans="1:1">
      <c r="A262" s="142"/>
    </row>
    <row r="263" spans="1:1">
      <c r="A263" s="142"/>
    </row>
    <row r="264" spans="1:1">
      <c r="A264" s="142"/>
    </row>
    <row r="265" spans="1:1">
      <c r="A265" s="142"/>
    </row>
    <row r="266" spans="1:1">
      <c r="A266" s="142"/>
    </row>
    <row r="267" spans="1:1">
      <c r="A267" s="142"/>
    </row>
    <row r="268" spans="1:1">
      <c r="A268" s="142"/>
    </row>
    <row r="269" spans="1:1">
      <c r="A269" s="142"/>
    </row>
    <row r="270" spans="1:1">
      <c r="A270" s="142"/>
    </row>
    <row r="271" spans="1:1">
      <c r="A271" s="142"/>
    </row>
    <row r="272" spans="1:1">
      <c r="A272" s="142"/>
    </row>
    <row r="273" spans="1:1">
      <c r="A273" s="142"/>
    </row>
    <row r="274" spans="1:1">
      <c r="A274" s="142"/>
    </row>
    <row r="275" spans="1:1">
      <c r="A275" s="142"/>
    </row>
    <row r="276" spans="1:1">
      <c r="A276" s="142"/>
    </row>
    <row r="277" spans="1:1">
      <c r="A277" s="142"/>
    </row>
    <row r="278" spans="1:1">
      <c r="A278" s="142"/>
    </row>
    <row r="279" spans="1:1">
      <c r="A279" s="142"/>
    </row>
    <row r="280" spans="1:1">
      <c r="A280" s="142"/>
    </row>
    <row r="281" spans="1:1">
      <c r="A281" s="142"/>
    </row>
    <row r="282" spans="1:1">
      <c r="A282" s="142"/>
    </row>
    <row r="283" spans="1:1">
      <c r="A283" s="142"/>
    </row>
    <row r="284" spans="1:1">
      <c r="A284" s="142"/>
    </row>
    <row r="285" spans="1:1">
      <c r="A285" s="142"/>
    </row>
    <row r="286" spans="1:1">
      <c r="A286" s="142"/>
    </row>
    <row r="287" spans="1:1">
      <c r="A287" s="142"/>
    </row>
    <row r="288" spans="1:1">
      <c r="A288" s="142"/>
    </row>
    <row r="289" spans="1:1">
      <c r="A289" s="142"/>
    </row>
    <row r="290" spans="1:1">
      <c r="A290" s="142"/>
    </row>
    <row r="291" spans="1:1">
      <c r="A291" s="142"/>
    </row>
    <row r="292" spans="1:1">
      <c r="A292" s="142"/>
    </row>
    <row r="293" spans="1:1">
      <c r="A293" s="142"/>
    </row>
    <row r="294" spans="1:1">
      <c r="A294" s="142"/>
    </row>
    <row r="295" spans="1:1">
      <c r="A295" s="142"/>
    </row>
    <row r="296" spans="1:1">
      <c r="A296" s="142"/>
    </row>
    <row r="297" spans="1:1">
      <c r="A297" s="142"/>
    </row>
    <row r="298" spans="1:1">
      <c r="A298" s="142"/>
    </row>
    <row r="299" spans="1:1">
      <c r="A299" s="142"/>
    </row>
    <row r="300" spans="1:1">
      <c r="A300" s="142"/>
    </row>
    <row r="301" spans="1:1">
      <c r="A301" s="142"/>
    </row>
    <row r="302" spans="1:1">
      <c r="A302" s="142"/>
    </row>
    <row r="303" spans="1:1">
      <c r="A303" s="142"/>
    </row>
    <row r="304" spans="1:1">
      <c r="A304" s="142"/>
    </row>
    <row r="305" spans="1:1">
      <c r="A305" s="142"/>
    </row>
    <row r="306" spans="1:1">
      <c r="A306" s="142"/>
    </row>
    <row r="307" spans="1:1">
      <c r="A307" s="142"/>
    </row>
    <row r="308" spans="1:1">
      <c r="A308" s="142"/>
    </row>
    <row r="309" spans="1:1">
      <c r="A309" s="142"/>
    </row>
    <row r="310" spans="1:1">
      <c r="A310" s="142"/>
    </row>
    <row r="311" spans="1:1">
      <c r="A311" s="142"/>
    </row>
    <row r="312" spans="1:1">
      <c r="A312" s="142"/>
    </row>
    <row r="313" spans="1:1">
      <c r="A313" s="142"/>
    </row>
    <row r="314" spans="1:1">
      <c r="A314" s="142"/>
    </row>
    <row r="315" spans="1:1">
      <c r="A315" s="142"/>
    </row>
    <row r="316" spans="1:1">
      <c r="A316" s="142"/>
    </row>
    <row r="317" spans="1:1">
      <c r="A317" s="142"/>
    </row>
    <row r="318" spans="1:1">
      <c r="A318" s="142"/>
    </row>
    <row r="319" spans="1:1">
      <c r="A319" s="142"/>
    </row>
    <row r="320" spans="1:1">
      <c r="A320" s="142"/>
    </row>
    <row r="321" spans="1:1">
      <c r="A321" s="142"/>
    </row>
    <row r="322" spans="1:1">
      <c r="A322" s="142"/>
    </row>
    <row r="323" spans="1:1">
      <c r="A323" s="142"/>
    </row>
    <row r="324" spans="1:1">
      <c r="A324" s="142"/>
    </row>
    <row r="325" spans="1:1">
      <c r="A325" s="142"/>
    </row>
    <row r="326" spans="1:1">
      <c r="A326" s="142"/>
    </row>
    <row r="327" spans="1:1">
      <c r="A327" s="142"/>
    </row>
    <row r="328" spans="1:1">
      <c r="A328" s="142"/>
    </row>
    <row r="329" spans="1:1">
      <c r="A329" s="142"/>
    </row>
    <row r="330" spans="1:1">
      <c r="A330" s="142"/>
    </row>
    <row r="331" spans="1:1">
      <c r="A331" s="142"/>
    </row>
    <row r="332" spans="1:1">
      <c r="A332" s="142"/>
    </row>
    <row r="333" spans="1:1">
      <c r="A333" s="142"/>
    </row>
    <row r="334" spans="1:1">
      <c r="A334" s="142"/>
    </row>
    <row r="335" spans="1:1">
      <c r="A335" s="142"/>
    </row>
    <row r="336" spans="1:1">
      <c r="A336" s="142"/>
    </row>
    <row r="337" spans="1:1">
      <c r="A337" s="142"/>
    </row>
    <row r="338" spans="1:1">
      <c r="A338" s="142"/>
    </row>
    <row r="339" spans="1:1">
      <c r="A339" s="142"/>
    </row>
    <row r="340" spans="1:1">
      <c r="A340" s="142"/>
    </row>
    <row r="341" spans="1:1">
      <c r="A341" s="142"/>
    </row>
    <row r="342" spans="1:1">
      <c r="A342" s="142"/>
    </row>
    <row r="343" spans="1:1">
      <c r="A343" s="142"/>
    </row>
    <row r="344" spans="1:1">
      <c r="A344" s="142"/>
    </row>
    <row r="345" spans="1:1">
      <c r="A345" s="142"/>
    </row>
    <row r="346" spans="1:1">
      <c r="A346" s="142"/>
    </row>
    <row r="347" spans="1:1">
      <c r="A347" s="142"/>
    </row>
    <row r="348" spans="1:1">
      <c r="A348" s="142"/>
    </row>
    <row r="349" spans="1:1">
      <c r="A349" s="142"/>
    </row>
    <row r="350" spans="1:1">
      <c r="A350" s="142"/>
    </row>
    <row r="351" spans="1:1">
      <c r="A351" s="142"/>
    </row>
    <row r="352" spans="1:1">
      <c r="A352" s="142"/>
    </row>
    <row r="353" spans="1:1">
      <c r="A353" s="142"/>
    </row>
    <row r="354" spans="1:1">
      <c r="A354" s="142"/>
    </row>
  </sheetData>
  <mergeCells count="4">
    <mergeCell ref="A42:D42"/>
    <mergeCell ref="A62:D62"/>
    <mergeCell ref="A2:D2"/>
    <mergeCell ref="A22:D2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B2:F58"/>
  <sheetViews>
    <sheetView topLeftCell="A24" workbookViewId="0">
      <selection activeCell="H36" sqref="H36"/>
    </sheetView>
  </sheetViews>
  <sheetFormatPr baseColWidth="10" defaultColWidth="8.83203125" defaultRowHeight="15"/>
  <cols>
    <col min="4" max="4" width="10" customWidth="1"/>
  </cols>
  <sheetData>
    <row r="2" spans="2:6">
      <c r="B2" s="174" t="s">
        <v>113</v>
      </c>
    </row>
    <row r="3" spans="2:6" s="1" customFormat="1"/>
    <row r="4" spans="2:6" s="1" customFormat="1">
      <c r="B4" s="175"/>
      <c r="C4" s="208" t="s">
        <v>114</v>
      </c>
      <c r="D4" s="208"/>
      <c r="E4" s="209" t="s">
        <v>115</v>
      </c>
      <c r="F4" s="209"/>
    </row>
    <row r="5" spans="2:6" s="3" customFormat="1" ht="65">
      <c r="B5" s="176" t="s">
        <v>39</v>
      </c>
      <c r="C5" s="177" t="s">
        <v>116</v>
      </c>
      <c r="D5" s="177" t="s">
        <v>117</v>
      </c>
      <c r="E5" s="178" t="s">
        <v>116</v>
      </c>
      <c r="F5" s="178" t="s">
        <v>117</v>
      </c>
    </row>
    <row r="6" spans="2:6" s="1" customFormat="1">
      <c r="B6" s="179">
        <v>2</v>
      </c>
      <c r="C6" s="196">
        <f>4.7160759734853/100</f>
        <v>4.7160759734853001E-2</v>
      </c>
      <c r="D6" s="180">
        <v>397617.44863886532</v>
      </c>
      <c r="E6" s="198">
        <f>7.13476295814538/100</f>
        <v>7.1347629581453798E-2</v>
      </c>
      <c r="F6" s="181">
        <v>73335.921725914755</v>
      </c>
    </row>
    <row r="7" spans="2:6" s="1" customFormat="1">
      <c r="B7" s="182">
        <v>5</v>
      </c>
      <c r="C7" s="197">
        <f>6.84286556635579/100</f>
        <v>6.8428655663557894E-2</v>
      </c>
      <c r="D7" s="183">
        <v>576929.37161535188</v>
      </c>
      <c r="E7" s="199">
        <f>10.2035265381599/100</f>
        <v>0.102035265381599</v>
      </c>
      <c r="F7" s="184">
        <v>104878.75041125342</v>
      </c>
    </row>
    <row r="8" spans="2:6" s="1" customFormat="1">
      <c r="B8" s="182">
        <v>10</v>
      </c>
      <c r="C8" s="197">
        <f>8.36912839857312/100</f>
        <v>8.3691283985731196E-2</v>
      </c>
      <c r="D8" s="183">
        <v>705610.23611170729</v>
      </c>
      <c r="E8" s="199">
        <f>12.3887339066809/100</f>
        <v>0.12388733906680899</v>
      </c>
      <c r="F8" s="184">
        <v>127339.79045881367</v>
      </c>
    </row>
    <row r="9" spans="2:6" s="1" customFormat="1">
      <c r="B9" s="182">
        <v>15</v>
      </c>
      <c r="C9" s="197">
        <f>9.18715610745094/100</f>
        <v>9.1871561074509403E-2</v>
      </c>
      <c r="D9" s="183">
        <v>774579.03397429152</v>
      </c>
      <c r="E9" s="199">
        <f>13.5555488473993/100</f>
        <v>0.13555548847399301</v>
      </c>
      <c r="F9" s="184">
        <v>139333.10399468409</v>
      </c>
    </row>
    <row r="10" spans="2:6" s="1" customFormat="1">
      <c r="B10" s="182">
        <v>20</v>
      </c>
      <c r="C10" s="197">
        <f>9.73018535069361/100</f>
        <v>9.7301853506936098E-2</v>
      </c>
      <c r="D10" s="183">
        <v>820362.41478672426</v>
      </c>
      <c r="E10" s="199">
        <f>14.3288183376401/100</f>
        <v>0.14328818337640101</v>
      </c>
      <c r="F10" s="184">
        <v>147281.29108120763</v>
      </c>
    </row>
    <row r="11" spans="2:6" s="1" customFormat="1">
      <c r="B11" s="182" t="s">
        <v>1</v>
      </c>
      <c r="C11" s="197">
        <f>2.53871993731417/100</f>
        <v>2.5387199373141697E-2</v>
      </c>
      <c r="D11" s="183">
        <v>214042.21432367607</v>
      </c>
      <c r="E11" s="199">
        <f>7.84795158509794/100</f>
        <v>7.8479515850979398E-2</v>
      </c>
      <c r="F11" s="184">
        <v>80666.557043279405</v>
      </c>
    </row>
    <row r="12" spans="2:6" s="1" customFormat="1">
      <c r="B12" s="2"/>
      <c r="C12" s="185" t="s">
        <v>118</v>
      </c>
      <c r="D12" s="2"/>
      <c r="E12" s="2"/>
      <c r="F12" s="2"/>
    </row>
    <row r="13" spans="2:6" s="1" customFormat="1">
      <c r="C13" s="186" t="s">
        <v>119</v>
      </c>
    </row>
    <row r="14" spans="2:6" s="1" customFormat="1"/>
    <row r="15" spans="2:6" s="1" customFormat="1"/>
    <row r="16" spans="2:6" s="1" customFormat="1">
      <c r="B16" s="174" t="s">
        <v>120</v>
      </c>
    </row>
    <row r="17" spans="2:6" s="1" customFormat="1"/>
    <row r="18" spans="2:6" s="1" customFormat="1">
      <c r="B18" s="175"/>
      <c r="C18" s="208" t="s">
        <v>114</v>
      </c>
      <c r="D18" s="208"/>
      <c r="E18" s="209" t="s">
        <v>115</v>
      </c>
      <c r="F18" s="209"/>
    </row>
    <row r="19" spans="2:6" s="3" customFormat="1" ht="65">
      <c r="B19" s="176" t="s">
        <v>39</v>
      </c>
      <c r="C19" s="177" t="s">
        <v>116</v>
      </c>
      <c r="D19" s="177" t="s">
        <v>117</v>
      </c>
      <c r="E19" s="178" t="s">
        <v>116</v>
      </c>
      <c r="F19" s="178" t="s">
        <v>117</v>
      </c>
    </row>
    <row r="20" spans="2:6" s="1" customFormat="1">
      <c r="B20" s="179">
        <v>2</v>
      </c>
      <c r="C20" s="196">
        <f>6.40004335319037/100</f>
        <v>6.4000433531903711E-2</v>
      </c>
      <c r="D20" s="180">
        <v>539594.55351882952</v>
      </c>
      <c r="E20" s="198">
        <f>7.56197162272405/100</f>
        <v>7.5619716227240494E-2</v>
      </c>
      <c r="F20" s="181">
        <v>77727.061469444248</v>
      </c>
    </row>
    <row r="21" spans="2:6" s="1" customFormat="1">
      <c r="B21" s="182">
        <v>5</v>
      </c>
      <c r="C21" s="197">
        <f>8.51452909343315/100</f>
        <v>8.51452909343315E-2</v>
      </c>
      <c r="D21" s="183">
        <v>717869.1254183274</v>
      </c>
      <c r="E21" s="199">
        <f>10.401587632389/100</f>
        <v>0.10401587632389001</v>
      </c>
      <c r="F21" s="184">
        <v>106914.55636423909</v>
      </c>
    </row>
    <row r="22" spans="2:6" s="1" customFormat="1">
      <c r="B22" s="182">
        <v>10</v>
      </c>
      <c r="C22" s="197">
        <f>9.94428693267809/100</f>
        <v>9.9442869326780897E-2</v>
      </c>
      <c r="D22" s="183">
        <v>838413.54993739526</v>
      </c>
      <c r="E22" s="199">
        <f>12.3894373998802/100</f>
        <v>0.12389437399880199</v>
      </c>
      <c r="F22" s="184">
        <v>127347.02143796484</v>
      </c>
    </row>
    <row r="23" spans="2:6" s="1" customFormat="1">
      <c r="B23" s="182">
        <v>15</v>
      </c>
      <c r="C23" s="197">
        <f>10.6927692211079/100</f>
        <v>0.10692769221107901</v>
      </c>
      <c r="D23" s="183">
        <v>901518.89844112005</v>
      </c>
      <c r="E23" s="199">
        <f>13.4442064297443/100</f>
        <v>0.13444206429744299</v>
      </c>
      <c r="F23" s="184">
        <v>138188.65128142334</v>
      </c>
    </row>
    <row r="24" spans="2:6" s="1" customFormat="1">
      <c r="B24" s="182">
        <v>20</v>
      </c>
      <c r="C24" s="197">
        <f>11.1848813530385/100</f>
        <v>0.11184881353038501</v>
      </c>
      <c r="D24" s="183">
        <v>943009.40271683584</v>
      </c>
      <c r="E24" s="199">
        <f>14.1414774881386/100</f>
        <v>0.14141477488138599</v>
      </c>
      <c r="F24" s="184">
        <v>145355.67505784394</v>
      </c>
    </row>
    <row r="25" spans="2:6" s="1" customFormat="1">
      <c r="B25" s="187" t="s">
        <v>1</v>
      </c>
      <c r="C25" s="200">
        <f>3.89903126956886/100</f>
        <v>3.8990312695688603E-2</v>
      </c>
      <c r="D25" s="188">
        <v>328731.52898412629</v>
      </c>
      <c r="E25" s="201">
        <f>8.40725854085626/100</f>
        <v>8.4072585408562606E-2</v>
      </c>
      <c r="F25" s="189">
        <v>86415.492413504195</v>
      </c>
    </row>
    <row r="26" spans="2:6" s="1" customFormat="1"/>
    <row r="27" spans="2:6" s="1" customFormat="1"/>
    <row r="28" spans="2:6" s="1" customFormat="1">
      <c r="B28" s="174" t="s">
        <v>121</v>
      </c>
    </row>
    <row r="29" spans="2:6" s="1" customFormat="1"/>
    <row r="30" spans="2:6" s="1" customFormat="1">
      <c r="B30" s="175"/>
      <c r="C30" s="208" t="s">
        <v>114</v>
      </c>
      <c r="D30" s="208"/>
      <c r="E30" s="209" t="s">
        <v>115</v>
      </c>
      <c r="F30" s="209"/>
    </row>
    <row r="31" spans="2:6" s="3" customFormat="1" ht="65">
      <c r="B31" s="176" t="s">
        <v>39</v>
      </c>
      <c r="C31" s="177" t="s">
        <v>116</v>
      </c>
      <c r="D31" s="177" t="s">
        <v>117</v>
      </c>
      <c r="E31" s="178" t="s">
        <v>116</v>
      </c>
      <c r="F31" s="178" t="s">
        <v>117</v>
      </c>
    </row>
    <row r="32" spans="2:6" s="1" customFormat="1">
      <c r="B32" s="179">
        <v>2</v>
      </c>
      <c r="C32" s="196">
        <f>7.31895102120787/100</f>
        <v>7.3189510212078701E-2</v>
      </c>
      <c r="D32" s="180">
        <v>617068.64947190811</v>
      </c>
      <c r="E32" s="198">
        <f>9.4386590213691/100</f>
        <v>9.4386590213691002E-2</v>
      </c>
      <c r="F32" s="181">
        <v>97016.924493403625</v>
      </c>
    </row>
    <row r="33" spans="2:6" s="1" customFormat="1">
      <c r="B33" s="182">
        <v>5</v>
      </c>
      <c r="C33" s="197">
        <f>9.04688962752753/100</f>
        <v>9.046889627527531E-2</v>
      </c>
      <c r="D33" s="183">
        <v>762753.01586299238</v>
      </c>
      <c r="E33" s="199">
        <f>12.1089019523378/100</f>
        <v>0.12108901952337799</v>
      </c>
      <c r="F33" s="184">
        <v>124463.488271831</v>
      </c>
    </row>
    <row r="34" spans="2:6" s="1" customFormat="1">
      <c r="B34" s="182">
        <v>10</v>
      </c>
      <c r="C34" s="197">
        <f>10.1689404844908/100</f>
        <v>0.101689404844908</v>
      </c>
      <c r="D34" s="183">
        <v>857354.33303792821</v>
      </c>
      <c r="E34" s="199">
        <f>13.8717867980552/100</f>
        <v>0.138717867980552</v>
      </c>
      <c r="F34" s="184">
        <v>142583.61164744137</v>
      </c>
    </row>
    <row r="35" spans="2:6" s="1" customFormat="1">
      <c r="B35" s="182">
        <v>15</v>
      </c>
      <c r="C35" s="197">
        <f>10.7468218054863/100</f>
        <v>0.10746821805486301</v>
      </c>
      <c r="D35" s="183">
        <v>906076.13009169616</v>
      </c>
      <c r="E35" s="199">
        <f>14.7856187991053/100</f>
        <v>0.14785618799105302</v>
      </c>
      <c r="F35" s="184">
        <v>151976.59533768948</v>
      </c>
    </row>
    <row r="36" spans="2:6" s="1" customFormat="1">
      <c r="B36" s="182">
        <v>20</v>
      </c>
      <c r="C36" s="197">
        <f>11.1242151947609/100</f>
        <v>0.111242151947609</v>
      </c>
      <c r="D36" s="183">
        <v>937894.57352224935</v>
      </c>
      <c r="E36" s="199">
        <f>15.3839815546018/100</f>
        <v>0.153839815546018</v>
      </c>
      <c r="F36" s="184">
        <v>158126.97264639862</v>
      </c>
    </row>
    <row r="37" spans="2:6" s="1" customFormat="1">
      <c r="B37" s="187" t="s">
        <v>1</v>
      </c>
      <c r="C37" s="200">
        <f>5.25190564917735/100</f>
        <v>5.2519056491773498E-2</v>
      </c>
      <c r="D37" s="188">
        <v>442793.8261509118</v>
      </c>
      <c r="E37" s="201">
        <f>12.5125207718581/100</f>
        <v>0.12512520771858099</v>
      </c>
      <c r="F37" s="189">
        <v>128612.15562477434</v>
      </c>
    </row>
    <row r="38" spans="2:6" s="1" customFormat="1"/>
    <row r="39" spans="2:6" s="1" customFormat="1"/>
    <row r="40" spans="2:6" s="1" customFormat="1"/>
    <row r="41" spans="2:6" s="1" customFormat="1"/>
    <row r="42" spans="2:6" s="3" customFormat="1" ht="12"/>
    <row r="43" spans="2:6" s="1" customFormat="1"/>
    <row r="44" spans="2:6" s="1" customFormat="1"/>
    <row r="45" spans="2:6" s="1" customFormat="1"/>
    <row r="46" spans="2:6" s="1" customFormat="1"/>
    <row r="47" spans="2:6" s="1" customFormat="1"/>
    <row r="48" spans="2:6" s="1" customFormat="1"/>
    <row r="50" s="1" customFormat="1"/>
    <row r="51" s="1" customFormat="1"/>
    <row r="52" s="1" customFormat="1"/>
    <row r="53" s="3" customFormat="1" ht="12"/>
    <row r="54" s="1" customFormat="1"/>
    <row r="55" s="1" customFormat="1"/>
    <row r="56" s="1" customFormat="1"/>
    <row r="57" s="1" customFormat="1"/>
    <row r="58" s="1" customFormat="1"/>
  </sheetData>
  <mergeCells count="6">
    <mergeCell ref="C4:D4"/>
    <mergeCell ref="E4:F4"/>
    <mergeCell ref="C18:D18"/>
    <mergeCell ref="E18:F18"/>
    <mergeCell ref="C30:D30"/>
    <mergeCell ref="E30:F3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D1DA-6A6C-41A1-8923-1FDDC933E4C2}">
  <dimension ref="A1:T114"/>
  <sheetViews>
    <sheetView zoomScale="64" zoomScaleNormal="64" workbookViewId="0">
      <selection activeCell="B5" sqref="B5"/>
    </sheetView>
  </sheetViews>
  <sheetFormatPr baseColWidth="10" defaultColWidth="10.83203125" defaultRowHeight="15"/>
  <sheetData>
    <row r="1" spans="1:20" ht="21">
      <c r="A1" s="165" t="s">
        <v>114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20">
      <c r="A2" s="31">
        <v>2</v>
      </c>
      <c r="B2" s="31"/>
      <c r="C2" s="31"/>
      <c r="D2" s="31"/>
      <c r="E2" s="31">
        <v>5</v>
      </c>
      <c r="F2" s="31"/>
      <c r="G2" s="31"/>
      <c r="H2" s="31"/>
      <c r="I2" s="31">
        <v>10</v>
      </c>
      <c r="J2" s="31"/>
      <c r="K2" s="31"/>
      <c r="L2" s="31"/>
      <c r="M2" s="31">
        <v>15</v>
      </c>
      <c r="N2" s="31"/>
      <c r="O2" s="31"/>
      <c r="P2" s="31"/>
      <c r="Q2" s="31">
        <v>20</v>
      </c>
      <c r="R2" s="31"/>
      <c r="S2" s="31"/>
    </row>
    <row r="3" spans="1:20">
      <c r="A3" s="48"/>
      <c r="B3" s="49" t="s">
        <v>91</v>
      </c>
      <c r="C3" s="50"/>
      <c r="E3" s="48"/>
      <c r="F3" s="49" t="s">
        <v>91</v>
      </c>
      <c r="G3" s="50"/>
      <c r="I3" s="48"/>
      <c r="J3" s="49" t="s">
        <v>91</v>
      </c>
      <c r="K3" s="50"/>
      <c r="M3" s="48"/>
      <c r="N3" s="49" t="s">
        <v>91</v>
      </c>
      <c r="O3" s="50"/>
      <c r="Q3" s="48"/>
      <c r="R3" s="49" t="s">
        <v>91</v>
      </c>
      <c r="S3" s="50"/>
    </row>
    <row r="4" spans="1:20">
      <c r="A4" s="51"/>
      <c r="B4" s="15"/>
      <c r="C4" s="52"/>
      <c r="E4" s="51"/>
      <c r="F4" s="15"/>
      <c r="G4" s="52"/>
      <c r="I4" s="167"/>
      <c r="J4" s="20"/>
      <c r="K4" s="168"/>
      <c r="M4" s="51"/>
      <c r="N4" s="15"/>
      <c r="O4" s="52"/>
      <c r="Q4" s="51"/>
      <c r="R4" s="15"/>
      <c r="S4" s="52"/>
    </row>
    <row r="5" spans="1:20">
      <c r="A5" s="53">
        <v>1999</v>
      </c>
      <c r="B5" s="126">
        <v>4.7160759734853039</v>
      </c>
      <c r="C5" s="125">
        <v>5.1036765641618916E-2</v>
      </c>
      <c r="E5" s="53">
        <v>1999</v>
      </c>
      <c r="F5" s="126">
        <v>6.842865566355794</v>
      </c>
      <c r="G5" s="125">
        <v>4.3216158062190979E-2</v>
      </c>
      <c r="I5" s="53">
        <v>1999</v>
      </c>
      <c r="J5" s="126">
        <v>8.3691283985731157</v>
      </c>
      <c r="K5" s="125">
        <v>3.5290433057209053E-2</v>
      </c>
      <c r="M5" s="53">
        <v>1999</v>
      </c>
      <c r="N5" s="126">
        <v>9.1871561074509422</v>
      </c>
      <c r="O5" s="125">
        <v>3.0581680353634719E-2</v>
      </c>
      <c r="Q5" s="53">
        <v>1999</v>
      </c>
      <c r="R5" s="126">
        <v>9.7301853506936062</v>
      </c>
      <c r="S5" s="125">
        <v>2.7333918511123344E-2</v>
      </c>
    </row>
    <row r="6" spans="1:20">
      <c r="A6" s="53">
        <v>2000</v>
      </c>
      <c r="B6" s="169">
        <v>4.7671127391269232</v>
      </c>
      <c r="C6" s="125"/>
      <c r="E6" s="53">
        <v>2000</v>
      </c>
      <c r="F6" s="169">
        <v>6.8860817244179851</v>
      </c>
      <c r="G6" s="170"/>
      <c r="H6" s="1"/>
      <c r="I6" s="53">
        <v>2000</v>
      </c>
      <c r="J6" s="169">
        <v>8.4044188316303252</v>
      </c>
      <c r="K6" s="170"/>
      <c r="L6" s="1"/>
      <c r="M6" s="53">
        <v>2000</v>
      </c>
      <c r="N6" s="169">
        <v>9.2177377878045768</v>
      </c>
      <c r="O6" s="1"/>
      <c r="P6" s="53"/>
      <c r="Q6" s="53">
        <v>2000</v>
      </c>
      <c r="R6" s="169">
        <v>9.7575192692047299</v>
      </c>
      <c r="S6" s="1"/>
      <c r="T6" s="53"/>
    </row>
    <row r="7" spans="1:20">
      <c r="A7" s="53">
        <v>2001</v>
      </c>
      <c r="B7" s="169">
        <v>4.8181495047685425</v>
      </c>
      <c r="C7" s="125"/>
      <c r="E7" s="53">
        <v>2001</v>
      </c>
      <c r="F7" s="169">
        <v>6.9292978824801761</v>
      </c>
      <c r="G7" s="170"/>
      <c r="H7" s="1"/>
      <c r="I7" s="53">
        <v>2001</v>
      </c>
      <c r="J7" s="169">
        <v>8.4397092646875347</v>
      </c>
      <c r="K7" s="170"/>
      <c r="L7" s="1"/>
      <c r="M7" s="53">
        <v>2001</v>
      </c>
      <c r="N7" s="169">
        <v>9.2483194681582113</v>
      </c>
      <c r="O7" s="1"/>
      <c r="P7" s="53"/>
      <c r="Q7" s="53">
        <v>2001</v>
      </c>
      <c r="R7" s="169">
        <v>9.7848531877158536</v>
      </c>
      <c r="S7" s="1"/>
      <c r="T7" s="53"/>
    </row>
    <row r="8" spans="1:20">
      <c r="A8" s="53">
        <v>2002</v>
      </c>
      <c r="B8" s="169">
        <v>4.8691862704101618</v>
      </c>
      <c r="C8" s="125"/>
      <c r="E8" s="53">
        <v>2002</v>
      </c>
      <c r="F8" s="169">
        <v>6.9725140405423671</v>
      </c>
      <c r="G8" s="170"/>
      <c r="H8" s="1"/>
      <c r="I8" s="53">
        <v>2002</v>
      </c>
      <c r="J8" s="169">
        <v>8.4749996977447442</v>
      </c>
      <c r="K8" s="170"/>
      <c r="L8" s="1"/>
      <c r="M8" s="53">
        <v>2002</v>
      </c>
      <c r="N8" s="169">
        <v>9.2789011485118458</v>
      </c>
      <c r="O8" s="1"/>
      <c r="P8" s="53"/>
      <c r="Q8" s="53">
        <v>2002</v>
      </c>
      <c r="R8" s="169">
        <v>9.8121871062269772</v>
      </c>
      <c r="S8" s="1"/>
      <c r="T8" s="53"/>
    </row>
    <row r="9" spans="1:20">
      <c r="A9" s="53">
        <v>2003</v>
      </c>
      <c r="B9" s="169">
        <v>4.9202230360517811</v>
      </c>
      <c r="C9" s="125"/>
      <c r="E9" s="53">
        <v>2003</v>
      </c>
      <c r="F9" s="169">
        <v>7.0157301986045582</v>
      </c>
      <c r="G9" s="170"/>
      <c r="H9" s="1"/>
      <c r="I9" s="53">
        <v>2003</v>
      </c>
      <c r="J9" s="169">
        <v>8.5102901308019536</v>
      </c>
      <c r="K9" s="170"/>
      <c r="L9" s="1"/>
      <c r="M9" s="53">
        <v>2003</v>
      </c>
      <c r="N9" s="169">
        <v>9.3094828288654803</v>
      </c>
      <c r="O9" s="1"/>
      <c r="P9" s="53"/>
      <c r="Q9" s="53">
        <v>2003</v>
      </c>
      <c r="R9" s="169">
        <v>9.8395210247381009</v>
      </c>
      <c r="S9" s="1"/>
      <c r="T9" s="53"/>
    </row>
    <row r="10" spans="1:20">
      <c r="A10" s="53">
        <v>2004</v>
      </c>
      <c r="B10" s="169">
        <v>4.9712598016934004</v>
      </c>
      <c r="C10" s="125"/>
      <c r="E10" s="53">
        <v>2004</v>
      </c>
      <c r="F10" s="169">
        <v>7.0589463566667492</v>
      </c>
      <c r="G10" s="170"/>
      <c r="H10" s="1"/>
      <c r="I10" s="53">
        <v>2004</v>
      </c>
      <c r="J10" s="169">
        <v>8.5455805638591631</v>
      </c>
      <c r="K10" s="170"/>
      <c r="L10" s="1"/>
      <c r="M10" s="53">
        <v>2004</v>
      </c>
      <c r="N10" s="169">
        <v>9.3400645092191148</v>
      </c>
      <c r="O10" s="1"/>
      <c r="P10" s="53"/>
      <c r="Q10" s="53">
        <v>2004</v>
      </c>
      <c r="R10" s="169">
        <v>9.8668549432492245</v>
      </c>
      <c r="S10" s="1"/>
      <c r="T10" s="53"/>
    </row>
    <row r="11" spans="1:20">
      <c r="A11" s="53">
        <v>2005</v>
      </c>
      <c r="B11" s="169">
        <v>5.0222965673350197</v>
      </c>
      <c r="C11" s="125"/>
      <c r="E11" s="53">
        <v>2005</v>
      </c>
      <c r="F11" s="169">
        <v>7.1021625147289402</v>
      </c>
      <c r="G11" s="170"/>
      <c r="H11" s="1"/>
      <c r="I11" s="53">
        <v>2005</v>
      </c>
      <c r="J11" s="169">
        <v>8.5808709969163726</v>
      </c>
      <c r="K11" s="170"/>
      <c r="L11" s="1"/>
      <c r="M11" s="53">
        <v>2005</v>
      </c>
      <c r="N11" s="169">
        <v>9.3706461895727493</v>
      </c>
      <c r="O11" s="1"/>
      <c r="P11" s="53"/>
      <c r="Q11" s="53">
        <v>2005</v>
      </c>
      <c r="R11" s="169">
        <v>9.8941888617603482</v>
      </c>
      <c r="S11" s="1"/>
      <c r="T11" s="53"/>
    </row>
    <row r="12" spans="1:20">
      <c r="A12" s="53">
        <v>2006</v>
      </c>
      <c r="B12" s="169">
        <v>5.073333332976639</v>
      </c>
      <c r="C12" s="125"/>
      <c r="E12" s="53">
        <v>2006</v>
      </c>
      <c r="F12" s="169">
        <v>7.1453786727911313</v>
      </c>
      <c r="G12" s="170"/>
      <c r="H12" s="1"/>
      <c r="I12" s="53">
        <v>2006</v>
      </c>
      <c r="J12" s="169">
        <v>8.616161429973582</v>
      </c>
      <c r="K12" s="170"/>
      <c r="L12" s="1"/>
      <c r="M12" s="53">
        <v>2006</v>
      </c>
      <c r="N12" s="169">
        <v>9.4012278699263838</v>
      </c>
      <c r="O12" s="1"/>
      <c r="P12" s="53"/>
      <c r="Q12" s="53">
        <v>2006</v>
      </c>
      <c r="R12" s="169">
        <v>9.9215227802714718</v>
      </c>
      <c r="S12" s="1"/>
      <c r="T12" s="53"/>
    </row>
    <row r="13" spans="1:20">
      <c r="A13" s="53">
        <v>2007</v>
      </c>
      <c r="B13" s="169">
        <v>5.1243700986182583</v>
      </c>
      <c r="C13" s="125"/>
      <c r="E13" s="53">
        <v>2007</v>
      </c>
      <c r="F13" s="169">
        <v>7.1885948308533223</v>
      </c>
      <c r="G13" s="170"/>
      <c r="H13" s="1"/>
      <c r="I13" s="53">
        <v>2007</v>
      </c>
      <c r="J13" s="169">
        <v>8.6514518630307915</v>
      </c>
      <c r="K13" s="170"/>
      <c r="L13" s="1"/>
      <c r="M13" s="53">
        <v>2007</v>
      </c>
      <c r="N13" s="169">
        <v>9.4318095502800183</v>
      </c>
      <c r="O13" s="1"/>
      <c r="P13" s="53"/>
      <c r="Q13" s="53">
        <v>2007</v>
      </c>
      <c r="R13" s="169">
        <v>9.9488566987825955</v>
      </c>
      <c r="S13" s="1"/>
      <c r="T13" s="53"/>
    </row>
    <row r="14" spans="1:20">
      <c r="A14" s="53">
        <v>2008</v>
      </c>
      <c r="B14" s="169">
        <v>5.1754068642598776</v>
      </c>
      <c r="C14" s="125"/>
      <c r="E14" s="53">
        <v>2008</v>
      </c>
      <c r="F14" s="169">
        <v>7.2318109889155133</v>
      </c>
      <c r="G14" s="170"/>
      <c r="H14" s="1"/>
      <c r="I14" s="53">
        <v>2008</v>
      </c>
      <c r="J14" s="169">
        <v>8.686742296088001</v>
      </c>
      <c r="K14" s="170"/>
      <c r="L14" s="1"/>
      <c r="M14" s="53">
        <v>2008</v>
      </c>
      <c r="N14" s="169">
        <v>9.4623912306336528</v>
      </c>
      <c r="O14" s="1"/>
      <c r="P14" s="53"/>
      <c r="Q14" s="53">
        <v>2008</v>
      </c>
      <c r="R14" s="169">
        <v>9.9761906172937191</v>
      </c>
      <c r="S14" s="1"/>
      <c r="T14" s="53"/>
    </row>
    <row r="15" spans="1:20">
      <c r="A15" s="53">
        <v>2009</v>
      </c>
      <c r="B15" s="169">
        <v>5.2264436299014969</v>
      </c>
      <c r="C15" s="125"/>
      <c r="E15" s="53">
        <v>2009</v>
      </c>
      <c r="F15" s="169">
        <v>7.2750271469777044</v>
      </c>
      <c r="G15" s="170"/>
      <c r="H15" s="1"/>
      <c r="I15" s="53">
        <v>2009</v>
      </c>
      <c r="J15" s="169">
        <v>8.7220327291452104</v>
      </c>
      <c r="K15" s="170"/>
      <c r="L15" s="1"/>
      <c r="M15" s="53">
        <v>2009</v>
      </c>
      <c r="N15" s="169">
        <v>9.4929729109872873</v>
      </c>
      <c r="O15" s="1"/>
      <c r="P15" s="53"/>
      <c r="Q15" s="53">
        <v>2009</v>
      </c>
      <c r="R15" s="169">
        <v>10.003524535804843</v>
      </c>
      <c r="S15" s="1"/>
      <c r="T15" s="53"/>
    </row>
    <row r="16" spans="1:20">
      <c r="A16" s="53">
        <v>2010</v>
      </c>
      <c r="B16" s="169">
        <v>5.2774803955431162</v>
      </c>
      <c r="C16" s="125"/>
      <c r="E16" s="53">
        <v>2010</v>
      </c>
      <c r="F16" s="169">
        <v>7.3182433050398954</v>
      </c>
      <c r="G16" s="170"/>
      <c r="H16" s="1"/>
      <c r="I16" s="53">
        <v>2010</v>
      </c>
      <c r="J16" s="169">
        <v>8.7573231622024199</v>
      </c>
      <c r="K16" s="170"/>
      <c r="L16" s="1"/>
      <c r="M16" s="53">
        <v>2010</v>
      </c>
      <c r="N16" s="169">
        <v>9.5235545913409219</v>
      </c>
      <c r="O16" s="1"/>
      <c r="P16" s="53"/>
      <c r="Q16" s="53">
        <v>2010</v>
      </c>
      <c r="R16" s="169">
        <v>10.030858454315966</v>
      </c>
      <c r="S16" s="1"/>
      <c r="T16" s="53"/>
    </row>
    <row r="17" spans="1:20">
      <c r="A17" s="53">
        <v>2011</v>
      </c>
      <c r="B17" s="169">
        <v>5.3285171611847355</v>
      </c>
      <c r="C17" s="125"/>
      <c r="E17" s="53">
        <v>2011</v>
      </c>
      <c r="F17" s="169">
        <v>7.3614594631020864</v>
      </c>
      <c r="G17" s="170"/>
      <c r="H17" s="1"/>
      <c r="I17" s="53">
        <v>2011</v>
      </c>
      <c r="J17" s="169">
        <v>8.7926135952596294</v>
      </c>
      <c r="K17" s="170"/>
      <c r="L17" s="1"/>
      <c r="M17" s="53">
        <v>2011</v>
      </c>
      <c r="N17" s="169">
        <v>9.5541362716945564</v>
      </c>
      <c r="O17" s="1"/>
      <c r="P17" s="53"/>
      <c r="Q17" s="53">
        <v>2011</v>
      </c>
      <c r="R17" s="169">
        <v>10.05819237282709</v>
      </c>
      <c r="S17" s="1"/>
      <c r="T17" s="53"/>
    </row>
    <row r="18" spans="1:20">
      <c r="A18" s="53">
        <v>2012</v>
      </c>
      <c r="B18" s="169">
        <v>5.3795539268263548</v>
      </c>
      <c r="C18" s="52"/>
      <c r="E18" s="53">
        <v>2012</v>
      </c>
      <c r="F18" s="169">
        <v>7.4046756211642775</v>
      </c>
      <c r="G18" s="89"/>
      <c r="I18" s="53">
        <v>2012</v>
      </c>
      <c r="J18" s="169">
        <v>8.8279040283168388</v>
      </c>
      <c r="K18" s="89"/>
      <c r="M18" s="53">
        <v>2012</v>
      </c>
      <c r="N18" s="169">
        <v>9.5847179520481909</v>
      </c>
      <c r="O18" s="89"/>
      <c r="Q18" s="53">
        <v>2012</v>
      </c>
      <c r="R18" s="169">
        <v>10.085526291338214</v>
      </c>
      <c r="S18" s="52"/>
    </row>
    <row r="19" spans="1:20">
      <c r="A19" s="53">
        <v>2013</v>
      </c>
      <c r="B19" s="169">
        <v>5.4305906924679741</v>
      </c>
      <c r="C19" s="52"/>
      <c r="E19" s="53">
        <v>2013</v>
      </c>
      <c r="F19" s="169">
        <v>7.4478917792264685</v>
      </c>
      <c r="G19" s="89"/>
      <c r="I19" s="53">
        <v>2013</v>
      </c>
      <c r="J19" s="169">
        <v>8.8631944613740483</v>
      </c>
      <c r="K19" s="89"/>
      <c r="M19" s="53">
        <v>2013</v>
      </c>
      <c r="N19" s="169">
        <v>9.6152996324018254</v>
      </c>
      <c r="O19" s="89"/>
      <c r="Q19" s="53">
        <v>2013</v>
      </c>
      <c r="R19" s="169">
        <v>10.112860209849337</v>
      </c>
      <c r="S19" s="52"/>
    </row>
    <row r="20" spans="1:20">
      <c r="A20" s="53">
        <v>2014</v>
      </c>
      <c r="B20" s="169">
        <v>5.4816274581095934</v>
      </c>
      <c r="C20" s="52"/>
      <c r="E20" s="53">
        <v>2014</v>
      </c>
      <c r="F20" s="169">
        <v>7.4911079372886595</v>
      </c>
      <c r="G20" s="89"/>
      <c r="I20" s="53">
        <v>2014</v>
      </c>
      <c r="J20" s="169">
        <v>8.8984848944312578</v>
      </c>
      <c r="K20" s="89"/>
      <c r="M20" s="53">
        <v>2014</v>
      </c>
      <c r="N20" s="169">
        <v>9.6458813127554599</v>
      </c>
      <c r="O20" s="89"/>
      <c r="Q20" s="53">
        <v>2014</v>
      </c>
      <c r="R20" s="169">
        <v>10.140194128360461</v>
      </c>
      <c r="S20" s="52"/>
    </row>
    <row r="21" spans="1:20">
      <c r="A21" s="53">
        <v>2015</v>
      </c>
      <c r="B21" s="169">
        <v>5.5326642237512127</v>
      </c>
      <c r="C21" s="52"/>
      <c r="E21" s="53">
        <v>2015</v>
      </c>
      <c r="F21" s="169">
        <v>7.5343240953508506</v>
      </c>
      <c r="G21" s="89"/>
      <c r="I21" s="53">
        <v>2015</v>
      </c>
      <c r="J21" s="169">
        <v>8.9337753274884673</v>
      </c>
      <c r="K21" s="89"/>
      <c r="M21" s="53">
        <v>2015</v>
      </c>
      <c r="N21" s="169">
        <v>9.6764629931090944</v>
      </c>
      <c r="O21" s="89"/>
      <c r="Q21" s="53">
        <v>2015</v>
      </c>
      <c r="R21" s="169">
        <v>10.167528046871585</v>
      </c>
      <c r="S21" s="52"/>
    </row>
    <row r="22" spans="1:20">
      <c r="A22" s="53">
        <v>2016</v>
      </c>
      <c r="B22" s="169">
        <v>5.583700989392832</v>
      </c>
      <c r="C22" s="52"/>
      <c r="E22" s="53">
        <v>2016</v>
      </c>
      <c r="F22" s="169">
        <v>7.5775402534130416</v>
      </c>
      <c r="G22" s="89"/>
      <c r="I22" s="53">
        <v>2016</v>
      </c>
      <c r="J22" s="169">
        <v>8.9690657605456767</v>
      </c>
      <c r="K22" s="89"/>
      <c r="M22" s="53">
        <v>2016</v>
      </c>
      <c r="N22" s="169">
        <v>9.7070446734627289</v>
      </c>
      <c r="O22" s="89"/>
      <c r="Q22" s="53">
        <v>2016</v>
      </c>
      <c r="R22" s="169">
        <v>10.194861965382708</v>
      </c>
      <c r="S22" s="52"/>
    </row>
    <row r="23" spans="1:20">
      <c r="A23" s="53">
        <v>2017</v>
      </c>
      <c r="B23" s="169">
        <v>5.6347377550344513</v>
      </c>
      <c r="C23" s="52"/>
      <c r="E23" s="53">
        <v>2017</v>
      </c>
      <c r="F23" s="169">
        <v>7.6207564114752326</v>
      </c>
      <c r="G23" s="89"/>
      <c r="I23" s="53">
        <v>2017</v>
      </c>
      <c r="J23" s="169">
        <v>9.0043561936028862</v>
      </c>
      <c r="K23" s="89"/>
      <c r="M23" s="53">
        <v>2017</v>
      </c>
      <c r="N23" s="169">
        <v>9.7376263538163634</v>
      </c>
      <c r="O23" s="89"/>
      <c r="Q23" s="53">
        <v>2017</v>
      </c>
      <c r="R23" s="169">
        <v>10.222195883893832</v>
      </c>
      <c r="S23" s="52"/>
    </row>
    <row r="24" spans="1:20">
      <c r="A24" s="53">
        <v>2018</v>
      </c>
      <c r="B24" s="169">
        <v>5.6857745206760706</v>
      </c>
      <c r="C24" s="52"/>
      <c r="E24" s="53">
        <v>2018</v>
      </c>
      <c r="F24" s="169">
        <v>7.6639725695374237</v>
      </c>
      <c r="G24" s="89"/>
      <c r="I24" s="53">
        <v>2018</v>
      </c>
      <c r="J24" s="169">
        <v>9.0396466266600957</v>
      </c>
      <c r="K24" s="89"/>
      <c r="M24" s="53">
        <v>2018</v>
      </c>
      <c r="N24" s="169">
        <v>9.7682080341699979</v>
      </c>
      <c r="O24" s="89"/>
      <c r="Q24" s="53">
        <v>2018</v>
      </c>
      <c r="R24" s="169">
        <v>10.249529802404956</v>
      </c>
      <c r="S24" s="52"/>
    </row>
    <row r="25" spans="1:20">
      <c r="A25" s="53">
        <v>2019</v>
      </c>
      <c r="B25" s="169">
        <v>5.7368112863176899</v>
      </c>
      <c r="C25" s="52"/>
      <c r="E25" s="53">
        <v>2019</v>
      </c>
      <c r="F25" s="169">
        <v>7.7071887275996147</v>
      </c>
      <c r="G25" s="89"/>
      <c r="I25" s="53">
        <v>2019</v>
      </c>
      <c r="J25" s="169">
        <v>9.0749370597173051</v>
      </c>
      <c r="K25" s="89"/>
      <c r="M25" s="53">
        <v>2019</v>
      </c>
      <c r="N25" s="169">
        <v>9.7987897145236325</v>
      </c>
      <c r="O25" s="89"/>
      <c r="Q25" s="53">
        <v>2019</v>
      </c>
      <c r="R25" s="169">
        <v>10.276863720916079</v>
      </c>
      <c r="S25" s="52"/>
    </row>
    <row r="26" spans="1:20">
      <c r="A26" s="53">
        <v>2020</v>
      </c>
      <c r="B26" s="193">
        <v>5.7878480519593092</v>
      </c>
      <c r="C26" s="54"/>
      <c r="E26" s="53">
        <v>2020</v>
      </c>
      <c r="F26" s="193">
        <v>7.7504048856618057</v>
      </c>
      <c r="G26" s="89"/>
      <c r="I26" s="53">
        <v>2020</v>
      </c>
      <c r="J26" s="193">
        <v>9.1102274927745146</v>
      </c>
      <c r="K26" s="89"/>
      <c r="M26" s="53">
        <v>2020</v>
      </c>
      <c r="N26" s="193">
        <v>9.829371394877267</v>
      </c>
      <c r="O26" s="89"/>
      <c r="Q26" s="53">
        <v>2020</v>
      </c>
      <c r="R26" s="193">
        <v>10.304197639427203</v>
      </c>
      <c r="S26" s="54"/>
    </row>
    <row r="27" spans="1:20">
      <c r="A27" s="53">
        <v>2021</v>
      </c>
      <c r="B27" s="169">
        <v>5.8388848176009285</v>
      </c>
      <c r="C27" s="54"/>
      <c r="E27" s="53">
        <v>2021</v>
      </c>
      <c r="F27" s="169">
        <v>7.7936210437239968</v>
      </c>
      <c r="G27" s="52"/>
      <c r="I27" s="53">
        <v>2021</v>
      </c>
      <c r="J27" s="169">
        <v>9.1455179258317241</v>
      </c>
      <c r="K27" s="52"/>
      <c r="M27" s="53">
        <v>2021</v>
      </c>
      <c r="N27" s="169">
        <v>9.8599530752309015</v>
      </c>
      <c r="O27" s="52"/>
      <c r="Q27" s="53">
        <v>2021</v>
      </c>
      <c r="R27" s="169">
        <v>10.331531557938327</v>
      </c>
      <c r="S27" s="54"/>
    </row>
    <row r="28" spans="1:20">
      <c r="A28" s="53">
        <v>2022</v>
      </c>
      <c r="B28" s="169">
        <v>5.8899215832425478</v>
      </c>
      <c r="C28" s="54"/>
      <c r="E28" s="53">
        <v>2022</v>
      </c>
      <c r="F28" s="169">
        <v>7.8368372017861878</v>
      </c>
      <c r="G28" s="52"/>
      <c r="I28" s="53">
        <v>2022</v>
      </c>
      <c r="J28" s="169">
        <v>9.1808083588889335</v>
      </c>
      <c r="K28" s="52"/>
      <c r="M28" s="53">
        <v>2022</v>
      </c>
      <c r="N28" s="169">
        <v>9.890534755584536</v>
      </c>
      <c r="O28" s="52"/>
      <c r="Q28" s="53">
        <v>2022</v>
      </c>
      <c r="R28" s="169">
        <v>10.35886547644945</v>
      </c>
      <c r="S28" s="54"/>
    </row>
    <row r="29" spans="1:20">
      <c r="A29" s="53">
        <v>2023</v>
      </c>
      <c r="B29" s="169">
        <v>5.9409583488841671</v>
      </c>
      <c r="C29" s="54"/>
      <c r="E29" s="53">
        <v>2023</v>
      </c>
      <c r="F29" s="169">
        <v>7.8800533598483788</v>
      </c>
      <c r="G29" s="52"/>
      <c r="I29" s="53">
        <v>2023</v>
      </c>
      <c r="J29" s="169">
        <v>9.216098791946143</v>
      </c>
      <c r="K29" s="52"/>
      <c r="M29" s="53">
        <v>2023</v>
      </c>
      <c r="N29" s="169">
        <v>9.9211164359381705</v>
      </c>
      <c r="O29" s="52"/>
      <c r="Q29" s="53">
        <v>2023</v>
      </c>
      <c r="R29" s="169">
        <v>10.386199394960574</v>
      </c>
      <c r="S29" s="54"/>
    </row>
    <row r="30" spans="1:20">
      <c r="A30" s="53">
        <v>2024</v>
      </c>
      <c r="B30" s="169">
        <v>5.9919951145257864</v>
      </c>
      <c r="C30" s="54"/>
      <c r="E30" s="53">
        <v>2024</v>
      </c>
      <c r="F30" s="169">
        <v>7.9232695179105699</v>
      </c>
      <c r="G30" s="52"/>
      <c r="I30" s="53">
        <v>2024</v>
      </c>
      <c r="J30" s="169">
        <v>9.2513892250033525</v>
      </c>
      <c r="K30" s="52"/>
      <c r="M30" s="53">
        <v>2024</v>
      </c>
      <c r="N30" s="169">
        <v>9.951698116291805</v>
      </c>
      <c r="O30" s="52"/>
      <c r="Q30" s="53">
        <v>2024</v>
      </c>
      <c r="R30" s="169">
        <v>10.413533313471698</v>
      </c>
      <c r="S30" s="54"/>
    </row>
    <row r="31" spans="1:20">
      <c r="A31" s="53">
        <v>2025</v>
      </c>
      <c r="B31" s="169">
        <v>6.0430318801674057</v>
      </c>
      <c r="C31" s="54"/>
      <c r="E31" s="53">
        <v>2025</v>
      </c>
      <c r="F31" s="169">
        <v>7.9664856759727609</v>
      </c>
      <c r="G31" s="52"/>
      <c r="I31" s="53">
        <v>2025</v>
      </c>
      <c r="J31" s="169">
        <v>9.2866796580605619</v>
      </c>
      <c r="K31" s="52"/>
      <c r="M31" s="53">
        <v>2025</v>
      </c>
      <c r="N31" s="169">
        <v>9.9822797966454395</v>
      </c>
      <c r="O31" s="52"/>
      <c r="Q31" s="53">
        <v>2025</v>
      </c>
      <c r="R31" s="169">
        <v>10.440867231982821</v>
      </c>
      <c r="S31" s="54"/>
    </row>
    <row r="32" spans="1:20">
      <c r="A32" s="53">
        <v>2026</v>
      </c>
      <c r="B32" s="169">
        <v>6.094068645809025</v>
      </c>
      <c r="C32" s="54"/>
      <c r="E32" s="53">
        <v>2026</v>
      </c>
      <c r="F32" s="169">
        <v>8.0097018340349511</v>
      </c>
      <c r="G32" s="52"/>
      <c r="I32" s="53">
        <v>2026</v>
      </c>
      <c r="J32" s="169">
        <v>9.3219700911177714</v>
      </c>
      <c r="K32" s="52"/>
      <c r="M32" s="53">
        <v>2026</v>
      </c>
      <c r="N32" s="169">
        <v>10.012861476999074</v>
      </c>
      <c r="O32" s="52"/>
      <c r="Q32" s="53">
        <v>2026</v>
      </c>
      <c r="R32" s="169">
        <v>10.468201150493945</v>
      </c>
      <c r="S32" s="54"/>
    </row>
    <row r="33" spans="1:19">
      <c r="A33" s="53">
        <v>2027</v>
      </c>
      <c r="B33" s="169">
        <v>6.1451054114506443</v>
      </c>
      <c r="C33" s="54"/>
      <c r="E33" s="53">
        <v>2027</v>
      </c>
      <c r="F33" s="169">
        <v>8.0529179920971412</v>
      </c>
      <c r="G33" s="52"/>
      <c r="I33" s="53">
        <v>2027</v>
      </c>
      <c r="J33" s="169">
        <v>9.3572605241749809</v>
      </c>
      <c r="K33" s="52"/>
      <c r="M33" s="53">
        <v>2027</v>
      </c>
      <c r="N33" s="169">
        <v>10.043443157352709</v>
      </c>
      <c r="O33" s="52"/>
      <c r="Q33" s="53">
        <v>2027</v>
      </c>
      <c r="R33" s="169">
        <v>10.495535069005069</v>
      </c>
      <c r="S33" s="54"/>
    </row>
    <row r="34" spans="1:19">
      <c r="A34" s="53">
        <v>2028</v>
      </c>
      <c r="B34" s="169">
        <v>6.1961421770922636</v>
      </c>
      <c r="C34" s="54"/>
      <c r="E34" s="53">
        <v>2028</v>
      </c>
      <c r="F34" s="169">
        <v>8.0961341501593314</v>
      </c>
      <c r="G34" s="52"/>
      <c r="I34" s="53">
        <v>2028</v>
      </c>
      <c r="J34" s="169">
        <v>9.3925509572321904</v>
      </c>
      <c r="K34" s="52"/>
      <c r="M34" s="53">
        <v>2028</v>
      </c>
      <c r="N34" s="169">
        <v>10.074024837706343</v>
      </c>
      <c r="O34" s="52"/>
      <c r="Q34" s="53">
        <v>2028</v>
      </c>
      <c r="R34" s="169">
        <v>10.522868987516192</v>
      </c>
      <c r="S34" s="54"/>
    </row>
    <row r="35" spans="1:19">
      <c r="A35" s="53">
        <v>2029</v>
      </c>
      <c r="B35" s="169">
        <v>6.2471789427338829</v>
      </c>
      <c r="C35" s="54"/>
      <c r="E35" s="53">
        <v>2029</v>
      </c>
      <c r="F35" s="169">
        <v>8.1393503082215215</v>
      </c>
      <c r="G35" s="54"/>
      <c r="I35" s="53">
        <v>2029</v>
      </c>
      <c r="J35" s="169">
        <v>9.4278413902893998</v>
      </c>
      <c r="K35" s="54"/>
      <c r="M35" s="53">
        <v>2029</v>
      </c>
      <c r="N35" s="169">
        <v>10.104606518059978</v>
      </c>
      <c r="O35" s="54"/>
      <c r="Q35" s="53">
        <v>2029</v>
      </c>
      <c r="R35" s="169">
        <v>10.550202906027316</v>
      </c>
      <c r="S35" s="54"/>
    </row>
    <row r="36" spans="1:19">
      <c r="A36" s="124">
        <v>2030</v>
      </c>
      <c r="B36" s="171">
        <v>6.2982157083755022</v>
      </c>
      <c r="C36" s="52"/>
      <c r="E36" s="124">
        <v>2030</v>
      </c>
      <c r="F36" s="171">
        <v>8.1825664662837116</v>
      </c>
      <c r="G36" s="52"/>
      <c r="I36" s="124">
        <v>2030</v>
      </c>
      <c r="J36" s="171">
        <v>9.4631318233466093</v>
      </c>
      <c r="K36" s="52"/>
      <c r="M36" s="124">
        <v>2030</v>
      </c>
      <c r="N36" s="171">
        <v>10.135188198413612</v>
      </c>
      <c r="O36" s="52"/>
      <c r="Q36" s="124">
        <v>2030</v>
      </c>
      <c r="R36" s="171">
        <v>10.57753682453844</v>
      </c>
      <c r="S36" s="52"/>
    </row>
    <row r="37" spans="1:19">
      <c r="A37" s="53">
        <v>2031</v>
      </c>
      <c r="B37" s="169">
        <v>6.3492524740171215</v>
      </c>
      <c r="C37" s="52"/>
      <c r="E37" s="53">
        <v>2031</v>
      </c>
      <c r="F37" s="169">
        <v>8.2257826243459018</v>
      </c>
      <c r="G37" s="52"/>
      <c r="I37" s="53">
        <v>2031</v>
      </c>
      <c r="J37" s="169">
        <v>9.4984222564038188</v>
      </c>
      <c r="K37" s="52"/>
      <c r="M37" s="53">
        <v>2031</v>
      </c>
      <c r="N37" s="169">
        <v>10.165769878767247</v>
      </c>
      <c r="O37" s="52"/>
      <c r="Q37" s="53">
        <v>2031</v>
      </c>
      <c r="R37" s="169">
        <v>10.604870743049563</v>
      </c>
      <c r="S37" s="52"/>
    </row>
    <row r="38" spans="1:19">
      <c r="A38" s="53">
        <v>2032</v>
      </c>
      <c r="B38" s="169">
        <v>6.4002892396587407</v>
      </c>
      <c r="C38" s="52"/>
      <c r="E38" s="53">
        <v>2032</v>
      </c>
      <c r="F38" s="169">
        <v>8.2689987824080919</v>
      </c>
      <c r="G38" s="52"/>
      <c r="I38" s="53">
        <v>2032</v>
      </c>
      <c r="J38" s="169">
        <v>9.5337126894610282</v>
      </c>
      <c r="K38" s="52"/>
      <c r="M38" s="53">
        <v>2032</v>
      </c>
      <c r="N38" s="169">
        <v>10.196351559120881</v>
      </c>
      <c r="O38" s="52"/>
      <c r="Q38" s="53">
        <v>2032</v>
      </c>
      <c r="R38" s="169">
        <v>10.632204661560687</v>
      </c>
      <c r="S38" s="52"/>
    </row>
    <row r="39" spans="1:19">
      <c r="A39" s="53">
        <v>2033</v>
      </c>
      <c r="B39" s="169">
        <v>6.45132600530036</v>
      </c>
      <c r="C39" s="52"/>
      <c r="E39" s="53">
        <v>2033</v>
      </c>
      <c r="F39" s="169">
        <v>8.3122149404702821</v>
      </c>
      <c r="G39" s="52"/>
      <c r="I39" s="53">
        <v>2033</v>
      </c>
      <c r="J39" s="169">
        <v>9.5690031225182377</v>
      </c>
      <c r="K39" s="52"/>
      <c r="M39" s="53">
        <v>2033</v>
      </c>
      <c r="N39" s="169">
        <v>10.226933239474516</v>
      </c>
      <c r="O39" s="52"/>
      <c r="Q39" s="53">
        <v>2033</v>
      </c>
      <c r="R39" s="169">
        <v>10.659538580071811</v>
      </c>
      <c r="S39" s="52"/>
    </row>
    <row r="40" spans="1:19">
      <c r="A40" s="53">
        <v>2034</v>
      </c>
      <c r="B40" s="169">
        <v>6.5023627709419793</v>
      </c>
      <c r="C40" s="52"/>
      <c r="E40" s="53">
        <v>2034</v>
      </c>
      <c r="F40" s="169">
        <v>8.3554310985324722</v>
      </c>
      <c r="G40" s="52"/>
      <c r="I40" s="53">
        <v>2034</v>
      </c>
      <c r="J40" s="169">
        <v>9.6042935555754472</v>
      </c>
      <c r="K40" s="52"/>
      <c r="M40" s="53">
        <v>2034</v>
      </c>
      <c r="N40" s="169">
        <v>10.25751491982815</v>
      </c>
      <c r="O40" s="52"/>
      <c r="Q40" s="53">
        <v>2034</v>
      </c>
      <c r="R40" s="169">
        <v>10.686872498582934</v>
      </c>
      <c r="S40" s="52"/>
    </row>
    <row r="41" spans="1:19">
      <c r="A41" s="53">
        <v>2035</v>
      </c>
      <c r="B41" s="169">
        <v>6.5533995365835986</v>
      </c>
      <c r="C41" s="52"/>
      <c r="E41" s="53">
        <v>2035</v>
      </c>
      <c r="F41" s="169">
        <v>8.3986472565946624</v>
      </c>
      <c r="G41" s="52"/>
      <c r="I41" s="53">
        <v>2035</v>
      </c>
      <c r="J41" s="169">
        <v>9.6395839886326566</v>
      </c>
      <c r="K41" s="52"/>
      <c r="M41" s="53">
        <v>2035</v>
      </c>
      <c r="N41" s="169">
        <v>10.288096600181785</v>
      </c>
      <c r="O41" s="52"/>
      <c r="Q41" s="53">
        <v>2035</v>
      </c>
      <c r="R41" s="169">
        <v>10.714206417094058</v>
      </c>
      <c r="S41" s="52"/>
    </row>
    <row r="42" spans="1:19">
      <c r="A42" s="53">
        <v>2036</v>
      </c>
      <c r="B42" s="169">
        <v>6.6044363022252179</v>
      </c>
      <c r="C42" s="52"/>
      <c r="E42" s="53">
        <v>2036</v>
      </c>
      <c r="F42" s="169">
        <v>8.4418634146568525</v>
      </c>
      <c r="G42" s="52"/>
      <c r="I42" s="53">
        <v>2036</v>
      </c>
      <c r="J42" s="169">
        <v>9.6748744216898661</v>
      </c>
      <c r="K42" s="52"/>
      <c r="M42" s="53">
        <v>2036</v>
      </c>
      <c r="N42" s="169">
        <v>10.318678280535419</v>
      </c>
      <c r="O42" s="52"/>
      <c r="Q42" s="53">
        <v>2036</v>
      </c>
      <c r="R42" s="169">
        <v>10.741540335605182</v>
      </c>
      <c r="S42" s="52"/>
    </row>
    <row r="43" spans="1:19">
      <c r="A43" s="53">
        <v>2037</v>
      </c>
      <c r="B43" s="169">
        <v>6.6554730678668372</v>
      </c>
      <c r="C43" s="52"/>
      <c r="E43" s="53">
        <v>2037</v>
      </c>
      <c r="F43" s="169">
        <v>8.4850795727190427</v>
      </c>
      <c r="G43" s="52"/>
      <c r="I43" s="53">
        <v>2037</v>
      </c>
      <c r="J43" s="169">
        <v>9.7101648547470756</v>
      </c>
      <c r="K43" s="52"/>
      <c r="M43" s="53">
        <v>2037</v>
      </c>
      <c r="N43" s="169">
        <v>10.349259960889054</v>
      </c>
      <c r="O43" s="52"/>
      <c r="Q43" s="53">
        <v>2037</v>
      </c>
      <c r="R43" s="169">
        <v>10.768874254116305</v>
      </c>
      <c r="S43" s="52"/>
    </row>
    <row r="44" spans="1:19">
      <c r="A44" s="53">
        <v>2038</v>
      </c>
      <c r="B44" s="169">
        <v>6.7065098335084565</v>
      </c>
      <c r="C44" s="52"/>
      <c r="E44" s="53">
        <v>2038</v>
      </c>
      <c r="F44" s="169">
        <v>8.5282957307812328</v>
      </c>
      <c r="G44" s="52"/>
      <c r="I44" s="53">
        <v>2038</v>
      </c>
      <c r="J44" s="169">
        <v>9.745455287804285</v>
      </c>
      <c r="K44" s="52"/>
      <c r="M44" s="53">
        <v>2038</v>
      </c>
      <c r="N44" s="169">
        <v>10.379841641242688</v>
      </c>
      <c r="O44" s="52"/>
      <c r="Q44" s="53">
        <v>2038</v>
      </c>
      <c r="R44" s="169">
        <v>10.796208172627429</v>
      </c>
      <c r="S44" s="52"/>
    </row>
    <row r="45" spans="1:19">
      <c r="A45" s="53">
        <v>2039</v>
      </c>
      <c r="B45" s="169">
        <v>6.7575465991500758</v>
      </c>
      <c r="C45" s="52"/>
      <c r="E45" s="53">
        <v>2039</v>
      </c>
      <c r="F45" s="169">
        <v>8.571511888843423</v>
      </c>
      <c r="G45" s="52"/>
      <c r="I45" s="53">
        <v>2039</v>
      </c>
      <c r="J45" s="169">
        <v>9.7807457208614945</v>
      </c>
      <c r="K45" s="52"/>
      <c r="M45" s="53">
        <v>2039</v>
      </c>
      <c r="N45" s="169">
        <v>10.410423321596323</v>
      </c>
      <c r="O45" s="52"/>
      <c r="Q45" s="53">
        <v>2039</v>
      </c>
      <c r="R45" s="169">
        <v>10.823542091138552</v>
      </c>
      <c r="S45" s="52"/>
    </row>
    <row r="46" spans="1:19">
      <c r="A46" s="53">
        <v>2040</v>
      </c>
      <c r="B46" s="169">
        <v>6.8085833647916951</v>
      </c>
      <c r="C46" s="54"/>
      <c r="E46" s="53">
        <v>2040</v>
      </c>
      <c r="F46" s="169">
        <v>8.6147280469056131</v>
      </c>
      <c r="G46" s="54"/>
      <c r="I46" s="53">
        <v>2040</v>
      </c>
      <c r="J46" s="169">
        <v>9.816036153918704</v>
      </c>
      <c r="K46" s="54"/>
      <c r="M46" s="53">
        <v>2040</v>
      </c>
      <c r="N46" s="169">
        <v>10.441005001949957</v>
      </c>
      <c r="O46" s="54"/>
      <c r="Q46" s="53">
        <v>2040</v>
      </c>
      <c r="R46" s="169">
        <v>10.850876009649676</v>
      </c>
      <c r="S46" s="54"/>
    </row>
    <row r="47" spans="1:19">
      <c r="A47" s="53">
        <v>2041</v>
      </c>
      <c r="B47" s="169">
        <v>6.8596201304333144</v>
      </c>
      <c r="C47" s="52"/>
      <c r="E47" s="53">
        <v>2041</v>
      </c>
      <c r="F47" s="169">
        <v>8.6579442049678033</v>
      </c>
      <c r="G47" s="52"/>
      <c r="I47" s="53">
        <v>2041</v>
      </c>
      <c r="J47" s="169">
        <v>9.8513265869759135</v>
      </c>
      <c r="K47" s="52"/>
      <c r="M47" s="53">
        <v>2041</v>
      </c>
      <c r="N47" s="169">
        <v>10.471586682303592</v>
      </c>
      <c r="O47" s="52"/>
      <c r="Q47" s="53">
        <v>2041</v>
      </c>
      <c r="R47" s="169">
        <v>10.8782099281608</v>
      </c>
      <c r="S47" s="52"/>
    </row>
    <row r="48" spans="1:19">
      <c r="A48" s="53">
        <v>2042</v>
      </c>
      <c r="B48" s="169">
        <v>6.9106568960749337</v>
      </c>
      <c r="C48" s="52"/>
      <c r="E48" s="53">
        <v>2042</v>
      </c>
      <c r="F48" s="169">
        <v>8.7011603630299934</v>
      </c>
      <c r="G48" s="52"/>
      <c r="I48" s="53">
        <v>2042</v>
      </c>
      <c r="J48" s="169">
        <v>9.8866170200331229</v>
      </c>
      <c r="K48" s="52"/>
      <c r="M48" s="53">
        <v>2042</v>
      </c>
      <c r="N48" s="169">
        <v>10.502168362657226</v>
      </c>
      <c r="O48" s="52"/>
      <c r="Q48" s="53">
        <v>2042</v>
      </c>
      <c r="R48" s="169">
        <v>10.905543846671923</v>
      </c>
      <c r="S48" s="52"/>
    </row>
    <row r="49" spans="1:19">
      <c r="A49" s="53">
        <v>2043</v>
      </c>
      <c r="B49" s="169">
        <v>6.961693661716553</v>
      </c>
      <c r="C49" s="52"/>
      <c r="E49" s="53">
        <v>2043</v>
      </c>
      <c r="F49" s="169">
        <v>8.7443765210921836</v>
      </c>
      <c r="G49" s="52"/>
      <c r="I49" s="53">
        <v>2043</v>
      </c>
      <c r="J49" s="169">
        <v>9.9219074530903324</v>
      </c>
      <c r="K49" s="52"/>
      <c r="M49" s="53">
        <v>2043</v>
      </c>
      <c r="N49" s="169">
        <v>10.532750043010861</v>
      </c>
      <c r="O49" s="52"/>
      <c r="Q49" s="53">
        <v>2043</v>
      </c>
      <c r="R49" s="169">
        <v>10.932877765183047</v>
      </c>
      <c r="S49" s="52"/>
    </row>
    <row r="50" spans="1:19">
      <c r="A50" s="53">
        <v>2044</v>
      </c>
      <c r="B50" s="169">
        <v>7.0127304273581723</v>
      </c>
      <c r="C50" s="52"/>
      <c r="E50" s="53">
        <v>2044</v>
      </c>
      <c r="F50" s="169">
        <v>8.7875926791543737</v>
      </c>
      <c r="G50" s="52"/>
      <c r="I50" s="53">
        <v>2044</v>
      </c>
      <c r="J50" s="169">
        <v>9.9571978861475419</v>
      </c>
      <c r="K50" s="52"/>
      <c r="M50" s="53">
        <v>2044</v>
      </c>
      <c r="N50" s="169">
        <v>10.563331723364495</v>
      </c>
      <c r="O50" s="52"/>
      <c r="Q50" s="53">
        <v>2044</v>
      </c>
      <c r="R50" s="169">
        <v>10.960211683694171</v>
      </c>
      <c r="S50" s="52"/>
    </row>
    <row r="51" spans="1:19">
      <c r="A51" s="53">
        <v>2045</v>
      </c>
      <c r="B51" s="169">
        <v>7.0637671929997916</v>
      </c>
      <c r="C51" s="52"/>
      <c r="E51" s="53">
        <v>2045</v>
      </c>
      <c r="F51" s="169">
        <v>8.8308088372165638</v>
      </c>
      <c r="G51" s="52"/>
      <c r="I51" s="53">
        <v>2045</v>
      </c>
      <c r="J51" s="169">
        <v>9.9924883192047513</v>
      </c>
      <c r="K51" s="52"/>
      <c r="M51" s="53">
        <v>2045</v>
      </c>
      <c r="N51" s="169">
        <v>10.59391340371813</v>
      </c>
      <c r="O51" s="52"/>
      <c r="Q51" s="53">
        <v>2045</v>
      </c>
      <c r="R51" s="169">
        <v>10.987545602205294</v>
      </c>
      <c r="S51" s="52"/>
    </row>
    <row r="52" spans="1:19">
      <c r="A52" s="53">
        <v>2046</v>
      </c>
      <c r="B52" s="169">
        <v>7.1148039586414109</v>
      </c>
      <c r="C52" s="52"/>
      <c r="E52" s="53">
        <v>2046</v>
      </c>
      <c r="F52" s="169">
        <v>8.874024995278754</v>
      </c>
      <c r="G52" s="52"/>
      <c r="I52" s="53">
        <v>2046</v>
      </c>
      <c r="J52" s="169">
        <v>10.027778752261961</v>
      </c>
      <c r="K52" s="52"/>
      <c r="M52" s="53">
        <v>2046</v>
      </c>
      <c r="N52" s="169">
        <v>10.624495084071764</v>
      </c>
      <c r="O52" s="52"/>
      <c r="Q52" s="53">
        <v>2046</v>
      </c>
      <c r="R52" s="169">
        <v>11.014879520716418</v>
      </c>
      <c r="S52" s="52"/>
    </row>
    <row r="53" spans="1:19">
      <c r="A53" s="53">
        <v>2047</v>
      </c>
      <c r="B53" s="169">
        <v>7.1658407242830302</v>
      </c>
      <c r="C53" s="52"/>
      <c r="E53" s="53">
        <v>2047</v>
      </c>
      <c r="F53" s="169">
        <v>8.9172411533409441</v>
      </c>
      <c r="G53" s="52"/>
      <c r="I53" s="53">
        <v>2047</v>
      </c>
      <c r="J53" s="169">
        <v>10.06306918531917</v>
      </c>
      <c r="K53" s="52"/>
      <c r="M53" s="53">
        <v>2047</v>
      </c>
      <c r="N53" s="169">
        <v>10.655076764425399</v>
      </c>
      <c r="O53" s="52"/>
      <c r="Q53" s="53">
        <v>2047</v>
      </c>
      <c r="R53" s="169">
        <v>11.042213439227542</v>
      </c>
      <c r="S53" s="52"/>
    </row>
    <row r="54" spans="1:19">
      <c r="A54" s="53">
        <v>2048</v>
      </c>
      <c r="B54" s="169">
        <v>7.2168774899246495</v>
      </c>
      <c r="C54" s="52"/>
      <c r="E54" s="53">
        <v>2048</v>
      </c>
      <c r="F54" s="169">
        <v>8.9604573114031343</v>
      </c>
      <c r="G54" s="52"/>
      <c r="I54" s="53">
        <v>2048</v>
      </c>
      <c r="J54" s="169">
        <v>10.09835961837638</v>
      </c>
      <c r="K54" s="52"/>
      <c r="M54" s="53">
        <v>2048</v>
      </c>
      <c r="N54" s="169">
        <v>10.685658444779033</v>
      </c>
      <c r="O54" s="52"/>
      <c r="Q54" s="53">
        <v>2048</v>
      </c>
      <c r="R54" s="169">
        <v>11.069547357738665</v>
      </c>
      <c r="S54" s="52"/>
    </row>
    <row r="55" spans="1:19">
      <c r="A55" s="53">
        <v>2049</v>
      </c>
      <c r="B55" s="169">
        <v>7.2679142555662688</v>
      </c>
      <c r="C55" s="52"/>
      <c r="E55" s="53">
        <v>2049</v>
      </c>
      <c r="F55" s="169">
        <v>9.0036734694653244</v>
      </c>
      <c r="G55" s="52"/>
      <c r="I55" s="53">
        <v>2049</v>
      </c>
      <c r="J55" s="169">
        <v>10.133650051433589</v>
      </c>
      <c r="K55" s="52"/>
      <c r="M55" s="53">
        <v>2049</v>
      </c>
      <c r="N55" s="169">
        <v>10.716240125132668</v>
      </c>
      <c r="O55" s="52"/>
      <c r="Q55" s="53">
        <v>2049</v>
      </c>
      <c r="R55" s="169">
        <v>11.096881276249789</v>
      </c>
      <c r="S55" s="52"/>
    </row>
    <row r="56" spans="1:19">
      <c r="A56" s="122">
        <v>2050</v>
      </c>
      <c r="B56" s="92">
        <v>7.3189510212078686</v>
      </c>
      <c r="C56" s="123"/>
      <c r="E56" s="122">
        <v>2050</v>
      </c>
      <c r="F56" s="92">
        <v>9.0468896275275341</v>
      </c>
      <c r="G56" s="123"/>
      <c r="I56" s="122">
        <v>2050</v>
      </c>
      <c r="J56" s="92">
        <v>10.168940484490777</v>
      </c>
      <c r="K56" s="123"/>
      <c r="M56" s="122">
        <v>2050</v>
      </c>
      <c r="N56" s="92">
        <v>10.746821805486313</v>
      </c>
      <c r="O56" s="123"/>
      <c r="Q56" s="122">
        <v>2050</v>
      </c>
      <c r="R56" s="92">
        <v>11.124215194760897</v>
      </c>
      <c r="S56" s="123"/>
    </row>
    <row r="59" spans="1:19" ht="21">
      <c r="A59" s="172" t="s">
        <v>115</v>
      </c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</row>
    <row r="60" spans="1:19">
      <c r="A60" s="31">
        <v>2</v>
      </c>
      <c r="B60" s="31"/>
      <c r="C60" s="31"/>
      <c r="D60" s="31"/>
      <c r="E60" s="31">
        <v>5</v>
      </c>
      <c r="F60" s="31"/>
      <c r="G60" s="31"/>
      <c r="H60" s="31"/>
      <c r="I60" s="31">
        <v>10</v>
      </c>
      <c r="J60" s="31"/>
      <c r="K60" s="31"/>
      <c r="L60" s="31"/>
      <c r="M60" s="31">
        <v>15</v>
      </c>
      <c r="N60" s="31"/>
      <c r="O60" s="31"/>
      <c r="P60" s="31"/>
      <c r="Q60" s="31">
        <v>20</v>
      </c>
      <c r="R60" s="31"/>
      <c r="S60" s="31"/>
    </row>
    <row r="61" spans="1:19">
      <c r="A61" s="48"/>
      <c r="B61" s="49" t="s">
        <v>91</v>
      </c>
      <c r="C61" s="50"/>
      <c r="E61" s="48"/>
      <c r="F61" s="49" t="s">
        <v>91</v>
      </c>
      <c r="G61" s="50"/>
      <c r="I61" s="48"/>
      <c r="J61" s="49" t="s">
        <v>91</v>
      </c>
      <c r="K61" s="50"/>
      <c r="M61" s="48"/>
      <c r="N61" s="49" t="s">
        <v>91</v>
      </c>
      <c r="O61" s="50"/>
      <c r="Q61" s="48"/>
      <c r="R61" s="49" t="s">
        <v>91</v>
      </c>
      <c r="S61" s="50"/>
    </row>
    <row r="62" spans="1:19">
      <c r="A62" s="51"/>
      <c r="B62" s="15"/>
      <c r="C62" s="52"/>
      <c r="E62" s="51"/>
      <c r="F62" s="15"/>
      <c r="G62" s="52"/>
      <c r="I62" s="167"/>
      <c r="J62" s="20"/>
      <c r="K62" s="168"/>
      <c r="M62" s="51"/>
      <c r="N62" s="15"/>
      <c r="O62" s="52"/>
      <c r="Q62" s="51"/>
      <c r="R62" s="15"/>
      <c r="S62" s="52"/>
    </row>
    <row r="63" spans="1:19">
      <c r="A63" s="53">
        <v>1999</v>
      </c>
      <c r="B63" s="126">
        <v>7.1347629581453784</v>
      </c>
      <c r="C63" s="125">
        <v>4.517443261222976E-2</v>
      </c>
      <c r="E63" s="53">
        <v>1999</v>
      </c>
      <c r="F63" s="126">
        <v>10.203526538159858</v>
      </c>
      <c r="G63" s="125">
        <v>3.7360302238783227E-2</v>
      </c>
      <c r="I63" s="53">
        <v>1999</v>
      </c>
      <c r="J63" s="126">
        <v>12.388733906680919</v>
      </c>
      <c r="K63" s="125">
        <v>2.9079468458318346E-2</v>
      </c>
      <c r="M63" s="53">
        <v>1999</v>
      </c>
      <c r="N63" s="126">
        <v>13.55554884739931</v>
      </c>
      <c r="O63" s="125">
        <v>2.411901866090084E-2</v>
      </c>
      <c r="Q63" s="53">
        <v>1999</v>
      </c>
      <c r="R63" s="126">
        <v>14.328818337640115</v>
      </c>
      <c r="S63" s="125">
        <v>2.0689474842385553E-2</v>
      </c>
    </row>
    <row r="64" spans="1:19">
      <c r="A64" s="53">
        <v>2000</v>
      </c>
      <c r="B64" s="169">
        <v>7.1799373907576083</v>
      </c>
      <c r="C64" s="125"/>
      <c r="E64" s="53">
        <v>2000</v>
      </c>
      <c r="F64" s="169">
        <v>10.240886840398641</v>
      </c>
      <c r="G64" s="170"/>
      <c r="H64" s="1"/>
      <c r="I64" s="53">
        <v>2000</v>
      </c>
      <c r="J64" s="169">
        <v>12.417813375139238</v>
      </c>
      <c r="K64" s="170"/>
      <c r="L64" s="1"/>
      <c r="M64" s="53">
        <v>2000</v>
      </c>
      <c r="N64" s="169">
        <v>13.579667866060211</v>
      </c>
      <c r="O64" s="1"/>
      <c r="P64" s="53"/>
      <c r="Q64" s="53">
        <v>2000</v>
      </c>
      <c r="R64" s="169">
        <v>14.3495078124825</v>
      </c>
      <c r="S64" s="170"/>
    </row>
    <row r="65" spans="1:19">
      <c r="A65" s="53">
        <v>2001</v>
      </c>
      <c r="B65" s="169">
        <v>7.2251118233698381</v>
      </c>
      <c r="C65" s="125"/>
      <c r="E65" s="53">
        <v>2001</v>
      </c>
      <c r="F65" s="169">
        <v>10.278247142637424</v>
      </c>
      <c r="G65" s="170"/>
      <c r="H65" s="1"/>
      <c r="I65" s="53">
        <v>2001</v>
      </c>
      <c r="J65" s="169">
        <v>12.446892843597556</v>
      </c>
      <c r="K65" s="170"/>
      <c r="L65" s="1"/>
      <c r="M65" s="53">
        <v>2001</v>
      </c>
      <c r="N65" s="169">
        <v>13.603786884721112</v>
      </c>
      <c r="O65" s="1"/>
      <c r="P65" s="53"/>
      <c r="Q65" s="53">
        <v>2001</v>
      </c>
      <c r="R65" s="169">
        <v>14.370197287324885</v>
      </c>
      <c r="S65" s="170"/>
    </row>
    <row r="66" spans="1:19">
      <c r="A66" s="53">
        <v>2002</v>
      </c>
      <c r="B66" s="169">
        <v>7.270286255982068</v>
      </c>
      <c r="C66" s="125"/>
      <c r="E66" s="53">
        <v>2002</v>
      </c>
      <c r="F66" s="169">
        <v>10.315607444876207</v>
      </c>
      <c r="G66" s="170"/>
      <c r="H66" s="1"/>
      <c r="I66" s="53">
        <v>2002</v>
      </c>
      <c r="J66" s="169">
        <v>12.475972312055875</v>
      </c>
      <c r="K66" s="170"/>
      <c r="L66" s="1"/>
      <c r="M66" s="53">
        <v>2002</v>
      </c>
      <c r="N66" s="169">
        <v>13.627905903382013</v>
      </c>
      <c r="O66" s="1"/>
      <c r="P66" s="53"/>
      <c r="Q66" s="53">
        <v>2002</v>
      </c>
      <c r="R66" s="169">
        <v>14.39088676216727</v>
      </c>
      <c r="S66" s="170"/>
    </row>
    <row r="67" spans="1:19">
      <c r="A67" s="53">
        <v>2003</v>
      </c>
      <c r="B67" s="169">
        <v>7.3154606885942979</v>
      </c>
      <c r="C67" s="125"/>
      <c r="E67" s="53">
        <v>2003</v>
      </c>
      <c r="F67" s="169">
        <v>10.35296774711499</v>
      </c>
      <c r="G67" s="170"/>
      <c r="H67" s="1"/>
      <c r="I67" s="53">
        <v>2003</v>
      </c>
      <c r="J67" s="169">
        <v>12.505051780514194</v>
      </c>
      <c r="K67" s="170"/>
      <c r="L67" s="1"/>
      <c r="M67" s="53">
        <v>2003</v>
      </c>
      <c r="N67" s="169">
        <v>13.652024922042914</v>
      </c>
      <c r="O67" s="1"/>
      <c r="P67" s="53"/>
      <c r="Q67" s="53">
        <v>2003</v>
      </c>
      <c r="R67" s="169">
        <v>14.411576237009655</v>
      </c>
      <c r="S67" s="170"/>
    </row>
    <row r="68" spans="1:19">
      <c r="A68" s="53">
        <v>2004</v>
      </c>
      <c r="B68" s="169">
        <v>7.3606351212065277</v>
      </c>
      <c r="C68" s="125"/>
      <c r="E68" s="53">
        <v>2004</v>
      </c>
      <c r="F68" s="169">
        <v>10.390328049353773</v>
      </c>
      <c r="G68" s="170"/>
      <c r="H68" s="1"/>
      <c r="I68" s="53">
        <v>2004</v>
      </c>
      <c r="J68" s="169">
        <v>12.534131248972512</v>
      </c>
      <c r="K68" s="170"/>
      <c r="L68" s="1"/>
      <c r="M68" s="53">
        <v>2004</v>
      </c>
      <c r="N68" s="169">
        <v>13.676143940703815</v>
      </c>
      <c r="O68" s="1"/>
      <c r="P68" s="53"/>
      <c r="Q68" s="53">
        <v>2004</v>
      </c>
      <c r="R68" s="169">
        <v>14.43226571185204</v>
      </c>
      <c r="S68" s="170"/>
    </row>
    <row r="69" spans="1:19">
      <c r="A69" s="53">
        <v>2005</v>
      </c>
      <c r="B69" s="169">
        <v>7.4058095538187576</v>
      </c>
      <c r="C69" s="125"/>
      <c r="E69" s="53">
        <v>2005</v>
      </c>
      <c r="F69" s="169">
        <v>10.427688351592556</v>
      </c>
      <c r="G69" s="170"/>
      <c r="H69" s="1"/>
      <c r="I69" s="53">
        <v>2005</v>
      </c>
      <c r="J69" s="169">
        <v>12.563210717430831</v>
      </c>
      <c r="K69" s="170"/>
      <c r="L69" s="1"/>
      <c r="M69" s="53">
        <v>2005</v>
      </c>
      <c r="N69" s="169">
        <v>13.700262959364716</v>
      </c>
      <c r="O69" s="1"/>
      <c r="P69" s="53"/>
      <c r="Q69" s="53">
        <v>2005</v>
      </c>
      <c r="R69" s="169">
        <v>14.452955186694425</v>
      </c>
      <c r="S69" s="170"/>
    </row>
    <row r="70" spans="1:19">
      <c r="A70" s="53">
        <v>2006</v>
      </c>
      <c r="B70" s="169">
        <v>7.4509839864309875</v>
      </c>
      <c r="C70" s="125"/>
      <c r="E70" s="53">
        <v>2006</v>
      </c>
      <c r="F70" s="169">
        <v>10.465048653831339</v>
      </c>
      <c r="G70" s="170"/>
      <c r="H70" s="1"/>
      <c r="I70" s="53">
        <v>2006</v>
      </c>
      <c r="J70" s="169">
        <v>12.59229018588915</v>
      </c>
      <c r="K70" s="170"/>
      <c r="L70" s="1"/>
      <c r="M70" s="53">
        <v>2006</v>
      </c>
      <c r="N70" s="169">
        <v>13.724381978025617</v>
      </c>
      <c r="O70" s="1"/>
      <c r="P70" s="53"/>
      <c r="Q70" s="53">
        <v>2006</v>
      </c>
      <c r="R70" s="169">
        <v>14.47364466153681</v>
      </c>
      <c r="S70" s="170"/>
    </row>
    <row r="71" spans="1:19">
      <c r="A71" s="53">
        <v>2007</v>
      </c>
      <c r="B71" s="169">
        <v>7.4961584190432173</v>
      </c>
      <c r="C71" s="125"/>
      <c r="E71" s="53">
        <v>2007</v>
      </c>
      <c r="F71" s="169">
        <v>10.502408956070122</v>
      </c>
      <c r="G71" s="170"/>
      <c r="H71" s="1"/>
      <c r="I71" s="53">
        <v>2007</v>
      </c>
      <c r="J71" s="169">
        <v>12.621369654347468</v>
      </c>
      <c r="K71" s="170"/>
      <c r="L71" s="1"/>
      <c r="M71" s="53">
        <v>2007</v>
      </c>
      <c r="N71" s="169">
        <v>13.748500996686518</v>
      </c>
      <c r="O71" s="1"/>
      <c r="P71" s="53"/>
      <c r="Q71" s="53">
        <v>2007</v>
      </c>
      <c r="R71" s="169">
        <v>14.494334136379194</v>
      </c>
      <c r="S71" s="170"/>
    </row>
    <row r="72" spans="1:19">
      <c r="A72" s="53">
        <v>2008</v>
      </c>
      <c r="B72" s="169">
        <v>7.5413328516554472</v>
      </c>
      <c r="C72" s="125"/>
      <c r="E72" s="53">
        <v>2008</v>
      </c>
      <c r="F72" s="169">
        <v>10.539769258308905</v>
      </c>
      <c r="G72" s="170"/>
      <c r="H72" s="1"/>
      <c r="I72" s="53">
        <v>2008</v>
      </c>
      <c r="J72" s="169">
        <v>12.650449122805787</v>
      </c>
      <c r="K72" s="170"/>
      <c r="L72" s="1"/>
      <c r="M72" s="53">
        <v>2008</v>
      </c>
      <c r="N72" s="169">
        <v>13.772620015347419</v>
      </c>
      <c r="O72" s="1"/>
      <c r="P72" s="53"/>
      <c r="Q72" s="53">
        <v>2008</v>
      </c>
      <c r="R72" s="169">
        <v>14.515023611221579</v>
      </c>
      <c r="S72" s="170"/>
    </row>
    <row r="73" spans="1:19">
      <c r="A73" s="53">
        <v>2009</v>
      </c>
      <c r="B73" s="169">
        <v>7.5865072842676771</v>
      </c>
      <c r="C73" s="125"/>
      <c r="E73" s="53">
        <v>2009</v>
      </c>
      <c r="F73" s="169">
        <v>10.577129560547688</v>
      </c>
      <c r="G73" s="170"/>
      <c r="H73" s="1"/>
      <c r="I73" s="53">
        <v>2009</v>
      </c>
      <c r="J73" s="169">
        <v>12.679528591264106</v>
      </c>
      <c r="K73" s="170"/>
      <c r="L73" s="1"/>
      <c r="M73" s="53">
        <v>2009</v>
      </c>
      <c r="N73" s="169">
        <v>13.79673903400832</v>
      </c>
      <c r="O73" s="1"/>
      <c r="P73" s="53"/>
      <c r="Q73" s="53">
        <v>2009</v>
      </c>
      <c r="R73" s="169">
        <v>14.535713086063964</v>
      </c>
      <c r="S73" s="170"/>
    </row>
    <row r="74" spans="1:19">
      <c r="A74" s="53">
        <v>2010</v>
      </c>
      <c r="B74" s="169">
        <v>7.6316817168799069</v>
      </c>
      <c r="C74" s="125"/>
      <c r="E74" s="53">
        <v>2010</v>
      </c>
      <c r="F74" s="169">
        <v>10.614489862786471</v>
      </c>
      <c r="G74" s="170"/>
      <c r="H74" s="1"/>
      <c r="I74" s="53">
        <v>2010</v>
      </c>
      <c r="J74" s="169">
        <v>12.708608059722424</v>
      </c>
      <c r="K74" s="170"/>
      <c r="L74" s="1"/>
      <c r="M74" s="53">
        <v>2010</v>
      </c>
      <c r="N74" s="169">
        <v>13.820858052669221</v>
      </c>
      <c r="O74" s="1"/>
      <c r="P74" s="53"/>
      <c r="Q74" s="53">
        <v>2010</v>
      </c>
      <c r="R74" s="169">
        <v>14.556402560906349</v>
      </c>
      <c r="S74" s="170"/>
    </row>
    <row r="75" spans="1:19">
      <c r="A75" s="53">
        <v>2011</v>
      </c>
      <c r="B75" s="169">
        <v>7.6768561494921368</v>
      </c>
      <c r="C75" s="125"/>
      <c r="E75" s="53">
        <v>2011</v>
      </c>
      <c r="F75" s="169">
        <v>10.651850165025254</v>
      </c>
      <c r="G75" s="170"/>
      <c r="H75" s="1"/>
      <c r="I75" s="53">
        <v>2011</v>
      </c>
      <c r="J75" s="169">
        <v>12.737687528180743</v>
      </c>
      <c r="K75" s="170"/>
      <c r="L75" s="1"/>
      <c r="M75" s="53">
        <v>2011</v>
      </c>
      <c r="N75" s="169">
        <v>13.844977071330122</v>
      </c>
      <c r="O75" s="1"/>
      <c r="P75" s="53"/>
      <c r="Q75" s="53">
        <v>2011</v>
      </c>
      <c r="R75" s="169">
        <v>14.577092035748734</v>
      </c>
      <c r="S75" s="170"/>
    </row>
    <row r="76" spans="1:19">
      <c r="A76" s="53">
        <v>2012</v>
      </c>
      <c r="B76" s="169">
        <v>7.7220305821043667</v>
      </c>
      <c r="C76" s="52"/>
      <c r="E76" s="53">
        <v>2012</v>
      </c>
      <c r="F76" s="169">
        <v>10.689210467264036</v>
      </c>
      <c r="G76" s="89"/>
      <c r="I76" s="53">
        <v>2012</v>
      </c>
      <c r="J76" s="169">
        <v>12.766766996639062</v>
      </c>
      <c r="K76" s="89"/>
      <c r="M76" s="53">
        <v>2012</v>
      </c>
      <c r="N76" s="169">
        <v>13.869096089991023</v>
      </c>
      <c r="O76" s="89"/>
      <c r="Q76" s="53">
        <v>2012</v>
      </c>
      <c r="R76" s="169">
        <v>14.597781510591119</v>
      </c>
      <c r="S76" s="52"/>
    </row>
    <row r="77" spans="1:19">
      <c r="A77" s="53">
        <v>2013</v>
      </c>
      <c r="B77" s="169">
        <v>7.7672050147165965</v>
      </c>
      <c r="C77" s="52"/>
      <c r="E77" s="53">
        <v>2013</v>
      </c>
      <c r="F77" s="169">
        <v>10.726570769502819</v>
      </c>
      <c r="G77" s="89"/>
      <c r="I77" s="53">
        <v>2013</v>
      </c>
      <c r="J77" s="169">
        <v>12.79584646509738</v>
      </c>
      <c r="K77" s="89"/>
      <c r="M77" s="53">
        <v>2013</v>
      </c>
      <c r="N77" s="169">
        <v>13.893215108651924</v>
      </c>
      <c r="O77" s="89"/>
      <c r="Q77" s="53">
        <v>2013</v>
      </c>
      <c r="R77" s="169">
        <v>14.618470985433504</v>
      </c>
      <c r="S77" s="52"/>
    </row>
    <row r="78" spans="1:19">
      <c r="A78" s="53">
        <v>2014</v>
      </c>
      <c r="B78" s="169">
        <v>7.8123794473288264</v>
      </c>
      <c r="C78" s="52"/>
      <c r="E78" s="53">
        <v>2014</v>
      </c>
      <c r="F78" s="169">
        <v>10.763931071741602</v>
      </c>
      <c r="G78" s="89"/>
      <c r="I78" s="53">
        <v>2014</v>
      </c>
      <c r="J78" s="169">
        <v>12.824925933555699</v>
      </c>
      <c r="K78" s="89"/>
      <c r="M78" s="53">
        <v>2014</v>
      </c>
      <c r="N78" s="169">
        <v>13.917334127312825</v>
      </c>
      <c r="O78" s="89"/>
      <c r="Q78" s="53">
        <v>2014</v>
      </c>
      <c r="R78" s="169">
        <v>14.639160460275889</v>
      </c>
      <c r="S78" s="52"/>
    </row>
    <row r="79" spans="1:19">
      <c r="A79" s="53">
        <v>2015</v>
      </c>
      <c r="B79" s="169">
        <v>7.8575538799410563</v>
      </c>
      <c r="C79" s="52"/>
      <c r="E79" s="53">
        <v>2015</v>
      </c>
      <c r="F79" s="169">
        <v>10.801291373980385</v>
      </c>
      <c r="G79" s="89"/>
      <c r="I79" s="53">
        <v>2015</v>
      </c>
      <c r="J79" s="169">
        <v>12.854005402014018</v>
      </c>
      <c r="K79" s="89"/>
      <c r="M79" s="53">
        <v>2015</v>
      </c>
      <c r="N79" s="169">
        <v>13.941453145973727</v>
      </c>
      <c r="O79" s="89"/>
      <c r="Q79" s="53">
        <v>2015</v>
      </c>
      <c r="R79" s="169">
        <v>14.659849935118274</v>
      </c>
      <c r="S79" s="52"/>
    </row>
    <row r="80" spans="1:19">
      <c r="A80" s="53">
        <v>2016</v>
      </c>
      <c r="B80" s="169">
        <v>7.9027283125532861</v>
      </c>
      <c r="C80" s="52"/>
      <c r="E80" s="53">
        <v>2016</v>
      </c>
      <c r="F80" s="169">
        <v>10.838651676219168</v>
      </c>
      <c r="G80" s="89"/>
      <c r="I80" s="53">
        <v>2016</v>
      </c>
      <c r="J80" s="169">
        <v>12.883084870472336</v>
      </c>
      <c r="K80" s="89"/>
      <c r="M80" s="53">
        <v>2016</v>
      </c>
      <c r="N80" s="169">
        <v>13.965572164634628</v>
      </c>
      <c r="O80" s="89"/>
      <c r="Q80" s="53">
        <v>2016</v>
      </c>
      <c r="R80" s="169">
        <v>14.680539409960659</v>
      </c>
      <c r="S80" s="52"/>
    </row>
    <row r="81" spans="1:19">
      <c r="A81" s="53">
        <v>2017</v>
      </c>
      <c r="B81" s="169">
        <v>7.947902745165516</v>
      </c>
      <c r="C81" s="52"/>
      <c r="E81" s="53">
        <v>2017</v>
      </c>
      <c r="F81" s="169">
        <v>10.876011978457951</v>
      </c>
      <c r="G81" s="89"/>
      <c r="I81" s="53">
        <v>2017</v>
      </c>
      <c r="J81" s="169">
        <v>12.912164338930655</v>
      </c>
      <c r="K81" s="89"/>
      <c r="M81" s="53">
        <v>2017</v>
      </c>
      <c r="N81" s="169">
        <v>13.989691183295529</v>
      </c>
      <c r="O81" s="89"/>
      <c r="Q81" s="53">
        <v>2017</v>
      </c>
      <c r="R81" s="169">
        <v>14.701228884803044</v>
      </c>
      <c r="S81" s="52"/>
    </row>
    <row r="82" spans="1:19">
      <c r="A82" s="53">
        <v>2018</v>
      </c>
      <c r="B82" s="169">
        <v>7.9930771777777458</v>
      </c>
      <c r="C82" s="52"/>
      <c r="E82" s="53">
        <v>2018</v>
      </c>
      <c r="F82" s="169">
        <v>10.913372280696734</v>
      </c>
      <c r="G82" s="89"/>
      <c r="I82" s="53">
        <v>2018</v>
      </c>
      <c r="J82" s="169">
        <v>12.941243807388974</v>
      </c>
      <c r="K82" s="89"/>
      <c r="M82" s="53">
        <v>2018</v>
      </c>
      <c r="N82" s="169">
        <v>14.01381020195643</v>
      </c>
      <c r="O82" s="89"/>
      <c r="Q82" s="53">
        <v>2018</v>
      </c>
      <c r="R82" s="169">
        <v>14.721918359645429</v>
      </c>
      <c r="S82" s="52"/>
    </row>
    <row r="83" spans="1:19">
      <c r="A83" s="53">
        <v>2019</v>
      </c>
      <c r="B83" s="169">
        <v>8.0382516103899757</v>
      </c>
      <c r="C83" s="52"/>
      <c r="E83" s="53">
        <v>2019</v>
      </c>
      <c r="F83" s="169">
        <v>10.950732582935517</v>
      </c>
      <c r="G83" s="89"/>
      <c r="I83" s="53">
        <v>2019</v>
      </c>
      <c r="J83" s="169">
        <v>12.970323275847292</v>
      </c>
      <c r="K83" s="89"/>
      <c r="M83" s="53">
        <v>2019</v>
      </c>
      <c r="N83" s="169">
        <v>14.037929220617331</v>
      </c>
      <c r="O83" s="89"/>
      <c r="Q83" s="53">
        <v>2019</v>
      </c>
      <c r="R83" s="169">
        <v>14.742607834487814</v>
      </c>
      <c r="S83" s="52"/>
    </row>
    <row r="84" spans="1:19">
      <c r="A84" s="53">
        <v>2020</v>
      </c>
      <c r="B84" s="193">
        <v>8.0834260430022056</v>
      </c>
      <c r="C84" s="54"/>
      <c r="E84" s="53">
        <v>2020</v>
      </c>
      <c r="F84" s="193">
        <v>10.9880928851743</v>
      </c>
      <c r="G84" s="89"/>
      <c r="I84" s="53">
        <v>2020</v>
      </c>
      <c r="J84" s="193">
        <v>12.999402744305611</v>
      </c>
      <c r="K84" s="89"/>
      <c r="M84" s="53">
        <v>2020</v>
      </c>
      <c r="N84" s="193">
        <v>14.062048239278232</v>
      </c>
      <c r="O84" s="89"/>
      <c r="Q84" s="53">
        <v>2020</v>
      </c>
      <c r="R84" s="193">
        <v>14.763297309330198</v>
      </c>
      <c r="S84" s="54"/>
    </row>
    <row r="85" spans="1:19">
      <c r="A85" s="53">
        <v>2021</v>
      </c>
      <c r="B85" s="169">
        <v>8.1286004756144354</v>
      </c>
      <c r="C85" s="54"/>
      <c r="E85" s="53">
        <v>2021</v>
      </c>
      <c r="F85" s="169">
        <v>11.025453187413083</v>
      </c>
      <c r="G85" s="52"/>
      <c r="I85" s="53">
        <v>2021</v>
      </c>
      <c r="J85" s="169">
        <v>13.028482212763929</v>
      </c>
      <c r="K85" s="52"/>
      <c r="M85" s="53">
        <v>2021</v>
      </c>
      <c r="N85" s="169">
        <v>14.086167257939133</v>
      </c>
      <c r="O85" s="52"/>
      <c r="Q85" s="53">
        <v>2021</v>
      </c>
      <c r="R85" s="169">
        <v>14.783986784172583</v>
      </c>
      <c r="S85" s="54"/>
    </row>
    <row r="86" spans="1:19">
      <c r="A86" s="53">
        <v>2022</v>
      </c>
      <c r="B86" s="169">
        <v>8.1737749082266653</v>
      </c>
      <c r="C86" s="54"/>
      <c r="E86" s="53">
        <v>2022</v>
      </c>
      <c r="F86" s="169">
        <v>11.062813489651866</v>
      </c>
      <c r="G86" s="52"/>
      <c r="I86" s="53">
        <v>2022</v>
      </c>
      <c r="J86" s="169">
        <v>13.057561681222248</v>
      </c>
      <c r="K86" s="52"/>
      <c r="M86" s="53">
        <v>2022</v>
      </c>
      <c r="N86" s="169">
        <v>14.110286276600034</v>
      </c>
      <c r="O86" s="52"/>
      <c r="Q86" s="53">
        <v>2022</v>
      </c>
      <c r="R86" s="169">
        <v>14.804676259014968</v>
      </c>
      <c r="S86" s="54"/>
    </row>
    <row r="87" spans="1:19">
      <c r="A87" s="53">
        <v>2023</v>
      </c>
      <c r="B87" s="169">
        <v>8.2189493408388952</v>
      </c>
      <c r="C87" s="54"/>
      <c r="E87" s="53">
        <v>2023</v>
      </c>
      <c r="F87" s="169">
        <v>11.100173791890649</v>
      </c>
      <c r="G87" s="52"/>
      <c r="I87" s="53">
        <v>2023</v>
      </c>
      <c r="J87" s="169">
        <v>13.086641149680567</v>
      </c>
      <c r="K87" s="52"/>
      <c r="M87" s="53">
        <v>2023</v>
      </c>
      <c r="N87" s="169">
        <v>14.134405295260935</v>
      </c>
      <c r="O87" s="52"/>
      <c r="Q87" s="53">
        <v>2023</v>
      </c>
      <c r="R87" s="169">
        <v>14.825365733857353</v>
      </c>
      <c r="S87" s="54"/>
    </row>
    <row r="88" spans="1:19">
      <c r="A88" s="53">
        <v>2024</v>
      </c>
      <c r="B88" s="169">
        <v>8.264123773451125</v>
      </c>
      <c r="C88" s="54"/>
      <c r="E88" s="53">
        <v>2024</v>
      </c>
      <c r="F88" s="169">
        <v>11.137534094129432</v>
      </c>
      <c r="G88" s="52"/>
      <c r="I88" s="53">
        <v>2024</v>
      </c>
      <c r="J88" s="169">
        <v>13.115720618138885</v>
      </c>
      <c r="K88" s="52"/>
      <c r="M88" s="53">
        <v>2024</v>
      </c>
      <c r="N88" s="169">
        <v>14.158524313921836</v>
      </c>
      <c r="O88" s="52"/>
      <c r="Q88" s="53">
        <v>2024</v>
      </c>
      <c r="R88" s="169">
        <v>14.846055208699738</v>
      </c>
      <c r="S88" s="54"/>
    </row>
    <row r="89" spans="1:19">
      <c r="A89" s="53">
        <v>2025</v>
      </c>
      <c r="B89" s="169">
        <v>8.3092982060633549</v>
      </c>
      <c r="C89" s="54"/>
      <c r="E89" s="53">
        <v>2025</v>
      </c>
      <c r="F89" s="169">
        <v>11.174894396368215</v>
      </c>
      <c r="G89" s="52"/>
      <c r="I89" s="53">
        <v>2025</v>
      </c>
      <c r="J89" s="169">
        <v>13.144800086597204</v>
      </c>
      <c r="K89" s="52"/>
      <c r="M89" s="53">
        <v>2025</v>
      </c>
      <c r="N89" s="169">
        <v>14.182643332582737</v>
      </c>
      <c r="O89" s="52"/>
      <c r="Q89" s="53">
        <v>2025</v>
      </c>
      <c r="R89" s="169">
        <v>14.866744683542123</v>
      </c>
      <c r="S89" s="54"/>
    </row>
    <row r="90" spans="1:19">
      <c r="A90" s="53">
        <v>2026</v>
      </c>
      <c r="B90" s="169">
        <v>8.3544726386755848</v>
      </c>
      <c r="C90" s="54"/>
      <c r="E90" s="53">
        <v>2026</v>
      </c>
      <c r="F90" s="169">
        <v>11.212254698606998</v>
      </c>
      <c r="G90" s="52"/>
      <c r="I90" s="53">
        <v>2026</v>
      </c>
      <c r="J90" s="169">
        <v>13.173879555055523</v>
      </c>
      <c r="K90" s="52"/>
      <c r="M90" s="53">
        <v>2026</v>
      </c>
      <c r="N90" s="169">
        <v>14.206762351243638</v>
      </c>
      <c r="O90" s="52"/>
      <c r="Q90" s="53">
        <v>2026</v>
      </c>
      <c r="R90" s="169">
        <v>14.887434158384508</v>
      </c>
      <c r="S90" s="54"/>
    </row>
    <row r="91" spans="1:19">
      <c r="A91" s="53">
        <v>2027</v>
      </c>
      <c r="B91" s="169">
        <v>8.3996470712878146</v>
      </c>
      <c r="C91" s="54"/>
      <c r="E91" s="53">
        <v>2027</v>
      </c>
      <c r="F91" s="169">
        <v>11.249615000845781</v>
      </c>
      <c r="G91" s="52"/>
      <c r="I91" s="53">
        <v>2027</v>
      </c>
      <c r="J91" s="169">
        <v>13.202959023513841</v>
      </c>
      <c r="K91" s="52"/>
      <c r="M91" s="53">
        <v>2027</v>
      </c>
      <c r="N91" s="169">
        <v>14.230881369904539</v>
      </c>
      <c r="O91" s="52"/>
      <c r="Q91" s="53">
        <v>2027</v>
      </c>
      <c r="R91" s="169">
        <v>14.908123633226893</v>
      </c>
      <c r="S91" s="54"/>
    </row>
    <row r="92" spans="1:19">
      <c r="A92" s="53">
        <v>2028</v>
      </c>
      <c r="B92" s="169">
        <v>8.4448215039000445</v>
      </c>
      <c r="C92" s="54"/>
      <c r="E92" s="53">
        <v>2028</v>
      </c>
      <c r="F92" s="169">
        <v>11.286975303084564</v>
      </c>
      <c r="G92" s="52"/>
      <c r="I92" s="53">
        <v>2028</v>
      </c>
      <c r="J92" s="169">
        <v>13.23203849197216</v>
      </c>
      <c r="K92" s="52"/>
      <c r="M92" s="53">
        <v>2028</v>
      </c>
      <c r="N92" s="169">
        <v>14.25500038856544</v>
      </c>
      <c r="O92" s="52"/>
      <c r="Q92" s="53">
        <v>2028</v>
      </c>
      <c r="R92" s="169">
        <v>14.928813108069278</v>
      </c>
      <c r="S92" s="54"/>
    </row>
    <row r="93" spans="1:19">
      <c r="A93" s="53">
        <v>2029</v>
      </c>
      <c r="B93" s="169">
        <v>8.4899959365122744</v>
      </c>
      <c r="C93" s="54"/>
      <c r="E93" s="53">
        <v>2029</v>
      </c>
      <c r="F93" s="169">
        <v>11.324335605323347</v>
      </c>
      <c r="G93" s="54"/>
      <c r="I93" s="53">
        <v>2029</v>
      </c>
      <c r="J93" s="169">
        <v>13.261117960430479</v>
      </c>
      <c r="K93" s="54"/>
      <c r="M93" s="53">
        <v>2029</v>
      </c>
      <c r="N93" s="169">
        <v>14.279119407226341</v>
      </c>
      <c r="O93" s="54"/>
      <c r="Q93" s="53">
        <v>2029</v>
      </c>
      <c r="R93" s="169">
        <v>14.949502582911663</v>
      </c>
      <c r="S93" s="54"/>
    </row>
    <row r="94" spans="1:19">
      <c r="A94" s="124">
        <v>2030</v>
      </c>
      <c r="B94" s="171">
        <v>8.5351703691245042</v>
      </c>
      <c r="C94" s="52"/>
      <c r="E94" s="124">
        <v>2030</v>
      </c>
      <c r="F94" s="171">
        <v>11.36169590756213</v>
      </c>
      <c r="G94" s="52"/>
      <c r="I94" s="124">
        <v>2030</v>
      </c>
      <c r="J94" s="171">
        <v>13.290197428888797</v>
      </c>
      <c r="K94" s="52"/>
      <c r="M94" s="124">
        <v>2030</v>
      </c>
      <c r="N94" s="171">
        <v>14.303238425887242</v>
      </c>
      <c r="O94" s="52"/>
      <c r="Q94" s="124">
        <v>2030</v>
      </c>
      <c r="R94" s="171">
        <v>14.970192057754048</v>
      </c>
      <c r="S94" s="52"/>
    </row>
    <row r="95" spans="1:19">
      <c r="A95" s="53">
        <v>2031</v>
      </c>
      <c r="B95" s="169">
        <v>8.5803448017367341</v>
      </c>
      <c r="C95" s="52"/>
      <c r="E95" s="53">
        <v>2031</v>
      </c>
      <c r="F95" s="169">
        <v>11.399056209800912</v>
      </c>
      <c r="G95" s="52"/>
      <c r="I95" s="53">
        <v>2031</v>
      </c>
      <c r="J95" s="169">
        <v>13.319276897347116</v>
      </c>
      <c r="K95" s="52"/>
      <c r="M95" s="53">
        <v>2031</v>
      </c>
      <c r="N95" s="169">
        <v>14.327357444548143</v>
      </c>
      <c r="O95" s="52"/>
      <c r="Q95" s="53">
        <v>2031</v>
      </c>
      <c r="R95" s="169">
        <v>14.990881532596433</v>
      </c>
      <c r="S95" s="52"/>
    </row>
    <row r="96" spans="1:19">
      <c r="A96" s="53">
        <v>2032</v>
      </c>
      <c r="B96" s="169">
        <v>8.6255192343489639</v>
      </c>
      <c r="C96" s="52"/>
      <c r="E96" s="53">
        <v>2032</v>
      </c>
      <c r="F96" s="169">
        <v>11.436416512039695</v>
      </c>
      <c r="G96" s="52"/>
      <c r="I96" s="53">
        <v>2032</v>
      </c>
      <c r="J96" s="169">
        <v>13.348356365805435</v>
      </c>
      <c r="K96" s="52"/>
      <c r="M96" s="53">
        <v>2032</v>
      </c>
      <c r="N96" s="169">
        <v>14.351476463209044</v>
      </c>
      <c r="O96" s="52"/>
      <c r="Q96" s="53">
        <v>2032</v>
      </c>
      <c r="R96" s="169">
        <v>15.011571007438818</v>
      </c>
      <c r="S96" s="52"/>
    </row>
    <row r="97" spans="1:19">
      <c r="A97" s="53">
        <v>2033</v>
      </c>
      <c r="B97" s="169">
        <v>8.6706936669611938</v>
      </c>
      <c r="C97" s="52"/>
      <c r="E97" s="53">
        <v>2033</v>
      </c>
      <c r="F97" s="169">
        <v>11.473776814278478</v>
      </c>
      <c r="G97" s="52"/>
      <c r="I97" s="53">
        <v>2033</v>
      </c>
      <c r="J97" s="169">
        <v>13.377435834263753</v>
      </c>
      <c r="K97" s="52"/>
      <c r="M97" s="53">
        <v>2033</v>
      </c>
      <c r="N97" s="169">
        <v>14.375595481869945</v>
      </c>
      <c r="O97" s="52"/>
      <c r="Q97" s="53">
        <v>2033</v>
      </c>
      <c r="R97" s="169">
        <v>15.032260482281202</v>
      </c>
      <c r="S97" s="52"/>
    </row>
    <row r="98" spans="1:19">
      <c r="A98" s="53">
        <v>2034</v>
      </c>
      <c r="B98" s="169">
        <v>8.7158680995734237</v>
      </c>
      <c r="C98" s="52"/>
      <c r="E98" s="53">
        <v>2034</v>
      </c>
      <c r="F98" s="169">
        <v>11.511137116517261</v>
      </c>
      <c r="G98" s="52"/>
      <c r="I98" s="53">
        <v>2034</v>
      </c>
      <c r="J98" s="169">
        <v>13.406515302722072</v>
      </c>
      <c r="K98" s="52"/>
      <c r="M98" s="53">
        <v>2034</v>
      </c>
      <c r="N98" s="169">
        <v>14.399714500530846</v>
      </c>
      <c r="O98" s="52"/>
      <c r="Q98" s="53">
        <v>2034</v>
      </c>
      <c r="R98" s="169">
        <v>15.052949957123587</v>
      </c>
      <c r="S98" s="52"/>
    </row>
    <row r="99" spans="1:19">
      <c r="A99" s="53">
        <v>2035</v>
      </c>
      <c r="B99" s="169">
        <v>8.7610425321856535</v>
      </c>
      <c r="C99" s="52"/>
      <c r="E99" s="53">
        <v>2035</v>
      </c>
      <c r="F99" s="169">
        <v>11.548497418756044</v>
      </c>
      <c r="G99" s="52"/>
      <c r="I99" s="53">
        <v>2035</v>
      </c>
      <c r="J99" s="169">
        <v>13.435594771180391</v>
      </c>
      <c r="K99" s="52"/>
      <c r="M99" s="53">
        <v>2035</v>
      </c>
      <c r="N99" s="169">
        <v>14.423833519191747</v>
      </c>
      <c r="O99" s="52"/>
      <c r="Q99" s="53">
        <v>2035</v>
      </c>
      <c r="R99" s="169">
        <v>15.073639431965972</v>
      </c>
      <c r="S99" s="52"/>
    </row>
    <row r="100" spans="1:19">
      <c r="A100" s="53">
        <v>2036</v>
      </c>
      <c r="B100" s="169">
        <v>8.8062169647978834</v>
      </c>
      <c r="C100" s="52"/>
      <c r="E100" s="53">
        <v>2036</v>
      </c>
      <c r="F100" s="169">
        <v>11.585857720994827</v>
      </c>
      <c r="G100" s="52"/>
      <c r="I100" s="53">
        <v>2036</v>
      </c>
      <c r="J100" s="169">
        <v>13.464674239638709</v>
      </c>
      <c r="K100" s="52"/>
      <c r="M100" s="53">
        <v>2036</v>
      </c>
      <c r="N100" s="169">
        <v>14.447952537852649</v>
      </c>
      <c r="O100" s="52"/>
      <c r="Q100" s="53">
        <v>2036</v>
      </c>
      <c r="R100" s="169">
        <v>15.094328906808357</v>
      </c>
      <c r="S100" s="52"/>
    </row>
    <row r="101" spans="1:19">
      <c r="A101" s="53">
        <v>2037</v>
      </c>
      <c r="B101" s="169">
        <v>8.8513913974101133</v>
      </c>
      <c r="C101" s="52"/>
      <c r="E101" s="53">
        <v>2037</v>
      </c>
      <c r="F101" s="169">
        <v>11.62321802323361</v>
      </c>
      <c r="G101" s="52"/>
      <c r="I101" s="53">
        <v>2037</v>
      </c>
      <c r="J101" s="169">
        <v>13.493753708097028</v>
      </c>
      <c r="K101" s="52"/>
      <c r="M101" s="53">
        <v>2037</v>
      </c>
      <c r="N101" s="169">
        <v>14.47207155651355</v>
      </c>
      <c r="O101" s="52"/>
      <c r="Q101" s="53">
        <v>2037</v>
      </c>
      <c r="R101" s="169">
        <v>15.115018381650742</v>
      </c>
      <c r="S101" s="52"/>
    </row>
    <row r="102" spans="1:19">
      <c r="A102" s="53">
        <v>2038</v>
      </c>
      <c r="B102" s="169">
        <v>8.8965658300223431</v>
      </c>
      <c r="C102" s="52"/>
      <c r="E102" s="53">
        <v>2038</v>
      </c>
      <c r="F102" s="169">
        <v>11.660578325472393</v>
      </c>
      <c r="G102" s="52"/>
      <c r="I102" s="53">
        <v>2038</v>
      </c>
      <c r="J102" s="169">
        <v>13.522833176555347</v>
      </c>
      <c r="K102" s="52"/>
      <c r="M102" s="53">
        <v>2038</v>
      </c>
      <c r="N102" s="169">
        <v>14.496190575174451</v>
      </c>
      <c r="O102" s="52"/>
      <c r="Q102" s="53">
        <v>2038</v>
      </c>
      <c r="R102" s="169">
        <v>15.135707856493127</v>
      </c>
      <c r="S102" s="52"/>
    </row>
    <row r="103" spans="1:19">
      <c r="A103" s="53">
        <v>2039</v>
      </c>
      <c r="B103" s="169">
        <v>8.941740262634573</v>
      </c>
      <c r="C103" s="52"/>
      <c r="E103" s="53">
        <v>2039</v>
      </c>
      <c r="F103" s="169">
        <v>11.697938627711176</v>
      </c>
      <c r="G103" s="52"/>
      <c r="I103" s="53">
        <v>2039</v>
      </c>
      <c r="J103" s="169">
        <v>13.551912645013665</v>
      </c>
      <c r="K103" s="52"/>
      <c r="M103" s="53">
        <v>2039</v>
      </c>
      <c r="N103" s="169">
        <v>14.520309593835352</v>
      </c>
      <c r="O103" s="52"/>
      <c r="Q103" s="53">
        <v>2039</v>
      </c>
      <c r="R103" s="169">
        <v>15.156397331335512</v>
      </c>
      <c r="S103" s="52"/>
    </row>
    <row r="104" spans="1:19">
      <c r="A104" s="53">
        <v>2040</v>
      </c>
      <c r="B104" s="169">
        <v>8.9869146952468029</v>
      </c>
      <c r="C104" s="54"/>
      <c r="E104" s="53">
        <v>2040</v>
      </c>
      <c r="F104" s="169">
        <v>11.735298929949959</v>
      </c>
      <c r="G104" s="54"/>
      <c r="I104" s="53">
        <v>2040</v>
      </c>
      <c r="J104" s="169">
        <v>13.580992113471984</v>
      </c>
      <c r="K104" s="54"/>
      <c r="M104" s="53">
        <v>2040</v>
      </c>
      <c r="N104" s="169">
        <v>14.544428612496253</v>
      </c>
      <c r="O104" s="54"/>
      <c r="Q104" s="53">
        <v>2040</v>
      </c>
      <c r="R104" s="169">
        <v>15.177086806177897</v>
      </c>
      <c r="S104" s="54"/>
    </row>
    <row r="105" spans="1:19">
      <c r="A105" s="53">
        <v>2041</v>
      </c>
      <c r="B105" s="169">
        <v>9.0320891278590327</v>
      </c>
      <c r="C105" s="52"/>
      <c r="E105" s="53">
        <v>2041</v>
      </c>
      <c r="F105" s="169">
        <v>11.772659232188742</v>
      </c>
      <c r="G105" s="52"/>
      <c r="I105" s="53">
        <v>2041</v>
      </c>
      <c r="J105" s="169">
        <v>13.610071581930303</v>
      </c>
      <c r="K105" s="52"/>
      <c r="M105" s="53">
        <v>2041</v>
      </c>
      <c r="N105" s="169">
        <v>14.568547631157154</v>
      </c>
      <c r="O105" s="52"/>
      <c r="Q105" s="53">
        <v>2041</v>
      </c>
      <c r="R105" s="169">
        <v>15.197776281020282</v>
      </c>
      <c r="S105" s="52"/>
    </row>
    <row r="106" spans="1:19">
      <c r="A106" s="53">
        <v>2042</v>
      </c>
      <c r="B106" s="169">
        <v>9.0772635604712626</v>
      </c>
      <c r="C106" s="52"/>
      <c r="E106" s="53">
        <v>2042</v>
      </c>
      <c r="F106" s="169">
        <v>11.810019534427525</v>
      </c>
      <c r="G106" s="52"/>
      <c r="I106" s="53">
        <v>2042</v>
      </c>
      <c r="J106" s="169">
        <v>13.639151050388621</v>
      </c>
      <c r="K106" s="52"/>
      <c r="M106" s="53">
        <v>2042</v>
      </c>
      <c r="N106" s="169">
        <v>14.592666649818055</v>
      </c>
      <c r="O106" s="52"/>
      <c r="Q106" s="53">
        <v>2042</v>
      </c>
      <c r="R106" s="169">
        <v>15.218465755862667</v>
      </c>
      <c r="S106" s="52"/>
    </row>
    <row r="107" spans="1:19">
      <c r="A107" s="53">
        <v>2043</v>
      </c>
      <c r="B107" s="169">
        <v>9.1224379930834925</v>
      </c>
      <c r="C107" s="52"/>
      <c r="E107" s="53">
        <v>2043</v>
      </c>
      <c r="F107" s="169">
        <v>11.847379836666308</v>
      </c>
      <c r="G107" s="52"/>
      <c r="I107" s="53">
        <v>2043</v>
      </c>
      <c r="J107" s="169">
        <v>13.66823051884694</v>
      </c>
      <c r="K107" s="52"/>
      <c r="M107" s="53">
        <v>2043</v>
      </c>
      <c r="N107" s="169">
        <v>14.616785668478956</v>
      </c>
      <c r="O107" s="52"/>
      <c r="Q107" s="53">
        <v>2043</v>
      </c>
      <c r="R107" s="169">
        <v>15.239155230705052</v>
      </c>
      <c r="S107" s="52"/>
    </row>
    <row r="108" spans="1:19">
      <c r="A108" s="53">
        <v>2044</v>
      </c>
      <c r="B108" s="169">
        <v>9.1676124256957223</v>
      </c>
      <c r="C108" s="52"/>
      <c r="E108" s="53">
        <v>2044</v>
      </c>
      <c r="F108" s="169">
        <v>11.884740138905091</v>
      </c>
      <c r="G108" s="52"/>
      <c r="I108" s="53">
        <v>2044</v>
      </c>
      <c r="J108" s="169">
        <v>13.697309987305259</v>
      </c>
      <c r="K108" s="52"/>
      <c r="M108" s="53">
        <v>2044</v>
      </c>
      <c r="N108" s="169">
        <v>14.640904687139857</v>
      </c>
      <c r="O108" s="52"/>
      <c r="Q108" s="53">
        <v>2044</v>
      </c>
      <c r="R108" s="169">
        <v>15.259844705547437</v>
      </c>
      <c r="S108" s="52"/>
    </row>
    <row r="109" spans="1:19">
      <c r="A109" s="53">
        <v>2045</v>
      </c>
      <c r="B109" s="169">
        <v>9.2127868583079522</v>
      </c>
      <c r="C109" s="52"/>
      <c r="E109" s="53">
        <v>2045</v>
      </c>
      <c r="F109" s="169">
        <v>11.922100441143874</v>
      </c>
      <c r="G109" s="52"/>
      <c r="I109" s="53">
        <v>2045</v>
      </c>
      <c r="J109" s="169">
        <v>13.726389455763577</v>
      </c>
      <c r="K109" s="52"/>
      <c r="M109" s="53">
        <v>2045</v>
      </c>
      <c r="N109" s="169">
        <v>14.665023705800758</v>
      </c>
      <c r="O109" s="52"/>
      <c r="Q109" s="53">
        <v>2045</v>
      </c>
      <c r="R109" s="169">
        <v>15.280534180389822</v>
      </c>
      <c r="S109" s="52"/>
    </row>
    <row r="110" spans="1:19">
      <c r="A110" s="53">
        <v>2046</v>
      </c>
      <c r="B110" s="169">
        <v>9.2579612909201821</v>
      </c>
      <c r="C110" s="52"/>
      <c r="E110" s="53">
        <v>2046</v>
      </c>
      <c r="F110" s="169">
        <v>11.959460743382657</v>
      </c>
      <c r="G110" s="52"/>
      <c r="I110" s="53">
        <v>2046</v>
      </c>
      <c r="J110" s="169">
        <v>13.755468924221896</v>
      </c>
      <c r="K110" s="52"/>
      <c r="M110" s="53">
        <v>2046</v>
      </c>
      <c r="N110" s="169">
        <v>14.689142724461659</v>
      </c>
      <c r="O110" s="52"/>
      <c r="Q110" s="53">
        <v>2046</v>
      </c>
      <c r="R110" s="169">
        <v>15.301223655232207</v>
      </c>
      <c r="S110" s="52"/>
    </row>
    <row r="111" spans="1:19">
      <c r="A111" s="53">
        <v>2047</v>
      </c>
      <c r="B111" s="169">
        <v>9.3031357235324119</v>
      </c>
      <c r="C111" s="52"/>
      <c r="E111" s="53">
        <v>2047</v>
      </c>
      <c r="F111" s="169">
        <v>11.99682104562144</v>
      </c>
      <c r="G111" s="52"/>
      <c r="I111" s="53">
        <v>2047</v>
      </c>
      <c r="J111" s="169">
        <v>13.784548392680215</v>
      </c>
      <c r="K111" s="52"/>
      <c r="M111" s="53">
        <v>2047</v>
      </c>
      <c r="N111" s="169">
        <v>14.71326174312256</v>
      </c>
      <c r="O111" s="52"/>
      <c r="Q111" s="53">
        <v>2047</v>
      </c>
      <c r="R111" s="169">
        <v>15.321913130074591</v>
      </c>
      <c r="S111" s="52"/>
    </row>
    <row r="112" spans="1:19">
      <c r="A112" s="53">
        <v>2048</v>
      </c>
      <c r="B112" s="169">
        <v>9.3483101561446418</v>
      </c>
      <c r="C112" s="52"/>
      <c r="E112" s="53">
        <v>2048</v>
      </c>
      <c r="F112" s="169">
        <v>12.034181347860223</v>
      </c>
      <c r="G112" s="52"/>
      <c r="I112" s="53">
        <v>2048</v>
      </c>
      <c r="J112" s="169">
        <v>13.813627861138533</v>
      </c>
      <c r="K112" s="52"/>
      <c r="M112" s="53">
        <v>2048</v>
      </c>
      <c r="N112" s="169">
        <v>14.737380761783461</v>
      </c>
      <c r="O112" s="52"/>
      <c r="Q112" s="53">
        <v>2048</v>
      </c>
      <c r="R112" s="169">
        <v>15.342602604916976</v>
      </c>
      <c r="S112" s="52"/>
    </row>
    <row r="113" spans="1:19">
      <c r="A113" s="53">
        <v>2049</v>
      </c>
      <c r="B113" s="169">
        <v>9.3934845887568716</v>
      </c>
      <c r="C113" s="52"/>
      <c r="E113" s="53">
        <v>2049</v>
      </c>
      <c r="F113" s="169">
        <v>12.071541650099006</v>
      </c>
      <c r="G113" s="52"/>
      <c r="I113" s="53">
        <v>2049</v>
      </c>
      <c r="J113" s="169">
        <v>13.842707329596852</v>
      </c>
      <c r="K113" s="52"/>
      <c r="M113" s="53">
        <v>2049</v>
      </c>
      <c r="N113" s="169">
        <v>14.761499780444362</v>
      </c>
      <c r="O113" s="52"/>
      <c r="Q113" s="53">
        <v>2049</v>
      </c>
      <c r="R113" s="169">
        <v>15.363292079759361</v>
      </c>
      <c r="S113" s="52"/>
    </row>
    <row r="114" spans="1:19">
      <c r="A114" s="122">
        <v>2050</v>
      </c>
      <c r="B114" s="92">
        <v>9.4386590213690962</v>
      </c>
      <c r="C114" s="123"/>
      <c r="E114" s="122">
        <v>2050</v>
      </c>
      <c r="F114" s="92">
        <v>12.108901952337803</v>
      </c>
      <c r="G114" s="123"/>
      <c r="I114" s="122">
        <v>2050</v>
      </c>
      <c r="J114" s="92">
        <v>13.871786798055155</v>
      </c>
      <c r="K114" s="123"/>
      <c r="M114" s="122">
        <v>2050</v>
      </c>
      <c r="N114" s="92">
        <v>14.785618799105253</v>
      </c>
      <c r="O114" s="123"/>
      <c r="Q114" s="122">
        <v>2050</v>
      </c>
      <c r="R114" s="92">
        <v>15.383981554601778</v>
      </c>
      <c r="S114" s="12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J19" sqref="A1:S32"/>
    </sheetView>
  </sheetViews>
  <sheetFormatPr baseColWidth="10" defaultColWidth="8.5" defaultRowHeight="15"/>
  <cols>
    <col min="1" max="1" width="17.5" style="4" customWidth="1"/>
    <col min="2" max="19" width="10.5" style="4" customWidth="1"/>
    <col min="20" max="16384" width="8.5" style="4"/>
  </cols>
  <sheetData>
    <row r="1" spans="1:19">
      <c r="A1" s="13"/>
      <c r="B1" s="13"/>
      <c r="C1" s="13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>
      <c r="A2" s="14"/>
      <c r="B2" s="210" t="s">
        <v>122</v>
      </c>
      <c r="C2" s="211"/>
      <c r="D2" s="218" t="s">
        <v>123</v>
      </c>
      <c r="E2" s="217"/>
      <c r="F2" s="217"/>
      <c r="G2" s="217"/>
      <c r="H2" s="217"/>
      <c r="I2" s="217"/>
      <c r="J2" s="217"/>
      <c r="K2" s="219"/>
      <c r="L2" s="217" t="s">
        <v>124</v>
      </c>
      <c r="M2" s="217"/>
      <c r="N2" s="217"/>
      <c r="O2" s="217"/>
      <c r="P2" s="217"/>
      <c r="Q2" s="217"/>
      <c r="R2" s="217"/>
      <c r="S2" s="217"/>
    </row>
    <row r="3" spans="1:19">
      <c r="A3" s="14"/>
      <c r="B3" s="210"/>
      <c r="C3" s="211"/>
      <c r="D3" s="218">
        <v>2050</v>
      </c>
      <c r="E3" s="217"/>
      <c r="F3" s="217"/>
      <c r="G3" s="217"/>
      <c r="H3" s="217"/>
      <c r="I3" s="217"/>
      <c r="J3" s="217"/>
      <c r="K3" s="219"/>
      <c r="L3" s="217">
        <v>2050</v>
      </c>
      <c r="M3" s="217"/>
      <c r="N3" s="217"/>
      <c r="O3" s="217"/>
      <c r="P3" s="217"/>
      <c r="Q3" s="217"/>
      <c r="R3" s="217"/>
      <c r="S3" s="217"/>
    </row>
    <row r="4" spans="1:19" ht="29" customHeight="1">
      <c r="A4" s="14"/>
      <c r="B4" s="210"/>
      <c r="C4" s="211"/>
      <c r="D4" s="220" t="s">
        <v>125</v>
      </c>
      <c r="E4" s="221"/>
      <c r="F4" s="221"/>
      <c r="G4" s="222"/>
      <c r="H4" s="221" t="s">
        <v>126</v>
      </c>
      <c r="I4" s="221"/>
      <c r="J4" s="221"/>
      <c r="K4" s="221"/>
      <c r="L4" s="220" t="s">
        <v>125</v>
      </c>
      <c r="M4" s="221"/>
      <c r="N4" s="221"/>
      <c r="O4" s="222"/>
      <c r="P4" s="221" t="s">
        <v>126</v>
      </c>
      <c r="Q4" s="221"/>
      <c r="R4" s="221"/>
      <c r="S4" s="221"/>
    </row>
    <row r="5" spans="1:19" ht="29" customHeight="1">
      <c r="A5" s="14"/>
      <c r="B5" s="212"/>
      <c r="C5" s="213"/>
      <c r="D5" s="214" t="s">
        <v>127</v>
      </c>
      <c r="E5" s="215"/>
      <c r="F5" s="215" t="s">
        <v>128</v>
      </c>
      <c r="G5" s="216"/>
      <c r="H5" s="214" t="s">
        <v>127</v>
      </c>
      <c r="I5" s="215"/>
      <c r="J5" s="215" t="s">
        <v>128</v>
      </c>
      <c r="K5" s="216"/>
      <c r="L5" s="214" t="s">
        <v>127</v>
      </c>
      <c r="M5" s="215"/>
      <c r="N5" s="215" t="s">
        <v>128</v>
      </c>
      <c r="O5" s="216"/>
      <c r="P5" s="214" t="s">
        <v>127</v>
      </c>
      <c r="Q5" s="215"/>
      <c r="R5" s="215" t="s">
        <v>128</v>
      </c>
      <c r="S5" s="216"/>
    </row>
    <row r="6" spans="1:19" ht="16">
      <c r="A6" s="7"/>
      <c r="B6" s="11" t="s">
        <v>129</v>
      </c>
      <c r="C6" s="10" t="s">
        <v>99</v>
      </c>
      <c r="D6" s="10" t="s">
        <v>129</v>
      </c>
      <c r="E6" s="10" t="s">
        <v>99</v>
      </c>
      <c r="F6" s="11" t="s">
        <v>129</v>
      </c>
      <c r="G6" s="10" t="s">
        <v>99</v>
      </c>
      <c r="H6" s="11" t="s">
        <v>129</v>
      </c>
      <c r="I6" s="10" t="s">
        <v>99</v>
      </c>
      <c r="J6" s="11" t="s">
        <v>129</v>
      </c>
      <c r="K6" s="10" t="s">
        <v>99</v>
      </c>
      <c r="L6" s="12" t="s">
        <v>129</v>
      </c>
      <c r="M6" s="10" t="s">
        <v>99</v>
      </c>
      <c r="N6" s="11" t="s">
        <v>129</v>
      </c>
      <c r="O6" s="10" t="s">
        <v>99</v>
      </c>
      <c r="P6" s="10" t="s">
        <v>129</v>
      </c>
      <c r="Q6" s="10" t="s">
        <v>99</v>
      </c>
      <c r="R6" s="11" t="s">
        <v>129</v>
      </c>
      <c r="S6" s="10" t="s">
        <v>99</v>
      </c>
    </row>
    <row r="7" spans="1:19" ht="16">
      <c r="A7" s="4" t="s">
        <v>130</v>
      </c>
      <c r="B7" s="110">
        <v>1652.0816199999999</v>
      </c>
      <c r="C7" s="111">
        <v>0.26600132984996305</v>
      </c>
      <c r="D7" s="110">
        <v>2367.8063639730499</v>
      </c>
      <c r="E7" s="103">
        <v>0.38121405692245802</v>
      </c>
      <c r="F7" s="110">
        <v>6162.6237900350798</v>
      </c>
      <c r="G7" s="111">
        <v>0.75458221069790699</v>
      </c>
      <c r="H7" s="110">
        <v>6506.8966310650503</v>
      </c>
      <c r="I7" s="111">
        <v>1.0476027518319599</v>
      </c>
      <c r="J7" s="110">
        <v>14726.703959914499</v>
      </c>
      <c r="K7" s="111">
        <v>1.80321064679216</v>
      </c>
      <c r="L7" s="114"/>
      <c r="M7" s="115"/>
      <c r="N7" s="110">
        <v>3346.26376412538</v>
      </c>
      <c r="O7" s="111">
        <v>0.43806936954629605</v>
      </c>
      <c r="P7" s="114"/>
      <c r="Q7" s="115"/>
      <c r="R7" s="110">
        <v>9251.0988660732801</v>
      </c>
      <c r="S7" s="111">
        <v>1.2110889438299899</v>
      </c>
    </row>
    <row r="8" spans="1:19" ht="16">
      <c r="A8" s="4" t="s">
        <v>131</v>
      </c>
      <c r="B8" s="110">
        <v>5083.0474899999999</v>
      </c>
      <c r="C8" s="112">
        <v>0.23684657890740654</v>
      </c>
      <c r="D8" s="110">
        <v>4794.8139623654597</v>
      </c>
      <c r="E8" s="103">
        <v>0.22341803372692301</v>
      </c>
      <c r="F8" s="110">
        <v>9107.0335799748791</v>
      </c>
      <c r="G8" s="112">
        <v>0.32548619272908896</v>
      </c>
      <c r="H8" s="110">
        <v>12259.0567469581</v>
      </c>
      <c r="I8" s="112">
        <v>0.57122015061476095</v>
      </c>
      <c r="J8" s="110">
        <v>23335.7497647583</v>
      </c>
      <c r="K8" s="112">
        <v>0.83402177873938299</v>
      </c>
      <c r="L8" s="114"/>
      <c r="M8" s="115"/>
      <c r="N8" s="110">
        <v>6648.7957494292896</v>
      </c>
      <c r="O8" s="112">
        <v>0.24695175690501101</v>
      </c>
      <c r="P8" s="114"/>
      <c r="Q8" s="115"/>
      <c r="R8" s="110">
        <v>17387.7780095333</v>
      </c>
      <c r="S8" s="112">
        <v>0.64582256546189498</v>
      </c>
    </row>
    <row r="9" spans="1:19" ht="16">
      <c r="A9" s="4" t="s">
        <v>132</v>
      </c>
      <c r="B9" s="110">
        <v>23252.328000000001</v>
      </c>
      <c r="C9" s="112">
        <v>6.5307293406516767</v>
      </c>
      <c r="D9" s="110">
        <v>19170.477260744599</v>
      </c>
      <c r="E9" s="103">
        <v>5.3842817456326602</v>
      </c>
      <c r="F9" s="110">
        <v>65423.365410630096</v>
      </c>
      <c r="G9" s="112">
        <v>10.3725810715469</v>
      </c>
      <c r="H9" s="110">
        <v>42717.480610505401</v>
      </c>
      <c r="I9" s="112">
        <v>11.997768649272899</v>
      </c>
      <c r="J9" s="110">
        <v>128551.021788276</v>
      </c>
      <c r="K9" s="112">
        <v>20.381187775345499</v>
      </c>
      <c r="L9" s="114"/>
      <c r="M9" s="115"/>
      <c r="N9" s="110">
        <v>26428.109856597799</v>
      </c>
      <c r="O9" s="112">
        <v>5.2750073340940098</v>
      </c>
      <c r="P9" s="114"/>
      <c r="Q9" s="115"/>
      <c r="R9" s="110">
        <v>59363.963039945098</v>
      </c>
      <c r="S9" s="112">
        <v>11.848949550904701</v>
      </c>
    </row>
    <row r="10" spans="1:19" ht="16">
      <c r="A10" s="4" t="s">
        <v>133</v>
      </c>
      <c r="B10" s="110">
        <v>11520.5324</v>
      </c>
      <c r="C10" s="112">
        <v>5.0072904291458258</v>
      </c>
      <c r="D10" s="110">
        <v>14069.5266333293</v>
      </c>
      <c r="E10" s="103">
        <v>6.1150122258087602</v>
      </c>
      <c r="F10" s="110">
        <v>30880.4982811103</v>
      </c>
      <c r="G10" s="112">
        <v>8.1485169976713099</v>
      </c>
      <c r="H10" s="110">
        <v>38466.425342736598</v>
      </c>
      <c r="I10" s="112">
        <v>16.718590993443499</v>
      </c>
      <c r="J10" s="110">
        <v>83525.124814372</v>
      </c>
      <c r="K10" s="112">
        <v>22.039990841043398</v>
      </c>
      <c r="L10" s="114"/>
      <c r="M10" s="115"/>
      <c r="N10" s="110">
        <v>18853.6644798665</v>
      </c>
      <c r="O10" s="112">
        <v>5.97117283486413</v>
      </c>
      <c r="P10" s="114"/>
      <c r="Q10" s="115"/>
      <c r="R10" s="110">
        <v>50706.484764234898</v>
      </c>
      <c r="S10" s="112">
        <v>16.0593281321507</v>
      </c>
    </row>
    <row r="11" spans="1:19" ht="16">
      <c r="A11" s="4" t="s">
        <v>134</v>
      </c>
      <c r="B11" s="110">
        <v>1397.9829400000001</v>
      </c>
      <c r="C11" s="112">
        <v>0.33851369903850437</v>
      </c>
      <c r="D11" s="110">
        <v>1202.5064115477801</v>
      </c>
      <c r="E11" s="103">
        <v>0.29118988892257103</v>
      </c>
      <c r="F11" s="110">
        <v>2287.2041694823502</v>
      </c>
      <c r="G11" s="112">
        <v>0.32850014719876597</v>
      </c>
      <c r="H11" s="110">
        <v>1887.8665152496101</v>
      </c>
      <c r="I11" s="112">
        <v>0.45715152584392899</v>
      </c>
      <c r="J11" s="110">
        <v>3574.0697536597399</v>
      </c>
      <c r="K11" s="112">
        <v>0.51332646898838408</v>
      </c>
      <c r="L11" s="114"/>
      <c r="M11" s="115"/>
      <c r="N11" s="110">
        <v>1811.5740091339801</v>
      </c>
      <c r="O11" s="112">
        <v>0.29899003803837598</v>
      </c>
      <c r="P11" s="114"/>
      <c r="Q11" s="115"/>
      <c r="R11" s="110">
        <v>2908.29963100029</v>
      </c>
      <c r="S11" s="112">
        <v>0.479998395271448</v>
      </c>
    </row>
    <row r="12" spans="1:19" ht="16">
      <c r="A12" s="4" t="s">
        <v>135</v>
      </c>
      <c r="B12" s="110">
        <v>5529.4800599999999</v>
      </c>
      <c r="C12" s="112">
        <v>1.5975980401930072</v>
      </c>
      <c r="D12" s="110">
        <v>6273.7159356561297</v>
      </c>
      <c r="E12" s="103">
        <v>1.81260888664062</v>
      </c>
      <c r="F12" s="110">
        <v>10777.3838153663</v>
      </c>
      <c r="G12" s="112">
        <v>2.1047384071184299</v>
      </c>
      <c r="H12" s="110">
        <v>15474.597633969601</v>
      </c>
      <c r="I12" s="112">
        <v>4.4709377147768103</v>
      </c>
      <c r="J12" s="110">
        <v>25997.0785652983</v>
      </c>
      <c r="K12" s="112">
        <v>5.0770252471887805</v>
      </c>
      <c r="L12" s="114"/>
      <c r="M12" s="115"/>
      <c r="N12" s="110">
        <v>7795.7083817576104</v>
      </c>
      <c r="O12" s="112">
        <v>1.76211242954634</v>
      </c>
      <c r="P12" s="114"/>
      <c r="Q12" s="115"/>
      <c r="R12" s="110">
        <v>19582.154845510599</v>
      </c>
      <c r="S12" s="112">
        <v>4.4262761972114602</v>
      </c>
    </row>
    <row r="13" spans="1:19" ht="16">
      <c r="A13" s="4" t="s">
        <v>136</v>
      </c>
      <c r="B13" s="110">
        <v>2351.9713400000001</v>
      </c>
      <c r="C13" s="112">
        <v>0.43188824930392983</v>
      </c>
      <c r="D13" s="110">
        <v>2152.6412056969002</v>
      </c>
      <c r="E13" s="103">
        <v>0.39528561688172598</v>
      </c>
      <c r="F13" s="110">
        <v>3712.9010199950899</v>
      </c>
      <c r="G13" s="112">
        <v>0.44754225538354397</v>
      </c>
      <c r="H13" s="110">
        <v>6170.4675487620898</v>
      </c>
      <c r="I13" s="112">
        <v>1.13307181197038</v>
      </c>
      <c r="J13" s="110">
        <v>11261.054086054801</v>
      </c>
      <c r="K13" s="112">
        <v>1.35737460183512</v>
      </c>
      <c r="L13" s="114"/>
      <c r="M13" s="115"/>
      <c r="N13" s="110">
        <v>3041.3463162806001</v>
      </c>
      <c r="O13" s="112">
        <v>0.39492671135281499</v>
      </c>
      <c r="P13" s="114"/>
      <c r="Q13" s="115"/>
      <c r="R13" s="110">
        <v>9219.8114620529996</v>
      </c>
      <c r="S13" s="112">
        <v>1.19721644342512</v>
      </c>
    </row>
    <row r="14" spans="1:19" ht="16">
      <c r="A14" s="4" t="s">
        <v>137</v>
      </c>
      <c r="B14" s="110">
        <v>44867.914900000003</v>
      </c>
      <c r="C14" s="112">
        <v>7.1341563792495606</v>
      </c>
      <c r="D14" s="110">
        <v>46491.338224286897</v>
      </c>
      <c r="E14" s="103">
        <v>7.3925326837009901</v>
      </c>
      <c r="F14" s="110">
        <v>100115.20163005601</v>
      </c>
      <c r="G14" s="112">
        <v>9.4753673068354693</v>
      </c>
      <c r="H14" s="110">
        <v>120170.186847463</v>
      </c>
      <c r="I14" s="112">
        <v>19.108119228373901</v>
      </c>
      <c r="J14" s="110">
        <v>272055.07701262401</v>
      </c>
      <c r="K14" s="112">
        <v>25.748555068685203</v>
      </c>
      <c r="L14" s="114"/>
      <c r="M14" s="115"/>
      <c r="N14" s="110">
        <v>66872.600558194405</v>
      </c>
      <c r="O14" s="112">
        <v>7.4531791408014501</v>
      </c>
      <c r="P14" s="114"/>
      <c r="Q14" s="115"/>
      <c r="R14" s="110">
        <v>171257.04015322699</v>
      </c>
      <c r="S14" s="112">
        <v>19.087180530308</v>
      </c>
    </row>
    <row r="15" spans="1:19" ht="16">
      <c r="A15" s="4" t="s">
        <v>138</v>
      </c>
      <c r="B15" s="110">
        <v>542.39843499999995</v>
      </c>
      <c r="C15" s="112">
        <v>1.0060132667125317</v>
      </c>
      <c r="D15" s="110">
        <v>631.11237910234195</v>
      </c>
      <c r="E15" s="103">
        <v>1.1705554169341801</v>
      </c>
      <c r="F15" s="110">
        <v>1031.1662576835799</v>
      </c>
      <c r="G15" s="112">
        <v>1.4740301305908201</v>
      </c>
      <c r="H15" s="110">
        <v>815.43792126552205</v>
      </c>
      <c r="I15" s="112">
        <v>1.5124331379279099</v>
      </c>
      <c r="J15" s="110">
        <v>1188.0240178864101</v>
      </c>
      <c r="K15" s="112">
        <v>1.6982549469413502</v>
      </c>
      <c r="L15" s="114"/>
      <c r="M15" s="115"/>
      <c r="N15" s="110">
        <v>756.36707662609194</v>
      </c>
      <c r="O15" s="112">
        <v>1.1949395164935401</v>
      </c>
      <c r="P15" s="114"/>
      <c r="Q15" s="115"/>
      <c r="R15" s="110">
        <v>945.60943394759101</v>
      </c>
      <c r="S15" s="112">
        <v>1.49391230093382</v>
      </c>
    </row>
    <row r="16" spans="1:19" ht="16">
      <c r="A16" s="4" t="s">
        <v>139</v>
      </c>
      <c r="B16" s="110">
        <v>13414.6018</v>
      </c>
      <c r="C16" s="112">
        <v>5.2908507915686336</v>
      </c>
      <c r="D16" s="110">
        <v>22783.150648036801</v>
      </c>
      <c r="E16" s="103">
        <v>8.9858985646378002</v>
      </c>
      <c r="F16" s="110">
        <v>80949.251503459207</v>
      </c>
      <c r="G16" s="112">
        <v>21.730350596046598</v>
      </c>
      <c r="H16" s="110">
        <v>48634.623407661202</v>
      </c>
      <c r="I16" s="112">
        <v>19.181973530436998</v>
      </c>
      <c r="J16" s="110">
        <v>133439.882470082</v>
      </c>
      <c r="K16" s="112">
        <v>35.8211518416106</v>
      </c>
      <c r="L16" s="114"/>
      <c r="M16" s="115"/>
      <c r="N16" s="110">
        <v>31630.790293144899</v>
      </c>
      <c r="O16" s="112">
        <v>10.060439608023799</v>
      </c>
      <c r="P16" s="114"/>
      <c r="Q16" s="115"/>
      <c r="R16" s="110">
        <v>69435.449038395498</v>
      </c>
      <c r="S16" s="112">
        <v>22.084530143977599</v>
      </c>
    </row>
    <row r="17" spans="1:19" ht="16">
      <c r="A17" s="4" t="s">
        <v>140</v>
      </c>
      <c r="B17" s="110">
        <v>1084.43109</v>
      </c>
      <c r="C17" s="112">
        <v>0.73455305888744615</v>
      </c>
      <c r="D17" s="110">
        <v>3948.4122051803101</v>
      </c>
      <c r="E17" s="103">
        <v>2.6745067422707902</v>
      </c>
      <c r="F17" s="110">
        <v>4112.67586909076</v>
      </c>
      <c r="G17" s="112">
        <v>2.1704855705446899</v>
      </c>
      <c r="H17" s="110">
        <v>5792.4564663124102</v>
      </c>
      <c r="I17" s="112">
        <v>3.9235933505466098</v>
      </c>
      <c r="J17" s="110">
        <v>6285.0074118020502</v>
      </c>
      <c r="K17" s="112">
        <v>3.3169445714424102</v>
      </c>
      <c r="L17" s="114"/>
      <c r="M17" s="115"/>
      <c r="N17" s="110">
        <v>4065.23380482023</v>
      </c>
      <c r="O17" s="112">
        <v>2.18409818734172</v>
      </c>
      <c r="P17" s="114"/>
      <c r="Q17" s="115"/>
      <c r="R17" s="110">
        <v>6090.0622392887199</v>
      </c>
      <c r="S17" s="112">
        <v>3.2719628282774602</v>
      </c>
    </row>
    <row r="18" spans="1:19" ht="16">
      <c r="A18" s="4" t="s">
        <v>141</v>
      </c>
      <c r="B18" s="110">
        <v>35994.251799999998</v>
      </c>
      <c r="C18" s="112">
        <v>1.4442297785294342</v>
      </c>
      <c r="D18" s="110">
        <v>63350.860793799198</v>
      </c>
      <c r="E18" s="103">
        <v>2.5418604480989702</v>
      </c>
      <c r="F18" s="110">
        <v>76040.412466841197</v>
      </c>
      <c r="G18" s="112">
        <v>2.9333522707811999</v>
      </c>
      <c r="H18" s="110">
        <v>297210.66579748399</v>
      </c>
      <c r="I18" s="112">
        <v>11.925142400239199</v>
      </c>
      <c r="J18" s="110">
        <v>322061.72294371697</v>
      </c>
      <c r="K18" s="112">
        <v>12.423926379155601</v>
      </c>
      <c r="L18" s="114"/>
      <c r="M18" s="115"/>
      <c r="N18" s="110">
        <v>68185.709789919303</v>
      </c>
      <c r="O18" s="112">
        <v>2.6572102239573798</v>
      </c>
      <c r="P18" s="114"/>
      <c r="Q18" s="115"/>
      <c r="R18" s="110">
        <v>306156.565018525</v>
      </c>
      <c r="S18" s="112">
        <v>11.9309802186611</v>
      </c>
    </row>
    <row r="19" spans="1:19" ht="16">
      <c r="A19" s="4" t="s">
        <v>142</v>
      </c>
      <c r="B19" s="110">
        <v>954.998243</v>
      </c>
      <c r="C19" s="112">
        <v>0.1493407221253569</v>
      </c>
      <c r="D19" s="110">
        <v>1544.7816428111801</v>
      </c>
      <c r="E19" s="103">
        <v>0.241569874872681</v>
      </c>
      <c r="F19" s="110">
        <v>2768.0610546338098</v>
      </c>
      <c r="G19" s="112">
        <v>0.34769375398762398</v>
      </c>
      <c r="H19" s="110">
        <v>3003.1129064686802</v>
      </c>
      <c r="I19" s="112">
        <v>0.46962081173102399</v>
      </c>
      <c r="J19" s="110">
        <v>4775.5724282465699</v>
      </c>
      <c r="K19" s="112">
        <v>0.59985552061332803</v>
      </c>
      <c r="L19" s="114"/>
      <c r="M19" s="115"/>
      <c r="N19" s="110">
        <v>2381.9883040588502</v>
      </c>
      <c r="O19" s="112">
        <v>0.30381737045071899</v>
      </c>
      <c r="P19" s="114"/>
      <c r="Q19" s="115"/>
      <c r="R19" s="110">
        <v>4200.2614947110096</v>
      </c>
      <c r="S19" s="112">
        <v>0.53573411773434798</v>
      </c>
    </row>
    <row r="20" spans="1:19" ht="16">
      <c r="A20" s="4" t="s">
        <v>143</v>
      </c>
      <c r="B20" s="110">
        <v>50177.576699999998</v>
      </c>
      <c r="C20" s="112">
        <v>14.226312334555979</v>
      </c>
      <c r="D20" s="110">
        <v>40408.858694313298</v>
      </c>
      <c r="E20" s="103">
        <v>11.4568052639175</v>
      </c>
      <c r="F20" s="110">
        <v>79716.553648512898</v>
      </c>
      <c r="G20" s="112">
        <v>12.6671376073792</v>
      </c>
      <c r="H20" s="110">
        <v>95002.250175946698</v>
      </c>
      <c r="I20" s="112">
        <v>26.935239327929001</v>
      </c>
      <c r="J20" s="110">
        <v>206904.883044096</v>
      </c>
      <c r="K20" s="112">
        <v>32.877645924262502</v>
      </c>
      <c r="L20" s="114"/>
      <c r="M20" s="115"/>
      <c r="N20" s="110">
        <v>59856.967598527997</v>
      </c>
      <c r="O20" s="112">
        <v>11.8467582600881</v>
      </c>
      <c r="P20" s="114"/>
      <c r="Q20" s="115"/>
      <c r="R20" s="110">
        <v>136142.05866965599</v>
      </c>
      <c r="S20" s="112">
        <v>26.944934279126798</v>
      </c>
    </row>
    <row r="21" spans="1:19" ht="16">
      <c r="A21" s="4" t="s">
        <v>144</v>
      </c>
      <c r="B21" s="110">
        <v>3347.4664600000001</v>
      </c>
      <c r="C21" s="112">
        <v>1.7805392181072188</v>
      </c>
      <c r="D21" s="110">
        <v>3437.8002592918601</v>
      </c>
      <c r="E21" s="103">
        <v>1.8286072798516599</v>
      </c>
      <c r="F21" s="110">
        <v>6310.5660891698599</v>
      </c>
      <c r="G21" s="112">
        <v>2.3489919022499297</v>
      </c>
      <c r="H21" s="110">
        <v>5758.0861491565602</v>
      </c>
      <c r="I21" s="112">
        <v>3.0627952342203799</v>
      </c>
      <c r="J21" s="110">
        <v>9671.3353860534298</v>
      </c>
      <c r="K21" s="112">
        <v>3.5999763230070601</v>
      </c>
      <c r="L21" s="114"/>
      <c r="M21" s="115"/>
      <c r="N21" s="110">
        <v>4361.0577318432497</v>
      </c>
      <c r="O21" s="112">
        <v>1.8627228154827602</v>
      </c>
      <c r="P21" s="114"/>
      <c r="Q21" s="115"/>
      <c r="R21" s="110">
        <v>7273.8078753341597</v>
      </c>
      <c r="S21" s="112">
        <v>3.1068352491395301</v>
      </c>
    </row>
    <row r="22" spans="1:19" ht="16">
      <c r="A22" s="4" t="s">
        <v>145</v>
      </c>
      <c r="B22" s="110">
        <v>2021.3137899999999</v>
      </c>
      <c r="C22" s="112">
        <v>1.152628723840492</v>
      </c>
      <c r="D22" s="110">
        <v>3538.2659590069002</v>
      </c>
      <c r="E22" s="103">
        <v>2.0176515840188798</v>
      </c>
      <c r="F22" s="110">
        <v>3538.2659590068902</v>
      </c>
      <c r="G22" s="112">
        <v>1.7173681776658001</v>
      </c>
      <c r="H22" s="110">
        <v>7744.9879388747104</v>
      </c>
      <c r="I22" s="112">
        <v>4.4164817919633501</v>
      </c>
      <c r="J22" s="110">
        <v>7744.9879388747004</v>
      </c>
      <c r="K22" s="112">
        <v>3.7591848596825397</v>
      </c>
      <c r="L22" s="114"/>
      <c r="M22" s="115"/>
      <c r="N22" s="110">
        <v>3538.2659590068902</v>
      </c>
      <c r="O22" s="112">
        <v>1.7599335966750298</v>
      </c>
      <c r="P22" s="114"/>
      <c r="Q22" s="115"/>
      <c r="R22" s="110">
        <v>7744.9879388747004</v>
      </c>
      <c r="S22" s="112">
        <v>3.8523572386554896</v>
      </c>
    </row>
    <row r="23" spans="1:19" ht="16">
      <c r="A23" s="4" t="s">
        <v>146</v>
      </c>
      <c r="B23" s="110">
        <v>3489.3434600000001</v>
      </c>
      <c r="C23" s="112">
        <v>0.46276945118957347</v>
      </c>
      <c r="D23" s="110">
        <v>3791.72103271376</v>
      </c>
      <c r="E23" s="103">
        <v>0.50287258661593304</v>
      </c>
      <c r="F23" s="110">
        <v>7609.9317846862996</v>
      </c>
      <c r="G23" s="112">
        <v>0.748400063325947</v>
      </c>
      <c r="H23" s="110">
        <v>13726.6101542864</v>
      </c>
      <c r="I23" s="112">
        <v>1.8204756874780501</v>
      </c>
      <c r="J23" s="110">
        <v>24901.692893094001</v>
      </c>
      <c r="K23" s="112">
        <v>2.4489613133743799</v>
      </c>
      <c r="L23" s="114"/>
      <c r="M23" s="115"/>
      <c r="N23" s="110">
        <v>5180.70733187728</v>
      </c>
      <c r="O23" s="112">
        <v>0.55334043427760704</v>
      </c>
      <c r="P23" s="114"/>
      <c r="Q23" s="115"/>
      <c r="R23" s="110">
        <v>18273.534869091902</v>
      </c>
      <c r="S23" s="112">
        <v>1.9517577567127902</v>
      </c>
    </row>
    <row r="24" spans="1:19" ht="16">
      <c r="A24" s="4" t="s">
        <v>147</v>
      </c>
      <c r="B24" s="110">
        <v>41.0201061</v>
      </c>
      <c r="C24" s="112">
        <v>2.7808380909266319E-2</v>
      </c>
      <c r="D24" s="110">
        <v>54.934116512677598</v>
      </c>
      <c r="E24" s="103">
        <v>3.7240991102819698E-2</v>
      </c>
      <c r="F24" s="110">
        <v>54.934116512677598</v>
      </c>
      <c r="G24" s="112">
        <v>2.6966471665450898E-2</v>
      </c>
      <c r="H24" s="110">
        <v>59.957335488622398</v>
      </c>
      <c r="I24" s="112">
        <v>4.0646336725289098E-2</v>
      </c>
      <c r="J24" s="110">
        <v>59.957335488622299</v>
      </c>
      <c r="K24" s="112">
        <v>2.9432307120416501E-2</v>
      </c>
      <c r="L24" s="114"/>
      <c r="M24" s="115"/>
      <c r="N24" s="110">
        <v>54.934116512677598</v>
      </c>
      <c r="O24" s="112">
        <v>2.8204738620072403E-2</v>
      </c>
      <c r="P24" s="114"/>
      <c r="Q24" s="115"/>
      <c r="R24" s="110">
        <v>59.957335488622299</v>
      </c>
      <c r="S24" s="112">
        <v>3.0783802182789598E-2</v>
      </c>
    </row>
    <row r="25" spans="1:19" ht="16">
      <c r="A25" s="4" t="s">
        <v>148</v>
      </c>
      <c r="B25" s="110">
        <v>9984.2221100000006</v>
      </c>
      <c r="C25" s="112">
        <v>10.685665252612553</v>
      </c>
      <c r="D25" s="110">
        <v>30487.3983429072</v>
      </c>
      <c r="E25" s="103">
        <v>32.629404657101901</v>
      </c>
      <c r="F25" s="110">
        <v>47395.3866361029</v>
      </c>
      <c r="G25" s="112">
        <v>40.519475194138899</v>
      </c>
      <c r="H25" s="110">
        <v>53832.041847926703</v>
      </c>
      <c r="I25" s="112">
        <v>57.614213492988704</v>
      </c>
      <c r="J25" s="110">
        <v>77196.050176469304</v>
      </c>
      <c r="K25" s="112">
        <v>65.9967912958912</v>
      </c>
      <c r="L25" s="114"/>
      <c r="M25" s="115"/>
      <c r="N25" s="110">
        <v>40646.486180878499</v>
      </c>
      <c r="O25" s="112">
        <v>37.208725027831903</v>
      </c>
      <c r="P25" s="114"/>
      <c r="Q25" s="115"/>
      <c r="R25" s="110">
        <v>68653.149246155604</v>
      </c>
      <c r="S25" s="112">
        <v>62.846666283213303</v>
      </c>
    </row>
    <row r="26" spans="1:19" ht="16">
      <c r="A26" s="4" t="s">
        <v>149</v>
      </c>
      <c r="B26" s="110">
        <v>29303.271700000001</v>
      </c>
      <c r="C26" s="112">
        <v>16.091880392437435</v>
      </c>
      <c r="D26" s="110">
        <v>28747.500720754098</v>
      </c>
      <c r="E26" s="103">
        <v>15.786678960685199</v>
      </c>
      <c r="F26" s="110">
        <v>44233.424532110097</v>
      </c>
      <c r="G26" s="112">
        <v>16.567818372604002</v>
      </c>
      <c r="H26" s="110">
        <v>36447.824404802202</v>
      </c>
      <c r="I26" s="112">
        <v>20.015308749210298</v>
      </c>
      <c r="J26" s="110">
        <v>56012.950334334302</v>
      </c>
      <c r="K26" s="112">
        <v>20.979890150247599</v>
      </c>
      <c r="L26" s="114"/>
      <c r="M26" s="115"/>
      <c r="N26" s="110">
        <v>38345.5213116421</v>
      </c>
      <c r="O26" s="112">
        <v>16.248888281929499</v>
      </c>
      <c r="P26" s="114"/>
      <c r="Q26" s="115"/>
      <c r="R26" s="110">
        <v>47148.753289379099</v>
      </c>
      <c r="S26" s="112">
        <v>19.979251777671799</v>
      </c>
    </row>
    <row r="27" spans="1:19" ht="16">
      <c r="A27" s="4" t="s">
        <v>150</v>
      </c>
      <c r="B27" s="110">
        <v>23600.050299999999</v>
      </c>
      <c r="C27" s="112">
        <v>6.4901562095981786</v>
      </c>
      <c r="D27" s="110">
        <v>19769.389759619899</v>
      </c>
      <c r="E27" s="103">
        <v>5.43650202929273</v>
      </c>
      <c r="F27" s="110">
        <v>44901.619668833802</v>
      </c>
      <c r="G27" s="112">
        <v>6.5988998069952798</v>
      </c>
      <c r="H27" s="110">
        <v>35928.8739722092</v>
      </c>
      <c r="I27" s="112">
        <v>9.8802946694432592</v>
      </c>
      <c r="J27" s="110">
        <v>89510.304316228197</v>
      </c>
      <c r="K27" s="112">
        <v>13.1547488538911</v>
      </c>
      <c r="L27" s="114"/>
      <c r="M27" s="115"/>
      <c r="N27" s="110">
        <v>30696.375479178001</v>
      </c>
      <c r="O27" s="112">
        <v>5.3765537938150896</v>
      </c>
      <c r="P27" s="114"/>
      <c r="Q27" s="115"/>
      <c r="R27" s="110">
        <v>54273.511367938001</v>
      </c>
      <c r="S27" s="112">
        <v>9.5061533778439102</v>
      </c>
    </row>
    <row r="28" spans="1:19" ht="16">
      <c r="A28" s="4" t="s">
        <v>151</v>
      </c>
      <c r="B28" s="110">
        <v>3219.4254799999999</v>
      </c>
      <c r="C28" s="112">
        <v>8.6609290785197815E-2</v>
      </c>
      <c r="D28" s="110">
        <v>3152.9996079473499</v>
      </c>
      <c r="E28" s="103">
        <v>8.4822294815583399E-2</v>
      </c>
      <c r="F28" s="110">
        <v>3318.7551935076599</v>
      </c>
      <c r="G28" s="112">
        <v>7.6459377030149503E-2</v>
      </c>
      <c r="H28" s="110">
        <v>6309.2675959357903</v>
      </c>
      <c r="I28" s="112">
        <v>0.16973251590135</v>
      </c>
      <c r="J28" s="110">
        <v>6747.4065495949999</v>
      </c>
      <c r="K28" s="112">
        <v>0.15545060460030899</v>
      </c>
      <c r="L28" s="114"/>
      <c r="M28" s="115"/>
      <c r="N28" s="110">
        <v>3219.739044641</v>
      </c>
      <c r="O28" s="112">
        <v>7.4252570509283897E-2</v>
      </c>
      <c r="P28" s="114"/>
      <c r="Q28" s="115"/>
      <c r="R28" s="110">
        <v>6600.0734234689799</v>
      </c>
      <c r="S28" s="112">
        <v>0.15220873817655101</v>
      </c>
    </row>
    <row r="29" spans="1:19" ht="16">
      <c r="A29" s="4" t="s">
        <v>152</v>
      </c>
      <c r="B29" s="110">
        <v>5.86830389</v>
      </c>
      <c r="C29" s="112">
        <v>2.843798167089481E-2</v>
      </c>
      <c r="D29" s="110">
        <v>0.88071974192533897</v>
      </c>
      <c r="E29" s="103">
        <v>4.2679950390287803E-3</v>
      </c>
      <c r="F29" s="110">
        <v>3.9184421831709999</v>
      </c>
      <c r="G29" s="112">
        <v>1.01653742499557E-2</v>
      </c>
      <c r="H29" s="110">
        <v>38.566803758265202</v>
      </c>
      <c r="I29" s="112">
        <v>0.18689592077456399</v>
      </c>
      <c r="J29" s="110">
        <v>170.70380194338099</v>
      </c>
      <c r="K29" s="112">
        <v>0.44284640464964803</v>
      </c>
      <c r="L29" s="114"/>
      <c r="M29" s="115"/>
      <c r="N29" s="110">
        <v>2.7478488856700598</v>
      </c>
      <c r="O29" s="112">
        <v>8.1851095424817794E-3</v>
      </c>
      <c r="P29" s="114"/>
      <c r="Q29" s="115"/>
      <c r="R29" s="110">
        <v>119.57223202608201</v>
      </c>
      <c r="S29" s="112">
        <v>0.35617381380631202</v>
      </c>
    </row>
    <row r="30" spans="1:19" ht="16">
      <c r="A30" s="4" t="s">
        <v>153</v>
      </c>
      <c r="B30" s="110">
        <v>314.15935500000001</v>
      </c>
      <c r="C30" s="112">
        <v>3.7737773768661401E-2</v>
      </c>
      <c r="D30" s="110">
        <v>203.267867343918</v>
      </c>
      <c r="E30" s="103">
        <v>2.4417152198118401E-2</v>
      </c>
      <c r="F30" s="110">
        <v>308.44958025801901</v>
      </c>
      <c r="G30" s="112">
        <v>2.7264512161922903E-2</v>
      </c>
      <c r="H30" s="110">
        <v>899.96824316368202</v>
      </c>
      <c r="I30" s="112">
        <v>0.108106912587521</v>
      </c>
      <c r="J30" s="110">
        <v>1305.5140528079301</v>
      </c>
      <c r="K30" s="112">
        <v>0.11539715418179</v>
      </c>
      <c r="L30" s="114"/>
      <c r="M30" s="115"/>
      <c r="N30" s="110">
        <v>293.19047645062699</v>
      </c>
      <c r="O30" s="112">
        <v>2.6006925261280598E-2</v>
      </c>
      <c r="P30" s="114"/>
      <c r="Q30" s="115"/>
      <c r="R30" s="110">
        <v>1264.19238835639</v>
      </c>
      <c r="S30" s="112">
        <v>0.112137874865117</v>
      </c>
    </row>
    <row r="31" spans="1:19" ht="16">
      <c r="A31" s="4" t="s">
        <v>154</v>
      </c>
      <c r="B31" s="110">
        <v>11035.38</v>
      </c>
      <c r="C31" s="112">
        <v>1.8621831212474176</v>
      </c>
      <c r="D31" s="110">
        <v>12610.165882567801</v>
      </c>
      <c r="E31" s="103">
        <v>2.1279619889670101</v>
      </c>
      <c r="F31" s="110">
        <v>44764.082297137902</v>
      </c>
      <c r="G31" s="112">
        <v>4.7675072294266698</v>
      </c>
      <c r="H31" s="110">
        <v>41272.550738183898</v>
      </c>
      <c r="I31" s="112">
        <v>6.9647314695501601</v>
      </c>
      <c r="J31" s="110">
        <v>111261.540865982</v>
      </c>
      <c r="K31" s="112">
        <v>11.849683344667501</v>
      </c>
      <c r="L31" s="114"/>
      <c r="M31" s="115"/>
      <c r="N31" s="110">
        <v>19038.9855245699</v>
      </c>
      <c r="O31" s="112">
        <v>2.3025808945455704</v>
      </c>
      <c r="P31" s="114"/>
      <c r="Q31" s="115"/>
      <c r="R31" s="110">
        <v>63369.484871617897</v>
      </c>
      <c r="S31" s="112">
        <v>7.6639254215661801</v>
      </c>
    </row>
    <row r="32" spans="1:19">
      <c r="A32" s="8" t="s">
        <v>155</v>
      </c>
      <c r="B32" s="109">
        <v>284185.11788298999</v>
      </c>
      <c r="C32" s="113">
        <v>1.744276630161594</v>
      </c>
      <c r="D32" s="109">
        <v>334984.32662925101</v>
      </c>
      <c r="E32" s="108">
        <v>2.0560705989960102</v>
      </c>
      <c r="F32" s="109">
        <v>675523.666796381</v>
      </c>
      <c r="G32" s="113">
        <v>3.13068218030643</v>
      </c>
      <c r="H32" s="109">
        <v>896130.25973563397</v>
      </c>
      <c r="I32" s="113">
        <v>5.50027847109493</v>
      </c>
      <c r="J32" s="109">
        <v>1622263.4157116599</v>
      </c>
      <c r="K32" s="113">
        <v>7.5183023437466296</v>
      </c>
      <c r="L32" s="116"/>
      <c r="M32" s="117"/>
      <c r="N32" s="109">
        <v>447053.13098796899</v>
      </c>
      <c r="O32" s="113">
        <v>2.2115883026069798</v>
      </c>
      <c r="P32" s="116"/>
      <c r="Q32" s="117"/>
      <c r="R32" s="109">
        <v>1137427.66150383</v>
      </c>
      <c r="S32" s="113">
        <v>5.6268965294668503</v>
      </c>
    </row>
  </sheetData>
  <mergeCells count="17">
    <mergeCell ref="J5:K5"/>
    <mergeCell ref="B2:C5"/>
    <mergeCell ref="D5:E5"/>
    <mergeCell ref="F5:G5"/>
    <mergeCell ref="L5:M5"/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baseColWidth="10" defaultColWidth="8.5" defaultRowHeight="15"/>
  <cols>
    <col min="1" max="1" width="17.5" style="4" customWidth="1"/>
    <col min="2" max="11" width="10.5" style="4" customWidth="1"/>
    <col min="12" max="16384" width="8.5" style="4"/>
  </cols>
  <sheetData>
    <row r="1" spans="1:11">
      <c r="A1" s="13"/>
      <c r="B1" s="13"/>
      <c r="C1" s="13"/>
    </row>
    <row r="2" spans="1:11">
      <c r="B2" s="210" t="s">
        <v>122</v>
      </c>
      <c r="C2" s="211"/>
      <c r="D2" s="218" t="s">
        <v>123</v>
      </c>
      <c r="E2" s="217"/>
      <c r="F2" s="217"/>
      <c r="G2" s="217"/>
      <c r="H2" s="217"/>
      <c r="I2" s="217"/>
      <c r="J2" s="217"/>
      <c r="K2" s="219"/>
    </row>
    <row r="3" spans="1:11">
      <c r="B3" s="210"/>
      <c r="C3" s="211"/>
      <c r="D3" s="218">
        <v>2050</v>
      </c>
      <c r="E3" s="217"/>
      <c r="F3" s="217"/>
      <c r="G3" s="217"/>
      <c r="H3" s="217"/>
      <c r="I3" s="217"/>
      <c r="J3" s="217"/>
      <c r="K3" s="219"/>
    </row>
    <row r="4" spans="1:11" ht="29" customHeight="1">
      <c r="A4" s="14"/>
      <c r="B4" s="210"/>
      <c r="C4" s="211"/>
      <c r="D4" s="220" t="s">
        <v>125</v>
      </c>
      <c r="E4" s="221"/>
      <c r="F4" s="221"/>
      <c r="G4" s="222"/>
      <c r="H4" s="221" t="s">
        <v>126</v>
      </c>
      <c r="I4" s="221"/>
      <c r="J4" s="221"/>
      <c r="K4" s="221"/>
    </row>
    <row r="5" spans="1:11" ht="29" customHeight="1">
      <c r="A5" s="14"/>
      <c r="B5" s="212"/>
      <c r="C5" s="213"/>
      <c r="D5" s="214" t="s">
        <v>127</v>
      </c>
      <c r="E5" s="215"/>
      <c r="F5" s="215" t="s">
        <v>128</v>
      </c>
      <c r="G5" s="216"/>
      <c r="H5" s="214" t="s">
        <v>127</v>
      </c>
      <c r="I5" s="215"/>
      <c r="J5" s="215" t="s">
        <v>128</v>
      </c>
      <c r="K5" s="216"/>
    </row>
    <row r="6" spans="1:11" ht="16">
      <c r="A6" s="7"/>
      <c r="B6" s="11" t="s">
        <v>129</v>
      </c>
      <c r="C6" s="10" t="s">
        <v>99</v>
      </c>
      <c r="D6" s="10" t="s">
        <v>129</v>
      </c>
      <c r="E6" s="10" t="s">
        <v>99</v>
      </c>
      <c r="F6" s="10" t="s">
        <v>129</v>
      </c>
      <c r="G6" s="10" t="s">
        <v>99</v>
      </c>
      <c r="H6" s="10" t="s">
        <v>129</v>
      </c>
      <c r="I6" s="10" t="s">
        <v>99</v>
      </c>
      <c r="J6" s="10" t="s">
        <v>129</v>
      </c>
      <c r="K6" s="10" t="s">
        <v>99</v>
      </c>
    </row>
    <row r="7" spans="1:11">
      <c r="A7" s="4" t="s">
        <v>130</v>
      </c>
      <c r="D7" s="5"/>
      <c r="E7" s="5"/>
      <c r="F7" s="5"/>
      <c r="G7" s="5"/>
      <c r="H7" s="5"/>
      <c r="I7" s="5"/>
      <c r="J7" s="5"/>
      <c r="K7" s="5"/>
    </row>
    <row r="8" spans="1:11">
      <c r="A8" s="4" t="s">
        <v>131</v>
      </c>
      <c r="D8" s="5"/>
      <c r="E8" s="5"/>
      <c r="F8" s="5"/>
      <c r="G8" s="5"/>
      <c r="H8" s="5"/>
      <c r="I8" s="5"/>
      <c r="J8" s="5"/>
      <c r="K8" s="5"/>
    </row>
    <row r="9" spans="1:11">
      <c r="A9" s="4" t="s">
        <v>132</v>
      </c>
      <c r="D9" s="5"/>
      <c r="E9" s="5"/>
      <c r="F9" s="5"/>
      <c r="G9" s="5"/>
      <c r="H9" s="5"/>
      <c r="I9" s="5"/>
      <c r="J9" s="5"/>
      <c r="K9" s="5"/>
    </row>
    <row r="10" spans="1:11">
      <c r="A10" s="4" t="s">
        <v>133</v>
      </c>
      <c r="D10" s="5"/>
      <c r="E10" s="5"/>
      <c r="F10" s="5"/>
      <c r="G10" s="5"/>
      <c r="H10" s="5"/>
      <c r="I10" s="5"/>
      <c r="J10" s="5"/>
      <c r="K10" s="5"/>
    </row>
    <row r="11" spans="1:11">
      <c r="A11" s="4" t="s">
        <v>134</v>
      </c>
      <c r="D11" s="5"/>
      <c r="E11" s="5"/>
      <c r="F11" s="5"/>
      <c r="G11" s="5"/>
      <c r="H11" s="5"/>
      <c r="I11" s="5"/>
      <c r="J11" s="5"/>
      <c r="K11" s="5"/>
    </row>
    <row r="12" spans="1:11">
      <c r="A12" s="4" t="s">
        <v>135</v>
      </c>
      <c r="D12" s="5"/>
      <c r="E12" s="5"/>
      <c r="F12" s="5"/>
      <c r="G12" s="5"/>
      <c r="H12" s="5"/>
      <c r="I12" s="5"/>
      <c r="J12" s="5"/>
      <c r="K12" s="5"/>
    </row>
    <row r="13" spans="1:11">
      <c r="A13" s="4" t="s">
        <v>136</v>
      </c>
      <c r="D13" s="5"/>
      <c r="E13" s="5"/>
      <c r="F13" s="5"/>
      <c r="G13" s="5"/>
      <c r="H13" s="5"/>
      <c r="I13" s="5"/>
      <c r="J13" s="5"/>
      <c r="K13" s="5"/>
    </row>
    <row r="14" spans="1:11">
      <c r="A14" s="4" t="s">
        <v>137</v>
      </c>
      <c r="D14" s="5"/>
      <c r="E14" s="5"/>
      <c r="F14" s="5"/>
      <c r="G14" s="5"/>
      <c r="H14" s="5"/>
      <c r="I14" s="5"/>
      <c r="J14" s="5"/>
      <c r="K14" s="5"/>
    </row>
    <row r="15" spans="1:11">
      <c r="A15" s="4" t="s">
        <v>138</v>
      </c>
      <c r="D15" s="5"/>
      <c r="E15" s="5"/>
      <c r="F15" s="5"/>
      <c r="G15" s="5"/>
      <c r="H15" s="5"/>
      <c r="I15" s="5"/>
      <c r="J15" s="5"/>
      <c r="K15" s="5"/>
    </row>
    <row r="16" spans="1:11">
      <c r="A16" s="4" t="s">
        <v>139</v>
      </c>
      <c r="D16" s="5"/>
      <c r="E16" s="5"/>
      <c r="F16" s="5"/>
      <c r="G16" s="5"/>
      <c r="H16" s="5"/>
      <c r="I16" s="5"/>
      <c r="J16" s="5"/>
      <c r="K16" s="5"/>
    </row>
    <row r="17" spans="1:11">
      <c r="A17" s="4" t="s">
        <v>140</v>
      </c>
      <c r="D17" s="5"/>
      <c r="E17" s="5"/>
      <c r="F17" s="5"/>
      <c r="G17" s="5"/>
      <c r="H17" s="5"/>
      <c r="I17" s="5"/>
      <c r="J17" s="5"/>
      <c r="K17" s="5"/>
    </row>
    <row r="18" spans="1:11">
      <c r="A18" s="4" t="s">
        <v>141</v>
      </c>
      <c r="D18" s="5"/>
      <c r="E18" s="5"/>
      <c r="F18" s="5"/>
      <c r="G18" s="5"/>
      <c r="H18" s="6"/>
      <c r="I18" s="6"/>
      <c r="J18" s="6"/>
      <c r="K18" s="6"/>
    </row>
    <row r="19" spans="1:11">
      <c r="A19" s="4" t="s">
        <v>142</v>
      </c>
      <c r="D19" s="5"/>
      <c r="E19" s="5"/>
      <c r="F19" s="5"/>
      <c r="G19" s="5"/>
      <c r="H19" s="5"/>
      <c r="I19" s="5"/>
      <c r="J19" s="5"/>
      <c r="K19" s="5"/>
    </row>
    <row r="20" spans="1:11">
      <c r="A20" s="4" t="s">
        <v>143</v>
      </c>
      <c r="D20" s="5"/>
      <c r="E20" s="5"/>
      <c r="F20" s="5"/>
      <c r="G20" s="5"/>
      <c r="H20" s="5"/>
      <c r="I20" s="5"/>
      <c r="J20" s="5"/>
      <c r="K20" s="5"/>
    </row>
    <row r="21" spans="1:11">
      <c r="A21" s="4" t="s">
        <v>144</v>
      </c>
      <c r="D21" s="5"/>
      <c r="E21" s="5"/>
      <c r="F21" s="5"/>
      <c r="G21" s="5"/>
      <c r="H21" s="5"/>
      <c r="I21" s="5"/>
      <c r="J21" s="5"/>
      <c r="K21" s="5"/>
    </row>
    <row r="22" spans="1:11">
      <c r="A22" s="4" t="s">
        <v>145</v>
      </c>
      <c r="D22" s="5"/>
      <c r="E22" s="5"/>
      <c r="F22" s="5"/>
      <c r="G22" s="5"/>
      <c r="H22" s="5"/>
      <c r="I22" s="5"/>
      <c r="J22" s="5"/>
      <c r="K22" s="5"/>
    </row>
    <row r="23" spans="1:11">
      <c r="A23" s="4" t="s">
        <v>146</v>
      </c>
      <c r="D23" s="5"/>
      <c r="E23" s="5"/>
      <c r="F23" s="5"/>
      <c r="G23" s="5"/>
      <c r="H23" s="5"/>
      <c r="I23" s="5"/>
      <c r="J23" s="5"/>
      <c r="K23" s="5"/>
    </row>
    <row r="24" spans="1:11">
      <c r="A24" s="4" t="s">
        <v>147</v>
      </c>
      <c r="D24" s="5"/>
      <c r="E24" s="5"/>
      <c r="F24" s="5"/>
      <c r="G24" s="5"/>
      <c r="H24" s="5"/>
      <c r="I24" s="5"/>
      <c r="J24" s="5"/>
      <c r="K24" s="5"/>
    </row>
    <row r="25" spans="1:11">
      <c r="A25" s="4" t="s">
        <v>148</v>
      </c>
      <c r="D25" s="5"/>
      <c r="E25" s="5"/>
      <c r="F25" s="5"/>
      <c r="G25" s="5"/>
      <c r="H25" s="5"/>
      <c r="I25" s="5"/>
      <c r="J25" s="5"/>
      <c r="K25" s="5"/>
    </row>
    <row r="26" spans="1:11">
      <c r="A26" s="4" t="s">
        <v>149</v>
      </c>
      <c r="D26" s="5"/>
      <c r="E26" s="5"/>
      <c r="F26" s="5"/>
      <c r="G26" s="5"/>
      <c r="H26" s="5"/>
      <c r="I26" s="5"/>
      <c r="J26" s="5"/>
      <c r="K26" s="5"/>
    </row>
    <row r="27" spans="1:11">
      <c r="A27" s="4" t="s">
        <v>150</v>
      </c>
      <c r="D27" s="5"/>
      <c r="E27" s="5"/>
      <c r="F27" s="5"/>
      <c r="G27" s="5"/>
      <c r="H27" s="5"/>
      <c r="I27" s="5"/>
      <c r="J27" s="5"/>
      <c r="K27" s="5"/>
    </row>
    <row r="28" spans="1:11">
      <c r="A28" s="4" t="s">
        <v>151</v>
      </c>
      <c r="D28" s="5"/>
      <c r="E28" s="5"/>
      <c r="F28" s="5"/>
      <c r="G28" s="5"/>
      <c r="H28" s="5"/>
      <c r="I28" s="5"/>
      <c r="J28" s="5"/>
      <c r="K28" s="5"/>
    </row>
    <row r="29" spans="1:11">
      <c r="A29" s="4" t="s">
        <v>152</v>
      </c>
      <c r="D29" s="5"/>
      <c r="E29" s="5"/>
      <c r="F29" s="5"/>
      <c r="G29" s="5"/>
      <c r="H29" s="6"/>
      <c r="I29" s="6"/>
      <c r="J29" s="6"/>
      <c r="K29" s="6"/>
    </row>
    <row r="30" spans="1:11">
      <c r="A30" s="4" t="s">
        <v>153</v>
      </c>
      <c r="D30" s="5"/>
      <c r="E30" s="5"/>
      <c r="F30" s="5"/>
      <c r="G30" s="5"/>
      <c r="H30" s="6"/>
      <c r="I30" s="6"/>
      <c r="J30" s="6"/>
      <c r="K30" s="6"/>
    </row>
    <row r="31" spans="1:11">
      <c r="A31" s="4" t="s">
        <v>154</v>
      </c>
    </row>
    <row r="32" spans="1:11">
      <c r="A32" s="8" t="s">
        <v>155</v>
      </c>
      <c r="B32" s="8"/>
      <c r="C32" s="8"/>
      <c r="D32" s="8"/>
      <c r="E32" s="8"/>
      <c r="F32" s="8"/>
      <c r="G32" s="8"/>
      <c r="H32" s="8"/>
      <c r="I32" s="8"/>
      <c r="J32" s="8"/>
      <c r="K32" s="8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17" sqref="B17"/>
    </sheetView>
  </sheetViews>
  <sheetFormatPr baseColWidth="10" defaultColWidth="8.5" defaultRowHeight="15"/>
  <cols>
    <col min="1" max="1" width="21.1640625" style="4" customWidth="1"/>
    <col min="2" max="19" width="10.5" style="4" customWidth="1"/>
    <col min="20" max="16384" width="8.5" style="4"/>
  </cols>
  <sheetData>
    <row r="1" spans="1:19">
      <c r="A1"/>
      <c r="B1" s="210" t="s">
        <v>122</v>
      </c>
      <c r="C1" s="211"/>
      <c r="D1" s="218" t="s">
        <v>123</v>
      </c>
      <c r="E1" s="217"/>
      <c r="F1" s="217"/>
      <c r="G1" s="217"/>
      <c r="H1" s="217"/>
      <c r="I1" s="217"/>
      <c r="J1" s="217"/>
      <c r="K1" s="219"/>
      <c r="L1" s="217" t="s">
        <v>124</v>
      </c>
      <c r="M1" s="217"/>
      <c r="N1" s="217"/>
      <c r="O1" s="217"/>
      <c r="P1" s="217"/>
      <c r="Q1" s="217"/>
      <c r="R1" s="217"/>
      <c r="S1" s="217"/>
    </row>
    <row r="2" spans="1:19">
      <c r="A2"/>
      <c r="B2" s="210"/>
      <c r="C2" s="211"/>
      <c r="D2" s="218">
        <v>2050</v>
      </c>
      <c r="E2" s="217"/>
      <c r="F2" s="217"/>
      <c r="G2" s="217"/>
      <c r="H2" s="217"/>
      <c r="I2" s="217"/>
      <c r="J2" s="217"/>
      <c r="K2" s="219"/>
      <c r="L2" s="217">
        <v>2050</v>
      </c>
      <c r="M2" s="217"/>
      <c r="N2" s="217"/>
      <c r="O2" s="217"/>
      <c r="P2" s="217"/>
      <c r="Q2" s="217"/>
      <c r="R2" s="217"/>
      <c r="S2" s="217"/>
    </row>
    <row r="3" spans="1:19">
      <c r="A3" s="14"/>
      <c r="B3" s="210"/>
      <c r="C3" s="211"/>
      <c r="D3" s="220" t="s">
        <v>125</v>
      </c>
      <c r="E3" s="221"/>
      <c r="F3" s="221"/>
      <c r="G3" s="222"/>
      <c r="H3" s="221" t="s">
        <v>126</v>
      </c>
      <c r="I3" s="221"/>
      <c r="J3" s="221"/>
      <c r="K3" s="222"/>
      <c r="L3" s="220" t="s">
        <v>125</v>
      </c>
      <c r="M3" s="221"/>
      <c r="N3" s="221"/>
      <c r="O3" s="222"/>
      <c r="P3" s="221" t="s">
        <v>126</v>
      </c>
      <c r="Q3" s="221"/>
      <c r="R3" s="221"/>
      <c r="S3" s="221"/>
    </row>
    <row r="4" spans="1:19" ht="29" customHeight="1">
      <c r="A4" s="14"/>
      <c r="B4" s="212"/>
      <c r="C4" s="213"/>
      <c r="D4" s="214" t="s">
        <v>127</v>
      </c>
      <c r="E4" s="215"/>
      <c r="F4" s="215" t="s">
        <v>128</v>
      </c>
      <c r="G4" s="216"/>
      <c r="H4" s="214" t="s">
        <v>127</v>
      </c>
      <c r="I4" s="215"/>
      <c r="J4" s="215" t="s">
        <v>128</v>
      </c>
      <c r="K4" s="216"/>
      <c r="L4" s="214" t="s">
        <v>127</v>
      </c>
      <c r="M4" s="215"/>
      <c r="N4" s="215" t="s">
        <v>128</v>
      </c>
      <c r="O4" s="216"/>
      <c r="P4" s="214" t="s">
        <v>127</v>
      </c>
      <c r="Q4" s="215"/>
      <c r="R4" s="215" t="s">
        <v>128</v>
      </c>
      <c r="S4" s="216"/>
    </row>
    <row r="5" spans="1:19" ht="29" customHeight="1">
      <c r="A5" s="7"/>
      <c r="B5" s="11" t="s">
        <v>156</v>
      </c>
      <c r="C5" s="12" t="s">
        <v>99</v>
      </c>
      <c r="D5" s="11" t="s">
        <v>1</v>
      </c>
      <c r="E5" s="9" t="s">
        <v>99</v>
      </c>
      <c r="F5" s="9" t="s">
        <v>1</v>
      </c>
      <c r="G5" s="12" t="s">
        <v>99</v>
      </c>
      <c r="H5" s="9" t="s">
        <v>1</v>
      </c>
      <c r="I5" s="9" t="s">
        <v>99</v>
      </c>
      <c r="J5" s="9" t="s">
        <v>1</v>
      </c>
      <c r="K5" s="12" t="s">
        <v>99</v>
      </c>
      <c r="L5" s="11" t="s">
        <v>1</v>
      </c>
      <c r="M5" s="9" t="s">
        <v>99</v>
      </c>
      <c r="N5" s="9" t="s">
        <v>1</v>
      </c>
      <c r="O5" s="12" t="s">
        <v>99</v>
      </c>
      <c r="P5" s="9" t="s">
        <v>1</v>
      </c>
      <c r="Q5" s="9" t="s">
        <v>99</v>
      </c>
      <c r="R5" s="9" t="s">
        <v>1</v>
      </c>
      <c r="S5" s="12" t="s">
        <v>99</v>
      </c>
    </row>
    <row r="6" spans="1:19">
      <c r="A6" s="4" t="s">
        <v>130</v>
      </c>
      <c r="B6" s="104">
        <v>2.2192594789976701</v>
      </c>
      <c r="C6" s="104">
        <v>0.11372062297667399</v>
      </c>
      <c r="D6" s="104">
        <v>3.3691257758603701</v>
      </c>
      <c r="E6" s="104">
        <v>0.17264276022858602</v>
      </c>
      <c r="F6" s="104">
        <v>123.293625755015</v>
      </c>
      <c r="G6" s="104">
        <v>1.3704306661946299</v>
      </c>
      <c r="H6" s="104">
        <v>9.4811951267940398</v>
      </c>
      <c r="I6" s="104">
        <v>0.48584107743426097</v>
      </c>
      <c r="J6" s="104">
        <v>364.20156844228097</v>
      </c>
      <c r="K6" s="104">
        <v>4.0481654668929998</v>
      </c>
      <c r="L6" s="119"/>
      <c r="M6" s="119"/>
      <c r="N6" s="104">
        <v>4.6686153204893603</v>
      </c>
      <c r="O6" s="104">
        <v>0.190582086294315</v>
      </c>
      <c r="P6" s="119"/>
      <c r="Q6" s="119"/>
      <c r="R6" s="104">
        <v>13.2143289429733</v>
      </c>
      <c r="S6" s="104">
        <v>0.53943497290910503</v>
      </c>
    </row>
    <row r="7" spans="1:19">
      <c r="A7" s="4" t="s">
        <v>131</v>
      </c>
      <c r="B7" s="104">
        <v>7.65273977597366</v>
      </c>
      <c r="C7" s="104">
        <v>0.18245795147396598</v>
      </c>
      <c r="D7" s="104">
        <v>8.1497874076024992</v>
      </c>
      <c r="E7" s="104">
        <v>0.194308647473942</v>
      </c>
      <c r="F7" s="104">
        <v>14.3687289133506</v>
      </c>
      <c r="G7" s="104">
        <v>0.24306769756732702</v>
      </c>
      <c r="H7" s="104">
        <v>20.009759609131699</v>
      </c>
      <c r="I7" s="104">
        <v>0.47707616548403797</v>
      </c>
      <c r="J7" s="104">
        <v>39.5854601530596</v>
      </c>
      <c r="K7" s="104">
        <v>0.66964494316593504</v>
      </c>
      <c r="L7" s="119"/>
      <c r="M7" s="119"/>
      <c r="N7" s="104">
        <v>10.7642956817987</v>
      </c>
      <c r="O7" s="104">
        <v>0.19970244652469599</v>
      </c>
      <c r="P7" s="119"/>
      <c r="Q7" s="119"/>
      <c r="R7" s="104">
        <v>28.070619294247901</v>
      </c>
      <c r="S7" s="104">
        <v>0.52077456010460799</v>
      </c>
    </row>
    <row r="8" spans="1:19">
      <c r="A8" s="4" t="s">
        <v>132</v>
      </c>
      <c r="B8" s="104">
        <v>51.525438001706497</v>
      </c>
      <c r="C8" s="104">
        <v>2.4497995816643701</v>
      </c>
      <c r="D8" s="104">
        <v>29.6230166125365</v>
      </c>
      <c r="E8" s="104">
        <v>1.40843933636479</v>
      </c>
      <c r="F8" s="104">
        <v>102.320697660813</v>
      </c>
      <c r="G8" s="104">
        <v>2.6828660461829599</v>
      </c>
      <c r="H8" s="104">
        <v>93.368918434151396</v>
      </c>
      <c r="I8" s="104">
        <v>4.4392662380252501</v>
      </c>
      <c r="J8" s="104">
        <v>307.35176893860398</v>
      </c>
      <c r="K8" s="104">
        <v>8.0588155082082906</v>
      </c>
      <c r="L8" s="119"/>
      <c r="M8" s="119"/>
      <c r="N8" s="104">
        <v>43.446352309208798</v>
      </c>
      <c r="O8" s="104">
        <v>1.4865303838446999</v>
      </c>
      <c r="P8" s="119"/>
      <c r="Q8" s="119"/>
      <c r="R8" s="104">
        <v>137.67270569706</v>
      </c>
      <c r="S8" s="104">
        <v>4.71051421275273</v>
      </c>
    </row>
    <row r="9" spans="1:19">
      <c r="A9" s="4" t="s">
        <v>133</v>
      </c>
      <c r="B9" s="104">
        <v>35.7100914909309</v>
      </c>
      <c r="C9" s="104">
        <v>2.8243631706635299</v>
      </c>
      <c r="D9" s="104">
        <v>32.803733340532098</v>
      </c>
      <c r="E9" s="104">
        <v>2.5944950695742803</v>
      </c>
      <c r="F9" s="104">
        <v>76.044019513995806</v>
      </c>
      <c r="G9" s="104">
        <v>1.1463485538890201</v>
      </c>
      <c r="H9" s="104">
        <v>66.622841997936703</v>
      </c>
      <c r="I9" s="104">
        <v>5.2692976525052</v>
      </c>
      <c r="J9" s="104">
        <v>149.57171663499199</v>
      </c>
      <c r="K9" s="104">
        <v>2.25476404539168</v>
      </c>
      <c r="L9" s="119"/>
      <c r="M9" s="119"/>
      <c r="N9" s="104">
        <v>47.497475494033097</v>
      </c>
      <c r="O9" s="104">
        <v>2.8434665955841298</v>
      </c>
      <c r="P9" s="119"/>
      <c r="Q9" s="119"/>
      <c r="R9" s="104">
        <v>93.8077692539335</v>
      </c>
      <c r="S9" s="104">
        <v>5.6158618011884203</v>
      </c>
    </row>
    <row r="10" spans="1:19">
      <c r="A10" s="4" t="s">
        <v>134</v>
      </c>
      <c r="B10" s="104">
        <v>1.2650458659789601</v>
      </c>
      <c r="C10" s="104">
        <v>6.0316056657439707E-2</v>
      </c>
      <c r="D10" s="104">
        <v>1.0681459250704399</v>
      </c>
      <c r="E10" s="104">
        <v>5.09280745209231E-2</v>
      </c>
      <c r="F10" s="104">
        <v>1.8513185964685499</v>
      </c>
      <c r="G10" s="104">
        <v>5.3682215128597596E-2</v>
      </c>
      <c r="H10" s="104">
        <v>2.4699107722582898</v>
      </c>
      <c r="I10" s="104">
        <v>0.117762748438426</v>
      </c>
      <c r="J10" s="104">
        <v>4.5158247039743502</v>
      </c>
      <c r="K10" s="104">
        <v>0.130944221974655</v>
      </c>
      <c r="L10" s="119"/>
      <c r="M10" s="119"/>
      <c r="N10" s="104">
        <v>1.56251224538611</v>
      </c>
      <c r="O10" s="104">
        <v>5.2107175145604499E-2</v>
      </c>
      <c r="P10" s="119"/>
      <c r="Q10" s="119"/>
      <c r="R10" s="104">
        <v>3.6931435909518702</v>
      </c>
      <c r="S10" s="104">
        <v>0.123160173944136</v>
      </c>
    </row>
    <row r="11" spans="1:19">
      <c r="A11" s="4" t="s">
        <v>135</v>
      </c>
      <c r="B11" s="104">
        <v>8.5217080799169498</v>
      </c>
      <c r="C11" s="104">
        <v>0.49651174658069902</v>
      </c>
      <c r="D11" s="104">
        <v>10.1136441155773</v>
      </c>
      <c r="E11" s="104">
        <v>0.58926485829233799</v>
      </c>
      <c r="F11" s="104">
        <v>17.548454061921301</v>
      </c>
      <c r="G11" s="104">
        <v>0.62794489015836008</v>
      </c>
      <c r="H11" s="104">
        <v>24.205307389814301</v>
      </c>
      <c r="I11" s="104">
        <v>1.41030640053989</v>
      </c>
      <c r="J11" s="104">
        <v>50.588145512574002</v>
      </c>
      <c r="K11" s="104">
        <v>1.8102202829444101</v>
      </c>
      <c r="L11" s="119"/>
      <c r="M11" s="119"/>
      <c r="N11" s="104">
        <v>12.5862764473012</v>
      </c>
      <c r="O11" s="104">
        <v>0.57248098831275906</v>
      </c>
      <c r="P11" s="119"/>
      <c r="Q11" s="119"/>
      <c r="R11" s="104">
        <v>31.773034544790399</v>
      </c>
      <c r="S11" s="104">
        <v>1.4451818450084299</v>
      </c>
    </row>
    <row r="12" spans="1:19">
      <c r="A12" s="4" t="s">
        <v>136</v>
      </c>
      <c r="B12" s="104">
        <v>1.65591645392111</v>
      </c>
      <c r="C12" s="104">
        <v>9.1031343800485304E-2</v>
      </c>
      <c r="D12" s="104">
        <v>1.5356376576961701</v>
      </c>
      <c r="E12" s="104">
        <v>8.4419210425559207E-2</v>
      </c>
      <c r="F12" s="104">
        <v>2.72251003835814</v>
      </c>
      <c r="G12" s="104">
        <v>9.3790182375942402E-2</v>
      </c>
      <c r="H12" s="104">
        <v>7.7478555346852502</v>
      </c>
      <c r="I12" s="104">
        <v>0.42592589694022298</v>
      </c>
      <c r="J12" s="104">
        <v>14.6581523745576</v>
      </c>
      <c r="K12" s="104">
        <v>0.50497179629618905</v>
      </c>
      <c r="L12" s="119"/>
      <c r="M12" s="119"/>
      <c r="N12" s="104">
        <v>2.10085499279743</v>
      </c>
      <c r="O12" s="104">
        <v>8.0189230357337299E-2</v>
      </c>
      <c r="P12" s="119"/>
      <c r="Q12" s="119"/>
      <c r="R12" s="104">
        <v>11.553967403016999</v>
      </c>
      <c r="S12" s="104">
        <v>0.44101270996719105</v>
      </c>
    </row>
    <row r="13" spans="1:19">
      <c r="A13" s="4" t="s">
        <v>137</v>
      </c>
      <c r="B13" s="104">
        <v>102.985668586483</v>
      </c>
      <c r="C13" s="104">
        <v>3.1816174242282398</v>
      </c>
      <c r="D13" s="104">
        <v>84.275861828709296</v>
      </c>
      <c r="E13" s="104">
        <v>2.6036006185744798</v>
      </c>
      <c r="F13" s="104">
        <v>531.534418382117</v>
      </c>
      <c r="G13" s="104">
        <v>6.4985998589736198</v>
      </c>
      <c r="H13" s="104">
        <v>187.70725677723499</v>
      </c>
      <c r="I13" s="104">
        <v>5.7989882185890993</v>
      </c>
      <c r="J13" s="104">
        <v>1057.0165691424299</v>
      </c>
      <c r="K13" s="104">
        <v>12.9232040101374</v>
      </c>
      <c r="L13" s="119"/>
      <c r="M13" s="119"/>
      <c r="N13" s="104">
        <v>132.28719658652801</v>
      </c>
      <c r="O13" s="104">
        <v>2.9396405967216701</v>
      </c>
      <c r="P13" s="119"/>
      <c r="Q13" s="119"/>
      <c r="R13" s="104">
        <v>294.06315155455502</v>
      </c>
      <c r="S13" s="104">
        <v>6.5345702427389902</v>
      </c>
    </row>
    <row r="14" spans="1:19">
      <c r="A14" s="4" t="s">
        <v>138</v>
      </c>
      <c r="B14" s="104">
        <v>0.495098816080838</v>
      </c>
      <c r="C14" s="104">
        <v>0.13424736663161801</v>
      </c>
      <c r="D14" s="104">
        <v>0.94247455592246099</v>
      </c>
      <c r="E14" s="104">
        <v>0.25555449364927402</v>
      </c>
      <c r="F14" s="104">
        <v>1.4961215245472701</v>
      </c>
      <c r="G14" s="104">
        <v>0.319994428142506</v>
      </c>
      <c r="H14" s="104">
        <v>1.3461441546603601</v>
      </c>
      <c r="I14" s="104">
        <v>0.36501058374615802</v>
      </c>
      <c r="J14" s="104">
        <v>2.2400926668987302</v>
      </c>
      <c r="K14" s="104">
        <v>0.479116943489861</v>
      </c>
      <c r="L14" s="119"/>
      <c r="M14" s="119"/>
      <c r="N14" s="104">
        <v>1.16702484637818</v>
      </c>
      <c r="O14" s="104">
        <v>0.276289174192617</v>
      </c>
      <c r="P14" s="119"/>
      <c r="Q14" s="119"/>
      <c r="R14" s="104">
        <v>1.71684224146111</v>
      </c>
      <c r="S14" s="104">
        <v>0.40645657766790794</v>
      </c>
    </row>
    <row r="15" spans="1:19">
      <c r="A15" s="4" t="s">
        <v>139</v>
      </c>
      <c r="B15" s="104">
        <v>37.551357578896599</v>
      </c>
      <c r="C15" s="104">
        <v>3.4319557976409198</v>
      </c>
      <c r="D15" s="104">
        <v>28.739725587946801</v>
      </c>
      <c r="E15" s="104">
        <v>2.6266285485666199</v>
      </c>
      <c r="F15" s="104">
        <v>481.40872043956801</v>
      </c>
      <c r="G15" s="104">
        <v>14.835173602935599</v>
      </c>
      <c r="H15" s="104">
        <v>108.169672243683</v>
      </c>
      <c r="I15" s="104">
        <v>9.8860216439752797</v>
      </c>
      <c r="J15" s="104">
        <v>1811.4535075019901</v>
      </c>
      <c r="K15" s="104">
        <v>55.822061621362096</v>
      </c>
      <c r="L15" s="119"/>
      <c r="M15" s="119"/>
      <c r="N15" s="104">
        <v>43.403070543007203</v>
      </c>
      <c r="O15" s="104">
        <v>3.2910508622796595</v>
      </c>
      <c r="P15" s="119"/>
      <c r="Q15" s="119"/>
      <c r="R15" s="104">
        <v>158.39720315911899</v>
      </c>
      <c r="S15" s="104">
        <v>12.010515512329201</v>
      </c>
    </row>
    <row r="16" spans="1:19">
      <c r="A16" s="4" t="s">
        <v>140</v>
      </c>
      <c r="B16" s="104">
        <v>1.2671933726406801</v>
      </c>
      <c r="C16" s="104">
        <v>0.31264067487299602</v>
      </c>
      <c r="D16" s="104">
        <v>1.96405947955081</v>
      </c>
      <c r="E16" s="104">
        <v>0.48457078014689403</v>
      </c>
      <c r="F16" s="104">
        <v>2.4548719251406301</v>
      </c>
      <c r="G16" s="104">
        <v>0.50377301738318103</v>
      </c>
      <c r="H16" s="104">
        <v>5.1910945011326399</v>
      </c>
      <c r="I16" s="104">
        <v>1.2807416162393301</v>
      </c>
      <c r="J16" s="104">
        <v>6.3004403314530704</v>
      </c>
      <c r="K16" s="104">
        <v>1.29293581637134</v>
      </c>
      <c r="L16" s="119"/>
      <c r="M16" s="119"/>
      <c r="N16" s="104">
        <v>2.3935039404465202</v>
      </c>
      <c r="O16" s="104">
        <v>0.50384602161908498</v>
      </c>
      <c r="P16" s="119"/>
      <c r="Q16" s="119"/>
      <c r="R16" s="104">
        <v>6.1388733895833401</v>
      </c>
      <c r="S16" s="104">
        <v>1.2922673250280099</v>
      </c>
    </row>
    <row r="17" spans="1:19">
      <c r="A17" s="4" t="s">
        <v>141</v>
      </c>
      <c r="B17" s="104">
        <v>35.5715966384494</v>
      </c>
      <c r="C17" s="104">
        <v>0.26065839026566301</v>
      </c>
      <c r="D17" s="104">
        <v>48.555899460336398</v>
      </c>
      <c r="E17" s="104">
        <v>0.35580361263717497</v>
      </c>
      <c r="F17" s="104">
        <v>66.621345741363797</v>
      </c>
      <c r="G17" s="104">
        <v>0.47667244045024998</v>
      </c>
      <c r="H17" s="104">
        <v>265.21200757089099</v>
      </c>
      <c r="I17" s="104">
        <v>1.9433970219326802</v>
      </c>
      <c r="J17" s="104">
        <v>332.454700574951</v>
      </c>
      <c r="K17" s="104">
        <v>2.37869697315086</v>
      </c>
      <c r="L17" s="119"/>
      <c r="M17" s="119"/>
      <c r="N17" s="104">
        <v>59.109716499775402</v>
      </c>
      <c r="O17" s="104">
        <v>0.42583817353506204</v>
      </c>
      <c r="P17" s="119"/>
      <c r="Q17" s="119"/>
      <c r="R17" s="104">
        <v>313.98042401410601</v>
      </c>
      <c r="S17" s="104">
        <v>2.2619775259527599</v>
      </c>
    </row>
    <row r="18" spans="1:19">
      <c r="A18" s="4" t="s">
        <v>142</v>
      </c>
      <c r="B18" s="104">
        <v>1.4495250900969401</v>
      </c>
      <c r="C18" s="104">
        <v>0.14676403893492301</v>
      </c>
      <c r="D18" s="104">
        <v>2.3864953031507201</v>
      </c>
      <c r="E18" s="104">
        <v>0.24163202967821701</v>
      </c>
      <c r="F18" s="104">
        <v>4.4272513060422396</v>
      </c>
      <c r="G18" s="104">
        <v>0.35561346838833402</v>
      </c>
      <c r="H18" s="104">
        <v>5.16154844158069</v>
      </c>
      <c r="I18" s="104">
        <v>0.52260543927113301</v>
      </c>
      <c r="J18" s="104">
        <v>8.9148908844997496</v>
      </c>
      <c r="K18" s="104">
        <v>0.71607754983634897</v>
      </c>
      <c r="L18" s="119"/>
      <c r="M18" s="119"/>
      <c r="N18" s="104">
        <v>3.69277046193131</v>
      </c>
      <c r="O18" s="104">
        <v>0.32818143823003904</v>
      </c>
      <c r="P18" s="119"/>
      <c r="Q18" s="119"/>
      <c r="R18" s="104">
        <v>7.34997420770231</v>
      </c>
      <c r="S18" s="104">
        <v>0.65320201493810093</v>
      </c>
    </row>
    <row r="19" spans="1:19">
      <c r="A19" s="4" t="s">
        <v>143</v>
      </c>
      <c r="B19" s="104">
        <v>86.509064857475295</v>
      </c>
      <c r="C19" s="104">
        <v>3.9968965451291001</v>
      </c>
      <c r="D19" s="104">
        <v>72.539408321996305</v>
      </c>
      <c r="E19" s="104">
        <v>3.3514697099727404</v>
      </c>
      <c r="F19" s="104">
        <v>170.787952813591</v>
      </c>
      <c r="G19" s="104">
        <v>4.4626108800399802</v>
      </c>
      <c r="H19" s="104">
        <v>204.33151520219801</v>
      </c>
      <c r="I19" s="104">
        <v>9.4405358388530889</v>
      </c>
      <c r="J19" s="104">
        <v>473.002929422649</v>
      </c>
      <c r="K19" s="104">
        <v>12.359349616633599</v>
      </c>
      <c r="L19" s="119"/>
      <c r="M19" s="119"/>
      <c r="N19" s="104">
        <v>109.834101113907</v>
      </c>
      <c r="O19" s="104">
        <v>3.64956820105153</v>
      </c>
      <c r="P19" s="119"/>
      <c r="Q19" s="119"/>
      <c r="R19" s="104">
        <v>316.75001638276098</v>
      </c>
      <c r="S19" s="104">
        <v>10.524971532058199</v>
      </c>
    </row>
    <row r="20" spans="1:19">
      <c r="A20" s="4" t="s">
        <v>144</v>
      </c>
      <c r="B20" s="104">
        <v>5.5882779713412303</v>
      </c>
      <c r="C20" s="104">
        <v>0.51875174554785797</v>
      </c>
      <c r="D20" s="104">
        <v>4.6059294017487602</v>
      </c>
      <c r="E20" s="104">
        <v>0.42756175145201503</v>
      </c>
      <c r="F20" s="104">
        <v>7.56863007495999</v>
      </c>
      <c r="G20" s="104">
        <v>0.50465727154437801</v>
      </c>
      <c r="H20" s="104">
        <v>9.0277782763490002</v>
      </c>
      <c r="I20" s="104">
        <v>0.83803557433831088</v>
      </c>
      <c r="J20" s="104">
        <v>14.535579661393999</v>
      </c>
      <c r="K20" s="104">
        <v>0.96919599710702498</v>
      </c>
      <c r="L20" s="119"/>
      <c r="M20" s="119"/>
      <c r="N20" s="104">
        <v>5.8431899730942103</v>
      </c>
      <c r="O20" s="104">
        <v>0.44441298131171203</v>
      </c>
      <c r="P20" s="119"/>
      <c r="Q20" s="119"/>
      <c r="R20" s="104">
        <v>11.4138580439856</v>
      </c>
      <c r="S20" s="104">
        <v>0.86809888176718697</v>
      </c>
    </row>
    <row r="21" spans="1:19">
      <c r="A21" s="4" t="s">
        <v>145</v>
      </c>
      <c r="B21" s="104">
        <v>3.9940689450513398</v>
      </c>
      <c r="C21" s="104">
        <v>0.58277297141264195</v>
      </c>
      <c r="D21" s="104">
        <v>5.6574979648664003</v>
      </c>
      <c r="E21" s="104">
        <v>0.82548322152305298</v>
      </c>
      <c r="F21" s="104">
        <v>6.2277280793613503</v>
      </c>
      <c r="G21" s="104">
        <v>0.79018546349015995</v>
      </c>
      <c r="H21" s="104">
        <v>12.4984227722192</v>
      </c>
      <c r="I21" s="104">
        <v>1.82363977115673</v>
      </c>
      <c r="J21" s="104">
        <v>13.5816472959685</v>
      </c>
      <c r="K21" s="104">
        <v>1.72326410639067</v>
      </c>
      <c r="L21" s="119"/>
      <c r="M21" s="119"/>
      <c r="N21" s="104">
        <v>6.2277479413928498</v>
      </c>
      <c r="O21" s="104">
        <v>0.81024735398879999</v>
      </c>
      <c r="P21" s="119"/>
      <c r="Q21" s="119"/>
      <c r="R21" s="104">
        <v>13.5817025962</v>
      </c>
      <c r="S21" s="104">
        <v>1.7670173383370302</v>
      </c>
    </row>
    <row r="22" spans="1:19">
      <c r="A22" s="4" t="s">
        <v>146</v>
      </c>
      <c r="B22" s="104">
        <v>10.0866813124163</v>
      </c>
      <c r="C22" s="104">
        <v>0.27116758652496198</v>
      </c>
      <c r="D22" s="104">
        <v>9.1963244721251094</v>
      </c>
      <c r="E22" s="104">
        <v>0.247231476316883</v>
      </c>
      <c r="F22" s="104">
        <v>25.940253013899198</v>
      </c>
      <c r="G22" s="104">
        <v>0.50409823738484494</v>
      </c>
      <c r="H22" s="104">
        <v>15.791971165384201</v>
      </c>
      <c r="I22" s="104">
        <v>0.42454704126695497</v>
      </c>
      <c r="J22" s="104">
        <v>42.6136945722956</v>
      </c>
      <c r="K22" s="104">
        <v>0.82811406314503599</v>
      </c>
      <c r="L22" s="119"/>
      <c r="M22" s="119"/>
      <c r="N22" s="104">
        <v>12.8650686705612</v>
      </c>
      <c r="O22" s="104">
        <v>0.28529672602886402</v>
      </c>
      <c r="P22" s="119"/>
      <c r="Q22" s="119"/>
      <c r="R22" s="104">
        <v>23.174934795237998</v>
      </c>
      <c r="S22" s="104">
        <v>0.51392908909559298</v>
      </c>
    </row>
    <row r="23" spans="1:19">
      <c r="A23" s="4" t="s">
        <v>147</v>
      </c>
      <c r="B23" s="104">
        <v>3.2232810309478402E-2</v>
      </c>
      <c r="C23" s="104">
        <v>3.5442506620389997E-3</v>
      </c>
      <c r="D23" s="104">
        <v>0.14300863271703201</v>
      </c>
      <c r="E23" s="104">
        <v>1.5724922410367298E-2</v>
      </c>
      <c r="F23" s="104">
        <v>0.149010742618574</v>
      </c>
      <c r="G23" s="104">
        <v>1.23808588586032E-2</v>
      </c>
      <c r="H23" s="104">
        <v>0.26084325782089801</v>
      </c>
      <c r="I23" s="104">
        <v>2.8681764957623701E-2</v>
      </c>
      <c r="J23" s="104">
        <v>0.27289112252363801</v>
      </c>
      <c r="K23" s="104">
        <v>2.2673710716141399E-2</v>
      </c>
      <c r="L23" s="119"/>
      <c r="M23" s="119"/>
      <c r="N23" s="104">
        <v>0.149010742618574</v>
      </c>
      <c r="O23" s="104">
        <v>1.3320384085878802E-2</v>
      </c>
      <c r="P23" s="119"/>
      <c r="Q23" s="119"/>
      <c r="R23" s="104">
        <v>0.27289112252363801</v>
      </c>
      <c r="S23" s="104">
        <v>2.4394312126516198E-2</v>
      </c>
    </row>
    <row r="24" spans="1:19">
      <c r="A24" s="4" t="s">
        <v>148</v>
      </c>
      <c r="B24" s="104">
        <v>26.598291820318099</v>
      </c>
      <c r="C24" s="104">
        <v>5.7729885648475996</v>
      </c>
      <c r="D24" s="104">
        <v>25.410229787127001</v>
      </c>
      <c r="E24" s="104">
        <v>5.51512732404783</v>
      </c>
      <c r="F24" s="104">
        <v>40.879624712790999</v>
      </c>
      <c r="G24" s="104">
        <v>7.2908300314467596</v>
      </c>
      <c r="H24" s="104">
        <v>88.726970868921995</v>
      </c>
      <c r="I24" s="104">
        <v>19.257619687764098</v>
      </c>
      <c r="J24" s="104">
        <v>143.07603456003301</v>
      </c>
      <c r="K24" s="104">
        <v>25.5174321408143</v>
      </c>
      <c r="L24" s="119"/>
      <c r="M24" s="119"/>
      <c r="N24" s="104">
        <v>36.0436894631112</v>
      </c>
      <c r="O24" s="104">
        <v>6.8127299980621601</v>
      </c>
      <c r="P24" s="119"/>
      <c r="Q24" s="119"/>
      <c r="R24" s="104">
        <v>125.469259297419</v>
      </c>
      <c r="S24" s="104">
        <v>23.7153354549067</v>
      </c>
    </row>
    <row r="25" spans="1:19">
      <c r="A25" s="4" t="s">
        <v>149</v>
      </c>
      <c r="B25" s="104">
        <v>48.170536220842102</v>
      </c>
      <c r="C25" s="104">
        <v>4.0142007829718596</v>
      </c>
      <c r="D25" s="104">
        <v>43.931891993664202</v>
      </c>
      <c r="E25" s="104">
        <v>3.6609813606787096</v>
      </c>
      <c r="F25" s="104">
        <v>75.445348943545298</v>
      </c>
      <c r="G25" s="104">
        <v>4.3748302323061798</v>
      </c>
      <c r="H25" s="104">
        <v>102.392522608021</v>
      </c>
      <c r="I25" s="104">
        <v>8.5326877520981999</v>
      </c>
      <c r="J25" s="104">
        <v>167.96198273979499</v>
      </c>
      <c r="K25" s="104">
        <v>9.7395687110943197</v>
      </c>
      <c r="L25" s="119"/>
      <c r="M25" s="119"/>
      <c r="N25" s="104">
        <v>64.036001421374905</v>
      </c>
      <c r="O25" s="104">
        <v>4.2033235735030301</v>
      </c>
      <c r="P25" s="119"/>
      <c r="Q25" s="119"/>
      <c r="R25" s="104">
        <v>146.76206422181099</v>
      </c>
      <c r="S25" s="104">
        <v>9.6334629044091304</v>
      </c>
    </row>
    <row r="26" spans="1:19">
      <c r="A26" s="4" t="s">
        <v>150</v>
      </c>
      <c r="B26" s="104">
        <v>37.491831162283503</v>
      </c>
      <c r="C26" s="104">
        <v>1.7658168926833102</v>
      </c>
      <c r="D26" s="104">
        <v>30.0574110479109</v>
      </c>
      <c r="E26" s="104">
        <v>1.41566529383395</v>
      </c>
      <c r="F26" s="104">
        <v>98.939959061174306</v>
      </c>
      <c r="G26" s="104">
        <v>2.44724841130687</v>
      </c>
      <c r="H26" s="104">
        <v>71.034895884292297</v>
      </c>
      <c r="I26" s="104">
        <v>3.3456519789481498</v>
      </c>
      <c r="J26" s="104">
        <v>213.51741636883099</v>
      </c>
      <c r="K26" s="104">
        <v>5.28128536693543</v>
      </c>
      <c r="L26" s="119"/>
      <c r="M26" s="119"/>
      <c r="N26" s="104">
        <v>48.050137082711601</v>
      </c>
      <c r="O26" s="104">
        <v>1.48875972132849</v>
      </c>
      <c r="P26" s="119"/>
      <c r="Q26" s="119"/>
      <c r="R26" s="104">
        <v>115.44831875235</v>
      </c>
      <c r="S26" s="104">
        <v>3.5769888971957404</v>
      </c>
    </row>
    <row r="27" spans="1:19">
      <c r="A27" s="4" t="s">
        <v>151</v>
      </c>
      <c r="B27" s="104">
        <v>0.41684091490619701</v>
      </c>
      <c r="C27" s="104">
        <v>1.5409288755964499E-2</v>
      </c>
      <c r="D27" s="104">
        <v>0.364740280432855</v>
      </c>
      <c r="E27" s="104">
        <v>1.3483293268814801E-2</v>
      </c>
      <c r="F27" s="104">
        <v>0.44964484832288998</v>
      </c>
      <c r="G27" s="104">
        <v>1.3913480892941098E-2</v>
      </c>
      <c r="H27" s="104">
        <v>1.4171117288049899</v>
      </c>
      <c r="I27" s="104">
        <v>5.2386133528984899E-2</v>
      </c>
      <c r="J27" s="104">
        <v>1.7511734786511099</v>
      </c>
      <c r="K27" s="104">
        <v>5.4187029666447104E-2</v>
      </c>
      <c r="L27" s="119"/>
      <c r="M27" s="119"/>
      <c r="N27" s="104">
        <v>0.42656412229210799</v>
      </c>
      <c r="O27" s="104">
        <v>1.3258193548157899E-2</v>
      </c>
      <c r="P27" s="119"/>
      <c r="Q27" s="119"/>
      <c r="R27" s="104">
        <v>1.68850462258552</v>
      </c>
      <c r="S27" s="104">
        <v>5.2481022015883699E-2</v>
      </c>
    </row>
    <row r="28" spans="1:19">
      <c r="A28" s="4" t="s">
        <v>152</v>
      </c>
      <c r="B28" s="104">
        <v>3.7993046181610799E-3</v>
      </c>
      <c r="C28" s="104">
        <v>3.0493205709093501E-3</v>
      </c>
      <c r="D28" s="104">
        <v>1.17548443637784E-3</v>
      </c>
      <c r="E28" s="104">
        <v>9.4344340158901603E-4</v>
      </c>
      <c r="F28" s="104">
        <v>6.1675959773890999E-3</v>
      </c>
      <c r="G28" s="104">
        <v>1.8075142885185199E-3</v>
      </c>
      <c r="H28" s="104">
        <v>3.6485307500477002E-2</v>
      </c>
      <c r="I28" s="104">
        <v>2.9283095165716599E-2</v>
      </c>
      <c r="J28" s="104">
        <v>0.19455514118688499</v>
      </c>
      <c r="K28" s="104">
        <v>5.7017547661885E-2</v>
      </c>
      <c r="L28" s="119"/>
      <c r="M28" s="119"/>
      <c r="N28" s="104">
        <v>3.8525025983596399E-3</v>
      </c>
      <c r="O28" s="104">
        <v>2.0240372609728E-3</v>
      </c>
      <c r="P28" s="119"/>
      <c r="Q28" s="119"/>
      <c r="R28" s="104">
        <v>0.119153670020652</v>
      </c>
      <c r="S28" s="104">
        <v>6.2601247305101901E-2</v>
      </c>
    </row>
    <row r="29" spans="1:19">
      <c r="A29" s="4" t="s">
        <v>153</v>
      </c>
      <c r="B29" s="104">
        <v>7.7596676649892005E-2</v>
      </c>
      <c r="C29" s="104">
        <v>8.6576993933391699E-3</v>
      </c>
      <c r="D29" s="104">
        <v>5.2844193871018803E-2</v>
      </c>
      <c r="E29" s="104">
        <v>5.8959889130671198E-3</v>
      </c>
      <c r="F29" s="104">
        <v>9.6297466061076906E-2</v>
      </c>
      <c r="G29" s="104">
        <v>7.8641079277149799E-3</v>
      </c>
      <c r="H29" s="104">
        <v>0.207033171204873</v>
      </c>
      <c r="I29" s="104">
        <v>2.3099326390339799E-2</v>
      </c>
      <c r="J29" s="104">
        <v>0.36179786078605602</v>
      </c>
      <c r="K29" s="104">
        <v>2.9546129733396698E-2</v>
      </c>
      <c r="L29" s="119"/>
      <c r="M29" s="119"/>
      <c r="N29" s="104">
        <v>8.9501120025105699E-2</v>
      </c>
      <c r="O29" s="104">
        <v>7.4366610281969394E-3</v>
      </c>
      <c r="P29" s="119"/>
      <c r="Q29" s="119"/>
      <c r="R29" s="104">
        <v>0.339264408222472</v>
      </c>
      <c r="S29" s="104">
        <v>2.8189528825724598E-2</v>
      </c>
    </row>
    <row r="30" spans="1:19">
      <c r="A30" s="4" t="s">
        <v>154</v>
      </c>
      <c r="B30" s="105">
        <v>27.679621704337499</v>
      </c>
      <c r="C30" s="104">
        <v>1.3031445440898799</v>
      </c>
      <c r="D30" s="105">
        <v>20.380936046162301</v>
      </c>
      <c r="E30" s="105">
        <v>0.95952559957997297</v>
      </c>
      <c r="F30" s="105">
        <v>1463.2471792571801</v>
      </c>
      <c r="G30" s="105">
        <v>14.462656681118899</v>
      </c>
      <c r="H30" s="105">
        <v>78.022814825259104</v>
      </c>
      <c r="I30" s="105">
        <v>3.6732801676310101</v>
      </c>
      <c r="J30" s="105">
        <v>5429.17623806129</v>
      </c>
      <c r="K30" s="105">
        <v>53.661686901204099</v>
      </c>
      <c r="L30" s="120"/>
      <c r="M30" s="120"/>
      <c r="N30" s="105">
        <v>38.213792423987996</v>
      </c>
      <c r="O30" s="104">
        <v>1.2864095446631099</v>
      </c>
      <c r="P30" s="120"/>
      <c r="Q30" s="120"/>
      <c r="R30" s="105">
        <v>139.51271803580701</v>
      </c>
      <c r="S30" s="104">
        <v>4.6964847166149397</v>
      </c>
    </row>
    <row r="31" spans="1:19">
      <c r="A31" s="8" t="s">
        <v>155</v>
      </c>
      <c r="B31" s="118">
        <v>534.51948293062196</v>
      </c>
      <c r="C31" s="118">
        <v>1.0070843349793799</v>
      </c>
      <c r="D31" s="118">
        <v>465.86900467754998</v>
      </c>
      <c r="E31" s="118">
        <v>0.8777404598815951</v>
      </c>
      <c r="F31" s="118">
        <v>3315.8298804681899</v>
      </c>
      <c r="G31" s="118">
        <v>3.4608606624835399</v>
      </c>
      <c r="H31" s="118">
        <v>1380.44187762193</v>
      </c>
      <c r="I31" s="118">
        <v>2.6008806688960497</v>
      </c>
      <c r="J31" s="118">
        <v>10648.898778147601</v>
      </c>
      <c r="K31" s="118">
        <v>11.1146699947274</v>
      </c>
      <c r="L31" s="121"/>
      <c r="M31" s="121"/>
      <c r="N31" s="118">
        <v>686.46232194675702</v>
      </c>
      <c r="O31" s="118">
        <v>1.0471518608077299</v>
      </c>
      <c r="P31" s="121"/>
      <c r="Q31" s="121"/>
      <c r="R31" s="118">
        <v>1995.96472324242</v>
      </c>
      <c r="S31" s="118">
        <v>3.0447092392814801</v>
      </c>
    </row>
    <row r="32" spans="1:19">
      <c r="A32" s="8" t="s">
        <v>155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</sheetData>
  <mergeCells count="17">
    <mergeCell ref="L4:M4"/>
    <mergeCell ref="N4:O4"/>
    <mergeCell ref="P4:Q4"/>
    <mergeCell ref="B1:C4"/>
    <mergeCell ref="D2:K2"/>
    <mergeCell ref="D1:K1"/>
    <mergeCell ref="L1:S1"/>
    <mergeCell ref="L2:S2"/>
    <mergeCell ref="D3:G3"/>
    <mergeCell ref="H3:K3"/>
    <mergeCell ref="R4:S4"/>
    <mergeCell ref="L3:O3"/>
    <mergeCell ref="P3:S3"/>
    <mergeCell ref="D4:E4"/>
    <mergeCell ref="F4:G4"/>
    <mergeCell ref="H4:I4"/>
    <mergeCell ref="J4:K4"/>
  </mergeCells>
  <hyperlinks>
    <hyperlink ref="A6" r:id="rId1" tooltip="Banteay Meanchey province" display="https://en.wikipedia.org/wiki/Banteay_Meanchey_province" xr:uid="{0C362844-4C8A-40B6-B7E8-0D80CD085EED}"/>
    <hyperlink ref="A7" r:id="rId2" tooltip="Battambang province" display="https://en.wikipedia.org/wiki/Battambang_province" xr:uid="{6BF67667-0C25-4188-AB50-AF35E945A330}"/>
    <hyperlink ref="A8" r:id="rId3" tooltip="Kampong Cham province" display="https://en.wikipedia.org/wiki/Kampong_Cham_province" xr:uid="{0E41C4DB-ACE8-457D-9A4E-0BF5C28D1FD4}"/>
    <hyperlink ref="A9" r:id="rId4" tooltip="Kampong Chhnang province" display="https://en.wikipedia.org/wiki/Kampong_Chhnang_province" xr:uid="{AC0281B1-3ACA-49A2-8336-48B86532D484}"/>
    <hyperlink ref="A10" r:id="rId5" tooltip="Kampong Speu province" display="https://en.wikipedia.org/wiki/Kampong_Speu_province" xr:uid="{3F11DF18-0AC5-45C1-B02F-122EBC601099}"/>
    <hyperlink ref="A11" r:id="rId6" tooltip="Kampong Thom province" display="https://en.wikipedia.org/wiki/Kampong_Thom_province" xr:uid="{83B96006-9E48-463A-85F1-316CD31A4F69}"/>
    <hyperlink ref="A12" r:id="rId7" tooltip="Kampot province" display="https://en.wikipedia.org/wiki/Kampot_province" xr:uid="{632B9178-B0EB-42A2-BD6E-129C8FB7CABD}"/>
    <hyperlink ref="A13" r:id="rId8" tooltip="Kandal province" display="https://en.wikipedia.org/wiki/Kandal_province" xr:uid="{9FFB82B3-A3AA-402D-8A2D-61FDFF319133}"/>
    <hyperlink ref="A14" r:id="rId9" tooltip="Koh Kong province" display="https://en.wikipedia.org/wiki/Koh_Kong_province" xr:uid="{886475B9-D76F-4084-911A-66503A331C60}"/>
    <hyperlink ref="A15" r:id="rId10" tooltip="Kratié province" display="https://en.wikipedia.org/wiki/Krati%C3%A9_province" xr:uid="{2F2E077A-59BD-4668-9871-DB1E6C14B2ED}"/>
    <hyperlink ref="A16" r:id="rId11" tooltip="Mondulkiri province" display="https://en.wikipedia.org/wiki/Mondulkiri_province" xr:uid="{4829CBF7-FC8A-4A9D-80D3-7A9AB5BD2B69}"/>
    <hyperlink ref="A17" r:id="rId12" tooltip="Phnom Penh" display="https://en.wikipedia.org/wiki/Phnom_Penh" xr:uid="{28D5EB58-E244-4D2D-B557-F549B8661643}"/>
    <hyperlink ref="A18" r:id="rId13" tooltip="Preah Vihear province" display="https://en.wikipedia.org/wiki/Preah_Vihear_province" xr:uid="{DA9F3BD9-A0C7-4825-AFD2-2E98ABDDA04F}"/>
    <hyperlink ref="A19" r:id="rId14" tooltip="Prey Veng province" display="https://en.wikipedia.org/wiki/Prey_Veng_province" xr:uid="{05850053-3104-4741-8B23-89881CFDA368}"/>
    <hyperlink ref="A20" r:id="rId15" tooltip="Pursat province" display="https://en.wikipedia.org/wiki/Pursat_province" xr:uid="{F12DAACF-EE6E-4ADA-AB0F-8FC2F86D1EB7}"/>
    <hyperlink ref="A21" r:id="rId16" tooltip="Ratanakiri province" display="https://en.wikipedia.org/wiki/Ratanakiri_province" xr:uid="{4315DC2D-BCE0-4CAA-A418-25ED3A0BD329}"/>
    <hyperlink ref="A22" r:id="rId17" tooltip="Siem Reap province" display="https://en.wikipedia.org/wiki/Siem_Reap_province" xr:uid="{4015BAF0-F57D-4BA6-8B3A-479BB5AC3D7B}"/>
    <hyperlink ref="A23" r:id="rId18" tooltip="Sihanoukville province" display="https://en.wikipedia.org/wiki/Sihanoukville_province" xr:uid="{3546E73B-9D28-41F8-9948-55B70CB17E73}"/>
    <hyperlink ref="A24" r:id="rId19" tooltip="Stung Treng province" display="https://en.wikipedia.org/wiki/Stung_Treng_province" xr:uid="{AA9461E3-3A0B-458B-9633-FFC7C5003DB8}"/>
    <hyperlink ref="A25" r:id="rId20" tooltip="Svay Rieng province" display="https://en.wikipedia.org/wiki/Svay_Rieng_province" xr:uid="{94D987DB-BB7A-4B4E-AD41-9F08ABD07858}"/>
    <hyperlink ref="A26" r:id="rId21" tooltip="Takéo province" display="https://en.wikipedia.org/wiki/Tak%C3%A9o_province" xr:uid="{C64FB1CE-3140-48B3-970D-40A0AD0EB661}"/>
    <hyperlink ref="A27" r:id="rId22" tooltip="Oddar Meanchey province" display="https://en.wikipedia.org/wiki/Oddar_Meanchey_province" xr:uid="{0EEA353E-CE85-418D-B72F-99D1CF8D4CE1}"/>
    <hyperlink ref="A28" r:id="rId23" tooltip="Kep province" display="https://en.wikipedia.org/wiki/Kep_province" xr:uid="{6C2401FA-E4E4-4A4D-A036-97EA7CE63B21}"/>
    <hyperlink ref="A29" r:id="rId24" tooltip="Pailin province" display="https://en.wikipedia.org/wiki/Pailin_province" xr:uid="{EBCD102E-7CA9-4641-89DC-C701330F48F1}"/>
    <hyperlink ref="A30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baseColWidth="10" defaultColWidth="8.5" defaultRowHeight="15"/>
  <cols>
    <col min="1" max="1" width="21.1640625" style="4" customWidth="1"/>
    <col min="2" max="11" width="10.5" style="4" customWidth="1"/>
    <col min="12" max="16384" width="8.5" style="4"/>
  </cols>
  <sheetData>
    <row r="1" spans="1:11">
      <c r="A1" s="13"/>
      <c r="B1" s="13"/>
      <c r="C1" s="13"/>
    </row>
    <row r="2" spans="1:11">
      <c r="B2" s="210" t="s">
        <v>122</v>
      </c>
      <c r="C2" s="211"/>
      <c r="D2" s="218" t="s">
        <v>123</v>
      </c>
      <c r="E2" s="217"/>
      <c r="F2" s="217"/>
      <c r="G2" s="217"/>
      <c r="H2" s="217"/>
      <c r="I2" s="217"/>
      <c r="J2" s="217"/>
      <c r="K2" s="219"/>
    </row>
    <row r="3" spans="1:11">
      <c r="B3" s="210"/>
      <c r="C3" s="211"/>
      <c r="D3" s="218">
        <v>2050</v>
      </c>
      <c r="E3" s="217"/>
      <c r="F3" s="217"/>
      <c r="G3" s="217"/>
      <c r="H3" s="217"/>
      <c r="I3" s="217"/>
      <c r="J3" s="217"/>
      <c r="K3" s="219"/>
    </row>
    <row r="4" spans="1:11" ht="29" customHeight="1">
      <c r="A4" s="14"/>
      <c r="B4" s="210"/>
      <c r="C4" s="211"/>
      <c r="D4" s="220" t="s">
        <v>125</v>
      </c>
      <c r="E4" s="221"/>
      <c r="F4" s="221"/>
      <c r="G4" s="222"/>
      <c r="H4" s="221" t="s">
        <v>126</v>
      </c>
      <c r="I4" s="221"/>
      <c r="J4" s="221"/>
      <c r="K4" s="222"/>
    </row>
    <row r="5" spans="1:11" ht="29" customHeight="1">
      <c r="A5" s="14"/>
      <c r="B5" s="212"/>
      <c r="C5" s="213"/>
      <c r="D5" s="214" t="s">
        <v>127</v>
      </c>
      <c r="E5" s="215"/>
      <c r="F5" s="215" t="s">
        <v>128</v>
      </c>
      <c r="G5" s="216"/>
      <c r="H5" s="214" t="s">
        <v>127</v>
      </c>
      <c r="I5" s="215"/>
      <c r="J5" s="215" t="s">
        <v>128</v>
      </c>
      <c r="K5" s="216"/>
    </row>
    <row r="6" spans="1:11" ht="16">
      <c r="A6" s="7"/>
      <c r="B6" s="11" t="s">
        <v>129</v>
      </c>
      <c r="C6" s="12" t="s">
        <v>99</v>
      </c>
      <c r="D6" s="11" t="s">
        <v>1</v>
      </c>
      <c r="E6" s="9" t="s">
        <v>99</v>
      </c>
      <c r="F6" s="9" t="s">
        <v>1</v>
      </c>
      <c r="G6" s="12" t="s">
        <v>99</v>
      </c>
      <c r="H6" s="9" t="s">
        <v>1</v>
      </c>
      <c r="I6" s="9" t="s">
        <v>99</v>
      </c>
      <c r="J6" s="9" t="s">
        <v>1</v>
      </c>
      <c r="K6" s="12" t="s">
        <v>99</v>
      </c>
    </row>
    <row r="7" spans="1:11">
      <c r="A7" s="4" t="s">
        <v>130</v>
      </c>
      <c r="D7" s="5"/>
      <c r="E7" s="5"/>
      <c r="F7" s="5"/>
      <c r="G7" s="5"/>
      <c r="H7" s="5"/>
      <c r="I7" s="5"/>
      <c r="J7" s="5"/>
      <c r="K7" s="5"/>
    </row>
    <row r="8" spans="1:11">
      <c r="A8" s="4" t="s">
        <v>131</v>
      </c>
      <c r="D8" s="5"/>
      <c r="E8" s="5"/>
      <c r="F8" s="5"/>
      <c r="G8" s="5"/>
      <c r="H8" s="5"/>
      <c r="I8" s="5"/>
      <c r="J8" s="5"/>
      <c r="K8" s="5"/>
    </row>
    <row r="9" spans="1:11">
      <c r="A9" s="4" t="s">
        <v>132</v>
      </c>
      <c r="D9" s="5"/>
      <c r="E9" s="5"/>
      <c r="F9" s="5"/>
      <c r="G9" s="5"/>
      <c r="H9" s="5"/>
      <c r="I9" s="5"/>
      <c r="J9" s="5"/>
      <c r="K9" s="5"/>
    </row>
    <row r="10" spans="1:11">
      <c r="A10" s="4" t="s">
        <v>133</v>
      </c>
      <c r="D10" s="5"/>
      <c r="E10" s="5"/>
      <c r="F10" s="5"/>
      <c r="G10" s="5"/>
      <c r="H10" s="5"/>
      <c r="I10" s="5"/>
      <c r="J10" s="5"/>
      <c r="K10" s="5"/>
    </row>
    <row r="11" spans="1:11">
      <c r="A11" s="4" t="s">
        <v>134</v>
      </c>
      <c r="D11" s="5"/>
      <c r="E11" s="5"/>
      <c r="F11" s="5"/>
      <c r="G11" s="5"/>
      <c r="H11" s="5"/>
      <c r="I11" s="5"/>
      <c r="J11" s="5"/>
      <c r="K11" s="5"/>
    </row>
    <row r="12" spans="1:11">
      <c r="A12" s="4" t="s">
        <v>135</v>
      </c>
      <c r="D12" s="5"/>
      <c r="E12" s="5"/>
      <c r="F12" s="5"/>
      <c r="G12" s="5"/>
      <c r="H12" s="5"/>
      <c r="I12" s="5"/>
      <c r="J12" s="5"/>
      <c r="K12" s="5"/>
    </row>
    <row r="13" spans="1:11">
      <c r="A13" s="4" t="s">
        <v>136</v>
      </c>
      <c r="D13" s="5"/>
      <c r="E13" s="5"/>
      <c r="F13" s="5"/>
      <c r="G13" s="5"/>
      <c r="H13" s="5"/>
      <c r="I13" s="5"/>
      <c r="J13" s="5"/>
      <c r="K13" s="5"/>
    </row>
    <row r="14" spans="1:11">
      <c r="A14" s="4" t="s">
        <v>137</v>
      </c>
      <c r="D14" s="5"/>
      <c r="E14" s="5"/>
      <c r="F14" s="5"/>
      <c r="G14" s="5"/>
      <c r="H14" s="5"/>
      <c r="I14" s="5"/>
      <c r="J14" s="5"/>
      <c r="K14" s="5"/>
    </row>
    <row r="15" spans="1:11">
      <c r="A15" s="4" t="s">
        <v>138</v>
      </c>
      <c r="D15" s="5"/>
      <c r="E15" s="5"/>
      <c r="F15" s="5"/>
      <c r="G15" s="5"/>
      <c r="H15" s="5"/>
      <c r="I15" s="5"/>
      <c r="J15" s="5"/>
      <c r="K15" s="5"/>
    </row>
    <row r="16" spans="1:11">
      <c r="A16" s="4" t="s">
        <v>139</v>
      </c>
      <c r="D16" s="5"/>
      <c r="E16" s="5"/>
      <c r="F16" s="5"/>
      <c r="G16" s="5"/>
      <c r="H16" s="5"/>
      <c r="I16" s="5"/>
      <c r="J16" s="5"/>
      <c r="K16" s="5"/>
    </row>
    <row r="17" spans="1:11">
      <c r="A17" s="4" t="s">
        <v>140</v>
      </c>
      <c r="D17" s="5"/>
      <c r="E17" s="5"/>
      <c r="F17" s="5"/>
      <c r="G17" s="5"/>
      <c r="H17" s="5"/>
      <c r="I17" s="5"/>
      <c r="J17" s="5"/>
      <c r="K17" s="5"/>
    </row>
    <row r="18" spans="1:11">
      <c r="A18" s="4" t="s">
        <v>141</v>
      </c>
      <c r="D18" s="5"/>
      <c r="E18" s="5"/>
      <c r="F18" s="5"/>
      <c r="G18" s="5"/>
      <c r="H18" s="6"/>
      <c r="I18" s="6"/>
      <c r="J18" s="6"/>
      <c r="K18" s="6"/>
    </row>
    <row r="19" spans="1:11">
      <c r="A19" s="4" t="s">
        <v>142</v>
      </c>
      <c r="D19" s="5"/>
      <c r="E19" s="5"/>
      <c r="F19" s="5"/>
      <c r="G19" s="5"/>
      <c r="H19" s="5"/>
      <c r="I19" s="5"/>
      <c r="J19" s="5"/>
      <c r="K19" s="5"/>
    </row>
    <row r="20" spans="1:11">
      <c r="A20" s="4" t="s">
        <v>143</v>
      </c>
      <c r="D20" s="5"/>
      <c r="E20" s="5"/>
      <c r="F20" s="5"/>
      <c r="G20" s="5"/>
      <c r="H20" s="5"/>
      <c r="I20" s="5"/>
      <c r="J20" s="5"/>
      <c r="K20" s="5"/>
    </row>
    <row r="21" spans="1:11">
      <c r="A21" s="4" t="s">
        <v>144</v>
      </c>
      <c r="D21" s="5"/>
      <c r="E21" s="5"/>
      <c r="F21" s="5"/>
      <c r="G21" s="5"/>
      <c r="H21" s="5"/>
      <c r="I21" s="5"/>
      <c r="J21" s="5"/>
      <c r="K21" s="5"/>
    </row>
    <row r="22" spans="1:11">
      <c r="A22" s="4" t="s">
        <v>145</v>
      </c>
      <c r="D22" s="5"/>
      <c r="E22" s="5"/>
      <c r="F22" s="5"/>
      <c r="G22" s="5"/>
      <c r="H22" s="5"/>
      <c r="I22" s="5"/>
      <c r="J22" s="5"/>
      <c r="K22" s="5"/>
    </row>
    <row r="23" spans="1:11">
      <c r="A23" s="4" t="s">
        <v>146</v>
      </c>
      <c r="D23" s="5"/>
      <c r="E23" s="5"/>
      <c r="F23" s="5"/>
      <c r="G23" s="5"/>
      <c r="H23" s="5"/>
      <c r="I23" s="5"/>
      <c r="J23" s="5"/>
      <c r="K23" s="5"/>
    </row>
    <row r="24" spans="1:11">
      <c r="A24" s="4" t="s">
        <v>147</v>
      </c>
      <c r="D24" s="5"/>
      <c r="E24" s="5"/>
      <c r="F24" s="5"/>
      <c r="G24" s="5"/>
      <c r="H24" s="5"/>
      <c r="I24" s="5"/>
      <c r="J24" s="5"/>
      <c r="K24" s="5"/>
    </row>
    <row r="25" spans="1:11">
      <c r="A25" s="4" t="s">
        <v>148</v>
      </c>
      <c r="D25" s="5"/>
      <c r="E25" s="5"/>
      <c r="F25" s="5"/>
      <c r="G25" s="5"/>
      <c r="H25" s="5"/>
      <c r="I25" s="5"/>
      <c r="J25" s="5"/>
      <c r="K25" s="5"/>
    </row>
    <row r="26" spans="1:11">
      <c r="A26" s="4" t="s">
        <v>149</v>
      </c>
      <c r="D26" s="5"/>
      <c r="E26" s="5"/>
      <c r="F26" s="5"/>
      <c r="G26" s="5"/>
      <c r="H26" s="5"/>
      <c r="I26" s="5"/>
      <c r="J26" s="5"/>
      <c r="K26" s="5"/>
    </row>
    <row r="27" spans="1:11">
      <c r="A27" s="4" t="s">
        <v>150</v>
      </c>
      <c r="D27" s="5"/>
      <c r="E27" s="5"/>
      <c r="F27" s="5"/>
      <c r="G27" s="5"/>
      <c r="H27" s="5"/>
      <c r="I27" s="5"/>
      <c r="J27" s="5"/>
      <c r="K27" s="5"/>
    </row>
    <row r="28" spans="1:11">
      <c r="A28" s="4" t="s">
        <v>151</v>
      </c>
      <c r="D28" s="5"/>
      <c r="E28" s="5"/>
      <c r="F28" s="5"/>
      <c r="G28" s="5"/>
      <c r="H28" s="5"/>
      <c r="I28" s="5"/>
      <c r="J28" s="5"/>
      <c r="K28" s="5"/>
    </row>
    <row r="29" spans="1:11">
      <c r="A29" s="4" t="s">
        <v>152</v>
      </c>
      <c r="D29" s="5"/>
      <c r="E29" s="5"/>
      <c r="F29" s="5"/>
      <c r="G29" s="5"/>
      <c r="H29" s="6"/>
      <c r="I29" s="6"/>
      <c r="J29" s="6"/>
      <c r="K29" s="6"/>
    </row>
    <row r="30" spans="1:11">
      <c r="A30" s="4" t="s">
        <v>153</v>
      </c>
      <c r="D30" s="5"/>
      <c r="E30" s="5"/>
      <c r="F30" s="5"/>
      <c r="G30" s="5"/>
      <c r="H30" s="6"/>
      <c r="I30" s="6"/>
      <c r="J30" s="6"/>
      <c r="K30" s="6"/>
    </row>
    <row r="31" spans="1:11">
      <c r="A31" s="4" t="s">
        <v>154</v>
      </c>
    </row>
    <row r="32" spans="1:11">
      <c r="A32" s="8" t="s">
        <v>155</v>
      </c>
      <c r="B32" s="8"/>
      <c r="C32" s="8"/>
      <c r="D32" s="8"/>
      <c r="E32" s="8"/>
      <c r="F32" s="8"/>
      <c r="G32" s="8"/>
      <c r="H32" s="8"/>
      <c r="I32" s="8"/>
      <c r="J32" s="8"/>
      <c r="K32" s="8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CGE-Flood Weighted Av Calcs</vt:lpstr>
      <vt:lpstr>Flood (national AAL PML)</vt:lpstr>
      <vt:lpstr>MINDSET</vt:lpstr>
      <vt:lpstr>Sheet1</vt:lpstr>
      <vt:lpstr>Interpolation</vt:lpstr>
      <vt:lpstr>Inundation</vt:lpstr>
      <vt:lpstr>GIS output</vt:lpstr>
      <vt:lpstr>Drought (national AAL PML)</vt:lpstr>
      <vt:lpstr>Drought interpolation</vt:lpstr>
      <vt:lpstr>Flood Affected Population</vt:lpstr>
      <vt:lpstr>Drought Affected Population</vt:lpstr>
      <vt:lpstr>Flood AAL (admin 1)</vt:lpstr>
      <vt:lpstr>Drought AAL (admin 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Junko Mochizuki</dc:creator>
  <cp:keywords/>
  <dc:description/>
  <cp:lastModifiedBy>Robin Middelanis</cp:lastModifiedBy>
  <cp:revision/>
  <dcterms:created xsi:type="dcterms:W3CDTF">2022-11-30T10:12:22Z</dcterms:created>
  <dcterms:modified xsi:type="dcterms:W3CDTF">2025-10-24T16:15:58Z</dcterms:modified>
  <cp:category/>
  <cp:contentStatus/>
</cp:coreProperties>
</file>