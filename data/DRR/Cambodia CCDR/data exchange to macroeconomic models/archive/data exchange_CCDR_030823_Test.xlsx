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mochizuki_worldbank_org/Documents/"/>
    </mc:Choice>
  </mc:AlternateContent>
  <xr:revisionPtr revIDLastSave="0" documentId="8_{3B0B5608-50AC-4C1F-833D-0FC183044057}" xr6:coauthVersionLast="47" xr6:coauthVersionMax="47" xr10:uidLastSave="{00000000-0000-0000-0000-000000000000}"/>
  <bookViews>
    <workbookView xWindow="-110" yWindow="-110" windowWidth="19420" windowHeight="10420" tabRatio="864" activeTab="2" xr2:uid="{EA58DB0F-896D-4CE3-BD5F-87C5A342EB24}"/>
  </bookViews>
  <sheets>
    <sheet name="CGE" sheetId="10" r:id="rId1"/>
    <sheet name="Weighted Av." sheetId="9" r:id="rId2"/>
    <sheet name="Projected Tem" sheetId="11" r:id="rId3"/>
    <sheet name="Flood (national AAL PML)" sheetId="1" r:id="rId4"/>
    <sheet name="Drought (national AAL PML)" sheetId="2" r:id="rId5"/>
    <sheet name="Flood Affected Population" sheetId="3" r:id="rId6"/>
    <sheet name="Drought Affected Population" sheetId="7" r:id="rId7"/>
    <sheet name="Flood AAL (admin 1)" sheetId="5" r:id="rId8"/>
    <sheet name="Drought AAL (admin 1)" sheetId="8" r:id="rId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1" l="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27" i="11"/>
  <c r="C6" i="10"/>
  <c r="D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AA3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7" i="1"/>
  <c r="B14" i="9"/>
  <c r="D11" i="9"/>
  <c r="C9" i="9"/>
  <c r="D3" i="9"/>
  <c r="C3" i="9"/>
  <c r="B3" i="9"/>
  <c r="AD6" i="1"/>
  <c r="AG6" i="1"/>
  <c r="T10" i="1"/>
  <c r="T21" i="1"/>
  <c r="C24" i="9"/>
  <c r="D26" i="9"/>
  <c r="E23" i="9"/>
  <c r="E19" i="9"/>
  <c r="E20" i="9"/>
  <c r="E21" i="9"/>
  <c r="E22" i="9"/>
  <c r="E18" i="9"/>
  <c r="C22" i="9"/>
  <c r="C18" i="9"/>
  <c r="B18" i="9"/>
  <c r="E3" i="9"/>
  <c r="D23" i="9"/>
  <c r="D22" i="9"/>
  <c r="D21" i="9"/>
  <c r="D20" i="9"/>
  <c r="D19" i="9"/>
  <c r="D18" i="9"/>
  <c r="B23" i="9"/>
  <c r="B22" i="9"/>
  <c r="B21" i="9"/>
  <c r="B20" i="9"/>
  <c r="B19" i="9"/>
  <c r="C8" i="9"/>
  <c r="C4" i="9"/>
  <c r="D8" i="9"/>
  <c r="D7" i="9"/>
  <c r="D6" i="9"/>
  <c r="D5" i="9"/>
  <c r="D4" i="9"/>
  <c r="B8" i="9"/>
  <c r="B7" i="9"/>
  <c r="B6" i="9"/>
  <c r="B5" i="9"/>
  <c r="B4" i="9"/>
  <c r="BY36" i="1"/>
  <c r="BX36" i="1"/>
  <c r="BW36" i="1"/>
  <c r="BV36" i="1"/>
  <c r="BQ36" i="1"/>
  <c r="BP36" i="1"/>
  <c r="BO36" i="1"/>
  <c r="BN36" i="1"/>
  <c r="BI36" i="1"/>
  <c r="BH36" i="1"/>
  <c r="BG36" i="1"/>
  <c r="BF36" i="1"/>
  <c r="BA36" i="1"/>
  <c r="AZ36" i="1"/>
  <c r="AY36" i="1"/>
  <c r="AX36" i="1"/>
  <c r="AS36" i="1"/>
  <c r="AR36" i="1"/>
  <c r="AQ36" i="1"/>
  <c r="AP36" i="1"/>
  <c r="AJ36" i="1"/>
  <c r="AI36" i="1"/>
  <c r="AH36" i="1"/>
  <c r="AG36" i="1"/>
  <c r="BN6" i="1"/>
  <c r="BL6" i="1"/>
  <c r="BN7" i="1"/>
  <c r="BN8" i="1"/>
  <c r="BN9" i="1"/>
  <c r="BN10" i="1"/>
  <c r="BN11" i="1"/>
  <c r="BN12" i="1"/>
  <c r="BN13" i="1"/>
  <c r="BN14" i="1"/>
  <c r="BN15" i="1"/>
  <c r="AQ6" i="1"/>
  <c r="AM7" i="1"/>
  <c r="AP6" i="1"/>
  <c r="AM6" i="1"/>
  <c r="AP7" i="1"/>
  <c r="AJ6" i="1"/>
  <c r="BO6" i="1"/>
  <c r="BL7" i="1"/>
  <c r="BF6" i="1"/>
  <c r="BD6" i="1"/>
  <c r="BY6" i="1"/>
  <c r="BT9" i="1"/>
  <c r="BX6" i="1"/>
  <c r="BT8" i="1"/>
  <c r="BW6" i="1"/>
  <c r="BT7" i="1"/>
  <c r="BV6" i="1"/>
  <c r="BT6" i="1"/>
  <c r="BQ6" i="1"/>
  <c r="BL9" i="1"/>
  <c r="BP6" i="1"/>
  <c r="BL8" i="1"/>
  <c r="AZ6" i="1"/>
  <c r="AV8" i="1"/>
  <c r="AY6" i="1"/>
  <c r="AV7" i="1"/>
  <c r="AX6" i="1"/>
  <c r="AV6" i="1"/>
  <c r="AS6" i="1"/>
  <c r="AM9" i="1"/>
  <c r="AR6" i="1"/>
  <c r="AI6" i="1"/>
  <c r="AD8" i="1"/>
  <c r="AH6" i="1"/>
  <c r="AD7" i="1"/>
  <c r="BI6" i="1"/>
  <c r="BD9" i="1"/>
  <c r="BH6" i="1"/>
  <c r="BD8" i="1"/>
  <c r="BG6" i="1"/>
  <c r="BD7" i="1"/>
  <c r="BA6" i="1"/>
  <c r="AV9" i="1"/>
  <c r="BY4" i="1"/>
  <c r="BX4" i="1"/>
  <c r="BW4" i="1"/>
  <c r="BV4" i="1"/>
  <c r="BQ4" i="1"/>
  <c r="BP4" i="1"/>
  <c r="BO4" i="1"/>
  <c r="BN4" i="1"/>
  <c r="BI4" i="1"/>
  <c r="BH4" i="1"/>
  <c r="BG4" i="1"/>
  <c r="BF4" i="1"/>
  <c r="BA4" i="1"/>
  <c r="AZ4" i="1"/>
  <c r="AY4" i="1"/>
  <c r="AX4" i="1"/>
  <c r="AS4" i="1"/>
  <c r="AR4" i="1"/>
  <c r="AQ4" i="1"/>
  <c r="AP4" i="1"/>
  <c r="AG4" i="1"/>
  <c r="AJ4" i="1"/>
  <c r="AI4" i="1"/>
  <c r="AH4" i="1"/>
  <c r="C19" i="9"/>
  <c r="C20" i="9"/>
  <c r="C21" i="9"/>
  <c r="C23" i="9"/>
  <c r="C5" i="9"/>
  <c r="C6" i="9"/>
  <c r="C7" i="9"/>
  <c r="E4" i="9"/>
  <c r="E5" i="9"/>
  <c r="E6" i="9"/>
  <c r="E7" i="9"/>
  <c r="E8" i="9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G20" i="1"/>
  <c r="G19" i="1"/>
  <c r="G18" i="1"/>
  <c r="G17" i="1"/>
  <c r="AG7" i="1"/>
  <c r="AD9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AM8" i="1"/>
  <c r="AR7" i="1"/>
  <c r="AR8" i="1"/>
  <c r="AR9" i="1"/>
  <c r="AR10" i="1"/>
  <c r="AR11" i="1"/>
  <c r="AR12" i="1"/>
  <c r="AR13" i="1"/>
  <c r="AR14" i="1"/>
  <c r="AR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Q7" i="1"/>
  <c r="BQ8" i="1"/>
  <c r="BQ9" i="1"/>
  <c r="BQ10" i="1"/>
  <c r="BQ11" i="1"/>
  <c r="BQ12" i="1"/>
  <c r="BQ13" i="1"/>
  <c r="BQ14" i="1"/>
  <c r="BQ15" i="1"/>
  <c r="BF7" i="1"/>
  <c r="BY7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W7" i="1"/>
  <c r="BX7" i="1"/>
  <c r="BX8" i="1"/>
  <c r="BX9" i="1"/>
  <c r="BX10" i="1"/>
  <c r="BX11" i="1"/>
  <c r="BX12" i="1"/>
  <c r="BX13" i="1"/>
  <c r="BX14" i="1"/>
  <c r="BX15" i="1"/>
  <c r="BI7" i="1"/>
  <c r="BI8" i="1"/>
  <c r="BI9" i="1"/>
  <c r="BI10" i="1"/>
  <c r="BI11" i="1"/>
  <c r="BI12" i="1"/>
  <c r="BI13" i="1"/>
  <c r="BI14" i="1"/>
  <c r="BI15" i="1"/>
  <c r="AI7" i="1"/>
  <c r="AI8" i="1"/>
  <c r="AI9" i="1"/>
  <c r="BH7" i="1"/>
  <c r="BH8" i="1"/>
  <c r="BH9" i="1"/>
  <c r="BH10" i="1"/>
  <c r="BH11" i="1"/>
  <c r="BG7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AQ7" i="1"/>
  <c r="AQ8" i="1"/>
  <c r="AQ9" i="1"/>
  <c r="AQ10" i="1"/>
  <c r="AQ11" i="1"/>
  <c r="AQ12" i="1"/>
  <c r="AQ13" i="1"/>
  <c r="AQ14" i="1"/>
  <c r="AQ15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H7" i="1"/>
  <c r="AH8" i="1"/>
  <c r="AH9" i="1"/>
  <c r="AH10" i="1"/>
  <c r="AH11" i="1"/>
  <c r="AX7" i="1"/>
  <c r="AX8" i="1"/>
  <c r="AX9" i="1"/>
  <c r="AX10" i="1"/>
  <c r="AX11" i="1"/>
  <c r="AX12" i="1"/>
  <c r="AX13" i="1"/>
  <c r="AX14" i="1"/>
  <c r="AX15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S7" i="1"/>
  <c r="AS8" i="1"/>
  <c r="AS9" i="1"/>
  <c r="AS10" i="1"/>
  <c r="AS11" i="1"/>
  <c r="AS12" i="1"/>
  <c r="AS13" i="1"/>
  <c r="AS14" i="1"/>
  <c r="AS15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O27" i="1"/>
  <c r="BO28" i="1"/>
  <c r="BO29" i="1"/>
  <c r="BO30" i="1"/>
  <c r="BO31" i="1"/>
  <c r="BO32" i="1"/>
  <c r="BO33" i="1"/>
  <c r="BO34" i="1"/>
  <c r="BO35" i="1"/>
  <c r="BP27" i="1"/>
  <c r="BP28" i="1"/>
  <c r="BP29" i="1"/>
  <c r="BP30" i="1"/>
  <c r="BP31" i="1"/>
  <c r="BP32" i="1"/>
  <c r="BP33" i="1"/>
  <c r="BP34" i="1"/>
  <c r="BP35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AX16" i="1"/>
  <c r="AX17" i="1"/>
  <c r="AX18" i="1"/>
  <c r="AX19" i="1"/>
  <c r="AX20" i="1"/>
  <c r="AX21" i="1"/>
  <c r="AX22" i="1"/>
  <c r="AX23" i="1"/>
  <c r="AX24" i="1"/>
  <c r="AX25" i="1"/>
  <c r="AX26" i="1"/>
  <c r="BA27" i="1"/>
  <c r="BA28" i="1"/>
  <c r="BA29" i="1"/>
  <c r="BA30" i="1"/>
  <c r="BA31" i="1"/>
  <c r="BA32" i="1"/>
  <c r="BA33" i="1"/>
  <c r="BA34" i="1"/>
  <c r="BA35" i="1"/>
  <c r="AZ27" i="1"/>
  <c r="AZ28" i="1"/>
  <c r="AZ29" i="1"/>
  <c r="AZ30" i="1"/>
  <c r="AZ31" i="1"/>
  <c r="AZ32" i="1"/>
  <c r="AZ33" i="1"/>
  <c r="AZ34" i="1"/>
  <c r="AZ35" i="1"/>
  <c r="AY27" i="1"/>
  <c r="AY28" i="1"/>
  <c r="AY29" i="1"/>
  <c r="AY30" i="1"/>
  <c r="AY31" i="1"/>
  <c r="AY32" i="1"/>
  <c r="AY33" i="1"/>
  <c r="AY34" i="1"/>
  <c r="AY3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G8" i="1"/>
  <c r="BG9" i="1"/>
  <c r="BG10" i="1"/>
  <c r="BG11" i="1"/>
  <c r="BG12" i="1"/>
  <c r="BG13" i="1"/>
  <c r="BG14" i="1"/>
  <c r="BG15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AP8" i="1"/>
  <c r="AP9" i="1"/>
  <c r="AP10" i="1"/>
  <c r="AP11" i="1"/>
  <c r="AP12" i="1"/>
  <c r="AP13" i="1"/>
  <c r="AP14" i="1"/>
  <c r="AP15" i="1"/>
  <c r="AG8" i="1"/>
  <c r="AG9" i="1"/>
  <c r="AG10" i="1"/>
  <c r="AG11" i="1"/>
  <c r="AG12" i="1"/>
  <c r="AG13" i="1"/>
  <c r="AG14" i="1"/>
  <c r="AG15" i="1"/>
  <c r="BH27" i="1"/>
  <c r="BH28" i="1"/>
  <c r="BH29" i="1"/>
  <c r="BH30" i="1"/>
  <c r="BH31" i="1"/>
  <c r="BH32" i="1"/>
  <c r="BH33" i="1"/>
  <c r="BH34" i="1"/>
  <c r="BH35" i="1"/>
  <c r="BF27" i="1"/>
  <c r="BF28" i="1"/>
  <c r="BF29" i="1"/>
  <c r="BF30" i="1"/>
  <c r="BF31" i="1"/>
  <c r="BF32" i="1"/>
  <c r="BF33" i="1"/>
  <c r="BF34" i="1"/>
  <c r="BF3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AX27" i="1"/>
  <c r="AX28" i="1"/>
  <c r="AX29" i="1"/>
  <c r="AX30" i="1"/>
  <c r="AX31" i="1"/>
  <c r="AX32" i="1"/>
  <c r="AX33" i="1"/>
  <c r="AX34" i="1"/>
  <c r="AX3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I27" i="1"/>
  <c r="AI28" i="1"/>
  <c r="AI29" i="1"/>
  <c r="AI30" i="1"/>
  <c r="AI31" i="1"/>
  <c r="AI32" i="1"/>
  <c r="AI33" i="1"/>
  <c r="AI34" i="1"/>
  <c r="AI3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</calcChain>
</file>

<file path=xl/sharedStrings.xml><?xml version="1.0" encoding="utf-8"?>
<sst xmlns="http://schemas.openxmlformats.org/spreadsheetml/2006/main" count="539" uniqueCount="91">
  <si>
    <t>RP</t>
  </si>
  <si>
    <t>AAL</t>
  </si>
  <si>
    <t xml:space="preserve">% of total asset value </t>
  </si>
  <si>
    <t>Housing</t>
  </si>
  <si>
    <t>US$ million</t>
  </si>
  <si>
    <t>Services Sector</t>
  </si>
  <si>
    <t xml:space="preserve">Productive Sector </t>
  </si>
  <si>
    <t>Roads</t>
  </si>
  <si>
    <t>Schools</t>
  </si>
  <si>
    <t>Health Centers</t>
  </si>
  <si>
    <t>no adaptation</t>
  </si>
  <si>
    <t>with adaptation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</si>
  <si>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</si>
  <si>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</si>
  <si>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</si>
  <si>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</si>
  <si>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</si>
  <si>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</si>
  <si>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</si>
  <si>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</si>
  <si>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</si>
  <si>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</si>
  <si>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</si>
  <si>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</si>
  <si>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</si>
  <si>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</si>
  <si>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</si>
  <si>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</si>
  <si>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</si>
  <si>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</si>
  <si>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</si>
  <si>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</si>
  <si>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</si>
  <si>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</si>
  <si>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</si>
  <si>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</si>
  <si>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</si>
  <si>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</si>
  <si>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Number </t>
  </si>
  <si>
    <t>%</t>
  </si>
  <si>
    <t>Base year</t>
  </si>
  <si>
    <t xml:space="preserve">Base year 2020 (no climate change) </t>
  </si>
  <si>
    <t>with socio-economic projections</t>
  </si>
  <si>
    <t>no socio-economic projections</t>
  </si>
  <si>
    <t>Number</t>
  </si>
  <si>
    <t>% of asset</t>
  </si>
  <si>
    <t>km</t>
  </si>
  <si>
    <t>Year 2050 (SSP585, no adaptation, no socio-economic projections)</t>
  </si>
  <si>
    <t>Year 2050 (SSP585,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</si>
  <si>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</si>
  <si>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</si>
  <si>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no adaptation, no socio-economic projections)</t>
  </si>
  <si>
    <t>Year 2050 (SSP126, no adaptation, with socio-economic projections)</t>
  </si>
  <si>
    <t>Year 2050 (SSP126, with adaptation, no socio-economic projections)</t>
  </si>
  <si>
    <t>Year 2050 (SSP126, with adaptation, with socio-economic projections)</t>
  </si>
  <si>
    <t>SSP126</t>
  </si>
  <si>
    <t>SSP585</t>
  </si>
  <si>
    <t xml:space="preserve">Baseline period (1981 - 2016) </t>
  </si>
  <si>
    <t xml:space="preserve">This mock data is based on Iizumi (2019), covering 1981-2016. </t>
  </si>
  <si>
    <t>Crop Yield - Maize</t>
  </si>
  <si>
    <t>Crop Yield - Rice</t>
  </si>
  <si>
    <t>Production loss* (tonne/ha)</t>
  </si>
  <si>
    <t>Reduction (% below expected yield)</t>
  </si>
  <si>
    <t>Production loss* (tonne)</t>
  </si>
  <si>
    <t>*Production based on average expected production of last 5 years</t>
  </si>
  <si>
    <t>Production* (tonne/ha)</t>
  </si>
  <si>
    <t>Production* (tonne)</t>
  </si>
  <si>
    <t>weighted average</t>
  </si>
  <si>
    <t>weighted average (%of damage of total capital in the dataset)</t>
  </si>
  <si>
    <t>housing</t>
  </si>
  <si>
    <t>services</t>
  </si>
  <si>
    <t>sector</t>
  </si>
  <si>
    <t>productive</t>
  </si>
  <si>
    <t>roads</t>
  </si>
  <si>
    <t>schools</t>
  </si>
  <si>
    <t>health centers</t>
  </si>
  <si>
    <t>total asset value</t>
  </si>
  <si>
    <t>asset value (all sectors)</t>
  </si>
  <si>
    <t>%AAL per sector</t>
  </si>
  <si>
    <t>CGE interpolation</t>
  </si>
  <si>
    <t>Services</t>
  </si>
  <si>
    <t>% of asset (weighted average of all asset)</t>
  </si>
  <si>
    <t>CGE data interpolation</t>
  </si>
  <si>
    <t>ge</t>
  </si>
  <si>
    <t>Hist. Ref. Per., 1995-2014</t>
  </si>
  <si>
    <t>SSP1-1.9</t>
  </si>
  <si>
    <t>SSP1-2.6</t>
  </si>
  <si>
    <t>SSP2-4.5</t>
  </si>
  <si>
    <t>SSP3-7.0</t>
  </si>
  <si>
    <t>SSP5-8.5</t>
  </si>
  <si>
    <t>Relative changes SSP5-8.5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</si>
</sst>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1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i/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2"/>
      <color rgb="FF0000FF"/>
      <name val="Inherit"/>
    </font>
    <font>
      <u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0" xfId="0" applyNumberFormat="1" applyFill="1"/>
    <xf numFmtId="1" fontId="0" fillId="2" borderId="2" xfId="0" applyNumberFormat="1" applyFill="1" applyBorder="1"/>
    <xf numFmtId="1" fontId="0" fillId="2" borderId="3" xfId="0" applyNumberFormat="1" applyFill="1" applyBorder="1"/>
    <xf numFmtId="2" fontId="0" fillId="0" borderId="0" xfId="0" applyNumberFormat="1"/>
    <xf numFmtId="0" fontId="1" fillId="3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9" fontId="1" fillId="0" borderId="0" xfId="0" applyNumberFormat="1" applyFont="1"/>
    <xf numFmtId="0" fontId="1" fillId="3" borderId="3" xfId="0" applyFont="1" applyFill="1" applyBorder="1"/>
    <xf numFmtId="0" fontId="4" fillId="0" borderId="0" xfId="0" applyFont="1"/>
    <xf numFmtId="0" fontId="1" fillId="0" borderId="3" xfId="0" applyFont="1" applyBorder="1" applyAlignment="1">
      <alignment vertical="center"/>
    </xf>
    <xf numFmtId="2" fontId="1" fillId="4" borderId="3" xfId="0" applyNumberFormat="1" applyFont="1" applyFill="1" applyBorder="1"/>
    <xf numFmtId="2" fontId="1" fillId="4" borderId="0" xfId="0" applyNumberFormat="1" applyFont="1" applyFill="1"/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4" borderId="0" xfId="0" applyFont="1" applyFill="1"/>
    <xf numFmtId="2" fontId="1" fillId="0" borderId="1" xfId="0" applyNumberFormat="1" applyFont="1" applyBorder="1"/>
    <xf numFmtId="2" fontId="2" fillId="0" borderId="3" xfId="0" applyNumberFormat="1" applyFont="1" applyBorder="1"/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0" xfId="0" applyNumberFormat="1" applyFont="1"/>
    <xf numFmtId="2" fontId="1" fillId="0" borderId="0" xfId="0" applyNumberFormat="1" applyFont="1" applyAlignment="1">
      <alignment vertical="center"/>
    </xf>
    <xf numFmtId="2" fontId="1" fillId="5" borderId="0" xfId="0" applyNumberFormat="1" applyFont="1" applyFill="1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5" fillId="0" borderId="0" xfId="0" applyNumberFormat="1" applyFont="1"/>
    <xf numFmtId="2" fontId="0" fillId="0" borderId="3" xfId="0" applyNumberFormat="1" applyBorder="1"/>
    <xf numFmtId="2" fontId="0" fillId="4" borderId="3" xfId="0" applyNumberFormat="1" applyFill="1" applyBorder="1"/>
    <xf numFmtId="2" fontId="6" fillId="0" borderId="0" xfId="0" applyNumberFormat="1" applyFont="1"/>
    <xf numFmtId="0" fontId="7" fillId="0" borderId="0" xfId="0" applyFont="1"/>
    <xf numFmtId="2" fontId="8" fillId="0" borderId="0" xfId="0" applyNumberFormat="1" applyFont="1"/>
    <xf numFmtId="0" fontId="9" fillId="0" borderId="0" xfId="0" applyFont="1"/>
    <xf numFmtId="166" fontId="1" fillId="5" borderId="0" xfId="0" applyNumberFormat="1" applyFont="1" applyFill="1"/>
    <xf numFmtId="0" fontId="10" fillId="0" borderId="0" xfId="0" applyFont="1"/>
    <xf numFmtId="2" fontId="10" fillId="0" borderId="0" xfId="0" applyNumberFormat="1" applyFont="1"/>
    <xf numFmtId="167" fontId="1" fillId="5" borderId="0" xfId="0" applyNumberFormat="1" applyFont="1" applyFill="1"/>
    <xf numFmtId="2" fontId="11" fillId="0" borderId="0" xfId="0" applyNumberFormat="1" applyFont="1"/>
    <xf numFmtId="0" fontId="0" fillId="5" borderId="0" xfId="0" applyFill="1"/>
    <xf numFmtId="0" fontId="11" fillId="0" borderId="0" xfId="0" applyFont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9" xfId="0" applyBorder="1"/>
    <xf numFmtId="10" fontId="0" fillId="0" borderId="7" xfId="0" applyNumberFormat="1" applyBorder="1"/>
    <xf numFmtId="0" fontId="0" fillId="0" borderId="7" xfId="0" applyBorder="1"/>
    <xf numFmtId="0" fontId="7" fillId="0" borderId="10" xfId="0" applyFont="1" applyBorder="1"/>
    <xf numFmtId="0" fontId="0" fillId="0" borderId="3" xfId="0" applyBorder="1"/>
    <xf numFmtId="2" fontId="8" fillId="0" borderId="3" xfId="0" applyNumberFormat="1" applyFont="1" applyBorder="1"/>
    <xf numFmtId="0" fontId="0" fillId="0" borderId="8" xfId="0" applyBorder="1"/>
    <xf numFmtId="0" fontId="0" fillId="0" borderId="10" xfId="0" applyBorder="1"/>
    <xf numFmtId="2" fontId="2" fillId="0" borderId="11" xfId="0" applyNumberFormat="1" applyFont="1" applyBorder="1"/>
    <xf numFmtId="2" fontId="12" fillId="0" borderId="1" xfId="0" applyNumberFormat="1" applyFont="1" applyBorder="1"/>
    <xf numFmtId="2" fontId="2" fillId="0" borderId="12" xfId="0" applyNumberFormat="1" applyFont="1" applyBorder="1"/>
    <xf numFmtId="2" fontId="1" fillId="0" borderId="9" xfId="0" applyNumberFormat="1" applyFont="1" applyBorder="1"/>
    <xf numFmtId="2" fontId="1" fillId="0" borderId="7" xfId="0" applyNumberFormat="1" applyFont="1" applyBorder="1"/>
    <xf numFmtId="0" fontId="1" fillId="0" borderId="9" xfId="0" applyFont="1" applyBorder="1"/>
    <xf numFmtId="2" fontId="2" fillId="0" borderId="7" xfId="0" applyNumberFormat="1" applyFont="1" applyBorder="1"/>
    <xf numFmtId="2" fontId="2" fillId="0" borderId="10" xfId="0" applyNumberFormat="1" applyFont="1" applyBorder="1"/>
    <xf numFmtId="2" fontId="2" fillId="0" borderId="8" xfId="0" applyNumberFormat="1" applyFont="1" applyBorder="1"/>
    <xf numFmtId="1" fontId="2" fillId="0" borderId="0" xfId="0" applyNumberFormat="1" applyFont="1"/>
    <xf numFmtId="167" fontId="1" fillId="6" borderId="0" xfId="0" applyNumberFormat="1" applyFont="1" applyFill="1"/>
    <xf numFmtId="0" fontId="0" fillId="6" borderId="3" xfId="0" applyFill="1" applyBorder="1"/>
    <xf numFmtId="2" fontId="13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4" fontId="10" fillId="0" borderId="0" xfId="0" applyNumberFormat="1" applyFont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2" fontId="12" fillId="0" borderId="1" xfId="0" applyNumberFormat="1" applyFont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'Projected Tem'!$B$27:$B$57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'Projected Tem'!$I$27:$I$57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0.99928083423229053</c:v>
                </c:pt>
                <c:pt idx="3">
                  <c:v>0.99820208558072643</c:v>
                </c:pt>
                <c:pt idx="4">
                  <c:v>0.99748291981301684</c:v>
                </c:pt>
                <c:pt idx="5">
                  <c:v>0.99712333692916222</c:v>
                </c:pt>
                <c:pt idx="6">
                  <c:v>0.99820208558072643</c:v>
                </c:pt>
                <c:pt idx="7">
                  <c:v>1</c:v>
                </c:pt>
                <c:pt idx="8">
                  <c:v>1.0028766630708379</c:v>
                </c:pt>
                <c:pt idx="9">
                  <c:v>1.0057533261416756</c:v>
                </c:pt>
                <c:pt idx="10">
                  <c:v>1.0079108234448042</c:v>
                </c:pt>
                <c:pt idx="11">
                  <c:v>1.0089895720963682</c:v>
                </c:pt>
                <c:pt idx="12">
                  <c:v>1.0089895720963682</c:v>
                </c:pt>
                <c:pt idx="13">
                  <c:v>1.0079108234448042</c:v>
                </c:pt>
                <c:pt idx="14">
                  <c:v>1.00683207479324</c:v>
                </c:pt>
                <c:pt idx="15">
                  <c:v>1.006472491909385</c:v>
                </c:pt>
                <c:pt idx="16">
                  <c:v>1.0079108234448042</c:v>
                </c:pt>
                <c:pt idx="17">
                  <c:v>1.0115066522833513</c:v>
                </c:pt>
                <c:pt idx="18">
                  <c:v>1.0169003955411724</c:v>
                </c:pt>
                <c:pt idx="19">
                  <c:v>1.0230133045667027</c:v>
                </c:pt>
                <c:pt idx="20">
                  <c:v>1.0294857964760877</c:v>
                </c:pt>
                <c:pt idx="21">
                  <c:v>1.0348795397339088</c:v>
                </c:pt>
                <c:pt idx="22">
                  <c:v>1.0388349514563107</c:v>
                </c:pt>
                <c:pt idx="23">
                  <c:v>1.0406328658755843</c:v>
                </c:pt>
                <c:pt idx="24">
                  <c:v>1.0409924487594391</c:v>
                </c:pt>
                <c:pt idx="25">
                  <c:v>1.0409924487594391</c:v>
                </c:pt>
                <c:pt idx="26">
                  <c:v>1.0402732829917296</c:v>
                </c:pt>
                <c:pt idx="27">
                  <c:v>1.0399137001078749</c:v>
                </c:pt>
                <c:pt idx="28">
                  <c:v>1.0402732829917296</c:v>
                </c:pt>
                <c:pt idx="29">
                  <c:v>1.0413520316432938</c:v>
                </c:pt>
                <c:pt idx="30">
                  <c:v>1.0427903631787128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20-475D-A7BB-6BE0B604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576624"/>
        <c:axId val="1146559152"/>
      </c:scatterChart>
      <c:valAx>
        <c:axId val="11465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559152"/>
        <c:crosses val="autoZero"/>
        <c:crossBetween val="midCat"/>
      </c:valAx>
      <c:valAx>
        <c:axId val="114655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57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53</xdr:row>
      <xdr:rowOff>95250</xdr:rowOff>
    </xdr:from>
    <xdr:to>
      <xdr:col>13</xdr:col>
      <xdr:colOff>231775</xdr:colOff>
      <xdr:row>68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E49D8-DF19-4525-B574-34FEFE5A6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7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8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9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F544-F5AD-4030-9D9F-C7484FD48483}">
  <dimension ref="A3:D98"/>
  <sheetViews>
    <sheetView workbookViewId="0">
      <selection activeCell="F7" sqref="F7"/>
    </sheetView>
  </sheetViews>
  <sheetFormatPr defaultRowHeight="14.5"/>
  <cols>
    <col min="1" max="2" width="8.81640625" style="26"/>
    <col min="3" max="3" width="36" style="26" customWidth="1"/>
  </cols>
  <sheetData>
    <row r="3" spans="1:4">
      <c r="A3" s="19"/>
      <c r="B3" s="19"/>
      <c r="C3" s="19"/>
    </row>
    <row r="4" spans="1:4">
      <c r="A4" s="19"/>
      <c r="B4" s="73"/>
      <c r="C4" s="105" t="s">
        <v>82</v>
      </c>
      <c r="D4" s="75"/>
    </row>
    <row r="5" spans="1:4">
      <c r="B5" s="76"/>
      <c r="C5" s="19" t="s">
        <v>81</v>
      </c>
      <c r="D5" s="77"/>
    </row>
    <row r="6" spans="1:4">
      <c r="B6" s="78">
        <v>2020</v>
      </c>
      <c r="C6" s="83">
        <f>'Weighted Av.'!C9</f>
        <v>1.558061691319184</v>
      </c>
      <c r="D6" s="77">
        <f>'Flood (national AAL PML)'!AB7</f>
        <v>-9.5527653901336627E-3</v>
      </c>
    </row>
    <row r="7" spans="1:4">
      <c r="B7" s="78">
        <v>2021</v>
      </c>
      <c r="C7" s="19">
        <f>C6+$D$6</f>
        <v>1.5485089259290503</v>
      </c>
      <c r="D7" s="77"/>
    </row>
    <row r="8" spans="1:4">
      <c r="B8" s="78">
        <v>2022</v>
      </c>
      <c r="C8" s="19">
        <f>C7+$D$6</f>
        <v>1.5389561605389166</v>
      </c>
      <c r="D8" s="77"/>
    </row>
    <row r="9" spans="1:4">
      <c r="B9" s="78">
        <v>2023</v>
      </c>
      <c r="C9" s="19">
        <f>C8+$D$6</f>
        <v>1.5294033951487829</v>
      </c>
      <c r="D9" s="77"/>
    </row>
    <row r="10" spans="1:4">
      <c r="B10" s="78">
        <v>2024</v>
      </c>
      <c r="C10" s="19">
        <f>C9+$D$6</f>
        <v>1.5198506297586492</v>
      </c>
      <c r="D10" s="77"/>
    </row>
    <row r="11" spans="1:4">
      <c r="B11" s="78">
        <v>2025</v>
      </c>
      <c r="C11" s="19">
        <f>C10+$D$6</f>
        <v>1.5102978643685154</v>
      </c>
      <c r="D11" s="77"/>
    </row>
    <row r="12" spans="1:4">
      <c r="B12" s="78">
        <v>2026</v>
      </c>
      <c r="C12" s="19">
        <f>C11+$D$6</f>
        <v>1.5007450989783817</v>
      </c>
      <c r="D12" s="77"/>
    </row>
    <row r="13" spans="1:4">
      <c r="B13" s="78">
        <v>2027</v>
      </c>
      <c r="C13" s="19">
        <f>C12+$D$6</f>
        <v>1.491192333588248</v>
      </c>
      <c r="D13" s="77"/>
    </row>
    <row r="14" spans="1:4">
      <c r="B14" s="78">
        <v>2028</v>
      </c>
      <c r="C14" s="19">
        <f>C13+$D$6</f>
        <v>1.4816395681981143</v>
      </c>
      <c r="D14" s="77"/>
    </row>
    <row r="15" spans="1:4">
      <c r="B15" s="78">
        <v>2029</v>
      </c>
      <c r="C15" s="19">
        <f>C14+$D$6</f>
        <v>1.4720868028079805</v>
      </c>
      <c r="D15" s="79"/>
    </row>
    <row r="16" spans="1:4">
      <c r="B16" s="78">
        <v>2030</v>
      </c>
      <c r="C16" s="19">
        <f>C15+$D$6</f>
        <v>1.4625340374178468</v>
      </c>
      <c r="D16" s="77"/>
    </row>
    <row r="17" spans="2:4">
      <c r="B17" s="78">
        <v>2031</v>
      </c>
      <c r="C17" s="19">
        <f>C16+$D$6</f>
        <v>1.4529812720277131</v>
      </c>
      <c r="D17" s="77"/>
    </row>
    <row r="18" spans="2:4">
      <c r="B18" s="78">
        <v>2032</v>
      </c>
      <c r="C18" s="19">
        <f>C17+$D$6</f>
        <v>1.4434285066375794</v>
      </c>
      <c r="D18" s="77"/>
    </row>
    <row r="19" spans="2:4">
      <c r="B19" s="78">
        <v>2033</v>
      </c>
      <c r="C19" s="19">
        <f>C18+$D$6</f>
        <v>1.4338757412474457</v>
      </c>
      <c r="D19" s="77"/>
    </row>
    <row r="20" spans="2:4">
      <c r="B20" s="78">
        <v>2034</v>
      </c>
      <c r="C20" s="19">
        <f>C19+$D$6</f>
        <v>1.4243229758573119</v>
      </c>
      <c r="D20" s="77"/>
    </row>
    <row r="21" spans="2:4">
      <c r="B21" s="78">
        <v>2035</v>
      </c>
      <c r="C21" s="19">
        <f>C20+$D$6</f>
        <v>1.4147702104671782</v>
      </c>
      <c r="D21" s="77"/>
    </row>
    <row r="22" spans="2:4">
      <c r="B22" s="78">
        <v>2036</v>
      </c>
      <c r="C22" s="19">
        <f>C21+$D$6</f>
        <v>1.4052174450770445</v>
      </c>
      <c r="D22" s="77"/>
    </row>
    <row r="23" spans="2:4">
      <c r="B23" s="78">
        <v>2037</v>
      </c>
      <c r="C23" s="19">
        <f>C22+$D$6</f>
        <v>1.3956646796869108</v>
      </c>
      <c r="D23" s="77"/>
    </row>
    <row r="24" spans="2:4">
      <c r="B24" s="78">
        <v>2038</v>
      </c>
      <c r="C24" s="19">
        <f>C23+$D$6</f>
        <v>1.386111914296777</v>
      </c>
      <c r="D24" s="77"/>
    </row>
    <row r="25" spans="2:4">
      <c r="B25" s="78">
        <v>2039</v>
      </c>
      <c r="C25" s="19">
        <f>C24+$D$6</f>
        <v>1.3765591489066433</v>
      </c>
      <c r="D25" s="77"/>
    </row>
    <row r="26" spans="2:4">
      <c r="B26" s="78">
        <v>2040</v>
      </c>
      <c r="C26" s="19">
        <f>C25+$D$6</f>
        <v>1.3670063835165096</v>
      </c>
      <c r="D26" s="79"/>
    </row>
    <row r="27" spans="2:4">
      <c r="B27" s="78">
        <v>2041</v>
      </c>
      <c r="C27" s="19">
        <f>C26+$D$6</f>
        <v>1.3574536181263759</v>
      </c>
      <c r="D27" s="77"/>
    </row>
    <row r="28" spans="2:4">
      <c r="B28" s="78">
        <v>2042</v>
      </c>
      <c r="C28" s="19">
        <f>C27+$D$6</f>
        <v>1.3479008527362422</v>
      </c>
      <c r="D28" s="77"/>
    </row>
    <row r="29" spans="2:4">
      <c r="B29" s="78">
        <v>2043</v>
      </c>
      <c r="C29" s="19">
        <f>C28+$D$6</f>
        <v>1.3383480873461084</v>
      </c>
      <c r="D29" s="77"/>
    </row>
    <row r="30" spans="2:4">
      <c r="B30" s="78">
        <v>2044</v>
      </c>
      <c r="C30" s="19">
        <f>C29+$D$6</f>
        <v>1.3287953219559747</v>
      </c>
      <c r="D30" s="77"/>
    </row>
    <row r="31" spans="2:4">
      <c r="B31" s="78">
        <v>2045</v>
      </c>
      <c r="C31" s="19">
        <f>C30+$D$6</f>
        <v>1.319242556565841</v>
      </c>
      <c r="D31" s="77"/>
    </row>
    <row r="32" spans="2:4">
      <c r="B32" s="78">
        <v>2046</v>
      </c>
      <c r="C32" s="19">
        <f>C31+$D$6</f>
        <v>1.3096897911757073</v>
      </c>
      <c r="D32" s="77"/>
    </row>
    <row r="33" spans="1:4">
      <c r="B33" s="78">
        <v>2047</v>
      </c>
      <c r="C33" s="19">
        <f>C32+$D$6</f>
        <v>1.3001370257855736</v>
      </c>
      <c r="D33" s="77"/>
    </row>
    <row r="34" spans="1:4">
      <c r="B34" s="78">
        <v>2048</v>
      </c>
      <c r="C34" s="19">
        <f>C33+$D$6</f>
        <v>1.2905842603954398</v>
      </c>
      <c r="D34" s="77"/>
    </row>
    <row r="35" spans="1:4">
      <c r="B35" s="78">
        <v>2049</v>
      </c>
      <c r="C35" s="19">
        <f>C34+$D$6</f>
        <v>1.2810314950053061</v>
      </c>
      <c r="D35" s="77"/>
    </row>
    <row r="36" spans="1:4">
      <c r="B36" s="78">
        <v>2050</v>
      </c>
      <c r="C36" s="19">
        <f>C35+$D$6</f>
        <v>1.2714787296151724</v>
      </c>
      <c r="D36" s="77"/>
    </row>
    <row r="37" spans="1:4">
      <c r="B37" s="80"/>
      <c r="C37" s="40"/>
      <c r="D37" s="81"/>
    </row>
    <row r="39" spans="1:4">
      <c r="A39" s="19"/>
      <c r="B39" s="19"/>
      <c r="C39" s="19"/>
    </row>
    <row r="40" spans="1:4">
      <c r="A40" s="19"/>
      <c r="B40" s="19"/>
      <c r="C40" s="19"/>
    </row>
    <row r="41" spans="1:4">
      <c r="A41" s="19"/>
      <c r="B41" s="19"/>
      <c r="C41" s="19"/>
    </row>
    <row r="42" spans="1:4">
      <c r="A42" s="19"/>
      <c r="B42" s="19"/>
      <c r="C42" s="19"/>
    </row>
    <row r="43" spans="1:4">
      <c r="A43" s="19"/>
      <c r="B43" s="19"/>
      <c r="C43" s="19"/>
    </row>
    <row r="44" spans="1:4">
      <c r="A44" s="19"/>
      <c r="B44" s="19"/>
      <c r="C44" s="19"/>
    </row>
    <row r="45" spans="1:4">
      <c r="A45" s="19"/>
      <c r="B45" s="19"/>
      <c r="C45" s="19"/>
    </row>
    <row r="46" spans="1:4">
      <c r="A46" s="19"/>
      <c r="B46" s="19"/>
      <c r="C46" s="19"/>
    </row>
    <row r="47" spans="1:4">
      <c r="A47" s="19"/>
      <c r="B47" s="19"/>
      <c r="C47" s="19"/>
    </row>
    <row r="48" spans="1:4">
      <c r="A48" s="19"/>
      <c r="B48" s="19"/>
      <c r="C48" s="19"/>
    </row>
    <row r="49" spans="1:3">
      <c r="A49" s="43"/>
      <c r="B49" s="43"/>
      <c r="C49" s="43"/>
    </row>
    <row r="50" spans="1:3">
      <c r="A50" s="19"/>
      <c r="B50" s="19"/>
      <c r="C50" s="19"/>
    </row>
    <row r="51" spans="1:3">
      <c r="A51" s="19"/>
      <c r="B51" s="19"/>
      <c r="C51" s="19"/>
    </row>
    <row r="52" spans="1:3">
      <c r="A52" s="19"/>
      <c r="B52" s="19"/>
      <c r="C52" s="19"/>
    </row>
    <row r="53" spans="1:3">
      <c r="A53" s="19"/>
      <c r="B53" s="19"/>
      <c r="C53" s="19"/>
    </row>
    <row r="54" spans="1:3">
      <c r="A54" s="19"/>
      <c r="B54" s="19"/>
      <c r="C54" s="19"/>
    </row>
    <row r="55" spans="1:3">
      <c r="A55" s="19"/>
      <c r="B55" s="19"/>
      <c r="C55" s="19"/>
    </row>
    <row r="56" spans="1:3">
      <c r="A56" s="19"/>
      <c r="B56" s="19"/>
      <c r="C56" s="19"/>
    </row>
    <row r="57" spans="1:3">
      <c r="A57" s="19"/>
      <c r="B57" s="19"/>
      <c r="C57" s="19"/>
    </row>
    <row r="58" spans="1:3">
      <c r="A58" s="19"/>
      <c r="B58" s="19"/>
      <c r="C58" s="19"/>
    </row>
    <row r="59" spans="1:3">
      <c r="A59" s="19"/>
      <c r="B59" s="19"/>
      <c r="C59" s="19"/>
    </row>
    <row r="60" spans="1:3">
      <c r="A60" s="43"/>
      <c r="B60" s="43"/>
      <c r="C60" s="43"/>
    </row>
    <row r="61" spans="1:3">
      <c r="A61" s="19"/>
      <c r="B61" s="19"/>
      <c r="C61" s="19"/>
    </row>
    <row r="62" spans="1:3">
      <c r="A62" s="19"/>
      <c r="B62" s="19"/>
      <c r="C62" s="19"/>
    </row>
    <row r="63" spans="1:3">
      <c r="A63" s="19"/>
      <c r="B63" s="19"/>
      <c r="C63" s="19"/>
    </row>
    <row r="64" spans="1:3">
      <c r="A64" s="19"/>
      <c r="B64" s="19"/>
      <c r="C64" s="19"/>
    </row>
    <row r="65" spans="1:3">
      <c r="A65" s="19"/>
      <c r="B65" s="19"/>
      <c r="C65" s="19"/>
    </row>
    <row r="66" spans="1:3">
      <c r="A66" s="19"/>
      <c r="B66" s="19"/>
      <c r="C66" s="19"/>
    </row>
    <row r="67" spans="1:3">
      <c r="A67" s="19"/>
      <c r="B67" s="19"/>
      <c r="C67" s="19"/>
    </row>
    <row r="68" spans="1:3">
      <c r="A68" s="19"/>
      <c r="B68" s="19"/>
      <c r="C68" s="19"/>
    </row>
    <row r="69" spans="1:3">
      <c r="A69" s="19"/>
      <c r="B69" s="19"/>
      <c r="C69" s="19"/>
    </row>
    <row r="70" spans="1:3">
      <c r="A70" s="19"/>
      <c r="B70" s="19"/>
      <c r="C70" s="19"/>
    </row>
    <row r="71" spans="1:3">
      <c r="A71" s="43"/>
      <c r="B71" s="43"/>
      <c r="C71" s="43"/>
    </row>
    <row r="72" spans="1:3">
      <c r="A72" s="19"/>
      <c r="B72" s="19"/>
      <c r="C72" s="19"/>
    </row>
    <row r="73" spans="1:3">
      <c r="A73" s="19"/>
      <c r="B73" s="19"/>
      <c r="C73" s="19"/>
    </row>
    <row r="74" spans="1:3">
      <c r="A74" s="19"/>
      <c r="B74" s="19"/>
      <c r="C74" s="19"/>
    </row>
    <row r="75" spans="1:3">
      <c r="A75" s="19"/>
      <c r="B75" s="19"/>
      <c r="C75" s="19"/>
    </row>
    <row r="76" spans="1:3">
      <c r="A76" s="19"/>
      <c r="B76" s="19"/>
      <c r="C76" s="19"/>
    </row>
    <row r="77" spans="1:3">
      <c r="A77" s="19"/>
      <c r="B77" s="19"/>
      <c r="C77" s="19"/>
    </row>
    <row r="78" spans="1:3">
      <c r="A78" s="19"/>
      <c r="B78" s="19"/>
      <c r="C78" s="19"/>
    </row>
    <row r="79" spans="1:3">
      <c r="A79" s="19"/>
      <c r="B79" s="19"/>
      <c r="C79" s="19"/>
    </row>
    <row r="80" spans="1:3">
      <c r="A80" s="19"/>
      <c r="B80" s="19"/>
      <c r="C80" s="19"/>
    </row>
    <row r="81" spans="1:3">
      <c r="A81" s="19"/>
      <c r="B81" s="19"/>
      <c r="C81" s="19"/>
    </row>
    <row r="82" spans="1:3">
      <c r="A82" s="43"/>
      <c r="B82" s="43"/>
      <c r="C82" s="43"/>
    </row>
    <row r="83" spans="1:3">
      <c r="A83" s="19"/>
      <c r="B83" s="19"/>
      <c r="C83" s="19"/>
    </row>
    <row r="84" spans="1:3">
      <c r="A84" s="19"/>
      <c r="B84" s="19"/>
      <c r="C84" s="19"/>
    </row>
    <row r="85" spans="1:3">
      <c r="A85" s="19"/>
      <c r="B85" s="19"/>
      <c r="C85" s="19"/>
    </row>
    <row r="86" spans="1:3">
      <c r="A86" s="19"/>
      <c r="B86" s="19"/>
      <c r="C86" s="19"/>
    </row>
    <row r="87" spans="1:3">
      <c r="A87" s="19"/>
      <c r="B87" s="19"/>
      <c r="C87" s="19"/>
    </row>
    <row r="88" spans="1:3">
      <c r="A88" s="19"/>
      <c r="B88" s="19"/>
      <c r="C88" s="19"/>
    </row>
    <row r="89" spans="1:3">
      <c r="A89" s="19"/>
      <c r="B89" s="19"/>
      <c r="C89" s="19"/>
    </row>
    <row r="90" spans="1:3">
      <c r="A90" s="19"/>
      <c r="B90" s="19"/>
      <c r="C90" s="19"/>
    </row>
    <row r="91" spans="1:3">
      <c r="A91" s="19"/>
      <c r="B91" s="19"/>
      <c r="C91" s="19"/>
    </row>
    <row r="92" spans="1:3">
      <c r="A92" s="19"/>
      <c r="B92" s="19"/>
      <c r="C92" s="19"/>
    </row>
    <row r="93" spans="1:3">
      <c r="A93" s="43"/>
      <c r="B93" s="43"/>
      <c r="C93" s="43"/>
    </row>
    <row r="94" spans="1:3">
      <c r="A94" s="19"/>
      <c r="B94" s="19"/>
      <c r="C94" s="19"/>
    </row>
    <row r="95" spans="1:3">
      <c r="A95" s="19"/>
      <c r="B95" s="19"/>
      <c r="C95" s="19"/>
    </row>
    <row r="96" spans="1:3">
      <c r="A96" s="19"/>
      <c r="B96" s="19"/>
      <c r="C96" s="19"/>
    </row>
    <row r="97" spans="1:3">
      <c r="A97" s="19"/>
      <c r="B97" s="19"/>
      <c r="C97" s="19"/>
    </row>
    <row r="98" spans="1:3">
      <c r="A98" s="19"/>
      <c r="B98" s="19"/>
      <c r="C98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5B14-E561-4F4E-963F-851A74451728}">
  <dimension ref="A1:O26"/>
  <sheetViews>
    <sheetView workbookViewId="0">
      <selection activeCell="C10" sqref="C10"/>
    </sheetView>
  </sheetViews>
  <sheetFormatPr defaultColWidth="10.90625" defaultRowHeight="14.5"/>
  <cols>
    <col min="1" max="1" width="21.1796875" customWidth="1"/>
    <col min="3" max="4" width="15.1796875" customWidth="1"/>
  </cols>
  <sheetData>
    <row r="1" spans="1:15">
      <c r="A1" s="61">
        <v>2020</v>
      </c>
    </row>
    <row r="2" spans="1:15">
      <c r="A2" s="62" t="s">
        <v>71</v>
      </c>
      <c r="B2" s="63" t="s">
        <v>1</v>
      </c>
      <c r="C2" s="63" t="s">
        <v>78</v>
      </c>
      <c r="D2" s="63" t="s">
        <v>76</v>
      </c>
      <c r="E2" s="64"/>
    </row>
    <row r="3" spans="1:15">
      <c r="A3" s="65" t="s">
        <v>69</v>
      </c>
      <c r="B3" s="53">
        <f>'Flood (national AAL PML)'!B10</f>
        <v>56.327998339077297</v>
      </c>
      <c r="C3" s="19">
        <f>(B3/D3)*100</f>
        <v>0.94947124831238316</v>
      </c>
      <c r="D3" s="53">
        <f>('Flood (national AAL PML)'!B10*100)/'Flood (national AAL PML)'!C10</f>
        <v>5932.56493434596</v>
      </c>
      <c r="E3" s="66">
        <f>D3/$D$11</f>
        <v>0.19343015027879329</v>
      </c>
    </row>
    <row r="4" spans="1:15">
      <c r="A4" s="65" t="s">
        <v>70</v>
      </c>
      <c r="B4" s="53">
        <f>'Flood (national AAL PML)'!D10</f>
        <v>180.32301130247399</v>
      </c>
      <c r="C4" s="19">
        <f>(B4/D4)*100</f>
        <v>59.583713726961562</v>
      </c>
      <c r="D4" s="88">
        <f>('Flood (national AAL PML)'!D10+100)/'Flood (national AAL PML)'!E10</f>
        <v>302.63808685841957</v>
      </c>
      <c r="E4" s="66">
        <f t="shared" ref="E4:E8" si="0">D4/$D$11</f>
        <v>9.8674572076241935E-3</v>
      </c>
    </row>
    <row r="5" spans="1:15">
      <c r="A5" s="65" t="s">
        <v>72</v>
      </c>
      <c r="B5" s="53">
        <f>'Flood (national AAL PML)'!F10</f>
        <v>216.188258158633</v>
      </c>
      <c r="C5" s="19">
        <f t="shared" ref="C5:C7" si="1">(B5/D5)*100</f>
        <v>0.92611724198221701</v>
      </c>
      <c r="D5" s="53">
        <f>('Flood (national AAL PML)'!F10*100)/'Flood (national AAL PML)'!G10</f>
        <v>23343.508614083679</v>
      </c>
      <c r="E5" s="66">
        <f t="shared" si="0"/>
        <v>0.76111065436729319</v>
      </c>
    </row>
    <row r="6" spans="1:15">
      <c r="A6" s="65" t="s">
        <v>73</v>
      </c>
      <c r="B6" s="53">
        <f>'Flood (national AAL PML)'!J10</f>
        <v>13.8419578685898</v>
      </c>
      <c r="C6" s="19">
        <f t="shared" si="1"/>
        <v>3.5780178855437335</v>
      </c>
      <c r="D6" s="57">
        <f>('Flood (national AAL PML)'!J10*100)/'Flood (national AAL PML)'!K10</f>
        <v>386.86105859099996</v>
      </c>
      <c r="E6" s="66">
        <f t="shared" si="0"/>
        <v>1.2613531167108907E-2</v>
      </c>
    </row>
    <row r="7" spans="1:15" ht="15.5">
      <c r="A7" s="65" t="s">
        <v>74</v>
      </c>
      <c r="B7" s="53">
        <f>'Flood (national AAL PML)'!N10</f>
        <v>8.0799589540424606</v>
      </c>
      <c r="C7" s="19">
        <f t="shared" si="1"/>
        <v>1.3337887641001769</v>
      </c>
      <c r="D7" s="56">
        <f>('Flood (national AAL PML)'!N10*100)/'Flood (national AAL PML)'!O10</f>
        <v>605.79</v>
      </c>
      <c r="E7" s="66">
        <f t="shared" si="0"/>
        <v>1.9751667623391731E-2</v>
      </c>
      <c r="O7" s="54"/>
    </row>
    <row r="8" spans="1:15">
      <c r="A8" s="65" t="s">
        <v>75</v>
      </c>
      <c r="B8" s="53">
        <f>'Flood (national AAL PML)'!R10</f>
        <v>3.10134829387008</v>
      </c>
      <c r="C8" s="19">
        <f>(B8/D8)*100</f>
        <v>3.1339729523035604</v>
      </c>
      <c r="D8" s="57">
        <f>('Flood (national AAL PML)'!R10*100)/'Flood (national AAL PML)'!S10</f>
        <v>98.958999999999989</v>
      </c>
      <c r="E8" s="66">
        <f t="shared" si="0"/>
        <v>3.2265393557886759E-3</v>
      </c>
    </row>
    <row r="9" spans="1:15">
      <c r="A9" s="72"/>
      <c r="B9" s="69"/>
      <c r="C9" s="84">
        <f>SUMPRODUCT(C3:C8,D3:D8)/SUM(D3:D8)</f>
        <v>1.558061691319184</v>
      </c>
      <c r="D9" s="69"/>
      <c r="E9" s="71"/>
      <c r="F9" s="26"/>
    </row>
    <row r="11" spans="1:15">
      <c r="A11" s="52" t="s">
        <v>77</v>
      </c>
      <c r="C11" s="53"/>
      <c r="D11" s="53">
        <f>SUM(D3:D8)</f>
        <v>30670.321693879057</v>
      </c>
    </row>
    <row r="14" spans="1:15">
      <c r="B14">
        <f>SUM(B3:B8)/D11</f>
        <v>1.5580616913191842E-2</v>
      </c>
    </row>
    <row r="16" spans="1:15">
      <c r="A16" s="61">
        <v>2050</v>
      </c>
    </row>
    <row r="17" spans="1:5">
      <c r="A17" s="62" t="s">
        <v>71</v>
      </c>
      <c r="B17" s="63" t="s">
        <v>1</v>
      </c>
      <c r="C17" s="63" t="s">
        <v>78</v>
      </c>
      <c r="D17" s="63" t="s">
        <v>76</v>
      </c>
      <c r="E17" s="64"/>
    </row>
    <row r="18" spans="1:5">
      <c r="A18" s="65" t="s">
        <v>69</v>
      </c>
      <c r="B18" s="57">
        <f>'Flood (national AAL PML)'!B21</f>
        <v>75.959705965139065</v>
      </c>
      <c r="C18" s="19">
        <f>(B18/D18)*100</f>
        <v>1.2706848387765857</v>
      </c>
      <c r="D18" s="53">
        <f>('Flood (national AAL PML)'!B21*100)/'Flood (national AAL PML)'!C21</f>
        <v>5977.8556922323087</v>
      </c>
      <c r="E18" s="66">
        <f>D18/$D$26</f>
        <v>0.12051895429873685</v>
      </c>
    </row>
    <row r="19" spans="1:5">
      <c r="A19" s="65" t="s">
        <v>70</v>
      </c>
      <c r="B19" s="57">
        <f>'Flood (national AAL PML)'!D21</f>
        <v>206.44406299467846</v>
      </c>
      <c r="C19" s="19">
        <f t="shared" ref="C19:C23" si="2">(B19/D19)*100</f>
        <v>1.0606848387765857</v>
      </c>
      <c r="D19" s="53">
        <f>('Flood (national AAL PML)'!D21*100)/'Flood (national AAL PML)'!E21</f>
        <v>19463.280273977991</v>
      </c>
      <c r="E19" s="66">
        <f t="shared" ref="E19:E22" si="3">D19/$D$26</f>
        <v>0.39239725858405727</v>
      </c>
    </row>
    <row r="20" spans="1:5">
      <c r="A20" s="65" t="s">
        <v>72</v>
      </c>
      <c r="B20" s="57">
        <f>'Flood (national AAL PML)'!F21</f>
        <v>333.53361121602887</v>
      </c>
      <c r="C20" s="19">
        <f t="shared" si="2"/>
        <v>1.4306848387765854</v>
      </c>
      <c r="D20" s="53">
        <f>('Flood (national AAL PML)'!F21*100)/'Flood (national AAL PML)'!G21</f>
        <v>23312.864033789709</v>
      </c>
      <c r="E20" s="66">
        <f t="shared" si="3"/>
        <v>0.47000833404390269</v>
      </c>
    </row>
    <row r="21" spans="1:5">
      <c r="A21" s="65" t="s">
        <v>73</v>
      </c>
      <c r="B21" s="53">
        <f>'Flood (national AAL PML)'!J21</f>
        <v>6.8610879041755997</v>
      </c>
      <c r="C21" s="19">
        <f t="shared" si="2"/>
        <v>1.5065572518083852</v>
      </c>
      <c r="D21" s="53">
        <f>('Flood (national AAL PML)'!J21*100)/'Flood (national AAL PML)'!K21</f>
        <v>455.41501299999993</v>
      </c>
      <c r="E21" s="66">
        <f t="shared" si="3"/>
        <v>9.1815768001936374E-3</v>
      </c>
    </row>
    <row r="22" spans="1:5">
      <c r="A22" s="65" t="s">
        <v>74</v>
      </c>
      <c r="B22" s="53">
        <f>'Flood (national AAL PML)'!N21</f>
        <v>5.8761272571636498</v>
      </c>
      <c r="C22" s="19">
        <f>(B22/D22)*100</f>
        <v>2.009270144297342</v>
      </c>
      <c r="D22" s="53">
        <f>('Flood (national AAL PML)'!N21*100)/'Flood (national AAL PML)'!O21</f>
        <v>292.4508321512227</v>
      </c>
      <c r="E22" s="66">
        <f t="shared" si="3"/>
        <v>5.896072151835254E-3</v>
      </c>
    </row>
    <row r="23" spans="1:5">
      <c r="A23" s="65" t="s">
        <v>75</v>
      </c>
      <c r="B23" s="53">
        <f>'Flood (national AAL PML)'!R21</f>
        <v>1.991046064088565</v>
      </c>
      <c r="C23" s="19">
        <f t="shared" si="2"/>
        <v>2.009270144297342</v>
      </c>
      <c r="D23" s="53">
        <f>('Flood (national AAL PML)'!R21*100)/'Flood (national AAL PML)'!S21</f>
        <v>99.093000000000004</v>
      </c>
      <c r="E23" s="66">
        <f>D23/$D$26</f>
        <v>1.9978041212742985E-3</v>
      </c>
    </row>
    <row r="24" spans="1:5">
      <c r="A24" s="65"/>
      <c r="C24" s="60">
        <f>SUMPRODUCT(C18:C23,D18:D23)/SUM(D18:D23)</f>
        <v>1.2714787296151742</v>
      </c>
      <c r="E24" s="67"/>
    </row>
    <row r="25" spans="1:5">
      <c r="A25" s="65"/>
      <c r="E25" s="67"/>
    </row>
    <row r="26" spans="1:5">
      <c r="A26" s="68" t="s">
        <v>77</v>
      </c>
      <c r="B26" s="69"/>
      <c r="C26" s="70"/>
      <c r="D26" s="70">
        <f>SUM(D18:D23)</f>
        <v>49600.958845151232</v>
      </c>
      <c r="E26" s="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A27D-0BCC-4312-AEAA-8D6A83326A7F}">
  <dimension ref="A1:I107"/>
  <sheetViews>
    <sheetView tabSelected="1" topLeftCell="A55" workbookViewId="0">
      <selection activeCell="P63" sqref="P63"/>
    </sheetView>
  </sheetViews>
  <sheetFormatPr defaultRowHeight="14.5"/>
  <sheetData>
    <row r="1" spans="1:8">
      <c r="A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1995</v>
      </c>
      <c r="C2">
        <v>27.35</v>
      </c>
    </row>
    <row r="3" spans="1:8">
      <c r="A3">
        <v>1996</v>
      </c>
      <c r="C3">
        <v>27.31</v>
      </c>
    </row>
    <row r="4" spans="1:8">
      <c r="A4">
        <v>1997</v>
      </c>
      <c r="C4">
        <v>27.27</v>
      </c>
    </row>
    <row r="5" spans="1:8">
      <c r="A5">
        <v>1998</v>
      </c>
      <c r="C5">
        <v>27.24</v>
      </c>
    </row>
    <row r="6" spans="1:8">
      <c r="A6">
        <v>1999</v>
      </c>
      <c r="C6">
        <v>27.22</v>
      </c>
    </row>
    <row r="7" spans="1:8">
      <c r="A7">
        <v>2000</v>
      </c>
      <c r="C7">
        <v>27.21</v>
      </c>
    </row>
    <row r="8" spans="1:8">
      <c r="A8">
        <v>2001</v>
      </c>
      <c r="C8">
        <v>27.22</v>
      </c>
    </row>
    <row r="9" spans="1:8">
      <c r="A9">
        <v>2002</v>
      </c>
      <c r="C9">
        <v>27.25</v>
      </c>
    </row>
    <row r="10" spans="1:8">
      <c r="A10">
        <v>2003</v>
      </c>
      <c r="C10">
        <v>27.3</v>
      </c>
    </row>
    <row r="11" spans="1:8">
      <c r="A11">
        <v>2004</v>
      </c>
      <c r="C11">
        <v>27.35</v>
      </c>
    </row>
    <row r="12" spans="1:8">
      <c r="A12">
        <v>2005</v>
      </c>
      <c r="C12">
        <v>27.41</v>
      </c>
    </row>
    <row r="13" spans="1:8">
      <c r="A13">
        <v>2006</v>
      </c>
      <c r="C13">
        <v>27.47</v>
      </c>
    </row>
    <row r="14" spans="1:8">
      <c r="A14">
        <v>2007</v>
      </c>
      <c r="C14">
        <v>27.51</v>
      </c>
    </row>
    <row r="15" spans="1:8">
      <c r="A15">
        <v>2008</v>
      </c>
      <c r="C15">
        <v>27.54</v>
      </c>
    </row>
    <row r="16" spans="1:8">
      <c r="A16">
        <v>2009</v>
      </c>
      <c r="C16">
        <v>27.54</v>
      </c>
    </row>
    <row r="17" spans="1:9">
      <c r="A17">
        <v>2010</v>
      </c>
      <c r="C17">
        <v>27.53</v>
      </c>
    </row>
    <row r="18" spans="1:9">
      <c r="A18">
        <v>2011</v>
      </c>
      <c r="C18">
        <v>27.5</v>
      </c>
    </row>
    <row r="19" spans="1:9">
      <c r="A19">
        <v>2012</v>
      </c>
      <c r="C19">
        <v>27.46</v>
      </c>
    </row>
    <row r="20" spans="1:9">
      <c r="A20">
        <v>2013</v>
      </c>
      <c r="C20">
        <v>27.41</v>
      </c>
    </row>
    <row r="21" spans="1:9">
      <c r="A21">
        <v>2014</v>
      </c>
      <c r="C21">
        <v>27.36</v>
      </c>
      <c r="D21">
        <v>27.36</v>
      </c>
      <c r="E21">
        <v>27.36</v>
      </c>
      <c r="F21">
        <v>27.36</v>
      </c>
      <c r="G21">
        <v>27.36</v>
      </c>
      <c r="H21">
        <v>27.36</v>
      </c>
    </row>
    <row r="22" spans="1:9">
      <c r="A22">
        <v>2015</v>
      </c>
      <c r="D22">
        <v>27.48</v>
      </c>
      <c r="E22">
        <v>27.32</v>
      </c>
      <c r="F22">
        <v>27.32</v>
      </c>
      <c r="G22">
        <v>27.27</v>
      </c>
      <c r="H22">
        <v>27.48</v>
      </c>
    </row>
    <row r="23" spans="1:9">
      <c r="A23">
        <v>2016</v>
      </c>
      <c r="D23">
        <v>27.56</v>
      </c>
      <c r="E23">
        <v>27.46</v>
      </c>
      <c r="F23">
        <v>27.47</v>
      </c>
      <c r="G23">
        <v>27.37</v>
      </c>
      <c r="H23">
        <v>27.57</v>
      </c>
    </row>
    <row r="24" spans="1:9">
      <c r="A24">
        <v>2017</v>
      </c>
      <c r="D24">
        <v>27.65</v>
      </c>
      <c r="E24">
        <v>27.59</v>
      </c>
      <c r="F24">
        <v>27.61</v>
      </c>
      <c r="G24">
        <v>27.47</v>
      </c>
      <c r="H24">
        <v>27.65</v>
      </c>
    </row>
    <row r="25" spans="1:9">
      <c r="A25">
        <v>2018</v>
      </c>
      <c r="D25">
        <v>27.72</v>
      </c>
      <c r="E25">
        <v>27.7</v>
      </c>
      <c r="F25">
        <v>27.73</v>
      </c>
      <c r="G25">
        <v>27.57</v>
      </c>
      <c r="H25">
        <v>27.72</v>
      </c>
    </row>
    <row r="26" spans="1:9">
      <c r="A26">
        <v>2019</v>
      </c>
      <c r="D26">
        <v>27.78</v>
      </c>
      <c r="E26">
        <v>27.8</v>
      </c>
      <c r="F26">
        <v>27.83</v>
      </c>
      <c r="G26">
        <v>27.65</v>
      </c>
      <c r="H26">
        <v>27.78</v>
      </c>
      <c r="I26" t="s">
        <v>90</v>
      </c>
    </row>
    <row r="27" spans="1:9">
      <c r="A27">
        <v>2020</v>
      </c>
      <c r="B27">
        <v>1</v>
      </c>
      <c r="D27">
        <v>27.82</v>
      </c>
      <c r="E27">
        <v>27.87</v>
      </c>
      <c r="F27">
        <v>27.9</v>
      </c>
      <c r="G27">
        <v>27.72</v>
      </c>
      <c r="H27" s="106">
        <v>27.81</v>
      </c>
      <c r="I27">
        <f>H27/$H$27</f>
        <v>1</v>
      </c>
    </row>
    <row r="28" spans="1:9">
      <c r="A28">
        <v>2021</v>
      </c>
      <c r="B28">
        <v>2</v>
      </c>
      <c r="D28">
        <v>27.84</v>
      </c>
      <c r="E28">
        <v>27.9</v>
      </c>
      <c r="F28">
        <v>27.92</v>
      </c>
      <c r="G28">
        <v>27.77</v>
      </c>
      <c r="H28" s="106">
        <v>27.81</v>
      </c>
      <c r="I28">
        <f t="shared" ref="I28:I57" si="0">H28/$H$27</f>
        <v>1</v>
      </c>
    </row>
    <row r="29" spans="1:9">
      <c r="A29">
        <v>2022</v>
      </c>
      <c r="B29">
        <v>3</v>
      </c>
      <c r="D29">
        <v>27.85</v>
      </c>
      <c r="E29">
        <v>27.91</v>
      </c>
      <c r="F29">
        <v>27.92</v>
      </c>
      <c r="G29">
        <v>27.81</v>
      </c>
      <c r="H29" s="106">
        <v>27.79</v>
      </c>
      <c r="I29">
        <f t="shared" si="0"/>
        <v>0.99928083423229053</v>
      </c>
    </row>
    <row r="30" spans="1:9">
      <c r="A30">
        <v>2023</v>
      </c>
      <c r="B30">
        <v>4</v>
      </c>
      <c r="D30">
        <v>27.84</v>
      </c>
      <c r="E30">
        <v>27.9</v>
      </c>
      <c r="F30">
        <v>27.89</v>
      </c>
      <c r="G30">
        <v>27.83</v>
      </c>
      <c r="H30" s="106">
        <v>27.76</v>
      </c>
      <c r="I30">
        <f t="shared" si="0"/>
        <v>0.99820208558072643</v>
      </c>
    </row>
    <row r="31" spans="1:9">
      <c r="A31">
        <v>2024</v>
      </c>
      <c r="B31">
        <v>5</v>
      </c>
      <c r="D31">
        <v>27.83</v>
      </c>
      <c r="E31">
        <v>27.88</v>
      </c>
      <c r="F31">
        <v>27.85</v>
      </c>
      <c r="G31">
        <v>27.84</v>
      </c>
      <c r="H31" s="106">
        <v>27.74</v>
      </c>
      <c r="I31">
        <f t="shared" si="0"/>
        <v>0.99748291981301684</v>
      </c>
    </row>
    <row r="32" spans="1:9">
      <c r="A32">
        <v>2025</v>
      </c>
      <c r="B32">
        <v>6</v>
      </c>
      <c r="D32">
        <v>27.82</v>
      </c>
      <c r="E32">
        <v>27.86</v>
      </c>
      <c r="F32">
        <v>27.82</v>
      </c>
      <c r="G32">
        <v>27.84</v>
      </c>
      <c r="H32" s="106">
        <v>27.73</v>
      </c>
      <c r="I32">
        <f t="shared" si="0"/>
        <v>0.99712333692916222</v>
      </c>
    </row>
    <row r="33" spans="1:9">
      <c r="A33">
        <v>2026</v>
      </c>
      <c r="B33">
        <v>7</v>
      </c>
      <c r="D33">
        <v>27.83</v>
      </c>
      <c r="E33">
        <v>27.85</v>
      </c>
      <c r="F33">
        <v>27.81</v>
      </c>
      <c r="G33">
        <v>27.83</v>
      </c>
      <c r="H33" s="106">
        <v>27.76</v>
      </c>
      <c r="I33">
        <f t="shared" si="0"/>
        <v>0.99820208558072643</v>
      </c>
    </row>
    <row r="34" spans="1:9">
      <c r="A34">
        <v>2027</v>
      </c>
      <c r="B34">
        <v>8</v>
      </c>
      <c r="D34">
        <v>27.84</v>
      </c>
      <c r="E34">
        <v>27.85</v>
      </c>
      <c r="F34">
        <v>27.83</v>
      </c>
      <c r="G34">
        <v>27.81</v>
      </c>
      <c r="H34" s="106">
        <v>27.81</v>
      </c>
      <c r="I34">
        <f t="shared" si="0"/>
        <v>1</v>
      </c>
    </row>
    <row r="35" spans="1:9">
      <c r="A35">
        <v>2028</v>
      </c>
      <c r="B35">
        <v>9</v>
      </c>
      <c r="D35">
        <v>27.87</v>
      </c>
      <c r="E35">
        <v>27.87</v>
      </c>
      <c r="F35">
        <v>27.87</v>
      </c>
      <c r="G35">
        <v>27.8</v>
      </c>
      <c r="H35" s="106">
        <v>27.89</v>
      </c>
      <c r="I35">
        <f t="shared" si="0"/>
        <v>1.0028766630708379</v>
      </c>
    </row>
    <row r="36" spans="1:9">
      <c r="A36">
        <v>2029</v>
      </c>
      <c r="B36">
        <v>10</v>
      </c>
      <c r="D36">
        <v>27.91</v>
      </c>
      <c r="E36">
        <v>27.89</v>
      </c>
      <c r="F36">
        <v>27.91</v>
      </c>
      <c r="G36">
        <v>27.8</v>
      </c>
      <c r="H36" s="106">
        <v>27.97</v>
      </c>
      <c r="I36">
        <f t="shared" si="0"/>
        <v>1.0057533261416756</v>
      </c>
    </row>
    <row r="37" spans="1:9">
      <c r="A37">
        <v>2030</v>
      </c>
      <c r="B37">
        <v>11</v>
      </c>
      <c r="D37">
        <v>27.95</v>
      </c>
      <c r="E37">
        <v>27.92</v>
      </c>
      <c r="F37">
        <v>27.97</v>
      </c>
      <c r="G37">
        <v>27.81</v>
      </c>
      <c r="H37" s="106">
        <v>28.03</v>
      </c>
      <c r="I37">
        <f t="shared" si="0"/>
        <v>1.0079108234448042</v>
      </c>
    </row>
    <row r="38" spans="1:9">
      <c r="A38">
        <v>2031</v>
      </c>
      <c r="B38">
        <v>12</v>
      </c>
      <c r="D38">
        <v>28</v>
      </c>
      <c r="E38">
        <v>27.96</v>
      </c>
      <c r="F38">
        <v>28.03</v>
      </c>
      <c r="G38">
        <v>27.85</v>
      </c>
      <c r="H38" s="106">
        <v>28.06</v>
      </c>
      <c r="I38">
        <f t="shared" si="0"/>
        <v>1.0089895720963682</v>
      </c>
    </row>
    <row r="39" spans="1:9">
      <c r="A39">
        <v>2032</v>
      </c>
      <c r="B39">
        <v>13</v>
      </c>
      <c r="D39">
        <v>28.05</v>
      </c>
      <c r="E39">
        <v>27.99</v>
      </c>
      <c r="F39">
        <v>28.09</v>
      </c>
      <c r="G39">
        <v>27.92</v>
      </c>
      <c r="H39" s="106">
        <v>28.06</v>
      </c>
      <c r="I39">
        <f t="shared" si="0"/>
        <v>1.0089895720963682</v>
      </c>
    </row>
    <row r="40" spans="1:9">
      <c r="A40">
        <v>2033</v>
      </c>
      <c r="B40">
        <v>14</v>
      </c>
      <c r="D40">
        <v>28.1</v>
      </c>
      <c r="E40">
        <v>28.03</v>
      </c>
      <c r="F40">
        <v>28.15</v>
      </c>
      <c r="G40">
        <v>28.02</v>
      </c>
      <c r="H40" s="106">
        <v>28.03</v>
      </c>
      <c r="I40">
        <f t="shared" si="0"/>
        <v>1.0079108234448042</v>
      </c>
    </row>
    <row r="41" spans="1:9">
      <c r="A41">
        <v>2034</v>
      </c>
      <c r="B41">
        <v>15</v>
      </c>
      <c r="D41">
        <v>28.15</v>
      </c>
      <c r="E41">
        <v>28.06</v>
      </c>
      <c r="F41">
        <v>28.2</v>
      </c>
      <c r="G41">
        <v>28.12</v>
      </c>
      <c r="H41" s="106">
        <v>28</v>
      </c>
      <c r="I41">
        <f t="shared" si="0"/>
        <v>1.00683207479324</v>
      </c>
    </row>
    <row r="42" spans="1:9">
      <c r="A42">
        <v>2035</v>
      </c>
      <c r="B42">
        <v>16</v>
      </c>
      <c r="D42">
        <v>28.19</v>
      </c>
      <c r="E42">
        <v>28.09</v>
      </c>
      <c r="F42">
        <v>28.26</v>
      </c>
      <c r="G42">
        <v>28.22</v>
      </c>
      <c r="H42" s="106">
        <v>27.99</v>
      </c>
      <c r="I42">
        <f t="shared" si="0"/>
        <v>1.006472491909385</v>
      </c>
    </row>
    <row r="43" spans="1:9">
      <c r="A43">
        <v>2036</v>
      </c>
      <c r="B43">
        <v>17</v>
      </c>
      <c r="D43">
        <v>28.23</v>
      </c>
      <c r="E43">
        <v>28.12</v>
      </c>
      <c r="F43">
        <v>28.31</v>
      </c>
      <c r="G43">
        <v>28.31</v>
      </c>
      <c r="H43" s="106">
        <v>28.03</v>
      </c>
      <c r="I43">
        <f t="shared" si="0"/>
        <v>1.0079108234448042</v>
      </c>
    </row>
    <row r="44" spans="1:9">
      <c r="A44">
        <v>2037</v>
      </c>
      <c r="B44">
        <v>18</v>
      </c>
      <c r="D44">
        <v>28.26</v>
      </c>
      <c r="E44">
        <v>28.14</v>
      </c>
      <c r="F44">
        <v>28.37</v>
      </c>
      <c r="G44">
        <v>28.38</v>
      </c>
      <c r="H44" s="106">
        <v>28.13</v>
      </c>
      <c r="I44">
        <f t="shared" si="0"/>
        <v>1.0115066522833513</v>
      </c>
    </row>
    <row r="45" spans="1:9">
      <c r="A45">
        <v>2038</v>
      </c>
      <c r="B45">
        <v>19</v>
      </c>
      <c r="D45">
        <v>28.28</v>
      </c>
      <c r="E45">
        <v>28.15</v>
      </c>
      <c r="F45">
        <v>28.42</v>
      </c>
      <c r="G45">
        <v>28.42</v>
      </c>
      <c r="H45" s="106">
        <v>28.28</v>
      </c>
      <c r="I45">
        <f t="shared" si="0"/>
        <v>1.0169003955411724</v>
      </c>
    </row>
    <row r="46" spans="1:9">
      <c r="A46">
        <v>2039</v>
      </c>
      <c r="B46">
        <v>20</v>
      </c>
      <c r="D46">
        <v>28.29</v>
      </c>
      <c r="E46">
        <v>28.16</v>
      </c>
      <c r="F46">
        <v>28.47</v>
      </c>
      <c r="G46">
        <v>28.46</v>
      </c>
      <c r="H46" s="106">
        <v>28.45</v>
      </c>
      <c r="I46">
        <f t="shared" si="0"/>
        <v>1.0230133045667027</v>
      </c>
    </row>
    <row r="47" spans="1:9">
      <c r="A47">
        <v>2040</v>
      </c>
      <c r="B47">
        <v>21</v>
      </c>
      <c r="D47">
        <v>28.31</v>
      </c>
      <c r="E47">
        <v>28.17</v>
      </c>
      <c r="F47">
        <v>28.52</v>
      </c>
      <c r="G47">
        <v>28.48</v>
      </c>
      <c r="H47" s="106">
        <v>28.63</v>
      </c>
      <c r="I47">
        <f t="shared" si="0"/>
        <v>1.0294857964760877</v>
      </c>
    </row>
    <row r="48" spans="1:9">
      <c r="A48">
        <v>2041</v>
      </c>
      <c r="B48">
        <v>22</v>
      </c>
      <c r="D48">
        <v>28.32</v>
      </c>
      <c r="E48">
        <v>28.18</v>
      </c>
      <c r="F48">
        <v>28.55</v>
      </c>
      <c r="G48">
        <v>28.51</v>
      </c>
      <c r="H48" s="106">
        <v>28.78</v>
      </c>
      <c r="I48">
        <f t="shared" si="0"/>
        <v>1.0348795397339088</v>
      </c>
    </row>
    <row r="49" spans="1:9">
      <c r="A49">
        <v>2042</v>
      </c>
      <c r="B49">
        <v>23</v>
      </c>
      <c r="D49">
        <v>28.34</v>
      </c>
      <c r="E49">
        <v>28.21</v>
      </c>
      <c r="F49">
        <v>28.56</v>
      </c>
      <c r="G49">
        <v>28.55</v>
      </c>
      <c r="H49" s="106">
        <v>28.89</v>
      </c>
      <c r="I49">
        <f t="shared" si="0"/>
        <v>1.0388349514563107</v>
      </c>
    </row>
    <row r="50" spans="1:9">
      <c r="A50">
        <v>2043</v>
      </c>
      <c r="B50">
        <v>24</v>
      </c>
      <c r="D50">
        <v>28.36</v>
      </c>
      <c r="E50">
        <v>28.24</v>
      </c>
      <c r="F50">
        <v>28.56</v>
      </c>
      <c r="G50">
        <v>28.6</v>
      </c>
      <c r="H50" s="106">
        <v>28.94</v>
      </c>
      <c r="I50">
        <f t="shared" si="0"/>
        <v>1.0406328658755843</v>
      </c>
    </row>
    <row r="51" spans="1:9">
      <c r="A51">
        <v>2044</v>
      </c>
      <c r="B51">
        <v>25</v>
      </c>
      <c r="D51">
        <v>28.37</v>
      </c>
      <c r="E51">
        <v>28.27</v>
      </c>
      <c r="F51">
        <v>28.56</v>
      </c>
      <c r="G51">
        <v>28.66</v>
      </c>
      <c r="H51" s="106">
        <v>28.95</v>
      </c>
      <c r="I51">
        <f t="shared" si="0"/>
        <v>1.0409924487594391</v>
      </c>
    </row>
    <row r="52" spans="1:9">
      <c r="A52">
        <v>2045</v>
      </c>
      <c r="B52">
        <v>26</v>
      </c>
      <c r="D52">
        <v>28.37</v>
      </c>
      <c r="E52">
        <v>28.31</v>
      </c>
      <c r="F52">
        <v>28.54</v>
      </c>
      <c r="G52">
        <v>28.71</v>
      </c>
      <c r="H52" s="106">
        <v>28.95</v>
      </c>
      <c r="I52">
        <f t="shared" si="0"/>
        <v>1.0409924487594391</v>
      </c>
    </row>
    <row r="53" spans="1:9">
      <c r="A53">
        <v>2046</v>
      </c>
      <c r="B53">
        <v>27</v>
      </c>
      <c r="D53">
        <v>28.35</v>
      </c>
      <c r="E53">
        <v>28.34</v>
      </c>
      <c r="F53">
        <v>28.53</v>
      </c>
      <c r="G53">
        <v>28.77</v>
      </c>
      <c r="H53" s="106">
        <v>28.93</v>
      </c>
      <c r="I53">
        <f t="shared" si="0"/>
        <v>1.0402732829917296</v>
      </c>
    </row>
    <row r="54" spans="1:9">
      <c r="A54">
        <v>2047</v>
      </c>
      <c r="B54">
        <v>28</v>
      </c>
      <c r="D54">
        <v>28.3</v>
      </c>
      <c r="E54">
        <v>28.37</v>
      </c>
      <c r="F54">
        <v>28.53</v>
      </c>
      <c r="G54">
        <v>28.82</v>
      </c>
      <c r="H54" s="106">
        <v>28.92</v>
      </c>
      <c r="I54">
        <f t="shared" si="0"/>
        <v>1.0399137001078749</v>
      </c>
    </row>
    <row r="55" spans="1:9">
      <c r="A55">
        <v>2048</v>
      </c>
      <c r="B55">
        <v>29</v>
      </c>
      <c r="D55">
        <v>28.23</v>
      </c>
      <c r="E55">
        <v>28.39</v>
      </c>
      <c r="F55">
        <v>28.54</v>
      </c>
      <c r="G55">
        <v>28.86</v>
      </c>
      <c r="H55" s="106">
        <v>28.93</v>
      </c>
      <c r="I55">
        <f t="shared" si="0"/>
        <v>1.0402732829917296</v>
      </c>
    </row>
    <row r="56" spans="1:9">
      <c r="A56">
        <v>2049</v>
      </c>
      <c r="B56">
        <v>30</v>
      </c>
      <c r="D56">
        <v>28.14</v>
      </c>
      <c r="E56">
        <v>28.4</v>
      </c>
      <c r="F56">
        <v>28.56</v>
      </c>
      <c r="G56">
        <v>28.88</v>
      </c>
      <c r="H56" s="106">
        <v>28.96</v>
      </c>
      <c r="I56">
        <f t="shared" si="0"/>
        <v>1.0413520316432938</v>
      </c>
    </row>
    <row r="57" spans="1:9">
      <c r="A57">
        <v>2050</v>
      </c>
      <c r="B57">
        <v>31</v>
      </c>
      <c r="D57">
        <v>28.06</v>
      </c>
      <c r="E57">
        <v>28.4</v>
      </c>
      <c r="F57">
        <v>28.58</v>
      </c>
      <c r="G57">
        <v>28.9</v>
      </c>
      <c r="H57" s="106">
        <v>29</v>
      </c>
      <c r="I57">
        <f t="shared" si="0"/>
        <v>1.0427903631787128</v>
      </c>
    </row>
    <row r="58" spans="1:9">
      <c r="A58">
        <v>2051</v>
      </c>
      <c r="D58">
        <v>28.01</v>
      </c>
      <c r="E58">
        <v>28.39</v>
      </c>
      <c r="F58">
        <v>28.61</v>
      </c>
      <c r="G58">
        <v>28.91</v>
      </c>
      <c r="H58">
        <v>29.04</v>
      </c>
    </row>
    <row r="59" spans="1:9">
      <c r="A59">
        <v>2052</v>
      </c>
      <c r="D59">
        <v>28</v>
      </c>
      <c r="E59">
        <v>28.38</v>
      </c>
      <c r="F59">
        <v>28.64</v>
      </c>
      <c r="G59">
        <v>28.92</v>
      </c>
      <c r="H59">
        <v>29.1</v>
      </c>
    </row>
    <row r="60" spans="1:9">
      <c r="A60">
        <v>2053</v>
      </c>
      <c r="D60">
        <v>28.04</v>
      </c>
      <c r="E60">
        <v>28.37</v>
      </c>
      <c r="F60">
        <v>28.67</v>
      </c>
      <c r="G60">
        <v>28.92</v>
      </c>
      <c r="H60">
        <v>29.16</v>
      </c>
    </row>
    <row r="61" spans="1:9">
      <c r="A61">
        <v>2054</v>
      </c>
      <c r="D61">
        <v>28.13</v>
      </c>
      <c r="E61">
        <v>28.36</v>
      </c>
      <c r="F61">
        <v>28.71</v>
      </c>
      <c r="G61">
        <v>28.91</v>
      </c>
      <c r="H61">
        <v>29.21</v>
      </c>
    </row>
    <row r="62" spans="1:9">
      <c r="A62">
        <v>2055</v>
      </c>
      <c r="D62">
        <v>28.24</v>
      </c>
      <c r="E62">
        <v>28.35</v>
      </c>
      <c r="F62">
        <v>28.75</v>
      </c>
      <c r="G62">
        <v>28.91</v>
      </c>
      <c r="H62">
        <v>29.27</v>
      </c>
    </row>
    <row r="63" spans="1:9">
      <c r="A63">
        <v>2056</v>
      </c>
      <c r="D63">
        <v>28.35</v>
      </c>
      <c r="E63">
        <v>28.34</v>
      </c>
      <c r="F63">
        <v>28.79</v>
      </c>
      <c r="G63">
        <v>28.92</v>
      </c>
      <c r="H63">
        <v>29.32</v>
      </c>
    </row>
    <row r="64" spans="1:9">
      <c r="A64">
        <v>2057</v>
      </c>
      <c r="D64">
        <v>28.42</v>
      </c>
      <c r="E64">
        <v>28.35</v>
      </c>
      <c r="F64">
        <v>28.85</v>
      </c>
      <c r="G64">
        <v>28.94</v>
      </c>
      <c r="H64">
        <v>29.38</v>
      </c>
    </row>
    <row r="65" spans="1:8">
      <c r="A65">
        <v>2058</v>
      </c>
      <c r="D65">
        <v>28.45</v>
      </c>
      <c r="E65">
        <v>28.37</v>
      </c>
      <c r="F65">
        <v>28.93</v>
      </c>
      <c r="G65">
        <v>28.97</v>
      </c>
      <c r="H65">
        <v>29.43</v>
      </c>
    </row>
    <row r="66" spans="1:8">
      <c r="A66">
        <v>2059</v>
      </c>
      <c r="D66">
        <v>28.41</v>
      </c>
      <c r="E66">
        <v>28.4</v>
      </c>
      <c r="F66">
        <v>29.01</v>
      </c>
      <c r="G66">
        <v>29.02</v>
      </c>
      <c r="H66">
        <v>29.48</v>
      </c>
    </row>
    <row r="67" spans="1:8">
      <c r="A67">
        <v>2060</v>
      </c>
      <c r="D67">
        <v>28.34</v>
      </c>
      <c r="E67">
        <v>28.43</v>
      </c>
      <c r="F67">
        <v>29.09</v>
      </c>
      <c r="G67">
        <v>29.08</v>
      </c>
      <c r="H67">
        <v>29.54</v>
      </c>
    </row>
    <row r="68" spans="1:8">
      <c r="A68">
        <v>2061</v>
      </c>
      <c r="D68">
        <v>28.24</v>
      </c>
      <c r="E68">
        <v>28.46</v>
      </c>
      <c r="F68">
        <v>29.16</v>
      </c>
      <c r="G68">
        <v>29.15</v>
      </c>
      <c r="H68">
        <v>29.6</v>
      </c>
    </row>
    <row r="69" spans="1:8">
      <c r="A69">
        <v>2062</v>
      </c>
      <c r="D69">
        <v>28.14</v>
      </c>
      <c r="E69">
        <v>28.47</v>
      </c>
      <c r="F69">
        <v>29.22</v>
      </c>
      <c r="G69">
        <v>29.22</v>
      </c>
      <c r="H69">
        <v>29.66</v>
      </c>
    </row>
    <row r="70" spans="1:8">
      <c r="A70">
        <v>2063</v>
      </c>
      <c r="D70">
        <v>28.05</v>
      </c>
      <c r="E70">
        <v>28.47</v>
      </c>
      <c r="F70">
        <v>29.24</v>
      </c>
      <c r="G70">
        <v>29.29</v>
      </c>
      <c r="H70">
        <v>29.74</v>
      </c>
    </row>
    <row r="71" spans="1:8">
      <c r="A71">
        <v>2064</v>
      </c>
      <c r="D71">
        <v>27.98</v>
      </c>
      <c r="E71">
        <v>28.44</v>
      </c>
      <c r="F71">
        <v>29.23</v>
      </c>
      <c r="G71">
        <v>29.36</v>
      </c>
      <c r="H71">
        <v>29.82</v>
      </c>
    </row>
    <row r="72" spans="1:8">
      <c r="A72">
        <v>2065</v>
      </c>
      <c r="D72">
        <v>27.94</v>
      </c>
      <c r="E72">
        <v>28.4</v>
      </c>
      <c r="F72">
        <v>29.19</v>
      </c>
      <c r="G72">
        <v>29.43</v>
      </c>
      <c r="H72">
        <v>29.91</v>
      </c>
    </row>
    <row r="73" spans="1:8">
      <c r="A73">
        <v>2066</v>
      </c>
      <c r="D73">
        <v>27.92</v>
      </c>
      <c r="E73">
        <v>28.35</v>
      </c>
      <c r="F73">
        <v>29.14</v>
      </c>
      <c r="G73">
        <v>29.48</v>
      </c>
      <c r="H73">
        <v>30</v>
      </c>
    </row>
    <row r="74" spans="1:8">
      <c r="A74">
        <v>2067</v>
      </c>
      <c r="D74">
        <v>27.94</v>
      </c>
      <c r="E74">
        <v>28.32</v>
      </c>
      <c r="F74">
        <v>29.1</v>
      </c>
      <c r="G74">
        <v>29.53</v>
      </c>
      <c r="H74">
        <v>30.09</v>
      </c>
    </row>
    <row r="75" spans="1:8">
      <c r="A75">
        <v>2068</v>
      </c>
      <c r="D75">
        <v>27.98</v>
      </c>
      <c r="E75">
        <v>28.31</v>
      </c>
      <c r="F75">
        <v>29.07</v>
      </c>
      <c r="G75">
        <v>29.55</v>
      </c>
      <c r="H75">
        <v>30.17</v>
      </c>
    </row>
    <row r="76" spans="1:8">
      <c r="A76">
        <v>2069</v>
      </c>
      <c r="D76">
        <v>28.05</v>
      </c>
      <c r="E76">
        <v>28.33</v>
      </c>
      <c r="F76">
        <v>29.07</v>
      </c>
      <c r="G76">
        <v>29.56</v>
      </c>
      <c r="H76">
        <v>30.23</v>
      </c>
    </row>
    <row r="77" spans="1:8">
      <c r="A77">
        <v>2070</v>
      </c>
      <c r="D77">
        <v>28.14</v>
      </c>
      <c r="E77">
        <v>28.37</v>
      </c>
      <c r="F77">
        <v>29.09</v>
      </c>
      <c r="G77">
        <v>29.56</v>
      </c>
      <c r="H77">
        <v>30.28</v>
      </c>
    </row>
    <row r="78" spans="1:8">
      <c r="A78">
        <v>2071</v>
      </c>
      <c r="D78">
        <v>28.22</v>
      </c>
      <c r="E78">
        <v>28.42</v>
      </c>
      <c r="F78">
        <v>29.14</v>
      </c>
      <c r="G78">
        <v>29.55</v>
      </c>
      <c r="H78">
        <v>30.33</v>
      </c>
    </row>
    <row r="79" spans="1:8">
      <c r="A79">
        <v>2072</v>
      </c>
      <c r="D79">
        <v>28.29</v>
      </c>
      <c r="E79">
        <v>28.47</v>
      </c>
      <c r="F79">
        <v>29.2</v>
      </c>
      <c r="G79">
        <v>29.56</v>
      </c>
      <c r="H79">
        <v>30.38</v>
      </c>
    </row>
    <row r="80" spans="1:8">
      <c r="A80">
        <v>2073</v>
      </c>
      <c r="D80">
        <v>28.31</v>
      </c>
      <c r="E80">
        <v>28.51</v>
      </c>
      <c r="F80">
        <v>29.27</v>
      </c>
      <c r="G80">
        <v>29.58</v>
      </c>
      <c r="H80">
        <v>30.44</v>
      </c>
    </row>
    <row r="81" spans="1:8">
      <c r="A81">
        <v>2074</v>
      </c>
      <c r="D81">
        <v>28.29</v>
      </c>
      <c r="E81">
        <v>28.51</v>
      </c>
      <c r="F81">
        <v>29.34</v>
      </c>
      <c r="G81">
        <v>29.64</v>
      </c>
      <c r="H81">
        <v>30.51</v>
      </c>
    </row>
    <row r="82" spans="1:8">
      <c r="A82">
        <v>2075</v>
      </c>
      <c r="D82">
        <v>28.21</v>
      </c>
      <c r="E82">
        <v>28.49</v>
      </c>
      <c r="F82">
        <v>29.41</v>
      </c>
      <c r="G82">
        <v>29.72</v>
      </c>
      <c r="H82">
        <v>30.58</v>
      </c>
    </row>
    <row r="83" spans="1:8">
      <c r="A83">
        <v>2076</v>
      </c>
      <c r="D83">
        <v>28.11</v>
      </c>
      <c r="E83">
        <v>28.45</v>
      </c>
      <c r="F83">
        <v>29.47</v>
      </c>
      <c r="G83">
        <v>29.83</v>
      </c>
      <c r="H83">
        <v>30.67</v>
      </c>
    </row>
    <row r="84" spans="1:8">
      <c r="A84">
        <v>2077</v>
      </c>
      <c r="D84">
        <v>28</v>
      </c>
      <c r="E84">
        <v>28.42</v>
      </c>
      <c r="F84">
        <v>29.53</v>
      </c>
      <c r="G84">
        <v>29.95</v>
      </c>
      <c r="H84">
        <v>30.76</v>
      </c>
    </row>
    <row r="85" spans="1:8">
      <c r="A85">
        <v>2078</v>
      </c>
      <c r="D85">
        <v>27.92</v>
      </c>
      <c r="E85">
        <v>28.41</v>
      </c>
      <c r="F85">
        <v>29.57</v>
      </c>
      <c r="G85">
        <v>30.07</v>
      </c>
      <c r="H85">
        <v>30.84</v>
      </c>
    </row>
    <row r="86" spans="1:8">
      <c r="A86">
        <v>2079</v>
      </c>
      <c r="D86">
        <v>27.87</v>
      </c>
      <c r="E86">
        <v>28.43</v>
      </c>
      <c r="F86">
        <v>29.59</v>
      </c>
      <c r="G86">
        <v>30.18</v>
      </c>
      <c r="H86">
        <v>30.93</v>
      </c>
    </row>
    <row r="87" spans="1:8">
      <c r="A87">
        <v>2080</v>
      </c>
      <c r="D87">
        <v>27.88</v>
      </c>
      <c r="E87">
        <v>28.49</v>
      </c>
      <c r="F87">
        <v>29.59</v>
      </c>
      <c r="G87">
        <v>30.27</v>
      </c>
      <c r="H87">
        <v>31</v>
      </c>
    </row>
    <row r="88" spans="1:8">
      <c r="A88">
        <v>2081</v>
      </c>
      <c r="D88">
        <v>27.93</v>
      </c>
      <c r="E88">
        <v>28.58</v>
      </c>
      <c r="F88">
        <v>29.58</v>
      </c>
      <c r="G88">
        <v>30.35</v>
      </c>
      <c r="H88">
        <v>31.08</v>
      </c>
    </row>
    <row r="89" spans="1:8">
      <c r="A89">
        <v>2082</v>
      </c>
      <c r="D89">
        <v>27.99</v>
      </c>
      <c r="E89">
        <v>28.66</v>
      </c>
      <c r="F89">
        <v>29.56</v>
      </c>
      <c r="G89">
        <v>30.41</v>
      </c>
      <c r="H89">
        <v>31.15</v>
      </c>
    </row>
    <row r="90" spans="1:8">
      <c r="A90">
        <v>2083</v>
      </c>
      <c r="D90">
        <v>28.05</v>
      </c>
      <c r="E90">
        <v>28.72</v>
      </c>
      <c r="F90">
        <v>29.56</v>
      </c>
      <c r="G90">
        <v>30.46</v>
      </c>
      <c r="H90">
        <v>31.23</v>
      </c>
    </row>
    <row r="91" spans="1:8">
      <c r="A91">
        <v>2084</v>
      </c>
      <c r="D91">
        <v>28.1</v>
      </c>
      <c r="E91">
        <v>28.73</v>
      </c>
      <c r="F91">
        <v>29.56</v>
      </c>
      <c r="G91">
        <v>30.49</v>
      </c>
      <c r="H91">
        <v>31.31</v>
      </c>
    </row>
    <row r="92" spans="1:8">
      <c r="A92">
        <v>2085</v>
      </c>
      <c r="D92">
        <v>28.11</v>
      </c>
      <c r="E92">
        <v>28.68</v>
      </c>
      <c r="F92">
        <v>29.59</v>
      </c>
      <c r="G92">
        <v>30.51</v>
      </c>
      <c r="H92">
        <v>31.4</v>
      </c>
    </row>
    <row r="93" spans="1:8">
      <c r="A93">
        <v>2086</v>
      </c>
      <c r="D93">
        <v>28.1</v>
      </c>
      <c r="E93">
        <v>28.58</v>
      </c>
      <c r="F93">
        <v>29.63</v>
      </c>
      <c r="G93">
        <v>30.52</v>
      </c>
      <c r="H93">
        <v>31.5</v>
      </c>
    </row>
    <row r="94" spans="1:8">
      <c r="A94">
        <v>2087</v>
      </c>
      <c r="D94">
        <v>28.06</v>
      </c>
      <c r="E94">
        <v>28.45</v>
      </c>
      <c r="F94">
        <v>29.68</v>
      </c>
      <c r="G94">
        <v>30.53</v>
      </c>
      <c r="H94">
        <v>31.6</v>
      </c>
    </row>
    <row r="95" spans="1:8">
      <c r="A95">
        <v>2088</v>
      </c>
      <c r="D95">
        <v>28.01</v>
      </c>
      <c r="E95">
        <v>28.33</v>
      </c>
      <c r="F95">
        <v>29.73</v>
      </c>
      <c r="G95">
        <v>30.54</v>
      </c>
      <c r="H95">
        <v>31.69</v>
      </c>
    </row>
    <row r="96" spans="1:8">
      <c r="A96">
        <v>2089</v>
      </c>
      <c r="D96">
        <v>27.96</v>
      </c>
      <c r="E96">
        <v>28.22</v>
      </c>
      <c r="F96">
        <v>29.76</v>
      </c>
      <c r="G96">
        <v>30.56</v>
      </c>
      <c r="H96">
        <v>31.77</v>
      </c>
    </row>
    <row r="97" spans="1:8">
      <c r="A97">
        <v>2090</v>
      </c>
      <c r="D97">
        <v>27.91</v>
      </c>
      <c r="E97">
        <v>28.16</v>
      </c>
      <c r="F97">
        <v>29.77</v>
      </c>
      <c r="G97">
        <v>30.6</v>
      </c>
      <c r="H97">
        <v>31.83</v>
      </c>
    </row>
    <row r="98" spans="1:8">
      <c r="A98">
        <v>2091</v>
      </c>
      <c r="D98">
        <v>27.86</v>
      </c>
      <c r="E98">
        <v>28.15</v>
      </c>
      <c r="F98">
        <v>29.76</v>
      </c>
      <c r="G98">
        <v>30.66</v>
      </c>
      <c r="H98">
        <v>31.89</v>
      </c>
    </row>
    <row r="99" spans="1:8">
      <c r="A99">
        <v>2092</v>
      </c>
      <c r="D99">
        <v>27.83</v>
      </c>
      <c r="E99">
        <v>28.17</v>
      </c>
      <c r="F99">
        <v>29.73</v>
      </c>
      <c r="G99">
        <v>30.72</v>
      </c>
      <c r="H99">
        <v>31.93</v>
      </c>
    </row>
    <row r="100" spans="1:8">
      <c r="A100">
        <v>2093</v>
      </c>
      <c r="D100">
        <v>27.79</v>
      </c>
      <c r="E100">
        <v>28.22</v>
      </c>
      <c r="F100">
        <v>29.71</v>
      </c>
      <c r="G100">
        <v>30.79</v>
      </c>
      <c r="H100">
        <v>31.97</v>
      </c>
    </row>
    <row r="101" spans="1:8">
      <c r="A101">
        <v>2094</v>
      </c>
      <c r="D101">
        <v>27.77</v>
      </c>
      <c r="E101">
        <v>28.27</v>
      </c>
      <c r="F101">
        <v>29.7</v>
      </c>
      <c r="G101">
        <v>30.87</v>
      </c>
      <c r="H101">
        <v>32.01</v>
      </c>
    </row>
    <row r="102" spans="1:8">
      <c r="A102">
        <v>2095</v>
      </c>
      <c r="D102">
        <v>27.75</v>
      </c>
      <c r="E102">
        <v>28.32</v>
      </c>
      <c r="F102">
        <v>29.71</v>
      </c>
      <c r="G102">
        <v>30.94</v>
      </c>
      <c r="H102">
        <v>32.06</v>
      </c>
    </row>
    <row r="103" spans="1:8">
      <c r="A103">
        <v>2096</v>
      </c>
      <c r="D103">
        <v>27.74</v>
      </c>
      <c r="E103">
        <v>28.36</v>
      </c>
      <c r="F103">
        <v>29.74</v>
      </c>
      <c r="G103">
        <v>31</v>
      </c>
      <c r="H103">
        <v>32.119999999999997</v>
      </c>
    </row>
    <row r="104" spans="1:8">
      <c r="A104">
        <v>2097</v>
      </c>
      <c r="D104">
        <v>27.73</v>
      </c>
      <c r="E104">
        <v>28.4</v>
      </c>
      <c r="F104">
        <v>29.8</v>
      </c>
      <c r="G104">
        <v>31.06</v>
      </c>
      <c r="H104">
        <v>32.19</v>
      </c>
    </row>
    <row r="105" spans="1:8">
      <c r="A105">
        <v>2098</v>
      </c>
      <c r="D105">
        <v>27.72</v>
      </c>
      <c r="E105">
        <v>28.42</v>
      </c>
      <c r="F105">
        <v>29.87</v>
      </c>
      <c r="G105">
        <v>31.11</v>
      </c>
      <c r="H105">
        <v>32.270000000000003</v>
      </c>
    </row>
    <row r="106" spans="1:8">
      <c r="A106">
        <v>2099</v>
      </c>
      <c r="D106">
        <v>27.71</v>
      </c>
      <c r="E106">
        <v>28.44</v>
      </c>
      <c r="F106">
        <v>29.95</v>
      </c>
      <c r="G106">
        <v>31.17</v>
      </c>
      <c r="H106">
        <v>32.36</v>
      </c>
    </row>
    <row r="107" spans="1:8">
      <c r="A107">
        <v>2100</v>
      </c>
      <c r="D107">
        <v>27.71</v>
      </c>
      <c r="E107">
        <v>28.46</v>
      </c>
      <c r="F107">
        <v>30.04</v>
      </c>
      <c r="G107">
        <v>31.22</v>
      </c>
      <c r="H107">
        <v>32.44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BY98"/>
  <sheetViews>
    <sheetView topLeftCell="M2" zoomScale="86" zoomScaleNormal="400" workbookViewId="0">
      <selection activeCell="Z2" sqref="Z1:AB1048576"/>
    </sheetView>
  </sheetViews>
  <sheetFormatPr defaultColWidth="8.81640625" defaultRowHeight="14.5"/>
  <cols>
    <col min="1" max="1" width="14.6328125" style="26" customWidth="1"/>
    <col min="2" max="2" width="9.81640625" style="26" customWidth="1"/>
    <col min="3" max="3" width="10.453125" style="26" customWidth="1"/>
    <col min="4" max="4" width="13.6328125" style="26" customWidth="1"/>
    <col min="5" max="5" width="11.36328125" style="26" customWidth="1"/>
    <col min="6" max="6" width="12.6328125" style="26" customWidth="1"/>
    <col min="7" max="7" width="8.81640625" style="26"/>
    <col min="8" max="9" width="9" style="26" bestFit="1" customWidth="1"/>
    <col min="10" max="10" width="11.1796875" style="26" bestFit="1" customWidth="1"/>
    <col min="11" max="11" width="9" style="26" bestFit="1" customWidth="1"/>
    <col min="12" max="15" width="8.81640625" style="26"/>
    <col min="16" max="16" width="10.6328125" style="26" bestFit="1" customWidth="1"/>
    <col min="17" max="19" width="8.81640625" style="26"/>
    <col min="20" max="20" width="16.453125" style="26" customWidth="1"/>
    <col min="21" max="46" width="8.81640625" style="26"/>
    <col min="49" max="55" width="8.81640625" style="26"/>
    <col min="56" max="56" width="9.1796875" style="26" bestFit="1" customWidth="1"/>
    <col min="57" max="74" width="8.81640625" style="26"/>
    <col min="76" max="16384" width="8.81640625" style="26"/>
  </cols>
  <sheetData>
    <row r="2" spans="1:77">
      <c r="A2" s="59" t="s">
        <v>41</v>
      </c>
      <c r="B2" s="19"/>
      <c r="AE2" s="49"/>
      <c r="AF2" s="49"/>
      <c r="AG2" s="20" t="s">
        <v>3</v>
      </c>
      <c r="AH2" s="49"/>
      <c r="AI2" s="49"/>
      <c r="AJ2" s="49"/>
      <c r="AN2" s="49"/>
      <c r="AO2" s="49" t="s">
        <v>80</v>
      </c>
      <c r="AP2" s="49"/>
      <c r="AQ2" s="49"/>
      <c r="AR2" s="49"/>
      <c r="AS2" s="49"/>
      <c r="AW2" s="49" t="s">
        <v>6</v>
      </c>
      <c r="AX2" s="49"/>
      <c r="AY2" s="49"/>
      <c r="AZ2" s="49"/>
      <c r="BA2" s="49"/>
      <c r="BE2" s="49" t="s">
        <v>7</v>
      </c>
      <c r="BF2" s="49"/>
      <c r="BG2" s="49"/>
      <c r="BH2" s="49"/>
      <c r="BI2" s="49"/>
      <c r="BM2" s="49" t="s">
        <v>8</v>
      </c>
      <c r="BN2" s="49"/>
      <c r="BO2" s="49"/>
      <c r="BP2" s="49"/>
      <c r="BQ2" s="49"/>
      <c r="BU2" s="49" t="s">
        <v>9</v>
      </c>
      <c r="BV2" s="49"/>
      <c r="BW2" s="49"/>
      <c r="BX2" s="49"/>
      <c r="BY2" s="49"/>
    </row>
    <row r="3" spans="1:77" s="19" customFormat="1"/>
    <row r="4" spans="1:77" s="19" customFormat="1">
      <c r="A4" s="39" t="s">
        <v>0</v>
      </c>
      <c r="B4" s="89" t="s">
        <v>3</v>
      </c>
      <c r="C4" s="89"/>
      <c r="D4" s="89" t="s">
        <v>5</v>
      </c>
      <c r="E4" s="89"/>
      <c r="F4" s="89" t="s">
        <v>6</v>
      </c>
      <c r="G4" s="89"/>
      <c r="H4" s="89" t="s">
        <v>7</v>
      </c>
      <c r="I4" s="89"/>
      <c r="J4" s="89"/>
      <c r="K4" s="89"/>
      <c r="L4" s="89" t="s">
        <v>8</v>
      </c>
      <c r="M4" s="89"/>
      <c r="N4" s="89"/>
      <c r="O4" s="89"/>
      <c r="P4" s="89" t="s">
        <v>9</v>
      </c>
      <c r="Q4" s="89"/>
      <c r="R4" s="89"/>
      <c r="S4" s="89"/>
      <c r="AF4" s="19">
        <v>1</v>
      </c>
      <c r="AG4" s="19">
        <f>1/AG5</f>
        <v>0.1</v>
      </c>
      <c r="AH4" s="19">
        <f>1/AH5</f>
        <v>0.04</v>
      </c>
      <c r="AI4" s="19">
        <f>1/AI5</f>
        <v>0.01</v>
      </c>
      <c r="AJ4" s="19">
        <f>1/AJ5</f>
        <v>5.0000000000000001E-3</v>
      </c>
      <c r="AO4" s="19">
        <v>1</v>
      </c>
      <c r="AP4" s="19">
        <f>1/AP5</f>
        <v>0.1</v>
      </c>
      <c r="AQ4" s="19">
        <f>1/AQ5</f>
        <v>0.04</v>
      </c>
      <c r="AR4" s="19">
        <f>1/AR5</f>
        <v>0.01</v>
      </c>
      <c r="AS4" s="19">
        <f>1/AS5</f>
        <v>5.0000000000000001E-3</v>
      </c>
      <c r="AW4" s="19">
        <v>1</v>
      </c>
      <c r="AX4" s="19">
        <f>1/AX5</f>
        <v>0.1</v>
      </c>
      <c r="AY4" s="19">
        <f>1/AY5</f>
        <v>0.04</v>
      </c>
      <c r="AZ4" s="19">
        <f>1/AZ5</f>
        <v>0.01</v>
      </c>
      <c r="BA4" s="19">
        <f>1/BA5</f>
        <v>5.0000000000000001E-3</v>
      </c>
      <c r="BE4" s="19">
        <v>1</v>
      </c>
      <c r="BF4" s="19">
        <f>1/BF5</f>
        <v>0.1</v>
      </c>
      <c r="BG4" s="19">
        <f>1/BG5</f>
        <v>0.04</v>
      </c>
      <c r="BH4" s="19">
        <f>1/BH5</f>
        <v>0.01</v>
      </c>
      <c r="BI4" s="19">
        <f>1/BI5</f>
        <v>5.0000000000000001E-3</v>
      </c>
      <c r="BM4" s="19">
        <v>1</v>
      </c>
      <c r="BN4" s="19">
        <f>1/BN5</f>
        <v>0.1</v>
      </c>
      <c r="BO4" s="19">
        <f>1/BO5</f>
        <v>0.04</v>
      </c>
      <c r="BP4" s="19">
        <f>1/BP5</f>
        <v>0.01</v>
      </c>
      <c r="BQ4" s="19">
        <f>1/BQ5</f>
        <v>5.0000000000000001E-3</v>
      </c>
      <c r="BU4" s="19">
        <v>1</v>
      </c>
      <c r="BV4" s="19">
        <f>1/BV5</f>
        <v>0.1</v>
      </c>
      <c r="BW4" s="19">
        <f>1/BW5</f>
        <v>0.04</v>
      </c>
      <c r="BX4" s="19">
        <f>1/BX5</f>
        <v>0.01</v>
      </c>
      <c r="BY4" s="19">
        <f>1/BY5</f>
        <v>5.0000000000000001E-3</v>
      </c>
    </row>
    <row r="5" spans="1:77" s="43" customFormat="1" ht="24">
      <c r="A5" s="40"/>
      <c r="B5" s="41" t="s">
        <v>4</v>
      </c>
      <c r="C5" s="42" t="s">
        <v>2</v>
      </c>
      <c r="D5" s="41" t="s">
        <v>4</v>
      </c>
      <c r="E5" s="42" t="s">
        <v>2</v>
      </c>
      <c r="F5" s="41" t="s">
        <v>4</v>
      </c>
      <c r="G5" s="42" t="s">
        <v>2</v>
      </c>
      <c r="H5" s="41" t="s">
        <v>46</v>
      </c>
      <c r="I5" s="41" t="s">
        <v>45</v>
      </c>
      <c r="J5" s="41" t="s">
        <v>4</v>
      </c>
      <c r="K5" s="42" t="s">
        <v>2</v>
      </c>
      <c r="L5" s="41" t="s">
        <v>44</v>
      </c>
      <c r="M5" s="41" t="s">
        <v>45</v>
      </c>
      <c r="N5" s="41" t="s">
        <v>4</v>
      </c>
      <c r="O5" s="42" t="s">
        <v>2</v>
      </c>
      <c r="P5" s="41" t="s">
        <v>44</v>
      </c>
      <c r="Q5" s="41" t="s">
        <v>45</v>
      </c>
      <c r="R5" s="41" t="s">
        <v>4</v>
      </c>
      <c r="S5" s="42" t="s">
        <v>2</v>
      </c>
      <c r="Z5" s="73"/>
      <c r="AA5" s="74" t="s">
        <v>79</v>
      </c>
      <c r="AB5" s="75"/>
      <c r="AE5" s="43" t="s">
        <v>0</v>
      </c>
      <c r="AF5" s="43">
        <v>1</v>
      </c>
      <c r="AG5" s="82">
        <v>10</v>
      </c>
      <c r="AH5" s="82">
        <v>25</v>
      </c>
      <c r="AI5" s="82">
        <v>100</v>
      </c>
      <c r="AJ5" s="82">
        <v>200</v>
      </c>
      <c r="AN5" s="43" t="s">
        <v>0</v>
      </c>
      <c r="AO5" s="43">
        <v>1</v>
      </c>
      <c r="AP5" s="82">
        <v>10</v>
      </c>
      <c r="AQ5" s="82">
        <v>25</v>
      </c>
      <c r="AR5" s="82">
        <v>100</v>
      </c>
      <c r="AS5" s="82">
        <v>200</v>
      </c>
      <c r="AW5" s="43">
        <v>1</v>
      </c>
      <c r="AX5" s="82">
        <v>10</v>
      </c>
      <c r="AY5" s="82">
        <v>25</v>
      </c>
      <c r="AZ5" s="82">
        <v>100</v>
      </c>
      <c r="BA5" s="82">
        <v>200</v>
      </c>
      <c r="BB5" s="82"/>
      <c r="BC5" s="82"/>
      <c r="BE5" s="43">
        <v>1</v>
      </c>
      <c r="BF5" s="82">
        <v>10</v>
      </c>
      <c r="BG5" s="82">
        <v>25</v>
      </c>
      <c r="BH5" s="82">
        <v>100</v>
      </c>
      <c r="BI5" s="82">
        <v>200</v>
      </c>
      <c r="BM5" s="43">
        <v>1</v>
      </c>
      <c r="BN5" s="82">
        <v>10</v>
      </c>
      <c r="BO5" s="82">
        <v>25</v>
      </c>
      <c r="BP5" s="82">
        <v>100</v>
      </c>
      <c r="BQ5" s="82">
        <v>200</v>
      </c>
      <c r="BU5" s="43">
        <v>1</v>
      </c>
      <c r="BV5" s="82">
        <v>10</v>
      </c>
      <c r="BW5" s="82">
        <v>25</v>
      </c>
      <c r="BX5" s="82">
        <v>100</v>
      </c>
      <c r="BY5" s="82">
        <v>200</v>
      </c>
    </row>
    <row r="6" spans="1:77" s="19" customFormat="1">
      <c r="A6" s="19">
        <v>10</v>
      </c>
      <c r="B6" s="44">
        <v>92.689411276849498</v>
      </c>
      <c r="C6" s="19">
        <v>1.5623834261001326</v>
      </c>
      <c r="D6" s="44">
        <v>298.13221510010902</v>
      </c>
      <c r="E6" s="19">
        <v>1.5314150914001237</v>
      </c>
      <c r="F6" s="19">
        <v>357.43199441973098</v>
      </c>
      <c r="G6" s="19">
        <v>1.5311836807774646</v>
      </c>
      <c r="H6" s="19">
        <v>658.26636097941105</v>
      </c>
      <c r="I6" s="19">
        <v>4.8198011693529335</v>
      </c>
      <c r="J6" s="19">
        <v>19.126417432657799</v>
      </c>
      <c r="K6" s="19">
        <v>4.9440017308329729</v>
      </c>
      <c r="L6" s="26">
        <v>970</v>
      </c>
      <c r="M6" s="19">
        <v>8.486439195100612</v>
      </c>
      <c r="N6" s="19">
        <v>14.263540259444</v>
      </c>
      <c r="O6" s="19">
        <v>2.3545354428835075</v>
      </c>
      <c r="P6" s="19">
        <v>156</v>
      </c>
      <c r="Q6" s="19">
        <v>10.561949898442789</v>
      </c>
      <c r="R6" s="19">
        <v>5.5796796168612799</v>
      </c>
      <c r="S6" s="19">
        <v>5.6383751016696619</v>
      </c>
      <c r="Z6" s="76"/>
      <c r="AB6" s="77"/>
      <c r="AD6" s="85">
        <f>(AG36-AG6)/30</f>
        <v>3.7679676803104613E-2</v>
      </c>
      <c r="AE6" s="1">
        <v>2020</v>
      </c>
      <c r="AF6" s="19">
        <v>0</v>
      </c>
      <c r="AG6" s="19">
        <f>C6</f>
        <v>1.5623834261001326</v>
      </c>
      <c r="AH6" s="19">
        <f>C7</f>
        <v>1.8158097039480634</v>
      </c>
      <c r="AI6" s="19">
        <f>C8</f>
        <v>2.5044538144060473</v>
      </c>
      <c r="AJ6" s="19">
        <f>C9</f>
        <v>2.6002784052427712</v>
      </c>
      <c r="AM6" s="85">
        <f>($AP36-$AP6)/30</f>
        <v>3.1711954626438249E-2</v>
      </c>
      <c r="AN6" s="1">
        <v>2020</v>
      </c>
      <c r="AO6" s="19">
        <v>0</v>
      </c>
      <c r="AP6" s="19">
        <f>E6</f>
        <v>1.5314150914001237</v>
      </c>
      <c r="AQ6" s="19">
        <f>E7</f>
        <v>1.7673307464551811</v>
      </c>
      <c r="AR6" s="19">
        <f>E8</f>
        <v>2.4226856374835295</v>
      </c>
      <c r="AS6" s="19">
        <f>E9</f>
        <v>2.5199447152147076</v>
      </c>
      <c r="AV6" s="85">
        <f>(AX36-AX6)/30</f>
        <v>3.7053001647193558E-2</v>
      </c>
      <c r="AW6" s="19">
        <v>0</v>
      </c>
      <c r="AX6" s="19">
        <f>G6</f>
        <v>1.5311836807774646</v>
      </c>
      <c r="AY6" s="19">
        <f>G7</f>
        <v>1.7667284052216539</v>
      </c>
      <c r="AZ6" s="19">
        <f>G8</f>
        <v>2.421874179869953</v>
      </c>
      <c r="BA6" s="19">
        <f>G9</f>
        <v>2.5192070728478795</v>
      </c>
      <c r="BD6" s="85">
        <f>(BF36-BF6)/30</f>
        <v>-7.5276022765727008E-2</v>
      </c>
      <c r="BE6" s="19">
        <v>0</v>
      </c>
      <c r="BF6" s="19">
        <f>K6</f>
        <v>4.9440017308329729</v>
      </c>
      <c r="BG6" s="19">
        <f>K7</f>
        <v>6.8530204935033172</v>
      </c>
      <c r="BH6" s="19">
        <f>K8</f>
        <v>7.9104107932226855</v>
      </c>
      <c r="BI6" s="19">
        <f>K9</f>
        <v>8.232001801550485</v>
      </c>
      <c r="BL6" s="87">
        <f>(BN36-BN6)/30</f>
        <v>-1.9443779719110554E-2</v>
      </c>
      <c r="BM6" s="19">
        <v>0</v>
      </c>
      <c r="BN6" s="19">
        <f>O6</f>
        <v>2.3545354428835075</v>
      </c>
      <c r="BO6" s="19">
        <f>O7</f>
        <v>2.7634155999360668</v>
      </c>
      <c r="BP6" s="19">
        <f>O8</f>
        <v>3.4956868154891794</v>
      </c>
      <c r="BQ6" s="19">
        <f>O9</f>
        <v>3.6356308242668254</v>
      </c>
      <c r="BT6" s="85">
        <f>(BV36-BV6)/30</f>
        <v>-5.9568554462025171E-2</v>
      </c>
      <c r="BU6" s="19">
        <v>0</v>
      </c>
      <c r="BV6" s="19">
        <f>S6</f>
        <v>5.6383751016696619</v>
      </c>
      <c r="BW6" s="19">
        <f>S7</f>
        <v>6.4471225733613418</v>
      </c>
      <c r="BX6" s="19">
        <f>S8</f>
        <v>8.0198375205840406</v>
      </c>
      <c r="BY6" s="19">
        <f>S9</f>
        <v>8.3341909453150507</v>
      </c>
    </row>
    <row r="7" spans="1:77" s="19" customFormat="1">
      <c r="A7" s="19">
        <v>25</v>
      </c>
      <c r="B7" s="19">
        <v>107.724089770874</v>
      </c>
      <c r="C7" s="19">
        <v>1.8158097039480634</v>
      </c>
      <c r="D7" s="19">
        <v>344.05970870607399</v>
      </c>
      <c r="E7" s="19">
        <v>1.7673307464551811</v>
      </c>
      <c r="F7" s="19">
        <v>412.41639746037998</v>
      </c>
      <c r="G7" s="19">
        <v>1.7667284052216539</v>
      </c>
      <c r="H7" s="19">
        <v>868.77512192819302</v>
      </c>
      <c r="I7" s="19">
        <v>6.3611382819928277</v>
      </c>
      <c r="J7" s="19">
        <v>26.511667626625101</v>
      </c>
      <c r="K7" s="19">
        <v>6.8530204935033172</v>
      </c>
      <c r="L7" s="26">
        <v>1301</v>
      </c>
      <c r="M7" s="19">
        <v>11.382327209098863</v>
      </c>
      <c r="N7" s="19">
        <v>16.740495362852698</v>
      </c>
      <c r="O7" s="19">
        <v>2.7634155999360668</v>
      </c>
      <c r="P7" s="19">
        <v>184</v>
      </c>
      <c r="Q7" s="19">
        <v>12.457684495599187</v>
      </c>
      <c r="R7" s="19">
        <v>6.38000802737265</v>
      </c>
      <c r="S7" s="19">
        <v>6.4471225733613418</v>
      </c>
      <c r="Z7" s="78">
        <v>2020</v>
      </c>
      <c r="AA7" s="83">
        <f>$T$10</f>
        <v>1.558061691319184</v>
      </c>
      <c r="AB7" s="77">
        <f>($AA$37-$AA$7)/30</f>
        <v>-9.5527653901336627E-3</v>
      </c>
      <c r="AD7" s="85">
        <f>(AH36-AH6)/30</f>
        <v>5.9095809346842262E-2</v>
      </c>
      <c r="AE7" s="1">
        <v>2021</v>
      </c>
      <c r="AF7" s="19">
        <v>0</v>
      </c>
      <c r="AG7" s="19">
        <f>AG6+$AD$6</f>
        <v>1.6000631029032373</v>
      </c>
      <c r="AH7" s="19">
        <f>AH6+$AD$7</f>
        <v>1.8749055132949057</v>
      </c>
      <c r="AI7" s="19">
        <f>AI6+$AD$8</f>
        <v>2.5684638739292289</v>
      </c>
      <c r="AJ7" s="19">
        <f>AJ6+$AD$9</f>
        <v>2.6796915989620596</v>
      </c>
      <c r="AM7" s="85">
        <f>(AQ36-AQ6)/30</f>
        <v>5.3711774596605012E-2</v>
      </c>
      <c r="AN7" s="1">
        <v>2021</v>
      </c>
      <c r="AP7" s="19">
        <f>AP6+$AM$6</f>
        <v>1.5631270460265618</v>
      </c>
      <c r="AQ7" s="19">
        <f>AQ6+$AM$7</f>
        <v>1.821042521051786</v>
      </c>
      <c r="AR7" s="19">
        <f>AR6+$AM$8</f>
        <v>2.4824213029041284</v>
      </c>
      <c r="AS7" s="19">
        <f>AS6+$AM$9</f>
        <v>2.5950356986015981</v>
      </c>
      <c r="AV7" s="85">
        <f>(AY36-AY6)/30</f>
        <v>5.9065185971055922E-2</v>
      </c>
      <c r="AX7" s="19">
        <f>AX6+$AV$6</f>
        <v>1.5682366824246581</v>
      </c>
      <c r="AY7" s="19">
        <f>AY6+$AV$7</f>
        <v>1.8257935911927099</v>
      </c>
      <c r="AZ7" s="19">
        <f>AZ6+$AV$8</f>
        <v>2.4869702272110046</v>
      </c>
      <c r="BA7" s="19">
        <f>BA6+$AV$9</f>
        <v>2.5996559776469974</v>
      </c>
      <c r="BD7" s="85">
        <f>(BG36-BG6)/30</f>
        <v>-0.11380165488995415</v>
      </c>
      <c r="BF7" s="19">
        <f>BF6+$BD$6</f>
        <v>4.8687257080672461</v>
      </c>
      <c r="BG7" s="19">
        <f t="shared" ref="BG7:BG35" si="0">BG6+$BD$7</f>
        <v>6.7392188386133629</v>
      </c>
      <c r="BH7" s="19">
        <f t="shared" ref="BH7:BH35" si="1">BH6+$BD$8</f>
        <v>7.793326125761177</v>
      </c>
      <c r="BI7" s="19">
        <f t="shared" ref="BI7:BI35" si="2">BI6+$BD$9</f>
        <v>8.1097962401656716</v>
      </c>
      <c r="BL7" s="87">
        <f>(BO36-BO6)/30</f>
        <v>-1.9685502009299874E-2</v>
      </c>
      <c r="BN7" s="19">
        <f t="shared" ref="BN7:BN35" si="3">BN6+$BL$6</f>
        <v>2.335091663164397</v>
      </c>
      <c r="BO7" s="19">
        <f>BO6+$BL$7</f>
        <v>2.7437300979267669</v>
      </c>
      <c r="BP7" s="19">
        <f>BP6+$BL$8</f>
        <v>3.473208037317673</v>
      </c>
      <c r="BQ7" s="19">
        <f>BQ6+$BL$9</f>
        <v>3.6117486385237005</v>
      </c>
      <c r="BT7" s="85">
        <f>(BW36-BW6)/30</f>
        <v>-7.228632537925668E-2</v>
      </c>
      <c r="BV7" s="19">
        <f t="shared" ref="BV7:BV35" si="4">BV6+$BT$6</f>
        <v>5.5788065472076367</v>
      </c>
      <c r="BW7" s="19">
        <f>BW6+$BT$7</f>
        <v>6.3748362479820848</v>
      </c>
      <c r="BX7" s="19">
        <f t="shared" ref="BX7:BX35" si="5">BX6+$BT$8</f>
        <v>7.9499053663531773</v>
      </c>
      <c r="BY7" s="19">
        <f>BY6+$BT$9</f>
        <v>8.2602159983692669</v>
      </c>
    </row>
    <row r="8" spans="1:77" s="19" customFormat="1">
      <c r="A8" s="19">
        <v>100</v>
      </c>
      <c r="B8" s="19">
        <v>148.578348790343</v>
      </c>
      <c r="C8" s="19">
        <v>2.5044538144060473</v>
      </c>
      <c r="D8" s="19">
        <v>471.64262625479699</v>
      </c>
      <c r="E8" s="19">
        <v>2.4226856374835295</v>
      </c>
      <c r="F8" s="19">
        <v>565.35040780021097</v>
      </c>
      <c r="G8" s="19">
        <v>2.421874179869953</v>
      </c>
      <c r="H8" s="19">
        <v>1049.4224710757801</v>
      </c>
      <c r="I8" s="19">
        <v>7.6838312772213664</v>
      </c>
      <c r="J8" s="19">
        <v>30.602298933558</v>
      </c>
      <c r="K8" s="19">
        <v>7.9104107932226855</v>
      </c>
      <c r="L8" s="26">
        <v>1472</v>
      </c>
      <c r="M8" s="19">
        <v>12.878390201224846</v>
      </c>
      <c r="N8" s="19">
        <v>21.1765211595519</v>
      </c>
      <c r="O8" s="19">
        <v>3.4956868154891794</v>
      </c>
      <c r="P8" s="19">
        <v>227</v>
      </c>
      <c r="Q8" s="19">
        <v>15.368991198375085</v>
      </c>
      <c r="R8" s="19">
        <v>7.93635101199476</v>
      </c>
      <c r="S8" s="19">
        <v>8.0198375205840406</v>
      </c>
      <c r="Z8" s="78">
        <v>2021</v>
      </c>
      <c r="AA8" s="19">
        <f>AA7+$AB$7</f>
        <v>1.5485089259290503</v>
      </c>
      <c r="AB8" s="77"/>
      <c r="AD8" s="85">
        <f>(AI36-AI6)/30</f>
        <v>6.4010059523181798E-2</v>
      </c>
      <c r="AE8" s="1">
        <v>2022</v>
      </c>
      <c r="AG8" s="19">
        <f>AG7+$AD$6</f>
        <v>1.637742779706342</v>
      </c>
      <c r="AH8" s="19">
        <f>AH7+$AD$7</f>
        <v>1.9340013226417481</v>
      </c>
      <c r="AI8" s="19">
        <f t="shared" ref="AI8:AI34" si="6">AI7+$AD$8</f>
        <v>2.6324739334524105</v>
      </c>
      <c r="AJ8" s="19">
        <f t="shared" ref="AJ8:AJ34" si="7">AJ7+$AD$9</f>
        <v>2.7591047926813479</v>
      </c>
      <c r="AM8" s="85">
        <f>(AR36-AR6)/30</f>
        <v>5.9735665420599056E-2</v>
      </c>
      <c r="AN8" s="1">
        <v>2022</v>
      </c>
      <c r="AP8" s="19">
        <f t="shared" ref="AP8:AP34" si="8">AP7+$AM$6</f>
        <v>1.594839000653</v>
      </c>
      <c r="AQ8" s="19">
        <f t="shared" ref="AQ8:AQ34" si="9">AQ7+$AM$7</f>
        <v>1.8747542956483909</v>
      </c>
      <c r="AR8" s="19">
        <f t="shared" ref="AR8:AR35" si="10">AR7+$AM$8</f>
        <v>2.5421569683247274</v>
      </c>
      <c r="AS8" s="19">
        <f t="shared" ref="AS8:AS34" si="11">AS7+$AM$9</f>
        <v>2.6701266819884886</v>
      </c>
      <c r="AV8" s="85">
        <f>(AZ36-AZ6)/30</f>
        <v>6.5096047341051608E-2</v>
      </c>
      <c r="AX8" s="19">
        <f t="shared" ref="AX8:AX35" si="12">AX7+$AV$6</f>
        <v>1.6052896840718516</v>
      </c>
      <c r="AY8" s="19">
        <f t="shared" ref="AY8:AY34" si="13">AY7+$AV$7</f>
        <v>1.8848587771637657</v>
      </c>
      <c r="AZ8" s="19">
        <f t="shared" ref="AZ8:AZ35" si="14">AZ7+$AV$8</f>
        <v>2.5520662745520561</v>
      </c>
      <c r="BA8" s="19">
        <f t="shared" ref="BA8:BA35" si="15">BA7+$AV$9</f>
        <v>2.6801048824461153</v>
      </c>
      <c r="BD8" s="87">
        <f>(BH36-BH6)/30</f>
        <v>-0.11708466746150829</v>
      </c>
      <c r="BF8" s="19">
        <f t="shared" ref="BF8:BF35" si="16">BF7+$BD$6</f>
        <v>4.7934496853015194</v>
      </c>
      <c r="BG8" s="19">
        <f t="shared" si="0"/>
        <v>6.6254171837234086</v>
      </c>
      <c r="BH8" s="19">
        <f t="shared" si="1"/>
        <v>7.6762414582996685</v>
      </c>
      <c r="BI8" s="19">
        <f t="shared" si="2"/>
        <v>7.9875906787808573</v>
      </c>
      <c r="BL8" s="87">
        <f>(BP36-BP6)/30</f>
        <v>-2.247877817150621E-2</v>
      </c>
      <c r="BN8" s="19">
        <f t="shared" si="3"/>
        <v>2.3156478834452865</v>
      </c>
      <c r="BO8" s="19">
        <f t="shared" ref="BO8:BO35" si="17">BO7+$BL$7</f>
        <v>2.7240445959174671</v>
      </c>
      <c r="BP8" s="19">
        <f t="shared" ref="BP8:BP35" si="18">BP7+$BL$8</f>
        <v>3.4507292591461667</v>
      </c>
      <c r="BQ8" s="19">
        <f t="shared" ref="BQ8:BQ35" si="19">BQ7+$BL$9</f>
        <v>3.5878664527805757</v>
      </c>
      <c r="BT8" s="85">
        <f>(BX36-BX6)/30</f>
        <v>-6.9932154230863713E-2</v>
      </c>
      <c r="BV8" s="19">
        <f t="shared" si="4"/>
        <v>5.5192379927456114</v>
      </c>
      <c r="BW8" s="19">
        <f>BW7+$BT$7</f>
        <v>6.3025499226028279</v>
      </c>
      <c r="BX8" s="19">
        <f t="shared" si="5"/>
        <v>7.8799732121223141</v>
      </c>
      <c r="BY8" s="19">
        <f>BY7+$BT$9</f>
        <v>8.1862410514234831</v>
      </c>
    </row>
    <row r="9" spans="1:77" s="19" customFormat="1">
      <c r="A9" s="19">
        <v>200</v>
      </c>
      <c r="B9" s="19">
        <v>154.26320486480299</v>
      </c>
      <c r="C9" s="19">
        <v>2.6002784052427712</v>
      </c>
      <c r="D9" s="19">
        <v>490.57679011763298</v>
      </c>
      <c r="E9" s="19">
        <v>2.5199447152147076</v>
      </c>
      <c r="F9" s="19">
        <v>588.07132005685003</v>
      </c>
      <c r="G9" s="19">
        <v>2.5192070728478795</v>
      </c>
      <c r="H9" s="19">
        <v>1089.6601071222101</v>
      </c>
      <c r="I9" s="19">
        <v>7.9784497125004048</v>
      </c>
      <c r="J9" s="19">
        <v>31.846409312708399</v>
      </c>
      <c r="K9" s="19">
        <v>8.232001801550485</v>
      </c>
      <c r="L9" s="26">
        <v>1502</v>
      </c>
      <c r="M9" s="19">
        <v>13.140857392825897</v>
      </c>
      <c r="N9" s="19">
        <v>22.024287970326</v>
      </c>
      <c r="O9" s="19">
        <v>3.6356308242668254</v>
      </c>
      <c r="P9" s="19">
        <v>234</v>
      </c>
      <c r="Q9" s="19">
        <v>15.842924847664184</v>
      </c>
      <c r="R9" s="19">
        <v>8.2474320175743205</v>
      </c>
      <c r="S9" s="19">
        <v>8.3341909453150507</v>
      </c>
      <c r="T9" s="19" t="s">
        <v>68</v>
      </c>
      <c r="Z9" s="78">
        <v>2022</v>
      </c>
      <c r="AA9" s="19">
        <f t="shared" ref="AA9:AA36" si="20">AA8+$AB$7</f>
        <v>1.5389561605389166</v>
      </c>
      <c r="AB9" s="77"/>
      <c r="AD9" s="85">
        <f>(AJ36-AJ6)/30</f>
        <v>7.9413193719288372E-2</v>
      </c>
      <c r="AE9" s="1">
        <v>2023</v>
      </c>
      <c r="AG9" s="19">
        <f t="shared" ref="AG9:AG33" si="21">AG8+$AD$6</f>
        <v>1.6754224565094467</v>
      </c>
      <c r="AH9" s="19">
        <f t="shared" ref="AH9:AH35" si="22">AH8+$AD$7</f>
        <v>1.9930971319885904</v>
      </c>
      <c r="AI9" s="19">
        <f t="shared" si="6"/>
        <v>2.6964839929755922</v>
      </c>
      <c r="AJ9" s="19">
        <f t="shared" si="7"/>
        <v>2.8385179864006362</v>
      </c>
      <c r="AM9" s="85">
        <f>(AS36-AS6)/30</f>
        <v>7.5090983386890492E-2</v>
      </c>
      <c r="AN9" s="1">
        <v>2023</v>
      </c>
      <c r="AP9" s="19">
        <f>AP8+$AM$6</f>
        <v>1.6265509552794382</v>
      </c>
      <c r="AQ9" s="19">
        <f t="shared" si="9"/>
        <v>1.9284660702449958</v>
      </c>
      <c r="AR9" s="19">
        <f t="shared" si="10"/>
        <v>2.6018926337453263</v>
      </c>
      <c r="AS9" s="19">
        <f t="shared" si="11"/>
        <v>2.745217665375379</v>
      </c>
      <c r="AV9" s="85">
        <f>(BA36-BA6)/30</f>
        <v>8.0448904799118107E-2</v>
      </c>
      <c r="AX9" s="19">
        <f t="shared" si="12"/>
        <v>1.6423426857190451</v>
      </c>
      <c r="AY9" s="19">
        <f t="shared" si="13"/>
        <v>1.9439239631348215</v>
      </c>
      <c r="AZ9" s="19">
        <f t="shared" si="14"/>
        <v>2.6171623218931077</v>
      </c>
      <c r="BA9" s="19">
        <f t="shared" si="15"/>
        <v>2.7605537872452333</v>
      </c>
      <c r="BD9" s="86">
        <f>(BI36-BI6)/30</f>
        <v>-0.12220556138481413</v>
      </c>
      <c r="BF9" s="19">
        <f t="shared" si="16"/>
        <v>4.7181736625357926</v>
      </c>
      <c r="BG9" s="19">
        <f t="shared" si="0"/>
        <v>6.5116155288334543</v>
      </c>
      <c r="BH9" s="19">
        <f t="shared" si="1"/>
        <v>7.5591567908381601</v>
      </c>
      <c r="BI9" s="19">
        <f t="shared" si="2"/>
        <v>7.865385117396043</v>
      </c>
      <c r="BL9" s="87">
        <f>(BQ36-BQ6)/30</f>
        <v>-2.3882185743124989E-2</v>
      </c>
      <c r="BN9" s="19">
        <f t="shared" si="3"/>
        <v>2.296204103726176</v>
      </c>
      <c r="BO9" s="19">
        <f t="shared" si="17"/>
        <v>2.7043590939081672</v>
      </c>
      <c r="BP9" s="19">
        <f t="shared" si="18"/>
        <v>3.4282504809746603</v>
      </c>
      <c r="BQ9" s="19">
        <f t="shared" si="19"/>
        <v>3.5639842670374509</v>
      </c>
      <c r="BT9" s="85">
        <f>(BY36-BY6)/30</f>
        <v>-7.3974946945783007E-2</v>
      </c>
      <c r="BV9" s="19">
        <f t="shared" si="4"/>
        <v>5.4596694382835862</v>
      </c>
      <c r="BW9" s="19">
        <f t="shared" ref="BW9:BW35" si="23">BW8+$BT$7</f>
        <v>6.2302635972235709</v>
      </c>
      <c r="BX9" s="19">
        <f t="shared" si="5"/>
        <v>7.8100410578914508</v>
      </c>
      <c r="BY9" s="19">
        <f t="shared" ref="BY9:BY35" si="24">BY8+$BT$9</f>
        <v>8.1122661044776994</v>
      </c>
    </row>
    <row r="10" spans="1:77" s="19" customFormat="1">
      <c r="A10" s="20" t="s">
        <v>1</v>
      </c>
      <c r="B10" s="20">
        <v>56.327998339077297</v>
      </c>
      <c r="C10" s="34">
        <v>0.94947124831238305</v>
      </c>
      <c r="D10" s="20">
        <v>180.32301130247399</v>
      </c>
      <c r="E10" s="34">
        <v>0.92626481422880191</v>
      </c>
      <c r="F10" s="20">
        <v>216.188258158633</v>
      </c>
      <c r="G10" s="34">
        <v>0.9261172419822169</v>
      </c>
      <c r="H10" s="20">
        <v>461.36247520754102</v>
      </c>
      <c r="I10" s="20">
        <v>3.3780784334662677</v>
      </c>
      <c r="J10" s="20">
        <v>13.8419578685898</v>
      </c>
      <c r="K10" s="34">
        <v>3.5780178855437335</v>
      </c>
      <c r="L10" s="20">
        <v>690.85066666665296</v>
      </c>
      <c r="M10" s="20">
        <v>6.0441878098569815</v>
      </c>
      <c r="N10" s="20">
        <v>8.0799589540424606</v>
      </c>
      <c r="O10" s="34">
        <v>1.3337887641001769</v>
      </c>
      <c r="P10" s="20">
        <v>103.465999999999</v>
      </c>
      <c r="Q10" s="20">
        <v>7.0051455653350709</v>
      </c>
      <c r="R10" s="20">
        <v>3.10134829387008</v>
      </c>
      <c r="S10" s="34">
        <v>3.1339729523035604</v>
      </c>
      <c r="T10" s="55">
        <f>'Weighted Av.'!C9</f>
        <v>1.558061691319184</v>
      </c>
      <c r="Z10" s="78">
        <v>2023</v>
      </c>
      <c r="AA10" s="19">
        <f t="shared" si="20"/>
        <v>1.5294033951487829</v>
      </c>
      <c r="AB10" s="77"/>
      <c r="AE10" s="1">
        <v>2024</v>
      </c>
      <c r="AG10" s="19">
        <f t="shared" si="21"/>
        <v>1.7131021333125513</v>
      </c>
      <c r="AH10" s="19">
        <f t="shared" si="22"/>
        <v>2.0521929413354325</v>
      </c>
      <c r="AI10" s="19">
        <f>AI9+$AD$8</f>
        <v>2.7604940524987738</v>
      </c>
      <c r="AJ10" s="19">
        <f t="shared" si="7"/>
        <v>2.9179311801199246</v>
      </c>
      <c r="AN10" s="1">
        <v>2024</v>
      </c>
      <c r="AP10" s="19">
        <f t="shared" si="8"/>
        <v>1.6582629099058763</v>
      </c>
      <c r="AQ10" s="19">
        <f t="shared" si="9"/>
        <v>1.9821778448416008</v>
      </c>
      <c r="AR10" s="19">
        <f t="shared" si="10"/>
        <v>2.6616282991659252</v>
      </c>
      <c r="AS10" s="19">
        <f t="shared" si="11"/>
        <v>2.8203086487622695</v>
      </c>
      <c r="AX10" s="19">
        <f t="shared" si="12"/>
        <v>1.6793956873662386</v>
      </c>
      <c r="AY10" s="19">
        <f t="shared" si="13"/>
        <v>2.0029891491058773</v>
      </c>
      <c r="AZ10" s="19">
        <f t="shared" si="14"/>
        <v>2.6822583692341593</v>
      </c>
      <c r="BA10" s="19">
        <f t="shared" si="15"/>
        <v>2.8410026920443512</v>
      </c>
      <c r="BD10" s="85"/>
      <c r="BF10" s="19">
        <f t="shared" si="16"/>
        <v>4.6428976397700659</v>
      </c>
      <c r="BG10" s="19">
        <f t="shared" si="0"/>
        <v>6.3978138739435</v>
      </c>
      <c r="BH10" s="19">
        <f t="shared" si="1"/>
        <v>7.4420721233766516</v>
      </c>
      <c r="BI10" s="19">
        <f t="shared" si="2"/>
        <v>7.7431795560112286</v>
      </c>
      <c r="BL10" s="85"/>
      <c r="BN10" s="19">
        <f t="shared" si="3"/>
        <v>2.2767603240070655</v>
      </c>
      <c r="BO10" s="19">
        <f t="shared" si="17"/>
        <v>2.6846735918988673</v>
      </c>
      <c r="BP10" s="19">
        <f t="shared" si="18"/>
        <v>3.405771702803154</v>
      </c>
      <c r="BQ10" s="19">
        <f t="shared" si="19"/>
        <v>3.540102081294326</v>
      </c>
      <c r="BV10" s="19">
        <f t="shared" si="4"/>
        <v>5.4001008838215609</v>
      </c>
      <c r="BW10" s="19">
        <f t="shared" si="23"/>
        <v>6.157977271844314</v>
      </c>
      <c r="BX10" s="19">
        <f t="shared" si="5"/>
        <v>7.7401089036605875</v>
      </c>
      <c r="BY10" s="19">
        <f t="shared" si="24"/>
        <v>8.0382911575319156</v>
      </c>
    </row>
    <row r="11" spans="1:77" s="19" customFormat="1">
      <c r="B11" s="48"/>
      <c r="D11" s="48"/>
      <c r="F11" s="48"/>
      <c r="J11" s="48"/>
      <c r="N11" s="48"/>
      <c r="R11" s="48"/>
      <c r="T11" s="51"/>
      <c r="Z11" s="78">
        <v>2024</v>
      </c>
      <c r="AA11" s="19">
        <f t="shared" si="20"/>
        <v>1.5198506297586492</v>
      </c>
      <c r="AB11" s="77"/>
      <c r="AE11" s="1">
        <v>2025</v>
      </c>
      <c r="AG11" s="19">
        <f t="shared" si="21"/>
        <v>1.750781810115656</v>
      </c>
      <c r="AH11" s="19">
        <f t="shared" si="22"/>
        <v>2.1112887506822746</v>
      </c>
      <c r="AI11" s="19">
        <f t="shared" si="6"/>
        <v>2.8245041120219554</v>
      </c>
      <c r="AJ11" s="19">
        <f t="shared" si="7"/>
        <v>2.9973443738392129</v>
      </c>
      <c r="AN11" s="1">
        <v>2025</v>
      </c>
      <c r="AP11" s="19">
        <f t="shared" si="8"/>
        <v>1.6899748645323145</v>
      </c>
      <c r="AQ11" s="19">
        <f t="shared" si="9"/>
        <v>2.0358896194382057</v>
      </c>
      <c r="AR11" s="19">
        <f t="shared" si="10"/>
        <v>2.7213639645865242</v>
      </c>
      <c r="AS11" s="19">
        <f t="shared" si="11"/>
        <v>2.89539963214916</v>
      </c>
      <c r="AX11" s="19">
        <f t="shared" si="12"/>
        <v>1.7164486890134321</v>
      </c>
      <c r="AY11" s="19">
        <f t="shared" si="13"/>
        <v>2.0620543350769331</v>
      </c>
      <c r="AZ11" s="19">
        <f t="shared" si="14"/>
        <v>2.7473544165752108</v>
      </c>
      <c r="BA11" s="19">
        <f t="shared" si="15"/>
        <v>2.9214515968434691</v>
      </c>
      <c r="BF11" s="19">
        <f t="shared" si="16"/>
        <v>4.5676216170043391</v>
      </c>
      <c r="BG11" s="19">
        <f t="shared" si="0"/>
        <v>6.2840122190535457</v>
      </c>
      <c r="BH11" s="19">
        <f t="shared" si="1"/>
        <v>7.3249874559151431</v>
      </c>
      <c r="BI11" s="19">
        <f t="shared" si="2"/>
        <v>7.6209739946264143</v>
      </c>
      <c r="BN11" s="19">
        <f t="shared" si="3"/>
        <v>2.257316544287955</v>
      </c>
      <c r="BO11" s="19">
        <f t="shared" si="17"/>
        <v>2.6649880898895675</v>
      </c>
      <c r="BP11" s="19">
        <f t="shared" si="18"/>
        <v>3.3832929246316477</v>
      </c>
      <c r="BQ11" s="19">
        <f t="shared" si="19"/>
        <v>3.5162198955512012</v>
      </c>
      <c r="BV11" s="19">
        <f t="shared" si="4"/>
        <v>5.3405323293595357</v>
      </c>
      <c r="BW11" s="19">
        <f t="shared" si="23"/>
        <v>6.085690946465057</v>
      </c>
      <c r="BX11" s="19">
        <f t="shared" si="5"/>
        <v>7.6701767494297242</v>
      </c>
      <c r="BY11" s="19">
        <f t="shared" si="24"/>
        <v>7.9643162105861327</v>
      </c>
    </row>
    <row r="12" spans="1:77" s="19" customFormat="1">
      <c r="Z12" s="78">
        <v>2025</v>
      </c>
      <c r="AA12" s="19">
        <f t="shared" si="20"/>
        <v>1.5102978643685154</v>
      </c>
      <c r="AB12" s="77"/>
      <c r="AE12" s="1">
        <v>2026</v>
      </c>
      <c r="AG12" s="19">
        <f t="shared" si="21"/>
        <v>1.7884614869187607</v>
      </c>
      <c r="AH12" s="19">
        <f>AH11+$AD$7</f>
        <v>2.1703845600291167</v>
      </c>
      <c r="AI12" s="19">
        <f t="shared" si="6"/>
        <v>2.888514171545137</v>
      </c>
      <c r="AJ12" s="19">
        <f t="shared" si="7"/>
        <v>3.0767575675585013</v>
      </c>
      <c r="AN12" s="1">
        <v>2026</v>
      </c>
      <c r="AP12" s="19">
        <f t="shared" si="8"/>
        <v>1.7216868191587527</v>
      </c>
      <c r="AQ12" s="19">
        <f t="shared" si="9"/>
        <v>2.0896013940348106</v>
      </c>
      <c r="AR12" s="19">
        <f t="shared" si="10"/>
        <v>2.7810996300071231</v>
      </c>
      <c r="AS12" s="19">
        <f t="shared" si="11"/>
        <v>2.9704906155360504</v>
      </c>
      <c r="AX12" s="19">
        <f t="shared" si="12"/>
        <v>1.7535016906606256</v>
      </c>
      <c r="AY12" s="19">
        <f t="shared" si="13"/>
        <v>2.121119521047989</v>
      </c>
      <c r="AZ12" s="19">
        <f t="shared" si="14"/>
        <v>2.8124504639162624</v>
      </c>
      <c r="BA12" s="19">
        <f t="shared" si="15"/>
        <v>3.001900501642587</v>
      </c>
      <c r="BF12" s="19">
        <f t="shared" si="16"/>
        <v>4.4923455942386123</v>
      </c>
      <c r="BG12" s="19">
        <f t="shared" si="0"/>
        <v>6.1702105641635914</v>
      </c>
      <c r="BH12" s="19">
        <f t="shared" si="1"/>
        <v>7.2079027884536346</v>
      </c>
      <c r="BI12" s="19">
        <f t="shared" si="2"/>
        <v>7.4987684332416</v>
      </c>
      <c r="BN12" s="19">
        <f t="shared" si="3"/>
        <v>2.2378727645688445</v>
      </c>
      <c r="BO12" s="19">
        <f t="shared" si="17"/>
        <v>2.6453025878802676</v>
      </c>
      <c r="BP12" s="19">
        <f t="shared" si="18"/>
        <v>3.3608141464601413</v>
      </c>
      <c r="BQ12" s="19">
        <f t="shared" si="19"/>
        <v>3.4923377098080763</v>
      </c>
      <c r="BV12" s="19">
        <f t="shared" si="4"/>
        <v>5.2809637748975105</v>
      </c>
      <c r="BW12" s="19">
        <f t="shared" si="23"/>
        <v>6.0134046210858001</v>
      </c>
      <c r="BX12" s="19">
        <f t="shared" si="5"/>
        <v>7.6002445951988609</v>
      </c>
      <c r="BY12" s="19">
        <f t="shared" si="24"/>
        <v>7.8903412636403498</v>
      </c>
    </row>
    <row r="13" spans="1:77" s="19" customFormat="1">
      <c r="A13" s="59" t="s">
        <v>47</v>
      </c>
      <c r="Z13" s="78">
        <v>2026</v>
      </c>
      <c r="AA13" s="19">
        <f t="shared" si="20"/>
        <v>1.5007450989783817</v>
      </c>
      <c r="AB13" s="77"/>
      <c r="AE13" s="1">
        <v>2027</v>
      </c>
      <c r="AG13" s="19">
        <f t="shared" si="21"/>
        <v>1.8261411637218654</v>
      </c>
      <c r="AH13" s="19">
        <f t="shared" si="22"/>
        <v>2.2294803693759588</v>
      </c>
      <c r="AI13" s="19">
        <f t="shared" si="6"/>
        <v>2.9525242310683186</v>
      </c>
      <c r="AJ13" s="19">
        <f>AJ12+$AD$9</f>
        <v>3.1561707612777896</v>
      </c>
      <c r="AN13" s="1">
        <v>2027</v>
      </c>
      <c r="AP13" s="19">
        <f t="shared" si="8"/>
        <v>1.7533987737851908</v>
      </c>
      <c r="AQ13" s="19">
        <f t="shared" si="9"/>
        <v>2.1433131686314155</v>
      </c>
      <c r="AR13" s="19">
        <f t="shared" si="10"/>
        <v>2.8408352954277221</v>
      </c>
      <c r="AS13" s="19">
        <f t="shared" si="11"/>
        <v>3.0455815989229409</v>
      </c>
      <c r="AX13" s="19">
        <f t="shared" si="12"/>
        <v>1.7905546923078191</v>
      </c>
      <c r="AY13" s="19">
        <f t="shared" si="13"/>
        <v>2.1801847070190448</v>
      </c>
      <c r="AZ13" s="19">
        <f t="shared" si="14"/>
        <v>2.877546511257314</v>
      </c>
      <c r="BA13" s="19">
        <f t="shared" si="15"/>
        <v>3.082349406441705</v>
      </c>
      <c r="BF13" s="19">
        <f t="shared" si="16"/>
        <v>4.4170695714728856</v>
      </c>
      <c r="BG13" s="19">
        <f t="shared" si="0"/>
        <v>6.0564089092736371</v>
      </c>
      <c r="BH13" s="19">
        <f t="shared" si="1"/>
        <v>7.0908181209921262</v>
      </c>
      <c r="BI13" s="19">
        <f t="shared" si="2"/>
        <v>7.3765628718567857</v>
      </c>
      <c r="BN13" s="19">
        <f t="shared" si="3"/>
        <v>2.2184289848497341</v>
      </c>
      <c r="BO13" s="19">
        <f t="shared" si="17"/>
        <v>2.6256170858709678</v>
      </c>
      <c r="BP13" s="19">
        <f t="shared" si="18"/>
        <v>3.338335368288635</v>
      </c>
      <c r="BQ13" s="19">
        <f t="shared" si="19"/>
        <v>3.4684555240649515</v>
      </c>
      <c r="BV13" s="19">
        <f t="shared" si="4"/>
        <v>5.2213952204354852</v>
      </c>
      <c r="BW13" s="19">
        <f t="shared" si="23"/>
        <v>5.9411182957065432</v>
      </c>
      <c r="BX13" s="19">
        <f t="shared" si="5"/>
        <v>7.5303124409679976</v>
      </c>
      <c r="BY13" s="19">
        <f t="shared" si="24"/>
        <v>7.8163663166945669</v>
      </c>
    </row>
    <row r="14" spans="1:77" s="19" customFormat="1">
      <c r="Z14" s="78">
        <v>2027</v>
      </c>
      <c r="AA14" s="19">
        <f t="shared" si="20"/>
        <v>1.491192333588248</v>
      </c>
      <c r="AB14" s="77"/>
      <c r="AE14" s="1">
        <v>2028</v>
      </c>
      <c r="AG14" s="19">
        <f t="shared" si="21"/>
        <v>1.8638208405249701</v>
      </c>
      <c r="AH14" s="19">
        <f t="shared" si="22"/>
        <v>2.2885761787228009</v>
      </c>
      <c r="AI14" s="19">
        <f t="shared" si="6"/>
        <v>3.0165342905915002</v>
      </c>
      <c r="AJ14" s="19">
        <f t="shared" si="7"/>
        <v>3.235583954997078</v>
      </c>
      <c r="AN14" s="1">
        <v>2028</v>
      </c>
      <c r="AP14" s="19">
        <f t="shared" si="8"/>
        <v>1.785110728411629</v>
      </c>
      <c r="AQ14" s="19">
        <f t="shared" si="9"/>
        <v>2.1970249432280204</v>
      </c>
      <c r="AR14" s="19">
        <f t="shared" si="10"/>
        <v>2.900570960848321</v>
      </c>
      <c r="AS14" s="19">
        <f t="shared" si="11"/>
        <v>3.1206725823098314</v>
      </c>
      <c r="AX14" s="19">
        <f t="shared" si="12"/>
        <v>1.8276076939550125</v>
      </c>
      <c r="AY14" s="19">
        <f t="shared" si="13"/>
        <v>2.2392498929901006</v>
      </c>
      <c r="AZ14" s="19">
        <f t="shared" si="14"/>
        <v>2.9426425585983655</v>
      </c>
      <c r="BA14" s="19">
        <f t="shared" si="15"/>
        <v>3.1627983112408229</v>
      </c>
      <c r="BF14" s="19">
        <f t="shared" si="16"/>
        <v>4.3417935487071588</v>
      </c>
      <c r="BG14" s="19">
        <f t="shared" si="0"/>
        <v>5.9426072543836828</v>
      </c>
      <c r="BH14" s="19">
        <f t="shared" si="1"/>
        <v>6.9737334535306177</v>
      </c>
      <c r="BI14" s="19">
        <f t="shared" si="2"/>
        <v>7.2543573104719714</v>
      </c>
      <c r="BN14" s="19">
        <f t="shared" si="3"/>
        <v>2.1989852051306236</v>
      </c>
      <c r="BO14" s="19">
        <f t="shared" si="17"/>
        <v>2.6059315838616679</v>
      </c>
      <c r="BP14" s="19">
        <f t="shared" si="18"/>
        <v>3.3158565901171286</v>
      </c>
      <c r="BQ14" s="19">
        <f t="shared" si="19"/>
        <v>3.4445733383218267</v>
      </c>
      <c r="BV14" s="19">
        <f t="shared" si="4"/>
        <v>5.16182666597346</v>
      </c>
      <c r="BW14" s="19">
        <f t="shared" si="23"/>
        <v>5.8688319703272862</v>
      </c>
      <c r="BX14" s="19">
        <f t="shared" si="5"/>
        <v>7.4603802867371343</v>
      </c>
      <c r="BY14" s="19">
        <f t="shared" si="24"/>
        <v>7.7423913697487841</v>
      </c>
    </row>
    <row r="15" spans="1:77" s="19" customFormat="1">
      <c r="A15" s="39" t="s">
        <v>0</v>
      </c>
      <c r="B15" s="89" t="s">
        <v>3</v>
      </c>
      <c r="C15" s="89"/>
      <c r="D15" s="89" t="s">
        <v>5</v>
      </c>
      <c r="E15" s="89"/>
      <c r="F15" s="89" t="s">
        <v>6</v>
      </c>
      <c r="G15" s="89"/>
      <c r="H15" s="89" t="s">
        <v>7</v>
      </c>
      <c r="I15" s="89"/>
      <c r="J15" s="89"/>
      <c r="K15" s="89"/>
      <c r="L15" s="89" t="s">
        <v>8</v>
      </c>
      <c r="M15" s="89"/>
      <c r="N15" s="89"/>
      <c r="O15" s="89"/>
      <c r="P15" s="89" t="s">
        <v>9</v>
      </c>
      <c r="Q15" s="89"/>
      <c r="R15" s="89"/>
      <c r="S15" s="89"/>
      <c r="Z15" s="78">
        <v>2028</v>
      </c>
      <c r="AA15" s="19">
        <f t="shared" si="20"/>
        <v>1.4816395681981143</v>
      </c>
      <c r="AB15" s="77"/>
      <c r="AE15" s="1">
        <v>2029</v>
      </c>
      <c r="AG15" s="19">
        <f>AG14+$AD$6</f>
        <v>1.9015005173280748</v>
      </c>
      <c r="AH15" s="19">
        <f t="shared" si="22"/>
        <v>2.3476719880696431</v>
      </c>
      <c r="AI15" s="19">
        <f t="shared" si="6"/>
        <v>3.0805443501146819</v>
      </c>
      <c r="AJ15" s="19">
        <f t="shared" si="7"/>
        <v>3.3149971487163663</v>
      </c>
      <c r="AN15" s="1">
        <v>2029</v>
      </c>
      <c r="AP15" s="19">
        <f t="shared" si="8"/>
        <v>1.8168226830380672</v>
      </c>
      <c r="AQ15" s="19">
        <f t="shared" si="9"/>
        <v>2.2507367178246254</v>
      </c>
      <c r="AR15" s="19">
        <f t="shared" si="10"/>
        <v>2.9603066262689199</v>
      </c>
      <c r="AS15" s="19">
        <f t="shared" si="11"/>
        <v>3.1957635656967218</v>
      </c>
      <c r="AX15" s="19">
        <f t="shared" si="12"/>
        <v>1.864660695602206</v>
      </c>
      <c r="AY15" s="19">
        <f t="shared" si="13"/>
        <v>2.2983150789611564</v>
      </c>
      <c r="AZ15" s="19">
        <f t="shared" si="14"/>
        <v>3.0077386059394171</v>
      </c>
      <c r="BA15" s="19">
        <f t="shared" si="15"/>
        <v>3.2432472160399408</v>
      </c>
      <c r="BF15" s="19">
        <f t="shared" si="16"/>
        <v>4.2665175259414321</v>
      </c>
      <c r="BG15" s="19">
        <f t="shared" si="0"/>
        <v>5.8288055994937285</v>
      </c>
      <c r="BH15" s="19">
        <f t="shared" si="1"/>
        <v>6.8566487860691092</v>
      </c>
      <c r="BI15" s="19">
        <f t="shared" si="2"/>
        <v>7.1321517490871571</v>
      </c>
      <c r="BN15" s="19">
        <f t="shared" si="3"/>
        <v>2.1795414254115131</v>
      </c>
      <c r="BO15" s="19">
        <f t="shared" si="17"/>
        <v>2.586246081852368</v>
      </c>
      <c r="BP15" s="19">
        <f t="shared" si="18"/>
        <v>3.2933778119456223</v>
      </c>
      <c r="BQ15" s="19">
        <f t="shared" si="19"/>
        <v>3.4206911525787018</v>
      </c>
      <c r="BV15" s="19">
        <f t="shared" si="4"/>
        <v>5.1022581115114347</v>
      </c>
      <c r="BW15" s="19">
        <f t="shared" si="23"/>
        <v>5.7965456449480293</v>
      </c>
      <c r="BX15" s="19">
        <f t="shared" si="5"/>
        <v>7.390448132506271</v>
      </c>
      <c r="BY15" s="19">
        <f t="shared" si="24"/>
        <v>7.6684164228030012</v>
      </c>
    </row>
    <row r="16" spans="1:77" s="43" customFormat="1" ht="24">
      <c r="B16" s="46" t="s">
        <v>4</v>
      </c>
      <c r="C16" s="47" t="s">
        <v>2</v>
      </c>
      <c r="D16" s="46" t="s">
        <v>4</v>
      </c>
      <c r="E16" s="47" t="s">
        <v>2</v>
      </c>
      <c r="F16" s="46" t="s">
        <v>4</v>
      </c>
      <c r="G16" s="47" t="s">
        <v>2</v>
      </c>
      <c r="H16" s="46" t="s">
        <v>46</v>
      </c>
      <c r="I16" s="46" t="s">
        <v>45</v>
      </c>
      <c r="J16" s="46" t="s">
        <v>4</v>
      </c>
      <c r="K16" s="47" t="s">
        <v>2</v>
      </c>
      <c r="L16" s="46" t="s">
        <v>44</v>
      </c>
      <c r="M16" s="46" t="s">
        <v>45</v>
      </c>
      <c r="N16" s="46" t="s">
        <v>4</v>
      </c>
      <c r="O16" s="47" t="s">
        <v>2</v>
      </c>
      <c r="P16" s="46" t="s">
        <v>44</v>
      </c>
      <c r="Q16" s="46" t="s">
        <v>45</v>
      </c>
      <c r="R16" s="46" t="s">
        <v>4</v>
      </c>
      <c r="S16" s="47" t="s">
        <v>2</v>
      </c>
      <c r="Z16" s="78">
        <v>2029</v>
      </c>
      <c r="AA16" s="19">
        <f t="shared" si="20"/>
        <v>1.4720868028079805</v>
      </c>
      <c r="AB16" s="79"/>
      <c r="AE16" s="1">
        <v>2030</v>
      </c>
      <c r="AF16" s="19"/>
      <c r="AG16" s="19">
        <f>AG15+$AD$6</f>
        <v>1.9391801941311795</v>
      </c>
      <c r="AH16" s="19">
        <f t="shared" si="22"/>
        <v>2.4067677974164852</v>
      </c>
      <c r="AI16" s="19">
        <f t="shared" si="6"/>
        <v>3.1445544096378635</v>
      </c>
      <c r="AJ16" s="19">
        <f t="shared" si="7"/>
        <v>3.3944103424356546</v>
      </c>
      <c r="AN16" s="1">
        <v>2030</v>
      </c>
      <c r="AP16" s="19">
        <f>AP15+$AM$6</f>
        <v>1.8485346376645053</v>
      </c>
      <c r="AQ16" s="19">
        <f>AQ15+$AM$7</f>
        <v>2.3044484924212303</v>
      </c>
      <c r="AR16" s="19">
        <f>AR15+$AM$8</f>
        <v>3.0200422916895189</v>
      </c>
      <c r="AS16" s="19">
        <f>AS15+$AM$9</f>
        <v>3.2708545490836123</v>
      </c>
      <c r="AX16" s="19">
        <f>AX15+$AV$6</f>
        <v>1.9017136972493995</v>
      </c>
      <c r="AY16" s="19">
        <f t="shared" si="13"/>
        <v>2.3573802649322122</v>
      </c>
      <c r="AZ16" s="19">
        <f t="shared" si="14"/>
        <v>3.0728346532804687</v>
      </c>
      <c r="BA16" s="19">
        <f t="shared" si="15"/>
        <v>3.3236961208390587</v>
      </c>
      <c r="BB16" s="19"/>
      <c r="BC16" s="19"/>
      <c r="BF16" s="19">
        <f t="shared" si="16"/>
        <v>4.1912415031757053</v>
      </c>
      <c r="BG16" s="19">
        <f t="shared" si="0"/>
        <v>5.7150039446037741</v>
      </c>
      <c r="BH16" s="19">
        <f t="shared" si="1"/>
        <v>6.7395641186076007</v>
      </c>
      <c r="BI16" s="19">
        <f t="shared" si="2"/>
        <v>7.0099461877023428</v>
      </c>
      <c r="BN16" s="19">
        <f t="shared" si="3"/>
        <v>2.1600976456924026</v>
      </c>
      <c r="BO16" s="19">
        <f t="shared" si="17"/>
        <v>2.5665605798430682</v>
      </c>
      <c r="BP16" s="19">
        <f t="shared" si="18"/>
        <v>3.2708990337741159</v>
      </c>
      <c r="BQ16" s="19">
        <f>BQ15+$BL$9</f>
        <v>3.396808966835577</v>
      </c>
      <c r="BV16" s="19">
        <f t="shared" si="4"/>
        <v>5.0426895570494095</v>
      </c>
      <c r="BW16" s="19">
        <f t="shared" si="23"/>
        <v>5.7242593195687723</v>
      </c>
      <c r="BX16" s="19">
        <f t="shared" si="5"/>
        <v>7.3205159782754077</v>
      </c>
      <c r="BY16" s="19">
        <f t="shared" si="24"/>
        <v>7.5944414758572183</v>
      </c>
    </row>
    <row r="17" spans="1:77" s="19" customFormat="1">
      <c r="A17" s="19">
        <v>10</v>
      </c>
      <c r="B17" s="26">
        <v>160.97012770929473</v>
      </c>
      <c r="C17" s="19">
        <v>2.692773730193271</v>
      </c>
      <c r="D17" s="26">
        <v>483.22920967621445</v>
      </c>
      <c r="E17" s="19">
        <v>2.4827737301932711</v>
      </c>
      <c r="F17" s="26">
        <v>665.06326091162805</v>
      </c>
      <c r="G17" s="26">
        <f t="shared" ref="G17:G20" si="25">E17+0.16</f>
        <v>2.6427737301932712</v>
      </c>
      <c r="H17" s="19">
        <v>415.85768542136049</v>
      </c>
      <c r="I17" s="19">
        <v>2.5957036728129363</v>
      </c>
      <c r="J17" s="19">
        <v>12.23117685926065</v>
      </c>
      <c r="K17" s="19">
        <v>2.6857210478611626</v>
      </c>
      <c r="L17" s="19">
        <v>586.5</v>
      </c>
      <c r="M17" s="19">
        <v>5.1267482517482517</v>
      </c>
      <c r="N17" s="19">
        <v>10.73927354150395</v>
      </c>
      <c r="O17" s="19">
        <v>1.7712220513101908</v>
      </c>
      <c r="P17" s="19">
        <v>85.5</v>
      </c>
      <c r="Q17" s="19">
        <v>5.7809330628803242</v>
      </c>
      <c r="R17" s="26">
        <v>3.8163870093058798</v>
      </c>
      <c r="S17" s="19">
        <v>3.8513184678089067</v>
      </c>
      <c r="Z17" s="78">
        <v>2030</v>
      </c>
      <c r="AA17" s="19">
        <f t="shared" si="20"/>
        <v>1.4625340374178468</v>
      </c>
      <c r="AB17" s="77"/>
      <c r="AE17" s="1">
        <v>2031</v>
      </c>
      <c r="AG17" s="19">
        <f t="shared" si="21"/>
        <v>1.9768598709342842</v>
      </c>
      <c r="AH17" s="19">
        <f t="shared" si="22"/>
        <v>2.4658636067633273</v>
      </c>
      <c r="AI17" s="19">
        <f t="shared" si="6"/>
        <v>3.2085644691610451</v>
      </c>
      <c r="AJ17" s="19">
        <f t="shared" si="7"/>
        <v>3.473823536154943</v>
      </c>
      <c r="AN17" s="1">
        <v>2031</v>
      </c>
      <c r="AP17" s="19">
        <f t="shared" si="8"/>
        <v>1.8802465922909435</v>
      </c>
      <c r="AQ17" s="19">
        <f t="shared" si="9"/>
        <v>2.3581602670178352</v>
      </c>
      <c r="AR17" s="19">
        <f t="shared" si="10"/>
        <v>3.0797779571101178</v>
      </c>
      <c r="AS17" s="19">
        <f t="shared" si="11"/>
        <v>3.3459455324705027</v>
      </c>
      <c r="AX17" s="19">
        <f t="shared" si="12"/>
        <v>1.938766698896593</v>
      </c>
      <c r="AY17" s="19">
        <f t="shared" si="13"/>
        <v>2.416445450903268</v>
      </c>
      <c r="AZ17" s="19">
        <f t="shared" si="14"/>
        <v>3.1379307006215202</v>
      </c>
      <c r="BA17" s="19">
        <f t="shared" si="15"/>
        <v>3.4041450256381767</v>
      </c>
      <c r="BF17" s="19">
        <f t="shared" si="16"/>
        <v>4.1159654804099786</v>
      </c>
      <c r="BG17" s="19">
        <f t="shared" si="0"/>
        <v>5.6012022897138198</v>
      </c>
      <c r="BH17" s="19">
        <f t="shared" si="1"/>
        <v>6.6224794511460923</v>
      </c>
      <c r="BI17" s="19">
        <f t="shared" si="2"/>
        <v>6.8877406263175285</v>
      </c>
      <c r="BN17" s="19">
        <f t="shared" si="3"/>
        <v>2.1406538659732921</v>
      </c>
      <c r="BO17" s="19">
        <f t="shared" si="17"/>
        <v>2.5468750778337683</v>
      </c>
      <c r="BP17" s="19">
        <f t="shared" si="18"/>
        <v>3.2484202556026096</v>
      </c>
      <c r="BQ17" s="19">
        <f t="shared" si="19"/>
        <v>3.3729267810924521</v>
      </c>
      <c r="BV17" s="19">
        <f t="shared" si="4"/>
        <v>4.9831210025873842</v>
      </c>
      <c r="BW17" s="19">
        <f t="shared" si="23"/>
        <v>5.6519729941895154</v>
      </c>
      <c r="BX17" s="19">
        <f t="shared" si="5"/>
        <v>7.2505838240445444</v>
      </c>
      <c r="BY17" s="19">
        <f t="shared" si="24"/>
        <v>7.5204665289114354</v>
      </c>
    </row>
    <row r="18" spans="1:77" s="19" customFormat="1">
      <c r="A18" s="19">
        <v>25</v>
      </c>
      <c r="B18" s="26">
        <v>214.52634983489483</v>
      </c>
      <c r="C18" s="19">
        <v>3.5886839843533314</v>
      </c>
      <c r="D18" s="26">
        <v>657.60273344669565</v>
      </c>
      <c r="E18" s="19">
        <v>3.3786839843533314</v>
      </c>
      <c r="F18" s="26">
        <v>873.92560032874269</v>
      </c>
      <c r="G18" s="26">
        <f t="shared" si="25"/>
        <v>3.5386839843533315</v>
      </c>
      <c r="H18" s="19">
        <v>528.185541493355</v>
      </c>
      <c r="I18" s="19">
        <v>3.2968325416225888</v>
      </c>
      <c r="J18" s="19">
        <v>15.6615895290418</v>
      </c>
      <c r="K18" s="19">
        <v>3.4389708468046924</v>
      </c>
      <c r="L18" s="19">
        <v>735</v>
      </c>
      <c r="M18" s="19">
        <v>6.424825174825175</v>
      </c>
      <c r="N18" s="19">
        <v>13.17442739204875</v>
      </c>
      <c r="O18" s="19">
        <v>2.1728505396570705</v>
      </c>
      <c r="P18" s="19">
        <v>102</v>
      </c>
      <c r="Q18" s="19">
        <v>6.8965517241379306</v>
      </c>
      <c r="R18" s="26">
        <v>4.2397265193789497</v>
      </c>
      <c r="S18" s="19">
        <v>4.2785328119836414</v>
      </c>
      <c r="Z18" s="78">
        <v>2031</v>
      </c>
      <c r="AA18" s="19">
        <f t="shared" si="20"/>
        <v>1.4529812720277131</v>
      </c>
      <c r="AB18" s="77"/>
      <c r="AE18" s="1">
        <v>2032</v>
      </c>
      <c r="AG18" s="19">
        <f>AG17+$AD$6</f>
        <v>2.0145395477373889</v>
      </c>
      <c r="AH18" s="19">
        <f t="shared" si="22"/>
        <v>2.5249594161101694</v>
      </c>
      <c r="AI18" s="19">
        <f t="shared" si="6"/>
        <v>3.2725745286842267</v>
      </c>
      <c r="AJ18" s="19">
        <f t="shared" si="7"/>
        <v>3.5532367298742313</v>
      </c>
      <c r="AN18" s="1">
        <v>2032</v>
      </c>
      <c r="AP18" s="19">
        <f t="shared" si="8"/>
        <v>1.9119585469173817</v>
      </c>
      <c r="AQ18" s="19">
        <f t="shared" si="9"/>
        <v>2.4118720416144401</v>
      </c>
      <c r="AR18" s="19">
        <f t="shared" si="10"/>
        <v>3.1395136225307168</v>
      </c>
      <c r="AS18" s="19">
        <f t="shared" si="11"/>
        <v>3.4210365158573932</v>
      </c>
      <c r="AX18" s="19">
        <f t="shared" si="12"/>
        <v>1.9758197005437865</v>
      </c>
      <c r="AY18" s="19">
        <f t="shared" si="13"/>
        <v>2.4755106368743238</v>
      </c>
      <c r="AZ18" s="19">
        <f t="shared" si="14"/>
        <v>3.2030267479625718</v>
      </c>
      <c r="BA18" s="19">
        <f t="shared" si="15"/>
        <v>3.4845939304372946</v>
      </c>
      <c r="BF18" s="19">
        <f t="shared" si="16"/>
        <v>4.0406894576442518</v>
      </c>
      <c r="BG18" s="19">
        <f t="shared" si="0"/>
        <v>5.4874006348238655</v>
      </c>
      <c r="BH18" s="19">
        <f t="shared" si="1"/>
        <v>6.5053947836845838</v>
      </c>
      <c r="BI18" s="19">
        <f t="shared" si="2"/>
        <v>6.7655350649327142</v>
      </c>
      <c r="BN18" s="19">
        <f t="shared" si="3"/>
        <v>2.1212100862541816</v>
      </c>
      <c r="BO18" s="19">
        <f t="shared" si="17"/>
        <v>2.5271895758244685</v>
      </c>
      <c r="BP18" s="19">
        <f t="shared" si="18"/>
        <v>3.2259414774311033</v>
      </c>
      <c r="BQ18" s="19">
        <f t="shared" si="19"/>
        <v>3.3490445953493273</v>
      </c>
      <c r="BV18" s="19">
        <f t="shared" si="4"/>
        <v>4.923552448125359</v>
      </c>
      <c r="BW18" s="19">
        <f t="shared" si="23"/>
        <v>5.5796866688102584</v>
      </c>
      <c r="BX18" s="19">
        <f t="shared" si="5"/>
        <v>7.1806516698136811</v>
      </c>
      <c r="BY18" s="19">
        <f t="shared" si="24"/>
        <v>7.4464915819656525</v>
      </c>
    </row>
    <row r="19" spans="1:77" s="19" customFormat="1">
      <c r="A19" s="19">
        <v>100</v>
      </c>
      <c r="B19" s="26">
        <v>297.85707429565099</v>
      </c>
      <c r="C19" s="19">
        <v>4.4247556001015012</v>
      </c>
      <c r="D19" s="26">
        <v>928.91895938383755</v>
      </c>
      <c r="E19" s="19">
        <v>4.2147556001015012</v>
      </c>
      <c r="F19" s="26">
        <v>1198.9046478683379</v>
      </c>
      <c r="G19" s="26">
        <f t="shared" si="25"/>
        <v>4.3747556001015013</v>
      </c>
      <c r="H19" s="19">
        <v>693.53492150275497</v>
      </c>
      <c r="I19" s="19">
        <v>4.3289115629658266</v>
      </c>
      <c r="J19" s="19">
        <v>20.028563736083452</v>
      </c>
      <c r="K19" s="19">
        <v>4.3978707693774366</v>
      </c>
      <c r="L19" s="19">
        <v>891</v>
      </c>
      <c r="M19" s="19">
        <v>7.7884615384615383</v>
      </c>
      <c r="N19" s="19">
        <v>17.106248465389697</v>
      </c>
      <c r="O19" s="19">
        <v>2.8213234703439931</v>
      </c>
      <c r="P19" s="19">
        <v>138.99999999999997</v>
      </c>
      <c r="Q19" s="19">
        <v>9.3982420554428661</v>
      </c>
      <c r="R19" s="26">
        <v>5.8681615065126502</v>
      </c>
      <c r="S19" s="19">
        <v>5.9218728936581293</v>
      </c>
      <c r="Z19" s="78">
        <v>2032</v>
      </c>
      <c r="AA19" s="19">
        <f t="shared" si="20"/>
        <v>1.4434285066375794</v>
      </c>
      <c r="AB19" s="77"/>
      <c r="AE19" s="1">
        <v>2033</v>
      </c>
      <c r="AG19" s="19">
        <f t="shared" si="21"/>
        <v>2.0522192245404933</v>
      </c>
      <c r="AH19" s="19">
        <f t="shared" si="22"/>
        <v>2.5840552254570115</v>
      </c>
      <c r="AI19" s="19">
        <f t="shared" si="6"/>
        <v>3.3365845882074083</v>
      </c>
      <c r="AJ19" s="19">
        <f t="shared" si="7"/>
        <v>3.6326499235935197</v>
      </c>
      <c r="AN19" s="1">
        <v>2033</v>
      </c>
      <c r="AP19" s="19">
        <f t="shared" si="8"/>
        <v>1.9436705015438198</v>
      </c>
      <c r="AQ19" s="19">
        <f t="shared" si="9"/>
        <v>2.4655838162110451</v>
      </c>
      <c r="AR19" s="19">
        <f t="shared" si="10"/>
        <v>3.1992492879513157</v>
      </c>
      <c r="AS19" s="19">
        <f t="shared" si="11"/>
        <v>3.4961274992442837</v>
      </c>
      <c r="AX19" s="19">
        <f t="shared" si="12"/>
        <v>2.0128727021909802</v>
      </c>
      <c r="AY19" s="19">
        <f t="shared" si="13"/>
        <v>2.5345758228453796</v>
      </c>
      <c r="AZ19" s="19">
        <f t="shared" si="14"/>
        <v>3.2681227953036234</v>
      </c>
      <c r="BA19" s="19">
        <f t="shared" si="15"/>
        <v>3.5650428352364125</v>
      </c>
      <c r="BF19" s="19">
        <f t="shared" si="16"/>
        <v>3.9654134348785246</v>
      </c>
      <c r="BG19" s="19">
        <f t="shared" si="0"/>
        <v>5.3735989799339112</v>
      </c>
      <c r="BH19" s="19">
        <f t="shared" si="1"/>
        <v>6.3883101162230753</v>
      </c>
      <c r="BI19" s="19">
        <f t="shared" si="2"/>
        <v>6.6433295035478999</v>
      </c>
      <c r="BN19" s="19">
        <f t="shared" si="3"/>
        <v>2.1017663065350711</v>
      </c>
      <c r="BO19" s="19">
        <f t="shared" si="17"/>
        <v>2.5075040738151686</v>
      </c>
      <c r="BP19" s="19">
        <f t="shared" si="18"/>
        <v>3.2034626992595969</v>
      </c>
      <c r="BQ19" s="19">
        <f t="shared" si="19"/>
        <v>3.3251624096062025</v>
      </c>
      <c r="BV19" s="19">
        <f t="shared" si="4"/>
        <v>4.8639838936633337</v>
      </c>
      <c r="BW19" s="19">
        <f t="shared" si="23"/>
        <v>5.5074003434310015</v>
      </c>
      <c r="BX19" s="19">
        <f t="shared" si="5"/>
        <v>7.1107195155828178</v>
      </c>
      <c r="BY19" s="19">
        <f t="shared" si="24"/>
        <v>7.3725166350198696</v>
      </c>
    </row>
    <row r="20" spans="1:77" s="19" customFormat="1">
      <c r="A20" s="19">
        <v>200</v>
      </c>
      <c r="B20" s="26">
        <v>314.01283811480874</v>
      </c>
      <c r="C20" s="19">
        <v>4.9826742168214224</v>
      </c>
      <c r="D20" s="26">
        <v>981.52045654962751</v>
      </c>
      <c r="E20" s="19">
        <v>4.7726742168214225</v>
      </c>
      <c r="F20" s="26">
        <v>1261.9100372034216</v>
      </c>
      <c r="G20" s="26">
        <f t="shared" si="25"/>
        <v>4.9326742168214226</v>
      </c>
      <c r="H20" s="19">
        <v>714.04189303133001</v>
      </c>
      <c r="I20" s="19">
        <v>4.4569121342695839</v>
      </c>
      <c r="J20" s="19">
        <v>20.793497876670148</v>
      </c>
      <c r="K20" s="19">
        <v>4.565834960006061</v>
      </c>
      <c r="L20" s="19">
        <v>924.5</v>
      </c>
      <c r="M20" s="19">
        <v>8.0812937062937067</v>
      </c>
      <c r="N20" s="19">
        <v>17.699482755763153</v>
      </c>
      <c r="O20" s="19">
        <v>2.9191652519730757</v>
      </c>
      <c r="P20" s="19">
        <v>144.5</v>
      </c>
      <c r="Q20" s="19">
        <v>9.7701149425287355</v>
      </c>
      <c r="R20" s="26">
        <v>6.0594800081315006</v>
      </c>
      <c r="S20" s="19">
        <v>6.1149425369415606</v>
      </c>
      <c r="T20" s="19" t="s">
        <v>67</v>
      </c>
      <c r="Z20" s="78">
        <v>2033</v>
      </c>
      <c r="AA20" s="19">
        <f t="shared" si="20"/>
        <v>1.4338757412474457</v>
      </c>
      <c r="AB20" s="77"/>
      <c r="AE20" s="1">
        <v>2034</v>
      </c>
      <c r="AG20" s="19">
        <f t="shared" si="21"/>
        <v>2.0898989013435978</v>
      </c>
      <c r="AH20" s="19">
        <f t="shared" si="22"/>
        <v>2.6431510348038536</v>
      </c>
      <c r="AI20" s="19">
        <f t="shared" si="6"/>
        <v>3.4005946477305899</v>
      </c>
      <c r="AJ20" s="19">
        <f t="shared" si="7"/>
        <v>3.712063117312808</v>
      </c>
      <c r="AN20" s="1">
        <v>2034</v>
      </c>
      <c r="AP20" s="19">
        <f t="shared" si="8"/>
        <v>1.975382456170258</v>
      </c>
      <c r="AQ20" s="19">
        <f t="shared" si="9"/>
        <v>2.51929559080765</v>
      </c>
      <c r="AR20" s="19">
        <f t="shared" si="10"/>
        <v>3.2589849533719146</v>
      </c>
      <c r="AS20" s="19">
        <f t="shared" si="11"/>
        <v>3.5712184826311741</v>
      </c>
      <c r="AX20" s="19">
        <f t="shared" si="12"/>
        <v>2.049925703838174</v>
      </c>
      <c r="AY20" s="19">
        <f t="shared" si="13"/>
        <v>2.5936410088164354</v>
      </c>
      <c r="AZ20" s="19">
        <f t="shared" si="14"/>
        <v>3.3332188426446749</v>
      </c>
      <c r="BA20" s="19">
        <f t="shared" si="15"/>
        <v>3.6454917400355304</v>
      </c>
      <c r="BF20" s="19">
        <f t="shared" si="16"/>
        <v>3.8901374121127974</v>
      </c>
      <c r="BG20" s="19">
        <f t="shared" si="0"/>
        <v>5.2597973250439569</v>
      </c>
      <c r="BH20" s="19">
        <f t="shared" si="1"/>
        <v>6.2712254487615668</v>
      </c>
      <c r="BI20" s="19">
        <f t="shared" si="2"/>
        <v>6.5211239421630856</v>
      </c>
      <c r="BN20" s="19">
        <f t="shared" si="3"/>
        <v>2.0823225268159606</v>
      </c>
      <c r="BO20" s="19">
        <f t="shared" si="17"/>
        <v>2.4878185718058687</v>
      </c>
      <c r="BP20" s="19">
        <f t="shared" si="18"/>
        <v>3.1809839210880906</v>
      </c>
      <c r="BQ20" s="19">
        <f t="shared" si="19"/>
        <v>3.3012802238630776</v>
      </c>
      <c r="BV20" s="19">
        <f t="shared" si="4"/>
        <v>4.8044153392013085</v>
      </c>
      <c r="BW20" s="19">
        <f t="shared" si="23"/>
        <v>5.4351140180517445</v>
      </c>
      <c r="BX20" s="19">
        <f t="shared" si="5"/>
        <v>7.0407873613519545</v>
      </c>
      <c r="BY20" s="19">
        <f t="shared" si="24"/>
        <v>7.2985416880740868</v>
      </c>
    </row>
    <row r="21" spans="1:77" s="19" customFormat="1">
      <c r="A21" s="20" t="s">
        <v>1</v>
      </c>
      <c r="B21" s="49">
        <v>75.959705965139065</v>
      </c>
      <c r="C21" s="50">
        <v>1.2706848387765857</v>
      </c>
      <c r="D21" s="49">
        <v>206.44406299467846</v>
      </c>
      <c r="E21" s="50">
        <v>1.0606848387765857</v>
      </c>
      <c r="F21" s="49">
        <v>333.53361121602887</v>
      </c>
      <c r="G21" s="34">
        <v>1.4306848387765856</v>
      </c>
      <c r="H21" s="20">
        <v>236.0688194365415</v>
      </c>
      <c r="I21" s="20">
        <v>1.4734961577713095</v>
      </c>
      <c r="J21" s="20">
        <v>6.8610879041755997</v>
      </c>
      <c r="K21" s="34">
        <v>1.5065572518083852</v>
      </c>
      <c r="L21" s="20">
        <v>321.53483333333452</v>
      </c>
      <c r="M21" s="20">
        <v>2.8106191724941829</v>
      </c>
      <c r="N21" s="20">
        <v>5.8761272571636498</v>
      </c>
      <c r="O21" s="34">
        <v>2.009270144297342</v>
      </c>
      <c r="P21" s="20">
        <v>48</v>
      </c>
      <c r="Q21" s="20">
        <v>3.2672864548118392</v>
      </c>
      <c r="R21" s="20">
        <v>1.991046064088565</v>
      </c>
      <c r="S21" s="34">
        <v>2.009270144297342</v>
      </c>
      <c r="T21" s="58">
        <f>'Weighted Av.'!C24</f>
        <v>1.2714787296151742</v>
      </c>
      <c r="Z21" s="78">
        <v>2034</v>
      </c>
      <c r="AA21" s="19">
        <f t="shared" si="20"/>
        <v>1.4243229758573119</v>
      </c>
      <c r="AB21" s="77"/>
      <c r="AE21" s="38">
        <v>2035</v>
      </c>
      <c r="AF21" s="35"/>
      <c r="AG21" s="35">
        <f>AG20+$AD$6</f>
        <v>2.1275785781467023</v>
      </c>
      <c r="AH21" s="35">
        <f t="shared" si="22"/>
        <v>2.7022468441506957</v>
      </c>
      <c r="AI21" s="35">
        <f t="shared" si="6"/>
        <v>3.4646047072537716</v>
      </c>
      <c r="AJ21" s="35">
        <f t="shared" si="7"/>
        <v>3.7914763110320964</v>
      </c>
      <c r="AN21" s="38">
        <v>2035</v>
      </c>
      <c r="AO21" s="35"/>
      <c r="AP21" s="35">
        <f t="shared" si="8"/>
        <v>2.0070944107966961</v>
      </c>
      <c r="AQ21" s="35">
        <f t="shared" si="9"/>
        <v>2.5730073654042549</v>
      </c>
      <c r="AR21" s="35">
        <f t="shared" si="10"/>
        <v>3.3187206187925136</v>
      </c>
      <c r="AS21" s="35">
        <f t="shared" si="11"/>
        <v>3.6463094660180646</v>
      </c>
      <c r="AX21" s="35">
        <f t="shared" si="12"/>
        <v>2.0869787054853677</v>
      </c>
      <c r="AY21" s="35">
        <f t="shared" si="13"/>
        <v>2.6527061947874913</v>
      </c>
      <c r="AZ21" s="35">
        <f t="shared" si="14"/>
        <v>3.3983148899857265</v>
      </c>
      <c r="BA21" s="35">
        <f t="shared" si="15"/>
        <v>3.7259406448346484</v>
      </c>
      <c r="BF21" s="35">
        <f t="shared" si="16"/>
        <v>3.8148613893470702</v>
      </c>
      <c r="BG21" s="35">
        <f t="shared" si="0"/>
        <v>5.1459956701540026</v>
      </c>
      <c r="BH21" s="35">
        <f t="shared" si="1"/>
        <v>6.1541407813000584</v>
      </c>
      <c r="BI21" s="35">
        <f t="shared" si="2"/>
        <v>6.3989183807782712</v>
      </c>
      <c r="BN21" s="35">
        <f t="shared" si="3"/>
        <v>2.0628787470968502</v>
      </c>
      <c r="BO21" s="35">
        <f t="shared" si="17"/>
        <v>2.4681330697965689</v>
      </c>
      <c r="BP21" s="35">
        <f t="shared" si="18"/>
        <v>3.1585051429165842</v>
      </c>
      <c r="BQ21" s="35">
        <f t="shared" si="19"/>
        <v>3.2773980381199528</v>
      </c>
      <c r="BV21" s="35">
        <f t="shared" si="4"/>
        <v>4.7448467847392832</v>
      </c>
      <c r="BW21" s="35">
        <f t="shared" si="23"/>
        <v>5.3628276926724876</v>
      </c>
      <c r="BX21" s="35">
        <f t="shared" si="5"/>
        <v>6.9708552071210912</v>
      </c>
      <c r="BY21" s="35">
        <f t="shared" si="24"/>
        <v>7.2245667411283039</v>
      </c>
    </row>
    <row r="22" spans="1:77" s="19" customFormat="1">
      <c r="B22" s="48"/>
      <c r="D22" s="48"/>
      <c r="F22" s="48"/>
      <c r="J22" s="48"/>
      <c r="N22" s="48"/>
      <c r="R22" s="48"/>
      <c r="T22" s="51"/>
      <c r="Z22" s="78">
        <v>2035</v>
      </c>
      <c r="AA22" s="19">
        <f t="shared" si="20"/>
        <v>1.4147702104671782</v>
      </c>
      <c r="AB22" s="77"/>
      <c r="AE22" s="1">
        <v>2036</v>
      </c>
      <c r="AG22" s="19">
        <f>AG21+$AD$6</f>
        <v>2.1652582549498067</v>
      </c>
      <c r="AH22" s="19">
        <f t="shared" si="22"/>
        <v>2.7613426534975378</v>
      </c>
      <c r="AI22" s="19">
        <f t="shared" si="6"/>
        <v>3.5286147667769532</v>
      </c>
      <c r="AJ22" s="19">
        <f t="shared" si="7"/>
        <v>3.8708895047513847</v>
      </c>
      <c r="AN22" s="1">
        <v>2036</v>
      </c>
      <c r="AP22" s="19">
        <f t="shared" si="8"/>
        <v>2.0388063654231345</v>
      </c>
      <c r="AQ22" s="19">
        <f t="shared" si="9"/>
        <v>2.6267191400008598</v>
      </c>
      <c r="AR22" s="19">
        <f t="shared" si="10"/>
        <v>3.3784562842131125</v>
      </c>
      <c r="AS22" s="19">
        <f t="shared" si="11"/>
        <v>3.7214004494049551</v>
      </c>
      <c r="AX22" s="19">
        <f t="shared" si="12"/>
        <v>2.1240317071325614</v>
      </c>
      <c r="AY22" s="19">
        <f t="shared" si="13"/>
        <v>2.7117713807585471</v>
      </c>
      <c r="AZ22" s="19">
        <f t="shared" si="14"/>
        <v>3.4634109373267781</v>
      </c>
      <c r="BA22" s="19">
        <f t="shared" si="15"/>
        <v>3.8063895496337663</v>
      </c>
      <c r="BF22" s="19">
        <f t="shared" si="16"/>
        <v>3.739585366581343</v>
      </c>
      <c r="BG22" s="19">
        <f t="shared" si="0"/>
        <v>5.0321940152640483</v>
      </c>
      <c r="BH22" s="19">
        <f t="shared" si="1"/>
        <v>6.0370561138385499</v>
      </c>
      <c r="BI22" s="19">
        <f t="shared" si="2"/>
        <v>6.2767128193934569</v>
      </c>
      <c r="BN22" s="19">
        <f t="shared" si="3"/>
        <v>2.0434349673777397</v>
      </c>
      <c r="BO22" s="19">
        <f t="shared" si="17"/>
        <v>2.448447567787269</v>
      </c>
      <c r="BP22" s="19">
        <f t="shared" si="18"/>
        <v>3.1360263647450779</v>
      </c>
      <c r="BQ22" s="19">
        <f t="shared" si="19"/>
        <v>3.2535158523768279</v>
      </c>
      <c r="BV22" s="19">
        <f t="shared" si="4"/>
        <v>4.685278230277258</v>
      </c>
      <c r="BW22" s="19">
        <f t="shared" si="23"/>
        <v>5.2905413672932307</v>
      </c>
      <c r="BX22" s="19">
        <f t="shared" si="5"/>
        <v>6.9009230528902279</v>
      </c>
      <c r="BY22" s="19">
        <f t="shared" si="24"/>
        <v>7.150591794182521</v>
      </c>
    </row>
    <row r="23" spans="1:77" s="19" customFormat="1">
      <c r="Z23" s="78">
        <v>2036</v>
      </c>
      <c r="AA23" s="19">
        <f t="shared" si="20"/>
        <v>1.4052174450770445</v>
      </c>
      <c r="AB23" s="77"/>
      <c r="AE23" s="1">
        <v>2037</v>
      </c>
      <c r="AG23" s="19">
        <f t="shared" si="21"/>
        <v>2.2029379317529112</v>
      </c>
      <c r="AH23" s="19">
        <f t="shared" si="22"/>
        <v>2.8204384628443799</v>
      </c>
      <c r="AI23" s="19">
        <f t="shared" si="6"/>
        <v>3.5926248263001348</v>
      </c>
      <c r="AJ23" s="19">
        <f t="shared" si="7"/>
        <v>3.9503026984706731</v>
      </c>
      <c r="AN23" s="1">
        <v>2037</v>
      </c>
      <c r="AP23" s="19">
        <f t="shared" si="8"/>
        <v>2.0705183200495729</v>
      </c>
      <c r="AQ23" s="19">
        <f t="shared" si="9"/>
        <v>2.6804309145974647</v>
      </c>
      <c r="AR23" s="19">
        <f t="shared" si="10"/>
        <v>3.4381919496337114</v>
      </c>
      <c r="AS23" s="19">
        <f t="shared" si="11"/>
        <v>3.7964914327918455</v>
      </c>
      <c r="AX23" s="19">
        <f t="shared" si="12"/>
        <v>2.1610847087797551</v>
      </c>
      <c r="AY23" s="19">
        <f t="shared" si="13"/>
        <v>2.7708365667296029</v>
      </c>
      <c r="AZ23" s="19">
        <f t="shared" si="14"/>
        <v>3.5285069846678296</v>
      </c>
      <c r="BA23" s="19">
        <f t="shared" si="15"/>
        <v>3.8868384544328842</v>
      </c>
      <c r="BF23" s="19">
        <f t="shared" si="16"/>
        <v>3.6643093438156158</v>
      </c>
      <c r="BG23" s="19">
        <f t="shared" si="0"/>
        <v>4.918392360374094</v>
      </c>
      <c r="BH23" s="19">
        <f t="shared" si="1"/>
        <v>5.9199714463770414</v>
      </c>
      <c r="BI23" s="19">
        <f t="shared" si="2"/>
        <v>6.1545072580086426</v>
      </c>
      <c r="BN23" s="19">
        <f t="shared" si="3"/>
        <v>2.0239911876586292</v>
      </c>
      <c r="BO23" s="19">
        <f t="shared" si="17"/>
        <v>2.4287620657779692</v>
      </c>
      <c r="BP23" s="19">
        <f t="shared" si="18"/>
        <v>3.1135475865735716</v>
      </c>
      <c r="BQ23" s="19">
        <f t="shared" si="19"/>
        <v>3.2296336666337031</v>
      </c>
      <c r="BV23" s="19">
        <f t="shared" si="4"/>
        <v>4.6257096758152327</v>
      </c>
      <c r="BW23" s="19">
        <f t="shared" si="23"/>
        <v>5.2182550419139737</v>
      </c>
      <c r="BX23" s="19">
        <f t="shared" si="5"/>
        <v>6.8309908986593646</v>
      </c>
      <c r="BY23" s="19">
        <f t="shared" si="24"/>
        <v>7.0766168472367381</v>
      </c>
    </row>
    <row r="24" spans="1:77" s="19" customFormat="1">
      <c r="A24" s="19" t="s">
        <v>48</v>
      </c>
      <c r="Z24" s="78">
        <v>2037</v>
      </c>
      <c r="AA24" s="19">
        <f t="shared" si="20"/>
        <v>1.3956646796869108</v>
      </c>
      <c r="AB24" s="77"/>
      <c r="AE24" s="1">
        <v>2038</v>
      </c>
      <c r="AG24" s="19">
        <f t="shared" si="21"/>
        <v>2.2406176085560157</v>
      </c>
      <c r="AH24" s="19">
        <f t="shared" si="22"/>
        <v>2.879534272191222</v>
      </c>
      <c r="AI24" s="19">
        <f t="shared" si="6"/>
        <v>3.6566348858233164</v>
      </c>
      <c r="AJ24" s="19">
        <f t="shared" si="7"/>
        <v>4.0297158921899614</v>
      </c>
      <c r="AN24" s="1">
        <v>2038</v>
      </c>
      <c r="AP24" s="19">
        <f t="shared" si="8"/>
        <v>2.1022302746760113</v>
      </c>
      <c r="AQ24" s="19">
        <f t="shared" si="9"/>
        <v>2.7341426891940697</v>
      </c>
      <c r="AR24" s="19">
        <f t="shared" si="10"/>
        <v>3.4979276150543104</v>
      </c>
      <c r="AS24" s="19">
        <f t="shared" si="11"/>
        <v>3.871582416178736</v>
      </c>
      <c r="AX24" s="19">
        <f t="shared" si="12"/>
        <v>2.1981377104269488</v>
      </c>
      <c r="AY24" s="19">
        <f t="shared" si="13"/>
        <v>2.8299017527006587</v>
      </c>
      <c r="AZ24" s="19">
        <f t="shared" si="14"/>
        <v>3.5936030320088812</v>
      </c>
      <c r="BA24" s="19">
        <f t="shared" si="15"/>
        <v>3.9672873592320022</v>
      </c>
      <c r="BF24" s="19">
        <f t="shared" si="16"/>
        <v>3.5890333210498886</v>
      </c>
      <c r="BG24" s="19">
        <f t="shared" si="0"/>
        <v>4.8045907054841397</v>
      </c>
      <c r="BH24" s="19">
        <f t="shared" si="1"/>
        <v>5.802886778915533</v>
      </c>
      <c r="BI24" s="19">
        <f t="shared" si="2"/>
        <v>6.0323016966238283</v>
      </c>
      <c r="BN24" s="19">
        <f t="shared" si="3"/>
        <v>2.0045474079395187</v>
      </c>
      <c r="BO24" s="19">
        <f t="shared" si="17"/>
        <v>2.4090765637686693</v>
      </c>
      <c r="BP24" s="19">
        <f t="shared" si="18"/>
        <v>3.0910688084020652</v>
      </c>
      <c r="BQ24" s="19">
        <f t="shared" si="19"/>
        <v>3.2057514808905783</v>
      </c>
      <c r="BV24" s="19">
        <f t="shared" si="4"/>
        <v>4.5661411213532075</v>
      </c>
      <c r="BW24" s="19">
        <f t="shared" si="23"/>
        <v>5.1459687165347168</v>
      </c>
      <c r="BX24" s="19">
        <f t="shared" si="5"/>
        <v>6.7610587444285013</v>
      </c>
      <c r="BY24" s="19">
        <f t="shared" si="24"/>
        <v>7.0026419002909552</v>
      </c>
    </row>
    <row r="25" spans="1:77" s="19" customFormat="1">
      <c r="Z25" s="78">
        <v>2038</v>
      </c>
      <c r="AA25" s="19">
        <f t="shared" si="20"/>
        <v>1.386111914296777</v>
      </c>
      <c r="AB25" s="77"/>
      <c r="AE25" s="1">
        <v>2039</v>
      </c>
      <c r="AG25" s="19">
        <f t="shared" si="21"/>
        <v>2.2782972853591201</v>
      </c>
      <c r="AH25" s="19">
        <f t="shared" si="22"/>
        <v>2.9386300815380642</v>
      </c>
      <c r="AI25" s="19">
        <f t="shared" si="6"/>
        <v>3.720644945346498</v>
      </c>
      <c r="AJ25" s="19">
        <f t="shared" si="7"/>
        <v>4.1091290859092497</v>
      </c>
      <c r="AN25" s="1">
        <v>2039</v>
      </c>
      <c r="AP25" s="19">
        <f t="shared" si="8"/>
        <v>2.1339422293024497</v>
      </c>
      <c r="AQ25" s="19">
        <f t="shared" si="9"/>
        <v>2.7878544637906746</v>
      </c>
      <c r="AR25" s="19">
        <f t="shared" si="10"/>
        <v>3.5576632804749093</v>
      </c>
      <c r="AS25" s="19">
        <f t="shared" si="11"/>
        <v>3.9466733995656265</v>
      </c>
      <c r="AX25" s="19">
        <f t="shared" si="12"/>
        <v>2.2351907120741425</v>
      </c>
      <c r="AY25" s="19">
        <f t="shared" si="13"/>
        <v>2.8889669386717145</v>
      </c>
      <c r="AZ25" s="19">
        <f t="shared" si="14"/>
        <v>3.6586990793499328</v>
      </c>
      <c r="BA25" s="19">
        <f t="shared" si="15"/>
        <v>4.0477362640311201</v>
      </c>
      <c r="BF25" s="19">
        <f t="shared" si="16"/>
        <v>3.5137572982841614</v>
      </c>
      <c r="BG25" s="19">
        <f t="shared" si="0"/>
        <v>4.6907890505941854</v>
      </c>
      <c r="BH25" s="19">
        <f t="shared" si="1"/>
        <v>5.6858021114540245</v>
      </c>
      <c r="BI25" s="19">
        <f t="shared" si="2"/>
        <v>5.910096135239014</v>
      </c>
      <c r="BN25" s="19">
        <f t="shared" si="3"/>
        <v>1.9851036282204082</v>
      </c>
      <c r="BO25" s="19">
        <f t="shared" si="17"/>
        <v>2.3893910617593694</v>
      </c>
      <c r="BP25" s="19">
        <f t="shared" si="18"/>
        <v>3.0685900302305589</v>
      </c>
      <c r="BQ25" s="19">
        <f t="shared" si="19"/>
        <v>3.1818692951474534</v>
      </c>
      <c r="BV25" s="19">
        <f t="shared" si="4"/>
        <v>4.5065725668911822</v>
      </c>
      <c r="BW25" s="19">
        <f t="shared" si="23"/>
        <v>5.0736823911554598</v>
      </c>
      <c r="BX25" s="19">
        <f t="shared" si="5"/>
        <v>6.691126590197638</v>
      </c>
      <c r="BY25" s="19">
        <f t="shared" si="24"/>
        <v>6.9286669533451724</v>
      </c>
    </row>
    <row r="26" spans="1:77" s="19" customFormat="1">
      <c r="A26" s="39" t="s">
        <v>0</v>
      </c>
      <c r="B26" s="89" t="s">
        <v>3</v>
      </c>
      <c r="C26" s="89"/>
      <c r="D26" s="89" t="s">
        <v>5</v>
      </c>
      <c r="E26" s="89"/>
      <c r="F26" s="89" t="s">
        <v>6</v>
      </c>
      <c r="G26" s="89"/>
      <c r="H26" s="89" t="s">
        <v>7</v>
      </c>
      <c r="I26" s="89"/>
      <c r="J26" s="89"/>
      <c r="K26" s="89"/>
      <c r="L26" s="89" t="s">
        <v>8</v>
      </c>
      <c r="M26" s="89"/>
      <c r="N26" s="89"/>
      <c r="O26" s="89"/>
      <c r="P26" s="89" t="s">
        <v>9</v>
      </c>
      <c r="Q26" s="89"/>
      <c r="R26" s="89"/>
      <c r="S26" s="89"/>
      <c r="Z26" s="78">
        <v>2039</v>
      </c>
      <c r="AA26" s="19">
        <f t="shared" si="20"/>
        <v>1.3765591489066433</v>
      </c>
      <c r="AB26" s="77"/>
      <c r="AE26" s="1">
        <v>2040</v>
      </c>
      <c r="AG26" s="19">
        <f t="shared" si="21"/>
        <v>2.3159769621622246</v>
      </c>
      <c r="AH26" s="19">
        <f t="shared" si="22"/>
        <v>2.9977258908849063</v>
      </c>
      <c r="AI26" s="19">
        <f>AI25+$AD$8</f>
        <v>3.7846550048696797</v>
      </c>
      <c r="AJ26" s="19">
        <f t="shared" si="7"/>
        <v>4.1885422796285381</v>
      </c>
      <c r="AN26" s="1">
        <v>2040</v>
      </c>
      <c r="AP26" s="19">
        <f t="shared" si="8"/>
        <v>2.1656541839288881</v>
      </c>
      <c r="AQ26" s="19">
        <f t="shared" si="9"/>
        <v>2.8415662383872795</v>
      </c>
      <c r="AR26" s="19">
        <f t="shared" si="10"/>
        <v>3.6173989458955083</v>
      </c>
      <c r="AS26" s="19">
        <f t="shared" si="11"/>
        <v>4.0217643829525169</v>
      </c>
      <c r="AX26" s="19">
        <f t="shared" si="12"/>
        <v>2.2722437137213363</v>
      </c>
      <c r="AY26" s="19">
        <f t="shared" si="13"/>
        <v>2.9480321246427703</v>
      </c>
      <c r="AZ26" s="19">
        <f t="shared" si="14"/>
        <v>3.7237951266909843</v>
      </c>
      <c r="BA26" s="19">
        <f t="shared" si="15"/>
        <v>4.128185168830238</v>
      </c>
      <c r="BF26" s="19">
        <f t="shared" si="16"/>
        <v>3.4384812755184342</v>
      </c>
      <c r="BG26" s="19">
        <f t="shared" si="0"/>
        <v>4.5769873957042311</v>
      </c>
      <c r="BH26" s="19">
        <f t="shared" si="1"/>
        <v>5.568717443992516</v>
      </c>
      <c r="BI26" s="19">
        <f t="shared" si="2"/>
        <v>5.7878905738541997</v>
      </c>
      <c r="BN26" s="19">
        <f t="shared" si="3"/>
        <v>1.9656598485012977</v>
      </c>
      <c r="BO26" s="19">
        <f t="shared" si="17"/>
        <v>2.3697055597500696</v>
      </c>
      <c r="BP26" s="19">
        <f t="shared" si="18"/>
        <v>3.0461112520590525</v>
      </c>
      <c r="BQ26" s="19">
        <f t="shared" si="19"/>
        <v>3.1579871094043286</v>
      </c>
      <c r="BV26" s="19">
        <f t="shared" si="4"/>
        <v>4.447004012429157</v>
      </c>
      <c r="BW26" s="19">
        <f t="shared" si="23"/>
        <v>5.0013960657762029</v>
      </c>
      <c r="BX26" s="19">
        <f t="shared" si="5"/>
        <v>6.6211944359667747</v>
      </c>
      <c r="BY26" s="19">
        <f t="shared" si="24"/>
        <v>6.8546920063993895</v>
      </c>
    </row>
    <row r="27" spans="1:77" s="43" customFormat="1" ht="24">
      <c r="A27" s="40"/>
      <c r="B27" s="41" t="s">
        <v>4</v>
      </c>
      <c r="C27" s="42" t="s">
        <v>2</v>
      </c>
      <c r="D27" s="41" t="s">
        <v>4</v>
      </c>
      <c r="E27" s="42" t="s">
        <v>2</v>
      </c>
      <c r="F27" s="41" t="s">
        <v>4</v>
      </c>
      <c r="G27" s="42" t="s">
        <v>2</v>
      </c>
      <c r="H27" s="41" t="s">
        <v>46</v>
      </c>
      <c r="I27" s="41" t="s">
        <v>45</v>
      </c>
      <c r="J27" s="41" t="s">
        <v>4</v>
      </c>
      <c r="K27" s="42" t="s">
        <v>2</v>
      </c>
      <c r="L27" s="41" t="s">
        <v>44</v>
      </c>
      <c r="M27" s="41" t="s">
        <v>45</v>
      </c>
      <c r="N27" s="41" t="s">
        <v>4</v>
      </c>
      <c r="O27" s="42" t="s">
        <v>2</v>
      </c>
      <c r="P27" s="41" t="s">
        <v>44</v>
      </c>
      <c r="Q27" s="41" t="s">
        <v>45</v>
      </c>
      <c r="R27" s="41" t="s">
        <v>4</v>
      </c>
      <c r="S27" s="42" t="s">
        <v>2</v>
      </c>
      <c r="Z27" s="78">
        <v>2040</v>
      </c>
      <c r="AA27" s="19">
        <f t="shared" si="20"/>
        <v>1.3670063835165096</v>
      </c>
      <c r="AB27" s="79"/>
      <c r="AE27" s="1">
        <v>2041</v>
      </c>
      <c r="AF27" s="19"/>
      <c r="AG27" s="19">
        <f t="shared" si="21"/>
        <v>2.3536566389653291</v>
      </c>
      <c r="AH27" s="19">
        <f t="shared" si="22"/>
        <v>3.0568217002317484</v>
      </c>
      <c r="AI27" s="19">
        <f>AI26+$AD$8</f>
        <v>3.8486650643928613</v>
      </c>
      <c r="AJ27" s="19">
        <f t="shared" si="7"/>
        <v>4.2679554733478264</v>
      </c>
      <c r="AK27" s="19"/>
      <c r="AL27" s="19"/>
      <c r="AN27" s="1">
        <v>2041</v>
      </c>
      <c r="AP27" s="19">
        <f t="shared" si="8"/>
        <v>2.1973661385553265</v>
      </c>
      <c r="AQ27" s="19">
        <f t="shared" si="9"/>
        <v>2.8952780129838844</v>
      </c>
      <c r="AR27" s="19">
        <f t="shared" si="10"/>
        <v>3.6771346113161072</v>
      </c>
      <c r="AS27" s="19">
        <f t="shared" si="11"/>
        <v>4.0968553663394074</v>
      </c>
      <c r="AX27" s="19">
        <f>AX26+$AV$6</f>
        <v>2.30929671536853</v>
      </c>
      <c r="AY27" s="19">
        <f>AY26+$AV$7</f>
        <v>3.0070973106138261</v>
      </c>
      <c r="AZ27" s="19">
        <f>AZ26+$AV$8</f>
        <v>3.7888911740320359</v>
      </c>
      <c r="BA27" s="19">
        <f>BA26+$AV$9</f>
        <v>4.2086340736293559</v>
      </c>
      <c r="BB27" s="19"/>
      <c r="BC27" s="19"/>
      <c r="BF27" s="19">
        <f>BF26+$BD$6</f>
        <v>3.363205252752707</v>
      </c>
      <c r="BG27" s="19">
        <f t="shared" si="0"/>
        <v>4.4631857408142768</v>
      </c>
      <c r="BH27" s="19">
        <f t="shared" si="1"/>
        <v>5.4516327765310075</v>
      </c>
      <c r="BI27" s="19">
        <f t="shared" si="2"/>
        <v>5.6656850124693854</v>
      </c>
      <c r="BN27" s="19">
        <f t="shared" si="3"/>
        <v>1.9462160687821872</v>
      </c>
      <c r="BO27" s="19">
        <f>BO26+$BL$7</f>
        <v>2.3500200577407697</v>
      </c>
      <c r="BP27" s="19">
        <f>BP26+$BL$8</f>
        <v>3.0236324738875462</v>
      </c>
      <c r="BQ27" s="19">
        <f t="shared" si="19"/>
        <v>3.1341049236612037</v>
      </c>
      <c r="BV27" s="19">
        <f t="shared" si="4"/>
        <v>4.3874354579671317</v>
      </c>
      <c r="BW27" s="19">
        <f t="shared" si="23"/>
        <v>4.9291097403969459</v>
      </c>
      <c r="BX27" s="19">
        <f t="shared" si="5"/>
        <v>6.5512622817359114</v>
      </c>
      <c r="BY27" s="19">
        <f t="shared" si="24"/>
        <v>6.7807170594536066</v>
      </c>
    </row>
    <row r="28" spans="1:77" s="19" customFormat="1">
      <c r="A28" s="19">
        <v>10</v>
      </c>
      <c r="B28" s="44"/>
      <c r="C28" s="44"/>
      <c r="Z28" s="78">
        <v>2041</v>
      </c>
      <c r="AA28" s="19">
        <f t="shared" si="20"/>
        <v>1.3574536181263759</v>
      </c>
      <c r="AB28" s="77"/>
      <c r="AE28" s="1">
        <v>2042</v>
      </c>
      <c r="AG28" s="19">
        <f t="shared" si="21"/>
        <v>2.3913363157684335</v>
      </c>
      <c r="AH28" s="19">
        <f>AH27+$AD$7</f>
        <v>3.1159175095785905</v>
      </c>
      <c r="AI28" s="19">
        <f t="shared" si="6"/>
        <v>3.9126751239160429</v>
      </c>
      <c r="AJ28" s="19">
        <f t="shared" si="7"/>
        <v>4.3473686670671148</v>
      </c>
      <c r="AN28" s="1">
        <v>2042</v>
      </c>
      <c r="AP28" s="19">
        <f t="shared" si="8"/>
        <v>2.2290780931817649</v>
      </c>
      <c r="AQ28" s="19">
        <f t="shared" si="9"/>
        <v>2.9489897875804894</v>
      </c>
      <c r="AR28" s="19">
        <f t="shared" si="10"/>
        <v>3.7368702767367061</v>
      </c>
      <c r="AS28" s="19">
        <f t="shared" si="11"/>
        <v>4.1719463497262979</v>
      </c>
      <c r="AX28" s="19">
        <f t="shared" si="12"/>
        <v>2.3463497170157237</v>
      </c>
      <c r="AY28" s="19">
        <f t="shared" si="13"/>
        <v>3.0661624965848819</v>
      </c>
      <c r="AZ28" s="19">
        <f t="shared" si="14"/>
        <v>3.8539872213730875</v>
      </c>
      <c r="BA28" s="19">
        <f t="shared" si="15"/>
        <v>4.2890829784284739</v>
      </c>
      <c r="BF28" s="19">
        <f t="shared" si="16"/>
        <v>3.2879292299869798</v>
      </c>
      <c r="BG28" s="19">
        <f t="shared" si="0"/>
        <v>4.3493840859243225</v>
      </c>
      <c r="BH28" s="19">
        <f t="shared" si="1"/>
        <v>5.3345481090694991</v>
      </c>
      <c r="BI28" s="19">
        <f t="shared" si="2"/>
        <v>5.5434794510845711</v>
      </c>
      <c r="BN28" s="19">
        <f t="shared" si="3"/>
        <v>1.9267722890630767</v>
      </c>
      <c r="BO28" s="19">
        <f t="shared" si="17"/>
        <v>2.3303345557314699</v>
      </c>
      <c r="BP28" s="19">
        <f t="shared" si="18"/>
        <v>3.0011536957160398</v>
      </c>
      <c r="BQ28" s="19">
        <f t="shared" si="19"/>
        <v>3.1102227379180789</v>
      </c>
      <c r="BV28" s="19">
        <f t="shared" si="4"/>
        <v>4.3278669035051065</v>
      </c>
      <c r="BW28" s="19">
        <f t="shared" si="23"/>
        <v>4.856823415017689</v>
      </c>
      <c r="BX28" s="19">
        <f t="shared" si="5"/>
        <v>6.4813301275050481</v>
      </c>
      <c r="BY28" s="19">
        <f t="shared" si="24"/>
        <v>6.7067421125078237</v>
      </c>
    </row>
    <row r="29" spans="1:77" s="19" customFormat="1">
      <c r="A29" s="19">
        <v>25</v>
      </c>
      <c r="Z29" s="78">
        <v>2042</v>
      </c>
      <c r="AA29" s="19">
        <f t="shared" si="20"/>
        <v>1.3479008527362422</v>
      </c>
      <c r="AB29" s="77"/>
      <c r="AE29" s="1">
        <v>2043</v>
      </c>
      <c r="AG29" s="19">
        <f t="shared" si="21"/>
        <v>2.429015992571538</v>
      </c>
      <c r="AH29" s="19">
        <f t="shared" si="22"/>
        <v>3.1750133189254326</v>
      </c>
      <c r="AI29" s="19">
        <f t="shared" si="6"/>
        <v>3.9766851834392245</v>
      </c>
      <c r="AJ29" s="19">
        <f t="shared" si="7"/>
        <v>4.4267818607864031</v>
      </c>
      <c r="AN29" s="1">
        <v>2043</v>
      </c>
      <c r="AP29" s="19">
        <f t="shared" si="8"/>
        <v>2.2607900478082033</v>
      </c>
      <c r="AQ29" s="19">
        <f t="shared" si="9"/>
        <v>3.0027015621770943</v>
      </c>
      <c r="AR29" s="19">
        <f t="shared" si="10"/>
        <v>3.7966059421573051</v>
      </c>
      <c r="AS29" s="19">
        <f t="shared" si="11"/>
        <v>4.2470373331131883</v>
      </c>
      <c r="AX29" s="19">
        <f t="shared" si="12"/>
        <v>2.3834027186629174</v>
      </c>
      <c r="AY29" s="19">
        <f t="shared" si="13"/>
        <v>3.1252276825559377</v>
      </c>
      <c r="AZ29" s="19">
        <f t="shared" si="14"/>
        <v>3.919083268714139</v>
      </c>
      <c r="BA29" s="19">
        <f t="shared" si="15"/>
        <v>4.3695318832275918</v>
      </c>
      <c r="BF29" s="19">
        <f t="shared" si="16"/>
        <v>3.2126532072212526</v>
      </c>
      <c r="BG29" s="19">
        <f t="shared" si="0"/>
        <v>4.2355824310343682</v>
      </c>
      <c r="BH29" s="19">
        <f t="shared" si="1"/>
        <v>5.2174634416079906</v>
      </c>
      <c r="BI29" s="19">
        <f t="shared" si="2"/>
        <v>5.4212738896997568</v>
      </c>
      <c r="BN29" s="19">
        <f t="shared" si="3"/>
        <v>1.9073285093439662</v>
      </c>
      <c r="BO29" s="19">
        <f t="shared" si="17"/>
        <v>2.31064905372217</v>
      </c>
      <c r="BP29" s="19">
        <f t="shared" si="18"/>
        <v>2.9786749175445335</v>
      </c>
      <c r="BQ29" s="19">
        <f t="shared" si="19"/>
        <v>3.0863405521749541</v>
      </c>
      <c r="BV29" s="19">
        <f t="shared" si="4"/>
        <v>4.2682983490430813</v>
      </c>
      <c r="BW29" s="19">
        <f t="shared" si="23"/>
        <v>4.7845370896384321</v>
      </c>
      <c r="BX29" s="19">
        <f t="shared" si="5"/>
        <v>6.4113979732741848</v>
      </c>
      <c r="BY29" s="19">
        <f t="shared" si="24"/>
        <v>6.6327671655620408</v>
      </c>
    </row>
    <row r="30" spans="1:77" s="19" customFormat="1">
      <c r="A30" s="19">
        <v>100</v>
      </c>
      <c r="Z30" s="78">
        <v>2043</v>
      </c>
      <c r="AA30" s="19">
        <f t="shared" si="20"/>
        <v>1.3383480873461084</v>
      </c>
      <c r="AB30" s="77"/>
      <c r="AE30" s="1">
        <v>2044</v>
      </c>
      <c r="AG30" s="19">
        <f t="shared" si="21"/>
        <v>2.4666956693746425</v>
      </c>
      <c r="AH30" s="19">
        <f t="shared" si="22"/>
        <v>3.2341091282722747</v>
      </c>
      <c r="AI30" s="19">
        <f t="shared" si="6"/>
        <v>4.0406952429624061</v>
      </c>
      <c r="AJ30" s="19">
        <f t="shared" si="7"/>
        <v>4.5061950545056915</v>
      </c>
      <c r="AN30" s="1">
        <v>2044</v>
      </c>
      <c r="AP30" s="19">
        <f>AP29+$AM$6</f>
        <v>2.2925020024346416</v>
      </c>
      <c r="AQ30" s="19">
        <f t="shared" si="9"/>
        <v>3.0564133367736992</v>
      </c>
      <c r="AR30" s="19">
        <f t="shared" si="10"/>
        <v>3.856341607577904</v>
      </c>
      <c r="AS30" s="19">
        <f t="shared" si="11"/>
        <v>4.3221283165000788</v>
      </c>
      <c r="AX30" s="19">
        <f t="shared" si="12"/>
        <v>2.4204557203101111</v>
      </c>
      <c r="AY30" s="19">
        <f t="shared" si="13"/>
        <v>3.1842928685269936</v>
      </c>
      <c r="AZ30" s="19">
        <f t="shared" si="14"/>
        <v>3.9841793160551906</v>
      </c>
      <c r="BA30" s="19">
        <f t="shared" si="15"/>
        <v>4.4499807880267097</v>
      </c>
      <c r="BF30" s="19">
        <f t="shared" si="16"/>
        <v>3.1373771844555254</v>
      </c>
      <c r="BG30" s="19">
        <f t="shared" si="0"/>
        <v>4.1217807761444138</v>
      </c>
      <c r="BH30" s="19">
        <f t="shared" si="1"/>
        <v>5.1003787741464821</v>
      </c>
      <c r="BI30" s="19">
        <f t="shared" si="2"/>
        <v>5.2990683283149425</v>
      </c>
      <c r="BN30" s="19">
        <f t="shared" si="3"/>
        <v>1.8878847296248558</v>
      </c>
      <c r="BO30" s="19">
        <f t="shared" si="17"/>
        <v>2.2909635517128701</v>
      </c>
      <c r="BP30" s="19">
        <f t="shared" si="18"/>
        <v>2.9561961393730272</v>
      </c>
      <c r="BQ30" s="19">
        <f t="shared" si="19"/>
        <v>3.0624583664318292</v>
      </c>
      <c r="BV30" s="19">
        <f t="shared" si="4"/>
        <v>4.208729794581056</v>
      </c>
      <c r="BW30" s="19">
        <f t="shared" si="23"/>
        <v>4.7122507642591751</v>
      </c>
      <c r="BX30" s="19">
        <f t="shared" si="5"/>
        <v>6.3414658190433215</v>
      </c>
      <c r="BY30" s="19">
        <f t="shared" si="24"/>
        <v>6.5587922186162579</v>
      </c>
    </row>
    <row r="31" spans="1:77" s="19" customFormat="1">
      <c r="A31" s="19">
        <v>200</v>
      </c>
      <c r="Z31" s="78">
        <v>2044</v>
      </c>
      <c r="AA31" s="19">
        <f t="shared" si="20"/>
        <v>1.3287953219559747</v>
      </c>
      <c r="AB31" s="77"/>
      <c r="AE31" s="1">
        <v>2045</v>
      </c>
      <c r="AG31" s="19">
        <f t="shared" si="21"/>
        <v>2.5043753461777469</v>
      </c>
      <c r="AH31" s="19">
        <f t="shared" si="22"/>
        <v>3.2932049376191168</v>
      </c>
      <c r="AI31" s="19">
        <f t="shared" si="6"/>
        <v>4.1047053024855877</v>
      </c>
      <c r="AJ31" s="19">
        <f t="shared" si="7"/>
        <v>4.5856082482249798</v>
      </c>
      <c r="AN31" s="1">
        <v>2045</v>
      </c>
      <c r="AP31" s="19">
        <f t="shared" si="8"/>
        <v>2.32421395706108</v>
      </c>
      <c r="AQ31" s="19">
        <f t="shared" si="9"/>
        <v>3.1101251113703041</v>
      </c>
      <c r="AR31" s="19">
        <f t="shared" si="10"/>
        <v>3.9160772729985029</v>
      </c>
      <c r="AS31" s="19">
        <f t="shared" si="11"/>
        <v>4.3972192998869692</v>
      </c>
      <c r="AX31" s="19">
        <f t="shared" si="12"/>
        <v>2.4575087219573049</v>
      </c>
      <c r="AY31" s="19">
        <f t="shared" si="13"/>
        <v>3.2433580544980494</v>
      </c>
      <c r="AZ31" s="19">
        <f t="shared" si="14"/>
        <v>4.0492753633962426</v>
      </c>
      <c r="BA31" s="19">
        <f t="shared" si="15"/>
        <v>4.5304296928258276</v>
      </c>
      <c r="BF31" s="19">
        <f t="shared" si="16"/>
        <v>3.0621011616897982</v>
      </c>
      <c r="BG31" s="19">
        <f t="shared" si="0"/>
        <v>4.0079791212544595</v>
      </c>
      <c r="BH31" s="19">
        <f t="shared" si="1"/>
        <v>4.9832941066849736</v>
      </c>
      <c r="BI31" s="19">
        <f t="shared" si="2"/>
        <v>5.1768627669301281</v>
      </c>
      <c r="BN31" s="19">
        <f t="shared" si="3"/>
        <v>1.8684409499057453</v>
      </c>
      <c r="BO31" s="19">
        <f t="shared" si="17"/>
        <v>2.2712780497035703</v>
      </c>
      <c r="BP31" s="19">
        <f t="shared" si="18"/>
        <v>2.9337173612015208</v>
      </c>
      <c r="BQ31" s="19">
        <f t="shared" si="19"/>
        <v>3.0385761806887044</v>
      </c>
      <c r="BV31" s="19">
        <f t="shared" si="4"/>
        <v>4.1491612401190308</v>
      </c>
      <c r="BW31" s="19">
        <f t="shared" si="23"/>
        <v>4.6399644388799182</v>
      </c>
      <c r="BX31" s="19">
        <f t="shared" si="5"/>
        <v>6.2715336648124582</v>
      </c>
      <c r="BY31" s="19">
        <f t="shared" si="24"/>
        <v>6.4848172716704751</v>
      </c>
    </row>
    <row r="32" spans="1:77" s="19" customFormat="1">
      <c r="A32" s="20" t="s">
        <v>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Z32" s="78">
        <v>2045</v>
      </c>
      <c r="AA32" s="19">
        <f t="shared" si="20"/>
        <v>1.319242556565841</v>
      </c>
      <c r="AB32" s="77"/>
      <c r="AE32" s="1">
        <v>2046</v>
      </c>
      <c r="AG32" s="19">
        <f t="shared" si="21"/>
        <v>2.5420550229808514</v>
      </c>
      <c r="AH32" s="19">
        <f t="shared" si="22"/>
        <v>3.3523007469659589</v>
      </c>
      <c r="AI32" s="19">
        <f t="shared" si="6"/>
        <v>4.1687153620087694</v>
      </c>
      <c r="AJ32" s="19">
        <f t="shared" si="7"/>
        <v>4.6650214419442682</v>
      </c>
      <c r="AN32" s="1">
        <v>2046</v>
      </c>
      <c r="AP32" s="19">
        <f t="shared" si="8"/>
        <v>2.3559259116875184</v>
      </c>
      <c r="AQ32" s="19">
        <f t="shared" si="9"/>
        <v>3.163836885966909</v>
      </c>
      <c r="AR32" s="19">
        <f t="shared" si="10"/>
        <v>3.9758129384191019</v>
      </c>
      <c r="AS32" s="19">
        <f t="shared" si="11"/>
        <v>4.4723102832738597</v>
      </c>
      <c r="AX32" s="19">
        <f t="shared" si="12"/>
        <v>2.4945617236044986</v>
      </c>
      <c r="AY32" s="19">
        <f t="shared" si="13"/>
        <v>3.3024232404691052</v>
      </c>
      <c r="AZ32" s="19">
        <f t="shared" si="14"/>
        <v>4.1143714107372942</v>
      </c>
      <c r="BA32" s="19">
        <f t="shared" si="15"/>
        <v>4.6108785976249456</v>
      </c>
      <c r="BF32" s="19">
        <f t="shared" si="16"/>
        <v>2.986825138924071</v>
      </c>
      <c r="BG32" s="19">
        <f t="shared" si="0"/>
        <v>3.8941774663645052</v>
      </c>
      <c r="BH32" s="19">
        <f t="shared" si="1"/>
        <v>4.8662094392234652</v>
      </c>
      <c r="BI32" s="19">
        <f t="shared" si="2"/>
        <v>5.0546572055453138</v>
      </c>
      <c r="BN32" s="19">
        <f t="shared" si="3"/>
        <v>1.8489971701866348</v>
      </c>
      <c r="BO32" s="19">
        <f t="shared" si="17"/>
        <v>2.2515925476942704</v>
      </c>
      <c r="BP32" s="19">
        <f t="shared" si="18"/>
        <v>2.9112385830300145</v>
      </c>
      <c r="BQ32" s="19">
        <f t="shared" si="19"/>
        <v>3.0146939949455795</v>
      </c>
      <c r="BV32" s="19">
        <f t="shared" si="4"/>
        <v>4.0895926856570055</v>
      </c>
      <c r="BW32" s="19">
        <f t="shared" si="23"/>
        <v>4.5676781135006612</v>
      </c>
      <c r="BX32" s="19">
        <f t="shared" si="5"/>
        <v>6.2016015105815949</v>
      </c>
      <c r="BY32" s="19">
        <f t="shared" si="24"/>
        <v>6.4108423247246922</v>
      </c>
    </row>
    <row r="33" spans="1:77" s="19" customFormat="1">
      <c r="Z33" s="78">
        <v>2046</v>
      </c>
      <c r="AA33" s="19">
        <f t="shared" si="20"/>
        <v>1.3096897911757073</v>
      </c>
      <c r="AB33" s="77"/>
      <c r="AE33" s="1">
        <v>2047</v>
      </c>
      <c r="AG33" s="19">
        <f t="shared" si="21"/>
        <v>2.5797346997839559</v>
      </c>
      <c r="AH33" s="19">
        <f t="shared" si="22"/>
        <v>3.411396556312801</v>
      </c>
      <c r="AI33" s="19">
        <f t="shared" si="6"/>
        <v>4.232725421531951</v>
      </c>
      <c r="AJ33" s="19">
        <f t="shared" si="7"/>
        <v>4.7444346356635565</v>
      </c>
      <c r="AN33" s="1">
        <v>2047</v>
      </c>
      <c r="AP33" s="19">
        <f t="shared" si="8"/>
        <v>2.3876378663139568</v>
      </c>
      <c r="AQ33" s="19">
        <f t="shared" si="9"/>
        <v>3.217548660563514</v>
      </c>
      <c r="AR33" s="19">
        <f t="shared" si="10"/>
        <v>4.0355486038397013</v>
      </c>
      <c r="AS33" s="19">
        <f>AS32+$AM$9</f>
        <v>4.5474012666607502</v>
      </c>
      <c r="AX33" s="19">
        <f t="shared" si="12"/>
        <v>2.5316147252516923</v>
      </c>
      <c r="AY33" s="19">
        <f t="shared" si="13"/>
        <v>3.361488426440161</v>
      </c>
      <c r="AZ33" s="19">
        <f t="shared" si="14"/>
        <v>4.1794674580783457</v>
      </c>
      <c r="BA33" s="19">
        <f t="shared" si="15"/>
        <v>4.6913275024240635</v>
      </c>
      <c r="BF33" s="19">
        <f t="shared" si="16"/>
        <v>2.9115491161583438</v>
      </c>
      <c r="BG33" s="19">
        <f t="shared" si="0"/>
        <v>3.7803758114745509</v>
      </c>
      <c r="BH33" s="19">
        <f t="shared" si="1"/>
        <v>4.7491247717619567</v>
      </c>
      <c r="BI33" s="19">
        <f t="shared" si="2"/>
        <v>4.9324516441604995</v>
      </c>
      <c r="BN33" s="19">
        <f t="shared" si="3"/>
        <v>1.8295533904675243</v>
      </c>
      <c r="BO33" s="19">
        <f t="shared" si="17"/>
        <v>2.2319070456849706</v>
      </c>
      <c r="BP33" s="19">
        <f t="shared" si="18"/>
        <v>2.8887598048585081</v>
      </c>
      <c r="BQ33" s="19">
        <f t="shared" si="19"/>
        <v>2.9908118092024547</v>
      </c>
      <c r="BV33" s="19">
        <f t="shared" si="4"/>
        <v>4.0300241311949803</v>
      </c>
      <c r="BW33" s="19">
        <f t="shared" si="23"/>
        <v>4.4953917881214043</v>
      </c>
      <c r="BX33" s="19">
        <f t="shared" si="5"/>
        <v>6.1316693563507316</v>
      </c>
      <c r="BY33" s="19">
        <f t="shared" si="24"/>
        <v>6.3368673777789093</v>
      </c>
    </row>
    <row r="34" spans="1:77" s="19" customFormat="1">
      <c r="Z34" s="78">
        <v>2047</v>
      </c>
      <c r="AA34" s="19">
        <f t="shared" si="20"/>
        <v>1.3001370257855736</v>
      </c>
      <c r="AB34" s="77"/>
      <c r="AE34" s="1">
        <v>2048</v>
      </c>
      <c r="AG34" s="19">
        <f>AG33+$AD$6</f>
        <v>2.6174143765870603</v>
      </c>
      <c r="AH34" s="19">
        <f t="shared" si="22"/>
        <v>3.4704923656596431</v>
      </c>
      <c r="AI34" s="19">
        <f t="shared" si="6"/>
        <v>4.2967354810551326</v>
      </c>
      <c r="AJ34" s="19">
        <f t="shared" si="7"/>
        <v>4.8238478293828448</v>
      </c>
      <c r="AN34" s="1">
        <v>2048</v>
      </c>
      <c r="AP34" s="19">
        <f t="shared" si="8"/>
        <v>2.4193498209403952</v>
      </c>
      <c r="AQ34" s="19">
        <f t="shared" si="9"/>
        <v>3.2712604351601189</v>
      </c>
      <c r="AR34" s="19">
        <f t="shared" si="10"/>
        <v>4.0952842692603006</v>
      </c>
      <c r="AS34" s="19">
        <f t="shared" si="11"/>
        <v>4.6224922500476406</v>
      </c>
      <c r="AX34" s="19">
        <f t="shared" si="12"/>
        <v>2.568667726898886</v>
      </c>
      <c r="AY34" s="19">
        <f t="shared" si="13"/>
        <v>3.4205536124112168</v>
      </c>
      <c r="AZ34" s="19">
        <f>AZ33+$AV$8</f>
        <v>4.2445635054193973</v>
      </c>
      <c r="BA34" s="19">
        <f>BA33+$AV$9</f>
        <v>4.7717764072231814</v>
      </c>
      <c r="BF34" s="19">
        <f t="shared" si="16"/>
        <v>2.8362730933926166</v>
      </c>
      <c r="BG34" s="19">
        <f t="shared" si="0"/>
        <v>3.6665741565845966</v>
      </c>
      <c r="BH34" s="19">
        <f t="shared" si="1"/>
        <v>4.6320401043004482</v>
      </c>
      <c r="BI34" s="19">
        <f t="shared" si="2"/>
        <v>4.8102460827756852</v>
      </c>
      <c r="BN34" s="19">
        <f t="shared" si="3"/>
        <v>1.8101096107484138</v>
      </c>
      <c r="BO34" s="19">
        <f t="shared" si="17"/>
        <v>2.2122215436756707</v>
      </c>
      <c r="BP34" s="19">
        <f t="shared" si="18"/>
        <v>2.8662810266870018</v>
      </c>
      <c r="BQ34" s="19">
        <f t="shared" si="19"/>
        <v>2.9669296234593299</v>
      </c>
      <c r="BV34" s="19">
        <f t="shared" si="4"/>
        <v>3.970455576732955</v>
      </c>
      <c r="BW34" s="19">
        <f t="shared" si="23"/>
        <v>4.4231054627421473</v>
      </c>
      <c r="BX34" s="19">
        <f t="shared" si="5"/>
        <v>6.0617372021198683</v>
      </c>
      <c r="BY34" s="19">
        <f t="shared" si="24"/>
        <v>6.2628924308331264</v>
      </c>
    </row>
    <row r="35" spans="1:77" s="19" customFormat="1">
      <c r="A35" s="19" t="s">
        <v>51</v>
      </c>
      <c r="Z35" s="78">
        <v>2048</v>
      </c>
      <c r="AA35" s="19">
        <f t="shared" si="20"/>
        <v>1.2905842603954398</v>
      </c>
      <c r="AB35" s="77"/>
      <c r="AE35" s="1">
        <v>2049</v>
      </c>
      <c r="AG35" s="19">
        <f>AG34+$AD$6</f>
        <v>2.6550940533901648</v>
      </c>
      <c r="AH35" s="19">
        <f t="shared" si="22"/>
        <v>3.5295881750064853</v>
      </c>
      <c r="AI35" s="19">
        <f>AI34+$AD$8</f>
        <v>4.3607455405783142</v>
      </c>
      <c r="AJ35" s="19">
        <f>AJ34+$AD$9</f>
        <v>4.9032610231021332</v>
      </c>
      <c r="AN35" s="1">
        <v>2049</v>
      </c>
      <c r="AP35" s="19">
        <f>AP34+$AM$6</f>
        <v>2.4510617755668336</v>
      </c>
      <c r="AQ35" s="19">
        <f>AQ34+$AM$7</f>
        <v>3.3249722097567238</v>
      </c>
      <c r="AR35" s="19">
        <f t="shared" si="10"/>
        <v>4.1550199346809</v>
      </c>
      <c r="AS35" s="19">
        <f>AS34+$AM$9</f>
        <v>4.6975832334345311</v>
      </c>
      <c r="AX35" s="19">
        <f t="shared" si="12"/>
        <v>2.6057207285460797</v>
      </c>
      <c r="AY35" s="19">
        <f>AY34+$AV$7</f>
        <v>3.4796187983822726</v>
      </c>
      <c r="AZ35" s="19">
        <f t="shared" si="14"/>
        <v>4.3096595527604489</v>
      </c>
      <c r="BA35" s="19">
        <f t="shared" si="15"/>
        <v>4.8522253120222993</v>
      </c>
      <c r="BF35" s="19">
        <f t="shared" si="16"/>
        <v>2.7609970706268894</v>
      </c>
      <c r="BG35" s="19">
        <f t="shared" si="0"/>
        <v>3.5527725016946423</v>
      </c>
      <c r="BH35" s="19">
        <f t="shared" si="1"/>
        <v>4.5149554368389397</v>
      </c>
      <c r="BI35" s="19">
        <f t="shared" si="2"/>
        <v>4.6880405213908709</v>
      </c>
      <c r="BN35" s="19">
        <f t="shared" si="3"/>
        <v>1.7906658310293033</v>
      </c>
      <c r="BO35" s="19">
        <f t="shared" si="17"/>
        <v>2.1925360416663708</v>
      </c>
      <c r="BP35" s="19">
        <f t="shared" si="18"/>
        <v>2.8438022485154955</v>
      </c>
      <c r="BQ35" s="19">
        <f t="shared" si="19"/>
        <v>2.943047437716205</v>
      </c>
      <c r="BV35" s="19">
        <f t="shared" si="4"/>
        <v>3.9108870222709298</v>
      </c>
      <c r="BW35" s="19">
        <f t="shared" si="23"/>
        <v>4.3508191373628904</v>
      </c>
      <c r="BX35" s="19">
        <f t="shared" si="5"/>
        <v>5.991805047889005</v>
      </c>
      <c r="BY35" s="19">
        <f t="shared" si="24"/>
        <v>6.1889174838873435</v>
      </c>
    </row>
    <row r="36" spans="1:77" s="19" customFormat="1">
      <c r="Z36" s="78">
        <v>2049</v>
      </c>
      <c r="AA36" s="19">
        <f t="shared" si="20"/>
        <v>1.2810314950053061</v>
      </c>
      <c r="AB36" s="77"/>
      <c r="AE36" s="1">
        <v>2050</v>
      </c>
      <c r="AG36" s="45">
        <f>C17</f>
        <v>2.692773730193271</v>
      </c>
      <c r="AH36" s="45">
        <f>C18</f>
        <v>3.5886839843533314</v>
      </c>
      <c r="AI36" s="45">
        <f>C19</f>
        <v>4.4247556001015012</v>
      </c>
      <c r="AJ36" s="45">
        <f>C20</f>
        <v>4.9826742168214224</v>
      </c>
      <c r="AN36" s="1">
        <v>2050</v>
      </c>
      <c r="AP36" s="45">
        <f>E17</f>
        <v>2.4827737301932711</v>
      </c>
      <c r="AQ36" s="45">
        <f>E18</f>
        <v>3.3786839843533314</v>
      </c>
      <c r="AR36" s="45">
        <f>E19</f>
        <v>4.2147556001015012</v>
      </c>
      <c r="AS36" s="45">
        <f>E20</f>
        <v>4.7726742168214225</v>
      </c>
      <c r="AX36" s="45">
        <f>G17</f>
        <v>2.6427737301932712</v>
      </c>
      <c r="AY36" s="45">
        <f>G18</f>
        <v>3.5386839843533315</v>
      </c>
      <c r="AZ36" s="45">
        <f>G19</f>
        <v>4.3747556001015013</v>
      </c>
      <c r="BA36" s="45">
        <f>G20</f>
        <v>4.9326742168214226</v>
      </c>
      <c r="BF36" s="45">
        <f>K17</f>
        <v>2.6857210478611626</v>
      </c>
      <c r="BG36" s="45">
        <f>K18</f>
        <v>3.4389708468046924</v>
      </c>
      <c r="BH36" s="45">
        <f>K19</f>
        <v>4.3978707693774366</v>
      </c>
      <c r="BI36" s="45">
        <f>K20</f>
        <v>4.565834960006061</v>
      </c>
      <c r="BN36" s="45">
        <f>O17</f>
        <v>1.7712220513101908</v>
      </c>
      <c r="BO36" s="45">
        <f>O18</f>
        <v>2.1728505396570705</v>
      </c>
      <c r="BP36" s="45">
        <f>O19</f>
        <v>2.8213234703439931</v>
      </c>
      <c r="BQ36" s="45">
        <f>O20</f>
        <v>2.9191652519730757</v>
      </c>
      <c r="BV36" s="45">
        <f>S17</f>
        <v>3.8513184678089067</v>
      </c>
      <c r="BW36" s="45">
        <f>S18</f>
        <v>4.2785328119836414</v>
      </c>
      <c r="BX36" s="45">
        <f>S19</f>
        <v>5.9218728936581293</v>
      </c>
      <c r="BY36" s="45">
        <f>S20</f>
        <v>6.1149425369415606</v>
      </c>
    </row>
    <row r="37" spans="1:77" s="19" customFormat="1">
      <c r="A37" s="39" t="s">
        <v>0</v>
      </c>
      <c r="B37" s="89" t="s">
        <v>3</v>
      </c>
      <c r="C37" s="89"/>
      <c r="D37" s="89" t="s">
        <v>5</v>
      </c>
      <c r="E37" s="89"/>
      <c r="F37" s="89" t="s">
        <v>6</v>
      </c>
      <c r="G37" s="89"/>
      <c r="H37" s="89" t="s">
        <v>7</v>
      </c>
      <c r="I37" s="89"/>
      <c r="J37" s="89"/>
      <c r="K37" s="89"/>
      <c r="L37" s="89" t="s">
        <v>8</v>
      </c>
      <c r="M37" s="89"/>
      <c r="N37" s="89"/>
      <c r="O37" s="89"/>
      <c r="P37" s="89" t="s">
        <v>9</v>
      </c>
      <c r="Q37" s="89"/>
      <c r="R37" s="89"/>
      <c r="S37" s="89"/>
      <c r="Z37" s="78">
        <v>2050</v>
      </c>
      <c r="AA37" s="58">
        <f>T21</f>
        <v>1.2714787296151742</v>
      </c>
      <c r="AB37" s="77"/>
    </row>
    <row r="38" spans="1:77" s="43" customFormat="1" ht="24">
      <c r="A38" s="40"/>
      <c r="B38" s="41" t="s">
        <v>4</v>
      </c>
      <c r="C38" s="42" t="s">
        <v>2</v>
      </c>
      <c r="D38" s="41" t="s">
        <v>4</v>
      </c>
      <c r="E38" s="42" t="s">
        <v>2</v>
      </c>
      <c r="F38" s="41" t="s">
        <v>4</v>
      </c>
      <c r="G38" s="42" t="s">
        <v>2</v>
      </c>
      <c r="H38" s="41" t="s">
        <v>46</v>
      </c>
      <c r="I38" s="41" t="s">
        <v>45</v>
      </c>
      <c r="J38" s="41" t="s">
        <v>4</v>
      </c>
      <c r="K38" s="42" t="s">
        <v>2</v>
      </c>
      <c r="L38" s="41" t="s">
        <v>44</v>
      </c>
      <c r="M38" s="41" t="s">
        <v>45</v>
      </c>
      <c r="N38" s="41" t="s">
        <v>4</v>
      </c>
      <c r="O38" s="42" t="s">
        <v>2</v>
      </c>
      <c r="P38" s="41" t="s">
        <v>44</v>
      </c>
      <c r="Q38" s="41" t="s">
        <v>45</v>
      </c>
      <c r="R38" s="41" t="s">
        <v>4</v>
      </c>
      <c r="S38" s="42" t="s">
        <v>2</v>
      </c>
      <c r="Z38" s="80"/>
      <c r="AA38" s="40"/>
      <c r="AB38" s="81"/>
      <c r="BB38" s="19"/>
      <c r="BC38" s="19"/>
    </row>
    <row r="39" spans="1:77" s="19" customFormat="1">
      <c r="A39" s="19">
        <v>10</v>
      </c>
      <c r="B39" s="44"/>
      <c r="C39" s="44"/>
    </row>
    <row r="40" spans="1:77" s="19" customFormat="1">
      <c r="A40" s="19">
        <v>25</v>
      </c>
    </row>
    <row r="41" spans="1:77" s="19" customFormat="1">
      <c r="A41" s="19">
        <v>100</v>
      </c>
    </row>
    <row r="42" spans="1:77" s="19" customFormat="1">
      <c r="A42" s="19">
        <v>200</v>
      </c>
    </row>
    <row r="43" spans="1:77" s="19" customFormat="1">
      <c r="A43" s="20" t="s">
        <v>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77" s="19" customFormat="1"/>
    <row r="45" spans="1:77" s="19" customFormat="1"/>
    <row r="46" spans="1:77" s="19" customFormat="1">
      <c r="A46" s="19" t="s">
        <v>52</v>
      </c>
    </row>
    <row r="47" spans="1:77" s="19" customFormat="1"/>
    <row r="48" spans="1:77" s="19" customFormat="1">
      <c r="A48" s="39" t="s">
        <v>0</v>
      </c>
      <c r="B48" s="89" t="s">
        <v>3</v>
      </c>
      <c r="C48" s="89"/>
      <c r="D48" s="89" t="s">
        <v>5</v>
      </c>
      <c r="E48" s="89"/>
      <c r="F48" s="89" t="s">
        <v>6</v>
      </c>
      <c r="G48" s="89"/>
      <c r="H48" s="89" t="s">
        <v>7</v>
      </c>
      <c r="I48" s="89"/>
      <c r="J48" s="89"/>
      <c r="K48" s="89"/>
      <c r="L48" s="89" t="s">
        <v>8</v>
      </c>
      <c r="M48" s="89"/>
      <c r="N48" s="89"/>
      <c r="O48" s="89"/>
      <c r="P48" s="89" t="s">
        <v>9</v>
      </c>
      <c r="Q48" s="89"/>
      <c r="R48" s="89"/>
      <c r="S48" s="89"/>
    </row>
    <row r="49" spans="1:19" s="43" customFormat="1" ht="24">
      <c r="A49" s="40"/>
      <c r="B49" s="41" t="s">
        <v>4</v>
      </c>
      <c r="C49" s="42" t="s">
        <v>2</v>
      </c>
      <c r="D49" s="41" t="s">
        <v>4</v>
      </c>
      <c r="E49" s="42" t="s">
        <v>2</v>
      </c>
      <c r="F49" s="41" t="s">
        <v>4</v>
      </c>
      <c r="G49" s="42" t="s">
        <v>2</v>
      </c>
      <c r="H49" s="41" t="s">
        <v>46</v>
      </c>
      <c r="I49" s="41" t="s">
        <v>45</v>
      </c>
      <c r="J49" s="41" t="s">
        <v>4</v>
      </c>
      <c r="K49" s="42" t="s">
        <v>2</v>
      </c>
      <c r="L49" s="41" t="s">
        <v>44</v>
      </c>
      <c r="M49" s="41" t="s">
        <v>45</v>
      </c>
      <c r="N49" s="41" t="s">
        <v>4</v>
      </c>
      <c r="O49" s="42" t="s">
        <v>2</v>
      </c>
      <c r="P49" s="41" t="s">
        <v>44</v>
      </c>
      <c r="Q49" s="41" t="s">
        <v>45</v>
      </c>
      <c r="R49" s="41" t="s">
        <v>4</v>
      </c>
      <c r="S49" s="42" t="s">
        <v>2</v>
      </c>
    </row>
    <row r="50" spans="1:19" s="19" customFormat="1">
      <c r="A50" s="19">
        <v>10</v>
      </c>
      <c r="B50" s="44"/>
      <c r="C50" s="44"/>
    </row>
    <row r="51" spans="1:19" s="19" customFormat="1">
      <c r="A51" s="19">
        <v>25</v>
      </c>
    </row>
    <row r="52" spans="1:19" s="19" customFormat="1">
      <c r="A52" s="19">
        <v>100</v>
      </c>
    </row>
    <row r="53" spans="1:19" s="19" customFormat="1">
      <c r="A53" s="19">
        <v>200</v>
      </c>
    </row>
    <row r="54" spans="1:19" s="19" customFormat="1">
      <c r="A54" s="20" t="s">
        <v>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s="19" customFormat="1"/>
    <row r="56" spans="1:19" s="19" customFormat="1"/>
    <row r="57" spans="1:19" s="19" customFormat="1">
      <c r="A57" s="19" t="s">
        <v>49</v>
      </c>
    </row>
    <row r="58" spans="1:19" s="19" customFormat="1"/>
    <row r="59" spans="1:19" s="19" customFormat="1">
      <c r="A59" s="39" t="s">
        <v>0</v>
      </c>
      <c r="B59" s="89" t="s">
        <v>3</v>
      </c>
      <c r="C59" s="89"/>
      <c r="D59" s="89" t="s">
        <v>5</v>
      </c>
      <c r="E59" s="89"/>
      <c r="F59" s="89" t="s">
        <v>6</v>
      </c>
      <c r="G59" s="89"/>
      <c r="H59" s="89" t="s">
        <v>7</v>
      </c>
      <c r="I59" s="89"/>
      <c r="J59" s="89"/>
      <c r="K59" s="89"/>
      <c r="L59" s="89" t="s">
        <v>8</v>
      </c>
      <c r="M59" s="89"/>
      <c r="N59" s="89"/>
      <c r="O59" s="89"/>
      <c r="P59" s="89" t="s">
        <v>9</v>
      </c>
      <c r="Q59" s="89"/>
      <c r="R59" s="89"/>
      <c r="S59" s="89"/>
    </row>
    <row r="60" spans="1:19" s="43" customFormat="1" ht="24">
      <c r="A60" s="40"/>
      <c r="B60" s="41" t="s">
        <v>4</v>
      </c>
      <c r="C60" s="42" t="s">
        <v>2</v>
      </c>
      <c r="D60" s="41" t="s">
        <v>4</v>
      </c>
      <c r="E60" s="42" t="s">
        <v>2</v>
      </c>
      <c r="F60" s="41" t="s">
        <v>4</v>
      </c>
      <c r="G60" s="42" t="s">
        <v>2</v>
      </c>
      <c r="H60" s="41" t="s">
        <v>46</v>
      </c>
      <c r="I60" s="41" t="s">
        <v>45</v>
      </c>
      <c r="J60" s="41" t="s">
        <v>4</v>
      </c>
      <c r="K60" s="42" t="s">
        <v>2</v>
      </c>
      <c r="L60" s="41" t="s">
        <v>44</v>
      </c>
      <c r="M60" s="41" t="s">
        <v>45</v>
      </c>
      <c r="N60" s="41" t="s">
        <v>4</v>
      </c>
      <c r="O60" s="42" t="s">
        <v>2</v>
      </c>
      <c r="P60" s="41" t="s">
        <v>44</v>
      </c>
      <c r="Q60" s="41" t="s">
        <v>45</v>
      </c>
      <c r="R60" s="41" t="s">
        <v>4</v>
      </c>
      <c r="S60" s="42" t="s">
        <v>2</v>
      </c>
    </row>
    <row r="61" spans="1:19" s="19" customFormat="1">
      <c r="A61" s="19">
        <v>10</v>
      </c>
      <c r="B61" s="44"/>
      <c r="C61" s="44"/>
    </row>
    <row r="62" spans="1:19" s="19" customFormat="1">
      <c r="A62" s="19">
        <v>25</v>
      </c>
    </row>
    <row r="63" spans="1:19" s="19" customFormat="1">
      <c r="A63" s="19">
        <v>100</v>
      </c>
    </row>
    <row r="64" spans="1:19" s="19" customFormat="1">
      <c r="A64" s="19">
        <v>200</v>
      </c>
    </row>
    <row r="65" spans="1:19" s="19" customFormat="1">
      <c r="A65" s="20" t="s">
        <v>1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s="19" customFormat="1"/>
    <row r="67" spans="1:19" s="19" customFormat="1"/>
    <row r="68" spans="1:19" s="19" customFormat="1">
      <c r="A68" s="19" t="s">
        <v>50</v>
      </c>
    </row>
    <row r="69" spans="1:19" s="19" customFormat="1"/>
    <row r="70" spans="1:19" s="19" customFormat="1">
      <c r="A70" s="39" t="s">
        <v>0</v>
      </c>
      <c r="B70" s="89" t="s">
        <v>3</v>
      </c>
      <c r="C70" s="89"/>
      <c r="D70" s="89" t="s">
        <v>5</v>
      </c>
      <c r="E70" s="89"/>
      <c r="F70" s="89" t="s">
        <v>6</v>
      </c>
      <c r="G70" s="89"/>
      <c r="H70" s="89" t="s">
        <v>7</v>
      </c>
      <c r="I70" s="89"/>
      <c r="J70" s="89"/>
      <c r="K70" s="89"/>
      <c r="L70" s="89" t="s">
        <v>8</v>
      </c>
      <c r="M70" s="89"/>
      <c r="N70" s="89"/>
      <c r="O70" s="89"/>
      <c r="P70" s="89" t="s">
        <v>9</v>
      </c>
      <c r="Q70" s="89"/>
      <c r="R70" s="89"/>
      <c r="S70" s="89"/>
    </row>
    <row r="71" spans="1:19" s="43" customFormat="1" ht="24">
      <c r="A71" s="40"/>
      <c r="B71" s="41" t="s">
        <v>4</v>
      </c>
      <c r="C71" s="42" t="s">
        <v>2</v>
      </c>
      <c r="D71" s="41" t="s">
        <v>4</v>
      </c>
      <c r="E71" s="42" t="s">
        <v>2</v>
      </c>
      <c r="F71" s="41" t="s">
        <v>4</v>
      </c>
      <c r="G71" s="42" t="s">
        <v>2</v>
      </c>
      <c r="H71" s="41" t="s">
        <v>46</v>
      </c>
      <c r="I71" s="41" t="s">
        <v>45</v>
      </c>
      <c r="J71" s="41" t="s">
        <v>4</v>
      </c>
      <c r="K71" s="42" t="s">
        <v>2</v>
      </c>
      <c r="L71" s="41" t="s">
        <v>44</v>
      </c>
      <c r="M71" s="41" t="s">
        <v>45</v>
      </c>
      <c r="N71" s="41" t="s">
        <v>4</v>
      </c>
      <c r="O71" s="42" t="s">
        <v>2</v>
      </c>
      <c r="P71" s="41" t="s">
        <v>44</v>
      </c>
      <c r="Q71" s="41" t="s">
        <v>45</v>
      </c>
      <c r="R71" s="41" t="s">
        <v>4</v>
      </c>
      <c r="S71" s="42" t="s">
        <v>2</v>
      </c>
    </row>
    <row r="72" spans="1:19" s="19" customFormat="1">
      <c r="A72" s="19">
        <v>10</v>
      </c>
      <c r="B72" s="44"/>
      <c r="C72" s="44"/>
    </row>
    <row r="73" spans="1:19" s="19" customFormat="1">
      <c r="A73" s="19">
        <v>25</v>
      </c>
    </row>
    <row r="74" spans="1:19" s="19" customFormat="1">
      <c r="A74" s="19">
        <v>100</v>
      </c>
    </row>
    <row r="75" spans="1:19" s="19" customFormat="1">
      <c r="A75" s="19">
        <v>200</v>
      </c>
    </row>
    <row r="76" spans="1:19" s="19" customFormat="1">
      <c r="A76" s="20" t="s">
        <v>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s="19" customFormat="1"/>
    <row r="78" spans="1:19" s="19" customFormat="1"/>
    <row r="79" spans="1:19" s="19" customFormat="1">
      <c r="A79" s="19" t="s">
        <v>53</v>
      </c>
    </row>
    <row r="80" spans="1:19" s="19" customFormat="1"/>
    <row r="81" spans="1:19" s="19" customFormat="1">
      <c r="A81" s="39" t="s">
        <v>0</v>
      </c>
      <c r="B81" s="89" t="s">
        <v>3</v>
      </c>
      <c r="C81" s="89"/>
      <c r="D81" s="89" t="s">
        <v>5</v>
      </c>
      <c r="E81" s="89"/>
      <c r="F81" s="89" t="s">
        <v>6</v>
      </c>
      <c r="G81" s="89"/>
      <c r="H81" s="89" t="s">
        <v>7</v>
      </c>
      <c r="I81" s="89"/>
      <c r="J81" s="89"/>
      <c r="K81" s="89"/>
      <c r="L81" s="89" t="s">
        <v>8</v>
      </c>
      <c r="M81" s="89"/>
      <c r="N81" s="89"/>
      <c r="O81" s="89"/>
      <c r="P81" s="89" t="s">
        <v>9</v>
      </c>
      <c r="Q81" s="89"/>
      <c r="R81" s="89"/>
      <c r="S81" s="89"/>
    </row>
    <row r="82" spans="1:19" s="43" customFormat="1" ht="24">
      <c r="A82" s="40"/>
      <c r="B82" s="41" t="s">
        <v>4</v>
      </c>
      <c r="C82" s="42" t="s">
        <v>2</v>
      </c>
      <c r="D82" s="41" t="s">
        <v>4</v>
      </c>
      <c r="E82" s="42" t="s">
        <v>2</v>
      </c>
      <c r="F82" s="41" t="s">
        <v>4</v>
      </c>
      <c r="G82" s="42" t="s">
        <v>2</v>
      </c>
      <c r="H82" s="41" t="s">
        <v>46</v>
      </c>
      <c r="I82" s="41" t="s">
        <v>45</v>
      </c>
      <c r="J82" s="41" t="s">
        <v>4</v>
      </c>
      <c r="K82" s="42" t="s">
        <v>2</v>
      </c>
      <c r="L82" s="41" t="s">
        <v>44</v>
      </c>
      <c r="M82" s="41" t="s">
        <v>45</v>
      </c>
      <c r="N82" s="41" t="s">
        <v>4</v>
      </c>
      <c r="O82" s="42" t="s">
        <v>2</v>
      </c>
      <c r="P82" s="41" t="s">
        <v>44</v>
      </c>
      <c r="Q82" s="41" t="s">
        <v>45</v>
      </c>
      <c r="R82" s="41" t="s">
        <v>4</v>
      </c>
      <c r="S82" s="42" t="s">
        <v>2</v>
      </c>
    </row>
    <row r="83" spans="1:19" s="19" customFormat="1">
      <c r="A83" s="19">
        <v>10</v>
      </c>
      <c r="B83" s="44"/>
      <c r="C83" s="44"/>
    </row>
    <row r="84" spans="1:19" s="19" customFormat="1">
      <c r="A84" s="19">
        <v>25</v>
      </c>
    </row>
    <row r="85" spans="1:19" s="19" customFormat="1">
      <c r="A85" s="19">
        <v>100</v>
      </c>
    </row>
    <row r="86" spans="1:19" s="19" customFormat="1">
      <c r="A86" s="19">
        <v>200</v>
      </c>
    </row>
    <row r="87" spans="1:19" s="19" customFormat="1">
      <c r="A87" s="20" t="s">
        <v>1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s="19" customFormat="1"/>
    <row r="89" spans="1:19" s="19" customFormat="1"/>
    <row r="90" spans="1:19" s="19" customFormat="1">
      <c r="A90" s="19" t="s">
        <v>54</v>
      </c>
    </row>
    <row r="91" spans="1:19" s="19" customFormat="1"/>
    <row r="92" spans="1:19" s="19" customFormat="1">
      <c r="A92" s="39" t="s">
        <v>0</v>
      </c>
      <c r="B92" s="89" t="s">
        <v>3</v>
      </c>
      <c r="C92" s="89"/>
      <c r="D92" s="89" t="s">
        <v>5</v>
      </c>
      <c r="E92" s="89"/>
      <c r="F92" s="89" t="s">
        <v>6</v>
      </c>
      <c r="G92" s="89"/>
      <c r="H92" s="89" t="s">
        <v>7</v>
      </c>
      <c r="I92" s="89"/>
      <c r="J92" s="89"/>
      <c r="K92" s="89"/>
      <c r="L92" s="89" t="s">
        <v>8</v>
      </c>
      <c r="M92" s="89"/>
      <c r="N92" s="89"/>
      <c r="O92" s="89"/>
      <c r="P92" s="89" t="s">
        <v>9</v>
      </c>
      <c r="Q92" s="89"/>
      <c r="R92" s="89"/>
      <c r="S92" s="89"/>
    </row>
    <row r="93" spans="1:19" s="43" customFormat="1" ht="24">
      <c r="A93" s="40"/>
      <c r="B93" s="41" t="s">
        <v>4</v>
      </c>
      <c r="C93" s="42" t="s">
        <v>2</v>
      </c>
      <c r="D93" s="41" t="s">
        <v>4</v>
      </c>
      <c r="E93" s="42" t="s">
        <v>2</v>
      </c>
      <c r="F93" s="41" t="s">
        <v>4</v>
      </c>
      <c r="G93" s="42" t="s">
        <v>2</v>
      </c>
      <c r="H93" s="41" t="s">
        <v>46</v>
      </c>
      <c r="I93" s="41" t="s">
        <v>45</v>
      </c>
      <c r="J93" s="41" t="s">
        <v>4</v>
      </c>
      <c r="K93" s="42" t="s">
        <v>2</v>
      </c>
      <c r="L93" s="41" t="s">
        <v>44</v>
      </c>
      <c r="M93" s="41" t="s">
        <v>45</v>
      </c>
      <c r="N93" s="41" t="s">
        <v>4</v>
      </c>
      <c r="O93" s="42" t="s">
        <v>2</v>
      </c>
      <c r="P93" s="41" t="s">
        <v>44</v>
      </c>
      <c r="Q93" s="41" t="s">
        <v>45</v>
      </c>
      <c r="R93" s="41" t="s">
        <v>4</v>
      </c>
      <c r="S93" s="42" t="s">
        <v>2</v>
      </c>
    </row>
    <row r="94" spans="1:19" s="19" customFormat="1">
      <c r="A94" s="19">
        <v>10</v>
      </c>
      <c r="B94" s="44"/>
      <c r="C94" s="44"/>
    </row>
    <row r="95" spans="1:19" s="19" customFormat="1">
      <c r="A95" s="19">
        <v>25</v>
      </c>
    </row>
    <row r="96" spans="1:19" s="19" customFormat="1">
      <c r="A96" s="19">
        <v>100</v>
      </c>
    </row>
    <row r="97" spans="1:19" s="19" customFormat="1">
      <c r="A97" s="19">
        <v>200</v>
      </c>
    </row>
    <row r="98" spans="1:19" s="19" customFormat="1">
      <c r="A98" s="20" t="s">
        <v>1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</sheetData>
  <mergeCells count="54"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92:S92"/>
    <mergeCell ref="B92:C92"/>
    <mergeCell ref="D92:E92"/>
    <mergeCell ref="F92:G92"/>
    <mergeCell ref="H92:K92"/>
    <mergeCell ref="L92:O9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H54"/>
  <sheetViews>
    <sheetView topLeftCell="A5" workbookViewId="0">
      <selection activeCell="E21" sqref="E21"/>
    </sheetView>
  </sheetViews>
  <sheetFormatPr defaultColWidth="8.81640625" defaultRowHeight="14.5"/>
  <cols>
    <col min="2" max="2" width="9.81640625" customWidth="1"/>
    <col min="3" max="3" width="16.1796875" customWidth="1"/>
  </cols>
  <sheetData>
    <row r="2" spans="1:8">
      <c r="A2" s="1" t="s">
        <v>57</v>
      </c>
      <c r="G2" s="27" t="s">
        <v>58</v>
      </c>
    </row>
    <row r="3" spans="1:8" s="1" customFormat="1"/>
    <row r="4" spans="1:8" s="1" customFormat="1">
      <c r="A4" s="2" t="s">
        <v>0</v>
      </c>
      <c r="B4" s="91" t="s">
        <v>59</v>
      </c>
      <c r="C4" s="91"/>
      <c r="D4" s="91" t="s">
        <v>60</v>
      </c>
      <c r="E4" s="91"/>
    </row>
    <row r="5" spans="1:8" s="5" customFormat="1" ht="48">
      <c r="A5" s="3"/>
      <c r="B5" s="28" t="s">
        <v>61</v>
      </c>
      <c r="C5" s="28" t="s">
        <v>62</v>
      </c>
      <c r="D5" s="28" t="s">
        <v>63</v>
      </c>
      <c r="E5" s="28" t="s">
        <v>62</v>
      </c>
    </row>
    <row r="6" spans="1:8" s="1" customFormat="1">
      <c r="A6" s="1">
        <v>2</v>
      </c>
      <c r="B6" s="29">
        <v>0.12096701075390601</v>
      </c>
      <c r="C6" s="29">
        <v>2.24E-2</v>
      </c>
      <c r="D6" s="27">
        <v>6.1105529150338699E-3</v>
      </c>
      <c r="E6" s="27">
        <v>1.1999999999999999E-3</v>
      </c>
      <c r="H6" s="30"/>
    </row>
    <row r="7" spans="1:8" s="1" customFormat="1">
      <c r="A7" s="1">
        <v>5</v>
      </c>
      <c r="B7" s="27">
        <v>0.99426736028889695</v>
      </c>
      <c r="C7" s="27">
        <v>0.16</v>
      </c>
      <c r="D7" s="27">
        <v>0.263925378359812</v>
      </c>
      <c r="E7" s="27">
        <v>5.3999999999999999E-2</v>
      </c>
      <c r="H7" s="30"/>
    </row>
    <row r="8" spans="1:8" s="1" customFormat="1">
      <c r="A8" s="1">
        <v>10</v>
      </c>
      <c r="B8" s="27">
        <v>1.3261502139480501</v>
      </c>
      <c r="C8" s="27">
        <v>0.21279999999999999</v>
      </c>
      <c r="D8" s="27">
        <v>0.40643753587555598</v>
      </c>
      <c r="E8" s="27">
        <v>0.09</v>
      </c>
      <c r="H8" s="30"/>
    </row>
    <row r="9" spans="1:8" s="1" customFormat="1">
      <c r="A9" s="1">
        <v>25</v>
      </c>
      <c r="B9" s="27">
        <v>1.81711277945107</v>
      </c>
      <c r="C9" s="27">
        <v>0.2928</v>
      </c>
      <c r="D9" s="27">
        <v>0.61930517559855403</v>
      </c>
      <c r="E9" s="27">
        <v>0.13919999999999999</v>
      </c>
    </row>
    <row r="10" spans="1:8" s="1" customFormat="1">
      <c r="A10" s="7" t="s">
        <v>1</v>
      </c>
      <c r="B10" s="31">
        <v>0.37760392417024202</v>
      </c>
      <c r="C10" s="36">
        <v>6.1168E-2</v>
      </c>
      <c r="D10" s="31">
        <v>0.104795816747218</v>
      </c>
      <c r="E10" s="36">
        <v>2.2356000000000001E-2</v>
      </c>
    </row>
    <row r="11" spans="1:8" s="1" customFormat="1">
      <c r="B11" s="32" t="s">
        <v>64</v>
      </c>
    </row>
    <row r="12" spans="1:8" s="1" customFormat="1"/>
    <row r="13" spans="1:8" s="1" customFormat="1">
      <c r="A13" s="1" t="s">
        <v>47</v>
      </c>
    </row>
    <row r="14" spans="1:8" s="1" customFormat="1"/>
    <row r="15" spans="1:8" s="1" customFormat="1">
      <c r="A15" s="2" t="s">
        <v>0</v>
      </c>
      <c r="B15" s="90" t="s">
        <v>59</v>
      </c>
      <c r="C15" s="90"/>
      <c r="D15" s="90" t="s">
        <v>60</v>
      </c>
      <c r="E15" s="90"/>
    </row>
    <row r="16" spans="1:8" s="5" customFormat="1" ht="48">
      <c r="A16" s="3"/>
      <c r="B16" s="4" t="s">
        <v>65</v>
      </c>
      <c r="C16" s="4" t="s">
        <v>62</v>
      </c>
      <c r="D16" s="4" t="s">
        <v>66</v>
      </c>
      <c r="E16" s="4" t="s">
        <v>62</v>
      </c>
    </row>
    <row r="17" spans="1:8" s="1" customFormat="1">
      <c r="A17" s="1">
        <v>2</v>
      </c>
      <c r="B17" s="6">
        <f>B6*1.5</f>
        <v>0.181450516130859</v>
      </c>
      <c r="C17" s="6">
        <f t="shared" ref="C17:E17" si="0">C6*1.5</f>
        <v>3.3599999999999998E-2</v>
      </c>
      <c r="D17" s="6">
        <f t="shared" si="0"/>
        <v>9.1658293725508048E-3</v>
      </c>
      <c r="E17" s="6">
        <f t="shared" si="0"/>
        <v>1.8E-3</v>
      </c>
      <c r="H17" s="30"/>
    </row>
    <row r="18" spans="1:8" s="1" customFormat="1">
      <c r="A18" s="1">
        <v>5</v>
      </c>
      <c r="B18" s="6">
        <f t="shared" ref="B18:E21" si="1">B7*1.5</f>
        <v>1.4914010404333453</v>
      </c>
      <c r="C18" s="6">
        <f t="shared" si="1"/>
        <v>0.24</v>
      </c>
      <c r="D18" s="6">
        <f t="shared" si="1"/>
        <v>0.395888067539718</v>
      </c>
      <c r="E18" s="6">
        <f t="shared" si="1"/>
        <v>8.1000000000000003E-2</v>
      </c>
      <c r="H18" s="30"/>
    </row>
    <row r="19" spans="1:8" s="1" customFormat="1">
      <c r="A19" s="1">
        <v>10</v>
      </c>
      <c r="B19" s="6">
        <f t="shared" si="1"/>
        <v>1.9892253209220752</v>
      </c>
      <c r="C19" s="6">
        <f t="shared" si="1"/>
        <v>0.31919999999999998</v>
      </c>
      <c r="D19" s="6">
        <f t="shared" si="1"/>
        <v>0.60965630381333402</v>
      </c>
      <c r="E19" s="6">
        <f t="shared" si="1"/>
        <v>0.13500000000000001</v>
      </c>
      <c r="H19" s="30"/>
    </row>
    <row r="20" spans="1:8" s="1" customFormat="1">
      <c r="A20" s="1">
        <v>25</v>
      </c>
      <c r="B20" s="6">
        <f t="shared" si="1"/>
        <v>2.7256691691766051</v>
      </c>
      <c r="C20" s="6">
        <f t="shared" si="1"/>
        <v>0.43920000000000003</v>
      </c>
      <c r="D20" s="6">
        <f t="shared" si="1"/>
        <v>0.92895776339783098</v>
      </c>
      <c r="E20" s="6">
        <f t="shared" si="1"/>
        <v>0.20879999999999999</v>
      </c>
    </row>
    <row r="21" spans="1:8" s="1" customFormat="1">
      <c r="A21" s="7" t="s">
        <v>1</v>
      </c>
      <c r="B21" s="33">
        <f t="shared" si="1"/>
        <v>0.56640588625536303</v>
      </c>
      <c r="C21" s="37">
        <f t="shared" si="1"/>
        <v>9.1752E-2</v>
      </c>
      <c r="D21" s="33">
        <f t="shared" si="1"/>
        <v>0.15719372512082699</v>
      </c>
      <c r="E21" s="37">
        <f t="shared" si="1"/>
        <v>3.3534000000000001E-2</v>
      </c>
    </row>
    <row r="22" spans="1:8" s="1" customFormat="1"/>
    <row r="23" spans="1:8" s="1" customFormat="1"/>
    <row r="24" spans="1:8" s="1" customFormat="1">
      <c r="A24" s="1" t="s">
        <v>48</v>
      </c>
    </row>
    <row r="25" spans="1:8" s="1" customFormat="1"/>
    <row r="26" spans="1:8" s="1" customFormat="1">
      <c r="A26" s="2" t="s">
        <v>0</v>
      </c>
      <c r="B26" s="90" t="s">
        <v>59</v>
      </c>
      <c r="C26" s="90"/>
      <c r="D26" s="90" t="s">
        <v>60</v>
      </c>
      <c r="E26" s="90"/>
    </row>
    <row r="27" spans="1:8" s="5" customFormat="1" ht="48">
      <c r="A27" s="3"/>
      <c r="B27" s="4" t="s">
        <v>65</v>
      </c>
      <c r="C27" s="4" t="s">
        <v>62</v>
      </c>
      <c r="D27" s="4" t="s">
        <v>66</v>
      </c>
      <c r="E27" s="4" t="s">
        <v>62</v>
      </c>
    </row>
    <row r="28" spans="1:8" s="1" customFormat="1">
      <c r="A28" s="1">
        <v>2</v>
      </c>
      <c r="B28" s="6"/>
      <c r="C28" s="6"/>
      <c r="H28" s="30"/>
    </row>
    <row r="29" spans="1:8" s="1" customFormat="1">
      <c r="A29" s="1">
        <v>5</v>
      </c>
      <c r="H29" s="30"/>
    </row>
    <row r="30" spans="1:8" s="1" customFormat="1">
      <c r="A30" s="1">
        <v>10</v>
      </c>
      <c r="H30" s="30"/>
    </row>
    <row r="31" spans="1:8" s="1" customFormat="1">
      <c r="A31" s="1">
        <v>25</v>
      </c>
    </row>
    <row r="32" spans="1:8" s="1" customFormat="1">
      <c r="A32" s="7" t="s">
        <v>1</v>
      </c>
      <c r="B32" s="7"/>
      <c r="C32" s="7"/>
      <c r="D32" s="7"/>
      <c r="E32" s="7"/>
    </row>
    <row r="33" spans="1:8" s="1" customFormat="1"/>
    <row r="34" spans="1:8" s="1" customFormat="1"/>
    <row r="35" spans="1:8" s="1" customFormat="1">
      <c r="A35" s="1" t="s">
        <v>51</v>
      </c>
    </row>
    <row r="36" spans="1:8" s="1" customFormat="1"/>
    <row r="37" spans="1:8" s="1" customFormat="1">
      <c r="A37" s="2" t="s">
        <v>0</v>
      </c>
      <c r="B37" s="90" t="s">
        <v>59</v>
      </c>
      <c r="C37" s="90"/>
      <c r="D37" s="90" t="s">
        <v>60</v>
      </c>
      <c r="E37" s="90"/>
    </row>
    <row r="38" spans="1:8" s="5" customFormat="1" ht="48">
      <c r="A38" s="3"/>
      <c r="B38" s="4" t="s">
        <v>65</v>
      </c>
      <c r="C38" s="4" t="s">
        <v>62</v>
      </c>
      <c r="D38" s="4" t="s">
        <v>66</v>
      </c>
      <c r="E38" s="4" t="s">
        <v>62</v>
      </c>
    </row>
    <row r="39" spans="1:8" s="1" customFormat="1">
      <c r="A39" s="1">
        <v>2</v>
      </c>
      <c r="B39" s="6"/>
      <c r="C39" s="6"/>
      <c r="H39" s="30"/>
    </row>
    <row r="40" spans="1:8" s="1" customFormat="1">
      <c r="A40" s="1">
        <v>5</v>
      </c>
      <c r="H40" s="30"/>
    </row>
    <row r="41" spans="1:8" s="1" customFormat="1">
      <c r="A41" s="1">
        <v>10</v>
      </c>
      <c r="H41" s="30"/>
    </row>
    <row r="42" spans="1:8" s="1" customFormat="1">
      <c r="A42" s="1">
        <v>25</v>
      </c>
    </row>
    <row r="43" spans="1:8" s="1" customFormat="1">
      <c r="A43" s="7" t="s">
        <v>1</v>
      </c>
      <c r="B43" s="7"/>
      <c r="C43" s="7"/>
      <c r="D43" s="7"/>
      <c r="E43" s="7"/>
    </row>
    <row r="44" spans="1:8" s="1" customFormat="1"/>
    <row r="46" spans="1:8" s="1" customFormat="1">
      <c r="A46" s="1" t="s">
        <v>52</v>
      </c>
    </row>
    <row r="47" spans="1:8" s="1" customFormat="1"/>
    <row r="48" spans="1:8" s="1" customFormat="1">
      <c r="A48" s="2" t="s">
        <v>0</v>
      </c>
      <c r="B48" s="90" t="s">
        <v>59</v>
      </c>
      <c r="C48" s="90"/>
      <c r="D48" s="90" t="s">
        <v>60</v>
      </c>
      <c r="E48" s="90"/>
    </row>
    <row r="49" spans="1:8" s="5" customFormat="1" ht="48">
      <c r="A49" s="3"/>
      <c r="B49" s="4" t="s">
        <v>65</v>
      </c>
      <c r="C49" s="4" t="s">
        <v>62</v>
      </c>
      <c r="D49" s="4" t="s">
        <v>66</v>
      </c>
      <c r="E49" s="4" t="s">
        <v>62</v>
      </c>
    </row>
    <row r="50" spans="1:8" s="1" customFormat="1">
      <c r="A50" s="1">
        <v>2</v>
      </c>
      <c r="B50" s="6"/>
      <c r="C50" s="6"/>
      <c r="H50" s="30"/>
    </row>
    <row r="51" spans="1:8" s="1" customFormat="1">
      <c r="A51" s="1">
        <v>5</v>
      </c>
      <c r="H51" s="30"/>
    </row>
    <row r="52" spans="1:8" s="1" customFormat="1">
      <c r="A52" s="1">
        <v>10</v>
      </c>
      <c r="H52" s="30"/>
    </row>
    <row r="53" spans="1:8" s="1" customFormat="1">
      <c r="A53" s="1">
        <v>25</v>
      </c>
    </row>
    <row r="54" spans="1:8" s="1" customFormat="1">
      <c r="A54" s="7" t="s">
        <v>1</v>
      </c>
      <c r="B54" s="7"/>
      <c r="C54" s="7"/>
      <c r="D54" s="7"/>
      <c r="E54" s="7"/>
    </row>
  </sheetData>
  <mergeCells count="10">
    <mergeCell ref="B37:C37"/>
    <mergeCell ref="D37:E37"/>
    <mergeCell ref="B48:C48"/>
    <mergeCell ref="D48:E48"/>
    <mergeCell ref="B4:C4"/>
    <mergeCell ref="D4:E4"/>
    <mergeCell ref="B15:C15"/>
    <mergeCell ref="D15:E15"/>
    <mergeCell ref="B26:C26"/>
    <mergeCell ref="D26:E2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>
      <selection activeCell="K11" sqref="K11"/>
    </sheetView>
  </sheetViews>
  <sheetFormatPr defaultColWidth="8.6328125" defaultRowHeight="14.5"/>
  <cols>
    <col min="1" max="1" width="17.632812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</row>
    <row r="2" spans="1:19">
      <c r="A2" s="18"/>
      <c r="B2" s="92" t="s">
        <v>40</v>
      </c>
      <c r="C2" s="93"/>
      <c r="D2" s="100" t="s">
        <v>10</v>
      </c>
      <c r="E2" s="99"/>
      <c r="F2" s="99"/>
      <c r="G2" s="99"/>
      <c r="H2" s="99"/>
      <c r="I2" s="99"/>
      <c r="J2" s="99"/>
      <c r="K2" s="101"/>
      <c r="L2" s="99" t="s">
        <v>11</v>
      </c>
      <c r="M2" s="99"/>
      <c r="N2" s="99"/>
      <c r="O2" s="99"/>
      <c r="P2" s="99"/>
      <c r="Q2" s="99"/>
      <c r="R2" s="99"/>
      <c r="S2" s="99"/>
    </row>
    <row r="3" spans="1:19">
      <c r="A3" s="18"/>
      <c r="B3" s="92"/>
      <c r="C3" s="93"/>
      <c r="D3" s="100">
        <v>2050</v>
      </c>
      <c r="E3" s="99"/>
      <c r="F3" s="99"/>
      <c r="G3" s="99"/>
      <c r="H3" s="99"/>
      <c r="I3" s="99"/>
      <c r="J3" s="99"/>
      <c r="K3" s="101"/>
      <c r="L3" s="99">
        <v>2050</v>
      </c>
      <c r="M3" s="99"/>
      <c r="N3" s="99"/>
      <c r="O3" s="99"/>
      <c r="P3" s="99"/>
      <c r="Q3" s="99"/>
      <c r="R3" s="99"/>
      <c r="S3" s="99"/>
    </row>
    <row r="4" spans="1:19" ht="29" customHeight="1">
      <c r="A4" s="18"/>
      <c r="B4" s="92"/>
      <c r="C4" s="93"/>
      <c r="D4" s="102" t="s">
        <v>55</v>
      </c>
      <c r="E4" s="103"/>
      <c r="F4" s="103"/>
      <c r="G4" s="104"/>
      <c r="H4" s="103" t="s">
        <v>56</v>
      </c>
      <c r="I4" s="103"/>
      <c r="J4" s="103"/>
      <c r="K4" s="103"/>
      <c r="L4" s="102" t="s">
        <v>55</v>
      </c>
      <c r="M4" s="103"/>
      <c r="N4" s="103"/>
      <c r="O4" s="104"/>
      <c r="P4" s="103" t="s">
        <v>56</v>
      </c>
      <c r="Q4" s="103"/>
      <c r="R4" s="103"/>
      <c r="S4" s="103"/>
    </row>
    <row r="5" spans="1:19" ht="29" customHeight="1">
      <c r="A5" s="18"/>
      <c r="B5" s="94"/>
      <c r="C5" s="95"/>
      <c r="D5" s="96" t="s">
        <v>43</v>
      </c>
      <c r="E5" s="97"/>
      <c r="F5" s="97" t="s">
        <v>42</v>
      </c>
      <c r="G5" s="98"/>
      <c r="H5" s="96" t="s">
        <v>43</v>
      </c>
      <c r="I5" s="97"/>
      <c r="J5" s="97" t="s">
        <v>42</v>
      </c>
      <c r="K5" s="98"/>
      <c r="L5" s="96" t="s">
        <v>43</v>
      </c>
      <c r="M5" s="97"/>
      <c r="N5" s="97" t="s">
        <v>42</v>
      </c>
      <c r="O5" s="98"/>
      <c r="P5" s="96" t="s">
        <v>43</v>
      </c>
      <c r="Q5" s="97"/>
      <c r="R5" s="97" t="s">
        <v>42</v>
      </c>
      <c r="S5" s="98"/>
    </row>
    <row r="6" spans="1:19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  <c r="L6" s="16" t="s">
        <v>38</v>
      </c>
      <c r="M6" s="14" t="s">
        <v>39</v>
      </c>
      <c r="N6" s="14" t="s">
        <v>38</v>
      </c>
      <c r="O6" s="14" t="s">
        <v>39</v>
      </c>
      <c r="P6" s="14" t="s">
        <v>38</v>
      </c>
      <c r="Q6" s="14" t="s">
        <v>39</v>
      </c>
      <c r="R6" s="14" t="s">
        <v>38</v>
      </c>
      <c r="S6" s="14" t="s">
        <v>39</v>
      </c>
    </row>
    <row r="7" spans="1:19">
      <c r="A7" s="8" t="s">
        <v>12</v>
      </c>
      <c r="B7" s="23">
        <v>1603.3048070738801</v>
      </c>
      <c r="C7" s="21">
        <v>0.25814778524667792</v>
      </c>
      <c r="D7" s="9"/>
      <c r="E7" s="9"/>
      <c r="F7" s="9"/>
      <c r="G7" s="9"/>
      <c r="H7" s="23">
        <v>1587.2188411565351</v>
      </c>
      <c r="I7" s="21">
        <v>0.25555778710234833</v>
      </c>
      <c r="J7" s="9"/>
      <c r="K7" s="9"/>
    </row>
    <row r="8" spans="1:19">
      <c r="A8" s="8" t="s">
        <v>13</v>
      </c>
      <c r="B8" s="23">
        <v>3829.8005734570052</v>
      </c>
      <c r="C8" s="21">
        <v>0.17845105051546273</v>
      </c>
      <c r="D8" s="9"/>
      <c r="E8" s="9"/>
      <c r="F8" s="9"/>
      <c r="G8" s="9"/>
      <c r="H8" s="23">
        <v>3526.4529750245601</v>
      </c>
      <c r="I8" s="21">
        <v>0.16431645092644309</v>
      </c>
      <c r="J8" s="9"/>
      <c r="K8" s="9"/>
    </row>
    <row r="9" spans="1:19">
      <c r="A9" s="8" t="s">
        <v>14</v>
      </c>
      <c r="B9" s="23">
        <v>13205.6620011409</v>
      </c>
      <c r="C9" s="21">
        <v>3.7089879505764709</v>
      </c>
      <c r="D9" s="9"/>
      <c r="E9" s="9"/>
      <c r="F9" s="9"/>
      <c r="G9" s="9"/>
      <c r="H9" s="23">
        <v>11334.353755286749</v>
      </c>
      <c r="I9" s="21">
        <v>3.183405837760938</v>
      </c>
      <c r="J9" s="9"/>
      <c r="K9" s="9"/>
    </row>
    <row r="10" spans="1:19">
      <c r="A10" s="8" t="s">
        <v>15</v>
      </c>
      <c r="B10" s="23">
        <v>6010.7442449739001</v>
      </c>
      <c r="C10" s="21">
        <v>2.6125131278986231</v>
      </c>
      <c r="D10" s="9"/>
      <c r="E10" s="9"/>
      <c r="F10" s="9"/>
      <c r="G10" s="9"/>
      <c r="H10" s="23">
        <v>5464.8481305130499</v>
      </c>
      <c r="I10" s="21">
        <v>2.3752445456111042</v>
      </c>
      <c r="J10" s="9"/>
      <c r="K10" s="9"/>
    </row>
    <row r="11" spans="1:19">
      <c r="A11" s="8" t="s">
        <v>16</v>
      </c>
      <c r="B11" s="23">
        <v>1168.5300437201199</v>
      </c>
      <c r="C11" s="21">
        <v>0.28295297274974618</v>
      </c>
      <c r="D11" s="9"/>
      <c r="E11" s="9"/>
      <c r="F11" s="9"/>
      <c r="G11" s="9"/>
      <c r="H11" s="23">
        <v>708.50153884382996</v>
      </c>
      <c r="I11" s="21">
        <v>0.1715596596690051</v>
      </c>
      <c r="J11" s="9"/>
      <c r="K11" s="9"/>
    </row>
    <row r="12" spans="1:19">
      <c r="A12" s="8" t="s">
        <v>17</v>
      </c>
      <c r="B12" s="23">
        <v>3687.5133320827999</v>
      </c>
      <c r="C12" s="21">
        <v>1.0654101305064128</v>
      </c>
      <c r="D12" s="9"/>
      <c r="E12" s="9"/>
      <c r="F12" s="9"/>
      <c r="G12" s="9"/>
      <c r="H12" s="23">
        <v>4020.015013713085</v>
      </c>
      <c r="I12" s="21">
        <v>1.1614777587742771</v>
      </c>
      <c r="J12" s="9"/>
      <c r="K12" s="9"/>
    </row>
    <row r="13" spans="1:19">
      <c r="A13" s="8" t="s">
        <v>18</v>
      </c>
      <c r="B13" s="23">
        <v>1774.8178368635649</v>
      </c>
      <c r="C13" s="21">
        <v>0.32590659402070726</v>
      </c>
      <c r="D13" s="9"/>
      <c r="E13" s="9"/>
      <c r="F13" s="9"/>
      <c r="G13" s="9"/>
      <c r="H13" s="23">
        <v>1819.132656877835</v>
      </c>
      <c r="I13" s="21">
        <v>0.33404404438632562</v>
      </c>
      <c r="J13" s="9"/>
      <c r="K13" s="9"/>
    </row>
    <row r="14" spans="1:19">
      <c r="A14" s="8" t="s">
        <v>19</v>
      </c>
      <c r="B14" s="23">
        <v>24797.286296990551</v>
      </c>
      <c r="C14" s="21">
        <v>3.9428557920754024</v>
      </c>
      <c r="D14" s="9"/>
      <c r="E14" s="9"/>
      <c r="F14" s="9"/>
      <c r="G14" s="9"/>
      <c r="H14" s="23">
        <v>20223.686598764249</v>
      </c>
      <c r="I14" s="21">
        <v>3.2156373438626065</v>
      </c>
      <c r="J14" s="9"/>
      <c r="K14" s="9"/>
    </row>
    <row r="15" spans="1:19">
      <c r="A15" s="8" t="s">
        <v>20</v>
      </c>
      <c r="B15" s="23">
        <v>362.29142470889548</v>
      </c>
      <c r="C15" s="21">
        <v>0.67195986601465396</v>
      </c>
      <c r="D15" s="9"/>
      <c r="E15" s="9"/>
      <c r="F15" s="9"/>
      <c r="G15" s="9"/>
      <c r="H15" s="23">
        <v>169.38076932442701</v>
      </c>
      <c r="I15" s="21">
        <v>0.31415890992218226</v>
      </c>
      <c r="J15" s="9"/>
      <c r="K15" s="9"/>
    </row>
    <row r="16" spans="1:19">
      <c r="A16" s="8" t="s">
        <v>21</v>
      </c>
      <c r="B16" s="23">
        <v>7171.5451011797504</v>
      </c>
      <c r="C16" s="21">
        <v>2.8285278812603245</v>
      </c>
      <c r="D16" s="9"/>
      <c r="E16" s="9"/>
      <c r="F16" s="9"/>
      <c r="G16" s="9"/>
      <c r="H16" s="23">
        <v>6044.06500028955</v>
      </c>
      <c r="I16" s="21">
        <v>2.3838386468010011</v>
      </c>
      <c r="J16" s="9"/>
      <c r="K16" s="9"/>
    </row>
    <row r="17" spans="1:19">
      <c r="A17" s="8" t="s">
        <v>22</v>
      </c>
      <c r="B17" s="23">
        <v>613.94015455798501</v>
      </c>
      <c r="C17" s="21">
        <v>0.41586009701869786</v>
      </c>
      <c r="D17" s="9"/>
      <c r="E17" s="9"/>
      <c r="F17" s="9"/>
      <c r="G17" s="9"/>
      <c r="H17" s="23">
        <v>483.55986399770302</v>
      </c>
      <c r="I17" s="21">
        <v>0.32754536490810426</v>
      </c>
      <c r="J17" s="9"/>
      <c r="K17" s="9"/>
    </row>
    <row r="18" spans="1:19">
      <c r="A18" s="8" t="s">
        <v>23</v>
      </c>
      <c r="B18" s="23">
        <v>25853.1855078472</v>
      </c>
      <c r="C18" s="21">
        <v>1.0373306441761616</v>
      </c>
      <c r="D18" s="9"/>
      <c r="E18" s="9"/>
      <c r="F18" s="9"/>
      <c r="G18" s="9"/>
      <c r="H18" s="23">
        <v>24103.712063665149</v>
      </c>
      <c r="I18" s="21">
        <v>0.96713494568973657</v>
      </c>
      <c r="J18" s="10"/>
      <c r="K18" s="10"/>
    </row>
    <row r="19" spans="1:19">
      <c r="A19" s="8" t="s">
        <v>24</v>
      </c>
      <c r="B19" s="23">
        <v>610.32085516309996</v>
      </c>
      <c r="C19" s="21">
        <v>9.5440759087243213E-2</v>
      </c>
      <c r="D19" s="9"/>
      <c r="E19" s="9"/>
      <c r="F19" s="9"/>
      <c r="G19" s="9"/>
      <c r="H19" s="23">
        <v>782.60628935206501</v>
      </c>
      <c r="I19" s="21">
        <v>0.1223824119564966</v>
      </c>
      <c r="J19" s="9"/>
      <c r="K19" s="9"/>
    </row>
    <row r="20" spans="1:19">
      <c r="A20" s="8" t="s">
        <v>25</v>
      </c>
      <c r="B20" s="23">
        <v>28261.116337442651</v>
      </c>
      <c r="C20" s="21">
        <v>8.012572437552711</v>
      </c>
      <c r="D20" s="9"/>
      <c r="E20" s="9"/>
      <c r="F20" s="9"/>
      <c r="G20" s="9"/>
      <c r="H20" s="23">
        <v>26810.662730010899</v>
      </c>
      <c r="I20" s="21">
        <v>7.6013408195907939</v>
      </c>
      <c r="J20" s="9"/>
      <c r="K20" s="9"/>
    </row>
    <row r="21" spans="1:19">
      <c r="A21" s="8" t="s">
        <v>26</v>
      </c>
      <c r="B21" s="23">
        <v>2367.1640435888198</v>
      </c>
      <c r="C21" s="21">
        <v>1.2591099763829032</v>
      </c>
      <c r="D21" s="9"/>
      <c r="E21" s="9"/>
      <c r="F21" s="9"/>
      <c r="G21" s="9"/>
      <c r="H21" s="23">
        <v>1574.0842727653751</v>
      </c>
      <c r="I21" s="21">
        <v>0.83726567952659303</v>
      </c>
      <c r="J21" s="9"/>
      <c r="K21" s="9"/>
    </row>
    <row r="22" spans="1:19">
      <c r="A22" s="8" t="s">
        <v>27</v>
      </c>
      <c r="B22" s="23">
        <v>1102.82700894851</v>
      </c>
      <c r="C22" s="21">
        <v>0.62887320718205919</v>
      </c>
      <c r="D22" s="9"/>
      <c r="E22" s="9"/>
      <c r="F22" s="9"/>
      <c r="G22" s="9"/>
      <c r="H22" s="23">
        <v>1214.2326249262101</v>
      </c>
      <c r="I22" s="21">
        <v>0.69240085607849666</v>
      </c>
      <c r="J22" s="9"/>
      <c r="K22" s="9"/>
    </row>
    <row r="23" spans="1:19">
      <c r="A23" s="8" t="s">
        <v>28</v>
      </c>
      <c r="B23" s="23">
        <v>2179.1890725767248</v>
      </c>
      <c r="C23" s="21">
        <v>0.28901199954380857</v>
      </c>
      <c r="D23" s="9"/>
      <c r="E23" s="9"/>
      <c r="F23" s="9"/>
      <c r="G23" s="9"/>
      <c r="H23" s="23">
        <v>1769.3181389423551</v>
      </c>
      <c r="I23" s="21">
        <v>0.23465342204576256</v>
      </c>
      <c r="J23" s="9"/>
      <c r="K23" s="9"/>
    </row>
    <row r="24" spans="1:19">
      <c r="A24" s="8" t="s">
        <v>29</v>
      </c>
      <c r="B24" s="23">
        <v>32.2830915824971</v>
      </c>
      <c r="C24" s="21">
        <v>2.1885377532426187E-2</v>
      </c>
      <c r="D24" s="9"/>
      <c r="E24" s="9"/>
      <c r="F24" s="9"/>
      <c r="G24" s="9"/>
      <c r="H24" s="23">
        <v>15.489768401886501</v>
      </c>
      <c r="I24" s="21">
        <v>1.0500835352117485E-2</v>
      </c>
      <c r="J24" s="9"/>
      <c r="K24" s="9"/>
    </row>
    <row r="25" spans="1:19">
      <c r="A25" s="8" t="s">
        <v>30</v>
      </c>
      <c r="B25" s="23">
        <v>5119.9719952622499</v>
      </c>
      <c r="C25" s="21">
        <v>5.4796764557419104</v>
      </c>
      <c r="D25" s="9"/>
      <c r="E25" s="9"/>
      <c r="F25" s="9"/>
      <c r="G25" s="9"/>
      <c r="H25" s="23">
        <v>4036.4277936406752</v>
      </c>
      <c r="I25" s="21">
        <v>4.32000768101509</v>
      </c>
      <c r="J25" s="9"/>
      <c r="K25" s="9"/>
    </row>
    <row r="26" spans="1:19">
      <c r="A26" s="8" t="s">
        <v>31</v>
      </c>
      <c r="B26" s="23">
        <v>16191.628366890451</v>
      </c>
      <c r="C26" s="21">
        <v>8.8916264882214868</v>
      </c>
      <c r="D26" s="9"/>
      <c r="E26" s="9"/>
      <c r="F26" s="9"/>
      <c r="G26" s="9"/>
      <c r="H26" s="23">
        <v>15302.549193083651</v>
      </c>
      <c r="I26" s="21">
        <v>8.4033890019837241</v>
      </c>
      <c r="J26" s="9"/>
      <c r="K26" s="9"/>
    </row>
    <row r="27" spans="1:19">
      <c r="A27" s="8" t="s">
        <v>32</v>
      </c>
      <c r="B27" s="23">
        <v>14708.24443887115</v>
      </c>
      <c r="C27" s="21">
        <v>4.0448559523376062</v>
      </c>
      <c r="D27" s="9"/>
      <c r="E27" s="9"/>
      <c r="F27" s="9"/>
      <c r="G27" s="9"/>
      <c r="H27" s="23">
        <v>12088.8306762584</v>
      </c>
      <c r="I27" s="21">
        <v>3.3245013652640991</v>
      </c>
      <c r="J27" s="9"/>
      <c r="K27" s="9"/>
    </row>
    <row r="28" spans="1:19">
      <c r="A28" s="8" t="s">
        <v>33</v>
      </c>
      <c r="B28" s="23">
        <v>2087.7296168265252</v>
      </c>
      <c r="C28" s="21">
        <v>5.6164300979724927E-2</v>
      </c>
      <c r="D28" s="9"/>
      <c r="E28" s="9"/>
      <c r="F28" s="9"/>
      <c r="G28" s="9"/>
      <c r="H28" s="23">
        <v>1320.4882164610699</v>
      </c>
      <c r="I28" s="21">
        <v>3.5523899757782751E-2</v>
      </c>
      <c r="J28" s="9"/>
      <c r="K28" s="9"/>
    </row>
    <row r="29" spans="1:19">
      <c r="A29" s="8" t="s">
        <v>34</v>
      </c>
      <c r="B29" s="23">
        <v>3.7405399332454849</v>
      </c>
      <c r="C29" s="21">
        <v>1.8126771909847975E-2</v>
      </c>
      <c r="D29" s="9"/>
      <c r="E29" s="9"/>
      <c r="F29" s="9"/>
      <c r="G29" s="9"/>
      <c r="H29" s="23">
        <v>4.1946494169978852</v>
      </c>
      <c r="I29" s="21">
        <v>2.0327400477108442E-2</v>
      </c>
      <c r="J29" s="10"/>
      <c r="K29" s="10"/>
    </row>
    <row r="30" spans="1:19">
      <c r="A30" s="8" t="s">
        <v>35</v>
      </c>
      <c r="B30" s="23">
        <v>239.03968993971799</v>
      </c>
      <c r="C30" s="21">
        <v>2.8714171929465841E-2</v>
      </c>
      <c r="D30" s="9"/>
      <c r="E30" s="9"/>
      <c r="F30" s="9"/>
      <c r="G30" s="9"/>
      <c r="H30" s="23">
        <v>220.99822025869901</v>
      </c>
      <c r="I30" s="21">
        <v>2.6546975919415513E-2</v>
      </c>
      <c r="J30" s="10"/>
      <c r="K30" s="10"/>
    </row>
    <row r="31" spans="1:19">
      <c r="A31" s="8" t="s">
        <v>36</v>
      </c>
      <c r="B31" s="23">
        <v>6255.8667323939999</v>
      </c>
      <c r="C31" s="21">
        <v>1.055656396322546</v>
      </c>
      <c r="H31" s="25">
        <v>5356.7678413168996</v>
      </c>
      <c r="I31" s="21">
        <v>0.90393649308719826</v>
      </c>
    </row>
    <row r="32" spans="1:19">
      <c r="A32" s="12" t="s">
        <v>37</v>
      </c>
      <c r="B32" s="24">
        <v>169237.74311401622</v>
      </c>
      <c r="C32" s="22">
        <v>1.0387505248665656</v>
      </c>
      <c r="D32" s="12"/>
      <c r="E32" s="12"/>
      <c r="F32" s="12"/>
      <c r="G32" s="12"/>
      <c r="H32" s="24">
        <v>149981.57762229192</v>
      </c>
      <c r="I32" s="22">
        <v>0.92055967899851143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J5:K5"/>
    <mergeCell ref="B2:C5"/>
    <mergeCell ref="D5:E5"/>
    <mergeCell ref="F5:G5"/>
    <mergeCell ref="L5:M5"/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6328125" defaultRowHeight="14.5"/>
  <cols>
    <col min="1" max="1" width="17.632812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92" t="s">
        <v>40</v>
      </c>
      <c r="C2" s="93"/>
      <c r="D2" s="100" t="s">
        <v>10</v>
      </c>
      <c r="E2" s="99"/>
      <c r="F2" s="99"/>
      <c r="G2" s="99"/>
      <c r="H2" s="99"/>
      <c r="I2" s="99"/>
      <c r="J2" s="99"/>
      <c r="K2" s="101"/>
    </row>
    <row r="3" spans="1:11">
      <c r="B3" s="92"/>
      <c r="C3" s="93"/>
      <c r="D3" s="100">
        <v>2050</v>
      </c>
      <c r="E3" s="99"/>
      <c r="F3" s="99"/>
      <c r="G3" s="99"/>
      <c r="H3" s="99"/>
      <c r="I3" s="99"/>
      <c r="J3" s="99"/>
      <c r="K3" s="101"/>
    </row>
    <row r="4" spans="1:11" ht="29" customHeight="1">
      <c r="A4" s="18"/>
      <c r="B4" s="92"/>
      <c r="C4" s="93"/>
      <c r="D4" s="102" t="s">
        <v>55</v>
      </c>
      <c r="E4" s="103"/>
      <c r="F4" s="103"/>
      <c r="G4" s="104"/>
      <c r="H4" s="103" t="s">
        <v>56</v>
      </c>
      <c r="I4" s="103"/>
      <c r="J4" s="103"/>
      <c r="K4" s="103"/>
    </row>
    <row r="5" spans="1:11" ht="29" customHeight="1">
      <c r="A5" s="18"/>
      <c r="B5" s="94"/>
      <c r="C5" s="95"/>
      <c r="D5" s="96" t="s">
        <v>43</v>
      </c>
      <c r="E5" s="97"/>
      <c r="F5" s="97" t="s">
        <v>42</v>
      </c>
      <c r="G5" s="98"/>
      <c r="H5" s="96" t="s">
        <v>43</v>
      </c>
      <c r="I5" s="97"/>
      <c r="J5" s="97" t="s">
        <v>42</v>
      </c>
      <c r="K5" s="98"/>
    </row>
    <row r="6" spans="1:11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</row>
    <row r="2" spans="1:19">
      <c r="B2" s="92" t="s">
        <v>40</v>
      </c>
      <c r="C2" s="93"/>
      <c r="D2" s="100" t="s">
        <v>10</v>
      </c>
      <c r="E2" s="99"/>
      <c r="F2" s="99"/>
      <c r="G2" s="99"/>
      <c r="H2" s="99"/>
      <c r="I2" s="99"/>
      <c r="J2" s="99"/>
      <c r="K2" s="101"/>
      <c r="L2" s="99" t="s">
        <v>11</v>
      </c>
      <c r="M2" s="99"/>
      <c r="N2" s="99"/>
      <c r="O2" s="99"/>
      <c r="P2" s="99"/>
      <c r="Q2" s="99"/>
      <c r="R2" s="99"/>
      <c r="S2" s="99"/>
    </row>
    <row r="3" spans="1:19">
      <c r="B3" s="92"/>
      <c r="C3" s="93"/>
      <c r="D3" s="100">
        <v>2050</v>
      </c>
      <c r="E3" s="99"/>
      <c r="F3" s="99"/>
      <c r="G3" s="99"/>
      <c r="H3" s="99"/>
      <c r="I3" s="99"/>
      <c r="J3" s="99"/>
      <c r="K3" s="101"/>
      <c r="L3" s="99">
        <v>2050</v>
      </c>
      <c r="M3" s="99"/>
      <c r="N3" s="99"/>
      <c r="O3" s="99"/>
      <c r="P3" s="99"/>
      <c r="Q3" s="99"/>
      <c r="R3" s="99"/>
      <c r="S3" s="99"/>
    </row>
    <row r="4" spans="1:19" ht="29" customHeight="1">
      <c r="A4" s="18"/>
      <c r="B4" s="92"/>
      <c r="C4" s="93"/>
      <c r="D4" s="102" t="s">
        <v>55</v>
      </c>
      <c r="E4" s="103"/>
      <c r="F4" s="103"/>
      <c r="G4" s="104"/>
      <c r="H4" s="103" t="s">
        <v>56</v>
      </c>
      <c r="I4" s="103"/>
      <c r="J4" s="103"/>
      <c r="K4" s="104"/>
      <c r="L4" s="102" t="s">
        <v>55</v>
      </c>
      <c r="M4" s="103"/>
      <c r="N4" s="103"/>
      <c r="O4" s="104"/>
      <c r="P4" s="103" t="s">
        <v>56</v>
      </c>
      <c r="Q4" s="103"/>
      <c r="R4" s="103"/>
      <c r="S4" s="103"/>
    </row>
    <row r="5" spans="1:19" ht="29" customHeight="1">
      <c r="A5" s="18"/>
      <c r="B5" s="94"/>
      <c r="C5" s="95"/>
      <c r="D5" s="96" t="s">
        <v>43</v>
      </c>
      <c r="E5" s="97"/>
      <c r="F5" s="97" t="s">
        <v>42</v>
      </c>
      <c r="G5" s="98"/>
      <c r="H5" s="96" t="s">
        <v>43</v>
      </c>
      <c r="I5" s="97"/>
      <c r="J5" s="97" t="s">
        <v>42</v>
      </c>
      <c r="K5" s="98"/>
      <c r="L5" s="96" t="s">
        <v>43</v>
      </c>
      <c r="M5" s="97"/>
      <c r="N5" s="97" t="s">
        <v>42</v>
      </c>
      <c r="O5" s="98"/>
      <c r="P5" s="96" t="s">
        <v>43</v>
      </c>
      <c r="Q5" s="97"/>
      <c r="R5" s="97" t="s">
        <v>42</v>
      </c>
      <c r="S5" s="98"/>
    </row>
    <row r="6" spans="1:19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  <c r="L6" s="15" t="s">
        <v>1</v>
      </c>
      <c r="M6" s="13" t="s">
        <v>39</v>
      </c>
      <c r="N6" s="13" t="s">
        <v>1</v>
      </c>
      <c r="O6" s="16" t="s">
        <v>39</v>
      </c>
      <c r="P6" s="13" t="s">
        <v>1</v>
      </c>
      <c r="Q6" s="13" t="s">
        <v>39</v>
      </c>
      <c r="R6" s="13" t="s">
        <v>1</v>
      </c>
      <c r="S6" s="16" t="s">
        <v>39</v>
      </c>
    </row>
    <row r="7" spans="1:19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9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9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9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9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9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9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9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9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9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9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9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9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9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9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9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9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9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9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9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9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9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9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9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9">
      <c r="A31" s="8" t="s">
        <v>36</v>
      </c>
    </row>
    <row r="32" spans="1:19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N5:O5"/>
    <mergeCell ref="P5:Q5"/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  <mergeCell ref="J5:K5"/>
    <mergeCell ref="L5:M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92" t="s">
        <v>40</v>
      </c>
      <c r="C2" s="93"/>
      <c r="D2" s="100" t="s">
        <v>10</v>
      </c>
      <c r="E2" s="99"/>
      <c r="F2" s="99"/>
      <c r="G2" s="99"/>
      <c r="H2" s="99"/>
      <c r="I2" s="99"/>
      <c r="J2" s="99"/>
      <c r="K2" s="101"/>
    </row>
    <row r="3" spans="1:11">
      <c r="B3" s="92"/>
      <c r="C3" s="93"/>
      <c r="D3" s="100">
        <v>2050</v>
      </c>
      <c r="E3" s="99"/>
      <c r="F3" s="99"/>
      <c r="G3" s="99"/>
      <c r="H3" s="99"/>
      <c r="I3" s="99"/>
      <c r="J3" s="99"/>
      <c r="K3" s="101"/>
    </row>
    <row r="4" spans="1:11" ht="29" customHeight="1">
      <c r="A4" s="18"/>
      <c r="B4" s="92"/>
      <c r="C4" s="93"/>
      <c r="D4" s="102" t="s">
        <v>55</v>
      </c>
      <c r="E4" s="103"/>
      <c r="F4" s="103"/>
      <c r="G4" s="104"/>
      <c r="H4" s="103" t="s">
        <v>56</v>
      </c>
      <c r="I4" s="103"/>
      <c r="J4" s="103"/>
      <c r="K4" s="104"/>
    </row>
    <row r="5" spans="1:11" ht="29" customHeight="1">
      <c r="A5" s="18"/>
      <c r="B5" s="94"/>
      <c r="C5" s="95"/>
      <c r="D5" s="96" t="s">
        <v>43</v>
      </c>
      <c r="E5" s="97"/>
      <c r="F5" s="97" t="s">
        <v>42</v>
      </c>
      <c r="G5" s="98"/>
      <c r="H5" s="96" t="s">
        <v>43</v>
      </c>
      <c r="I5" s="97"/>
      <c r="J5" s="97" t="s">
        <v>42</v>
      </c>
      <c r="K5" s="98"/>
    </row>
    <row r="6" spans="1:11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CGE</vt:lpstr>
      <vt:lpstr>Weighted Av.</vt:lpstr>
      <vt:lpstr>Projected Tem</vt:lpstr>
      <vt:lpstr>Flood (national AAL PML)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2022-11-30T10:12:22Z</dcterms:created>
  <dcterms:modified xsi:type="dcterms:W3CDTF">2023-03-13T07:46:12Z</dcterms:modified>
</cp:coreProperties>
</file>