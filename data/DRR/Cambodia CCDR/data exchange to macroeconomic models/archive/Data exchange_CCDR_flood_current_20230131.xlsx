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vbogaerts_worldbank_org/Documents/VICA 2020/0. EAP/Cambodia/1. DRM Project 2/8. Technical Assistance/CCDR- Flood/"/>
    </mc:Choice>
  </mc:AlternateContent>
  <xr:revisionPtr revIDLastSave="107" documentId="8_{EAD157EA-D401-4300-BCFB-322DC5131970}" xr6:coauthVersionLast="47" xr6:coauthVersionMax="47" xr10:uidLastSave="{A32F6DBA-6F44-4C3A-91A2-BFFA3AEF9FED}"/>
  <bookViews>
    <workbookView xWindow="1020" yWindow="200" windowWidth="17350" windowHeight="9600" tabRatio="864" xr2:uid="{EA58DB0F-896D-4CE3-BD5F-87C5A342EB24}"/>
  </bookViews>
  <sheets>
    <sheet name="Flood (national AAL PML)" sheetId="1" r:id="rId1"/>
    <sheet name="WRI data (for mock generation)" sheetId="9" r:id="rId2"/>
    <sheet name="Drought (national AAL PML)" sheetId="2" r:id="rId3"/>
    <sheet name="Flood Affected Population" sheetId="3" r:id="rId4"/>
    <sheet name="Drought Affected Population" sheetId="7" r:id="rId5"/>
    <sheet name="Flood AAL (admin 1)" sheetId="5" r:id="rId6"/>
    <sheet name="Drought AAL (admin 1)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K17" i="1"/>
  <c r="L17" i="1"/>
  <c r="M17" i="1"/>
  <c r="N17" i="1"/>
  <c r="O17" i="1"/>
  <c r="P17" i="1"/>
  <c r="Q17" i="1"/>
  <c r="R17" i="1"/>
  <c r="S17" i="1"/>
  <c r="J18" i="1"/>
  <c r="K18" i="1"/>
  <c r="L18" i="1"/>
  <c r="M18" i="1"/>
  <c r="N18" i="1"/>
  <c r="O18" i="1"/>
  <c r="P18" i="1"/>
  <c r="Q18" i="1"/>
  <c r="R18" i="1"/>
  <c r="S18" i="1"/>
  <c r="J19" i="1"/>
  <c r="K19" i="1"/>
  <c r="L19" i="1"/>
  <c r="M19" i="1"/>
  <c r="N19" i="1"/>
  <c r="O19" i="1"/>
  <c r="P19" i="1"/>
  <c r="Q19" i="1"/>
  <c r="R19" i="1"/>
  <c r="S19" i="1"/>
  <c r="J20" i="1"/>
  <c r="K20" i="1"/>
  <c r="L20" i="1"/>
  <c r="M20" i="1"/>
  <c r="N20" i="1"/>
  <c r="O20" i="1"/>
  <c r="P20" i="1"/>
  <c r="Q20" i="1"/>
  <c r="R20" i="1"/>
  <c r="S20" i="1"/>
  <c r="J21" i="1"/>
  <c r="K21" i="1"/>
  <c r="L21" i="1"/>
  <c r="M21" i="1"/>
  <c r="N21" i="1"/>
  <c r="O21" i="1"/>
  <c r="P21" i="1"/>
  <c r="Q21" i="1"/>
  <c r="R21" i="1"/>
  <c r="S21" i="1"/>
  <c r="H18" i="1"/>
  <c r="H19" i="1"/>
  <c r="H20" i="1"/>
  <c r="H17" i="1"/>
  <c r="I18" i="1"/>
  <c r="I19" i="1"/>
  <c r="I20" i="1"/>
  <c r="I17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B18" i="1"/>
  <c r="C18" i="1"/>
  <c r="B19" i="1"/>
  <c r="C19" i="1"/>
  <c r="B20" i="1"/>
  <c r="C20" i="1"/>
  <c r="B21" i="1"/>
  <c r="C21" i="1"/>
  <c r="C17" i="1"/>
  <c r="B17" i="1"/>
  <c r="H21" i="1"/>
  <c r="I21" i="1"/>
  <c r="C8" i="9"/>
  <c r="C4" i="9"/>
  <c r="C6" i="9"/>
</calcChain>
</file>

<file path=xl/sharedStrings.xml><?xml version="1.0" encoding="utf-8"?>
<sst xmlns="http://schemas.openxmlformats.org/spreadsheetml/2006/main" count="523" uniqueCount="74">
  <si>
    <t xml:space="preserve">Base year 2020 (no climate change) </t>
  </si>
  <si>
    <t>RP</t>
  </si>
  <si>
    <t>Housing</t>
  </si>
  <si>
    <t>Services Sector</t>
  </si>
  <si>
    <t xml:space="preserve">Productive Sector </t>
  </si>
  <si>
    <t>Roads</t>
  </si>
  <si>
    <t>Schools</t>
  </si>
  <si>
    <t>Health Centers</t>
  </si>
  <si>
    <t>US$ million</t>
  </si>
  <si>
    <t xml:space="preserve">% of total asset value </t>
  </si>
  <si>
    <t>km</t>
  </si>
  <si>
    <t>% of asset</t>
  </si>
  <si>
    <t>Number</t>
  </si>
  <si>
    <t>AAL</t>
  </si>
  <si>
    <t>Year 2050 (SSP585, no adaptation, no socio-economic projections)</t>
  </si>
  <si>
    <t>Year 2050 (SSP585, no adaptation, with socio-economic projections)</t>
  </si>
  <si>
    <t>Year 2050 (SSP126, no adaptation, no socio-economic projections)</t>
  </si>
  <si>
    <t>Year 2050 (SSP126,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</si>
  <si>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</si>
  <si>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</si>
  <si>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with adaptation, no socio-economic projections)</t>
  </si>
  <si>
    <t>Year 2050 (SSP126, with adaptation, with socio-economic projections)</t>
  </si>
  <si>
    <t>asset 1</t>
  </si>
  <si>
    <t>asset 2</t>
  </si>
  <si>
    <t>asset 3</t>
  </si>
  <si>
    <t>Base year</t>
  </si>
  <si>
    <t>no adaptation</t>
  </si>
  <si>
    <t>with adaptation</t>
  </si>
  <si>
    <t>SSP126</t>
  </si>
  <si>
    <t>SSP585</t>
  </si>
  <si>
    <t>no socio-economic projections</t>
  </si>
  <si>
    <t>with socio-economic projections</t>
  </si>
  <si>
    <t xml:space="preserve">Number </t>
  </si>
  <si>
    <t>%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</si>
  <si>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</si>
  <si>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</si>
  <si>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</si>
  <si>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</si>
  <si>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</si>
  <si>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</si>
  <si>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</si>
  <si>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</si>
  <si>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</si>
  <si>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</si>
  <si>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</si>
  <si>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</si>
  <si>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</si>
  <si>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</si>
  <si>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</si>
  <si>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</si>
  <si>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</si>
  <si>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</si>
  <si>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</si>
  <si>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</si>
  <si>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</si>
  <si>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</si>
  <si>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</si>
  <si>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</si>
  <si>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</si>
  <si>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</si>
  <si>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>WRI</t>
  </si>
  <si>
    <t>Annual Expected Affected GDP</t>
  </si>
  <si>
    <t>1.2G</t>
  </si>
  <si>
    <t>5.0G</t>
  </si>
  <si>
    <t>12G</t>
  </si>
  <si>
    <t>29G</t>
  </si>
  <si>
    <t>Total GDP</t>
  </si>
  <si>
    <t>28G</t>
  </si>
  <si>
    <t>94G</t>
  </si>
  <si>
    <t>210G</t>
  </si>
  <si>
    <t>510G</t>
  </si>
  <si>
    <t>% Annual Expected Affected GDP</t>
  </si>
  <si>
    <t>Estimated Flood Protection Level</t>
  </si>
  <si>
    <t>ssp 2 RCP 8.5 IPSL-CM5A-LR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</si>
</sst>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sz val="11"/>
      <color theme="1"/>
      <name val="Calibri"/>
      <family val="2"/>
      <scheme val="minor"/>
    </font>
    <font>
      <b/>
      <sz val="7"/>
      <color rgb="FF4A596A"/>
      <name val="Inherit"/>
    </font>
    <font>
      <sz val="7"/>
      <color rgb="FF4A596A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164" fontId="1" fillId="0" borderId="0" xfId="0" applyNumberFormat="1" applyFont="1"/>
    <xf numFmtId="164" fontId="1" fillId="0" borderId="3" xfId="0" applyNumberFormat="1" applyFont="1" applyBorder="1"/>
    <xf numFmtId="1" fontId="1" fillId="0" borderId="0" xfId="0" applyNumberFormat="1" applyFont="1"/>
    <xf numFmtId="1" fontId="1" fillId="0" borderId="3" xfId="0" applyNumberFormat="1" applyFont="1" applyBorder="1"/>
    <xf numFmtId="1" fontId="0" fillId="0" borderId="0" xfId="0" applyNumberFormat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0" xfId="0" applyNumberFormat="1" applyFill="1"/>
    <xf numFmtId="1" fontId="0" fillId="2" borderId="2" xfId="0" applyNumberFormat="1" applyFill="1" applyBorder="1"/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right" vertical="center" wrapText="1" indent="1"/>
    </xf>
    <xf numFmtId="0" fontId="6" fillId="3" borderId="0" xfId="0" applyFont="1" applyFill="1" applyAlignment="1">
      <alignment vertical="center" wrapText="1"/>
    </xf>
    <xf numFmtId="10" fontId="6" fillId="3" borderId="0" xfId="0" applyNumberFormat="1" applyFont="1" applyFill="1" applyAlignment="1">
      <alignment vertical="center" wrapText="1"/>
    </xf>
    <xf numFmtId="2" fontId="0" fillId="0" borderId="0" xfId="1" applyNumberFormat="1" applyFont="1"/>
    <xf numFmtId="0" fontId="1" fillId="0" borderId="0" xfId="0" applyFont="1" applyBorder="1"/>
    <xf numFmtId="1" fontId="1" fillId="0" borderId="0" xfId="0" applyNumberFormat="1" applyFont="1" applyAlignment="1">
      <alignment vertical="center"/>
    </xf>
    <xf numFmtId="1" fontId="1" fillId="0" borderId="0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7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S98"/>
  <sheetViews>
    <sheetView tabSelected="1" topLeftCell="A8" zoomScale="89" zoomScaleNormal="400" workbookViewId="0">
      <selection activeCell="A20" sqref="A20"/>
    </sheetView>
  </sheetViews>
  <sheetFormatPr defaultColWidth="8.81640625" defaultRowHeight="14.5"/>
  <cols>
    <col min="1" max="1" width="9" bestFit="1" customWidth="1"/>
    <col min="2" max="2" width="9.81640625" customWidth="1"/>
    <col min="3" max="3" width="10.453125" customWidth="1"/>
    <col min="6" max="6" width="8.7265625" customWidth="1"/>
    <col min="8" max="9" width="9" bestFit="1" customWidth="1"/>
    <col min="10" max="10" width="11.1796875" bestFit="1" customWidth="1"/>
    <col min="11" max="11" width="9" bestFit="1" customWidth="1"/>
    <col min="16" max="16" width="10.7265625" bestFit="1" customWidth="1"/>
  </cols>
  <sheetData>
    <row r="2" spans="1:19">
      <c r="A2" s="1" t="s">
        <v>0</v>
      </c>
      <c r="B2" s="1"/>
    </row>
    <row r="3" spans="1:19" s="1" customFormat="1"/>
    <row r="4" spans="1:19" s="1" customFormat="1">
      <c r="A4" s="2" t="s">
        <v>1</v>
      </c>
      <c r="B4" s="33" t="s">
        <v>2</v>
      </c>
      <c r="C4" s="33"/>
      <c r="D4" s="33" t="s">
        <v>3</v>
      </c>
      <c r="E4" s="33"/>
      <c r="F4" s="33" t="s">
        <v>4</v>
      </c>
      <c r="G4" s="33"/>
      <c r="H4" s="33" t="s">
        <v>5</v>
      </c>
      <c r="I4" s="33"/>
      <c r="J4" s="33"/>
      <c r="K4" s="33"/>
      <c r="L4" s="33" t="s">
        <v>6</v>
      </c>
      <c r="M4" s="33"/>
      <c r="N4" s="33"/>
      <c r="O4" s="33"/>
      <c r="P4" s="33" t="s">
        <v>7</v>
      </c>
      <c r="Q4" s="33"/>
      <c r="R4" s="33"/>
      <c r="S4" s="33"/>
    </row>
    <row r="5" spans="1:19" s="6" customFormat="1" ht="24">
      <c r="A5" s="3"/>
      <c r="B5" s="4" t="s">
        <v>8</v>
      </c>
      <c r="C5" s="5" t="s">
        <v>9</v>
      </c>
      <c r="D5" s="4" t="s">
        <v>8</v>
      </c>
      <c r="E5" s="5" t="s">
        <v>9</v>
      </c>
      <c r="F5" s="4" t="s">
        <v>8</v>
      </c>
      <c r="G5" s="5" t="s">
        <v>9</v>
      </c>
      <c r="H5" s="4" t="s">
        <v>10</v>
      </c>
      <c r="I5" s="4" t="s">
        <v>11</v>
      </c>
      <c r="J5" s="4" t="s">
        <v>8</v>
      </c>
      <c r="K5" s="5" t="s">
        <v>9</v>
      </c>
      <c r="L5" s="4" t="s">
        <v>12</v>
      </c>
      <c r="M5" s="4" t="s">
        <v>11</v>
      </c>
      <c r="N5" s="4" t="s">
        <v>8</v>
      </c>
      <c r="O5" s="5" t="s">
        <v>9</v>
      </c>
      <c r="P5" s="4" t="s">
        <v>12</v>
      </c>
      <c r="Q5" s="4" t="s">
        <v>11</v>
      </c>
      <c r="R5" s="4" t="s">
        <v>8</v>
      </c>
      <c r="S5" s="5" t="s">
        <v>9</v>
      </c>
    </row>
    <row r="6" spans="1:19" s="1" customFormat="1">
      <c r="A6" s="1">
        <v>10</v>
      </c>
      <c r="B6" s="31">
        <v>143.31727346571387</v>
      </c>
      <c r="C6" s="20">
        <v>2.3974696085745579</v>
      </c>
      <c r="D6" s="31">
        <v>425.7533408249555</v>
      </c>
      <c r="E6" s="20">
        <v>2.187469608574558</v>
      </c>
      <c r="F6" s="22">
        <v>596.21941255248055</v>
      </c>
      <c r="G6" s="20">
        <v>2.5574696085745581</v>
      </c>
      <c r="H6" s="24">
        <v>368.49446272914048</v>
      </c>
      <c r="I6" s="20">
        <v>2.3000715481501812</v>
      </c>
      <c r="J6" s="22">
        <v>10.488044181315697</v>
      </c>
      <c r="K6" s="20">
        <v>2.3029640837325007</v>
      </c>
      <c r="L6" s="26">
        <v>496.5</v>
      </c>
      <c r="M6" s="22">
        <v>4.340034965034965</v>
      </c>
      <c r="N6" s="22">
        <v>10.655136051103248</v>
      </c>
      <c r="O6" s="20">
        <v>1.7573453046416494</v>
      </c>
      <c r="P6" s="24">
        <v>79</v>
      </c>
      <c r="Q6" s="20">
        <v>5.341446923597025</v>
      </c>
      <c r="R6" s="22">
        <v>3.7649980046342848</v>
      </c>
      <c r="S6" s="20">
        <v>3.7994590986591232</v>
      </c>
    </row>
    <row r="7" spans="1:19" s="1" customFormat="1">
      <c r="A7" s="1">
        <v>25</v>
      </c>
      <c r="B7" s="22">
        <v>196.29287306726621</v>
      </c>
      <c r="C7" s="20">
        <v>3.2836669731310399</v>
      </c>
      <c r="D7" s="22">
        <v>598.23641766919013</v>
      </c>
      <c r="E7" s="20">
        <v>3.07366697313104</v>
      </c>
      <c r="F7" s="22">
        <v>802.81739922256077</v>
      </c>
      <c r="G7" s="20">
        <v>3.4436669731310401</v>
      </c>
      <c r="H7" s="24">
        <v>488.35440645553149</v>
      </c>
      <c r="I7" s="20">
        <v>3.048214259131961</v>
      </c>
      <c r="J7" s="22">
        <v>14.4410428575873</v>
      </c>
      <c r="K7" s="20">
        <v>3.1709632852150396</v>
      </c>
      <c r="L7" s="26">
        <v>663.5</v>
      </c>
      <c r="M7" s="22">
        <v>5.799825174825175</v>
      </c>
      <c r="N7" s="22">
        <v>12.251156786270899</v>
      </c>
      <c r="O7" s="20">
        <v>2.0205760631796577</v>
      </c>
      <c r="P7" s="24">
        <v>95</v>
      </c>
      <c r="Q7" s="20">
        <v>6.4232589587559161</v>
      </c>
      <c r="R7" s="22">
        <v>4.1006345056745896</v>
      </c>
      <c r="S7" s="20">
        <v>4.138167686591979</v>
      </c>
    </row>
    <row r="8" spans="1:19" s="1" customFormat="1">
      <c r="A8" s="1">
        <v>100</v>
      </c>
      <c r="B8" s="22">
        <v>227.90368023518448</v>
      </c>
      <c r="C8" s="20">
        <v>3.8124654051339015</v>
      </c>
      <c r="D8" s="22">
        <v>701.15793857430788</v>
      </c>
      <c r="E8" s="20">
        <v>3.6024654051339016</v>
      </c>
      <c r="F8" s="22">
        <v>926.09545868819987</v>
      </c>
      <c r="G8" s="20">
        <v>3.9724654051339017</v>
      </c>
      <c r="H8" s="24">
        <v>585.72523146058495</v>
      </c>
      <c r="I8" s="20">
        <v>3.6559842173433927</v>
      </c>
      <c r="J8" s="22">
        <v>16.716691662366149</v>
      </c>
      <c r="K8" s="20">
        <v>3.6706501070851059</v>
      </c>
      <c r="L8" s="26">
        <v>755</v>
      </c>
      <c r="M8" s="22">
        <v>6.59965034965035</v>
      </c>
      <c r="N8" s="22">
        <v>15.41148332149935</v>
      </c>
      <c r="O8" s="20">
        <v>2.5418068547135753</v>
      </c>
      <c r="P8" s="24">
        <v>117</v>
      </c>
      <c r="Q8" s="20">
        <v>7.9107505070993911</v>
      </c>
      <c r="R8" s="22">
        <v>5.2437550090097496</v>
      </c>
      <c r="S8" s="20">
        <v>5.2917511923241296</v>
      </c>
    </row>
    <row r="9" spans="1:19" s="1" customFormat="1">
      <c r="A9" s="1">
        <v>200</v>
      </c>
      <c r="B9" s="22">
        <v>265.75027639123101</v>
      </c>
      <c r="C9" s="20">
        <v>4.4455786501596188</v>
      </c>
      <c r="D9" s="22">
        <v>824.38254390534041</v>
      </c>
      <c r="E9" s="20">
        <v>4.2355786501596189</v>
      </c>
      <c r="F9" s="22">
        <v>1073.6922886809591</v>
      </c>
      <c r="G9" s="20">
        <v>4.605578650159619</v>
      </c>
      <c r="H9" s="24">
        <v>605.66124240230499</v>
      </c>
      <c r="I9" s="20">
        <v>3.7804209625011236</v>
      </c>
      <c r="J9" s="22">
        <v>17.308957837127249</v>
      </c>
      <c r="K9" s="20">
        <v>3.800699876604035</v>
      </c>
      <c r="L9" s="26">
        <v>778</v>
      </c>
      <c r="M9" s="22">
        <v>6.8006993006993008</v>
      </c>
      <c r="N9" s="22">
        <v>15.740920714712647</v>
      </c>
      <c r="O9" s="20">
        <v>2.5961407696781649</v>
      </c>
      <c r="P9" s="24">
        <v>120.5</v>
      </c>
      <c r="Q9" s="20">
        <v>8.1473968897903983</v>
      </c>
      <c r="R9" s="22">
        <v>5.4123270160493</v>
      </c>
      <c r="S9" s="20">
        <v>5.4618661419568495</v>
      </c>
    </row>
    <row r="10" spans="1:19" s="1" customFormat="1">
      <c r="A10" s="8" t="s">
        <v>13</v>
      </c>
      <c r="B10" s="23">
        <v>90.086927453145506</v>
      </c>
      <c r="C10" s="21">
        <v>1.5070107425009516</v>
      </c>
      <c r="D10" s="23">
        <v>252.44083599656318</v>
      </c>
      <c r="E10" s="21">
        <v>1.2970107425009516</v>
      </c>
      <c r="F10" s="23">
        <v>388.62794782791502</v>
      </c>
      <c r="G10" s="21">
        <v>1.6670107425009515</v>
      </c>
      <c r="H10" s="25">
        <v>262.24892613155453</v>
      </c>
      <c r="I10" s="21">
        <v>1.6369073474287157</v>
      </c>
      <c r="J10" s="23">
        <v>7.6272752410217493</v>
      </c>
      <c r="K10" s="21">
        <v>1.6747966191930854</v>
      </c>
      <c r="L10" s="25">
        <v>355.81183333332751</v>
      </c>
      <c r="M10" s="23">
        <v>3.1102432983682475</v>
      </c>
      <c r="N10" s="23">
        <v>6.5066182093400009</v>
      </c>
      <c r="O10" s="21">
        <v>1.0731327037438976</v>
      </c>
      <c r="P10" s="25">
        <v>53.117333333333001</v>
      </c>
      <c r="Q10" s="21">
        <v>3.5914356547216362</v>
      </c>
      <c r="R10" s="23">
        <v>2.1989037777307403</v>
      </c>
      <c r="S10" s="21">
        <v>2.2190303833073375</v>
      </c>
    </row>
    <row r="11" spans="1:19" s="1" customFormat="1"/>
    <row r="12" spans="1:19" s="1" customFormat="1"/>
    <row r="13" spans="1:19" s="1" customFormat="1">
      <c r="A13" s="1" t="s">
        <v>14</v>
      </c>
    </row>
    <row r="14" spans="1:19" s="1" customFormat="1"/>
    <row r="15" spans="1:19" s="1" customFormat="1">
      <c r="A15" s="2" t="s">
        <v>1</v>
      </c>
      <c r="B15" s="33" t="s">
        <v>2</v>
      </c>
      <c r="C15" s="33"/>
      <c r="D15" s="33" t="s">
        <v>3</v>
      </c>
      <c r="E15" s="33"/>
      <c r="F15" s="33" t="s">
        <v>4</v>
      </c>
      <c r="G15" s="33"/>
      <c r="H15" s="33" t="s">
        <v>5</v>
      </c>
      <c r="I15" s="33"/>
      <c r="J15" s="33"/>
      <c r="K15" s="33"/>
      <c r="L15" s="33" t="s">
        <v>6</v>
      </c>
      <c r="M15" s="33"/>
      <c r="N15" s="33"/>
      <c r="O15" s="33"/>
      <c r="P15" s="33" t="s">
        <v>7</v>
      </c>
      <c r="Q15" s="33"/>
      <c r="R15" s="33"/>
      <c r="S15" s="33"/>
    </row>
    <row r="16" spans="1:19" s="6" customFormat="1" ht="24">
      <c r="A16" s="3"/>
      <c r="B16" s="4" t="s">
        <v>8</v>
      </c>
      <c r="C16" s="5" t="s">
        <v>9</v>
      </c>
      <c r="D16" s="4" t="s">
        <v>8</v>
      </c>
      <c r="E16" s="5" t="s">
        <v>9</v>
      </c>
      <c r="F16" s="4" t="s">
        <v>8</v>
      </c>
      <c r="G16" s="5" t="s">
        <v>9</v>
      </c>
      <c r="H16" s="4" t="s">
        <v>10</v>
      </c>
      <c r="I16" s="4" t="s">
        <v>11</v>
      </c>
      <c r="J16" s="4" t="s">
        <v>8</v>
      </c>
      <c r="K16" s="5" t="s">
        <v>9</v>
      </c>
      <c r="L16" s="4" t="s">
        <v>12</v>
      </c>
      <c r="M16" s="4" t="s">
        <v>11</v>
      </c>
      <c r="N16" s="4" t="s">
        <v>8</v>
      </c>
      <c r="O16" s="5" t="s">
        <v>9</v>
      </c>
      <c r="P16" s="4" t="s">
        <v>12</v>
      </c>
      <c r="Q16" s="4" t="s">
        <v>11</v>
      </c>
      <c r="R16" s="4" t="s">
        <v>8</v>
      </c>
      <c r="S16" s="5" t="s">
        <v>9</v>
      </c>
    </row>
    <row r="17" spans="1:19" s="1" customFormat="1">
      <c r="A17" s="1">
        <v>10</v>
      </c>
      <c r="B17" s="54">
        <f>B6*'WRI data (for mock generation)'!$C$8</f>
        <v>554.77654244792461</v>
      </c>
      <c r="C17" s="54">
        <f>C6*'WRI data (for mock generation)'!$C$8</f>
        <v>9.2805275170628043</v>
      </c>
      <c r="D17" s="54">
        <f>D6*'WRI data (for mock generation)'!$C$8</f>
        <v>1648.0774483546663</v>
      </c>
      <c r="E17" s="54">
        <f>E6*'WRI data (for mock generation)'!$C$8</f>
        <v>8.4676242912563531</v>
      </c>
      <c r="F17" s="54">
        <f>F6*'WRI data (for mock generation)'!$C$8</f>
        <v>2307.9461131063763</v>
      </c>
      <c r="G17" s="54">
        <f>G6*'WRI data (for mock generation)'!$C$8</f>
        <v>9.8998823557724815</v>
      </c>
      <c r="H17" s="54">
        <f>H6*'WRI data (for mock generation)'!$C$8</f>
        <v>1426.4301783063502</v>
      </c>
      <c r="I17" s="54">
        <f>I6*'WRI data (for mock generation)'!$C$8</f>
        <v>8.9035027670329594</v>
      </c>
      <c r="J17" s="54">
        <f>J6*'WRI data (for mock generation)'!$C$8</f>
        <v>40.598880701867209</v>
      </c>
      <c r="K17" s="54">
        <f>K6*'WRI data (for mock generation)'!$C$8</f>
        <v>8.914699678964519</v>
      </c>
      <c r="L17" s="54">
        <f>L6*'WRI data (for mock generation)'!$C$8</f>
        <v>1921.9354838709676</v>
      </c>
      <c r="M17" s="54">
        <f>M6*'WRI data (for mock generation)'!$C$8</f>
        <v>16.800135348522442</v>
      </c>
      <c r="N17" s="54">
        <f>N6*'WRI data (for mock generation)'!$C$8</f>
        <v>41.245687939754504</v>
      </c>
      <c r="O17" s="54">
        <f>O6*'WRI data (for mock generation)'!$C$8</f>
        <v>6.80262698570961</v>
      </c>
      <c r="P17" s="54">
        <f>P6*'WRI data (for mock generation)'!$C$8</f>
        <v>305.80645161290317</v>
      </c>
      <c r="Q17" s="54">
        <f>Q6*'WRI data (for mock generation)'!$C$8</f>
        <v>20.67656873650461</v>
      </c>
      <c r="R17" s="54">
        <f>R6*'WRI data (for mock generation)'!$C$8</f>
        <v>14.574185824390778</v>
      </c>
      <c r="S17" s="54">
        <f>S6*'WRI data (for mock generation)'!$C$8</f>
        <v>14.707583607712733</v>
      </c>
    </row>
    <row r="18" spans="1:19" s="1" customFormat="1">
      <c r="A18" s="1">
        <v>25</v>
      </c>
      <c r="B18" s="54">
        <f>B7*'WRI data (for mock generation)'!$C$8</f>
        <v>759.84337961522397</v>
      </c>
      <c r="C18" s="54">
        <f>C7*'WRI data (for mock generation)'!$C$8</f>
        <v>12.710968928249185</v>
      </c>
      <c r="D18" s="54">
        <f>D7*'WRI data (for mock generation)'!$C$8</f>
        <v>2315.7538748484776</v>
      </c>
      <c r="E18" s="54">
        <f>E7*'WRI data (for mock generation)'!$C$8</f>
        <v>11.898065702442734</v>
      </c>
      <c r="F18" s="54">
        <f>F7*'WRI data (for mock generation)'!$C$8</f>
        <v>3107.6802550550738</v>
      </c>
      <c r="G18" s="54">
        <f>G7*'WRI data (for mock generation)'!$C$8</f>
        <v>13.330323766958864</v>
      </c>
      <c r="H18" s="54">
        <f>H7*'WRI data (for mock generation)'!$C$8</f>
        <v>1890.4041540214121</v>
      </c>
      <c r="I18" s="54">
        <f>I7*'WRI data (for mock generation)'!$C$8</f>
        <v>11.79953906760759</v>
      </c>
      <c r="J18" s="54">
        <f>J7*'WRI data (for mock generation)'!$C$8</f>
        <v>55.900811061628254</v>
      </c>
      <c r="K18" s="54">
        <f>K7*'WRI data (for mock generation)'!$C$8</f>
        <v>12.274696587929185</v>
      </c>
      <c r="L18" s="54">
        <f>L7*'WRI data (for mock generation)'!$C$8</f>
        <v>2568.3870967741932</v>
      </c>
      <c r="M18" s="54">
        <f>M7*'WRI data (for mock generation)'!$C$8</f>
        <v>22.45093616061358</v>
      </c>
      <c r="N18" s="54">
        <f>N7*'WRI data (for mock generation)'!$C$8</f>
        <v>47.42383272104864</v>
      </c>
      <c r="O18" s="54">
        <f>O7*'WRI data (for mock generation)'!$C$8</f>
        <v>7.8215847606954485</v>
      </c>
      <c r="P18" s="54">
        <f>P7*'WRI data (for mock generation)'!$C$8</f>
        <v>367.74193548387092</v>
      </c>
      <c r="Q18" s="54">
        <f>Q7*'WRI data (for mock generation)'!$C$8</f>
        <v>24.864228227442254</v>
      </c>
      <c r="R18" s="54">
        <f>R7*'WRI data (for mock generation)'!$C$8</f>
        <v>15.873423892933895</v>
      </c>
      <c r="S18" s="54">
        <f>S7*'WRI data (for mock generation)'!$C$8</f>
        <v>16.018713625517336</v>
      </c>
    </row>
    <row r="19" spans="1:19" s="1" customFormat="1">
      <c r="A19" s="1">
        <v>100</v>
      </c>
      <c r="B19" s="54">
        <f>B8*'WRI data (for mock generation)'!$C$8</f>
        <v>882.20779445877861</v>
      </c>
      <c r="C19" s="54">
        <f>C8*'WRI data (for mock generation)'!$C$8</f>
        <v>14.757930600518327</v>
      </c>
      <c r="D19" s="54">
        <f>D8*'WRI data (for mock generation)'!$C$8</f>
        <v>2714.159762223127</v>
      </c>
      <c r="E19" s="54">
        <f>E8*'WRI data (for mock generation)'!$C$8</f>
        <v>13.945027374711875</v>
      </c>
      <c r="F19" s="54">
        <f>F8*'WRI data (for mock generation)'!$C$8</f>
        <v>3584.8856465349668</v>
      </c>
      <c r="G19" s="54">
        <f>G8*'WRI data (for mock generation)'!$C$8</f>
        <v>15.377285439228006</v>
      </c>
      <c r="H19" s="54">
        <f>H8*'WRI data (for mock generation)'!$C$8</f>
        <v>2267.3234766216192</v>
      </c>
      <c r="I19" s="54">
        <f>I8*'WRI data (for mock generation)'!$C$8</f>
        <v>14.152196970361519</v>
      </c>
      <c r="J19" s="54">
        <f>J8*'WRI data (for mock generation)'!$C$8</f>
        <v>64.70977417690122</v>
      </c>
      <c r="K19" s="54">
        <f>K8*'WRI data (for mock generation)'!$C$8</f>
        <v>14.208968156458473</v>
      </c>
      <c r="L19" s="54">
        <f>L8*'WRI data (for mock generation)'!$C$8</f>
        <v>2922.5806451612902</v>
      </c>
      <c r="M19" s="54">
        <f>M8*'WRI data (for mock generation)'!$C$8</f>
        <v>25.54703361154974</v>
      </c>
      <c r="N19" s="54">
        <f>N8*'WRI data (for mock generation)'!$C$8</f>
        <v>59.657354792900705</v>
      </c>
      <c r="O19" s="54">
        <f>O8*'WRI data (for mock generation)'!$C$8</f>
        <v>9.8392523408267429</v>
      </c>
      <c r="P19" s="54">
        <f>P8*'WRI data (for mock generation)'!$C$8</f>
        <v>452.90322580645159</v>
      </c>
      <c r="Q19" s="54">
        <f>Q8*'WRI data (for mock generation)'!$C$8</f>
        <v>30.622260027481513</v>
      </c>
      <c r="R19" s="54">
        <f>R8*'WRI data (for mock generation)'!$C$8</f>
        <v>20.298406486489352</v>
      </c>
      <c r="S19" s="54">
        <f>S8*'WRI data (for mock generation)'!$C$8</f>
        <v>20.484198163835337</v>
      </c>
    </row>
    <row r="20" spans="1:19" s="1" customFormat="1">
      <c r="A20" s="53">
        <v>200</v>
      </c>
      <c r="B20" s="55">
        <f>B9*'WRI data (for mock generation)'!$C$8</f>
        <v>1028.7107473208941</v>
      </c>
      <c r="C20" s="55">
        <f>C9*'WRI data (for mock generation)'!$C$8</f>
        <v>17.208691549004975</v>
      </c>
      <c r="D20" s="55">
        <f>D9*'WRI data (for mock generation)'!$C$8</f>
        <v>3191.1582344722851</v>
      </c>
      <c r="E20" s="55">
        <f>E9*'WRI data (for mock generation)'!$C$8</f>
        <v>16.395788323198524</v>
      </c>
      <c r="F20" s="55">
        <f>F9*'WRI data (for mock generation)'!$C$8</f>
        <v>4156.2282142488739</v>
      </c>
      <c r="G20" s="55">
        <f>G9*'WRI data (for mock generation)'!$C$8</f>
        <v>17.828046387714654</v>
      </c>
      <c r="H20" s="55">
        <f>H9*'WRI data (for mock generation)'!$C$8</f>
        <v>2344.4951318798899</v>
      </c>
      <c r="I20" s="55">
        <f>I9*'WRI data (for mock generation)'!$C$8</f>
        <v>14.633887596778541</v>
      </c>
      <c r="J20" s="55">
        <f>J9*'WRI data (for mock generation)'!$C$8</f>
        <v>67.002417434040964</v>
      </c>
      <c r="K20" s="55">
        <f>K9*'WRI data (for mock generation)'!$C$8</f>
        <v>14.712386619112392</v>
      </c>
      <c r="L20" s="55">
        <f>L9*'WRI data (for mock generation)'!$C$8</f>
        <v>3011.6129032258063</v>
      </c>
      <c r="M20" s="55">
        <f>M9*'WRI data (for mock generation)'!$C$8</f>
        <v>26.325287615610193</v>
      </c>
      <c r="N20" s="55">
        <f>N9*'WRI data (for mock generation)'!$C$8</f>
        <v>60.932596315016696</v>
      </c>
      <c r="O20" s="55">
        <f>O9*'WRI data (for mock generation)'!$C$8</f>
        <v>10.049577172947734</v>
      </c>
      <c r="P20" s="55">
        <f>P9*'WRI data (for mock generation)'!$C$8</f>
        <v>466.45161290322579</v>
      </c>
      <c r="Q20" s="55">
        <f>Q9*'WRI data (for mock generation)'!$C$8</f>
        <v>31.538310541124119</v>
      </c>
      <c r="R20" s="55">
        <f>R9*'WRI data (for mock generation)'!$C$8</f>
        <v>20.950943287932773</v>
      </c>
      <c r="S20" s="55">
        <f>S9*'WRI data (for mock generation)'!$C$8</f>
        <v>21.142707646284578</v>
      </c>
    </row>
    <row r="21" spans="1:19" s="1" customFormat="1">
      <c r="A21" s="8" t="s">
        <v>13</v>
      </c>
      <c r="B21" s="56">
        <f>B10*'WRI data (for mock generation)'!$C$8</f>
        <v>348.72359014120838</v>
      </c>
      <c r="C21" s="56">
        <f>C10*'WRI data (for mock generation)'!$C$8</f>
        <v>5.833589970971425</v>
      </c>
      <c r="D21" s="56">
        <f>D10*'WRI data (for mock generation)'!$C$8</f>
        <v>977.19033288992193</v>
      </c>
      <c r="E21" s="56">
        <f>E10*'WRI data (for mock generation)'!$C$8</f>
        <v>5.0206867451649737</v>
      </c>
      <c r="F21" s="56">
        <f>F10*'WRI data (for mock generation)'!$C$8</f>
        <v>1504.3662496564452</v>
      </c>
      <c r="G21" s="56">
        <f>G10*'WRI data (for mock generation)'!$C$8</f>
        <v>6.4529448096811022</v>
      </c>
      <c r="H21" s="56">
        <f>H10*'WRI data (for mock generation)'!$C$8</f>
        <v>1015.1571334124691</v>
      </c>
      <c r="I21" s="56">
        <f>I10*'WRI data (for mock generation)'!$C$8</f>
        <v>6.3364155384337373</v>
      </c>
      <c r="J21" s="56">
        <f>J10*'WRI data (for mock generation)'!$C$8</f>
        <v>29.524936416858381</v>
      </c>
      <c r="K21" s="56">
        <f>K10*'WRI data (for mock generation)'!$C$8</f>
        <v>6.4830836871990396</v>
      </c>
      <c r="L21" s="56">
        <f>L10*'WRI data (for mock generation)'!$C$8</f>
        <v>1377.3361290322355</v>
      </c>
      <c r="M21" s="56">
        <f>M10*'WRI data (for mock generation)'!$C$8</f>
        <v>12.039651477554505</v>
      </c>
      <c r="N21" s="56">
        <f>N10*'WRI data (for mock generation)'!$C$8</f>
        <v>25.186909197445164</v>
      </c>
      <c r="O21" s="56">
        <f>O10*'WRI data (for mock generation)'!$C$8</f>
        <v>4.1540620790086358</v>
      </c>
      <c r="P21" s="56">
        <f>P10*'WRI data (for mock generation)'!$C$8</f>
        <v>205.61548387096644</v>
      </c>
      <c r="Q21" s="56">
        <f>Q10*'WRI data (for mock generation)'!$C$8</f>
        <v>13.902331566664397</v>
      </c>
      <c r="R21" s="56">
        <f>R10*'WRI data (for mock generation)'!$C$8</f>
        <v>8.5118855912157674</v>
      </c>
      <c r="S21" s="56">
        <f>S10*'WRI data (for mock generation)'!$C$8</f>
        <v>8.5897950321574346</v>
      </c>
    </row>
    <row r="22" spans="1:19" s="1" customFormat="1"/>
    <row r="23" spans="1:19" s="1" customFormat="1"/>
    <row r="24" spans="1:19" s="1" customFormat="1">
      <c r="A24" s="1" t="s">
        <v>15</v>
      </c>
    </row>
    <row r="25" spans="1:19" s="1" customFormat="1"/>
    <row r="26" spans="1:19" s="1" customFormat="1">
      <c r="A26" s="2" t="s">
        <v>1</v>
      </c>
      <c r="B26" s="33" t="s">
        <v>2</v>
      </c>
      <c r="C26" s="33"/>
      <c r="D26" s="33" t="s">
        <v>3</v>
      </c>
      <c r="E26" s="33"/>
      <c r="F26" s="33" t="s">
        <v>4</v>
      </c>
      <c r="G26" s="33"/>
      <c r="H26" s="33" t="s">
        <v>5</v>
      </c>
      <c r="I26" s="33"/>
      <c r="J26" s="33"/>
      <c r="K26" s="33"/>
      <c r="L26" s="33" t="s">
        <v>6</v>
      </c>
      <c r="M26" s="33"/>
      <c r="N26" s="33"/>
      <c r="O26" s="33"/>
      <c r="P26" s="33" t="s">
        <v>7</v>
      </c>
      <c r="Q26" s="33"/>
      <c r="R26" s="33"/>
      <c r="S26" s="33"/>
    </row>
    <row r="27" spans="1:19" s="6" customFormat="1" ht="24">
      <c r="A27" s="3"/>
      <c r="B27" s="4" t="s">
        <v>8</v>
      </c>
      <c r="C27" s="5" t="s">
        <v>9</v>
      </c>
      <c r="D27" s="4" t="s">
        <v>8</v>
      </c>
      <c r="E27" s="5" t="s">
        <v>9</v>
      </c>
      <c r="F27" s="4" t="s">
        <v>8</v>
      </c>
      <c r="G27" s="5" t="s">
        <v>9</v>
      </c>
      <c r="H27" s="4" t="s">
        <v>10</v>
      </c>
      <c r="I27" s="4" t="s">
        <v>11</v>
      </c>
      <c r="J27" s="4" t="s">
        <v>8</v>
      </c>
      <c r="K27" s="5" t="s">
        <v>9</v>
      </c>
      <c r="L27" s="4" t="s">
        <v>12</v>
      </c>
      <c r="M27" s="4" t="s">
        <v>11</v>
      </c>
      <c r="N27" s="4" t="s">
        <v>8</v>
      </c>
      <c r="O27" s="5" t="s">
        <v>9</v>
      </c>
      <c r="P27" s="4" t="s">
        <v>12</v>
      </c>
      <c r="Q27" s="4" t="s">
        <v>11</v>
      </c>
      <c r="R27" s="4" t="s">
        <v>8</v>
      </c>
      <c r="S27" s="5" t="s">
        <v>9</v>
      </c>
    </row>
    <row r="28" spans="1:19" s="1" customFormat="1">
      <c r="A28" s="1">
        <v>10</v>
      </c>
      <c r="B28" s="7">
        <v>999999</v>
      </c>
      <c r="C28" s="7">
        <v>999999</v>
      </c>
      <c r="D28" s="7">
        <v>999999</v>
      </c>
      <c r="E28" s="7">
        <v>999999</v>
      </c>
      <c r="F28" s="7">
        <v>999999</v>
      </c>
      <c r="G28" s="7">
        <v>999999</v>
      </c>
      <c r="H28" s="7">
        <v>999999</v>
      </c>
      <c r="I28" s="7">
        <v>999999</v>
      </c>
      <c r="J28" s="7">
        <v>999999</v>
      </c>
      <c r="K28" s="7">
        <v>999999</v>
      </c>
      <c r="L28" s="7">
        <v>999999</v>
      </c>
      <c r="M28" s="7">
        <v>999999</v>
      </c>
      <c r="N28" s="7">
        <v>999999</v>
      </c>
      <c r="O28" s="7">
        <v>999999</v>
      </c>
      <c r="P28" s="7">
        <v>999999</v>
      </c>
      <c r="Q28" s="7">
        <v>999999</v>
      </c>
      <c r="R28" s="7">
        <v>999999</v>
      </c>
      <c r="S28" s="7">
        <v>999999</v>
      </c>
    </row>
    <row r="29" spans="1:19" s="1" customFormat="1">
      <c r="A29" s="1">
        <v>25</v>
      </c>
      <c r="B29" s="7">
        <v>999999</v>
      </c>
      <c r="C29" s="7">
        <v>999999</v>
      </c>
      <c r="D29" s="7">
        <v>999999</v>
      </c>
      <c r="E29" s="7">
        <v>999999</v>
      </c>
      <c r="F29" s="7">
        <v>999999</v>
      </c>
      <c r="G29" s="7">
        <v>999999</v>
      </c>
      <c r="H29" s="7">
        <v>999999</v>
      </c>
      <c r="I29" s="7">
        <v>999999</v>
      </c>
      <c r="J29" s="7">
        <v>999999</v>
      </c>
      <c r="K29" s="7">
        <v>999999</v>
      </c>
      <c r="L29" s="7">
        <v>999999</v>
      </c>
      <c r="M29" s="7">
        <v>999999</v>
      </c>
      <c r="N29" s="7">
        <v>999999</v>
      </c>
      <c r="O29" s="7">
        <v>999999</v>
      </c>
      <c r="P29" s="7">
        <v>999999</v>
      </c>
      <c r="Q29" s="7">
        <v>999999</v>
      </c>
      <c r="R29" s="7">
        <v>999999</v>
      </c>
      <c r="S29" s="7">
        <v>999999</v>
      </c>
    </row>
    <row r="30" spans="1:19" s="1" customFormat="1">
      <c r="A30" s="1">
        <v>100</v>
      </c>
      <c r="B30" s="7">
        <v>999999</v>
      </c>
      <c r="C30" s="7">
        <v>999999</v>
      </c>
      <c r="D30" s="7">
        <v>999999</v>
      </c>
      <c r="E30" s="7">
        <v>999999</v>
      </c>
      <c r="F30" s="7">
        <v>999999</v>
      </c>
      <c r="G30" s="7">
        <v>999999</v>
      </c>
      <c r="H30" s="7">
        <v>999999</v>
      </c>
      <c r="I30" s="7">
        <v>999999</v>
      </c>
      <c r="J30" s="7">
        <v>999999</v>
      </c>
      <c r="K30" s="7">
        <v>999999</v>
      </c>
      <c r="L30" s="7">
        <v>999999</v>
      </c>
      <c r="M30" s="7">
        <v>999999</v>
      </c>
      <c r="N30" s="7">
        <v>999999</v>
      </c>
      <c r="O30" s="7">
        <v>999999</v>
      </c>
      <c r="P30" s="7">
        <v>999999</v>
      </c>
      <c r="Q30" s="7">
        <v>999999</v>
      </c>
      <c r="R30" s="7">
        <v>999999</v>
      </c>
      <c r="S30" s="7">
        <v>999999</v>
      </c>
    </row>
    <row r="31" spans="1:19" s="1" customFormat="1">
      <c r="A31" s="1">
        <v>200</v>
      </c>
      <c r="B31" s="7">
        <v>999999</v>
      </c>
      <c r="C31" s="7">
        <v>999999</v>
      </c>
      <c r="D31" s="7">
        <v>999999</v>
      </c>
      <c r="E31" s="7">
        <v>999999</v>
      </c>
      <c r="F31" s="7">
        <v>999999</v>
      </c>
      <c r="G31" s="7">
        <v>999999</v>
      </c>
      <c r="H31" s="7">
        <v>999999</v>
      </c>
      <c r="I31" s="7">
        <v>999999</v>
      </c>
      <c r="J31" s="7">
        <v>999999</v>
      </c>
      <c r="K31" s="7">
        <v>999999</v>
      </c>
      <c r="L31" s="7">
        <v>999999</v>
      </c>
      <c r="M31" s="7">
        <v>999999</v>
      </c>
      <c r="N31" s="7">
        <v>999999</v>
      </c>
      <c r="O31" s="7">
        <v>999999</v>
      </c>
      <c r="P31" s="7">
        <v>999999</v>
      </c>
      <c r="Q31" s="7">
        <v>999999</v>
      </c>
      <c r="R31" s="7">
        <v>999999</v>
      </c>
      <c r="S31" s="7">
        <v>999999</v>
      </c>
    </row>
    <row r="32" spans="1:19" s="1" customFormat="1">
      <c r="A32" s="8" t="s">
        <v>13</v>
      </c>
      <c r="B32" s="32">
        <v>999999</v>
      </c>
      <c r="C32" s="32">
        <v>999999</v>
      </c>
      <c r="D32" s="32">
        <v>999999</v>
      </c>
      <c r="E32" s="32">
        <v>999999</v>
      </c>
      <c r="F32" s="32">
        <v>999999</v>
      </c>
      <c r="G32" s="32">
        <v>999999</v>
      </c>
      <c r="H32" s="32">
        <v>999999</v>
      </c>
      <c r="I32" s="32">
        <v>999999</v>
      </c>
      <c r="J32" s="32">
        <v>999999</v>
      </c>
      <c r="K32" s="32">
        <v>999999</v>
      </c>
      <c r="L32" s="32">
        <v>999999</v>
      </c>
      <c r="M32" s="32">
        <v>999999</v>
      </c>
      <c r="N32" s="32">
        <v>999999</v>
      </c>
      <c r="O32" s="32">
        <v>999999</v>
      </c>
      <c r="P32" s="32">
        <v>999999</v>
      </c>
      <c r="Q32" s="32">
        <v>999999</v>
      </c>
      <c r="R32" s="32">
        <v>999999</v>
      </c>
      <c r="S32" s="32">
        <v>999999</v>
      </c>
    </row>
    <row r="33" spans="1:19" s="1" customFormat="1"/>
    <row r="34" spans="1:19" s="1" customFormat="1"/>
    <row r="35" spans="1:19" s="1" customFormat="1">
      <c r="A35" s="1" t="s">
        <v>16</v>
      </c>
    </row>
    <row r="36" spans="1:19" s="1" customFormat="1"/>
    <row r="37" spans="1:19" s="1" customFormat="1">
      <c r="A37" s="2" t="s">
        <v>1</v>
      </c>
      <c r="B37" s="33" t="s">
        <v>2</v>
      </c>
      <c r="C37" s="33"/>
      <c r="D37" s="33" t="s">
        <v>3</v>
      </c>
      <c r="E37" s="33"/>
      <c r="F37" s="33" t="s">
        <v>4</v>
      </c>
      <c r="G37" s="33"/>
      <c r="H37" s="33" t="s">
        <v>5</v>
      </c>
      <c r="I37" s="33"/>
      <c r="J37" s="33"/>
      <c r="K37" s="33"/>
      <c r="L37" s="33" t="s">
        <v>6</v>
      </c>
      <c r="M37" s="33"/>
      <c r="N37" s="33"/>
      <c r="O37" s="33"/>
      <c r="P37" s="33" t="s">
        <v>7</v>
      </c>
      <c r="Q37" s="33"/>
      <c r="R37" s="33"/>
      <c r="S37" s="33"/>
    </row>
    <row r="38" spans="1:19" s="6" customFormat="1" ht="24">
      <c r="A38" s="3"/>
      <c r="B38" s="4" t="s">
        <v>8</v>
      </c>
      <c r="C38" s="5" t="s">
        <v>9</v>
      </c>
      <c r="D38" s="4" t="s">
        <v>8</v>
      </c>
      <c r="E38" s="5" t="s">
        <v>9</v>
      </c>
      <c r="F38" s="4" t="s">
        <v>8</v>
      </c>
      <c r="G38" s="5" t="s">
        <v>9</v>
      </c>
      <c r="H38" s="4" t="s">
        <v>10</v>
      </c>
      <c r="I38" s="4" t="s">
        <v>11</v>
      </c>
      <c r="J38" s="4" t="s">
        <v>8</v>
      </c>
      <c r="K38" s="5" t="s">
        <v>9</v>
      </c>
      <c r="L38" s="4" t="s">
        <v>12</v>
      </c>
      <c r="M38" s="4" t="s">
        <v>11</v>
      </c>
      <c r="N38" s="4" t="s">
        <v>8</v>
      </c>
      <c r="O38" s="5" t="s">
        <v>9</v>
      </c>
      <c r="P38" s="4" t="s">
        <v>12</v>
      </c>
      <c r="Q38" s="4" t="s">
        <v>11</v>
      </c>
      <c r="R38" s="4" t="s">
        <v>8</v>
      </c>
      <c r="S38" s="5" t="s">
        <v>9</v>
      </c>
    </row>
    <row r="39" spans="1:19" s="1" customFormat="1">
      <c r="A39" s="1">
        <v>10</v>
      </c>
      <c r="B39" s="7">
        <v>999999</v>
      </c>
      <c r="C39" s="7">
        <v>999999</v>
      </c>
      <c r="D39" s="7">
        <v>999999</v>
      </c>
      <c r="E39" s="7">
        <v>999999</v>
      </c>
      <c r="F39" s="7">
        <v>999999</v>
      </c>
      <c r="G39" s="7">
        <v>999999</v>
      </c>
      <c r="H39" s="7">
        <v>999999</v>
      </c>
      <c r="I39" s="7">
        <v>999999</v>
      </c>
      <c r="J39" s="7">
        <v>999999</v>
      </c>
      <c r="K39" s="7">
        <v>999999</v>
      </c>
      <c r="L39" s="7">
        <v>999999</v>
      </c>
      <c r="M39" s="7">
        <v>999999</v>
      </c>
      <c r="N39" s="7">
        <v>999999</v>
      </c>
      <c r="O39" s="7">
        <v>999999</v>
      </c>
      <c r="P39" s="7">
        <v>999999</v>
      </c>
      <c r="Q39" s="7">
        <v>999999</v>
      </c>
      <c r="R39" s="7">
        <v>999999</v>
      </c>
      <c r="S39" s="7">
        <v>999999</v>
      </c>
    </row>
    <row r="40" spans="1:19" s="1" customFormat="1">
      <c r="A40" s="1">
        <v>25</v>
      </c>
      <c r="B40" s="7">
        <v>999999</v>
      </c>
      <c r="C40" s="7">
        <v>999999</v>
      </c>
      <c r="D40" s="7">
        <v>999999</v>
      </c>
      <c r="E40" s="7">
        <v>999999</v>
      </c>
      <c r="F40" s="7">
        <v>999999</v>
      </c>
      <c r="G40" s="7">
        <v>999999</v>
      </c>
      <c r="H40" s="7">
        <v>999999</v>
      </c>
      <c r="I40" s="7">
        <v>999999</v>
      </c>
      <c r="J40" s="7">
        <v>999999</v>
      </c>
      <c r="K40" s="7">
        <v>999999</v>
      </c>
      <c r="L40" s="7">
        <v>999999</v>
      </c>
      <c r="M40" s="7">
        <v>999999</v>
      </c>
      <c r="N40" s="7">
        <v>999999</v>
      </c>
      <c r="O40" s="7">
        <v>999999</v>
      </c>
      <c r="P40" s="7">
        <v>999999</v>
      </c>
      <c r="Q40" s="7">
        <v>999999</v>
      </c>
      <c r="R40" s="7">
        <v>999999</v>
      </c>
      <c r="S40" s="7">
        <v>999999</v>
      </c>
    </row>
    <row r="41" spans="1:19" s="1" customFormat="1">
      <c r="A41" s="1">
        <v>100</v>
      </c>
      <c r="B41" s="7">
        <v>999999</v>
      </c>
      <c r="C41" s="7">
        <v>999999</v>
      </c>
      <c r="D41" s="7">
        <v>999999</v>
      </c>
      <c r="E41" s="7">
        <v>999999</v>
      </c>
      <c r="F41" s="7">
        <v>999999</v>
      </c>
      <c r="G41" s="7">
        <v>999999</v>
      </c>
      <c r="H41" s="7">
        <v>999999</v>
      </c>
      <c r="I41" s="7">
        <v>999999</v>
      </c>
      <c r="J41" s="7">
        <v>999999</v>
      </c>
      <c r="K41" s="7">
        <v>999999</v>
      </c>
      <c r="L41" s="7">
        <v>999999</v>
      </c>
      <c r="M41" s="7">
        <v>999999</v>
      </c>
      <c r="N41" s="7">
        <v>999999</v>
      </c>
      <c r="O41" s="7">
        <v>999999</v>
      </c>
      <c r="P41" s="7">
        <v>999999</v>
      </c>
      <c r="Q41" s="7">
        <v>999999</v>
      </c>
      <c r="R41" s="7">
        <v>999999</v>
      </c>
      <c r="S41" s="7">
        <v>999999</v>
      </c>
    </row>
    <row r="42" spans="1:19" s="1" customFormat="1">
      <c r="A42" s="1">
        <v>200</v>
      </c>
      <c r="B42" s="7">
        <v>999999</v>
      </c>
      <c r="C42" s="7">
        <v>999999</v>
      </c>
      <c r="D42" s="7">
        <v>999999</v>
      </c>
      <c r="E42" s="7">
        <v>999999</v>
      </c>
      <c r="F42" s="7">
        <v>999999</v>
      </c>
      <c r="G42" s="7">
        <v>999999</v>
      </c>
      <c r="H42" s="7">
        <v>999999</v>
      </c>
      <c r="I42" s="7">
        <v>999999</v>
      </c>
      <c r="J42" s="7">
        <v>999999</v>
      </c>
      <c r="K42" s="7">
        <v>999999</v>
      </c>
      <c r="L42" s="7">
        <v>999999</v>
      </c>
      <c r="M42" s="7">
        <v>999999</v>
      </c>
      <c r="N42" s="7">
        <v>999999</v>
      </c>
      <c r="O42" s="7">
        <v>999999</v>
      </c>
      <c r="P42" s="7">
        <v>999999</v>
      </c>
      <c r="Q42" s="7">
        <v>999999</v>
      </c>
      <c r="R42" s="7">
        <v>999999</v>
      </c>
      <c r="S42" s="7">
        <v>999999</v>
      </c>
    </row>
    <row r="43" spans="1:19" s="1" customFormat="1">
      <c r="A43" s="8" t="s">
        <v>13</v>
      </c>
      <c r="B43" s="32">
        <v>999999</v>
      </c>
      <c r="C43" s="32">
        <v>999999</v>
      </c>
      <c r="D43" s="32">
        <v>999999</v>
      </c>
      <c r="E43" s="32">
        <v>999999</v>
      </c>
      <c r="F43" s="32">
        <v>999999</v>
      </c>
      <c r="G43" s="32">
        <v>999999</v>
      </c>
      <c r="H43" s="32">
        <v>999999</v>
      </c>
      <c r="I43" s="32">
        <v>999999</v>
      </c>
      <c r="J43" s="32">
        <v>999999</v>
      </c>
      <c r="K43" s="32">
        <v>999999</v>
      </c>
      <c r="L43" s="32">
        <v>999999</v>
      </c>
      <c r="M43" s="32">
        <v>999999</v>
      </c>
      <c r="N43" s="32">
        <v>999999</v>
      </c>
      <c r="O43" s="32">
        <v>999999</v>
      </c>
      <c r="P43" s="32">
        <v>999999</v>
      </c>
      <c r="Q43" s="32">
        <v>999999</v>
      </c>
      <c r="R43" s="32">
        <v>999999</v>
      </c>
      <c r="S43" s="32">
        <v>999999</v>
      </c>
    </row>
    <row r="44" spans="1:19" s="1" customFormat="1"/>
    <row r="45" spans="1:19" s="1" customFormat="1"/>
    <row r="46" spans="1:19" s="1" customFormat="1">
      <c r="A46" s="1" t="s">
        <v>17</v>
      </c>
    </row>
    <row r="47" spans="1:19" s="1" customFormat="1"/>
    <row r="48" spans="1:19" s="1" customFormat="1">
      <c r="A48" s="2" t="s">
        <v>1</v>
      </c>
      <c r="B48" s="33" t="s">
        <v>2</v>
      </c>
      <c r="C48" s="33"/>
      <c r="D48" s="33" t="s">
        <v>3</v>
      </c>
      <c r="E48" s="33"/>
      <c r="F48" s="33" t="s">
        <v>4</v>
      </c>
      <c r="G48" s="33"/>
      <c r="H48" s="33" t="s">
        <v>5</v>
      </c>
      <c r="I48" s="33"/>
      <c r="J48" s="33"/>
      <c r="K48" s="33"/>
      <c r="L48" s="33" t="s">
        <v>6</v>
      </c>
      <c r="M48" s="33"/>
      <c r="N48" s="33"/>
      <c r="O48" s="33"/>
      <c r="P48" s="33" t="s">
        <v>7</v>
      </c>
      <c r="Q48" s="33"/>
      <c r="R48" s="33"/>
      <c r="S48" s="33"/>
    </row>
    <row r="49" spans="1:19" s="6" customFormat="1" ht="24">
      <c r="A49" s="3"/>
      <c r="B49" s="4" t="s">
        <v>8</v>
      </c>
      <c r="C49" s="5" t="s">
        <v>9</v>
      </c>
      <c r="D49" s="4" t="s">
        <v>8</v>
      </c>
      <c r="E49" s="5" t="s">
        <v>9</v>
      </c>
      <c r="F49" s="4" t="s">
        <v>8</v>
      </c>
      <c r="G49" s="5" t="s">
        <v>9</v>
      </c>
      <c r="H49" s="4" t="s">
        <v>10</v>
      </c>
      <c r="I49" s="4" t="s">
        <v>11</v>
      </c>
      <c r="J49" s="4" t="s">
        <v>8</v>
      </c>
      <c r="K49" s="5" t="s">
        <v>9</v>
      </c>
      <c r="L49" s="4" t="s">
        <v>12</v>
      </c>
      <c r="M49" s="4" t="s">
        <v>11</v>
      </c>
      <c r="N49" s="4" t="s">
        <v>8</v>
      </c>
      <c r="O49" s="5" t="s">
        <v>9</v>
      </c>
      <c r="P49" s="4" t="s">
        <v>12</v>
      </c>
      <c r="Q49" s="4" t="s">
        <v>11</v>
      </c>
      <c r="R49" s="4" t="s">
        <v>8</v>
      </c>
      <c r="S49" s="5" t="s">
        <v>9</v>
      </c>
    </row>
    <row r="50" spans="1:19" s="1" customFormat="1">
      <c r="A50" s="1">
        <v>10</v>
      </c>
      <c r="B50" s="7">
        <v>999999</v>
      </c>
      <c r="C50" s="7">
        <v>999999</v>
      </c>
      <c r="D50" s="7">
        <v>999999</v>
      </c>
      <c r="E50" s="7">
        <v>999999</v>
      </c>
      <c r="F50" s="7">
        <v>999999</v>
      </c>
      <c r="G50" s="7">
        <v>999999</v>
      </c>
      <c r="H50" s="7">
        <v>999999</v>
      </c>
      <c r="I50" s="7">
        <v>999999</v>
      </c>
      <c r="J50" s="7">
        <v>999999</v>
      </c>
      <c r="K50" s="7">
        <v>999999</v>
      </c>
      <c r="L50" s="7">
        <v>999999</v>
      </c>
      <c r="M50" s="7">
        <v>999999</v>
      </c>
      <c r="N50" s="7">
        <v>999999</v>
      </c>
      <c r="O50" s="7">
        <v>999999</v>
      </c>
      <c r="P50" s="7">
        <v>999999</v>
      </c>
      <c r="Q50" s="7">
        <v>999999</v>
      </c>
      <c r="R50" s="7">
        <v>999999</v>
      </c>
      <c r="S50" s="7">
        <v>999999</v>
      </c>
    </row>
    <row r="51" spans="1:19" s="1" customFormat="1">
      <c r="A51" s="1">
        <v>25</v>
      </c>
      <c r="B51" s="7">
        <v>999999</v>
      </c>
      <c r="C51" s="7">
        <v>999999</v>
      </c>
      <c r="D51" s="7">
        <v>999999</v>
      </c>
      <c r="E51" s="7">
        <v>999999</v>
      </c>
      <c r="F51" s="7">
        <v>999999</v>
      </c>
      <c r="G51" s="7">
        <v>999999</v>
      </c>
      <c r="H51" s="7">
        <v>999999</v>
      </c>
      <c r="I51" s="7">
        <v>999999</v>
      </c>
      <c r="J51" s="7">
        <v>999999</v>
      </c>
      <c r="K51" s="7">
        <v>999999</v>
      </c>
      <c r="L51" s="7">
        <v>999999</v>
      </c>
      <c r="M51" s="7">
        <v>999999</v>
      </c>
      <c r="N51" s="7">
        <v>999999</v>
      </c>
      <c r="O51" s="7">
        <v>999999</v>
      </c>
      <c r="P51" s="7">
        <v>999999</v>
      </c>
      <c r="Q51" s="7">
        <v>999999</v>
      </c>
      <c r="R51" s="7">
        <v>999999</v>
      </c>
      <c r="S51" s="7">
        <v>999999</v>
      </c>
    </row>
    <row r="52" spans="1:19" s="1" customFormat="1">
      <c r="A52" s="1">
        <v>100</v>
      </c>
      <c r="B52" s="7">
        <v>999999</v>
      </c>
      <c r="C52" s="7">
        <v>999999</v>
      </c>
      <c r="D52" s="7">
        <v>999999</v>
      </c>
      <c r="E52" s="7">
        <v>999999</v>
      </c>
      <c r="F52" s="7">
        <v>999999</v>
      </c>
      <c r="G52" s="7">
        <v>999999</v>
      </c>
      <c r="H52" s="7">
        <v>999999</v>
      </c>
      <c r="I52" s="7">
        <v>999999</v>
      </c>
      <c r="J52" s="7">
        <v>999999</v>
      </c>
      <c r="K52" s="7">
        <v>999999</v>
      </c>
      <c r="L52" s="7">
        <v>999999</v>
      </c>
      <c r="M52" s="7">
        <v>999999</v>
      </c>
      <c r="N52" s="7">
        <v>999999</v>
      </c>
      <c r="O52" s="7">
        <v>999999</v>
      </c>
      <c r="P52" s="7">
        <v>999999</v>
      </c>
      <c r="Q52" s="7">
        <v>999999</v>
      </c>
      <c r="R52" s="7">
        <v>999999</v>
      </c>
      <c r="S52" s="7">
        <v>999999</v>
      </c>
    </row>
    <row r="53" spans="1:19" s="1" customFormat="1">
      <c r="A53" s="1">
        <v>200</v>
      </c>
      <c r="B53" s="7">
        <v>999999</v>
      </c>
      <c r="C53" s="7">
        <v>999999</v>
      </c>
      <c r="D53" s="7">
        <v>999999</v>
      </c>
      <c r="E53" s="7">
        <v>999999</v>
      </c>
      <c r="F53" s="7">
        <v>999999</v>
      </c>
      <c r="G53" s="7">
        <v>999999</v>
      </c>
      <c r="H53" s="7">
        <v>999999</v>
      </c>
      <c r="I53" s="7">
        <v>999999</v>
      </c>
      <c r="J53" s="7">
        <v>999999</v>
      </c>
      <c r="K53" s="7">
        <v>999999</v>
      </c>
      <c r="L53" s="7">
        <v>999999</v>
      </c>
      <c r="M53" s="7">
        <v>999999</v>
      </c>
      <c r="N53" s="7">
        <v>999999</v>
      </c>
      <c r="O53" s="7">
        <v>999999</v>
      </c>
      <c r="P53" s="7">
        <v>999999</v>
      </c>
      <c r="Q53" s="7">
        <v>999999</v>
      </c>
      <c r="R53" s="7">
        <v>999999</v>
      </c>
      <c r="S53" s="7">
        <v>999999</v>
      </c>
    </row>
    <row r="54" spans="1:19" s="1" customFormat="1">
      <c r="A54" s="8" t="s">
        <v>13</v>
      </c>
      <c r="B54" s="32">
        <v>999999</v>
      </c>
      <c r="C54" s="32">
        <v>999999</v>
      </c>
      <c r="D54" s="32">
        <v>999999</v>
      </c>
      <c r="E54" s="32">
        <v>999999</v>
      </c>
      <c r="F54" s="32">
        <v>999999</v>
      </c>
      <c r="G54" s="32">
        <v>999999</v>
      </c>
      <c r="H54" s="32">
        <v>999999</v>
      </c>
      <c r="I54" s="32">
        <v>999999</v>
      </c>
      <c r="J54" s="32">
        <v>999999</v>
      </c>
      <c r="K54" s="32">
        <v>999999</v>
      </c>
      <c r="L54" s="32">
        <v>999999</v>
      </c>
      <c r="M54" s="32">
        <v>999999</v>
      </c>
      <c r="N54" s="32">
        <v>999999</v>
      </c>
      <c r="O54" s="32">
        <v>999999</v>
      </c>
      <c r="P54" s="32">
        <v>999999</v>
      </c>
      <c r="Q54" s="32">
        <v>999999</v>
      </c>
      <c r="R54" s="32">
        <v>999999</v>
      </c>
      <c r="S54" s="32">
        <v>999999</v>
      </c>
    </row>
    <row r="55" spans="1:19" s="1" customFormat="1"/>
    <row r="56" spans="1:19" s="1" customFormat="1"/>
    <row r="57" spans="1:19" s="1" customFormat="1">
      <c r="A57" s="1" t="s">
        <v>18</v>
      </c>
    </row>
    <row r="58" spans="1:19" s="1" customFormat="1"/>
    <row r="59" spans="1:19" s="1" customFormat="1">
      <c r="A59" s="2" t="s">
        <v>1</v>
      </c>
      <c r="B59" s="33" t="s">
        <v>2</v>
      </c>
      <c r="C59" s="33"/>
      <c r="D59" s="33" t="s">
        <v>3</v>
      </c>
      <c r="E59" s="33"/>
      <c r="F59" s="33" t="s">
        <v>4</v>
      </c>
      <c r="G59" s="33"/>
      <c r="H59" s="33" t="s">
        <v>5</v>
      </c>
      <c r="I59" s="33"/>
      <c r="J59" s="33"/>
      <c r="K59" s="33"/>
      <c r="L59" s="33" t="s">
        <v>6</v>
      </c>
      <c r="M59" s="33"/>
      <c r="N59" s="33"/>
      <c r="O59" s="33"/>
      <c r="P59" s="33" t="s">
        <v>7</v>
      </c>
      <c r="Q59" s="33"/>
      <c r="R59" s="33"/>
      <c r="S59" s="33"/>
    </row>
    <row r="60" spans="1:19" s="6" customFormat="1" ht="24">
      <c r="A60" s="3"/>
      <c r="B60" s="4" t="s">
        <v>8</v>
      </c>
      <c r="C60" s="5" t="s">
        <v>9</v>
      </c>
      <c r="D60" s="4" t="s">
        <v>8</v>
      </c>
      <c r="E60" s="5" t="s">
        <v>9</v>
      </c>
      <c r="F60" s="4" t="s">
        <v>8</v>
      </c>
      <c r="G60" s="5" t="s">
        <v>9</v>
      </c>
      <c r="H60" s="4" t="s">
        <v>10</v>
      </c>
      <c r="I60" s="4" t="s">
        <v>11</v>
      </c>
      <c r="J60" s="4" t="s">
        <v>8</v>
      </c>
      <c r="K60" s="5" t="s">
        <v>9</v>
      </c>
      <c r="L60" s="4" t="s">
        <v>12</v>
      </c>
      <c r="M60" s="4" t="s">
        <v>11</v>
      </c>
      <c r="N60" s="4" t="s">
        <v>8</v>
      </c>
      <c r="O60" s="5" t="s">
        <v>9</v>
      </c>
      <c r="P60" s="4" t="s">
        <v>12</v>
      </c>
      <c r="Q60" s="4" t="s">
        <v>11</v>
      </c>
      <c r="R60" s="4" t="s">
        <v>8</v>
      </c>
      <c r="S60" s="5" t="s">
        <v>9</v>
      </c>
    </row>
    <row r="61" spans="1:19" s="1" customFormat="1">
      <c r="A61" s="1">
        <v>10</v>
      </c>
      <c r="B61" s="7">
        <v>999999</v>
      </c>
      <c r="C61" s="7">
        <v>999999</v>
      </c>
      <c r="D61" s="7">
        <v>999999</v>
      </c>
      <c r="E61" s="7">
        <v>999999</v>
      </c>
      <c r="F61" s="7">
        <v>999999</v>
      </c>
      <c r="G61" s="7">
        <v>999999</v>
      </c>
      <c r="H61" s="7">
        <v>999999</v>
      </c>
      <c r="I61" s="7">
        <v>999999</v>
      </c>
      <c r="J61" s="7">
        <v>999999</v>
      </c>
      <c r="K61" s="7">
        <v>999999</v>
      </c>
      <c r="L61" s="7">
        <v>999999</v>
      </c>
      <c r="M61" s="7">
        <v>999999</v>
      </c>
      <c r="N61" s="7">
        <v>999999</v>
      </c>
      <c r="O61" s="7">
        <v>999999</v>
      </c>
      <c r="P61" s="7">
        <v>999999</v>
      </c>
      <c r="Q61" s="7">
        <v>999999</v>
      </c>
      <c r="R61" s="7">
        <v>999999</v>
      </c>
      <c r="S61" s="7">
        <v>999999</v>
      </c>
    </row>
    <row r="62" spans="1:19" s="1" customFormat="1">
      <c r="A62" s="1">
        <v>25</v>
      </c>
      <c r="B62" s="7">
        <v>999999</v>
      </c>
      <c r="C62" s="7">
        <v>999999</v>
      </c>
      <c r="D62" s="7">
        <v>999999</v>
      </c>
      <c r="E62" s="7">
        <v>999999</v>
      </c>
      <c r="F62" s="7">
        <v>999999</v>
      </c>
      <c r="G62" s="7">
        <v>999999</v>
      </c>
      <c r="H62" s="7">
        <v>999999</v>
      </c>
      <c r="I62" s="7">
        <v>999999</v>
      </c>
      <c r="J62" s="7">
        <v>999999</v>
      </c>
      <c r="K62" s="7">
        <v>999999</v>
      </c>
      <c r="L62" s="7">
        <v>999999</v>
      </c>
      <c r="M62" s="7">
        <v>999999</v>
      </c>
      <c r="N62" s="7">
        <v>999999</v>
      </c>
      <c r="O62" s="7">
        <v>999999</v>
      </c>
      <c r="P62" s="7">
        <v>999999</v>
      </c>
      <c r="Q62" s="7">
        <v>999999</v>
      </c>
      <c r="R62" s="7">
        <v>999999</v>
      </c>
      <c r="S62" s="7">
        <v>999999</v>
      </c>
    </row>
    <row r="63" spans="1:19" s="1" customFormat="1">
      <c r="A63" s="1">
        <v>100</v>
      </c>
      <c r="B63" s="7">
        <v>999999</v>
      </c>
      <c r="C63" s="7">
        <v>999999</v>
      </c>
      <c r="D63" s="7">
        <v>999999</v>
      </c>
      <c r="E63" s="7">
        <v>999999</v>
      </c>
      <c r="F63" s="7">
        <v>999999</v>
      </c>
      <c r="G63" s="7">
        <v>999999</v>
      </c>
      <c r="H63" s="7">
        <v>999999</v>
      </c>
      <c r="I63" s="7">
        <v>999999</v>
      </c>
      <c r="J63" s="7">
        <v>999999</v>
      </c>
      <c r="K63" s="7">
        <v>999999</v>
      </c>
      <c r="L63" s="7">
        <v>999999</v>
      </c>
      <c r="M63" s="7">
        <v>999999</v>
      </c>
      <c r="N63" s="7">
        <v>999999</v>
      </c>
      <c r="O63" s="7">
        <v>999999</v>
      </c>
      <c r="P63" s="7">
        <v>999999</v>
      </c>
      <c r="Q63" s="7">
        <v>999999</v>
      </c>
      <c r="R63" s="7">
        <v>999999</v>
      </c>
      <c r="S63" s="7">
        <v>999999</v>
      </c>
    </row>
    <row r="64" spans="1:19" s="1" customFormat="1">
      <c r="A64" s="1">
        <v>200</v>
      </c>
      <c r="B64" s="7">
        <v>999999</v>
      </c>
      <c r="C64" s="7">
        <v>999999</v>
      </c>
      <c r="D64" s="7">
        <v>999999</v>
      </c>
      <c r="E64" s="7">
        <v>999999</v>
      </c>
      <c r="F64" s="7">
        <v>999999</v>
      </c>
      <c r="G64" s="7">
        <v>999999</v>
      </c>
      <c r="H64" s="7">
        <v>999999</v>
      </c>
      <c r="I64" s="7">
        <v>999999</v>
      </c>
      <c r="J64" s="7">
        <v>999999</v>
      </c>
      <c r="K64" s="7">
        <v>999999</v>
      </c>
      <c r="L64" s="7">
        <v>999999</v>
      </c>
      <c r="M64" s="7">
        <v>999999</v>
      </c>
      <c r="N64" s="7">
        <v>999999</v>
      </c>
      <c r="O64" s="7">
        <v>999999</v>
      </c>
      <c r="P64" s="7">
        <v>999999</v>
      </c>
      <c r="Q64" s="7">
        <v>999999</v>
      </c>
      <c r="R64" s="7">
        <v>999999</v>
      </c>
      <c r="S64" s="7">
        <v>999999</v>
      </c>
    </row>
    <row r="65" spans="1:19" s="1" customFormat="1">
      <c r="A65" s="8" t="s">
        <v>13</v>
      </c>
      <c r="B65" s="32">
        <v>999999</v>
      </c>
      <c r="C65" s="32">
        <v>999999</v>
      </c>
      <c r="D65" s="32">
        <v>999999</v>
      </c>
      <c r="E65" s="32">
        <v>999999</v>
      </c>
      <c r="F65" s="32">
        <v>999999</v>
      </c>
      <c r="G65" s="32">
        <v>999999</v>
      </c>
      <c r="H65" s="32">
        <v>999999</v>
      </c>
      <c r="I65" s="32">
        <v>999999</v>
      </c>
      <c r="J65" s="32">
        <v>999999</v>
      </c>
      <c r="K65" s="32">
        <v>999999</v>
      </c>
      <c r="L65" s="32">
        <v>999999</v>
      </c>
      <c r="M65" s="32">
        <v>999999</v>
      </c>
      <c r="N65" s="32">
        <v>999999</v>
      </c>
      <c r="O65" s="32">
        <v>999999</v>
      </c>
      <c r="P65" s="32">
        <v>999999</v>
      </c>
      <c r="Q65" s="32">
        <v>999999</v>
      </c>
      <c r="R65" s="32">
        <v>999999</v>
      </c>
      <c r="S65" s="32">
        <v>999999</v>
      </c>
    </row>
    <row r="66" spans="1:19" s="1" customFormat="1"/>
    <row r="67" spans="1:19" s="1" customFormat="1"/>
    <row r="68" spans="1:19" s="1" customFormat="1">
      <c r="A68" s="1" t="s">
        <v>19</v>
      </c>
    </row>
    <row r="69" spans="1:19" s="1" customFormat="1"/>
    <row r="70" spans="1:19" s="1" customFormat="1">
      <c r="A70" s="2" t="s">
        <v>1</v>
      </c>
      <c r="B70" s="33" t="s">
        <v>2</v>
      </c>
      <c r="C70" s="33"/>
      <c r="D70" s="33" t="s">
        <v>3</v>
      </c>
      <c r="E70" s="33"/>
      <c r="F70" s="33" t="s">
        <v>4</v>
      </c>
      <c r="G70" s="33"/>
      <c r="H70" s="33" t="s">
        <v>5</v>
      </c>
      <c r="I70" s="33"/>
      <c r="J70" s="33"/>
      <c r="K70" s="33"/>
      <c r="L70" s="33" t="s">
        <v>6</v>
      </c>
      <c r="M70" s="33"/>
      <c r="N70" s="33"/>
      <c r="O70" s="33"/>
      <c r="P70" s="33" t="s">
        <v>7</v>
      </c>
      <c r="Q70" s="33"/>
      <c r="R70" s="33"/>
      <c r="S70" s="33"/>
    </row>
    <row r="71" spans="1:19" s="6" customFormat="1" ht="24">
      <c r="A71" s="3"/>
      <c r="B71" s="4" t="s">
        <v>8</v>
      </c>
      <c r="C71" s="5" t="s">
        <v>9</v>
      </c>
      <c r="D71" s="4" t="s">
        <v>8</v>
      </c>
      <c r="E71" s="5" t="s">
        <v>9</v>
      </c>
      <c r="F71" s="4" t="s">
        <v>8</v>
      </c>
      <c r="G71" s="5" t="s">
        <v>9</v>
      </c>
      <c r="H71" s="4" t="s">
        <v>10</v>
      </c>
      <c r="I71" s="4" t="s">
        <v>11</v>
      </c>
      <c r="J71" s="4" t="s">
        <v>8</v>
      </c>
      <c r="K71" s="5" t="s">
        <v>9</v>
      </c>
      <c r="L71" s="4" t="s">
        <v>12</v>
      </c>
      <c r="M71" s="4" t="s">
        <v>11</v>
      </c>
      <c r="N71" s="4" t="s">
        <v>8</v>
      </c>
      <c r="O71" s="5" t="s">
        <v>9</v>
      </c>
      <c r="P71" s="4" t="s">
        <v>12</v>
      </c>
      <c r="Q71" s="4" t="s">
        <v>11</v>
      </c>
      <c r="R71" s="4" t="s">
        <v>8</v>
      </c>
      <c r="S71" s="5" t="s">
        <v>9</v>
      </c>
    </row>
    <row r="72" spans="1:19" s="1" customFormat="1">
      <c r="A72" s="1">
        <v>10</v>
      </c>
      <c r="B72" s="7">
        <v>999999</v>
      </c>
      <c r="C72" s="7">
        <v>999999</v>
      </c>
      <c r="D72" s="7">
        <v>999999</v>
      </c>
      <c r="E72" s="7">
        <v>999999</v>
      </c>
      <c r="F72" s="7">
        <v>999999</v>
      </c>
      <c r="G72" s="7">
        <v>999999</v>
      </c>
      <c r="H72" s="7">
        <v>999999</v>
      </c>
      <c r="I72" s="7">
        <v>999999</v>
      </c>
      <c r="J72" s="7">
        <v>999999</v>
      </c>
      <c r="K72" s="7">
        <v>999999</v>
      </c>
      <c r="L72" s="7">
        <v>999999</v>
      </c>
      <c r="M72" s="7">
        <v>999999</v>
      </c>
      <c r="N72" s="7">
        <v>999999</v>
      </c>
      <c r="O72" s="7">
        <v>999999</v>
      </c>
      <c r="P72" s="7">
        <v>999999</v>
      </c>
      <c r="Q72" s="7">
        <v>999999</v>
      </c>
      <c r="R72" s="7">
        <v>999999</v>
      </c>
      <c r="S72" s="7">
        <v>999999</v>
      </c>
    </row>
    <row r="73" spans="1:19" s="1" customFormat="1">
      <c r="A73" s="1">
        <v>25</v>
      </c>
      <c r="B73" s="7">
        <v>999999</v>
      </c>
      <c r="C73" s="7">
        <v>999999</v>
      </c>
      <c r="D73" s="7">
        <v>999999</v>
      </c>
      <c r="E73" s="7">
        <v>999999</v>
      </c>
      <c r="F73" s="7">
        <v>999999</v>
      </c>
      <c r="G73" s="7">
        <v>999999</v>
      </c>
      <c r="H73" s="7">
        <v>999999</v>
      </c>
      <c r="I73" s="7">
        <v>999999</v>
      </c>
      <c r="J73" s="7">
        <v>999999</v>
      </c>
      <c r="K73" s="7">
        <v>999999</v>
      </c>
      <c r="L73" s="7">
        <v>999999</v>
      </c>
      <c r="M73" s="7">
        <v>999999</v>
      </c>
      <c r="N73" s="7">
        <v>999999</v>
      </c>
      <c r="O73" s="7">
        <v>999999</v>
      </c>
      <c r="P73" s="7">
        <v>999999</v>
      </c>
      <c r="Q73" s="7">
        <v>999999</v>
      </c>
      <c r="R73" s="7">
        <v>999999</v>
      </c>
      <c r="S73" s="7">
        <v>999999</v>
      </c>
    </row>
    <row r="74" spans="1:19" s="1" customFormat="1">
      <c r="A74" s="1">
        <v>100</v>
      </c>
      <c r="B74" s="7">
        <v>999999</v>
      </c>
      <c r="C74" s="7">
        <v>999999</v>
      </c>
      <c r="D74" s="7">
        <v>999999</v>
      </c>
      <c r="E74" s="7">
        <v>999999</v>
      </c>
      <c r="F74" s="7">
        <v>999999</v>
      </c>
      <c r="G74" s="7">
        <v>999999</v>
      </c>
      <c r="H74" s="7">
        <v>999999</v>
      </c>
      <c r="I74" s="7">
        <v>999999</v>
      </c>
      <c r="J74" s="7">
        <v>999999</v>
      </c>
      <c r="K74" s="7">
        <v>999999</v>
      </c>
      <c r="L74" s="7">
        <v>999999</v>
      </c>
      <c r="M74" s="7">
        <v>999999</v>
      </c>
      <c r="N74" s="7">
        <v>999999</v>
      </c>
      <c r="O74" s="7">
        <v>999999</v>
      </c>
      <c r="P74" s="7">
        <v>999999</v>
      </c>
      <c r="Q74" s="7">
        <v>999999</v>
      </c>
      <c r="R74" s="7">
        <v>999999</v>
      </c>
      <c r="S74" s="7">
        <v>999999</v>
      </c>
    </row>
    <row r="75" spans="1:19" s="1" customFormat="1">
      <c r="A75" s="1">
        <v>200</v>
      </c>
      <c r="B75" s="7">
        <v>999999</v>
      </c>
      <c r="C75" s="7">
        <v>999999</v>
      </c>
      <c r="D75" s="7">
        <v>999999</v>
      </c>
      <c r="E75" s="7">
        <v>999999</v>
      </c>
      <c r="F75" s="7">
        <v>999999</v>
      </c>
      <c r="G75" s="7">
        <v>999999</v>
      </c>
      <c r="H75" s="7">
        <v>999999</v>
      </c>
      <c r="I75" s="7">
        <v>999999</v>
      </c>
      <c r="J75" s="7">
        <v>999999</v>
      </c>
      <c r="K75" s="7">
        <v>999999</v>
      </c>
      <c r="L75" s="7">
        <v>999999</v>
      </c>
      <c r="M75" s="7">
        <v>999999</v>
      </c>
      <c r="N75" s="7">
        <v>999999</v>
      </c>
      <c r="O75" s="7">
        <v>999999</v>
      </c>
      <c r="P75" s="7">
        <v>999999</v>
      </c>
      <c r="Q75" s="7">
        <v>999999</v>
      </c>
      <c r="R75" s="7">
        <v>999999</v>
      </c>
      <c r="S75" s="7">
        <v>999999</v>
      </c>
    </row>
    <row r="76" spans="1:19" s="1" customFormat="1">
      <c r="A76" s="8" t="s">
        <v>13</v>
      </c>
      <c r="B76" s="32">
        <v>999999</v>
      </c>
      <c r="C76" s="32">
        <v>999999</v>
      </c>
      <c r="D76" s="32">
        <v>999999</v>
      </c>
      <c r="E76" s="32">
        <v>999999</v>
      </c>
      <c r="F76" s="32">
        <v>999999</v>
      </c>
      <c r="G76" s="32">
        <v>999999</v>
      </c>
      <c r="H76" s="32">
        <v>999999</v>
      </c>
      <c r="I76" s="32">
        <v>999999</v>
      </c>
      <c r="J76" s="32">
        <v>999999</v>
      </c>
      <c r="K76" s="32">
        <v>999999</v>
      </c>
      <c r="L76" s="32">
        <v>999999</v>
      </c>
      <c r="M76" s="32">
        <v>999999</v>
      </c>
      <c r="N76" s="32">
        <v>999999</v>
      </c>
      <c r="O76" s="32">
        <v>999999</v>
      </c>
      <c r="P76" s="32">
        <v>999999</v>
      </c>
      <c r="Q76" s="32">
        <v>999999</v>
      </c>
      <c r="R76" s="32">
        <v>999999</v>
      </c>
      <c r="S76" s="32">
        <v>999999</v>
      </c>
    </row>
    <row r="77" spans="1:19" s="1" customFormat="1"/>
    <row r="78" spans="1:19" s="1" customFormat="1"/>
    <row r="79" spans="1:19" s="1" customFormat="1">
      <c r="A79" s="1" t="s">
        <v>20</v>
      </c>
    </row>
    <row r="80" spans="1:19" s="1" customFormat="1"/>
    <row r="81" spans="1:19" s="1" customFormat="1">
      <c r="A81" s="2" t="s">
        <v>1</v>
      </c>
      <c r="B81" s="33" t="s">
        <v>2</v>
      </c>
      <c r="C81" s="33"/>
      <c r="D81" s="33" t="s">
        <v>3</v>
      </c>
      <c r="E81" s="33"/>
      <c r="F81" s="33" t="s">
        <v>4</v>
      </c>
      <c r="G81" s="33"/>
      <c r="H81" s="33" t="s">
        <v>5</v>
      </c>
      <c r="I81" s="33"/>
      <c r="J81" s="33"/>
      <c r="K81" s="33"/>
      <c r="L81" s="33" t="s">
        <v>6</v>
      </c>
      <c r="M81" s="33"/>
      <c r="N81" s="33"/>
      <c r="O81" s="33"/>
      <c r="P81" s="33" t="s">
        <v>7</v>
      </c>
      <c r="Q81" s="33"/>
      <c r="R81" s="33"/>
      <c r="S81" s="33"/>
    </row>
    <row r="82" spans="1:19" s="6" customFormat="1" ht="24">
      <c r="A82" s="3"/>
      <c r="B82" s="4" t="s">
        <v>8</v>
      </c>
      <c r="C82" s="5" t="s">
        <v>9</v>
      </c>
      <c r="D82" s="4" t="s">
        <v>8</v>
      </c>
      <c r="E82" s="5" t="s">
        <v>9</v>
      </c>
      <c r="F82" s="4" t="s">
        <v>8</v>
      </c>
      <c r="G82" s="5" t="s">
        <v>9</v>
      </c>
      <c r="H82" s="4" t="s">
        <v>10</v>
      </c>
      <c r="I82" s="4" t="s">
        <v>11</v>
      </c>
      <c r="J82" s="4" t="s">
        <v>8</v>
      </c>
      <c r="K82" s="5" t="s">
        <v>9</v>
      </c>
      <c r="L82" s="4" t="s">
        <v>12</v>
      </c>
      <c r="M82" s="4" t="s">
        <v>11</v>
      </c>
      <c r="N82" s="4" t="s">
        <v>8</v>
      </c>
      <c r="O82" s="5" t="s">
        <v>9</v>
      </c>
      <c r="P82" s="4" t="s">
        <v>12</v>
      </c>
      <c r="Q82" s="4" t="s">
        <v>11</v>
      </c>
      <c r="R82" s="4" t="s">
        <v>8</v>
      </c>
      <c r="S82" s="5" t="s">
        <v>9</v>
      </c>
    </row>
    <row r="83" spans="1:19" s="1" customFormat="1">
      <c r="A83" s="1">
        <v>10</v>
      </c>
      <c r="B83" s="7">
        <v>999999</v>
      </c>
      <c r="C83" s="7">
        <v>999999</v>
      </c>
      <c r="D83" s="7">
        <v>999999</v>
      </c>
      <c r="E83" s="7">
        <v>999999</v>
      </c>
      <c r="F83" s="7">
        <v>999999</v>
      </c>
      <c r="G83" s="7">
        <v>999999</v>
      </c>
      <c r="H83" s="7">
        <v>999999</v>
      </c>
      <c r="I83" s="7">
        <v>999999</v>
      </c>
      <c r="J83" s="7">
        <v>999999</v>
      </c>
      <c r="K83" s="7">
        <v>999999</v>
      </c>
      <c r="L83" s="7">
        <v>999999</v>
      </c>
      <c r="M83" s="7">
        <v>999999</v>
      </c>
      <c r="N83" s="7">
        <v>999999</v>
      </c>
      <c r="O83" s="7">
        <v>999999</v>
      </c>
      <c r="P83" s="7">
        <v>999999</v>
      </c>
      <c r="Q83" s="7">
        <v>999999</v>
      </c>
      <c r="R83" s="7">
        <v>999999</v>
      </c>
      <c r="S83" s="7">
        <v>999999</v>
      </c>
    </row>
    <row r="84" spans="1:19" s="1" customFormat="1">
      <c r="A84" s="1">
        <v>25</v>
      </c>
      <c r="B84" s="7">
        <v>999999</v>
      </c>
      <c r="C84" s="7">
        <v>999999</v>
      </c>
      <c r="D84" s="7">
        <v>999999</v>
      </c>
      <c r="E84" s="7">
        <v>999999</v>
      </c>
      <c r="F84" s="7">
        <v>999999</v>
      </c>
      <c r="G84" s="7">
        <v>999999</v>
      </c>
      <c r="H84" s="7">
        <v>999999</v>
      </c>
      <c r="I84" s="7">
        <v>999999</v>
      </c>
      <c r="J84" s="7">
        <v>999999</v>
      </c>
      <c r="K84" s="7">
        <v>999999</v>
      </c>
      <c r="L84" s="7">
        <v>999999</v>
      </c>
      <c r="M84" s="7">
        <v>999999</v>
      </c>
      <c r="N84" s="7">
        <v>999999</v>
      </c>
      <c r="O84" s="7">
        <v>999999</v>
      </c>
      <c r="P84" s="7">
        <v>999999</v>
      </c>
      <c r="Q84" s="7">
        <v>999999</v>
      </c>
      <c r="R84" s="7">
        <v>999999</v>
      </c>
      <c r="S84" s="7">
        <v>999999</v>
      </c>
    </row>
    <row r="85" spans="1:19" s="1" customFormat="1">
      <c r="A85" s="1">
        <v>100</v>
      </c>
      <c r="B85" s="7">
        <v>999999</v>
      </c>
      <c r="C85" s="7">
        <v>999999</v>
      </c>
      <c r="D85" s="7">
        <v>999999</v>
      </c>
      <c r="E85" s="7">
        <v>999999</v>
      </c>
      <c r="F85" s="7">
        <v>999999</v>
      </c>
      <c r="G85" s="7">
        <v>999999</v>
      </c>
      <c r="H85" s="7">
        <v>999999</v>
      </c>
      <c r="I85" s="7">
        <v>999999</v>
      </c>
      <c r="J85" s="7">
        <v>999999</v>
      </c>
      <c r="K85" s="7">
        <v>999999</v>
      </c>
      <c r="L85" s="7">
        <v>999999</v>
      </c>
      <c r="M85" s="7">
        <v>999999</v>
      </c>
      <c r="N85" s="7">
        <v>999999</v>
      </c>
      <c r="O85" s="7">
        <v>999999</v>
      </c>
      <c r="P85" s="7">
        <v>999999</v>
      </c>
      <c r="Q85" s="7">
        <v>999999</v>
      </c>
      <c r="R85" s="7">
        <v>999999</v>
      </c>
      <c r="S85" s="7">
        <v>999999</v>
      </c>
    </row>
    <row r="86" spans="1:19" s="1" customFormat="1">
      <c r="A86" s="1">
        <v>200</v>
      </c>
      <c r="B86" s="7">
        <v>999999</v>
      </c>
      <c r="C86" s="7">
        <v>999999</v>
      </c>
      <c r="D86" s="7">
        <v>999999</v>
      </c>
      <c r="E86" s="7">
        <v>999999</v>
      </c>
      <c r="F86" s="7">
        <v>999999</v>
      </c>
      <c r="G86" s="7">
        <v>999999</v>
      </c>
      <c r="H86" s="7">
        <v>999999</v>
      </c>
      <c r="I86" s="7">
        <v>999999</v>
      </c>
      <c r="J86" s="7">
        <v>999999</v>
      </c>
      <c r="K86" s="7">
        <v>999999</v>
      </c>
      <c r="L86" s="7">
        <v>999999</v>
      </c>
      <c r="M86" s="7">
        <v>999999</v>
      </c>
      <c r="N86" s="7">
        <v>999999</v>
      </c>
      <c r="O86" s="7">
        <v>999999</v>
      </c>
      <c r="P86" s="7">
        <v>999999</v>
      </c>
      <c r="Q86" s="7">
        <v>999999</v>
      </c>
      <c r="R86" s="7">
        <v>999999</v>
      </c>
      <c r="S86" s="7">
        <v>999999</v>
      </c>
    </row>
    <row r="87" spans="1:19" s="1" customFormat="1">
      <c r="A87" s="8" t="s">
        <v>13</v>
      </c>
      <c r="B87" s="32">
        <v>999999</v>
      </c>
      <c r="C87" s="32">
        <v>999999</v>
      </c>
      <c r="D87" s="32">
        <v>999999</v>
      </c>
      <c r="E87" s="32">
        <v>999999</v>
      </c>
      <c r="F87" s="32">
        <v>999999</v>
      </c>
      <c r="G87" s="32">
        <v>999999</v>
      </c>
      <c r="H87" s="32">
        <v>999999</v>
      </c>
      <c r="I87" s="32">
        <v>999999</v>
      </c>
      <c r="J87" s="32">
        <v>999999</v>
      </c>
      <c r="K87" s="32">
        <v>999999</v>
      </c>
      <c r="L87" s="32">
        <v>999999</v>
      </c>
      <c r="M87" s="32">
        <v>999999</v>
      </c>
      <c r="N87" s="32">
        <v>999999</v>
      </c>
      <c r="O87" s="32">
        <v>999999</v>
      </c>
      <c r="P87" s="32">
        <v>999999</v>
      </c>
      <c r="Q87" s="32">
        <v>999999</v>
      </c>
      <c r="R87" s="32">
        <v>999999</v>
      </c>
      <c r="S87" s="32">
        <v>999999</v>
      </c>
    </row>
    <row r="88" spans="1:19" s="1" customFormat="1"/>
    <row r="89" spans="1:19" s="1" customFormat="1"/>
    <row r="90" spans="1:19" s="1" customFormat="1">
      <c r="A90" s="1" t="s">
        <v>21</v>
      </c>
    </row>
    <row r="91" spans="1:19" s="1" customFormat="1"/>
    <row r="92" spans="1:19" s="1" customFormat="1">
      <c r="A92" s="2" t="s">
        <v>1</v>
      </c>
      <c r="B92" s="33" t="s">
        <v>2</v>
      </c>
      <c r="C92" s="33"/>
      <c r="D92" s="33" t="s">
        <v>3</v>
      </c>
      <c r="E92" s="33"/>
      <c r="F92" s="33" t="s">
        <v>4</v>
      </c>
      <c r="G92" s="33"/>
      <c r="H92" s="33" t="s">
        <v>5</v>
      </c>
      <c r="I92" s="33"/>
      <c r="J92" s="33"/>
      <c r="K92" s="33"/>
      <c r="L92" s="33" t="s">
        <v>6</v>
      </c>
      <c r="M92" s="33"/>
      <c r="N92" s="33"/>
      <c r="O92" s="33"/>
      <c r="P92" s="33" t="s">
        <v>7</v>
      </c>
      <c r="Q92" s="33"/>
      <c r="R92" s="33"/>
      <c r="S92" s="33"/>
    </row>
    <row r="93" spans="1:19" s="6" customFormat="1" ht="24">
      <c r="A93" s="3"/>
      <c r="B93" s="4" t="s">
        <v>8</v>
      </c>
      <c r="C93" s="5" t="s">
        <v>9</v>
      </c>
      <c r="D93" s="4" t="s">
        <v>8</v>
      </c>
      <c r="E93" s="5" t="s">
        <v>9</v>
      </c>
      <c r="F93" s="4" t="s">
        <v>8</v>
      </c>
      <c r="G93" s="5" t="s">
        <v>9</v>
      </c>
      <c r="H93" s="4" t="s">
        <v>10</v>
      </c>
      <c r="I93" s="4" t="s">
        <v>11</v>
      </c>
      <c r="J93" s="4" t="s">
        <v>8</v>
      </c>
      <c r="K93" s="5" t="s">
        <v>9</v>
      </c>
      <c r="L93" s="4" t="s">
        <v>12</v>
      </c>
      <c r="M93" s="4" t="s">
        <v>11</v>
      </c>
      <c r="N93" s="4" t="s">
        <v>8</v>
      </c>
      <c r="O93" s="5" t="s">
        <v>9</v>
      </c>
      <c r="P93" s="4" t="s">
        <v>12</v>
      </c>
      <c r="Q93" s="4" t="s">
        <v>11</v>
      </c>
      <c r="R93" s="4" t="s">
        <v>8</v>
      </c>
      <c r="S93" s="5" t="s">
        <v>9</v>
      </c>
    </row>
    <row r="94" spans="1:19" s="1" customFormat="1">
      <c r="A94" s="1">
        <v>10</v>
      </c>
      <c r="B94" s="7">
        <v>999999</v>
      </c>
      <c r="C94" s="7">
        <v>999999</v>
      </c>
      <c r="D94" s="7">
        <v>999999</v>
      </c>
      <c r="E94" s="7">
        <v>999999</v>
      </c>
      <c r="F94" s="7">
        <v>999999</v>
      </c>
      <c r="G94" s="7">
        <v>999999</v>
      </c>
      <c r="H94" s="7">
        <v>999999</v>
      </c>
      <c r="I94" s="7">
        <v>999999</v>
      </c>
      <c r="J94" s="7">
        <v>999999</v>
      </c>
      <c r="K94" s="7">
        <v>999999</v>
      </c>
      <c r="L94" s="7">
        <v>999999</v>
      </c>
      <c r="M94" s="7">
        <v>999999</v>
      </c>
      <c r="N94" s="7">
        <v>999999</v>
      </c>
      <c r="O94" s="7">
        <v>999999</v>
      </c>
      <c r="P94" s="7">
        <v>999999</v>
      </c>
      <c r="Q94" s="7">
        <v>999999</v>
      </c>
      <c r="R94" s="7">
        <v>999999</v>
      </c>
      <c r="S94" s="7">
        <v>999999</v>
      </c>
    </row>
    <row r="95" spans="1:19" s="1" customFormat="1">
      <c r="A95" s="1">
        <v>25</v>
      </c>
      <c r="B95" s="7">
        <v>999999</v>
      </c>
      <c r="C95" s="7">
        <v>999999</v>
      </c>
      <c r="D95" s="7">
        <v>999999</v>
      </c>
      <c r="E95" s="7">
        <v>999999</v>
      </c>
      <c r="F95" s="7">
        <v>999999</v>
      </c>
      <c r="G95" s="7">
        <v>999999</v>
      </c>
      <c r="H95" s="7">
        <v>999999</v>
      </c>
      <c r="I95" s="7">
        <v>999999</v>
      </c>
      <c r="J95" s="7">
        <v>999999</v>
      </c>
      <c r="K95" s="7">
        <v>999999</v>
      </c>
      <c r="L95" s="7">
        <v>999999</v>
      </c>
      <c r="M95" s="7">
        <v>999999</v>
      </c>
      <c r="N95" s="7">
        <v>999999</v>
      </c>
      <c r="O95" s="7">
        <v>999999</v>
      </c>
      <c r="P95" s="7">
        <v>999999</v>
      </c>
      <c r="Q95" s="7">
        <v>999999</v>
      </c>
      <c r="R95" s="7">
        <v>999999</v>
      </c>
      <c r="S95" s="7">
        <v>999999</v>
      </c>
    </row>
    <row r="96" spans="1:19" s="1" customFormat="1">
      <c r="A96" s="1">
        <v>100</v>
      </c>
      <c r="B96" s="7">
        <v>999999</v>
      </c>
      <c r="C96" s="7">
        <v>999999</v>
      </c>
      <c r="D96" s="7">
        <v>999999</v>
      </c>
      <c r="E96" s="7">
        <v>999999</v>
      </c>
      <c r="F96" s="7">
        <v>999999</v>
      </c>
      <c r="G96" s="7">
        <v>999999</v>
      </c>
      <c r="H96" s="7">
        <v>999999</v>
      </c>
      <c r="I96" s="7">
        <v>999999</v>
      </c>
      <c r="J96" s="7">
        <v>999999</v>
      </c>
      <c r="K96" s="7">
        <v>999999</v>
      </c>
      <c r="L96" s="7">
        <v>999999</v>
      </c>
      <c r="M96" s="7">
        <v>999999</v>
      </c>
      <c r="N96" s="7">
        <v>999999</v>
      </c>
      <c r="O96" s="7">
        <v>999999</v>
      </c>
      <c r="P96" s="7">
        <v>999999</v>
      </c>
      <c r="Q96" s="7">
        <v>999999</v>
      </c>
      <c r="R96" s="7">
        <v>999999</v>
      </c>
      <c r="S96" s="7">
        <v>999999</v>
      </c>
    </row>
    <row r="97" spans="1:19" s="1" customFormat="1">
      <c r="A97" s="1">
        <v>200</v>
      </c>
      <c r="B97" s="7">
        <v>999999</v>
      </c>
      <c r="C97" s="7">
        <v>999999</v>
      </c>
      <c r="D97" s="7">
        <v>999999</v>
      </c>
      <c r="E97" s="7">
        <v>999999</v>
      </c>
      <c r="F97" s="7">
        <v>999999</v>
      </c>
      <c r="G97" s="7">
        <v>999999</v>
      </c>
      <c r="H97" s="7">
        <v>999999</v>
      </c>
      <c r="I97" s="7">
        <v>999999</v>
      </c>
      <c r="J97" s="7">
        <v>999999</v>
      </c>
      <c r="K97" s="7">
        <v>999999</v>
      </c>
      <c r="L97" s="7">
        <v>999999</v>
      </c>
      <c r="M97" s="7">
        <v>999999</v>
      </c>
      <c r="N97" s="7">
        <v>999999</v>
      </c>
      <c r="O97" s="7">
        <v>999999</v>
      </c>
      <c r="P97" s="7">
        <v>999999</v>
      </c>
      <c r="Q97" s="7">
        <v>999999</v>
      </c>
      <c r="R97" s="7">
        <v>999999</v>
      </c>
      <c r="S97" s="7">
        <v>999999</v>
      </c>
    </row>
    <row r="98" spans="1:19" s="1" customFormat="1">
      <c r="A98" s="8" t="s">
        <v>13</v>
      </c>
      <c r="B98" s="32">
        <v>999999</v>
      </c>
      <c r="C98" s="32">
        <v>999999</v>
      </c>
      <c r="D98" s="32">
        <v>999999</v>
      </c>
      <c r="E98" s="32">
        <v>999999</v>
      </c>
      <c r="F98" s="32">
        <v>999999</v>
      </c>
      <c r="G98" s="32">
        <v>999999</v>
      </c>
      <c r="H98" s="32">
        <v>999999</v>
      </c>
      <c r="I98" s="32">
        <v>999999</v>
      </c>
      <c r="J98" s="32">
        <v>999999</v>
      </c>
      <c r="K98" s="32">
        <v>999999</v>
      </c>
      <c r="L98" s="32">
        <v>999999</v>
      </c>
      <c r="M98" s="32">
        <v>999999</v>
      </c>
      <c r="N98" s="32">
        <v>999999</v>
      </c>
      <c r="O98" s="32">
        <v>999999</v>
      </c>
      <c r="P98" s="32">
        <v>999999</v>
      </c>
      <c r="Q98" s="32">
        <v>999999</v>
      </c>
      <c r="R98" s="32">
        <v>999999</v>
      </c>
      <c r="S98" s="32">
        <v>999999</v>
      </c>
    </row>
  </sheetData>
  <mergeCells count="54"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92:S92"/>
    <mergeCell ref="B92:C92"/>
    <mergeCell ref="D92:E92"/>
    <mergeCell ref="F92:G92"/>
    <mergeCell ref="H92:K92"/>
    <mergeCell ref="L92:O9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C9BF-A7E0-491A-A056-6D8F45A5874D}">
  <dimension ref="A1:G8"/>
  <sheetViews>
    <sheetView workbookViewId="0">
      <selection activeCell="C8" sqref="C8"/>
    </sheetView>
  </sheetViews>
  <sheetFormatPr defaultRowHeight="14.5"/>
  <cols>
    <col min="1" max="1" width="8.6328125" bestFit="1" customWidth="1"/>
    <col min="3" max="3" width="19" bestFit="1" customWidth="1"/>
  </cols>
  <sheetData>
    <row r="1" spans="1:7">
      <c r="A1" t="s">
        <v>60</v>
      </c>
    </row>
    <row r="2" spans="1:7">
      <c r="A2" t="s">
        <v>73</v>
      </c>
    </row>
    <row r="3" spans="1:7">
      <c r="B3" s="48">
        <v>2010</v>
      </c>
      <c r="C3" s="48">
        <v>2020</v>
      </c>
      <c r="D3" s="48">
        <v>2030</v>
      </c>
      <c r="E3" s="48">
        <v>2050</v>
      </c>
      <c r="F3" s="48">
        <v>2080</v>
      </c>
      <c r="G3" s="47"/>
    </row>
    <row r="4" spans="1:7" ht="36">
      <c r="A4" s="49" t="s">
        <v>61</v>
      </c>
      <c r="B4" s="50" t="s">
        <v>62</v>
      </c>
      <c r="C4" s="50">
        <f>(1.2+5)/2</f>
        <v>3.1</v>
      </c>
      <c r="D4" s="50" t="s">
        <v>63</v>
      </c>
      <c r="E4" s="50" t="s">
        <v>64</v>
      </c>
      <c r="F4" s="50" t="s">
        <v>65</v>
      </c>
    </row>
    <row r="5" spans="1:7">
      <c r="A5" s="49" t="s">
        <v>66</v>
      </c>
      <c r="B5" s="50" t="s">
        <v>67</v>
      </c>
      <c r="C5" s="50"/>
      <c r="D5" s="50" t="s">
        <v>68</v>
      </c>
      <c r="E5" s="50" t="s">
        <v>69</v>
      </c>
      <c r="F5" s="50" t="s">
        <v>70</v>
      </c>
    </row>
    <row r="6" spans="1:7" ht="36">
      <c r="A6" s="49" t="s">
        <v>71</v>
      </c>
      <c r="B6" s="51">
        <v>4.2299999999999997E-2</v>
      </c>
      <c r="C6" s="51">
        <f>(B6+D6)/2</f>
        <v>4.7799999999999995E-2</v>
      </c>
      <c r="D6" s="51">
        <v>5.33E-2</v>
      </c>
      <c r="E6" s="51">
        <v>5.7799999999999997E-2</v>
      </c>
      <c r="F6" s="51">
        <v>5.6800000000000003E-2</v>
      </c>
    </row>
    <row r="7" spans="1:7" ht="36">
      <c r="A7" s="49" t="s">
        <v>72</v>
      </c>
      <c r="B7" s="50">
        <v>7</v>
      </c>
      <c r="C7" s="50"/>
      <c r="D7" s="50">
        <v>6.4</v>
      </c>
      <c r="E7" s="50">
        <v>5.6</v>
      </c>
      <c r="F7" s="50">
        <v>5.2</v>
      </c>
    </row>
    <row r="8" spans="1:7">
      <c r="C8" s="52">
        <f>12/3.1</f>
        <v>3.8709677419354835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G62"/>
  <sheetViews>
    <sheetView workbookViewId="0">
      <selection activeCell="A40" sqref="A40"/>
    </sheetView>
  </sheetViews>
  <sheetFormatPr defaultColWidth="8.81640625" defaultRowHeight="14.5"/>
  <cols>
    <col min="2" max="2" width="9.81640625" customWidth="1"/>
    <col min="3" max="3" width="10.453125" customWidth="1"/>
  </cols>
  <sheetData>
    <row r="2" spans="1:7">
      <c r="A2" s="1" t="s">
        <v>0</v>
      </c>
    </row>
    <row r="3" spans="1:7" s="1" customFormat="1"/>
    <row r="4" spans="1:7" s="1" customFormat="1">
      <c r="A4" s="2" t="s">
        <v>1</v>
      </c>
      <c r="B4" s="33" t="s">
        <v>22</v>
      </c>
      <c r="C4" s="33"/>
      <c r="D4" s="33" t="s">
        <v>23</v>
      </c>
      <c r="E4" s="33"/>
      <c r="F4" s="33" t="s">
        <v>24</v>
      </c>
      <c r="G4" s="33"/>
    </row>
    <row r="5" spans="1:7" s="6" customFormat="1" ht="24">
      <c r="A5" s="3"/>
      <c r="B5" s="4" t="s">
        <v>8</v>
      </c>
      <c r="C5" s="5" t="s">
        <v>9</v>
      </c>
      <c r="D5" s="4" t="s">
        <v>8</v>
      </c>
      <c r="E5" s="5" t="s">
        <v>9</v>
      </c>
      <c r="F5" s="4" t="s">
        <v>8</v>
      </c>
      <c r="G5" s="5" t="s">
        <v>9</v>
      </c>
    </row>
    <row r="6" spans="1:7" s="1" customFormat="1">
      <c r="A6" s="1">
        <v>10</v>
      </c>
      <c r="B6" s="7"/>
      <c r="C6" s="7"/>
    </row>
    <row r="7" spans="1:7" s="1" customFormat="1">
      <c r="A7" s="1">
        <v>25</v>
      </c>
    </row>
    <row r="8" spans="1:7" s="1" customFormat="1">
      <c r="A8" s="1">
        <v>100</v>
      </c>
    </row>
    <row r="9" spans="1:7" s="1" customFormat="1">
      <c r="A9" s="1">
        <v>200</v>
      </c>
    </row>
    <row r="10" spans="1:7" s="1" customFormat="1">
      <c r="A10" s="8" t="s">
        <v>13</v>
      </c>
      <c r="B10" s="8"/>
      <c r="C10" s="8"/>
      <c r="D10" s="8"/>
      <c r="E10" s="8"/>
      <c r="F10" s="8"/>
      <c r="G10" s="8"/>
    </row>
    <row r="11" spans="1:7" s="1" customFormat="1"/>
    <row r="12" spans="1:7" s="1" customFormat="1"/>
    <row r="13" spans="1:7" s="1" customFormat="1">
      <c r="A13" s="1" t="s">
        <v>14</v>
      </c>
    </row>
    <row r="14" spans="1:7" s="1" customFormat="1"/>
    <row r="15" spans="1:7" s="1" customFormat="1">
      <c r="A15" s="2" t="s">
        <v>1</v>
      </c>
      <c r="B15" s="33" t="s">
        <v>22</v>
      </c>
      <c r="C15" s="33"/>
      <c r="D15" s="33" t="s">
        <v>23</v>
      </c>
      <c r="E15" s="33"/>
      <c r="F15" s="33" t="s">
        <v>24</v>
      </c>
      <c r="G15" s="33"/>
    </row>
    <row r="16" spans="1:7" s="6" customFormat="1" ht="24">
      <c r="A16" s="3"/>
      <c r="B16" s="4" t="s">
        <v>8</v>
      </c>
      <c r="C16" s="5" t="s">
        <v>9</v>
      </c>
      <c r="D16" s="4" t="s">
        <v>8</v>
      </c>
      <c r="E16" s="5" t="s">
        <v>9</v>
      </c>
      <c r="F16" s="4" t="s">
        <v>8</v>
      </c>
      <c r="G16" s="5" t="s">
        <v>9</v>
      </c>
    </row>
    <row r="17" spans="1:7" s="1" customFormat="1">
      <c r="A17" s="1">
        <v>10</v>
      </c>
      <c r="B17" s="7"/>
      <c r="C17" s="7"/>
    </row>
    <row r="18" spans="1:7" s="1" customFormat="1">
      <c r="A18" s="1">
        <v>25</v>
      </c>
    </row>
    <row r="19" spans="1:7" s="1" customFormat="1">
      <c r="A19" s="1">
        <v>100</v>
      </c>
    </row>
    <row r="20" spans="1:7" s="1" customFormat="1">
      <c r="A20" s="1">
        <v>200</v>
      </c>
    </row>
    <row r="21" spans="1:7" s="1" customFormat="1">
      <c r="A21" s="1">
        <v>500</v>
      </c>
    </row>
    <row r="22" spans="1:7" s="1" customFormat="1">
      <c r="A22" s="1">
        <v>1000</v>
      </c>
    </row>
    <row r="23" spans="1:7" s="1" customFormat="1">
      <c r="A23" s="8" t="s">
        <v>13</v>
      </c>
      <c r="B23" s="8"/>
      <c r="C23" s="8"/>
      <c r="D23" s="8"/>
      <c r="E23" s="8"/>
      <c r="F23" s="8"/>
      <c r="G23" s="8"/>
    </row>
    <row r="24" spans="1:7" s="1" customFormat="1"/>
    <row r="25" spans="1:7" s="1" customFormat="1"/>
    <row r="26" spans="1:7" s="1" customFormat="1">
      <c r="A26" s="1" t="s">
        <v>15</v>
      </c>
    </row>
    <row r="27" spans="1:7" s="1" customFormat="1"/>
    <row r="28" spans="1:7" s="1" customFormat="1">
      <c r="A28" s="2" t="s">
        <v>1</v>
      </c>
      <c r="B28" s="33" t="s">
        <v>22</v>
      </c>
      <c r="C28" s="33"/>
      <c r="D28" s="33" t="s">
        <v>23</v>
      </c>
      <c r="E28" s="33"/>
      <c r="F28" s="33" t="s">
        <v>24</v>
      </c>
      <c r="G28" s="33"/>
    </row>
    <row r="29" spans="1:7" s="6" customFormat="1" ht="24">
      <c r="A29" s="3"/>
      <c r="B29" s="4" t="s">
        <v>8</v>
      </c>
      <c r="C29" s="5" t="s">
        <v>9</v>
      </c>
      <c r="D29" s="4" t="s">
        <v>8</v>
      </c>
      <c r="E29" s="5" t="s">
        <v>9</v>
      </c>
      <c r="F29" s="4" t="s">
        <v>8</v>
      </c>
      <c r="G29" s="5" t="s">
        <v>9</v>
      </c>
    </row>
    <row r="30" spans="1:7" s="1" customFormat="1">
      <c r="A30" s="1">
        <v>10</v>
      </c>
      <c r="B30" s="7"/>
      <c r="C30" s="7"/>
    </row>
    <row r="31" spans="1:7" s="1" customFormat="1">
      <c r="A31" s="1">
        <v>25</v>
      </c>
    </row>
    <row r="32" spans="1:7" s="1" customFormat="1">
      <c r="A32" s="1">
        <v>100</v>
      </c>
    </row>
    <row r="33" spans="1:7" s="1" customFormat="1">
      <c r="A33" s="1">
        <v>200</v>
      </c>
    </row>
    <row r="34" spans="1:7" s="1" customFormat="1">
      <c r="A34" s="1">
        <v>500</v>
      </c>
    </row>
    <row r="35" spans="1:7" s="1" customFormat="1">
      <c r="A35" s="1">
        <v>1000</v>
      </c>
    </row>
    <row r="36" spans="1:7" s="1" customFormat="1">
      <c r="A36" s="8" t="s">
        <v>13</v>
      </c>
      <c r="B36" s="8"/>
      <c r="C36" s="8"/>
      <c r="D36" s="8"/>
      <c r="E36" s="8"/>
      <c r="F36" s="8"/>
      <c r="G36" s="8"/>
    </row>
    <row r="37" spans="1:7" s="1" customFormat="1"/>
    <row r="38" spans="1:7" s="1" customFormat="1"/>
    <row r="39" spans="1:7" s="1" customFormat="1">
      <c r="A39" s="1" t="s">
        <v>16</v>
      </c>
    </row>
    <row r="40" spans="1:7" s="1" customFormat="1"/>
    <row r="41" spans="1:7" s="1" customFormat="1">
      <c r="A41" s="2" t="s">
        <v>1</v>
      </c>
      <c r="B41" s="33" t="s">
        <v>22</v>
      </c>
      <c r="C41" s="33"/>
      <c r="D41" s="33" t="s">
        <v>23</v>
      </c>
      <c r="E41" s="33"/>
      <c r="F41" s="33" t="s">
        <v>24</v>
      </c>
      <c r="G41" s="33"/>
    </row>
    <row r="42" spans="1:7" s="6" customFormat="1" ht="24">
      <c r="A42" s="3"/>
      <c r="B42" s="4" t="s">
        <v>8</v>
      </c>
      <c r="C42" s="5" t="s">
        <v>9</v>
      </c>
      <c r="D42" s="4" t="s">
        <v>8</v>
      </c>
      <c r="E42" s="5" t="s">
        <v>9</v>
      </c>
      <c r="F42" s="4" t="s">
        <v>8</v>
      </c>
      <c r="G42" s="5" t="s">
        <v>9</v>
      </c>
    </row>
    <row r="43" spans="1:7" s="1" customFormat="1">
      <c r="A43" s="1">
        <v>10</v>
      </c>
      <c r="B43" s="7"/>
      <c r="C43" s="7"/>
    </row>
    <row r="44" spans="1:7" s="1" customFormat="1">
      <c r="A44" s="1">
        <v>25</v>
      </c>
    </row>
    <row r="45" spans="1:7" s="1" customFormat="1">
      <c r="A45" s="1">
        <v>100</v>
      </c>
    </row>
    <row r="46" spans="1:7" s="1" customFormat="1">
      <c r="A46" s="1">
        <v>200</v>
      </c>
    </row>
    <row r="47" spans="1:7" s="1" customFormat="1">
      <c r="A47" s="1">
        <v>500</v>
      </c>
    </row>
    <row r="48" spans="1:7" s="1" customFormat="1">
      <c r="A48" s="1">
        <v>1000</v>
      </c>
    </row>
    <row r="49" spans="1:7" s="1" customFormat="1">
      <c r="A49" s="8" t="s">
        <v>13</v>
      </c>
      <c r="B49" s="8"/>
      <c r="C49" s="8"/>
      <c r="D49" s="8"/>
      <c r="E49" s="8"/>
      <c r="F49" s="8"/>
      <c r="G49" s="8"/>
    </row>
    <row r="50" spans="1:7" s="1" customFormat="1"/>
    <row r="52" spans="1:7" s="1" customFormat="1">
      <c r="A52" s="1" t="s">
        <v>17</v>
      </c>
    </row>
    <row r="53" spans="1:7" s="1" customFormat="1"/>
    <row r="54" spans="1:7" s="1" customFormat="1">
      <c r="A54" s="2" t="s">
        <v>1</v>
      </c>
      <c r="B54" s="33" t="s">
        <v>22</v>
      </c>
      <c r="C54" s="33"/>
      <c r="D54" s="33" t="s">
        <v>23</v>
      </c>
      <c r="E54" s="33"/>
      <c r="F54" s="33" t="s">
        <v>24</v>
      </c>
      <c r="G54" s="33"/>
    </row>
    <row r="55" spans="1:7" s="6" customFormat="1" ht="24">
      <c r="A55" s="3"/>
      <c r="B55" s="4" t="s">
        <v>8</v>
      </c>
      <c r="C55" s="5" t="s">
        <v>9</v>
      </c>
      <c r="D55" s="4" t="s">
        <v>8</v>
      </c>
      <c r="E55" s="5" t="s">
        <v>9</v>
      </c>
      <c r="F55" s="4" t="s">
        <v>8</v>
      </c>
      <c r="G55" s="5" t="s">
        <v>9</v>
      </c>
    </row>
    <row r="56" spans="1:7" s="1" customFormat="1">
      <c r="A56" s="1">
        <v>10</v>
      </c>
      <c r="B56" s="7"/>
      <c r="C56" s="7"/>
    </row>
    <row r="57" spans="1:7" s="1" customFormat="1">
      <c r="A57" s="1">
        <v>25</v>
      </c>
    </row>
    <row r="58" spans="1:7" s="1" customFormat="1">
      <c r="A58" s="1">
        <v>100</v>
      </c>
    </row>
    <row r="59" spans="1:7" s="1" customFormat="1">
      <c r="A59" s="1">
        <v>200</v>
      </c>
    </row>
    <row r="60" spans="1:7" s="1" customFormat="1">
      <c r="A60" s="1">
        <v>500</v>
      </c>
    </row>
    <row r="61" spans="1:7" s="1" customFormat="1">
      <c r="A61" s="1">
        <v>1000</v>
      </c>
    </row>
    <row r="62" spans="1:7" s="1" customFormat="1">
      <c r="A62" s="8" t="s">
        <v>13</v>
      </c>
      <c r="B62" s="8"/>
      <c r="C62" s="8"/>
      <c r="D62" s="8"/>
      <c r="E62" s="8"/>
      <c r="F62" s="8"/>
      <c r="G62" s="8"/>
    </row>
  </sheetData>
  <mergeCells count="15">
    <mergeCell ref="B28:C28"/>
    <mergeCell ref="D28:E28"/>
    <mergeCell ref="F28:G28"/>
    <mergeCell ref="B54:C54"/>
    <mergeCell ref="D54:E54"/>
    <mergeCell ref="F54:G54"/>
    <mergeCell ref="B41:C41"/>
    <mergeCell ref="D41:E41"/>
    <mergeCell ref="F41:G41"/>
    <mergeCell ref="B4:C4"/>
    <mergeCell ref="D4:E4"/>
    <mergeCell ref="F4:G4"/>
    <mergeCell ref="B15:C15"/>
    <mergeCell ref="D15:E15"/>
    <mergeCell ref="F15:G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/>
  </sheetViews>
  <sheetFormatPr defaultColWidth="8.7265625" defaultRowHeight="14.5"/>
  <cols>
    <col min="1" max="1" width="17.7265625" style="9" customWidth="1"/>
    <col min="2" max="19" width="10.7265625" style="9" customWidth="1"/>
    <col min="20" max="16384" width="8.7265625" style="9"/>
  </cols>
  <sheetData>
    <row r="1" spans="1:19">
      <c r="A1" s="18"/>
      <c r="B1" s="18"/>
      <c r="C1" s="18"/>
    </row>
    <row r="2" spans="1:19">
      <c r="A2" s="19"/>
      <c r="B2" s="43" t="s">
        <v>25</v>
      </c>
      <c r="C2" s="44"/>
      <c r="D2" s="37" t="s">
        <v>26</v>
      </c>
      <c r="E2" s="36"/>
      <c r="F2" s="36"/>
      <c r="G2" s="36"/>
      <c r="H2" s="36"/>
      <c r="I2" s="36"/>
      <c r="J2" s="36"/>
      <c r="K2" s="38"/>
      <c r="L2" s="36" t="s">
        <v>27</v>
      </c>
      <c r="M2" s="36"/>
      <c r="N2" s="36"/>
      <c r="O2" s="36"/>
      <c r="P2" s="36"/>
      <c r="Q2" s="36"/>
      <c r="R2" s="36"/>
      <c r="S2" s="36"/>
    </row>
    <row r="3" spans="1:19">
      <c r="A3" s="19"/>
      <c r="B3" s="43"/>
      <c r="C3" s="44"/>
      <c r="D3" s="37">
        <v>2050</v>
      </c>
      <c r="E3" s="36"/>
      <c r="F3" s="36"/>
      <c r="G3" s="36"/>
      <c r="H3" s="36"/>
      <c r="I3" s="36"/>
      <c r="J3" s="36"/>
      <c r="K3" s="38"/>
      <c r="L3" s="36">
        <v>2050</v>
      </c>
      <c r="M3" s="36"/>
      <c r="N3" s="36"/>
      <c r="O3" s="36"/>
      <c r="P3" s="36"/>
      <c r="Q3" s="36"/>
      <c r="R3" s="36"/>
      <c r="S3" s="36"/>
    </row>
    <row r="4" spans="1:19" ht="29.15" customHeight="1">
      <c r="A4" s="19"/>
      <c r="B4" s="43"/>
      <c r="C4" s="44"/>
      <c r="D4" s="39" t="s">
        <v>28</v>
      </c>
      <c r="E4" s="40"/>
      <c r="F4" s="40"/>
      <c r="G4" s="41"/>
      <c r="H4" s="40" t="s">
        <v>29</v>
      </c>
      <c r="I4" s="40"/>
      <c r="J4" s="40"/>
      <c r="K4" s="40"/>
      <c r="L4" s="39" t="s">
        <v>28</v>
      </c>
      <c r="M4" s="40"/>
      <c r="N4" s="40"/>
      <c r="O4" s="41"/>
      <c r="P4" s="40" t="s">
        <v>29</v>
      </c>
      <c r="Q4" s="40"/>
      <c r="R4" s="40"/>
      <c r="S4" s="40"/>
    </row>
    <row r="5" spans="1:19" ht="29.15" customHeight="1">
      <c r="A5" s="19"/>
      <c r="B5" s="45"/>
      <c r="C5" s="46"/>
      <c r="D5" s="42" t="s">
        <v>30</v>
      </c>
      <c r="E5" s="34"/>
      <c r="F5" s="34" t="s">
        <v>31</v>
      </c>
      <c r="G5" s="35"/>
      <c r="H5" s="42" t="s">
        <v>30</v>
      </c>
      <c r="I5" s="34"/>
      <c r="J5" s="34" t="s">
        <v>31</v>
      </c>
      <c r="K5" s="35"/>
      <c r="L5" s="42" t="s">
        <v>30</v>
      </c>
      <c r="M5" s="34"/>
      <c r="N5" s="34" t="s">
        <v>31</v>
      </c>
      <c r="O5" s="35"/>
      <c r="P5" s="42" t="s">
        <v>30</v>
      </c>
      <c r="Q5" s="34"/>
      <c r="R5" s="34" t="s">
        <v>31</v>
      </c>
      <c r="S5" s="35"/>
    </row>
    <row r="6" spans="1:19">
      <c r="A6" s="12"/>
      <c r="B6" s="16" t="s">
        <v>32</v>
      </c>
      <c r="C6" s="15" t="s">
        <v>33</v>
      </c>
      <c r="D6" s="15" t="s">
        <v>32</v>
      </c>
      <c r="E6" s="15" t="s">
        <v>33</v>
      </c>
      <c r="F6" s="15" t="s">
        <v>32</v>
      </c>
      <c r="G6" s="15" t="s">
        <v>33</v>
      </c>
      <c r="H6" s="15" t="s">
        <v>32</v>
      </c>
      <c r="I6" s="15" t="s">
        <v>33</v>
      </c>
      <c r="J6" s="15" t="s">
        <v>32</v>
      </c>
      <c r="K6" s="15" t="s">
        <v>33</v>
      </c>
      <c r="L6" s="17" t="s">
        <v>32</v>
      </c>
      <c r="M6" s="15" t="s">
        <v>33</v>
      </c>
      <c r="N6" s="15" t="s">
        <v>32</v>
      </c>
      <c r="O6" s="15" t="s">
        <v>33</v>
      </c>
      <c r="P6" s="15" t="s">
        <v>32</v>
      </c>
      <c r="Q6" s="15" t="s">
        <v>33</v>
      </c>
      <c r="R6" s="15" t="s">
        <v>32</v>
      </c>
      <c r="S6" s="15" t="s">
        <v>33</v>
      </c>
    </row>
    <row r="7" spans="1:19">
      <c r="A7" s="9" t="s">
        <v>34</v>
      </c>
      <c r="B7" s="29">
        <v>1603.3048070738801</v>
      </c>
      <c r="C7" s="27">
        <v>0.25814778524667792</v>
      </c>
      <c r="D7" s="29">
        <v>999999</v>
      </c>
      <c r="E7" s="29">
        <v>999999</v>
      </c>
      <c r="F7" s="29">
        <v>999999</v>
      </c>
      <c r="G7" s="29">
        <v>999999</v>
      </c>
      <c r="H7" s="29">
        <v>999999</v>
      </c>
      <c r="I7" s="29">
        <v>999999</v>
      </c>
      <c r="J7" s="29">
        <v>999999</v>
      </c>
      <c r="K7" s="29">
        <v>999999</v>
      </c>
      <c r="L7" s="29">
        <v>999999</v>
      </c>
      <c r="M7" s="29">
        <v>999999</v>
      </c>
      <c r="N7" s="29">
        <v>999999</v>
      </c>
      <c r="O7" s="29">
        <v>999999</v>
      </c>
      <c r="P7" s="29">
        <v>999999</v>
      </c>
      <c r="Q7" s="29">
        <v>999999</v>
      </c>
      <c r="R7" s="29">
        <v>999999</v>
      </c>
      <c r="S7" s="29">
        <v>999999</v>
      </c>
    </row>
    <row r="8" spans="1:19">
      <c r="A8" s="9" t="s">
        <v>35</v>
      </c>
      <c r="B8" s="29">
        <v>3829.8005734570052</v>
      </c>
      <c r="C8" s="27">
        <v>0.17845105051546273</v>
      </c>
      <c r="D8" s="29">
        <v>999999</v>
      </c>
      <c r="E8" s="29">
        <v>999999</v>
      </c>
      <c r="F8" s="29">
        <v>999999</v>
      </c>
      <c r="G8" s="29">
        <v>999999</v>
      </c>
      <c r="H8" s="29">
        <v>999999</v>
      </c>
      <c r="I8" s="29">
        <v>999999</v>
      </c>
      <c r="J8" s="29">
        <v>999999</v>
      </c>
      <c r="K8" s="29">
        <v>999999</v>
      </c>
      <c r="L8" s="29">
        <v>999999</v>
      </c>
      <c r="M8" s="29">
        <v>999999</v>
      </c>
      <c r="N8" s="29">
        <v>999999</v>
      </c>
      <c r="O8" s="29">
        <v>999999</v>
      </c>
      <c r="P8" s="29">
        <v>999999</v>
      </c>
      <c r="Q8" s="29">
        <v>999999</v>
      </c>
      <c r="R8" s="29">
        <v>999999</v>
      </c>
      <c r="S8" s="29">
        <v>999999</v>
      </c>
    </row>
    <row r="9" spans="1:19">
      <c r="A9" s="9" t="s">
        <v>36</v>
      </c>
      <c r="B9" s="29">
        <v>13205.6620011409</v>
      </c>
      <c r="C9" s="27">
        <v>3.7089879505764709</v>
      </c>
      <c r="D9" s="29">
        <v>999999</v>
      </c>
      <c r="E9" s="29">
        <v>999999</v>
      </c>
      <c r="F9" s="29">
        <v>999999</v>
      </c>
      <c r="G9" s="29">
        <v>999999</v>
      </c>
      <c r="H9" s="29">
        <v>999999</v>
      </c>
      <c r="I9" s="29">
        <v>999999</v>
      </c>
      <c r="J9" s="29">
        <v>999999</v>
      </c>
      <c r="K9" s="29">
        <v>999999</v>
      </c>
      <c r="L9" s="29">
        <v>999999</v>
      </c>
      <c r="M9" s="29">
        <v>999999</v>
      </c>
      <c r="N9" s="29">
        <v>999999</v>
      </c>
      <c r="O9" s="29">
        <v>999999</v>
      </c>
      <c r="P9" s="29">
        <v>999999</v>
      </c>
      <c r="Q9" s="29">
        <v>999999</v>
      </c>
      <c r="R9" s="29">
        <v>999999</v>
      </c>
      <c r="S9" s="29">
        <v>999999</v>
      </c>
    </row>
    <row r="10" spans="1:19">
      <c r="A10" s="9" t="s">
        <v>37</v>
      </c>
      <c r="B10" s="29">
        <v>6010.7442449739001</v>
      </c>
      <c r="C10" s="27">
        <v>2.6125131278986231</v>
      </c>
      <c r="D10" s="29">
        <v>999999</v>
      </c>
      <c r="E10" s="29">
        <v>999999</v>
      </c>
      <c r="F10" s="29">
        <v>999999</v>
      </c>
      <c r="G10" s="29">
        <v>999999</v>
      </c>
      <c r="H10" s="29">
        <v>999999</v>
      </c>
      <c r="I10" s="29">
        <v>999999</v>
      </c>
      <c r="J10" s="29">
        <v>999999</v>
      </c>
      <c r="K10" s="29">
        <v>999999</v>
      </c>
      <c r="L10" s="29">
        <v>999999</v>
      </c>
      <c r="M10" s="29">
        <v>999999</v>
      </c>
      <c r="N10" s="29">
        <v>999999</v>
      </c>
      <c r="O10" s="29">
        <v>999999</v>
      </c>
      <c r="P10" s="29">
        <v>999999</v>
      </c>
      <c r="Q10" s="29">
        <v>999999</v>
      </c>
      <c r="R10" s="29">
        <v>999999</v>
      </c>
      <c r="S10" s="29">
        <v>999999</v>
      </c>
    </row>
    <row r="11" spans="1:19">
      <c r="A11" s="9" t="s">
        <v>38</v>
      </c>
      <c r="B11" s="29">
        <v>1168.5300437201199</v>
      </c>
      <c r="C11" s="27">
        <v>0.28295297274974618</v>
      </c>
      <c r="D11" s="29">
        <v>999999</v>
      </c>
      <c r="E11" s="29">
        <v>999999</v>
      </c>
      <c r="F11" s="29">
        <v>999999</v>
      </c>
      <c r="G11" s="29">
        <v>999999</v>
      </c>
      <c r="H11" s="29">
        <v>999999</v>
      </c>
      <c r="I11" s="29">
        <v>999999</v>
      </c>
      <c r="J11" s="29">
        <v>999999</v>
      </c>
      <c r="K11" s="29">
        <v>999999</v>
      </c>
      <c r="L11" s="29">
        <v>999999</v>
      </c>
      <c r="M11" s="29">
        <v>999999</v>
      </c>
      <c r="N11" s="29">
        <v>999999</v>
      </c>
      <c r="O11" s="29">
        <v>999999</v>
      </c>
      <c r="P11" s="29">
        <v>999999</v>
      </c>
      <c r="Q11" s="29">
        <v>999999</v>
      </c>
      <c r="R11" s="29">
        <v>999999</v>
      </c>
      <c r="S11" s="29">
        <v>999999</v>
      </c>
    </row>
    <row r="12" spans="1:19">
      <c r="A12" s="9" t="s">
        <v>39</v>
      </c>
      <c r="B12" s="29">
        <v>3687.5133320827999</v>
      </c>
      <c r="C12" s="27">
        <v>1.0654101305064128</v>
      </c>
      <c r="D12" s="29">
        <v>999999</v>
      </c>
      <c r="E12" s="29">
        <v>999999</v>
      </c>
      <c r="F12" s="29">
        <v>999999</v>
      </c>
      <c r="G12" s="29">
        <v>999999</v>
      </c>
      <c r="H12" s="29">
        <v>999999</v>
      </c>
      <c r="I12" s="29">
        <v>999999</v>
      </c>
      <c r="J12" s="29">
        <v>999999</v>
      </c>
      <c r="K12" s="29">
        <v>999999</v>
      </c>
      <c r="L12" s="29">
        <v>999999</v>
      </c>
      <c r="M12" s="29">
        <v>999999</v>
      </c>
      <c r="N12" s="29">
        <v>999999</v>
      </c>
      <c r="O12" s="29">
        <v>999999</v>
      </c>
      <c r="P12" s="29">
        <v>999999</v>
      </c>
      <c r="Q12" s="29">
        <v>999999</v>
      </c>
      <c r="R12" s="29">
        <v>999999</v>
      </c>
      <c r="S12" s="29">
        <v>999999</v>
      </c>
    </row>
    <row r="13" spans="1:19">
      <c r="A13" s="9" t="s">
        <v>40</v>
      </c>
      <c r="B13" s="29">
        <v>1774.8178368635649</v>
      </c>
      <c r="C13" s="27">
        <v>0.32590659402070726</v>
      </c>
      <c r="D13" s="29">
        <v>999999</v>
      </c>
      <c r="E13" s="29">
        <v>999999</v>
      </c>
      <c r="F13" s="29">
        <v>999999</v>
      </c>
      <c r="G13" s="29">
        <v>999999</v>
      </c>
      <c r="H13" s="29">
        <v>999999</v>
      </c>
      <c r="I13" s="29">
        <v>999999</v>
      </c>
      <c r="J13" s="29">
        <v>999999</v>
      </c>
      <c r="K13" s="29">
        <v>999999</v>
      </c>
      <c r="L13" s="29">
        <v>999999</v>
      </c>
      <c r="M13" s="29">
        <v>999999</v>
      </c>
      <c r="N13" s="29">
        <v>999999</v>
      </c>
      <c r="O13" s="29">
        <v>999999</v>
      </c>
      <c r="P13" s="29">
        <v>999999</v>
      </c>
      <c r="Q13" s="29">
        <v>999999</v>
      </c>
      <c r="R13" s="29">
        <v>999999</v>
      </c>
      <c r="S13" s="29">
        <v>999999</v>
      </c>
    </row>
    <row r="14" spans="1:19">
      <c r="A14" s="9" t="s">
        <v>41</v>
      </c>
      <c r="B14" s="29">
        <v>24797.286296990551</v>
      </c>
      <c r="C14" s="27">
        <v>3.9428557920754024</v>
      </c>
      <c r="D14" s="29">
        <v>999999</v>
      </c>
      <c r="E14" s="29">
        <v>999999</v>
      </c>
      <c r="F14" s="29">
        <v>999999</v>
      </c>
      <c r="G14" s="29">
        <v>999999</v>
      </c>
      <c r="H14" s="29">
        <v>999999</v>
      </c>
      <c r="I14" s="29">
        <v>999999</v>
      </c>
      <c r="J14" s="29">
        <v>999999</v>
      </c>
      <c r="K14" s="29">
        <v>999999</v>
      </c>
      <c r="L14" s="29">
        <v>999999</v>
      </c>
      <c r="M14" s="29">
        <v>999999</v>
      </c>
      <c r="N14" s="29">
        <v>999999</v>
      </c>
      <c r="O14" s="29">
        <v>999999</v>
      </c>
      <c r="P14" s="29">
        <v>999999</v>
      </c>
      <c r="Q14" s="29">
        <v>999999</v>
      </c>
      <c r="R14" s="29">
        <v>999999</v>
      </c>
      <c r="S14" s="29">
        <v>999999</v>
      </c>
    </row>
    <row r="15" spans="1:19">
      <c r="A15" s="9" t="s">
        <v>42</v>
      </c>
      <c r="B15" s="29">
        <v>362.29142470889548</v>
      </c>
      <c r="C15" s="27">
        <v>0.67195986601465396</v>
      </c>
      <c r="D15" s="29">
        <v>999999</v>
      </c>
      <c r="E15" s="29">
        <v>999999</v>
      </c>
      <c r="F15" s="29">
        <v>999999</v>
      </c>
      <c r="G15" s="29">
        <v>999999</v>
      </c>
      <c r="H15" s="29">
        <v>999999</v>
      </c>
      <c r="I15" s="29">
        <v>999999</v>
      </c>
      <c r="J15" s="29">
        <v>999999</v>
      </c>
      <c r="K15" s="29">
        <v>999999</v>
      </c>
      <c r="L15" s="29">
        <v>999999</v>
      </c>
      <c r="M15" s="29">
        <v>999999</v>
      </c>
      <c r="N15" s="29">
        <v>999999</v>
      </c>
      <c r="O15" s="29">
        <v>999999</v>
      </c>
      <c r="P15" s="29">
        <v>999999</v>
      </c>
      <c r="Q15" s="29">
        <v>999999</v>
      </c>
      <c r="R15" s="29">
        <v>999999</v>
      </c>
      <c r="S15" s="29">
        <v>999999</v>
      </c>
    </row>
    <row r="16" spans="1:19">
      <c r="A16" s="9" t="s">
        <v>43</v>
      </c>
      <c r="B16" s="29">
        <v>7171.5451011797504</v>
      </c>
      <c r="C16" s="27">
        <v>2.8285278812603245</v>
      </c>
      <c r="D16" s="29">
        <v>999999</v>
      </c>
      <c r="E16" s="29">
        <v>999999</v>
      </c>
      <c r="F16" s="29">
        <v>999999</v>
      </c>
      <c r="G16" s="29">
        <v>999999</v>
      </c>
      <c r="H16" s="29">
        <v>999999</v>
      </c>
      <c r="I16" s="29">
        <v>999999</v>
      </c>
      <c r="J16" s="29">
        <v>999999</v>
      </c>
      <c r="K16" s="29">
        <v>999999</v>
      </c>
      <c r="L16" s="29">
        <v>999999</v>
      </c>
      <c r="M16" s="29">
        <v>999999</v>
      </c>
      <c r="N16" s="29">
        <v>999999</v>
      </c>
      <c r="O16" s="29">
        <v>999999</v>
      </c>
      <c r="P16" s="29">
        <v>999999</v>
      </c>
      <c r="Q16" s="29">
        <v>999999</v>
      </c>
      <c r="R16" s="29">
        <v>999999</v>
      </c>
      <c r="S16" s="29">
        <v>999999</v>
      </c>
    </row>
    <row r="17" spans="1:19">
      <c r="A17" s="9" t="s">
        <v>44</v>
      </c>
      <c r="B17" s="29">
        <v>613.94015455798501</v>
      </c>
      <c r="C17" s="27">
        <v>0.41586009701869786</v>
      </c>
      <c r="D17" s="29">
        <v>999999</v>
      </c>
      <c r="E17" s="29">
        <v>999999</v>
      </c>
      <c r="F17" s="29">
        <v>999999</v>
      </c>
      <c r="G17" s="29">
        <v>999999</v>
      </c>
      <c r="H17" s="29">
        <v>999999</v>
      </c>
      <c r="I17" s="29">
        <v>999999</v>
      </c>
      <c r="J17" s="29">
        <v>999999</v>
      </c>
      <c r="K17" s="29">
        <v>999999</v>
      </c>
      <c r="L17" s="29">
        <v>999999</v>
      </c>
      <c r="M17" s="29">
        <v>999999</v>
      </c>
      <c r="N17" s="29">
        <v>999999</v>
      </c>
      <c r="O17" s="29">
        <v>999999</v>
      </c>
      <c r="P17" s="29">
        <v>999999</v>
      </c>
      <c r="Q17" s="29">
        <v>999999</v>
      </c>
      <c r="R17" s="29">
        <v>999999</v>
      </c>
      <c r="S17" s="29">
        <v>999999</v>
      </c>
    </row>
    <row r="18" spans="1:19">
      <c r="A18" s="9" t="s">
        <v>45</v>
      </c>
      <c r="B18" s="29">
        <v>25853.1855078472</v>
      </c>
      <c r="C18" s="27">
        <v>1.0373306441761616</v>
      </c>
      <c r="D18" s="29">
        <v>999999</v>
      </c>
      <c r="E18" s="29">
        <v>999999</v>
      </c>
      <c r="F18" s="29">
        <v>999999</v>
      </c>
      <c r="G18" s="29">
        <v>999999</v>
      </c>
      <c r="H18" s="29">
        <v>999999</v>
      </c>
      <c r="I18" s="29">
        <v>999999</v>
      </c>
      <c r="J18" s="29">
        <v>999999</v>
      </c>
      <c r="K18" s="29">
        <v>999999</v>
      </c>
      <c r="L18" s="29">
        <v>999999</v>
      </c>
      <c r="M18" s="29">
        <v>999999</v>
      </c>
      <c r="N18" s="29">
        <v>999999</v>
      </c>
      <c r="O18" s="29">
        <v>999999</v>
      </c>
      <c r="P18" s="29">
        <v>999999</v>
      </c>
      <c r="Q18" s="29">
        <v>999999</v>
      </c>
      <c r="R18" s="29">
        <v>999999</v>
      </c>
      <c r="S18" s="29">
        <v>999999</v>
      </c>
    </row>
    <row r="19" spans="1:19">
      <c r="A19" s="9" t="s">
        <v>46</v>
      </c>
      <c r="B19" s="29">
        <v>610.32085516309996</v>
      </c>
      <c r="C19" s="27">
        <v>9.5440759087243213E-2</v>
      </c>
      <c r="D19" s="29">
        <v>999999</v>
      </c>
      <c r="E19" s="29">
        <v>999999</v>
      </c>
      <c r="F19" s="29">
        <v>999999</v>
      </c>
      <c r="G19" s="29">
        <v>999999</v>
      </c>
      <c r="H19" s="29">
        <v>999999</v>
      </c>
      <c r="I19" s="29">
        <v>999999</v>
      </c>
      <c r="J19" s="29">
        <v>999999</v>
      </c>
      <c r="K19" s="29">
        <v>999999</v>
      </c>
      <c r="L19" s="29">
        <v>999999</v>
      </c>
      <c r="M19" s="29">
        <v>999999</v>
      </c>
      <c r="N19" s="29">
        <v>999999</v>
      </c>
      <c r="O19" s="29">
        <v>999999</v>
      </c>
      <c r="P19" s="29">
        <v>999999</v>
      </c>
      <c r="Q19" s="29">
        <v>999999</v>
      </c>
      <c r="R19" s="29">
        <v>999999</v>
      </c>
      <c r="S19" s="29">
        <v>999999</v>
      </c>
    </row>
    <row r="20" spans="1:19">
      <c r="A20" s="9" t="s">
        <v>47</v>
      </c>
      <c r="B20" s="29">
        <v>28261.116337442651</v>
      </c>
      <c r="C20" s="27">
        <v>8.012572437552711</v>
      </c>
      <c r="D20" s="29">
        <v>999999</v>
      </c>
      <c r="E20" s="29">
        <v>999999</v>
      </c>
      <c r="F20" s="29">
        <v>999999</v>
      </c>
      <c r="G20" s="29">
        <v>999999</v>
      </c>
      <c r="H20" s="29">
        <v>999999</v>
      </c>
      <c r="I20" s="29">
        <v>999999</v>
      </c>
      <c r="J20" s="29">
        <v>999999</v>
      </c>
      <c r="K20" s="29">
        <v>999999</v>
      </c>
      <c r="L20" s="29">
        <v>999999</v>
      </c>
      <c r="M20" s="29">
        <v>999999</v>
      </c>
      <c r="N20" s="29">
        <v>999999</v>
      </c>
      <c r="O20" s="29">
        <v>999999</v>
      </c>
      <c r="P20" s="29">
        <v>999999</v>
      </c>
      <c r="Q20" s="29">
        <v>999999</v>
      </c>
      <c r="R20" s="29">
        <v>999999</v>
      </c>
      <c r="S20" s="29">
        <v>999999</v>
      </c>
    </row>
    <row r="21" spans="1:19">
      <c r="A21" s="9" t="s">
        <v>48</v>
      </c>
      <c r="B21" s="29">
        <v>2367.1640435888198</v>
      </c>
      <c r="C21" s="27">
        <v>1.2591099763829032</v>
      </c>
      <c r="D21" s="29">
        <v>999999</v>
      </c>
      <c r="E21" s="29">
        <v>999999</v>
      </c>
      <c r="F21" s="29">
        <v>999999</v>
      </c>
      <c r="G21" s="29">
        <v>999999</v>
      </c>
      <c r="H21" s="29">
        <v>999999</v>
      </c>
      <c r="I21" s="29">
        <v>999999</v>
      </c>
      <c r="J21" s="29">
        <v>999999</v>
      </c>
      <c r="K21" s="29">
        <v>999999</v>
      </c>
      <c r="L21" s="29">
        <v>999999</v>
      </c>
      <c r="M21" s="29">
        <v>999999</v>
      </c>
      <c r="N21" s="29">
        <v>999999</v>
      </c>
      <c r="O21" s="29">
        <v>999999</v>
      </c>
      <c r="P21" s="29">
        <v>999999</v>
      </c>
      <c r="Q21" s="29">
        <v>999999</v>
      </c>
      <c r="R21" s="29">
        <v>999999</v>
      </c>
      <c r="S21" s="29">
        <v>999999</v>
      </c>
    </row>
    <row r="22" spans="1:19">
      <c r="A22" s="9" t="s">
        <v>49</v>
      </c>
      <c r="B22" s="29">
        <v>1102.82700894851</v>
      </c>
      <c r="C22" s="27">
        <v>0.62887320718205919</v>
      </c>
      <c r="D22" s="29">
        <v>999999</v>
      </c>
      <c r="E22" s="29">
        <v>999999</v>
      </c>
      <c r="F22" s="29">
        <v>999999</v>
      </c>
      <c r="G22" s="29">
        <v>999999</v>
      </c>
      <c r="H22" s="29">
        <v>999999</v>
      </c>
      <c r="I22" s="29">
        <v>999999</v>
      </c>
      <c r="J22" s="29">
        <v>999999</v>
      </c>
      <c r="K22" s="29">
        <v>999999</v>
      </c>
      <c r="L22" s="29">
        <v>999999</v>
      </c>
      <c r="M22" s="29">
        <v>999999</v>
      </c>
      <c r="N22" s="29">
        <v>999999</v>
      </c>
      <c r="O22" s="29">
        <v>999999</v>
      </c>
      <c r="P22" s="29">
        <v>999999</v>
      </c>
      <c r="Q22" s="29">
        <v>999999</v>
      </c>
      <c r="R22" s="29">
        <v>999999</v>
      </c>
      <c r="S22" s="29">
        <v>999999</v>
      </c>
    </row>
    <row r="23" spans="1:19">
      <c r="A23" s="9" t="s">
        <v>50</v>
      </c>
      <c r="B23" s="29">
        <v>2179.1890725767248</v>
      </c>
      <c r="C23" s="27">
        <v>0.28901199954380857</v>
      </c>
      <c r="D23" s="29">
        <v>999999</v>
      </c>
      <c r="E23" s="29">
        <v>999999</v>
      </c>
      <c r="F23" s="29">
        <v>999999</v>
      </c>
      <c r="G23" s="29">
        <v>999999</v>
      </c>
      <c r="H23" s="29">
        <v>999999</v>
      </c>
      <c r="I23" s="29">
        <v>999999</v>
      </c>
      <c r="J23" s="29">
        <v>999999</v>
      </c>
      <c r="K23" s="29">
        <v>999999</v>
      </c>
      <c r="L23" s="29">
        <v>999999</v>
      </c>
      <c r="M23" s="29">
        <v>999999</v>
      </c>
      <c r="N23" s="29">
        <v>999999</v>
      </c>
      <c r="O23" s="29">
        <v>999999</v>
      </c>
      <c r="P23" s="29">
        <v>999999</v>
      </c>
      <c r="Q23" s="29">
        <v>999999</v>
      </c>
      <c r="R23" s="29">
        <v>999999</v>
      </c>
      <c r="S23" s="29">
        <v>999999</v>
      </c>
    </row>
    <row r="24" spans="1:19">
      <c r="A24" s="9" t="s">
        <v>51</v>
      </c>
      <c r="B24" s="29">
        <v>32.2830915824971</v>
      </c>
      <c r="C24" s="27">
        <v>2.1885377532426187E-2</v>
      </c>
      <c r="D24" s="29">
        <v>999999</v>
      </c>
      <c r="E24" s="29">
        <v>999999</v>
      </c>
      <c r="F24" s="29">
        <v>999999</v>
      </c>
      <c r="G24" s="29">
        <v>999999</v>
      </c>
      <c r="H24" s="29">
        <v>999999</v>
      </c>
      <c r="I24" s="29">
        <v>999999</v>
      </c>
      <c r="J24" s="29">
        <v>999999</v>
      </c>
      <c r="K24" s="29">
        <v>999999</v>
      </c>
      <c r="L24" s="29">
        <v>999999</v>
      </c>
      <c r="M24" s="29">
        <v>999999</v>
      </c>
      <c r="N24" s="29">
        <v>999999</v>
      </c>
      <c r="O24" s="29">
        <v>999999</v>
      </c>
      <c r="P24" s="29">
        <v>999999</v>
      </c>
      <c r="Q24" s="29">
        <v>999999</v>
      </c>
      <c r="R24" s="29">
        <v>999999</v>
      </c>
      <c r="S24" s="29">
        <v>999999</v>
      </c>
    </row>
    <row r="25" spans="1:19">
      <c r="A25" s="9" t="s">
        <v>52</v>
      </c>
      <c r="B25" s="29">
        <v>5119.9719952622499</v>
      </c>
      <c r="C25" s="27">
        <v>5.4796764557419104</v>
      </c>
      <c r="D25" s="29">
        <v>999999</v>
      </c>
      <c r="E25" s="29">
        <v>999999</v>
      </c>
      <c r="F25" s="29">
        <v>999999</v>
      </c>
      <c r="G25" s="29">
        <v>999999</v>
      </c>
      <c r="H25" s="29">
        <v>999999</v>
      </c>
      <c r="I25" s="29">
        <v>999999</v>
      </c>
      <c r="J25" s="29">
        <v>999999</v>
      </c>
      <c r="K25" s="29">
        <v>999999</v>
      </c>
      <c r="L25" s="29">
        <v>999999</v>
      </c>
      <c r="M25" s="29">
        <v>999999</v>
      </c>
      <c r="N25" s="29">
        <v>999999</v>
      </c>
      <c r="O25" s="29">
        <v>999999</v>
      </c>
      <c r="P25" s="29">
        <v>999999</v>
      </c>
      <c r="Q25" s="29">
        <v>999999</v>
      </c>
      <c r="R25" s="29">
        <v>999999</v>
      </c>
      <c r="S25" s="29">
        <v>999999</v>
      </c>
    </row>
    <row r="26" spans="1:19">
      <c r="A26" s="9" t="s">
        <v>53</v>
      </c>
      <c r="B26" s="29">
        <v>16191.628366890451</v>
      </c>
      <c r="C26" s="27">
        <v>8.8916264882214868</v>
      </c>
      <c r="D26" s="29">
        <v>999999</v>
      </c>
      <c r="E26" s="29">
        <v>999999</v>
      </c>
      <c r="F26" s="29">
        <v>999999</v>
      </c>
      <c r="G26" s="29">
        <v>999999</v>
      </c>
      <c r="H26" s="29">
        <v>999999</v>
      </c>
      <c r="I26" s="29">
        <v>999999</v>
      </c>
      <c r="J26" s="29">
        <v>999999</v>
      </c>
      <c r="K26" s="29">
        <v>999999</v>
      </c>
      <c r="L26" s="29">
        <v>999999</v>
      </c>
      <c r="M26" s="29">
        <v>999999</v>
      </c>
      <c r="N26" s="29">
        <v>999999</v>
      </c>
      <c r="O26" s="29">
        <v>999999</v>
      </c>
      <c r="P26" s="29">
        <v>999999</v>
      </c>
      <c r="Q26" s="29">
        <v>999999</v>
      </c>
      <c r="R26" s="29">
        <v>999999</v>
      </c>
      <c r="S26" s="29">
        <v>999999</v>
      </c>
    </row>
    <row r="27" spans="1:19">
      <c r="A27" s="9" t="s">
        <v>54</v>
      </c>
      <c r="B27" s="29">
        <v>14708.24443887115</v>
      </c>
      <c r="C27" s="27">
        <v>4.0448559523376062</v>
      </c>
      <c r="D27" s="29">
        <v>999999</v>
      </c>
      <c r="E27" s="29">
        <v>999999</v>
      </c>
      <c r="F27" s="29">
        <v>999999</v>
      </c>
      <c r="G27" s="29">
        <v>999999</v>
      </c>
      <c r="H27" s="29">
        <v>999999</v>
      </c>
      <c r="I27" s="29">
        <v>999999</v>
      </c>
      <c r="J27" s="29">
        <v>999999</v>
      </c>
      <c r="K27" s="29">
        <v>999999</v>
      </c>
      <c r="L27" s="29">
        <v>999999</v>
      </c>
      <c r="M27" s="29">
        <v>999999</v>
      </c>
      <c r="N27" s="29">
        <v>999999</v>
      </c>
      <c r="O27" s="29">
        <v>999999</v>
      </c>
      <c r="P27" s="29">
        <v>999999</v>
      </c>
      <c r="Q27" s="29">
        <v>999999</v>
      </c>
      <c r="R27" s="29">
        <v>999999</v>
      </c>
      <c r="S27" s="29">
        <v>999999</v>
      </c>
    </row>
    <row r="28" spans="1:19">
      <c r="A28" s="9" t="s">
        <v>55</v>
      </c>
      <c r="B28" s="29">
        <v>2087.7296168265252</v>
      </c>
      <c r="C28" s="27">
        <v>5.6164300979724927E-2</v>
      </c>
      <c r="D28" s="29">
        <v>999999</v>
      </c>
      <c r="E28" s="29">
        <v>999999</v>
      </c>
      <c r="F28" s="29">
        <v>999999</v>
      </c>
      <c r="G28" s="29">
        <v>999999</v>
      </c>
      <c r="H28" s="29">
        <v>999999</v>
      </c>
      <c r="I28" s="29">
        <v>999999</v>
      </c>
      <c r="J28" s="29">
        <v>999999</v>
      </c>
      <c r="K28" s="29">
        <v>999999</v>
      </c>
      <c r="L28" s="29">
        <v>999999</v>
      </c>
      <c r="M28" s="29">
        <v>999999</v>
      </c>
      <c r="N28" s="29">
        <v>999999</v>
      </c>
      <c r="O28" s="29">
        <v>999999</v>
      </c>
      <c r="P28" s="29">
        <v>999999</v>
      </c>
      <c r="Q28" s="29">
        <v>999999</v>
      </c>
      <c r="R28" s="29">
        <v>999999</v>
      </c>
      <c r="S28" s="29">
        <v>999999</v>
      </c>
    </row>
    <row r="29" spans="1:19">
      <c r="A29" s="9" t="s">
        <v>56</v>
      </c>
      <c r="B29" s="29">
        <v>3.7405399332454849</v>
      </c>
      <c r="C29" s="27">
        <v>1.8126771909847975E-2</v>
      </c>
      <c r="D29" s="29">
        <v>999999</v>
      </c>
      <c r="E29" s="29">
        <v>999999</v>
      </c>
      <c r="F29" s="29">
        <v>999999</v>
      </c>
      <c r="G29" s="29">
        <v>999999</v>
      </c>
      <c r="H29" s="29">
        <v>999999</v>
      </c>
      <c r="I29" s="29">
        <v>999999</v>
      </c>
      <c r="J29" s="29">
        <v>999999</v>
      </c>
      <c r="K29" s="29">
        <v>999999</v>
      </c>
      <c r="L29" s="29">
        <v>999999</v>
      </c>
      <c r="M29" s="29">
        <v>999999</v>
      </c>
      <c r="N29" s="29">
        <v>999999</v>
      </c>
      <c r="O29" s="29">
        <v>999999</v>
      </c>
      <c r="P29" s="29">
        <v>999999</v>
      </c>
      <c r="Q29" s="29">
        <v>999999</v>
      </c>
      <c r="R29" s="29">
        <v>999999</v>
      </c>
      <c r="S29" s="29">
        <v>999999</v>
      </c>
    </row>
    <row r="30" spans="1:19">
      <c r="A30" s="9" t="s">
        <v>57</v>
      </c>
      <c r="B30" s="29">
        <v>239.03968993971799</v>
      </c>
      <c r="C30" s="27">
        <v>2.8714171929465841E-2</v>
      </c>
      <c r="D30" s="29">
        <v>999999</v>
      </c>
      <c r="E30" s="29">
        <v>999999</v>
      </c>
      <c r="F30" s="29">
        <v>999999</v>
      </c>
      <c r="G30" s="29">
        <v>999999</v>
      </c>
      <c r="H30" s="29">
        <v>999999</v>
      </c>
      <c r="I30" s="29">
        <v>999999</v>
      </c>
      <c r="J30" s="29">
        <v>999999</v>
      </c>
      <c r="K30" s="29">
        <v>999999</v>
      </c>
      <c r="L30" s="29">
        <v>999999</v>
      </c>
      <c r="M30" s="29">
        <v>999999</v>
      </c>
      <c r="N30" s="29">
        <v>999999</v>
      </c>
      <c r="O30" s="29">
        <v>999999</v>
      </c>
      <c r="P30" s="29">
        <v>999999</v>
      </c>
      <c r="Q30" s="29">
        <v>999999</v>
      </c>
      <c r="R30" s="29">
        <v>999999</v>
      </c>
      <c r="S30" s="29">
        <v>999999</v>
      </c>
    </row>
    <row r="31" spans="1:19">
      <c r="A31" s="9" t="s">
        <v>58</v>
      </c>
      <c r="B31" s="29">
        <v>6255.8667323939999</v>
      </c>
      <c r="C31" s="27">
        <v>1.055656396322546</v>
      </c>
      <c r="D31" s="29">
        <v>999999</v>
      </c>
      <c r="E31" s="29">
        <v>999999</v>
      </c>
      <c r="F31" s="29">
        <v>999999</v>
      </c>
      <c r="G31" s="29">
        <v>999999</v>
      </c>
      <c r="H31" s="29">
        <v>999999</v>
      </c>
      <c r="I31" s="29">
        <v>999999</v>
      </c>
      <c r="J31" s="29">
        <v>999999</v>
      </c>
      <c r="K31" s="29">
        <v>999999</v>
      </c>
      <c r="L31" s="29">
        <v>999999</v>
      </c>
      <c r="M31" s="29">
        <v>999999</v>
      </c>
      <c r="N31" s="29">
        <v>999999</v>
      </c>
      <c r="O31" s="29">
        <v>999999</v>
      </c>
      <c r="P31" s="29">
        <v>999999</v>
      </c>
      <c r="Q31" s="29">
        <v>999999</v>
      </c>
      <c r="R31" s="29">
        <v>999999</v>
      </c>
      <c r="S31" s="29">
        <v>999999</v>
      </c>
    </row>
    <row r="32" spans="1:19">
      <c r="A32" s="13" t="s">
        <v>59</v>
      </c>
      <c r="B32" s="30">
        <v>169237.74311401622</v>
      </c>
      <c r="C32" s="28">
        <v>1.0387505248665656</v>
      </c>
      <c r="D32" s="13">
        <v>999999</v>
      </c>
      <c r="E32" s="13">
        <v>999999</v>
      </c>
      <c r="F32" s="13">
        <v>999999</v>
      </c>
      <c r="G32" s="13">
        <v>999999</v>
      </c>
      <c r="H32" s="13">
        <v>999999</v>
      </c>
      <c r="I32" s="13">
        <v>999999</v>
      </c>
      <c r="J32" s="13">
        <v>999999</v>
      </c>
      <c r="K32" s="13">
        <v>999999</v>
      </c>
      <c r="L32" s="13">
        <v>999999</v>
      </c>
      <c r="M32" s="13">
        <v>999999</v>
      </c>
      <c r="N32" s="13">
        <v>999999</v>
      </c>
      <c r="O32" s="13">
        <v>999999</v>
      </c>
      <c r="P32" s="13">
        <v>999999</v>
      </c>
      <c r="Q32" s="13">
        <v>999999</v>
      </c>
      <c r="R32" s="13">
        <v>999999</v>
      </c>
      <c r="S32" s="13">
        <v>999999</v>
      </c>
    </row>
  </sheetData>
  <mergeCells count="17">
    <mergeCell ref="B2:C5"/>
    <mergeCell ref="D5:E5"/>
    <mergeCell ref="F5:G5"/>
    <mergeCell ref="L5:M5"/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  <mergeCell ref="J5:K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7265625" defaultRowHeight="14.5"/>
  <cols>
    <col min="1" max="1" width="17.7265625" style="9" customWidth="1"/>
    <col min="2" max="11" width="10.7265625" style="9" customWidth="1"/>
    <col min="12" max="16384" width="8.7265625" style="9"/>
  </cols>
  <sheetData>
    <row r="1" spans="1:11">
      <c r="A1" s="18"/>
      <c r="B1" s="18"/>
      <c r="C1" s="18"/>
    </row>
    <row r="2" spans="1:11">
      <c r="B2" s="43" t="s">
        <v>25</v>
      </c>
      <c r="C2" s="44"/>
      <c r="D2" s="37" t="s">
        <v>26</v>
      </c>
      <c r="E2" s="36"/>
      <c r="F2" s="36"/>
      <c r="G2" s="36"/>
      <c r="H2" s="36"/>
      <c r="I2" s="36"/>
      <c r="J2" s="36"/>
      <c r="K2" s="38"/>
    </row>
    <row r="3" spans="1:11">
      <c r="B3" s="43"/>
      <c r="C3" s="44"/>
      <c r="D3" s="37">
        <v>2050</v>
      </c>
      <c r="E3" s="36"/>
      <c r="F3" s="36"/>
      <c r="G3" s="36"/>
      <c r="H3" s="36"/>
      <c r="I3" s="36"/>
      <c r="J3" s="36"/>
      <c r="K3" s="38"/>
    </row>
    <row r="4" spans="1:11" ht="29.15" customHeight="1">
      <c r="A4" s="19"/>
      <c r="B4" s="43"/>
      <c r="C4" s="44"/>
      <c r="D4" s="39" t="s">
        <v>28</v>
      </c>
      <c r="E4" s="40"/>
      <c r="F4" s="40"/>
      <c r="G4" s="41"/>
      <c r="H4" s="40" t="s">
        <v>29</v>
      </c>
      <c r="I4" s="40"/>
      <c r="J4" s="40"/>
      <c r="K4" s="40"/>
    </row>
    <row r="5" spans="1:11" ht="29.15" customHeight="1">
      <c r="A5" s="19"/>
      <c r="B5" s="45"/>
      <c r="C5" s="46"/>
      <c r="D5" s="42" t="s">
        <v>30</v>
      </c>
      <c r="E5" s="34"/>
      <c r="F5" s="34" t="s">
        <v>31</v>
      </c>
      <c r="G5" s="35"/>
      <c r="H5" s="42" t="s">
        <v>30</v>
      </c>
      <c r="I5" s="34"/>
      <c r="J5" s="34" t="s">
        <v>31</v>
      </c>
      <c r="K5" s="35"/>
    </row>
    <row r="6" spans="1:11">
      <c r="A6" s="12"/>
      <c r="B6" s="16" t="s">
        <v>32</v>
      </c>
      <c r="C6" s="15" t="s">
        <v>33</v>
      </c>
      <c r="D6" s="15" t="s">
        <v>32</v>
      </c>
      <c r="E6" s="15" t="s">
        <v>33</v>
      </c>
      <c r="F6" s="15" t="s">
        <v>32</v>
      </c>
      <c r="G6" s="15" t="s">
        <v>33</v>
      </c>
      <c r="H6" s="15" t="s">
        <v>32</v>
      </c>
      <c r="I6" s="15" t="s">
        <v>33</v>
      </c>
      <c r="J6" s="15" t="s">
        <v>32</v>
      </c>
      <c r="K6" s="15" t="s">
        <v>33</v>
      </c>
    </row>
    <row r="7" spans="1:11">
      <c r="A7" s="9" t="s">
        <v>34</v>
      </c>
      <c r="D7" s="10"/>
      <c r="E7" s="10"/>
      <c r="F7" s="10"/>
      <c r="G7" s="10"/>
      <c r="H7" s="10"/>
      <c r="I7" s="10"/>
      <c r="J7" s="10"/>
      <c r="K7" s="10"/>
    </row>
    <row r="8" spans="1:11">
      <c r="A8" s="9" t="s">
        <v>35</v>
      </c>
      <c r="D8" s="10"/>
      <c r="E8" s="10"/>
      <c r="F8" s="10"/>
      <c r="G8" s="10"/>
      <c r="H8" s="10"/>
      <c r="I8" s="10"/>
      <c r="J8" s="10"/>
      <c r="K8" s="10"/>
    </row>
    <row r="9" spans="1:11">
      <c r="A9" s="9" t="s">
        <v>36</v>
      </c>
      <c r="D9" s="10"/>
      <c r="E9" s="10"/>
      <c r="F9" s="10"/>
      <c r="G9" s="10"/>
      <c r="H9" s="10"/>
      <c r="I9" s="10"/>
      <c r="J9" s="10"/>
      <c r="K9" s="10"/>
    </row>
    <row r="10" spans="1:11">
      <c r="A10" s="9" t="s">
        <v>37</v>
      </c>
      <c r="D10" s="10"/>
      <c r="E10" s="10"/>
      <c r="F10" s="10"/>
      <c r="G10" s="10"/>
      <c r="H10" s="10"/>
      <c r="I10" s="10"/>
      <c r="J10" s="10"/>
      <c r="K10" s="10"/>
    </row>
    <row r="11" spans="1:11">
      <c r="A11" s="9" t="s">
        <v>38</v>
      </c>
      <c r="D11" s="10"/>
      <c r="E11" s="10"/>
      <c r="F11" s="10"/>
      <c r="G11" s="10"/>
      <c r="H11" s="10"/>
      <c r="I11" s="10"/>
      <c r="J11" s="10"/>
      <c r="K11" s="10"/>
    </row>
    <row r="12" spans="1:11">
      <c r="A12" s="9" t="s">
        <v>39</v>
      </c>
      <c r="D12" s="10"/>
      <c r="E12" s="10"/>
      <c r="F12" s="10"/>
      <c r="G12" s="10"/>
      <c r="H12" s="10"/>
      <c r="I12" s="10"/>
      <c r="J12" s="10"/>
      <c r="K12" s="10"/>
    </row>
    <row r="13" spans="1:11">
      <c r="A13" s="9" t="s">
        <v>40</v>
      </c>
      <c r="D13" s="10"/>
      <c r="E13" s="10"/>
      <c r="F13" s="10"/>
      <c r="G13" s="10"/>
      <c r="H13" s="10"/>
      <c r="I13" s="10"/>
      <c r="J13" s="10"/>
      <c r="K13" s="10"/>
    </row>
    <row r="14" spans="1:11">
      <c r="A14" s="9" t="s">
        <v>41</v>
      </c>
      <c r="D14" s="10"/>
      <c r="E14" s="10"/>
      <c r="F14" s="10"/>
      <c r="G14" s="10"/>
      <c r="H14" s="10"/>
      <c r="I14" s="10"/>
      <c r="J14" s="10"/>
      <c r="K14" s="10"/>
    </row>
    <row r="15" spans="1:11">
      <c r="A15" s="9" t="s">
        <v>42</v>
      </c>
      <c r="D15" s="10"/>
      <c r="E15" s="10"/>
      <c r="F15" s="10"/>
      <c r="G15" s="10"/>
      <c r="H15" s="10"/>
      <c r="I15" s="10"/>
      <c r="J15" s="10"/>
      <c r="K15" s="10"/>
    </row>
    <row r="16" spans="1:11">
      <c r="A16" s="9" t="s">
        <v>43</v>
      </c>
      <c r="D16" s="10"/>
      <c r="E16" s="10"/>
      <c r="F16" s="10"/>
      <c r="G16" s="10"/>
      <c r="H16" s="10"/>
      <c r="I16" s="10"/>
      <c r="J16" s="10"/>
      <c r="K16" s="10"/>
    </row>
    <row r="17" spans="1:11">
      <c r="A17" s="9" t="s">
        <v>44</v>
      </c>
      <c r="D17" s="10"/>
      <c r="E17" s="10"/>
      <c r="F17" s="10"/>
      <c r="G17" s="10"/>
      <c r="H17" s="10"/>
      <c r="I17" s="10"/>
      <c r="J17" s="10"/>
      <c r="K17" s="10"/>
    </row>
    <row r="18" spans="1:11">
      <c r="A18" s="9" t="s">
        <v>45</v>
      </c>
      <c r="D18" s="10"/>
      <c r="E18" s="10"/>
      <c r="F18" s="10"/>
      <c r="G18" s="10"/>
      <c r="H18" s="11"/>
      <c r="I18" s="11"/>
      <c r="J18" s="11"/>
      <c r="K18" s="11"/>
    </row>
    <row r="19" spans="1:11">
      <c r="A19" s="9" t="s">
        <v>46</v>
      </c>
      <c r="D19" s="10"/>
      <c r="E19" s="10"/>
      <c r="F19" s="10"/>
      <c r="G19" s="10"/>
      <c r="H19" s="10"/>
      <c r="I19" s="10"/>
      <c r="J19" s="10"/>
      <c r="K19" s="10"/>
    </row>
    <row r="20" spans="1:11">
      <c r="A20" s="9" t="s">
        <v>47</v>
      </c>
      <c r="D20" s="10"/>
      <c r="E20" s="10"/>
      <c r="F20" s="10"/>
      <c r="G20" s="10"/>
      <c r="H20" s="10"/>
      <c r="I20" s="10"/>
      <c r="J20" s="10"/>
      <c r="K20" s="10"/>
    </row>
    <row r="21" spans="1:11">
      <c r="A21" s="9" t="s">
        <v>48</v>
      </c>
      <c r="D21" s="10"/>
      <c r="E21" s="10"/>
      <c r="F21" s="10"/>
      <c r="G21" s="10"/>
      <c r="H21" s="10"/>
      <c r="I21" s="10"/>
      <c r="J21" s="10"/>
      <c r="K21" s="10"/>
    </row>
    <row r="22" spans="1:11">
      <c r="A22" s="9" t="s">
        <v>49</v>
      </c>
      <c r="D22" s="10"/>
      <c r="E22" s="10"/>
      <c r="F22" s="10"/>
      <c r="G22" s="10"/>
      <c r="H22" s="10"/>
      <c r="I22" s="10"/>
      <c r="J22" s="10"/>
      <c r="K22" s="10"/>
    </row>
    <row r="23" spans="1:11">
      <c r="A23" s="9" t="s">
        <v>50</v>
      </c>
      <c r="D23" s="10"/>
      <c r="E23" s="10"/>
      <c r="F23" s="10"/>
      <c r="G23" s="10"/>
      <c r="H23" s="10"/>
      <c r="I23" s="10"/>
      <c r="J23" s="10"/>
      <c r="K23" s="10"/>
    </row>
    <row r="24" spans="1:11">
      <c r="A24" s="9" t="s">
        <v>51</v>
      </c>
      <c r="D24" s="10"/>
      <c r="E24" s="10"/>
      <c r="F24" s="10"/>
      <c r="G24" s="10"/>
      <c r="H24" s="10"/>
      <c r="I24" s="10"/>
      <c r="J24" s="10"/>
      <c r="K24" s="10"/>
    </row>
    <row r="25" spans="1:11">
      <c r="A25" s="9" t="s">
        <v>52</v>
      </c>
      <c r="D25" s="10"/>
      <c r="E25" s="10"/>
      <c r="F25" s="10"/>
      <c r="G25" s="10"/>
      <c r="H25" s="10"/>
      <c r="I25" s="10"/>
      <c r="J25" s="10"/>
      <c r="K25" s="10"/>
    </row>
    <row r="26" spans="1:11">
      <c r="A26" s="9" t="s">
        <v>53</v>
      </c>
      <c r="D26" s="10"/>
      <c r="E26" s="10"/>
      <c r="F26" s="10"/>
      <c r="G26" s="10"/>
      <c r="H26" s="10"/>
      <c r="I26" s="10"/>
      <c r="J26" s="10"/>
      <c r="K26" s="10"/>
    </row>
    <row r="27" spans="1:11">
      <c r="A27" s="9" t="s">
        <v>54</v>
      </c>
      <c r="D27" s="10"/>
      <c r="E27" s="10"/>
      <c r="F27" s="10"/>
      <c r="G27" s="10"/>
      <c r="H27" s="10"/>
      <c r="I27" s="10"/>
      <c r="J27" s="10"/>
      <c r="K27" s="10"/>
    </row>
    <row r="28" spans="1:11">
      <c r="A28" s="9" t="s">
        <v>55</v>
      </c>
      <c r="D28" s="10"/>
      <c r="E28" s="10"/>
      <c r="F28" s="10"/>
      <c r="G28" s="10"/>
      <c r="H28" s="10"/>
      <c r="I28" s="10"/>
      <c r="J28" s="10"/>
      <c r="K28" s="10"/>
    </row>
    <row r="29" spans="1:11">
      <c r="A29" s="9" t="s">
        <v>56</v>
      </c>
      <c r="D29" s="10"/>
      <c r="E29" s="10"/>
      <c r="F29" s="10"/>
      <c r="G29" s="10"/>
      <c r="H29" s="11"/>
      <c r="I29" s="11"/>
      <c r="J29" s="11"/>
      <c r="K29" s="11"/>
    </row>
    <row r="30" spans="1:11">
      <c r="A30" s="9" t="s">
        <v>57</v>
      </c>
      <c r="D30" s="10"/>
      <c r="E30" s="10"/>
      <c r="F30" s="10"/>
      <c r="G30" s="10"/>
      <c r="H30" s="11"/>
      <c r="I30" s="11"/>
      <c r="J30" s="11"/>
      <c r="K30" s="11"/>
    </row>
    <row r="31" spans="1:11">
      <c r="A31" s="9" t="s">
        <v>58</v>
      </c>
    </row>
    <row r="32" spans="1:11">
      <c r="A32" s="13" t="s">
        <v>59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A10" sqref="A10"/>
    </sheetView>
  </sheetViews>
  <sheetFormatPr defaultColWidth="8.7265625" defaultRowHeight="14.5"/>
  <cols>
    <col min="1" max="1" width="21.1796875" style="9" customWidth="1"/>
    <col min="2" max="19" width="10.7265625" style="9" customWidth="1"/>
    <col min="20" max="16384" width="8.7265625" style="9"/>
  </cols>
  <sheetData>
    <row r="1" spans="1:19">
      <c r="A1" s="18"/>
      <c r="B1" s="18"/>
      <c r="C1" s="18"/>
    </row>
    <row r="2" spans="1:19">
      <c r="B2" s="43" t="s">
        <v>25</v>
      </c>
      <c r="C2" s="44"/>
      <c r="D2" s="37" t="s">
        <v>26</v>
      </c>
      <c r="E2" s="36"/>
      <c r="F2" s="36"/>
      <c r="G2" s="36"/>
      <c r="H2" s="36"/>
      <c r="I2" s="36"/>
      <c r="J2" s="36"/>
      <c r="K2" s="38"/>
      <c r="L2" s="36" t="s">
        <v>27</v>
      </c>
      <c r="M2" s="36"/>
      <c r="N2" s="36"/>
      <c r="O2" s="36"/>
      <c r="P2" s="36"/>
      <c r="Q2" s="36"/>
      <c r="R2" s="36"/>
      <c r="S2" s="36"/>
    </row>
    <row r="3" spans="1:19">
      <c r="B3" s="43"/>
      <c r="C3" s="44"/>
      <c r="D3" s="37">
        <v>2050</v>
      </c>
      <c r="E3" s="36"/>
      <c r="F3" s="36"/>
      <c r="G3" s="36"/>
      <c r="H3" s="36"/>
      <c r="I3" s="36"/>
      <c r="J3" s="36"/>
      <c r="K3" s="38"/>
      <c r="L3" s="36">
        <v>2050</v>
      </c>
      <c r="M3" s="36"/>
      <c r="N3" s="36"/>
      <c r="O3" s="36"/>
      <c r="P3" s="36"/>
      <c r="Q3" s="36"/>
      <c r="R3" s="36"/>
      <c r="S3" s="36"/>
    </row>
    <row r="4" spans="1:19" ht="29.15" customHeight="1">
      <c r="A4" s="19"/>
      <c r="B4" s="43"/>
      <c r="C4" s="44"/>
      <c r="D4" s="39" t="s">
        <v>28</v>
      </c>
      <c r="E4" s="40"/>
      <c r="F4" s="40"/>
      <c r="G4" s="41"/>
      <c r="H4" s="40" t="s">
        <v>29</v>
      </c>
      <c r="I4" s="40"/>
      <c r="J4" s="40"/>
      <c r="K4" s="41"/>
      <c r="L4" s="39" t="s">
        <v>28</v>
      </c>
      <c r="M4" s="40"/>
      <c r="N4" s="40"/>
      <c r="O4" s="41"/>
      <c r="P4" s="40" t="s">
        <v>29</v>
      </c>
      <c r="Q4" s="40"/>
      <c r="R4" s="40"/>
      <c r="S4" s="40"/>
    </row>
    <row r="5" spans="1:19" ht="29.15" customHeight="1">
      <c r="A5" s="19"/>
      <c r="B5" s="45"/>
      <c r="C5" s="46"/>
      <c r="D5" s="42" t="s">
        <v>30</v>
      </c>
      <c r="E5" s="34"/>
      <c r="F5" s="34" t="s">
        <v>31</v>
      </c>
      <c r="G5" s="35"/>
      <c r="H5" s="42" t="s">
        <v>30</v>
      </c>
      <c r="I5" s="34"/>
      <c r="J5" s="34" t="s">
        <v>31</v>
      </c>
      <c r="K5" s="35"/>
      <c r="L5" s="42" t="s">
        <v>30</v>
      </c>
      <c r="M5" s="34"/>
      <c r="N5" s="34" t="s">
        <v>31</v>
      </c>
      <c r="O5" s="35"/>
      <c r="P5" s="42" t="s">
        <v>30</v>
      </c>
      <c r="Q5" s="34"/>
      <c r="R5" s="34" t="s">
        <v>31</v>
      </c>
      <c r="S5" s="35"/>
    </row>
    <row r="6" spans="1:19">
      <c r="A6" s="12"/>
      <c r="B6" s="16" t="s">
        <v>32</v>
      </c>
      <c r="C6" s="17" t="s">
        <v>33</v>
      </c>
      <c r="D6" s="16" t="s">
        <v>13</v>
      </c>
      <c r="E6" s="14" t="s">
        <v>33</v>
      </c>
      <c r="F6" s="14" t="s">
        <v>13</v>
      </c>
      <c r="G6" s="17" t="s">
        <v>33</v>
      </c>
      <c r="H6" s="14" t="s">
        <v>13</v>
      </c>
      <c r="I6" s="14" t="s">
        <v>33</v>
      </c>
      <c r="J6" s="14" t="s">
        <v>13</v>
      </c>
      <c r="K6" s="17" t="s">
        <v>33</v>
      </c>
      <c r="L6" s="16" t="s">
        <v>13</v>
      </c>
      <c r="M6" s="14" t="s">
        <v>33</v>
      </c>
      <c r="N6" s="14" t="s">
        <v>13</v>
      </c>
      <c r="O6" s="17" t="s">
        <v>33</v>
      </c>
      <c r="P6" s="14" t="s">
        <v>13</v>
      </c>
      <c r="Q6" s="14" t="s">
        <v>33</v>
      </c>
      <c r="R6" s="14" t="s">
        <v>13</v>
      </c>
      <c r="S6" s="17" t="s">
        <v>33</v>
      </c>
    </row>
    <row r="7" spans="1:19">
      <c r="A7" s="9" t="s">
        <v>34</v>
      </c>
      <c r="B7" s="29">
        <v>999999</v>
      </c>
      <c r="C7" s="29">
        <v>999999</v>
      </c>
      <c r="D7" s="29">
        <v>999999</v>
      </c>
      <c r="E7" s="29">
        <v>999999</v>
      </c>
      <c r="F7" s="29">
        <v>999999</v>
      </c>
      <c r="G7" s="29">
        <v>999999</v>
      </c>
      <c r="H7" s="29">
        <v>999999</v>
      </c>
      <c r="I7" s="29">
        <v>999999</v>
      </c>
      <c r="J7" s="29">
        <v>999999</v>
      </c>
      <c r="K7" s="29">
        <v>999999</v>
      </c>
      <c r="L7" s="29">
        <v>999999</v>
      </c>
      <c r="M7" s="29">
        <v>999999</v>
      </c>
      <c r="N7" s="29">
        <v>999999</v>
      </c>
      <c r="O7" s="29">
        <v>999999</v>
      </c>
      <c r="P7" s="29">
        <v>999999</v>
      </c>
      <c r="Q7" s="29">
        <v>999999</v>
      </c>
      <c r="R7" s="29">
        <v>999999</v>
      </c>
      <c r="S7" s="29">
        <v>999999</v>
      </c>
    </row>
    <row r="8" spans="1:19">
      <c r="A8" s="9" t="s">
        <v>35</v>
      </c>
      <c r="B8" s="29">
        <v>999999</v>
      </c>
      <c r="C8" s="29">
        <v>999999</v>
      </c>
      <c r="D8" s="29">
        <v>999999</v>
      </c>
      <c r="E8" s="29">
        <v>999999</v>
      </c>
      <c r="F8" s="29">
        <v>999999</v>
      </c>
      <c r="G8" s="29">
        <v>999999</v>
      </c>
      <c r="H8" s="29">
        <v>999999</v>
      </c>
      <c r="I8" s="29">
        <v>999999</v>
      </c>
      <c r="J8" s="29">
        <v>999999</v>
      </c>
      <c r="K8" s="29">
        <v>999999</v>
      </c>
      <c r="L8" s="29">
        <v>999999</v>
      </c>
      <c r="M8" s="29">
        <v>999999</v>
      </c>
      <c r="N8" s="29">
        <v>999999</v>
      </c>
      <c r="O8" s="29">
        <v>999999</v>
      </c>
      <c r="P8" s="29">
        <v>999999</v>
      </c>
      <c r="Q8" s="29">
        <v>999999</v>
      </c>
      <c r="R8" s="29">
        <v>999999</v>
      </c>
      <c r="S8" s="29">
        <v>999999</v>
      </c>
    </row>
    <row r="9" spans="1:19">
      <c r="A9" s="9" t="s">
        <v>36</v>
      </c>
      <c r="B9" s="29">
        <v>999999</v>
      </c>
      <c r="C9" s="29">
        <v>999999</v>
      </c>
      <c r="D9" s="29">
        <v>999999</v>
      </c>
      <c r="E9" s="29">
        <v>999999</v>
      </c>
      <c r="F9" s="29">
        <v>999999</v>
      </c>
      <c r="G9" s="29">
        <v>999999</v>
      </c>
      <c r="H9" s="29">
        <v>999999</v>
      </c>
      <c r="I9" s="29">
        <v>999999</v>
      </c>
      <c r="J9" s="29">
        <v>999999</v>
      </c>
      <c r="K9" s="29">
        <v>999999</v>
      </c>
      <c r="L9" s="29">
        <v>999999</v>
      </c>
      <c r="M9" s="29">
        <v>999999</v>
      </c>
      <c r="N9" s="29">
        <v>999999</v>
      </c>
      <c r="O9" s="29">
        <v>999999</v>
      </c>
      <c r="P9" s="29">
        <v>999999</v>
      </c>
      <c r="Q9" s="29">
        <v>999999</v>
      </c>
      <c r="R9" s="29">
        <v>999999</v>
      </c>
      <c r="S9" s="29">
        <v>999999</v>
      </c>
    </row>
    <row r="10" spans="1:19">
      <c r="A10" s="9" t="s">
        <v>37</v>
      </c>
      <c r="B10" s="29">
        <v>999999</v>
      </c>
      <c r="C10" s="29">
        <v>999999</v>
      </c>
      <c r="D10" s="29">
        <v>999999</v>
      </c>
      <c r="E10" s="29">
        <v>999999</v>
      </c>
      <c r="F10" s="29">
        <v>999999</v>
      </c>
      <c r="G10" s="29">
        <v>999999</v>
      </c>
      <c r="H10" s="29">
        <v>999999</v>
      </c>
      <c r="I10" s="29">
        <v>999999</v>
      </c>
      <c r="J10" s="29">
        <v>999999</v>
      </c>
      <c r="K10" s="29">
        <v>999999</v>
      </c>
      <c r="L10" s="29">
        <v>999999</v>
      </c>
      <c r="M10" s="29">
        <v>999999</v>
      </c>
      <c r="N10" s="29">
        <v>999999</v>
      </c>
      <c r="O10" s="29">
        <v>999999</v>
      </c>
      <c r="P10" s="29">
        <v>999999</v>
      </c>
      <c r="Q10" s="29">
        <v>999999</v>
      </c>
      <c r="R10" s="29">
        <v>999999</v>
      </c>
      <c r="S10" s="29">
        <v>999999</v>
      </c>
    </row>
    <row r="11" spans="1:19">
      <c r="A11" s="9" t="s">
        <v>38</v>
      </c>
      <c r="B11" s="29">
        <v>999999</v>
      </c>
      <c r="C11" s="29">
        <v>999999</v>
      </c>
      <c r="D11" s="29">
        <v>999999</v>
      </c>
      <c r="E11" s="29">
        <v>999999</v>
      </c>
      <c r="F11" s="29">
        <v>999999</v>
      </c>
      <c r="G11" s="29">
        <v>999999</v>
      </c>
      <c r="H11" s="29">
        <v>999999</v>
      </c>
      <c r="I11" s="29">
        <v>999999</v>
      </c>
      <c r="J11" s="29">
        <v>999999</v>
      </c>
      <c r="K11" s="29">
        <v>999999</v>
      </c>
      <c r="L11" s="29">
        <v>999999</v>
      </c>
      <c r="M11" s="29">
        <v>999999</v>
      </c>
      <c r="N11" s="29">
        <v>999999</v>
      </c>
      <c r="O11" s="29">
        <v>999999</v>
      </c>
      <c r="P11" s="29">
        <v>999999</v>
      </c>
      <c r="Q11" s="29">
        <v>999999</v>
      </c>
      <c r="R11" s="29">
        <v>999999</v>
      </c>
      <c r="S11" s="29">
        <v>999999</v>
      </c>
    </row>
    <row r="12" spans="1:19">
      <c r="A12" s="9" t="s">
        <v>39</v>
      </c>
      <c r="B12" s="29">
        <v>999999</v>
      </c>
      <c r="C12" s="29">
        <v>999999</v>
      </c>
      <c r="D12" s="29">
        <v>999999</v>
      </c>
      <c r="E12" s="29">
        <v>999999</v>
      </c>
      <c r="F12" s="29">
        <v>999999</v>
      </c>
      <c r="G12" s="29">
        <v>999999</v>
      </c>
      <c r="H12" s="29">
        <v>999999</v>
      </c>
      <c r="I12" s="29">
        <v>999999</v>
      </c>
      <c r="J12" s="29">
        <v>999999</v>
      </c>
      <c r="K12" s="29">
        <v>999999</v>
      </c>
      <c r="L12" s="29">
        <v>999999</v>
      </c>
      <c r="M12" s="29">
        <v>999999</v>
      </c>
      <c r="N12" s="29">
        <v>999999</v>
      </c>
      <c r="O12" s="29">
        <v>999999</v>
      </c>
      <c r="P12" s="29">
        <v>999999</v>
      </c>
      <c r="Q12" s="29">
        <v>999999</v>
      </c>
      <c r="R12" s="29">
        <v>999999</v>
      </c>
      <c r="S12" s="29">
        <v>999999</v>
      </c>
    </row>
    <row r="13" spans="1:19">
      <c r="A13" s="9" t="s">
        <v>40</v>
      </c>
      <c r="B13" s="29">
        <v>999999</v>
      </c>
      <c r="C13" s="29">
        <v>999999</v>
      </c>
      <c r="D13" s="29">
        <v>999999</v>
      </c>
      <c r="E13" s="29">
        <v>999999</v>
      </c>
      <c r="F13" s="29">
        <v>999999</v>
      </c>
      <c r="G13" s="29">
        <v>999999</v>
      </c>
      <c r="H13" s="29">
        <v>999999</v>
      </c>
      <c r="I13" s="29">
        <v>999999</v>
      </c>
      <c r="J13" s="29">
        <v>999999</v>
      </c>
      <c r="K13" s="29">
        <v>999999</v>
      </c>
      <c r="L13" s="29">
        <v>999999</v>
      </c>
      <c r="M13" s="29">
        <v>999999</v>
      </c>
      <c r="N13" s="29">
        <v>999999</v>
      </c>
      <c r="O13" s="29">
        <v>999999</v>
      </c>
      <c r="P13" s="29">
        <v>999999</v>
      </c>
      <c r="Q13" s="29">
        <v>999999</v>
      </c>
      <c r="R13" s="29">
        <v>999999</v>
      </c>
      <c r="S13" s="29">
        <v>999999</v>
      </c>
    </row>
    <row r="14" spans="1:19">
      <c r="A14" s="9" t="s">
        <v>41</v>
      </c>
      <c r="B14" s="29">
        <v>999999</v>
      </c>
      <c r="C14" s="29">
        <v>999999</v>
      </c>
      <c r="D14" s="29">
        <v>999999</v>
      </c>
      <c r="E14" s="29">
        <v>999999</v>
      </c>
      <c r="F14" s="29">
        <v>999999</v>
      </c>
      <c r="G14" s="29">
        <v>999999</v>
      </c>
      <c r="H14" s="29">
        <v>999999</v>
      </c>
      <c r="I14" s="29">
        <v>999999</v>
      </c>
      <c r="J14" s="29">
        <v>999999</v>
      </c>
      <c r="K14" s="29">
        <v>999999</v>
      </c>
      <c r="L14" s="29">
        <v>999999</v>
      </c>
      <c r="M14" s="29">
        <v>999999</v>
      </c>
      <c r="N14" s="29">
        <v>999999</v>
      </c>
      <c r="O14" s="29">
        <v>999999</v>
      </c>
      <c r="P14" s="29">
        <v>999999</v>
      </c>
      <c r="Q14" s="29">
        <v>999999</v>
      </c>
      <c r="R14" s="29">
        <v>999999</v>
      </c>
      <c r="S14" s="29">
        <v>999999</v>
      </c>
    </row>
    <row r="15" spans="1:19">
      <c r="A15" s="9" t="s">
        <v>42</v>
      </c>
      <c r="B15" s="29">
        <v>999999</v>
      </c>
      <c r="C15" s="29">
        <v>999999</v>
      </c>
      <c r="D15" s="29">
        <v>999999</v>
      </c>
      <c r="E15" s="29">
        <v>999999</v>
      </c>
      <c r="F15" s="29">
        <v>999999</v>
      </c>
      <c r="G15" s="29">
        <v>999999</v>
      </c>
      <c r="H15" s="29">
        <v>999999</v>
      </c>
      <c r="I15" s="29">
        <v>999999</v>
      </c>
      <c r="J15" s="29">
        <v>999999</v>
      </c>
      <c r="K15" s="29">
        <v>999999</v>
      </c>
      <c r="L15" s="29">
        <v>999999</v>
      </c>
      <c r="M15" s="29">
        <v>999999</v>
      </c>
      <c r="N15" s="29">
        <v>999999</v>
      </c>
      <c r="O15" s="29">
        <v>999999</v>
      </c>
      <c r="P15" s="29">
        <v>999999</v>
      </c>
      <c r="Q15" s="29">
        <v>999999</v>
      </c>
      <c r="R15" s="29">
        <v>999999</v>
      </c>
      <c r="S15" s="29">
        <v>999999</v>
      </c>
    </row>
    <row r="16" spans="1:19">
      <c r="A16" s="9" t="s">
        <v>43</v>
      </c>
      <c r="B16" s="29">
        <v>999999</v>
      </c>
      <c r="C16" s="29">
        <v>999999</v>
      </c>
      <c r="D16" s="29">
        <v>999999</v>
      </c>
      <c r="E16" s="29">
        <v>999999</v>
      </c>
      <c r="F16" s="29">
        <v>999999</v>
      </c>
      <c r="G16" s="29">
        <v>999999</v>
      </c>
      <c r="H16" s="29">
        <v>999999</v>
      </c>
      <c r="I16" s="29">
        <v>999999</v>
      </c>
      <c r="J16" s="29">
        <v>999999</v>
      </c>
      <c r="K16" s="29">
        <v>999999</v>
      </c>
      <c r="L16" s="29">
        <v>999999</v>
      </c>
      <c r="M16" s="29">
        <v>999999</v>
      </c>
      <c r="N16" s="29">
        <v>999999</v>
      </c>
      <c r="O16" s="29">
        <v>999999</v>
      </c>
      <c r="P16" s="29">
        <v>999999</v>
      </c>
      <c r="Q16" s="29">
        <v>999999</v>
      </c>
      <c r="R16" s="29">
        <v>999999</v>
      </c>
      <c r="S16" s="29">
        <v>999999</v>
      </c>
    </row>
    <row r="17" spans="1:19">
      <c r="A17" s="9" t="s">
        <v>44</v>
      </c>
      <c r="B17" s="29">
        <v>999999</v>
      </c>
      <c r="C17" s="29">
        <v>999999</v>
      </c>
      <c r="D17" s="29">
        <v>999999</v>
      </c>
      <c r="E17" s="29">
        <v>999999</v>
      </c>
      <c r="F17" s="29">
        <v>999999</v>
      </c>
      <c r="G17" s="29">
        <v>999999</v>
      </c>
      <c r="H17" s="29">
        <v>999999</v>
      </c>
      <c r="I17" s="29">
        <v>999999</v>
      </c>
      <c r="J17" s="29">
        <v>999999</v>
      </c>
      <c r="K17" s="29">
        <v>999999</v>
      </c>
      <c r="L17" s="29">
        <v>999999</v>
      </c>
      <c r="M17" s="29">
        <v>999999</v>
      </c>
      <c r="N17" s="29">
        <v>999999</v>
      </c>
      <c r="O17" s="29">
        <v>999999</v>
      </c>
      <c r="P17" s="29">
        <v>999999</v>
      </c>
      <c r="Q17" s="29">
        <v>999999</v>
      </c>
      <c r="R17" s="29">
        <v>999999</v>
      </c>
      <c r="S17" s="29">
        <v>999999</v>
      </c>
    </row>
    <row r="18" spans="1:19">
      <c r="A18" s="9" t="s">
        <v>45</v>
      </c>
      <c r="B18" s="29">
        <v>999999</v>
      </c>
      <c r="C18" s="29">
        <v>999999</v>
      </c>
      <c r="D18" s="29">
        <v>999999</v>
      </c>
      <c r="E18" s="29">
        <v>999999</v>
      </c>
      <c r="F18" s="29">
        <v>999999</v>
      </c>
      <c r="G18" s="29">
        <v>999999</v>
      </c>
      <c r="H18" s="29">
        <v>999999</v>
      </c>
      <c r="I18" s="29">
        <v>999999</v>
      </c>
      <c r="J18" s="29">
        <v>999999</v>
      </c>
      <c r="K18" s="29">
        <v>999999</v>
      </c>
      <c r="L18" s="29">
        <v>999999</v>
      </c>
      <c r="M18" s="29">
        <v>999999</v>
      </c>
      <c r="N18" s="29">
        <v>999999</v>
      </c>
      <c r="O18" s="29">
        <v>999999</v>
      </c>
      <c r="P18" s="29">
        <v>999999</v>
      </c>
      <c r="Q18" s="29">
        <v>999999</v>
      </c>
      <c r="R18" s="29">
        <v>999999</v>
      </c>
      <c r="S18" s="29">
        <v>999999</v>
      </c>
    </row>
    <row r="19" spans="1:19">
      <c r="A19" s="9" t="s">
        <v>46</v>
      </c>
      <c r="B19" s="29">
        <v>999999</v>
      </c>
      <c r="C19" s="29">
        <v>999999</v>
      </c>
      <c r="D19" s="29">
        <v>999999</v>
      </c>
      <c r="E19" s="29">
        <v>999999</v>
      </c>
      <c r="F19" s="29">
        <v>999999</v>
      </c>
      <c r="G19" s="29">
        <v>999999</v>
      </c>
      <c r="H19" s="29">
        <v>999999</v>
      </c>
      <c r="I19" s="29">
        <v>999999</v>
      </c>
      <c r="J19" s="29">
        <v>999999</v>
      </c>
      <c r="K19" s="29">
        <v>999999</v>
      </c>
      <c r="L19" s="29">
        <v>999999</v>
      </c>
      <c r="M19" s="29">
        <v>999999</v>
      </c>
      <c r="N19" s="29">
        <v>999999</v>
      </c>
      <c r="O19" s="29">
        <v>999999</v>
      </c>
      <c r="P19" s="29">
        <v>999999</v>
      </c>
      <c r="Q19" s="29">
        <v>999999</v>
      </c>
      <c r="R19" s="29">
        <v>999999</v>
      </c>
      <c r="S19" s="29">
        <v>999999</v>
      </c>
    </row>
    <row r="20" spans="1:19">
      <c r="A20" s="9" t="s">
        <v>47</v>
      </c>
      <c r="B20" s="29">
        <v>999999</v>
      </c>
      <c r="C20" s="29">
        <v>999999</v>
      </c>
      <c r="D20" s="29">
        <v>999999</v>
      </c>
      <c r="E20" s="29">
        <v>999999</v>
      </c>
      <c r="F20" s="29">
        <v>999999</v>
      </c>
      <c r="G20" s="29">
        <v>999999</v>
      </c>
      <c r="H20" s="29">
        <v>999999</v>
      </c>
      <c r="I20" s="29">
        <v>999999</v>
      </c>
      <c r="J20" s="29">
        <v>999999</v>
      </c>
      <c r="K20" s="29">
        <v>999999</v>
      </c>
      <c r="L20" s="29">
        <v>999999</v>
      </c>
      <c r="M20" s="29">
        <v>999999</v>
      </c>
      <c r="N20" s="29">
        <v>999999</v>
      </c>
      <c r="O20" s="29">
        <v>999999</v>
      </c>
      <c r="P20" s="29">
        <v>999999</v>
      </c>
      <c r="Q20" s="29">
        <v>999999</v>
      </c>
      <c r="R20" s="29">
        <v>999999</v>
      </c>
      <c r="S20" s="29">
        <v>999999</v>
      </c>
    </row>
    <row r="21" spans="1:19">
      <c r="A21" s="9" t="s">
        <v>48</v>
      </c>
      <c r="B21" s="29">
        <v>999999</v>
      </c>
      <c r="C21" s="29">
        <v>999999</v>
      </c>
      <c r="D21" s="29">
        <v>999999</v>
      </c>
      <c r="E21" s="29">
        <v>999999</v>
      </c>
      <c r="F21" s="29">
        <v>999999</v>
      </c>
      <c r="G21" s="29">
        <v>999999</v>
      </c>
      <c r="H21" s="29">
        <v>999999</v>
      </c>
      <c r="I21" s="29">
        <v>999999</v>
      </c>
      <c r="J21" s="29">
        <v>999999</v>
      </c>
      <c r="K21" s="29">
        <v>999999</v>
      </c>
      <c r="L21" s="29">
        <v>999999</v>
      </c>
      <c r="M21" s="29">
        <v>999999</v>
      </c>
      <c r="N21" s="29">
        <v>999999</v>
      </c>
      <c r="O21" s="29">
        <v>999999</v>
      </c>
      <c r="P21" s="29">
        <v>999999</v>
      </c>
      <c r="Q21" s="29">
        <v>999999</v>
      </c>
      <c r="R21" s="29">
        <v>999999</v>
      </c>
      <c r="S21" s="29">
        <v>999999</v>
      </c>
    </row>
    <row r="22" spans="1:19">
      <c r="A22" s="9" t="s">
        <v>49</v>
      </c>
      <c r="B22" s="29">
        <v>999999</v>
      </c>
      <c r="C22" s="29">
        <v>999999</v>
      </c>
      <c r="D22" s="29">
        <v>999999</v>
      </c>
      <c r="E22" s="29">
        <v>999999</v>
      </c>
      <c r="F22" s="29">
        <v>999999</v>
      </c>
      <c r="G22" s="29">
        <v>999999</v>
      </c>
      <c r="H22" s="29">
        <v>999999</v>
      </c>
      <c r="I22" s="29">
        <v>999999</v>
      </c>
      <c r="J22" s="29">
        <v>999999</v>
      </c>
      <c r="K22" s="29">
        <v>999999</v>
      </c>
      <c r="L22" s="29">
        <v>999999</v>
      </c>
      <c r="M22" s="29">
        <v>999999</v>
      </c>
      <c r="N22" s="29">
        <v>999999</v>
      </c>
      <c r="O22" s="29">
        <v>999999</v>
      </c>
      <c r="P22" s="29">
        <v>999999</v>
      </c>
      <c r="Q22" s="29">
        <v>999999</v>
      </c>
      <c r="R22" s="29">
        <v>999999</v>
      </c>
      <c r="S22" s="29">
        <v>999999</v>
      </c>
    </row>
    <row r="23" spans="1:19">
      <c r="A23" s="9" t="s">
        <v>50</v>
      </c>
      <c r="B23" s="29">
        <v>999999</v>
      </c>
      <c r="C23" s="29">
        <v>999999</v>
      </c>
      <c r="D23" s="29">
        <v>999999</v>
      </c>
      <c r="E23" s="29">
        <v>999999</v>
      </c>
      <c r="F23" s="29">
        <v>999999</v>
      </c>
      <c r="G23" s="29">
        <v>999999</v>
      </c>
      <c r="H23" s="29">
        <v>999999</v>
      </c>
      <c r="I23" s="29">
        <v>999999</v>
      </c>
      <c r="J23" s="29">
        <v>999999</v>
      </c>
      <c r="K23" s="29">
        <v>999999</v>
      </c>
      <c r="L23" s="29">
        <v>999999</v>
      </c>
      <c r="M23" s="29">
        <v>999999</v>
      </c>
      <c r="N23" s="29">
        <v>999999</v>
      </c>
      <c r="O23" s="29">
        <v>999999</v>
      </c>
      <c r="P23" s="29">
        <v>999999</v>
      </c>
      <c r="Q23" s="29">
        <v>999999</v>
      </c>
      <c r="R23" s="29">
        <v>999999</v>
      </c>
      <c r="S23" s="29">
        <v>999999</v>
      </c>
    </row>
    <row r="24" spans="1:19">
      <c r="A24" s="9" t="s">
        <v>51</v>
      </c>
      <c r="B24" s="29">
        <v>999999</v>
      </c>
      <c r="C24" s="29">
        <v>999999</v>
      </c>
      <c r="D24" s="29">
        <v>999999</v>
      </c>
      <c r="E24" s="29">
        <v>999999</v>
      </c>
      <c r="F24" s="29">
        <v>999999</v>
      </c>
      <c r="G24" s="29">
        <v>999999</v>
      </c>
      <c r="H24" s="29">
        <v>999999</v>
      </c>
      <c r="I24" s="29">
        <v>999999</v>
      </c>
      <c r="J24" s="29">
        <v>999999</v>
      </c>
      <c r="K24" s="29">
        <v>999999</v>
      </c>
      <c r="L24" s="29">
        <v>999999</v>
      </c>
      <c r="M24" s="29">
        <v>999999</v>
      </c>
      <c r="N24" s="29">
        <v>999999</v>
      </c>
      <c r="O24" s="29">
        <v>999999</v>
      </c>
      <c r="P24" s="29">
        <v>999999</v>
      </c>
      <c r="Q24" s="29">
        <v>999999</v>
      </c>
      <c r="R24" s="29">
        <v>999999</v>
      </c>
      <c r="S24" s="29">
        <v>999999</v>
      </c>
    </row>
    <row r="25" spans="1:19">
      <c r="A25" s="9" t="s">
        <v>52</v>
      </c>
      <c r="B25" s="29">
        <v>999999</v>
      </c>
      <c r="C25" s="29">
        <v>999999</v>
      </c>
      <c r="D25" s="29">
        <v>999999</v>
      </c>
      <c r="E25" s="29">
        <v>999999</v>
      </c>
      <c r="F25" s="29">
        <v>999999</v>
      </c>
      <c r="G25" s="29">
        <v>999999</v>
      </c>
      <c r="H25" s="29">
        <v>999999</v>
      </c>
      <c r="I25" s="29">
        <v>999999</v>
      </c>
      <c r="J25" s="29">
        <v>999999</v>
      </c>
      <c r="K25" s="29">
        <v>999999</v>
      </c>
      <c r="L25" s="29">
        <v>999999</v>
      </c>
      <c r="M25" s="29">
        <v>999999</v>
      </c>
      <c r="N25" s="29">
        <v>999999</v>
      </c>
      <c r="O25" s="29">
        <v>999999</v>
      </c>
      <c r="P25" s="29">
        <v>999999</v>
      </c>
      <c r="Q25" s="29">
        <v>999999</v>
      </c>
      <c r="R25" s="29">
        <v>999999</v>
      </c>
      <c r="S25" s="29">
        <v>999999</v>
      </c>
    </row>
    <row r="26" spans="1:19">
      <c r="A26" s="9" t="s">
        <v>53</v>
      </c>
      <c r="B26" s="29">
        <v>999999</v>
      </c>
      <c r="C26" s="29">
        <v>999999</v>
      </c>
      <c r="D26" s="29">
        <v>999999</v>
      </c>
      <c r="E26" s="29">
        <v>999999</v>
      </c>
      <c r="F26" s="29">
        <v>999999</v>
      </c>
      <c r="G26" s="29">
        <v>999999</v>
      </c>
      <c r="H26" s="29">
        <v>999999</v>
      </c>
      <c r="I26" s="29">
        <v>999999</v>
      </c>
      <c r="J26" s="29">
        <v>999999</v>
      </c>
      <c r="K26" s="29">
        <v>999999</v>
      </c>
      <c r="L26" s="29">
        <v>999999</v>
      </c>
      <c r="M26" s="29">
        <v>999999</v>
      </c>
      <c r="N26" s="29">
        <v>999999</v>
      </c>
      <c r="O26" s="29">
        <v>999999</v>
      </c>
      <c r="P26" s="29">
        <v>999999</v>
      </c>
      <c r="Q26" s="29">
        <v>999999</v>
      </c>
      <c r="R26" s="29">
        <v>999999</v>
      </c>
      <c r="S26" s="29">
        <v>999999</v>
      </c>
    </row>
    <row r="27" spans="1:19">
      <c r="A27" s="9" t="s">
        <v>54</v>
      </c>
      <c r="B27" s="29">
        <v>999999</v>
      </c>
      <c r="C27" s="29">
        <v>999999</v>
      </c>
      <c r="D27" s="29">
        <v>999999</v>
      </c>
      <c r="E27" s="29">
        <v>999999</v>
      </c>
      <c r="F27" s="29">
        <v>999999</v>
      </c>
      <c r="G27" s="29">
        <v>999999</v>
      </c>
      <c r="H27" s="29">
        <v>999999</v>
      </c>
      <c r="I27" s="29">
        <v>999999</v>
      </c>
      <c r="J27" s="29">
        <v>999999</v>
      </c>
      <c r="K27" s="29">
        <v>999999</v>
      </c>
      <c r="L27" s="29">
        <v>999999</v>
      </c>
      <c r="M27" s="29">
        <v>999999</v>
      </c>
      <c r="N27" s="29">
        <v>999999</v>
      </c>
      <c r="O27" s="29">
        <v>999999</v>
      </c>
      <c r="P27" s="29">
        <v>999999</v>
      </c>
      <c r="Q27" s="29">
        <v>999999</v>
      </c>
      <c r="R27" s="29">
        <v>999999</v>
      </c>
      <c r="S27" s="29">
        <v>999999</v>
      </c>
    </row>
    <row r="28" spans="1:19">
      <c r="A28" s="9" t="s">
        <v>55</v>
      </c>
      <c r="B28" s="29">
        <v>999999</v>
      </c>
      <c r="C28" s="29">
        <v>999999</v>
      </c>
      <c r="D28" s="29">
        <v>999999</v>
      </c>
      <c r="E28" s="29">
        <v>999999</v>
      </c>
      <c r="F28" s="29">
        <v>999999</v>
      </c>
      <c r="G28" s="29">
        <v>999999</v>
      </c>
      <c r="H28" s="29">
        <v>999999</v>
      </c>
      <c r="I28" s="29">
        <v>999999</v>
      </c>
      <c r="J28" s="29">
        <v>999999</v>
      </c>
      <c r="K28" s="29">
        <v>999999</v>
      </c>
      <c r="L28" s="29">
        <v>999999</v>
      </c>
      <c r="M28" s="29">
        <v>999999</v>
      </c>
      <c r="N28" s="29">
        <v>999999</v>
      </c>
      <c r="O28" s="29">
        <v>999999</v>
      </c>
      <c r="P28" s="29">
        <v>999999</v>
      </c>
      <c r="Q28" s="29">
        <v>999999</v>
      </c>
      <c r="R28" s="29">
        <v>999999</v>
      </c>
      <c r="S28" s="29">
        <v>999999</v>
      </c>
    </row>
    <row r="29" spans="1:19">
      <c r="A29" s="9" t="s">
        <v>56</v>
      </c>
      <c r="B29" s="29">
        <v>999999</v>
      </c>
      <c r="C29" s="29">
        <v>999999</v>
      </c>
      <c r="D29" s="29">
        <v>999999</v>
      </c>
      <c r="E29" s="29">
        <v>999999</v>
      </c>
      <c r="F29" s="29">
        <v>999999</v>
      </c>
      <c r="G29" s="29">
        <v>999999</v>
      </c>
      <c r="H29" s="29">
        <v>999999</v>
      </c>
      <c r="I29" s="29">
        <v>999999</v>
      </c>
      <c r="J29" s="29">
        <v>999999</v>
      </c>
      <c r="K29" s="29">
        <v>999999</v>
      </c>
      <c r="L29" s="29">
        <v>999999</v>
      </c>
      <c r="M29" s="29">
        <v>999999</v>
      </c>
      <c r="N29" s="29">
        <v>999999</v>
      </c>
      <c r="O29" s="29">
        <v>999999</v>
      </c>
      <c r="P29" s="29">
        <v>999999</v>
      </c>
      <c r="Q29" s="29">
        <v>999999</v>
      </c>
      <c r="R29" s="29">
        <v>999999</v>
      </c>
      <c r="S29" s="29">
        <v>999999</v>
      </c>
    </row>
    <row r="30" spans="1:19">
      <c r="A30" s="9" t="s">
        <v>57</v>
      </c>
      <c r="B30" s="29">
        <v>999999</v>
      </c>
      <c r="C30" s="29">
        <v>999999</v>
      </c>
      <c r="D30" s="29">
        <v>999999</v>
      </c>
      <c r="E30" s="29">
        <v>999999</v>
      </c>
      <c r="F30" s="29">
        <v>999999</v>
      </c>
      <c r="G30" s="29">
        <v>999999</v>
      </c>
      <c r="H30" s="29">
        <v>999999</v>
      </c>
      <c r="I30" s="29">
        <v>999999</v>
      </c>
      <c r="J30" s="29">
        <v>999999</v>
      </c>
      <c r="K30" s="29">
        <v>999999</v>
      </c>
      <c r="L30" s="29">
        <v>999999</v>
      </c>
      <c r="M30" s="29">
        <v>999999</v>
      </c>
      <c r="N30" s="29">
        <v>999999</v>
      </c>
      <c r="O30" s="29">
        <v>999999</v>
      </c>
      <c r="P30" s="29">
        <v>999999</v>
      </c>
      <c r="Q30" s="29">
        <v>999999</v>
      </c>
      <c r="R30" s="29">
        <v>999999</v>
      </c>
      <c r="S30" s="29">
        <v>999999</v>
      </c>
    </row>
    <row r="31" spans="1:19">
      <c r="A31" s="9" t="s">
        <v>58</v>
      </c>
      <c r="B31" s="29">
        <v>999999</v>
      </c>
      <c r="C31" s="29">
        <v>999999</v>
      </c>
      <c r="D31" s="29">
        <v>999999</v>
      </c>
      <c r="E31" s="29">
        <v>999999</v>
      </c>
      <c r="F31" s="29">
        <v>999999</v>
      </c>
      <c r="G31" s="29">
        <v>999999</v>
      </c>
      <c r="H31" s="29">
        <v>999999</v>
      </c>
      <c r="I31" s="29">
        <v>999999</v>
      </c>
      <c r="J31" s="29">
        <v>999999</v>
      </c>
      <c r="K31" s="29">
        <v>999999</v>
      </c>
      <c r="L31" s="29">
        <v>999999</v>
      </c>
      <c r="M31" s="29">
        <v>999999</v>
      </c>
      <c r="N31" s="29">
        <v>999999</v>
      </c>
      <c r="O31" s="29">
        <v>999999</v>
      </c>
      <c r="P31" s="29">
        <v>999999</v>
      </c>
      <c r="Q31" s="29">
        <v>999999</v>
      </c>
      <c r="R31" s="29">
        <v>999999</v>
      </c>
      <c r="S31" s="29">
        <v>999999</v>
      </c>
    </row>
    <row r="32" spans="1:19">
      <c r="A32" s="13" t="s">
        <v>59</v>
      </c>
      <c r="B32" s="13">
        <v>999999</v>
      </c>
      <c r="C32" s="13">
        <v>999999</v>
      </c>
      <c r="D32" s="13">
        <v>999999</v>
      </c>
      <c r="E32" s="13">
        <v>999999</v>
      </c>
      <c r="F32" s="13">
        <v>999999</v>
      </c>
      <c r="G32" s="13">
        <v>999999</v>
      </c>
      <c r="H32" s="13">
        <v>999999</v>
      </c>
      <c r="I32" s="13">
        <v>999999</v>
      </c>
      <c r="J32" s="13">
        <v>999999</v>
      </c>
      <c r="K32" s="13">
        <v>999999</v>
      </c>
      <c r="L32" s="13">
        <v>999999</v>
      </c>
      <c r="M32" s="13">
        <v>999999</v>
      </c>
      <c r="N32" s="13">
        <v>999999</v>
      </c>
      <c r="O32" s="13">
        <v>999999</v>
      </c>
      <c r="P32" s="13">
        <v>999999</v>
      </c>
      <c r="Q32" s="13">
        <v>999999</v>
      </c>
      <c r="R32" s="13">
        <v>999999</v>
      </c>
      <c r="S32" s="13">
        <v>999999</v>
      </c>
    </row>
  </sheetData>
  <mergeCells count="17">
    <mergeCell ref="J5:K5"/>
    <mergeCell ref="L5:M5"/>
    <mergeCell ref="N5:O5"/>
    <mergeCell ref="P5:Q5"/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  <mergeCell ref="H5:I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7265625" defaultRowHeight="14.5"/>
  <cols>
    <col min="1" max="1" width="21.1796875" style="9" customWidth="1"/>
    <col min="2" max="11" width="10.7265625" style="9" customWidth="1"/>
    <col min="12" max="16384" width="8.7265625" style="9"/>
  </cols>
  <sheetData>
    <row r="1" spans="1:11">
      <c r="A1" s="18"/>
      <c r="B1" s="18"/>
      <c r="C1" s="18"/>
    </row>
    <row r="2" spans="1:11">
      <c r="B2" s="43" t="s">
        <v>25</v>
      </c>
      <c r="C2" s="44"/>
      <c r="D2" s="37" t="s">
        <v>26</v>
      </c>
      <c r="E2" s="36"/>
      <c r="F2" s="36"/>
      <c r="G2" s="36"/>
      <c r="H2" s="36"/>
      <c r="I2" s="36"/>
      <c r="J2" s="36"/>
      <c r="K2" s="38"/>
    </row>
    <row r="3" spans="1:11">
      <c r="B3" s="43"/>
      <c r="C3" s="44"/>
      <c r="D3" s="37">
        <v>2050</v>
      </c>
      <c r="E3" s="36"/>
      <c r="F3" s="36"/>
      <c r="G3" s="36"/>
      <c r="H3" s="36"/>
      <c r="I3" s="36"/>
      <c r="J3" s="36"/>
      <c r="K3" s="38"/>
    </row>
    <row r="4" spans="1:11" ht="29.15" customHeight="1">
      <c r="A4" s="19"/>
      <c r="B4" s="43"/>
      <c r="C4" s="44"/>
      <c r="D4" s="39" t="s">
        <v>28</v>
      </c>
      <c r="E4" s="40"/>
      <c r="F4" s="40"/>
      <c r="G4" s="41"/>
      <c r="H4" s="40" t="s">
        <v>29</v>
      </c>
      <c r="I4" s="40"/>
      <c r="J4" s="40"/>
      <c r="K4" s="41"/>
    </row>
    <row r="5" spans="1:11" ht="29.15" customHeight="1">
      <c r="A5" s="19"/>
      <c r="B5" s="45"/>
      <c r="C5" s="46"/>
      <c r="D5" s="42" t="s">
        <v>30</v>
      </c>
      <c r="E5" s="34"/>
      <c r="F5" s="34" t="s">
        <v>31</v>
      </c>
      <c r="G5" s="35"/>
      <c r="H5" s="42" t="s">
        <v>30</v>
      </c>
      <c r="I5" s="34"/>
      <c r="J5" s="34" t="s">
        <v>31</v>
      </c>
      <c r="K5" s="35"/>
    </row>
    <row r="6" spans="1:11">
      <c r="A6" s="12"/>
      <c r="B6" s="16" t="s">
        <v>32</v>
      </c>
      <c r="C6" s="17" t="s">
        <v>33</v>
      </c>
      <c r="D6" s="16" t="s">
        <v>13</v>
      </c>
      <c r="E6" s="14" t="s">
        <v>33</v>
      </c>
      <c r="F6" s="14" t="s">
        <v>13</v>
      </c>
      <c r="G6" s="17" t="s">
        <v>33</v>
      </c>
      <c r="H6" s="14" t="s">
        <v>13</v>
      </c>
      <c r="I6" s="14" t="s">
        <v>33</v>
      </c>
      <c r="J6" s="14" t="s">
        <v>13</v>
      </c>
      <c r="K6" s="17" t="s">
        <v>33</v>
      </c>
    </row>
    <row r="7" spans="1:11">
      <c r="A7" s="9" t="s">
        <v>34</v>
      </c>
      <c r="D7" s="10"/>
      <c r="E7" s="10"/>
      <c r="F7" s="10"/>
      <c r="G7" s="10"/>
      <c r="H7" s="10"/>
      <c r="I7" s="10"/>
      <c r="J7" s="10"/>
      <c r="K7" s="10"/>
    </row>
    <row r="8" spans="1:11">
      <c r="A8" s="9" t="s">
        <v>35</v>
      </c>
      <c r="D8" s="10"/>
      <c r="E8" s="10"/>
      <c r="F8" s="10"/>
      <c r="G8" s="10"/>
      <c r="H8" s="10"/>
      <c r="I8" s="10"/>
      <c r="J8" s="10"/>
      <c r="K8" s="10"/>
    </row>
    <row r="9" spans="1:11">
      <c r="A9" s="9" t="s">
        <v>36</v>
      </c>
      <c r="D9" s="10"/>
      <c r="E9" s="10"/>
      <c r="F9" s="10"/>
      <c r="G9" s="10"/>
      <c r="H9" s="10"/>
      <c r="I9" s="10"/>
      <c r="J9" s="10"/>
      <c r="K9" s="10"/>
    </row>
    <row r="10" spans="1:11">
      <c r="A10" s="9" t="s">
        <v>37</v>
      </c>
      <c r="D10" s="10"/>
      <c r="E10" s="10"/>
      <c r="F10" s="10"/>
      <c r="G10" s="10"/>
      <c r="H10" s="10"/>
      <c r="I10" s="10"/>
      <c r="J10" s="10"/>
      <c r="K10" s="10"/>
    </row>
    <row r="11" spans="1:11">
      <c r="A11" s="9" t="s">
        <v>38</v>
      </c>
      <c r="D11" s="10"/>
      <c r="E11" s="10"/>
      <c r="F11" s="10"/>
      <c r="G11" s="10"/>
      <c r="H11" s="10"/>
      <c r="I11" s="10"/>
      <c r="J11" s="10"/>
      <c r="K11" s="10"/>
    </row>
    <row r="12" spans="1:11">
      <c r="A12" s="9" t="s">
        <v>39</v>
      </c>
      <c r="D12" s="10"/>
      <c r="E12" s="10"/>
      <c r="F12" s="10"/>
      <c r="G12" s="10"/>
      <c r="H12" s="10"/>
      <c r="I12" s="10"/>
      <c r="J12" s="10"/>
      <c r="K12" s="10"/>
    </row>
    <row r="13" spans="1:11">
      <c r="A13" s="9" t="s">
        <v>40</v>
      </c>
      <c r="D13" s="10"/>
      <c r="E13" s="10"/>
      <c r="F13" s="10"/>
      <c r="G13" s="10"/>
      <c r="H13" s="10"/>
      <c r="I13" s="10"/>
      <c r="J13" s="10"/>
      <c r="K13" s="10"/>
    </row>
    <row r="14" spans="1:11">
      <c r="A14" s="9" t="s">
        <v>41</v>
      </c>
      <c r="D14" s="10"/>
      <c r="E14" s="10"/>
      <c r="F14" s="10"/>
      <c r="G14" s="10"/>
      <c r="H14" s="10"/>
      <c r="I14" s="10"/>
      <c r="J14" s="10"/>
      <c r="K14" s="10"/>
    </row>
    <row r="15" spans="1:11">
      <c r="A15" s="9" t="s">
        <v>42</v>
      </c>
      <c r="D15" s="10"/>
      <c r="E15" s="10"/>
      <c r="F15" s="10"/>
      <c r="G15" s="10"/>
      <c r="H15" s="10"/>
      <c r="I15" s="10"/>
      <c r="J15" s="10"/>
      <c r="K15" s="10"/>
    </row>
    <row r="16" spans="1:11">
      <c r="A16" s="9" t="s">
        <v>43</v>
      </c>
      <c r="D16" s="10"/>
      <c r="E16" s="10"/>
      <c r="F16" s="10"/>
      <c r="G16" s="10"/>
      <c r="H16" s="10"/>
      <c r="I16" s="10"/>
      <c r="J16" s="10"/>
      <c r="K16" s="10"/>
    </row>
    <row r="17" spans="1:11">
      <c r="A17" s="9" t="s">
        <v>44</v>
      </c>
      <c r="D17" s="10"/>
      <c r="E17" s="10"/>
      <c r="F17" s="10"/>
      <c r="G17" s="10"/>
      <c r="H17" s="10"/>
      <c r="I17" s="10"/>
      <c r="J17" s="10"/>
      <c r="K17" s="10"/>
    </row>
    <row r="18" spans="1:11">
      <c r="A18" s="9" t="s">
        <v>45</v>
      </c>
      <c r="D18" s="10"/>
      <c r="E18" s="10"/>
      <c r="F18" s="10"/>
      <c r="G18" s="10"/>
      <c r="H18" s="11"/>
      <c r="I18" s="11"/>
      <c r="J18" s="11"/>
      <c r="K18" s="11"/>
    </row>
    <row r="19" spans="1:11">
      <c r="A19" s="9" t="s">
        <v>46</v>
      </c>
      <c r="D19" s="10"/>
      <c r="E19" s="10"/>
      <c r="F19" s="10"/>
      <c r="G19" s="10"/>
      <c r="H19" s="10"/>
      <c r="I19" s="10"/>
      <c r="J19" s="10"/>
      <c r="K19" s="10"/>
    </row>
    <row r="20" spans="1:11">
      <c r="A20" s="9" t="s">
        <v>47</v>
      </c>
      <c r="D20" s="10"/>
      <c r="E20" s="10"/>
      <c r="F20" s="10"/>
      <c r="G20" s="10"/>
      <c r="H20" s="10"/>
      <c r="I20" s="10"/>
      <c r="J20" s="10"/>
      <c r="K20" s="10"/>
    </row>
    <row r="21" spans="1:11">
      <c r="A21" s="9" t="s">
        <v>48</v>
      </c>
      <c r="D21" s="10"/>
      <c r="E21" s="10"/>
      <c r="F21" s="10"/>
      <c r="G21" s="10"/>
      <c r="H21" s="10"/>
      <c r="I21" s="10"/>
      <c r="J21" s="10"/>
      <c r="K21" s="10"/>
    </row>
    <row r="22" spans="1:11">
      <c r="A22" s="9" t="s">
        <v>49</v>
      </c>
      <c r="D22" s="10"/>
      <c r="E22" s="10"/>
      <c r="F22" s="10"/>
      <c r="G22" s="10"/>
      <c r="H22" s="10"/>
      <c r="I22" s="10"/>
      <c r="J22" s="10"/>
      <c r="K22" s="10"/>
    </row>
    <row r="23" spans="1:11">
      <c r="A23" s="9" t="s">
        <v>50</v>
      </c>
      <c r="D23" s="10"/>
      <c r="E23" s="10"/>
      <c r="F23" s="10"/>
      <c r="G23" s="10"/>
      <c r="H23" s="10"/>
      <c r="I23" s="10"/>
      <c r="J23" s="10"/>
      <c r="K23" s="10"/>
    </row>
    <row r="24" spans="1:11">
      <c r="A24" s="9" t="s">
        <v>51</v>
      </c>
      <c r="D24" s="10"/>
      <c r="E24" s="10"/>
      <c r="F24" s="10"/>
      <c r="G24" s="10"/>
      <c r="H24" s="10"/>
      <c r="I24" s="10"/>
      <c r="J24" s="10"/>
      <c r="K24" s="10"/>
    </row>
    <row r="25" spans="1:11">
      <c r="A25" s="9" t="s">
        <v>52</v>
      </c>
      <c r="D25" s="10"/>
      <c r="E25" s="10"/>
      <c r="F25" s="10"/>
      <c r="G25" s="10"/>
      <c r="H25" s="10"/>
      <c r="I25" s="10"/>
      <c r="J25" s="10"/>
      <c r="K25" s="10"/>
    </row>
    <row r="26" spans="1:11">
      <c r="A26" s="9" t="s">
        <v>53</v>
      </c>
      <c r="D26" s="10"/>
      <c r="E26" s="10"/>
      <c r="F26" s="10"/>
      <c r="G26" s="10"/>
      <c r="H26" s="10"/>
      <c r="I26" s="10"/>
      <c r="J26" s="10"/>
      <c r="K26" s="10"/>
    </row>
    <row r="27" spans="1:11">
      <c r="A27" s="9" t="s">
        <v>54</v>
      </c>
      <c r="D27" s="10"/>
      <c r="E27" s="10"/>
      <c r="F27" s="10"/>
      <c r="G27" s="10"/>
      <c r="H27" s="10"/>
      <c r="I27" s="10"/>
      <c r="J27" s="10"/>
      <c r="K27" s="10"/>
    </row>
    <row r="28" spans="1:11">
      <c r="A28" s="9" t="s">
        <v>55</v>
      </c>
      <c r="D28" s="10"/>
      <c r="E28" s="10"/>
      <c r="F28" s="10"/>
      <c r="G28" s="10"/>
      <c r="H28" s="10"/>
      <c r="I28" s="10"/>
      <c r="J28" s="10"/>
      <c r="K28" s="10"/>
    </row>
    <row r="29" spans="1:11">
      <c r="A29" s="9" t="s">
        <v>56</v>
      </c>
      <c r="D29" s="10"/>
      <c r="E29" s="10"/>
      <c r="F29" s="10"/>
      <c r="G29" s="10"/>
      <c r="H29" s="11"/>
      <c r="I29" s="11"/>
      <c r="J29" s="11"/>
      <c r="K29" s="11"/>
    </row>
    <row r="30" spans="1:11">
      <c r="A30" s="9" t="s">
        <v>57</v>
      </c>
      <c r="D30" s="10"/>
      <c r="E30" s="10"/>
      <c r="F30" s="10"/>
      <c r="G30" s="10"/>
      <c r="H30" s="11"/>
      <c r="I30" s="11"/>
      <c r="J30" s="11"/>
      <c r="K30" s="11"/>
    </row>
    <row r="31" spans="1:11">
      <c r="A31" s="9" t="s">
        <v>58</v>
      </c>
    </row>
    <row r="32" spans="1:11">
      <c r="A32" s="13" t="s">
        <v>59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Flood (national AAL PML)</vt:lpstr>
      <vt:lpstr>WRI data (for mock generation)</vt:lpstr>
      <vt:lpstr>Drought (national AAL PML)</vt:lpstr>
      <vt:lpstr>Flood Affected Population</vt:lpstr>
      <vt:lpstr>Drought Affected Population</vt:lpstr>
      <vt:lpstr>Flood AAL (admin 1)</vt:lpstr>
      <vt:lpstr>Drought AAL (admin 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Junko Mochizuki</dc:creator>
  <cp:keywords/>
  <dc:description/>
  <cp:lastModifiedBy>Junko Mochizuki</cp:lastModifiedBy>
  <cp:revision/>
  <dcterms:created xsi:type="dcterms:W3CDTF">2022-11-30T10:12:22Z</dcterms:created>
  <dcterms:modified xsi:type="dcterms:W3CDTF">2023-02-01T11:18:17Z</dcterms:modified>
  <cp:category/>
  <cp:contentStatus/>
</cp:coreProperties>
</file>