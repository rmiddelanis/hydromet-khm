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bogaerts_worldbank_org/Documents/VICA 2020/0. EAP/Cambodia/1. DRM Project 2/8. Technical Assistance/CCDR- Flood/"/>
    </mc:Choice>
  </mc:AlternateContent>
  <xr:revisionPtr revIDLastSave="0" documentId="8_{ADB5A5AD-D6E1-4DD2-9D5A-D397B1801B6E}" xr6:coauthVersionLast="47" xr6:coauthVersionMax="47" xr10:uidLastSave="{00000000-0000-0000-0000-000000000000}"/>
  <bookViews>
    <workbookView xWindow="-110" yWindow="-110" windowWidth="19420" windowHeight="10420" tabRatio="864" activeTab="2" xr2:uid="{EA58DB0F-896D-4CE3-BD5F-87C5A342EB24}"/>
  </bookViews>
  <sheets>
    <sheet name="CGE-Flood Weighted Av Calcs" sheetId="9" r:id="rId1"/>
    <sheet name="MINDSET-Flood MC" sheetId="10" r:id="rId2"/>
    <sheet name="Flood (national AAL PML)" sheetId="1" r:id="rId3"/>
    <sheet name="Drought (national AAL PML)" sheetId="2" r:id="rId4"/>
    <sheet name="Flood Affected Population" sheetId="3" r:id="rId5"/>
    <sheet name="Drought Affected Population" sheetId="7" r:id="rId6"/>
    <sheet name="Flood AAL (admin 1)" sheetId="5" r:id="rId7"/>
    <sheet name="Drought AAL (admin 1)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1" l="1"/>
  <c r="T8" i="1"/>
  <c r="T7" i="1"/>
  <c r="T6" i="1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54" i="10"/>
  <c r="H54" i="10"/>
  <c r="T580" i="10"/>
  <c r="T1031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S1047" i="10"/>
  <c r="S1048" i="10"/>
  <c r="S1049" i="10"/>
  <c r="S1050" i="10"/>
  <c r="S1051" i="10"/>
  <c r="S1052" i="10"/>
  <c r="S1053" i="10"/>
  <c r="S54" i="10"/>
  <c r="R580" i="10"/>
  <c r="R1031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P737" i="10" s="1"/>
  <c r="H738" i="10"/>
  <c r="H739" i="10"/>
  <c r="H740" i="10"/>
  <c r="H741" i="10"/>
  <c r="H742" i="10"/>
  <c r="H743" i="10"/>
  <c r="H744" i="10"/>
  <c r="H745" i="10"/>
  <c r="P745" i="10" s="1"/>
  <c r="H746" i="10"/>
  <c r="H747" i="10"/>
  <c r="H748" i="10"/>
  <c r="H749" i="10"/>
  <c r="H750" i="10"/>
  <c r="H751" i="10"/>
  <c r="H752" i="10"/>
  <c r="H753" i="10"/>
  <c r="P753" i="10" s="1"/>
  <c r="H754" i="10"/>
  <c r="H755" i="10"/>
  <c r="H756" i="10"/>
  <c r="H757" i="10"/>
  <c r="H758" i="10"/>
  <c r="H759" i="10"/>
  <c r="H760" i="10"/>
  <c r="H761" i="10"/>
  <c r="P761" i="10" s="1"/>
  <c r="H762" i="10"/>
  <c r="H763" i="10"/>
  <c r="H764" i="10"/>
  <c r="H765" i="10"/>
  <c r="H766" i="10"/>
  <c r="H767" i="10"/>
  <c r="H768" i="10"/>
  <c r="H769" i="10"/>
  <c r="P769" i="10" s="1"/>
  <c r="H770" i="10"/>
  <c r="H771" i="10"/>
  <c r="H772" i="10"/>
  <c r="H773" i="10"/>
  <c r="H774" i="10"/>
  <c r="H775" i="10"/>
  <c r="H776" i="10"/>
  <c r="H777" i="10"/>
  <c r="P777" i="10" s="1"/>
  <c r="H778" i="10"/>
  <c r="H779" i="10"/>
  <c r="H780" i="10"/>
  <c r="H781" i="10"/>
  <c r="H782" i="10"/>
  <c r="H783" i="10"/>
  <c r="H784" i="10"/>
  <c r="H785" i="10"/>
  <c r="P785" i="10" s="1"/>
  <c r="H786" i="10"/>
  <c r="H787" i="10"/>
  <c r="H788" i="10"/>
  <c r="H789" i="10"/>
  <c r="H790" i="10"/>
  <c r="H791" i="10"/>
  <c r="H792" i="10"/>
  <c r="H793" i="10"/>
  <c r="P793" i="10" s="1"/>
  <c r="H794" i="10"/>
  <c r="H795" i="10"/>
  <c r="H796" i="10"/>
  <c r="H797" i="10"/>
  <c r="H798" i="10"/>
  <c r="H799" i="10"/>
  <c r="H800" i="10"/>
  <c r="H801" i="10"/>
  <c r="P801" i="10" s="1"/>
  <c r="H802" i="10"/>
  <c r="H803" i="10"/>
  <c r="H804" i="10"/>
  <c r="H805" i="10"/>
  <c r="H806" i="10"/>
  <c r="H807" i="10"/>
  <c r="H808" i="10"/>
  <c r="H809" i="10"/>
  <c r="P809" i="10" s="1"/>
  <c r="H810" i="10"/>
  <c r="H811" i="10"/>
  <c r="H812" i="10"/>
  <c r="H813" i="10"/>
  <c r="H814" i="10"/>
  <c r="H815" i="10"/>
  <c r="H816" i="10"/>
  <c r="H817" i="10"/>
  <c r="P817" i="10" s="1"/>
  <c r="H818" i="10"/>
  <c r="H819" i="10"/>
  <c r="H820" i="10"/>
  <c r="H821" i="10"/>
  <c r="H822" i="10"/>
  <c r="H823" i="10"/>
  <c r="H824" i="10"/>
  <c r="H825" i="10"/>
  <c r="P825" i="10" s="1"/>
  <c r="H826" i="10"/>
  <c r="H827" i="10"/>
  <c r="H828" i="10"/>
  <c r="H829" i="10"/>
  <c r="H830" i="10"/>
  <c r="H831" i="10"/>
  <c r="H832" i="10"/>
  <c r="H833" i="10"/>
  <c r="P833" i="10" s="1"/>
  <c r="H834" i="10"/>
  <c r="H835" i="10"/>
  <c r="H836" i="10"/>
  <c r="H837" i="10"/>
  <c r="H838" i="10"/>
  <c r="H839" i="10"/>
  <c r="H840" i="10"/>
  <c r="H841" i="10"/>
  <c r="P841" i="10" s="1"/>
  <c r="H842" i="10"/>
  <c r="H843" i="10"/>
  <c r="H844" i="10"/>
  <c r="H845" i="10"/>
  <c r="H846" i="10"/>
  <c r="H847" i="10"/>
  <c r="H848" i="10"/>
  <c r="H849" i="10"/>
  <c r="P849" i="10" s="1"/>
  <c r="H850" i="10"/>
  <c r="H851" i="10"/>
  <c r="H852" i="10"/>
  <c r="H853" i="10"/>
  <c r="H854" i="10"/>
  <c r="H855" i="10"/>
  <c r="H856" i="10"/>
  <c r="H857" i="10"/>
  <c r="P857" i="10" s="1"/>
  <c r="H858" i="10"/>
  <c r="H859" i="10"/>
  <c r="H860" i="10"/>
  <c r="H861" i="10"/>
  <c r="H862" i="10"/>
  <c r="H863" i="10"/>
  <c r="H864" i="10"/>
  <c r="H865" i="10"/>
  <c r="P865" i="10" s="1"/>
  <c r="H866" i="10"/>
  <c r="H867" i="10"/>
  <c r="H868" i="10"/>
  <c r="H869" i="10"/>
  <c r="H870" i="10"/>
  <c r="H871" i="10"/>
  <c r="H872" i="10"/>
  <c r="H873" i="10"/>
  <c r="P873" i="10" s="1"/>
  <c r="H874" i="10"/>
  <c r="H875" i="10"/>
  <c r="H876" i="10"/>
  <c r="H877" i="10"/>
  <c r="H878" i="10"/>
  <c r="H879" i="10"/>
  <c r="H880" i="10"/>
  <c r="H881" i="10"/>
  <c r="P881" i="10" s="1"/>
  <c r="H882" i="10"/>
  <c r="H883" i="10"/>
  <c r="H884" i="10"/>
  <c r="H885" i="10"/>
  <c r="H886" i="10"/>
  <c r="H887" i="10"/>
  <c r="H888" i="10"/>
  <c r="H889" i="10"/>
  <c r="P889" i="10" s="1"/>
  <c r="H890" i="10"/>
  <c r="H891" i="10"/>
  <c r="H892" i="10"/>
  <c r="H893" i="10"/>
  <c r="H894" i="10"/>
  <c r="H895" i="10"/>
  <c r="H896" i="10"/>
  <c r="H897" i="10"/>
  <c r="P897" i="10" s="1"/>
  <c r="H898" i="10"/>
  <c r="H899" i="10"/>
  <c r="H900" i="10"/>
  <c r="H901" i="10"/>
  <c r="H902" i="10"/>
  <c r="H903" i="10"/>
  <c r="H904" i="10"/>
  <c r="H905" i="10"/>
  <c r="P905" i="10" s="1"/>
  <c r="H906" i="10"/>
  <c r="H907" i="10"/>
  <c r="H908" i="10"/>
  <c r="H909" i="10"/>
  <c r="H910" i="10"/>
  <c r="H911" i="10"/>
  <c r="H912" i="10"/>
  <c r="H913" i="10"/>
  <c r="P913" i="10" s="1"/>
  <c r="H914" i="10"/>
  <c r="H915" i="10"/>
  <c r="H916" i="10"/>
  <c r="H917" i="10"/>
  <c r="H918" i="10"/>
  <c r="H919" i="10"/>
  <c r="H920" i="10"/>
  <c r="H921" i="10"/>
  <c r="P921" i="10" s="1"/>
  <c r="H922" i="10"/>
  <c r="H923" i="10"/>
  <c r="H924" i="10"/>
  <c r="H925" i="10"/>
  <c r="H926" i="10"/>
  <c r="H927" i="10"/>
  <c r="H928" i="10"/>
  <c r="H929" i="10"/>
  <c r="P929" i="10" s="1"/>
  <c r="H930" i="10"/>
  <c r="H931" i="10"/>
  <c r="H932" i="10"/>
  <c r="H933" i="10"/>
  <c r="H934" i="10"/>
  <c r="H935" i="10"/>
  <c r="H936" i="10"/>
  <c r="H937" i="10"/>
  <c r="P937" i="10" s="1"/>
  <c r="H938" i="10"/>
  <c r="H939" i="10"/>
  <c r="H940" i="10"/>
  <c r="H941" i="10"/>
  <c r="H942" i="10"/>
  <c r="H943" i="10"/>
  <c r="H944" i="10"/>
  <c r="H945" i="10"/>
  <c r="P945" i="10" s="1"/>
  <c r="H946" i="10"/>
  <c r="H947" i="10"/>
  <c r="H948" i="10"/>
  <c r="H949" i="10"/>
  <c r="H950" i="10"/>
  <c r="H951" i="10"/>
  <c r="H952" i="10"/>
  <c r="H953" i="10"/>
  <c r="P953" i="10" s="1"/>
  <c r="H954" i="10"/>
  <c r="H955" i="10"/>
  <c r="H956" i="10"/>
  <c r="H957" i="10"/>
  <c r="H958" i="10"/>
  <c r="H959" i="10"/>
  <c r="H960" i="10"/>
  <c r="H961" i="10"/>
  <c r="P961" i="10" s="1"/>
  <c r="H962" i="10"/>
  <c r="H963" i="10"/>
  <c r="H964" i="10"/>
  <c r="H965" i="10"/>
  <c r="H966" i="10"/>
  <c r="H967" i="10"/>
  <c r="H968" i="10"/>
  <c r="H969" i="10"/>
  <c r="P969" i="10" s="1"/>
  <c r="H970" i="10"/>
  <c r="H971" i="10"/>
  <c r="H972" i="10"/>
  <c r="H973" i="10"/>
  <c r="H974" i="10"/>
  <c r="H975" i="10"/>
  <c r="H976" i="10"/>
  <c r="H977" i="10"/>
  <c r="P977" i="10" s="1"/>
  <c r="H978" i="10"/>
  <c r="H979" i="10"/>
  <c r="H980" i="10"/>
  <c r="H981" i="10"/>
  <c r="H982" i="10"/>
  <c r="H983" i="10"/>
  <c r="H984" i="10"/>
  <c r="H985" i="10"/>
  <c r="P985" i="10" s="1"/>
  <c r="H986" i="10"/>
  <c r="H987" i="10"/>
  <c r="H988" i="10"/>
  <c r="H989" i="10"/>
  <c r="H990" i="10"/>
  <c r="H991" i="10"/>
  <c r="H992" i="10"/>
  <c r="H993" i="10"/>
  <c r="P993" i="10" s="1"/>
  <c r="H994" i="10"/>
  <c r="H995" i="10"/>
  <c r="H996" i="10"/>
  <c r="H997" i="10"/>
  <c r="H998" i="10"/>
  <c r="H999" i="10"/>
  <c r="H1000" i="10"/>
  <c r="H1001" i="10"/>
  <c r="P1001" i="10" s="1"/>
  <c r="H1002" i="10"/>
  <c r="H1003" i="10"/>
  <c r="H1004" i="10"/>
  <c r="H1005" i="10"/>
  <c r="H1006" i="10"/>
  <c r="H1007" i="10"/>
  <c r="H1008" i="10"/>
  <c r="H1009" i="10"/>
  <c r="P1009" i="10" s="1"/>
  <c r="H1010" i="10"/>
  <c r="H1011" i="10"/>
  <c r="H1012" i="10"/>
  <c r="H1013" i="10"/>
  <c r="H1014" i="10"/>
  <c r="H1015" i="10"/>
  <c r="H1016" i="10"/>
  <c r="H1017" i="10"/>
  <c r="P1017" i="10" s="1"/>
  <c r="H1018" i="10"/>
  <c r="H1019" i="10"/>
  <c r="H1020" i="10"/>
  <c r="H1021" i="10"/>
  <c r="H1022" i="10"/>
  <c r="H1023" i="10"/>
  <c r="H1024" i="10"/>
  <c r="H1025" i="10"/>
  <c r="P1025" i="10" s="1"/>
  <c r="H1026" i="10"/>
  <c r="H1027" i="10"/>
  <c r="H1028" i="10"/>
  <c r="H1029" i="10"/>
  <c r="H1030" i="10"/>
  <c r="H1031" i="10"/>
  <c r="H1032" i="10"/>
  <c r="H1033" i="10"/>
  <c r="P1033" i="10" s="1"/>
  <c r="H1034" i="10"/>
  <c r="H1035" i="10"/>
  <c r="H1036" i="10"/>
  <c r="H1037" i="10"/>
  <c r="H1038" i="10"/>
  <c r="H1039" i="10"/>
  <c r="H1040" i="10"/>
  <c r="H1041" i="10"/>
  <c r="P1041" i="10" s="1"/>
  <c r="H1042" i="10"/>
  <c r="H1043" i="10"/>
  <c r="H1044" i="10"/>
  <c r="H1045" i="10"/>
  <c r="H1046" i="10"/>
  <c r="H1047" i="10"/>
  <c r="H1048" i="10"/>
  <c r="H1049" i="10"/>
  <c r="P1049" i="10" s="1"/>
  <c r="H1050" i="10"/>
  <c r="H1051" i="10"/>
  <c r="H1052" i="10"/>
  <c r="H1053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O170" i="10" s="1"/>
  <c r="G171" i="10"/>
  <c r="G172" i="10"/>
  <c r="G173" i="10"/>
  <c r="G174" i="10"/>
  <c r="G175" i="10"/>
  <c r="G176" i="10"/>
  <c r="G177" i="10"/>
  <c r="G178" i="10"/>
  <c r="O178" i="10" s="1"/>
  <c r="G179" i="10"/>
  <c r="G180" i="10"/>
  <c r="G181" i="10"/>
  <c r="G182" i="10"/>
  <c r="G183" i="10"/>
  <c r="G184" i="10"/>
  <c r="G185" i="10"/>
  <c r="G186" i="10"/>
  <c r="O186" i="10" s="1"/>
  <c r="G187" i="10"/>
  <c r="G188" i="10"/>
  <c r="G189" i="10"/>
  <c r="G190" i="10"/>
  <c r="G191" i="10"/>
  <c r="G192" i="10"/>
  <c r="G193" i="10"/>
  <c r="G194" i="10"/>
  <c r="O194" i="10" s="1"/>
  <c r="G195" i="10"/>
  <c r="G196" i="10"/>
  <c r="G197" i="10"/>
  <c r="G198" i="10"/>
  <c r="G199" i="10"/>
  <c r="G200" i="10"/>
  <c r="G201" i="10"/>
  <c r="G202" i="10"/>
  <c r="O202" i="10" s="1"/>
  <c r="G203" i="10"/>
  <c r="G204" i="10"/>
  <c r="G205" i="10"/>
  <c r="G206" i="10"/>
  <c r="G207" i="10"/>
  <c r="G208" i="10"/>
  <c r="G209" i="10"/>
  <c r="G210" i="10"/>
  <c r="O210" i="10" s="1"/>
  <c r="G211" i="10"/>
  <c r="G212" i="10"/>
  <c r="G213" i="10"/>
  <c r="G214" i="10"/>
  <c r="G215" i="10"/>
  <c r="G216" i="10"/>
  <c r="G217" i="10"/>
  <c r="G218" i="10"/>
  <c r="O218" i="10" s="1"/>
  <c r="G219" i="10"/>
  <c r="G220" i="10"/>
  <c r="G221" i="10"/>
  <c r="G222" i="10"/>
  <c r="G223" i="10"/>
  <c r="G224" i="10"/>
  <c r="G225" i="10"/>
  <c r="G226" i="10"/>
  <c r="O226" i="10" s="1"/>
  <c r="G227" i="10"/>
  <c r="G228" i="10"/>
  <c r="G229" i="10"/>
  <c r="G230" i="10"/>
  <c r="G231" i="10"/>
  <c r="G232" i="10"/>
  <c r="G233" i="10"/>
  <c r="G234" i="10"/>
  <c r="O234" i="10" s="1"/>
  <c r="G235" i="10"/>
  <c r="G236" i="10"/>
  <c r="G237" i="10"/>
  <c r="G238" i="10"/>
  <c r="G239" i="10"/>
  <c r="G240" i="10"/>
  <c r="G241" i="10"/>
  <c r="G242" i="10"/>
  <c r="O242" i="10" s="1"/>
  <c r="G243" i="10"/>
  <c r="G244" i="10"/>
  <c r="G245" i="10"/>
  <c r="G246" i="10"/>
  <c r="G247" i="10"/>
  <c r="G248" i="10"/>
  <c r="G249" i="10"/>
  <c r="G250" i="10"/>
  <c r="O250" i="10" s="1"/>
  <c r="G251" i="10"/>
  <c r="G252" i="10"/>
  <c r="G253" i="10"/>
  <c r="G254" i="10"/>
  <c r="G255" i="10"/>
  <c r="G256" i="10"/>
  <c r="G257" i="10"/>
  <c r="G258" i="10"/>
  <c r="O258" i="10" s="1"/>
  <c r="G259" i="10"/>
  <c r="G260" i="10"/>
  <c r="G261" i="10"/>
  <c r="G262" i="10"/>
  <c r="G263" i="10"/>
  <c r="G264" i="10"/>
  <c r="G265" i="10"/>
  <c r="G266" i="10"/>
  <c r="O266" i="10" s="1"/>
  <c r="G267" i="10"/>
  <c r="G268" i="10"/>
  <c r="G269" i="10"/>
  <c r="G270" i="10"/>
  <c r="G271" i="10"/>
  <c r="G272" i="10"/>
  <c r="G273" i="10"/>
  <c r="G274" i="10"/>
  <c r="O274" i="10" s="1"/>
  <c r="G275" i="10"/>
  <c r="G276" i="10"/>
  <c r="G277" i="10"/>
  <c r="G278" i="10"/>
  <c r="G279" i="10"/>
  <c r="G280" i="10"/>
  <c r="G281" i="10"/>
  <c r="G282" i="10"/>
  <c r="O282" i="10" s="1"/>
  <c r="G283" i="10"/>
  <c r="G284" i="10"/>
  <c r="G285" i="10"/>
  <c r="G286" i="10"/>
  <c r="G287" i="10"/>
  <c r="G288" i="10"/>
  <c r="G289" i="10"/>
  <c r="G290" i="10"/>
  <c r="O290" i="10" s="1"/>
  <c r="G291" i="10"/>
  <c r="G292" i="10"/>
  <c r="G293" i="10"/>
  <c r="G294" i="10"/>
  <c r="G295" i="10"/>
  <c r="G296" i="10"/>
  <c r="G297" i="10"/>
  <c r="G298" i="10"/>
  <c r="O298" i="10" s="1"/>
  <c r="G299" i="10"/>
  <c r="G300" i="10"/>
  <c r="G301" i="10"/>
  <c r="G302" i="10"/>
  <c r="G303" i="10"/>
  <c r="G304" i="10"/>
  <c r="G305" i="10"/>
  <c r="G306" i="10"/>
  <c r="O306" i="10" s="1"/>
  <c r="G307" i="10"/>
  <c r="G308" i="10"/>
  <c r="G309" i="10"/>
  <c r="G310" i="10"/>
  <c r="G311" i="10"/>
  <c r="G312" i="10"/>
  <c r="G313" i="10"/>
  <c r="G314" i="10"/>
  <c r="O314" i="10" s="1"/>
  <c r="G315" i="10"/>
  <c r="G316" i="10"/>
  <c r="G317" i="10"/>
  <c r="G318" i="10"/>
  <c r="G319" i="10"/>
  <c r="G320" i="10"/>
  <c r="G321" i="10"/>
  <c r="G322" i="10"/>
  <c r="O322" i="10" s="1"/>
  <c r="G323" i="10"/>
  <c r="G324" i="10"/>
  <c r="G325" i="10"/>
  <c r="G326" i="10"/>
  <c r="G327" i="10"/>
  <c r="G328" i="10"/>
  <c r="G329" i="10"/>
  <c r="G330" i="10"/>
  <c r="O330" i="10" s="1"/>
  <c r="G331" i="10"/>
  <c r="G332" i="10"/>
  <c r="G333" i="10"/>
  <c r="G334" i="10"/>
  <c r="G335" i="10"/>
  <c r="G336" i="10"/>
  <c r="G337" i="10"/>
  <c r="G338" i="10"/>
  <c r="O338" i="10" s="1"/>
  <c r="G339" i="10"/>
  <c r="G340" i="10"/>
  <c r="G341" i="10"/>
  <c r="G342" i="10"/>
  <c r="G343" i="10"/>
  <c r="G344" i="10"/>
  <c r="G345" i="10"/>
  <c r="G346" i="10"/>
  <c r="O346" i="10" s="1"/>
  <c r="G347" i="10"/>
  <c r="G348" i="10"/>
  <c r="G349" i="10"/>
  <c r="G350" i="10"/>
  <c r="G351" i="10"/>
  <c r="G352" i="10"/>
  <c r="G353" i="10"/>
  <c r="G354" i="10"/>
  <c r="O354" i="10" s="1"/>
  <c r="G355" i="10"/>
  <c r="G356" i="10"/>
  <c r="G357" i="10"/>
  <c r="G358" i="10"/>
  <c r="G359" i="10"/>
  <c r="G360" i="10"/>
  <c r="G361" i="10"/>
  <c r="G362" i="10"/>
  <c r="O362" i="10" s="1"/>
  <c r="G363" i="10"/>
  <c r="G364" i="10"/>
  <c r="G365" i="10"/>
  <c r="G366" i="10"/>
  <c r="G367" i="10"/>
  <c r="G368" i="10"/>
  <c r="G369" i="10"/>
  <c r="G370" i="10"/>
  <c r="O370" i="10" s="1"/>
  <c r="G371" i="10"/>
  <c r="G372" i="10"/>
  <c r="G373" i="10"/>
  <c r="G374" i="10"/>
  <c r="G375" i="10"/>
  <c r="G376" i="10"/>
  <c r="G377" i="10"/>
  <c r="G378" i="10"/>
  <c r="O378" i="10" s="1"/>
  <c r="G379" i="10"/>
  <c r="G380" i="10"/>
  <c r="G381" i="10"/>
  <c r="G382" i="10"/>
  <c r="G383" i="10"/>
  <c r="G384" i="10"/>
  <c r="G385" i="10"/>
  <c r="G386" i="10"/>
  <c r="O386" i="10" s="1"/>
  <c r="G387" i="10"/>
  <c r="G388" i="10"/>
  <c r="G389" i="10"/>
  <c r="G390" i="10"/>
  <c r="G391" i="10"/>
  <c r="G392" i="10"/>
  <c r="G393" i="10"/>
  <c r="G394" i="10"/>
  <c r="O394" i="10" s="1"/>
  <c r="G395" i="10"/>
  <c r="G396" i="10"/>
  <c r="G397" i="10"/>
  <c r="G398" i="10"/>
  <c r="G399" i="10"/>
  <c r="G400" i="10"/>
  <c r="G401" i="10"/>
  <c r="G402" i="10"/>
  <c r="O402" i="10" s="1"/>
  <c r="G403" i="10"/>
  <c r="G404" i="10"/>
  <c r="G405" i="10"/>
  <c r="G406" i="10"/>
  <c r="G407" i="10"/>
  <c r="G408" i="10"/>
  <c r="G409" i="10"/>
  <c r="G410" i="10"/>
  <c r="O410" i="10" s="1"/>
  <c r="G411" i="10"/>
  <c r="G412" i="10"/>
  <c r="G413" i="10"/>
  <c r="G414" i="10"/>
  <c r="G415" i="10"/>
  <c r="G416" i="10"/>
  <c r="G417" i="10"/>
  <c r="G418" i="10"/>
  <c r="O418" i="10" s="1"/>
  <c r="G419" i="10"/>
  <c r="G420" i="10"/>
  <c r="G421" i="10"/>
  <c r="G422" i="10"/>
  <c r="G423" i="10"/>
  <c r="G424" i="10"/>
  <c r="G425" i="10"/>
  <c r="G426" i="10"/>
  <c r="O426" i="10" s="1"/>
  <c r="G427" i="10"/>
  <c r="G428" i="10"/>
  <c r="G429" i="10"/>
  <c r="G430" i="10"/>
  <c r="G431" i="10"/>
  <c r="G432" i="10"/>
  <c r="G433" i="10"/>
  <c r="G434" i="10"/>
  <c r="O434" i="10" s="1"/>
  <c r="G435" i="10"/>
  <c r="G436" i="10"/>
  <c r="G437" i="10"/>
  <c r="G438" i="10"/>
  <c r="G439" i="10"/>
  <c r="G440" i="10"/>
  <c r="G441" i="10"/>
  <c r="G442" i="10"/>
  <c r="O442" i="10" s="1"/>
  <c r="G443" i="10"/>
  <c r="G444" i="10"/>
  <c r="G445" i="10"/>
  <c r="G446" i="10"/>
  <c r="G447" i="10"/>
  <c r="G448" i="10"/>
  <c r="G449" i="10"/>
  <c r="G450" i="10"/>
  <c r="O450" i="10" s="1"/>
  <c r="G451" i="10"/>
  <c r="G452" i="10"/>
  <c r="G453" i="10"/>
  <c r="G454" i="10"/>
  <c r="G455" i="10"/>
  <c r="G456" i="10"/>
  <c r="G457" i="10"/>
  <c r="G458" i="10"/>
  <c r="O458" i="10" s="1"/>
  <c r="G459" i="10"/>
  <c r="G460" i="10"/>
  <c r="G461" i="10"/>
  <c r="G462" i="10"/>
  <c r="G463" i="10"/>
  <c r="G464" i="10"/>
  <c r="G465" i="10"/>
  <c r="G466" i="10"/>
  <c r="O466" i="10" s="1"/>
  <c r="G467" i="10"/>
  <c r="G468" i="10"/>
  <c r="G469" i="10"/>
  <c r="G470" i="10"/>
  <c r="G471" i="10"/>
  <c r="G472" i="10"/>
  <c r="G473" i="10"/>
  <c r="G474" i="10"/>
  <c r="O474" i="10" s="1"/>
  <c r="G475" i="10"/>
  <c r="G476" i="10"/>
  <c r="G477" i="10"/>
  <c r="G478" i="10"/>
  <c r="G479" i="10"/>
  <c r="G480" i="10"/>
  <c r="G481" i="10"/>
  <c r="G482" i="10"/>
  <c r="O482" i="10" s="1"/>
  <c r="G483" i="10"/>
  <c r="G484" i="10"/>
  <c r="G485" i="10"/>
  <c r="G486" i="10"/>
  <c r="G487" i="10"/>
  <c r="G488" i="10"/>
  <c r="G489" i="10"/>
  <c r="G490" i="10"/>
  <c r="O490" i="10" s="1"/>
  <c r="G491" i="10"/>
  <c r="G492" i="10"/>
  <c r="G493" i="10"/>
  <c r="G494" i="10"/>
  <c r="G495" i="10"/>
  <c r="G496" i="10"/>
  <c r="G497" i="10"/>
  <c r="G498" i="10"/>
  <c r="O498" i="10" s="1"/>
  <c r="G499" i="10"/>
  <c r="G500" i="10"/>
  <c r="G501" i="10"/>
  <c r="G502" i="10"/>
  <c r="G503" i="10"/>
  <c r="G504" i="10"/>
  <c r="G505" i="10"/>
  <c r="G506" i="10"/>
  <c r="O506" i="10" s="1"/>
  <c r="G507" i="10"/>
  <c r="G508" i="10"/>
  <c r="G509" i="10"/>
  <c r="G510" i="10"/>
  <c r="G511" i="10"/>
  <c r="G512" i="10"/>
  <c r="G513" i="10"/>
  <c r="G514" i="10"/>
  <c r="O514" i="10" s="1"/>
  <c r="G515" i="10"/>
  <c r="G516" i="10"/>
  <c r="G517" i="10"/>
  <c r="G518" i="10"/>
  <c r="G519" i="10"/>
  <c r="G520" i="10"/>
  <c r="G521" i="10"/>
  <c r="G522" i="10"/>
  <c r="O522" i="10" s="1"/>
  <c r="G523" i="10"/>
  <c r="G524" i="10"/>
  <c r="G525" i="10"/>
  <c r="G526" i="10"/>
  <c r="G527" i="10"/>
  <c r="G528" i="10"/>
  <c r="G529" i="10"/>
  <c r="G530" i="10"/>
  <c r="O530" i="10" s="1"/>
  <c r="G531" i="10"/>
  <c r="G532" i="10"/>
  <c r="G533" i="10"/>
  <c r="G534" i="10"/>
  <c r="G535" i="10"/>
  <c r="G536" i="10"/>
  <c r="G537" i="10"/>
  <c r="G538" i="10"/>
  <c r="O538" i="10" s="1"/>
  <c r="G539" i="10"/>
  <c r="G540" i="10"/>
  <c r="G541" i="10"/>
  <c r="G542" i="10"/>
  <c r="G543" i="10"/>
  <c r="G544" i="10"/>
  <c r="G545" i="10"/>
  <c r="G546" i="10"/>
  <c r="O546" i="10" s="1"/>
  <c r="G547" i="10"/>
  <c r="G548" i="10"/>
  <c r="G549" i="10"/>
  <c r="G550" i="10"/>
  <c r="G551" i="10"/>
  <c r="G552" i="10"/>
  <c r="G553" i="10"/>
  <c r="G554" i="10"/>
  <c r="O554" i="10" s="1"/>
  <c r="G555" i="10"/>
  <c r="G556" i="10"/>
  <c r="G557" i="10"/>
  <c r="G558" i="10"/>
  <c r="G559" i="10"/>
  <c r="G560" i="10"/>
  <c r="G561" i="10"/>
  <c r="G562" i="10"/>
  <c r="O562" i="10" s="1"/>
  <c r="G563" i="10"/>
  <c r="G564" i="10"/>
  <c r="G565" i="10"/>
  <c r="G566" i="10"/>
  <c r="G567" i="10"/>
  <c r="G568" i="10"/>
  <c r="G569" i="10"/>
  <c r="G570" i="10"/>
  <c r="O570" i="10" s="1"/>
  <c r="G571" i="10"/>
  <c r="G572" i="10"/>
  <c r="G573" i="10"/>
  <c r="G574" i="10"/>
  <c r="G575" i="10"/>
  <c r="G576" i="10"/>
  <c r="G577" i="10"/>
  <c r="G578" i="10"/>
  <c r="O578" i="10" s="1"/>
  <c r="G579" i="10"/>
  <c r="G580" i="10"/>
  <c r="G581" i="10"/>
  <c r="G582" i="10"/>
  <c r="G583" i="10"/>
  <c r="G584" i="10"/>
  <c r="G585" i="10"/>
  <c r="G586" i="10"/>
  <c r="O586" i="10" s="1"/>
  <c r="G587" i="10"/>
  <c r="G588" i="10"/>
  <c r="G589" i="10"/>
  <c r="G590" i="10"/>
  <c r="G591" i="10"/>
  <c r="G592" i="10"/>
  <c r="G593" i="10"/>
  <c r="G594" i="10"/>
  <c r="O594" i="10" s="1"/>
  <c r="G595" i="10"/>
  <c r="G596" i="10"/>
  <c r="G597" i="10"/>
  <c r="G598" i="10"/>
  <c r="G599" i="10"/>
  <c r="G600" i="10"/>
  <c r="G601" i="10"/>
  <c r="G602" i="10"/>
  <c r="O602" i="10" s="1"/>
  <c r="G603" i="10"/>
  <c r="G604" i="10"/>
  <c r="G605" i="10"/>
  <c r="G606" i="10"/>
  <c r="G607" i="10"/>
  <c r="G608" i="10"/>
  <c r="G609" i="10"/>
  <c r="G610" i="10"/>
  <c r="O610" i="10" s="1"/>
  <c r="G611" i="10"/>
  <c r="G612" i="10"/>
  <c r="G613" i="10"/>
  <c r="G614" i="10"/>
  <c r="G615" i="10"/>
  <c r="G616" i="10"/>
  <c r="G617" i="10"/>
  <c r="G618" i="10"/>
  <c r="O618" i="10" s="1"/>
  <c r="G619" i="10"/>
  <c r="G620" i="10"/>
  <c r="G621" i="10"/>
  <c r="G622" i="10"/>
  <c r="G623" i="10"/>
  <c r="G624" i="10"/>
  <c r="G625" i="10"/>
  <c r="G626" i="10"/>
  <c r="O626" i="10" s="1"/>
  <c r="G627" i="10"/>
  <c r="G628" i="10"/>
  <c r="G629" i="10"/>
  <c r="G630" i="10"/>
  <c r="G631" i="10"/>
  <c r="G632" i="10"/>
  <c r="G633" i="10"/>
  <c r="G634" i="10"/>
  <c r="O634" i="10" s="1"/>
  <c r="G635" i="10"/>
  <c r="G636" i="10"/>
  <c r="G637" i="10"/>
  <c r="G638" i="10"/>
  <c r="G639" i="10"/>
  <c r="G640" i="10"/>
  <c r="G641" i="10"/>
  <c r="G642" i="10"/>
  <c r="O642" i="10" s="1"/>
  <c r="G643" i="10"/>
  <c r="G644" i="10"/>
  <c r="G645" i="10"/>
  <c r="G646" i="10"/>
  <c r="G647" i="10"/>
  <c r="G648" i="10"/>
  <c r="G649" i="10"/>
  <c r="G650" i="10"/>
  <c r="O650" i="10" s="1"/>
  <c r="G651" i="10"/>
  <c r="G652" i="10"/>
  <c r="G653" i="10"/>
  <c r="G654" i="10"/>
  <c r="G655" i="10"/>
  <c r="G656" i="10"/>
  <c r="G657" i="10"/>
  <c r="G658" i="10"/>
  <c r="O658" i="10" s="1"/>
  <c r="G659" i="10"/>
  <c r="G660" i="10"/>
  <c r="G661" i="10"/>
  <c r="G662" i="10"/>
  <c r="G663" i="10"/>
  <c r="G664" i="10"/>
  <c r="G665" i="10"/>
  <c r="G666" i="10"/>
  <c r="O666" i="10" s="1"/>
  <c r="G667" i="10"/>
  <c r="G668" i="10"/>
  <c r="G669" i="10"/>
  <c r="G670" i="10"/>
  <c r="G671" i="10"/>
  <c r="G672" i="10"/>
  <c r="G673" i="10"/>
  <c r="G674" i="10"/>
  <c r="O674" i="10" s="1"/>
  <c r="G675" i="10"/>
  <c r="G676" i="10"/>
  <c r="G677" i="10"/>
  <c r="G678" i="10"/>
  <c r="G679" i="10"/>
  <c r="G680" i="10"/>
  <c r="G681" i="10"/>
  <c r="G682" i="10"/>
  <c r="O682" i="10" s="1"/>
  <c r="G683" i="10"/>
  <c r="G684" i="10"/>
  <c r="G685" i="10"/>
  <c r="G686" i="10"/>
  <c r="G687" i="10"/>
  <c r="G688" i="10"/>
  <c r="G689" i="10"/>
  <c r="G690" i="10"/>
  <c r="O690" i="10" s="1"/>
  <c r="G691" i="10"/>
  <c r="G692" i="10"/>
  <c r="G693" i="10"/>
  <c r="G694" i="10"/>
  <c r="G695" i="10"/>
  <c r="G696" i="10"/>
  <c r="G697" i="10"/>
  <c r="G698" i="10"/>
  <c r="O698" i="10" s="1"/>
  <c r="G699" i="10"/>
  <c r="G700" i="10"/>
  <c r="G701" i="10"/>
  <c r="G702" i="10"/>
  <c r="G703" i="10"/>
  <c r="G704" i="10"/>
  <c r="G705" i="10"/>
  <c r="G706" i="10"/>
  <c r="O706" i="10" s="1"/>
  <c r="G707" i="10"/>
  <c r="G708" i="10"/>
  <c r="G709" i="10"/>
  <c r="G710" i="10"/>
  <c r="G711" i="10"/>
  <c r="G712" i="10"/>
  <c r="G713" i="10"/>
  <c r="G714" i="10"/>
  <c r="O714" i="10" s="1"/>
  <c r="G715" i="10"/>
  <c r="G716" i="10"/>
  <c r="G717" i="10"/>
  <c r="G718" i="10"/>
  <c r="G719" i="10"/>
  <c r="G720" i="10"/>
  <c r="G721" i="10"/>
  <c r="G722" i="10"/>
  <c r="O722" i="10" s="1"/>
  <c r="G723" i="10"/>
  <c r="G724" i="10"/>
  <c r="G725" i="10"/>
  <c r="G726" i="10"/>
  <c r="G727" i="10"/>
  <c r="G728" i="10"/>
  <c r="G729" i="10"/>
  <c r="G730" i="10"/>
  <c r="O730" i="10" s="1"/>
  <c r="G731" i="10"/>
  <c r="G732" i="10"/>
  <c r="G733" i="10"/>
  <c r="G734" i="10"/>
  <c r="G735" i="10"/>
  <c r="G736" i="10"/>
  <c r="G737" i="10"/>
  <c r="G738" i="10"/>
  <c r="O738" i="10" s="1"/>
  <c r="G739" i="10"/>
  <c r="G740" i="10"/>
  <c r="G741" i="10"/>
  <c r="G742" i="10"/>
  <c r="G743" i="10"/>
  <c r="G744" i="10"/>
  <c r="G745" i="10"/>
  <c r="G746" i="10"/>
  <c r="O746" i="10" s="1"/>
  <c r="G747" i="10"/>
  <c r="G748" i="10"/>
  <c r="G749" i="10"/>
  <c r="G750" i="10"/>
  <c r="G751" i="10"/>
  <c r="G752" i="10"/>
  <c r="G753" i="10"/>
  <c r="G754" i="10"/>
  <c r="O754" i="10" s="1"/>
  <c r="G755" i="10"/>
  <c r="G756" i="10"/>
  <c r="G757" i="10"/>
  <c r="G758" i="10"/>
  <c r="G759" i="10"/>
  <c r="G760" i="10"/>
  <c r="G761" i="10"/>
  <c r="G762" i="10"/>
  <c r="O762" i="10" s="1"/>
  <c r="G763" i="10"/>
  <c r="G764" i="10"/>
  <c r="G765" i="10"/>
  <c r="G766" i="10"/>
  <c r="G767" i="10"/>
  <c r="G768" i="10"/>
  <c r="G769" i="10"/>
  <c r="G770" i="10"/>
  <c r="O770" i="10" s="1"/>
  <c r="G771" i="10"/>
  <c r="G772" i="10"/>
  <c r="G773" i="10"/>
  <c r="G774" i="10"/>
  <c r="G775" i="10"/>
  <c r="G776" i="10"/>
  <c r="G777" i="10"/>
  <c r="G778" i="10"/>
  <c r="O778" i="10" s="1"/>
  <c r="G779" i="10"/>
  <c r="G780" i="10"/>
  <c r="G781" i="10"/>
  <c r="G782" i="10"/>
  <c r="G783" i="10"/>
  <c r="G784" i="10"/>
  <c r="G785" i="10"/>
  <c r="G786" i="10"/>
  <c r="O786" i="10" s="1"/>
  <c r="G787" i="10"/>
  <c r="G788" i="10"/>
  <c r="G789" i="10"/>
  <c r="G790" i="10"/>
  <c r="G791" i="10"/>
  <c r="G792" i="10"/>
  <c r="G793" i="10"/>
  <c r="G794" i="10"/>
  <c r="O794" i="10" s="1"/>
  <c r="G795" i="10"/>
  <c r="G796" i="10"/>
  <c r="G797" i="10"/>
  <c r="G798" i="10"/>
  <c r="G799" i="10"/>
  <c r="G800" i="10"/>
  <c r="G801" i="10"/>
  <c r="G802" i="10"/>
  <c r="O802" i="10" s="1"/>
  <c r="G803" i="10"/>
  <c r="G804" i="10"/>
  <c r="G805" i="10"/>
  <c r="G806" i="10"/>
  <c r="G807" i="10"/>
  <c r="G808" i="10"/>
  <c r="G809" i="10"/>
  <c r="G810" i="10"/>
  <c r="O810" i="10" s="1"/>
  <c r="G811" i="10"/>
  <c r="G812" i="10"/>
  <c r="G813" i="10"/>
  <c r="G814" i="10"/>
  <c r="G815" i="10"/>
  <c r="G816" i="10"/>
  <c r="G817" i="10"/>
  <c r="G818" i="10"/>
  <c r="O818" i="10" s="1"/>
  <c r="G819" i="10"/>
  <c r="G820" i="10"/>
  <c r="G821" i="10"/>
  <c r="G822" i="10"/>
  <c r="G823" i="10"/>
  <c r="G824" i="10"/>
  <c r="G825" i="10"/>
  <c r="G826" i="10"/>
  <c r="O826" i="10" s="1"/>
  <c r="G827" i="10"/>
  <c r="G828" i="10"/>
  <c r="G829" i="10"/>
  <c r="G830" i="10"/>
  <c r="G831" i="10"/>
  <c r="G832" i="10"/>
  <c r="G833" i="10"/>
  <c r="G834" i="10"/>
  <c r="O834" i="10" s="1"/>
  <c r="G835" i="10"/>
  <c r="G836" i="10"/>
  <c r="G837" i="10"/>
  <c r="G838" i="10"/>
  <c r="G839" i="10"/>
  <c r="G840" i="10"/>
  <c r="G841" i="10"/>
  <c r="G842" i="10"/>
  <c r="O842" i="10" s="1"/>
  <c r="G843" i="10"/>
  <c r="G844" i="10"/>
  <c r="G845" i="10"/>
  <c r="G846" i="10"/>
  <c r="G847" i="10"/>
  <c r="G848" i="10"/>
  <c r="G849" i="10"/>
  <c r="G850" i="10"/>
  <c r="O850" i="10" s="1"/>
  <c r="G851" i="10"/>
  <c r="G852" i="10"/>
  <c r="G853" i="10"/>
  <c r="G854" i="10"/>
  <c r="G855" i="10"/>
  <c r="G856" i="10"/>
  <c r="G857" i="10"/>
  <c r="G858" i="10"/>
  <c r="O858" i="10" s="1"/>
  <c r="G859" i="10"/>
  <c r="G860" i="10"/>
  <c r="G861" i="10"/>
  <c r="G862" i="10"/>
  <c r="G863" i="10"/>
  <c r="G864" i="10"/>
  <c r="G865" i="10"/>
  <c r="G866" i="10"/>
  <c r="O866" i="10" s="1"/>
  <c r="G867" i="10"/>
  <c r="G868" i="10"/>
  <c r="G869" i="10"/>
  <c r="G870" i="10"/>
  <c r="G871" i="10"/>
  <c r="G872" i="10"/>
  <c r="G873" i="10"/>
  <c r="G874" i="10"/>
  <c r="O874" i="10" s="1"/>
  <c r="G875" i="10"/>
  <c r="G876" i="10"/>
  <c r="G877" i="10"/>
  <c r="G878" i="10"/>
  <c r="G879" i="10"/>
  <c r="G880" i="10"/>
  <c r="G881" i="10"/>
  <c r="G882" i="10"/>
  <c r="O882" i="10" s="1"/>
  <c r="G883" i="10"/>
  <c r="G884" i="10"/>
  <c r="G885" i="10"/>
  <c r="G886" i="10"/>
  <c r="G887" i="10"/>
  <c r="G888" i="10"/>
  <c r="G889" i="10"/>
  <c r="G890" i="10"/>
  <c r="O890" i="10" s="1"/>
  <c r="G891" i="10"/>
  <c r="G892" i="10"/>
  <c r="G893" i="10"/>
  <c r="G894" i="10"/>
  <c r="G895" i="10"/>
  <c r="G896" i="10"/>
  <c r="G897" i="10"/>
  <c r="G898" i="10"/>
  <c r="O898" i="10" s="1"/>
  <c r="G899" i="10"/>
  <c r="G900" i="10"/>
  <c r="G901" i="10"/>
  <c r="G902" i="10"/>
  <c r="G903" i="10"/>
  <c r="G904" i="10"/>
  <c r="G905" i="10"/>
  <c r="G906" i="10"/>
  <c r="O906" i="10" s="1"/>
  <c r="G907" i="10"/>
  <c r="G908" i="10"/>
  <c r="G909" i="10"/>
  <c r="G910" i="10"/>
  <c r="G911" i="10"/>
  <c r="G912" i="10"/>
  <c r="G913" i="10"/>
  <c r="G914" i="10"/>
  <c r="O914" i="10" s="1"/>
  <c r="G915" i="10"/>
  <c r="G916" i="10"/>
  <c r="G917" i="10"/>
  <c r="G918" i="10"/>
  <c r="G919" i="10"/>
  <c r="G920" i="10"/>
  <c r="G921" i="10"/>
  <c r="G922" i="10"/>
  <c r="O922" i="10" s="1"/>
  <c r="G923" i="10"/>
  <c r="G924" i="10"/>
  <c r="G925" i="10"/>
  <c r="G926" i="10"/>
  <c r="G927" i="10"/>
  <c r="G928" i="10"/>
  <c r="G929" i="10"/>
  <c r="G930" i="10"/>
  <c r="O930" i="10" s="1"/>
  <c r="G931" i="10"/>
  <c r="G932" i="10"/>
  <c r="G933" i="10"/>
  <c r="G934" i="10"/>
  <c r="G935" i="10"/>
  <c r="G936" i="10"/>
  <c r="G937" i="10"/>
  <c r="G938" i="10"/>
  <c r="O938" i="10" s="1"/>
  <c r="G939" i="10"/>
  <c r="G940" i="10"/>
  <c r="G941" i="10"/>
  <c r="G942" i="10"/>
  <c r="G943" i="10"/>
  <c r="G944" i="10"/>
  <c r="G945" i="10"/>
  <c r="G946" i="10"/>
  <c r="O946" i="10" s="1"/>
  <c r="G947" i="10"/>
  <c r="G948" i="10"/>
  <c r="G949" i="10"/>
  <c r="G950" i="10"/>
  <c r="G951" i="10"/>
  <c r="G952" i="10"/>
  <c r="G953" i="10"/>
  <c r="G954" i="10"/>
  <c r="O954" i="10" s="1"/>
  <c r="G955" i="10"/>
  <c r="G956" i="10"/>
  <c r="G957" i="10"/>
  <c r="G958" i="10"/>
  <c r="G959" i="10"/>
  <c r="G960" i="10"/>
  <c r="G961" i="10"/>
  <c r="G962" i="10"/>
  <c r="O962" i="10" s="1"/>
  <c r="G963" i="10"/>
  <c r="G964" i="10"/>
  <c r="G965" i="10"/>
  <c r="G966" i="10"/>
  <c r="G967" i="10"/>
  <c r="G968" i="10"/>
  <c r="G969" i="10"/>
  <c r="G970" i="10"/>
  <c r="O970" i="10" s="1"/>
  <c r="G971" i="10"/>
  <c r="G972" i="10"/>
  <c r="G973" i="10"/>
  <c r="G974" i="10"/>
  <c r="G975" i="10"/>
  <c r="G976" i="10"/>
  <c r="G977" i="10"/>
  <c r="G978" i="10"/>
  <c r="O978" i="10" s="1"/>
  <c r="G979" i="10"/>
  <c r="G980" i="10"/>
  <c r="G981" i="10"/>
  <c r="G982" i="10"/>
  <c r="G983" i="10"/>
  <c r="G984" i="10"/>
  <c r="G985" i="10"/>
  <c r="G986" i="10"/>
  <c r="O986" i="10" s="1"/>
  <c r="G987" i="10"/>
  <c r="G988" i="10"/>
  <c r="G989" i="10"/>
  <c r="G990" i="10"/>
  <c r="G991" i="10"/>
  <c r="G992" i="10"/>
  <c r="G993" i="10"/>
  <c r="G994" i="10"/>
  <c r="O994" i="10" s="1"/>
  <c r="G995" i="10"/>
  <c r="G996" i="10"/>
  <c r="G997" i="10"/>
  <c r="G998" i="10"/>
  <c r="G999" i="10"/>
  <c r="G1000" i="10"/>
  <c r="G1001" i="10"/>
  <c r="G1002" i="10"/>
  <c r="O1002" i="10" s="1"/>
  <c r="G1003" i="10"/>
  <c r="G1004" i="10"/>
  <c r="G1005" i="10"/>
  <c r="G1006" i="10"/>
  <c r="G1007" i="10"/>
  <c r="G1008" i="10"/>
  <c r="G1009" i="10"/>
  <c r="G1010" i="10"/>
  <c r="O1010" i="10" s="1"/>
  <c r="G1011" i="10"/>
  <c r="G1012" i="10"/>
  <c r="G1013" i="10"/>
  <c r="G1014" i="10"/>
  <c r="G1015" i="10"/>
  <c r="G1016" i="10"/>
  <c r="G1017" i="10"/>
  <c r="G1018" i="10"/>
  <c r="O1018" i="10" s="1"/>
  <c r="G1019" i="10"/>
  <c r="G1020" i="10"/>
  <c r="G1021" i="10"/>
  <c r="G1022" i="10"/>
  <c r="G1023" i="10"/>
  <c r="G1024" i="10"/>
  <c r="G1025" i="10"/>
  <c r="G1026" i="10"/>
  <c r="O1026" i="10" s="1"/>
  <c r="G1027" i="10"/>
  <c r="G1028" i="10"/>
  <c r="G1029" i="10"/>
  <c r="G1030" i="10"/>
  <c r="G1031" i="10"/>
  <c r="G1032" i="10"/>
  <c r="G1033" i="10"/>
  <c r="G1034" i="10"/>
  <c r="O1034" i="10" s="1"/>
  <c r="G1035" i="10"/>
  <c r="G1036" i="10"/>
  <c r="G1037" i="10"/>
  <c r="G1038" i="10"/>
  <c r="G1039" i="10"/>
  <c r="G1040" i="10"/>
  <c r="G1041" i="10"/>
  <c r="G1042" i="10"/>
  <c r="O1042" i="10" s="1"/>
  <c r="G1043" i="10"/>
  <c r="G1044" i="10"/>
  <c r="G1045" i="10"/>
  <c r="G1046" i="10"/>
  <c r="G1047" i="10"/>
  <c r="G1048" i="10"/>
  <c r="G1049" i="10"/>
  <c r="G1050" i="10"/>
  <c r="O1050" i="10" s="1"/>
  <c r="G1051" i="10"/>
  <c r="G1052" i="10"/>
  <c r="G1053" i="10"/>
  <c r="G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54" i="10"/>
  <c r="D4" i="9"/>
  <c r="F10" i="10"/>
  <c r="E10" i="10"/>
  <c r="D10" i="10"/>
  <c r="C10" i="10"/>
  <c r="B10" i="10"/>
  <c r="D6" i="10"/>
  <c r="C6" i="10"/>
  <c r="F4" i="10"/>
  <c r="E4" i="10"/>
  <c r="D4" i="10"/>
  <c r="C4" i="10"/>
  <c r="B4" i="10"/>
  <c r="D3" i="9"/>
  <c r="B3" i="9"/>
  <c r="C3" i="9" s="1"/>
  <c r="AH6" i="1"/>
  <c r="B18" i="9"/>
  <c r="C18" i="9" s="1"/>
  <c r="D23" i="9"/>
  <c r="D22" i="9"/>
  <c r="D21" i="9"/>
  <c r="D20" i="9"/>
  <c r="D19" i="9"/>
  <c r="D18" i="9"/>
  <c r="B23" i="9"/>
  <c r="C23" i="9" s="1"/>
  <c r="B22" i="9"/>
  <c r="C22" i="9" s="1"/>
  <c r="B21" i="9"/>
  <c r="B20" i="9"/>
  <c r="B19" i="9"/>
  <c r="D8" i="9"/>
  <c r="D7" i="9"/>
  <c r="C7" i="9" s="1"/>
  <c r="D6" i="9"/>
  <c r="D5" i="9"/>
  <c r="B8" i="9"/>
  <c r="B7" i="9"/>
  <c r="B6" i="9"/>
  <c r="B5" i="9"/>
  <c r="B4" i="9"/>
  <c r="C4" i="9" s="1"/>
  <c r="BZ36" i="1"/>
  <c r="BY36" i="1"/>
  <c r="BU8" i="1" s="1"/>
  <c r="BY7" i="1" s="1"/>
  <c r="BY8" i="1" s="1"/>
  <c r="BY9" i="1" s="1"/>
  <c r="BY10" i="1" s="1"/>
  <c r="BY11" i="1" s="1"/>
  <c r="BY12" i="1" s="1"/>
  <c r="BY13" i="1" s="1"/>
  <c r="BY14" i="1" s="1"/>
  <c r="BY15" i="1" s="1"/>
  <c r="BY16" i="1" s="1"/>
  <c r="BY17" i="1" s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X36" i="1"/>
  <c r="BW36" i="1"/>
  <c r="BR36" i="1"/>
  <c r="BQ36" i="1"/>
  <c r="BP36" i="1"/>
  <c r="BO36" i="1"/>
  <c r="BJ36" i="1"/>
  <c r="BI36" i="1"/>
  <c r="BE8" i="1" s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H36" i="1"/>
  <c r="BG36" i="1"/>
  <c r="BA36" i="1"/>
  <c r="AZ36" i="1"/>
  <c r="AW7" i="1" s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T36" i="1"/>
  <c r="AS36" i="1"/>
  <c r="AR36" i="1"/>
  <c r="AQ36" i="1"/>
  <c r="AK36" i="1"/>
  <c r="AJ36" i="1"/>
  <c r="AI36" i="1"/>
  <c r="AH36" i="1"/>
  <c r="BO6" i="1"/>
  <c r="AR6" i="1"/>
  <c r="AN7" i="1" s="1"/>
  <c r="AR7" i="1" s="1"/>
  <c r="AR8" i="1" s="1"/>
  <c r="AR9" i="1" s="1"/>
  <c r="AR10" i="1" s="1"/>
  <c r="AR11" i="1" s="1"/>
  <c r="AR12" i="1" s="1"/>
  <c r="AQ6" i="1"/>
  <c r="AN6" i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K6" i="1"/>
  <c r="AE9" i="1" s="1"/>
  <c r="BP6" i="1"/>
  <c r="BG6" i="1"/>
  <c r="BE6" i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Z6" i="1"/>
  <c r="BU9" i="1" s="1"/>
  <c r="BY6" i="1"/>
  <c r="BX6" i="1"/>
  <c r="BU7" i="1" s="1"/>
  <c r="BW6" i="1"/>
  <c r="BU6" i="1" s="1"/>
  <c r="BW7" i="1" s="1"/>
  <c r="BW8" i="1" s="1"/>
  <c r="BW9" i="1" s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BR6" i="1"/>
  <c r="BM9" i="1" s="1"/>
  <c r="BR7" i="1" s="1"/>
  <c r="BR8" i="1" s="1"/>
  <c r="BR9" i="1" s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R32" i="1" s="1"/>
  <c r="BR33" i="1" s="1"/>
  <c r="BR34" i="1" s="1"/>
  <c r="BR35" i="1" s="1"/>
  <c r="BQ6" i="1"/>
  <c r="BA6" i="1"/>
  <c r="AZ6" i="1"/>
  <c r="AY6" i="1"/>
  <c r="AT6" i="1"/>
  <c r="AN9" i="1" s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S6" i="1"/>
  <c r="AN8" i="1" s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J6" i="1"/>
  <c r="AI6" i="1"/>
  <c r="BJ6" i="1"/>
  <c r="BE9" i="1"/>
  <c r="BI6" i="1"/>
  <c r="BH6" i="1"/>
  <c r="BE7" i="1" s="1"/>
  <c r="BH7" i="1" s="1"/>
  <c r="BB6" i="1"/>
  <c r="AW9" i="1" s="1"/>
  <c r="BB7" i="1" s="1"/>
  <c r="BB8" i="1" s="1"/>
  <c r="BB9" i="1" s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Z4" i="1"/>
  <c r="BY4" i="1"/>
  <c r="BX4" i="1"/>
  <c r="BW4" i="1"/>
  <c r="BR4" i="1"/>
  <c r="BQ4" i="1"/>
  <c r="BP4" i="1"/>
  <c r="BO4" i="1"/>
  <c r="BJ4" i="1"/>
  <c r="BI4" i="1"/>
  <c r="BH4" i="1"/>
  <c r="BG4" i="1"/>
  <c r="BB4" i="1"/>
  <c r="BA4" i="1"/>
  <c r="AZ4" i="1"/>
  <c r="AY4" i="1"/>
  <c r="AT4" i="1"/>
  <c r="AS4" i="1"/>
  <c r="AR4" i="1"/>
  <c r="AQ4" i="1"/>
  <c r="AH4" i="1"/>
  <c r="AK4" i="1"/>
  <c r="AJ4" i="1"/>
  <c r="AI4" i="1"/>
  <c r="C19" i="9"/>
  <c r="C20" i="9"/>
  <c r="C21" i="9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G20" i="1"/>
  <c r="BB36" i="1" s="1"/>
  <c r="G19" i="1"/>
  <c r="G18" i="1"/>
  <c r="G17" i="1"/>
  <c r="AY36" i="1" s="1"/>
  <c r="AW6" i="1" s="1"/>
  <c r="AK7" i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BX7" i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AR13" i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BH8" i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C1031" i="10"/>
  <c r="K1031" i="10" s="1"/>
  <c r="C580" i="10"/>
  <c r="K580" i="10" s="1"/>
  <c r="D1031" i="10"/>
  <c r="L1031" i="10" s="1"/>
  <c r="D580" i="10"/>
  <c r="L580" i="10" s="1"/>
  <c r="M1050" i="10" l="1"/>
  <c r="M1042" i="10"/>
  <c r="M1034" i="10"/>
  <c r="M1026" i="10"/>
  <c r="M1018" i="10"/>
  <c r="M1010" i="10"/>
  <c r="M1002" i="10"/>
  <c r="M994" i="10"/>
  <c r="M986" i="10"/>
  <c r="M978" i="10"/>
  <c r="M970" i="10"/>
  <c r="M962" i="10"/>
  <c r="M954" i="10"/>
  <c r="M946" i="10"/>
  <c r="M938" i="10"/>
  <c r="M930" i="10"/>
  <c r="M922" i="10"/>
  <c r="M914" i="10"/>
  <c r="M906" i="10"/>
  <c r="M898" i="10"/>
  <c r="M890" i="10"/>
  <c r="M882" i="10"/>
  <c r="M874" i="10"/>
  <c r="M866" i="10"/>
  <c r="M858" i="10"/>
  <c r="M850" i="10"/>
  <c r="M842" i="10"/>
  <c r="M834" i="10"/>
  <c r="M826" i="10"/>
  <c r="M818" i="10"/>
  <c r="M810" i="10"/>
  <c r="M802" i="10"/>
  <c r="M794" i="10"/>
  <c r="M786" i="10"/>
  <c r="M778" i="10"/>
  <c r="M770" i="10"/>
  <c r="M762" i="10"/>
  <c r="M754" i="10"/>
  <c r="M746" i="10"/>
  <c r="M738" i="10"/>
  <c r="M730" i="10"/>
  <c r="M722" i="10"/>
  <c r="M714" i="10"/>
  <c r="M706" i="10"/>
  <c r="M698" i="10"/>
  <c r="M690" i="10"/>
  <c r="BM6" i="1"/>
  <c r="BO7" i="1" s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M666" i="10"/>
  <c r="M642" i="10"/>
  <c r="M618" i="10"/>
  <c r="M594" i="10"/>
  <c r="M570" i="10"/>
  <c r="M546" i="10"/>
  <c r="M522" i="10"/>
  <c r="M498" i="10"/>
  <c r="M474" i="10"/>
  <c r="M450" i="10"/>
  <c r="M434" i="10"/>
  <c r="M410" i="10"/>
  <c r="M386" i="10"/>
  <c r="M370" i="10"/>
  <c r="M346" i="10"/>
  <c r="M322" i="10"/>
  <c r="M298" i="10"/>
  <c r="M274" i="10"/>
  <c r="M250" i="10"/>
  <c r="M226" i="10"/>
  <c r="M202" i="10"/>
  <c r="M178" i="10"/>
  <c r="M154" i="10"/>
  <c r="M130" i="10"/>
  <c r="M106" i="10"/>
  <c r="M82" i="10"/>
  <c r="M58" i="10"/>
  <c r="N1034" i="10"/>
  <c r="N1010" i="10"/>
  <c r="N986" i="10"/>
  <c r="N962" i="10"/>
  <c r="N938" i="10"/>
  <c r="N914" i="10"/>
  <c r="N890" i="10"/>
  <c r="N874" i="10"/>
  <c r="N858" i="10"/>
  <c r="N834" i="10"/>
  <c r="N818" i="10"/>
  <c r="N794" i="10"/>
  <c r="N778" i="10"/>
  <c r="N754" i="10"/>
  <c r="N738" i="10"/>
  <c r="N722" i="10"/>
  <c r="N698" i="10"/>
  <c r="N682" i="10"/>
  <c r="N674" i="10"/>
  <c r="N658" i="10"/>
  <c r="N642" i="10"/>
  <c r="N626" i="10"/>
  <c r="N602" i="10"/>
  <c r="N586" i="10"/>
  <c r="N570" i="10"/>
  <c r="N554" i="10"/>
  <c r="N546" i="10"/>
  <c r="N530" i="10"/>
  <c r="N514" i="10"/>
  <c r="N498" i="10"/>
  <c r="N482" i="10"/>
  <c r="N466" i="10"/>
  <c r="N450" i="10"/>
  <c r="N434" i="10"/>
  <c r="N418" i="10"/>
  <c r="N402" i="10"/>
  <c r="N378" i="10"/>
  <c r="N362" i="10"/>
  <c r="N346" i="10"/>
  <c r="N330" i="10"/>
  <c r="N314" i="10"/>
  <c r="N298" i="10"/>
  <c r="N282" i="10"/>
  <c r="N266" i="10"/>
  <c r="N250" i="10"/>
  <c r="N234" i="10"/>
  <c r="N218" i="10"/>
  <c r="N202" i="10"/>
  <c r="N186" i="10"/>
  <c r="N178" i="10"/>
  <c r="N162" i="10"/>
  <c r="N146" i="10"/>
  <c r="N130" i="10"/>
  <c r="N114" i="10"/>
  <c r="N106" i="10"/>
  <c r="N90" i="10"/>
  <c r="N74" i="10"/>
  <c r="N58" i="10"/>
  <c r="C6" i="9"/>
  <c r="M674" i="10"/>
  <c r="M650" i="10"/>
  <c r="M626" i="10"/>
  <c r="M602" i="10"/>
  <c r="M578" i="10"/>
  <c r="M554" i="10"/>
  <c r="M530" i="10"/>
  <c r="M506" i="10"/>
  <c r="M482" i="10"/>
  <c r="M458" i="10"/>
  <c r="M426" i="10"/>
  <c r="M402" i="10"/>
  <c r="M378" i="10"/>
  <c r="M354" i="10"/>
  <c r="M338" i="10"/>
  <c r="M314" i="10"/>
  <c r="M290" i="10"/>
  <c r="M266" i="10"/>
  <c r="M242" i="10"/>
  <c r="M218" i="10"/>
  <c r="M194" i="10"/>
  <c r="M170" i="10"/>
  <c r="M146" i="10"/>
  <c r="M122" i="10"/>
  <c r="M98" i="10"/>
  <c r="M74" i="10"/>
  <c r="N1050" i="10"/>
  <c r="N1026" i="10"/>
  <c r="N1002" i="10"/>
  <c r="N978" i="10"/>
  <c r="N954" i="10"/>
  <c r="N930" i="10"/>
  <c r="N906" i="10"/>
  <c r="N882" i="10"/>
  <c r="N850" i="10"/>
  <c r="N826" i="10"/>
  <c r="N810" i="10"/>
  <c r="N786" i="10"/>
  <c r="N762" i="10"/>
  <c r="N746" i="10"/>
  <c r="N730" i="10"/>
  <c r="N706" i="10"/>
  <c r="N690" i="10"/>
  <c r="N666" i="10"/>
  <c r="N650" i="10"/>
  <c r="N634" i="10"/>
  <c r="N610" i="10"/>
  <c r="N594" i="10"/>
  <c r="N578" i="10"/>
  <c r="N562" i="10"/>
  <c r="N538" i="10"/>
  <c r="N522" i="10"/>
  <c r="N506" i="10"/>
  <c r="N490" i="10"/>
  <c r="N474" i="10"/>
  <c r="N458" i="10"/>
  <c r="N442" i="10"/>
  <c r="N426" i="10"/>
  <c r="N410" i="10"/>
  <c r="N386" i="10"/>
  <c r="N370" i="10"/>
  <c r="N354" i="10"/>
  <c r="N338" i="10"/>
  <c r="N322" i="10"/>
  <c r="N306" i="10"/>
  <c r="N290" i="10"/>
  <c r="N274" i="10"/>
  <c r="N258" i="10"/>
  <c r="N242" i="10"/>
  <c r="N226" i="10"/>
  <c r="N210" i="10"/>
  <c r="N194" i="10"/>
  <c r="N170" i="10"/>
  <c r="N154" i="10"/>
  <c r="N138" i="10"/>
  <c r="N122" i="10"/>
  <c r="N98" i="10"/>
  <c r="N82" i="10"/>
  <c r="N66" i="10"/>
  <c r="AE7" i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W8" i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M682" i="10"/>
  <c r="M658" i="10"/>
  <c r="M634" i="10"/>
  <c r="M610" i="10"/>
  <c r="M586" i="10"/>
  <c r="M562" i="10"/>
  <c r="M538" i="10"/>
  <c r="M514" i="10"/>
  <c r="M490" i="10"/>
  <c r="M466" i="10"/>
  <c r="M442" i="10"/>
  <c r="M418" i="10"/>
  <c r="M394" i="10"/>
  <c r="M362" i="10"/>
  <c r="M330" i="10"/>
  <c r="M306" i="10"/>
  <c r="M282" i="10"/>
  <c r="M258" i="10"/>
  <c r="M234" i="10"/>
  <c r="M210" i="10"/>
  <c r="M186" i="10"/>
  <c r="M162" i="10"/>
  <c r="M138" i="10"/>
  <c r="M114" i="10"/>
  <c r="M90" i="10"/>
  <c r="M66" i="10"/>
  <c r="N1042" i="10"/>
  <c r="N1018" i="10"/>
  <c r="N994" i="10"/>
  <c r="N970" i="10"/>
  <c r="N946" i="10"/>
  <c r="N922" i="10"/>
  <c r="N898" i="10"/>
  <c r="N866" i="10"/>
  <c r="N842" i="10"/>
  <c r="N802" i="10"/>
  <c r="N770" i="10"/>
  <c r="N714" i="10"/>
  <c r="N618" i="10"/>
  <c r="N394" i="10"/>
  <c r="AE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BM8" i="1"/>
  <c r="BQ7" i="1" s="1"/>
  <c r="BQ8" i="1" s="1"/>
  <c r="BQ9" i="1" s="1"/>
  <c r="BQ10" i="1" s="1"/>
  <c r="BQ11" i="1" s="1"/>
  <c r="BQ12" i="1" s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Q32" i="1" s="1"/>
  <c r="BQ33" i="1" s="1"/>
  <c r="BQ34" i="1" s="1"/>
  <c r="BQ35" i="1" s="1"/>
  <c r="AE8" i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C24" i="9"/>
  <c r="U21" i="1" s="1"/>
  <c r="AB37" i="1" s="1"/>
  <c r="BJ7" i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AY7" i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M1049" i="10"/>
  <c r="M1041" i="10"/>
  <c r="M1033" i="10"/>
  <c r="M1025" i="10"/>
  <c r="M1017" i="10"/>
  <c r="M1009" i="10"/>
  <c r="M1001" i="10"/>
  <c r="M993" i="10"/>
  <c r="M985" i="10"/>
  <c r="M977" i="10"/>
  <c r="M969" i="10"/>
  <c r="M961" i="10"/>
  <c r="M953" i="10"/>
  <c r="M945" i="10"/>
  <c r="M937" i="10"/>
  <c r="M929" i="10"/>
  <c r="M921" i="10"/>
  <c r="M913" i="10"/>
  <c r="M905" i="10"/>
  <c r="M897" i="10"/>
  <c r="M889" i="10"/>
  <c r="M881" i="10"/>
  <c r="M873" i="10"/>
  <c r="M865" i="10"/>
  <c r="M857" i="10"/>
  <c r="M849" i="10"/>
  <c r="M841" i="10"/>
  <c r="M833" i="10"/>
  <c r="M825" i="10"/>
  <c r="M817" i="10"/>
  <c r="M809" i="10"/>
  <c r="M801" i="10"/>
  <c r="M793" i="10"/>
  <c r="M785" i="10"/>
  <c r="M777" i="10"/>
  <c r="M769" i="10"/>
  <c r="M761" i="10"/>
  <c r="M753" i="10"/>
  <c r="M745" i="10"/>
  <c r="M737" i="10"/>
  <c r="M729" i="10"/>
  <c r="M721" i="10"/>
  <c r="M713" i="10"/>
  <c r="M705" i="10"/>
  <c r="M697" i="10"/>
  <c r="M689" i="10"/>
  <c r="M681" i="10"/>
  <c r="M673" i="10"/>
  <c r="M665" i="10"/>
  <c r="M657" i="10"/>
  <c r="M649" i="10"/>
  <c r="M641" i="10"/>
  <c r="M633" i="10"/>
  <c r="M625" i="10"/>
  <c r="M617" i="10"/>
  <c r="M609" i="10"/>
  <c r="M601" i="10"/>
  <c r="M593" i="10"/>
  <c r="M585" i="10"/>
  <c r="M577" i="10"/>
  <c r="M569" i="10"/>
  <c r="M561" i="10"/>
  <c r="M553" i="10"/>
  <c r="M545" i="10"/>
  <c r="M537" i="10"/>
  <c r="M529" i="10"/>
  <c r="M521" i="10"/>
  <c r="M513" i="10"/>
  <c r="M505" i="10"/>
  <c r="M497" i="10"/>
  <c r="M489" i="10"/>
  <c r="M481" i="10"/>
  <c r="M473" i="10"/>
  <c r="M465" i="10"/>
  <c r="M457" i="10"/>
  <c r="M449" i="10"/>
  <c r="M441" i="10"/>
  <c r="M433" i="10"/>
  <c r="M425" i="10"/>
  <c r="M417" i="10"/>
  <c r="M409" i="10"/>
  <c r="M401" i="10"/>
  <c r="M393" i="10"/>
  <c r="M385" i="10"/>
  <c r="M377" i="10"/>
  <c r="M369" i="10"/>
  <c r="M361" i="10"/>
  <c r="M353" i="10"/>
  <c r="M1048" i="10"/>
  <c r="M1040" i="10"/>
  <c r="M1032" i="10"/>
  <c r="M1024" i="10"/>
  <c r="M1016" i="10"/>
  <c r="M1008" i="10"/>
  <c r="M1000" i="10"/>
  <c r="M992" i="10"/>
  <c r="M984" i="10"/>
  <c r="M976" i="10"/>
  <c r="M968" i="10"/>
  <c r="M960" i="10"/>
  <c r="M952" i="10"/>
  <c r="M944" i="10"/>
  <c r="M936" i="10"/>
  <c r="M928" i="10"/>
  <c r="M920" i="10"/>
  <c r="M912" i="10"/>
  <c r="M904" i="10"/>
  <c r="M896" i="10"/>
  <c r="M888" i="10"/>
  <c r="M880" i="10"/>
  <c r="M872" i="10"/>
  <c r="M864" i="10"/>
  <c r="M856" i="10"/>
  <c r="M848" i="10"/>
  <c r="M840" i="10"/>
  <c r="M832" i="10"/>
  <c r="M824" i="10"/>
  <c r="M816" i="10"/>
  <c r="M808" i="10"/>
  <c r="M800" i="10"/>
  <c r="M792" i="10"/>
  <c r="M784" i="10"/>
  <c r="M776" i="10"/>
  <c r="M768" i="10"/>
  <c r="M760" i="10"/>
  <c r="M752" i="10"/>
  <c r="M744" i="10"/>
  <c r="M736" i="10"/>
  <c r="M728" i="10"/>
  <c r="M720" i="10"/>
  <c r="M712" i="10"/>
  <c r="M704" i="10"/>
  <c r="M696" i="10"/>
  <c r="M688" i="10"/>
  <c r="M680" i="10"/>
  <c r="M672" i="10"/>
  <c r="M664" i="10"/>
  <c r="M656" i="10"/>
  <c r="M648" i="10"/>
  <c r="M640" i="10"/>
  <c r="M632" i="10"/>
  <c r="M624" i="10"/>
  <c r="M616" i="10"/>
  <c r="M608" i="10"/>
  <c r="M600" i="10"/>
  <c r="M592" i="10"/>
  <c r="M584" i="10"/>
  <c r="M576" i="10"/>
  <c r="M568" i="10"/>
  <c r="M560" i="10"/>
  <c r="M1046" i="10"/>
  <c r="M1038" i="10"/>
  <c r="M1030" i="10"/>
  <c r="M1022" i="10"/>
  <c r="M1014" i="10"/>
  <c r="M1006" i="10"/>
  <c r="M998" i="10"/>
  <c r="M990" i="10"/>
  <c r="M982" i="10"/>
  <c r="M974" i="10"/>
  <c r="M966" i="10"/>
  <c r="M958" i="10"/>
  <c r="M950" i="10"/>
  <c r="M942" i="10"/>
  <c r="M934" i="10"/>
  <c r="M926" i="10"/>
  <c r="M918" i="10"/>
  <c r="M910" i="10"/>
  <c r="M902" i="10"/>
  <c r="M894" i="10"/>
  <c r="M886" i="10"/>
  <c r="M878" i="10"/>
  <c r="M870" i="10"/>
  <c r="M862" i="10"/>
  <c r="M854" i="10"/>
  <c r="M846" i="10"/>
  <c r="M838" i="10"/>
  <c r="M830" i="10"/>
  <c r="M822" i="10"/>
  <c r="M814" i="10"/>
  <c r="M806" i="10"/>
  <c r="M798" i="10"/>
  <c r="M790" i="10"/>
  <c r="M782" i="10"/>
  <c r="M774" i="10"/>
  <c r="M766" i="10"/>
  <c r="M758" i="10"/>
  <c r="M750" i="10"/>
  <c r="M742" i="10"/>
  <c r="M734" i="10"/>
  <c r="M54" i="10"/>
  <c r="D11" i="9"/>
  <c r="BZ7" i="1"/>
  <c r="BZ8" i="1" s="1"/>
  <c r="BZ9" i="1" s="1"/>
  <c r="BZ10" i="1" s="1"/>
  <c r="BZ11" i="1" s="1"/>
  <c r="BZ12" i="1" s="1"/>
  <c r="BZ13" i="1" s="1"/>
  <c r="BZ14" i="1" s="1"/>
  <c r="BZ15" i="1" s="1"/>
  <c r="BZ16" i="1" s="1"/>
  <c r="BZ17" i="1" s="1"/>
  <c r="BZ18" i="1" s="1"/>
  <c r="BZ19" i="1" s="1"/>
  <c r="BZ20" i="1" s="1"/>
  <c r="BZ21" i="1" s="1"/>
  <c r="BZ22" i="1" s="1"/>
  <c r="BZ23" i="1" s="1"/>
  <c r="BZ24" i="1" s="1"/>
  <c r="BZ25" i="1" s="1"/>
  <c r="BZ26" i="1" s="1"/>
  <c r="BZ27" i="1" s="1"/>
  <c r="BZ28" i="1" s="1"/>
  <c r="BZ29" i="1" s="1"/>
  <c r="BZ30" i="1" s="1"/>
  <c r="BZ31" i="1" s="1"/>
  <c r="BZ32" i="1" s="1"/>
  <c r="BZ33" i="1" s="1"/>
  <c r="BZ34" i="1" s="1"/>
  <c r="BZ35" i="1" s="1"/>
  <c r="BM7" i="1"/>
  <c r="BP7" i="1" s="1"/>
  <c r="BP8" i="1" s="1"/>
  <c r="BP9" i="1" s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C5" i="9"/>
  <c r="C9" i="9" s="1"/>
  <c r="U10" i="1" s="1"/>
  <c r="AB7" i="1" s="1"/>
  <c r="P54" i="10"/>
  <c r="C8" i="9"/>
  <c r="M345" i="10"/>
  <c r="M337" i="10"/>
  <c r="M329" i="10"/>
  <c r="M321" i="10"/>
  <c r="M313" i="10"/>
  <c r="M305" i="10"/>
  <c r="M297" i="10"/>
  <c r="M289" i="10"/>
  <c r="M281" i="10"/>
  <c r="M273" i="10"/>
  <c r="M265" i="10"/>
  <c r="M257" i="10"/>
  <c r="M249" i="10"/>
  <c r="M241" i="10"/>
  <c r="M233" i="10"/>
  <c r="M225" i="10"/>
  <c r="M217" i="10"/>
  <c r="M209" i="10"/>
  <c r="M201" i="10"/>
  <c r="M193" i="10"/>
  <c r="M185" i="10"/>
  <c r="M177" i="10"/>
  <c r="M169" i="10"/>
  <c r="M161" i="10"/>
  <c r="M153" i="10"/>
  <c r="M145" i="10"/>
  <c r="M137" i="10"/>
  <c r="M129" i="10"/>
  <c r="M121" i="10"/>
  <c r="M113" i="10"/>
  <c r="M105" i="10"/>
  <c r="M97" i="10"/>
  <c r="M89" i="10"/>
  <c r="M81" i="10"/>
  <c r="M73" i="10"/>
  <c r="M65" i="10"/>
  <c r="M57" i="10"/>
  <c r="N1049" i="10"/>
  <c r="N1041" i="10"/>
  <c r="N1033" i="10"/>
  <c r="N1025" i="10"/>
  <c r="N1017" i="10"/>
  <c r="N1009" i="10"/>
  <c r="N1001" i="10"/>
  <c r="N993" i="10"/>
  <c r="N985" i="10"/>
  <c r="N977" i="10"/>
  <c r="N969" i="10"/>
  <c r="N961" i="10"/>
  <c r="N953" i="10"/>
  <c r="N945" i="10"/>
  <c r="N937" i="10"/>
  <c r="N929" i="10"/>
  <c r="N921" i="10"/>
  <c r="N913" i="10"/>
  <c r="N905" i="10"/>
  <c r="N897" i="10"/>
  <c r="N889" i="10"/>
  <c r="N881" i="10"/>
  <c r="N873" i="10"/>
  <c r="N865" i="10"/>
  <c r="N857" i="10"/>
  <c r="N849" i="10"/>
  <c r="N841" i="10"/>
  <c r="N833" i="10"/>
  <c r="N825" i="10"/>
  <c r="N817" i="10"/>
  <c r="N809" i="10"/>
  <c r="N801" i="10"/>
  <c r="N793" i="10"/>
  <c r="N785" i="10"/>
  <c r="N777" i="10"/>
  <c r="N769" i="10"/>
  <c r="N761" i="10"/>
  <c r="N753" i="10"/>
  <c r="N745" i="10"/>
  <c r="N737" i="10"/>
  <c r="N729" i="10"/>
  <c r="N721" i="10"/>
  <c r="N713" i="10"/>
  <c r="N705" i="10"/>
  <c r="N697" i="10"/>
  <c r="N689" i="10"/>
  <c r="N681" i="10"/>
  <c r="N673" i="10"/>
  <c r="N665" i="10"/>
  <c r="N657" i="10"/>
  <c r="N649" i="10"/>
  <c r="N641" i="10"/>
  <c r="N633" i="10"/>
  <c r="N625" i="10"/>
  <c r="N617" i="10"/>
  <c r="N609" i="10"/>
  <c r="N601" i="10"/>
  <c r="N593" i="10"/>
  <c r="N585" i="10"/>
  <c r="N577" i="10"/>
  <c r="N569" i="10"/>
  <c r="N561" i="10"/>
  <c r="N553" i="10"/>
  <c r="N545" i="10"/>
  <c r="N537" i="10"/>
  <c r="N529" i="10"/>
  <c r="N521" i="10"/>
  <c r="N513" i="10"/>
  <c r="N505" i="10"/>
  <c r="N497" i="10"/>
  <c r="N489" i="10"/>
  <c r="N481" i="10"/>
  <c r="N473" i="10"/>
  <c r="N465" i="10"/>
  <c r="N457" i="10"/>
  <c r="N449" i="10"/>
  <c r="N441" i="10"/>
  <c r="N433" i="10"/>
  <c r="N425" i="10"/>
  <c r="N417" i="10"/>
  <c r="N409" i="10"/>
  <c r="N401" i="10"/>
  <c r="N393" i="10"/>
  <c r="N385" i="10"/>
  <c r="N377" i="10"/>
  <c r="N369" i="10"/>
  <c r="N361" i="10"/>
  <c r="N353" i="10"/>
  <c r="N345" i="10"/>
  <c r="N337" i="10"/>
  <c r="N329" i="10"/>
  <c r="N321" i="10"/>
  <c r="N313" i="10"/>
  <c r="N305" i="10"/>
  <c r="N297" i="10"/>
  <c r="N289" i="10"/>
  <c r="N281" i="10"/>
  <c r="N273" i="10"/>
  <c r="N265" i="10"/>
  <c r="N257" i="10"/>
  <c r="N249" i="10"/>
  <c r="N241" i="10"/>
  <c r="N233" i="10"/>
  <c r="N225" i="10"/>
  <c r="N217" i="10"/>
  <c r="N209" i="10"/>
  <c r="N201" i="10"/>
  <c r="N193" i="10"/>
  <c r="N185" i="10"/>
  <c r="N177" i="10"/>
  <c r="N169" i="10"/>
  <c r="N161" i="10"/>
  <c r="N153" i="10"/>
  <c r="N145" i="10"/>
  <c r="N137" i="10"/>
  <c r="N129" i="10"/>
  <c r="N121" i="10"/>
  <c r="N113" i="10"/>
  <c r="N105" i="10"/>
  <c r="N97" i="10"/>
  <c r="N89" i="10"/>
  <c r="N81" i="10"/>
  <c r="N73" i="10"/>
  <c r="N65" i="10"/>
  <c r="N57" i="10"/>
  <c r="O1049" i="10"/>
  <c r="O1041" i="10"/>
  <c r="O1033" i="10"/>
  <c r="O1025" i="10"/>
  <c r="O1017" i="10"/>
  <c r="O1009" i="10"/>
  <c r="O1001" i="10"/>
  <c r="O993" i="10"/>
  <c r="M552" i="10"/>
  <c r="M544" i="10"/>
  <c r="M536" i="10"/>
  <c r="M528" i="10"/>
  <c r="M520" i="10"/>
  <c r="M512" i="10"/>
  <c r="M504" i="10"/>
  <c r="M496" i="10"/>
  <c r="M488" i="10"/>
  <c r="M480" i="10"/>
  <c r="M472" i="10"/>
  <c r="M464" i="10"/>
  <c r="M456" i="10"/>
  <c r="M448" i="10"/>
  <c r="M440" i="10"/>
  <c r="M432" i="10"/>
  <c r="M424" i="10"/>
  <c r="M416" i="10"/>
  <c r="M408" i="10"/>
  <c r="M400" i="10"/>
  <c r="M392" i="10"/>
  <c r="M384" i="10"/>
  <c r="M376" i="10"/>
  <c r="M368" i="10"/>
  <c r="M360" i="10"/>
  <c r="M352" i="10"/>
  <c r="M344" i="10"/>
  <c r="M336" i="10"/>
  <c r="M328" i="10"/>
  <c r="M320" i="10"/>
  <c r="M312" i="10"/>
  <c r="M304" i="10"/>
  <c r="M296" i="10"/>
  <c r="M288" i="10"/>
  <c r="M280" i="10"/>
  <c r="M272" i="10"/>
  <c r="M264" i="10"/>
  <c r="M256" i="10"/>
  <c r="M248" i="10"/>
  <c r="M240" i="10"/>
  <c r="M232" i="10"/>
  <c r="M224" i="10"/>
  <c r="M216" i="10"/>
  <c r="M208" i="10"/>
  <c r="M200" i="10"/>
  <c r="M192" i="10"/>
  <c r="M184" i="10"/>
  <c r="M176" i="10"/>
  <c r="M168" i="10"/>
  <c r="M160" i="10"/>
  <c r="M152" i="10"/>
  <c r="M144" i="10"/>
  <c r="M136" i="10"/>
  <c r="M128" i="10"/>
  <c r="M120" i="10"/>
  <c r="M112" i="10"/>
  <c r="M104" i="10"/>
  <c r="M96" i="10"/>
  <c r="M88" i="10"/>
  <c r="M80" i="10"/>
  <c r="M72" i="10"/>
  <c r="M64" i="10"/>
  <c r="M56" i="10"/>
  <c r="N1048" i="10"/>
  <c r="N1040" i="10"/>
  <c r="N1032" i="10"/>
  <c r="N1024" i="10"/>
  <c r="N1016" i="10"/>
  <c r="N1008" i="10"/>
  <c r="N1000" i="10"/>
  <c r="N992" i="10"/>
  <c r="N984" i="10"/>
  <c r="N976" i="10"/>
  <c r="N968" i="10"/>
  <c r="N960" i="10"/>
  <c r="N952" i="10"/>
  <c r="N944" i="10"/>
  <c r="N936" i="10"/>
  <c r="N928" i="10"/>
  <c r="N920" i="10"/>
  <c r="N912" i="10"/>
  <c r="N904" i="10"/>
  <c r="N896" i="10"/>
  <c r="N888" i="10"/>
  <c r="N880" i="10"/>
  <c r="N872" i="10"/>
  <c r="N864" i="10"/>
  <c r="N856" i="10"/>
  <c r="N848" i="10"/>
  <c r="N840" i="10"/>
  <c r="N832" i="10"/>
  <c r="N824" i="10"/>
  <c r="N816" i="10"/>
  <c r="N808" i="10"/>
  <c r="N800" i="10"/>
  <c r="N792" i="10"/>
  <c r="N784" i="10"/>
  <c r="N776" i="10"/>
  <c r="N768" i="10"/>
  <c r="N760" i="10"/>
  <c r="N752" i="10"/>
  <c r="N744" i="10"/>
  <c r="N736" i="10"/>
  <c r="N728" i="10"/>
  <c r="N720" i="10"/>
  <c r="N712" i="10"/>
  <c r="N704" i="10"/>
  <c r="N696" i="10"/>
  <c r="N688" i="10"/>
  <c r="N680" i="10"/>
  <c r="N672" i="10"/>
  <c r="N664" i="10"/>
  <c r="N656" i="10"/>
  <c r="N648" i="10"/>
  <c r="N640" i="10"/>
  <c r="N632" i="10"/>
  <c r="N624" i="10"/>
  <c r="N616" i="10"/>
  <c r="N608" i="10"/>
  <c r="N600" i="10"/>
  <c r="N592" i="10"/>
  <c r="N584" i="10"/>
  <c r="N576" i="10"/>
  <c r="N568" i="10"/>
  <c r="N560" i="10"/>
  <c r="N552" i="10"/>
  <c r="N544" i="10"/>
  <c r="N536" i="10"/>
  <c r="N528" i="10"/>
  <c r="N520" i="10"/>
  <c r="N512" i="10"/>
  <c r="N504" i="10"/>
  <c r="N496" i="10"/>
  <c r="N488" i="10"/>
  <c r="N480" i="10"/>
  <c r="N472" i="10"/>
  <c r="N464" i="10"/>
  <c r="N456" i="10"/>
  <c r="N448" i="10"/>
  <c r="N440" i="10"/>
  <c r="N432" i="10"/>
  <c r="N424" i="10"/>
  <c r="N416" i="10"/>
  <c r="N408" i="10"/>
  <c r="N400" i="10"/>
  <c r="N392" i="10"/>
  <c r="N384" i="10"/>
  <c r="N376" i="10"/>
  <c r="N368" i="10"/>
  <c r="N360" i="10"/>
  <c r="N352" i="10"/>
  <c r="N344" i="10"/>
  <c r="N336" i="10"/>
  <c r="N328" i="10"/>
  <c r="N320" i="10"/>
  <c r="N312" i="10"/>
  <c r="N304" i="10"/>
  <c r="N296" i="10"/>
  <c r="N288" i="10"/>
  <c r="N280" i="10"/>
  <c r="N272" i="10"/>
  <c r="N264" i="10"/>
  <c r="N256" i="10"/>
  <c r="N248" i="10"/>
  <c r="N240" i="10"/>
  <c r="N232" i="10"/>
  <c r="N224" i="10"/>
  <c r="N216" i="10"/>
  <c r="N208" i="10"/>
  <c r="N200" i="10"/>
  <c r="D26" i="9"/>
  <c r="E21" i="9" s="1"/>
  <c r="M1047" i="10"/>
  <c r="M1039" i="10"/>
  <c r="M1031" i="10"/>
  <c r="M1023" i="10"/>
  <c r="M1015" i="10"/>
  <c r="M1007" i="10"/>
  <c r="M999" i="10"/>
  <c r="M991" i="10"/>
  <c r="M983" i="10"/>
  <c r="M975" i="10"/>
  <c r="M967" i="10"/>
  <c r="M959" i="10"/>
  <c r="M951" i="10"/>
  <c r="M943" i="10"/>
  <c r="M935" i="10"/>
  <c r="M927" i="10"/>
  <c r="M919" i="10"/>
  <c r="M911" i="10"/>
  <c r="M903" i="10"/>
  <c r="M895" i="10"/>
  <c r="M887" i="10"/>
  <c r="M879" i="10"/>
  <c r="M871" i="10"/>
  <c r="M863" i="10"/>
  <c r="M855" i="10"/>
  <c r="M847" i="10"/>
  <c r="M839" i="10"/>
  <c r="M831" i="10"/>
  <c r="M823" i="10"/>
  <c r="M815" i="10"/>
  <c r="M807" i="10"/>
  <c r="M799" i="10"/>
  <c r="M791" i="10"/>
  <c r="M783" i="10"/>
  <c r="M775" i="10"/>
  <c r="M767" i="10"/>
  <c r="M759" i="10"/>
  <c r="M751" i="10"/>
  <c r="M743" i="10"/>
  <c r="M735" i="10"/>
  <c r="M727" i="10"/>
  <c r="M719" i="10"/>
  <c r="M711" i="10"/>
  <c r="M703" i="10"/>
  <c r="M695" i="10"/>
  <c r="M687" i="10"/>
  <c r="M679" i="10"/>
  <c r="M671" i="10"/>
  <c r="M663" i="10"/>
  <c r="M655" i="10"/>
  <c r="M647" i="10"/>
  <c r="M639" i="10"/>
  <c r="M631" i="10"/>
  <c r="M623" i="10"/>
  <c r="M615" i="10"/>
  <c r="M607" i="10"/>
  <c r="M599" i="10"/>
  <c r="M591" i="10"/>
  <c r="M583" i="10"/>
  <c r="M575" i="10"/>
  <c r="M567" i="10"/>
  <c r="M559" i="10"/>
  <c r="M551" i="10"/>
  <c r="M543" i="10"/>
  <c r="M535" i="10"/>
  <c r="M527" i="10"/>
  <c r="M519" i="10"/>
  <c r="M511" i="10"/>
  <c r="M503" i="10"/>
  <c r="M495" i="10"/>
  <c r="M487" i="10"/>
  <c r="M479" i="10"/>
  <c r="M471" i="10"/>
  <c r="M463" i="10"/>
  <c r="M455" i="10"/>
  <c r="M447" i="10"/>
  <c r="M439" i="10"/>
  <c r="M431" i="10"/>
  <c r="M423" i="10"/>
  <c r="M415" i="10"/>
  <c r="M407" i="10"/>
  <c r="M399" i="10"/>
  <c r="M391" i="10"/>
  <c r="M383" i="10"/>
  <c r="M375" i="10"/>
  <c r="M367" i="10"/>
  <c r="M359" i="10"/>
  <c r="M351" i="10"/>
  <c r="M343" i="10"/>
  <c r="M335" i="10"/>
  <c r="M327" i="10"/>
  <c r="M319" i="10"/>
  <c r="M311" i="10"/>
  <c r="M303" i="10"/>
  <c r="M295" i="10"/>
  <c r="M287" i="10"/>
  <c r="M279" i="10"/>
  <c r="M271" i="10"/>
  <c r="M263" i="10"/>
  <c r="M255" i="10"/>
  <c r="M247" i="10"/>
  <c r="M239" i="10"/>
  <c r="M231" i="10"/>
  <c r="M223" i="10"/>
  <c r="M215" i="10"/>
  <c r="M207" i="10"/>
  <c r="M199" i="10"/>
  <c r="M726" i="10"/>
  <c r="M718" i="10"/>
  <c r="M710" i="10"/>
  <c r="M702" i="10"/>
  <c r="M694" i="10"/>
  <c r="M686" i="10"/>
  <c r="M678" i="10"/>
  <c r="M670" i="10"/>
  <c r="M662" i="10"/>
  <c r="M654" i="10"/>
  <c r="M646" i="10"/>
  <c r="M638" i="10"/>
  <c r="M630" i="10"/>
  <c r="M622" i="10"/>
  <c r="M614" i="10"/>
  <c r="M606" i="10"/>
  <c r="M598" i="10"/>
  <c r="M590" i="10"/>
  <c r="M582" i="10"/>
  <c r="M574" i="10"/>
  <c r="M566" i="10"/>
  <c r="M558" i="10"/>
  <c r="M550" i="10"/>
  <c r="M542" i="10"/>
  <c r="M534" i="10"/>
  <c r="M526" i="10"/>
  <c r="M518" i="10"/>
  <c r="M510" i="10"/>
  <c r="M502" i="10"/>
  <c r="M494" i="10"/>
  <c r="M486" i="10"/>
  <c r="M478" i="10"/>
  <c r="M470" i="10"/>
  <c r="M462" i="10"/>
  <c r="M454" i="10"/>
  <c r="M446" i="10"/>
  <c r="M438" i="10"/>
  <c r="M430" i="10"/>
  <c r="M422" i="10"/>
  <c r="M414" i="10"/>
  <c r="M406" i="10"/>
  <c r="M398" i="10"/>
  <c r="M390" i="10"/>
  <c r="M382" i="10"/>
  <c r="M374" i="10"/>
  <c r="M366" i="10"/>
  <c r="M358" i="10"/>
  <c r="M350" i="10"/>
  <c r="M342" i="10"/>
  <c r="M334" i="10"/>
  <c r="M326" i="10"/>
  <c r="M318" i="10"/>
  <c r="M310" i="10"/>
  <c r="M302" i="10"/>
  <c r="M294" i="10"/>
  <c r="M286" i="10"/>
  <c r="M278" i="10"/>
  <c r="M270" i="10"/>
  <c r="M262" i="10"/>
  <c r="M254" i="10"/>
  <c r="M246" i="10"/>
  <c r="M238" i="10"/>
  <c r="M230" i="10"/>
  <c r="M222" i="10"/>
  <c r="M214" i="10"/>
  <c r="M206" i="10"/>
  <c r="M198" i="10"/>
  <c r="M190" i="10"/>
  <c r="M182" i="10"/>
  <c r="M174" i="10"/>
  <c r="M166" i="10"/>
  <c r="M158" i="10"/>
  <c r="M150" i="10"/>
  <c r="M142" i="10"/>
  <c r="M134" i="10"/>
  <c r="M126" i="10"/>
  <c r="M118" i="10"/>
  <c r="M110" i="10"/>
  <c r="M102" i="10"/>
  <c r="M94" i="10"/>
  <c r="M86" i="10"/>
  <c r="M78" i="10"/>
  <c r="M70" i="10"/>
  <c r="M62" i="10"/>
  <c r="N54" i="10"/>
  <c r="N1046" i="10"/>
  <c r="N1038" i="10"/>
  <c r="N1030" i="10"/>
  <c r="N1022" i="10"/>
  <c r="N1014" i="10"/>
  <c r="N1006" i="10"/>
  <c r="N998" i="10"/>
  <c r="M1053" i="10"/>
  <c r="M1045" i="10"/>
  <c r="M1037" i="10"/>
  <c r="M1029" i="10"/>
  <c r="M1021" i="10"/>
  <c r="M1013" i="10"/>
  <c r="M1005" i="10"/>
  <c r="M997" i="10"/>
  <c r="M989" i="10"/>
  <c r="M981" i="10"/>
  <c r="M973" i="10"/>
  <c r="M965" i="10"/>
  <c r="M957" i="10"/>
  <c r="M949" i="10"/>
  <c r="M941" i="10"/>
  <c r="M933" i="10"/>
  <c r="M925" i="10"/>
  <c r="M917" i="10"/>
  <c r="M909" i="10"/>
  <c r="M901" i="10"/>
  <c r="M893" i="10"/>
  <c r="M885" i="10"/>
  <c r="M877" i="10"/>
  <c r="M869" i="10"/>
  <c r="M861" i="10"/>
  <c r="M853" i="10"/>
  <c r="M845" i="10"/>
  <c r="M837" i="10"/>
  <c r="M829" i="10"/>
  <c r="M821" i="10"/>
  <c r="M813" i="10"/>
  <c r="M805" i="10"/>
  <c r="M797" i="10"/>
  <c r="M789" i="10"/>
  <c r="M781" i="10"/>
  <c r="M773" i="10"/>
  <c r="M765" i="10"/>
  <c r="M757" i="10"/>
  <c r="M749" i="10"/>
  <c r="M741" i="10"/>
  <c r="M733" i="10"/>
  <c r="M725" i="10"/>
  <c r="M717" i="10"/>
  <c r="M709" i="10"/>
  <c r="M701" i="10"/>
  <c r="M693" i="10"/>
  <c r="M685" i="10"/>
  <c r="M677" i="10"/>
  <c r="M669" i="10"/>
  <c r="M661" i="10"/>
  <c r="M653" i="10"/>
  <c r="M645" i="10"/>
  <c r="M637" i="10"/>
  <c r="M629" i="10"/>
  <c r="M621" i="10"/>
  <c r="M613" i="10"/>
  <c r="M605" i="10"/>
  <c r="M597" i="10"/>
  <c r="M589" i="10"/>
  <c r="M581" i="10"/>
  <c r="M573" i="10"/>
  <c r="M565" i="10"/>
  <c r="M557" i="10"/>
  <c r="M549" i="10"/>
  <c r="M541" i="10"/>
  <c r="M533" i="10"/>
  <c r="M525" i="10"/>
  <c r="M517" i="10"/>
  <c r="M509" i="10"/>
  <c r="M501" i="10"/>
  <c r="M493" i="10"/>
  <c r="M485" i="10"/>
  <c r="M477" i="10"/>
  <c r="M469" i="10"/>
  <c r="M461" i="10"/>
  <c r="M453" i="10"/>
  <c r="M445" i="10"/>
  <c r="M437" i="10"/>
  <c r="M429" i="10"/>
  <c r="M421" i="10"/>
  <c r="M413" i="10"/>
  <c r="M405" i="10"/>
  <c r="M397" i="10"/>
  <c r="M1052" i="10"/>
  <c r="M1044" i="10"/>
  <c r="M1036" i="10"/>
  <c r="M1028" i="10"/>
  <c r="M1020" i="10"/>
  <c r="M1012" i="10"/>
  <c r="M1004" i="10"/>
  <c r="M996" i="10"/>
  <c r="M988" i="10"/>
  <c r="M980" i="10"/>
  <c r="M972" i="10"/>
  <c r="M964" i="10"/>
  <c r="M956" i="10"/>
  <c r="M948" i="10"/>
  <c r="M940" i="10"/>
  <c r="M932" i="10"/>
  <c r="M924" i="10"/>
  <c r="M916" i="10"/>
  <c r="M908" i="10"/>
  <c r="M900" i="10"/>
  <c r="M892" i="10"/>
  <c r="M884" i="10"/>
  <c r="M876" i="10"/>
  <c r="M868" i="10"/>
  <c r="M860" i="10"/>
  <c r="M852" i="10"/>
  <c r="M844" i="10"/>
  <c r="M836" i="10"/>
  <c r="M828" i="10"/>
  <c r="M820" i="10"/>
  <c r="M812" i="10"/>
  <c r="M804" i="10"/>
  <c r="M796" i="10"/>
  <c r="M788" i="10"/>
  <c r="M780" i="10"/>
  <c r="M772" i="10"/>
  <c r="M764" i="10"/>
  <c r="M756" i="10"/>
  <c r="M748" i="10"/>
  <c r="M740" i="10"/>
  <c r="M732" i="10"/>
  <c r="M724" i="10"/>
  <c r="M716" i="10"/>
  <c r="M708" i="10"/>
  <c r="M700" i="10"/>
  <c r="M692" i="10"/>
  <c r="M684" i="10"/>
  <c r="M676" i="10"/>
  <c r="M668" i="10"/>
  <c r="M660" i="10"/>
  <c r="M652" i="10"/>
  <c r="M644" i="10"/>
  <c r="M636" i="10"/>
  <c r="M628" i="10"/>
  <c r="M1051" i="10"/>
  <c r="M1043" i="10"/>
  <c r="M1035" i="10"/>
  <c r="M1027" i="10"/>
  <c r="M1019" i="10"/>
  <c r="M1011" i="10"/>
  <c r="M1003" i="10"/>
  <c r="M995" i="10"/>
  <c r="M987" i="10"/>
  <c r="M979" i="10"/>
  <c r="M971" i="10"/>
  <c r="M963" i="10"/>
  <c r="M955" i="10"/>
  <c r="M947" i="10"/>
  <c r="M939" i="10"/>
  <c r="M931" i="10"/>
  <c r="M923" i="10"/>
  <c r="M915" i="10"/>
  <c r="M907" i="10"/>
  <c r="M899" i="10"/>
  <c r="M891" i="10"/>
  <c r="M883" i="10"/>
  <c r="M875" i="10"/>
  <c r="M867" i="10"/>
  <c r="M859" i="10"/>
  <c r="M851" i="10"/>
  <c r="M843" i="10"/>
  <c r="M835" i="10"/>
  <c r="M827" i="10"/>
  <c r="M819" i="10"/>
  <c r="M811" i="10"/>
  <c r="M803" i="10"/>
  <c r="M795" i="10"/>
  <c r="M787" i="10"/>
  <c r="M779" i="10"/>
  <c r="M771" i="10"/>
  <c r="M763" i="10"/>
  <c r="M755" i="10"/>
  <c r="M747" i="10"/>
  <c r="M739" i="10"/>
  <c r="M731" i="10"/>
  <c r="M723" i="10"/>
  <c r="M715" i="10"/>
  <c r="M707" i="10"/>
  <c r="M699" i="10"/>
  <c r="M691" i="10"/>
  <c r="M683" i="10"/>
  <c r="M675" i="10"/>
  <c r="M667" i="10"/>
  <c r="M659" i="10"/>
  <c r="M651" i="10"/>
  <c r="M643" i="10"/>
  <c r="M635" i="10"/>
  <c r="M627" i="10"/>
  <c r="M619" i="10"/>
  <c r="O985" i="10"/>
  <c r="O977" i="10"/>
  <c r="O969" i="10"/>
  <c r="O961" i="10"/>
  <c r="O953" i="10"/>
  <c r="O945" i="10"/>
  <c r="O937" i="10"/>
  <c r="O929" i="10"/>
  <c r="O921" i="10"/>
  <c r="O913" i="10"/>
  <c r="O905" i="10"/>
  <c r="O897" i="10"/>
  <c r="O889" i="10"/>
  <c r="O881" i="10"/>
  <c r="O873" i="10"/>
  <c r="O865" i="10"/>
  <c r="O857" i="10"/>
  <c r="O849" i="10"/>
  <c r="O841" i="10"/>
  <c r="O833" i="10"/>
  <c r="O825" i="10"/>
  <c r="O817" i="10"/>
  <c r="O809" i="10"/>
  <c r="O801" i="10"/>
  <c r="O793" i="10"/>
  <c r="O785" i="10"/>
  <c r="O777" i="10"/>
  <c r="O769" i="10"/>
  <c r="O761" i="10"/>
  <c r="O753" i="10"/>
  <c r="O745" i="10"/>
  <c r="O737" i="10"/>
  <c r="O729" i="10"/>
  <c r="O721" i="10"/>
  <c r="O713" i="10"/>
  <c r="O705" i="10"/>
  <c r="O697" i="10"/>
  <c r="O689" i="10"/>
  <c r="O681" i="10"/>
  <c r="O673" i="10"/>
  <c r="O665" i="10"/>
  <c r="O657" i="10"/>
  <c r="O649" i="10"/>
  <c r="O641" i="10"/>
  <c r="O633" i="10"/>
  <c r="O625" i="10"/>
  <c r="O617" i="10"/>
  <c r="O609" i="10"/>
  <c r="O601" i="10"/>
  <c r="O593" i="10"/>
  <c r="O585" i="10"/>
  <c r="O577" i="10"/>
  <c r="O569" i="10"/>
  <c r="O561" i="10"/>
  <c r="O553" i="10"/>
  <c r="O545" i="10"/>
  <c r="O537" i="10"/>
  <c r="O529" i="10"/>
  <c r="O521" i="10"/>
  <c r="O513" i="10"/>
  <c r="O505" i="10"/>
  <c r="O497" i="10"/>
  <c r="O489" i="10"/>
  <c r="O481" i="10"/>
  <c r="O473" i="10"/>
  <c r="O465" i="10"/>
  <c r="O457" i="10"/>
  <c r="O449" i="10"/>
  <c r="O441" i="10"/>
  <c r="O433" i="10"/>
  <c r="O425" i="10"/>
  <c r="O417" i="10"/>
  <c r="O409" i="10"/>
  <c r="O401" i="10"/>
  <c r="O393" i="10"/>
  <c r="O385" i="10"/>
  <c r="O377" i="10"/>
  <c r="O369" i="10"/>
  <c r="O361" i="10"/>
  <c r="O353" i="10"/>
  <c r="O345" i="10"/>
  <c r="O337" i="10"/>
  <c r="O329" i="10"/>
  <c r="O321" i="10"/>
  <c r="O313" i="10"/>
  <c r="N192" i="10"/>
  <c r="N184" i="10"/>
  <c r="N176" i="10"/>
  <c r="N168" i="10"/>
  <c r="N160" i="10"/>
  <c r="N152" i="10"/>
  <c r="N144" i="10"/>
  <c r="N136" i="10"/>
  <c r="N128" i="10"/>
  <c r="N120" i="10"/>
  <c r="N112" i="10"/>
  <c r="N104" i="10"/>
  <c r="N96" i="10"/>
  <c r="N88" i="10"/>
  <c r="N80" i="10"/>
  <c r="N72" i="10"/>
  <c r="N64" i="10"/>
  <c r="N56" i="10"/>
  <c r="O1048" i="10"/>
  <c r="O1040" i="10"/>
  <c r="O1032" i="10"/>
  <c r="O1024" i="10"/>
  <c r="O1016" i="10"/>
  <c r="O1008" i="10"/>
  <c r="O1000" i="10"/>
  <c r="O992" i="10"/>
  <c r="O984" i="10"/>
  <c r="O976" i="10"/>
  <c r="O968" i="10"/>
  <c r="O960" i="10"/>
  <c r="O952" i="10"/>
  <c r="O944" i="10"/>
  <c r="O936" i="10"/>
  <c r="O928" i="10"/>
  <c r="O920" i="10"/>
  <c r="O912" i="10"/>
  <c r="O904" i="10"/>
  <c r="O896" i="10"/>
  <c r="O888" i="10"/>
  <c r="O880" i="10"/>
  <c r="O872" i="10"/>
  <c r="O864" i="10"/>
  <c r="O856" i="10"/>
  <c r="O848" i="10"/>
  <c r="O840" i="10"/>
  <c r="O832" i="10"/>
  <c r="O824" i="10"/>
  <c r="O816" i="10"/>
  <c r="O808" i="10"/>
  <c r="O800" i="10"/>
  <c r="O792" i="10"/>
  <c r="O784" i="10"/>
  <c r="O776" i="10"/>
  <c r="O768" i="10"/>
  <c r="O760" i="10"/>
  <c r="O752" i="10"/>
  <c r="O744" i="10"/>
  <c r="O736" i="10"/>
  <c r="O728" i="10"/>
  <c r="O720" i="10"/>
  <c r="O712" i="10"/>
  <c r="O704" i="10"/>
  <c r="O696" i="10"/>
  <c r="O688" i="10"/>
  <c r="O680" i="10"/>
  <c r="O672" i="10"/>
  <c r="O664" i="10"/>
  <c r="O656" i="10"/>
  <c r="O648" i="10"/>
  <c r="O640" i="10"/>
  <c r="O632" i="10"/>
  <c r="O624" i="10"/>
  <c r="O616" i="10"/>
  <c r="O608" i="10"/>
  <c r="O600" i="10"/>
  <c r="O592" i="10"/>
  <c r="O584" i="10"/>
  <c r="O576" i="10"/>
  <c r="O568" i="10"/>
  <c r="O560" i="10"/>
  <c r="O552" i="10"/>
  <c r="O544" i="10"/>
  <c r="O536" i="10"/>
  <c r="O528" i="10"/>
  <c r="O520" i="10"/>
  <c r="O512" i="10"/>
  <c r="O504" i="10"/>
  <c r="O496" i="10"/>
  <c r="O488" i="10"/>
  <c r="O480" i="10"/>
  <c r="O472" i="10"/>
  <c r="O464" i="10"/>
  <c r="O456" i="10"/>
  <c r="M191" i="10"/>
  <c r="M183" i="10"/>
  <c r="M175" i="10"/>
  <c r="M167" i="10"/>
  <c r="M159" i="10"/>
  <c r="M151" i="10"/>
  <c r="M143" i="10"/>
  <c r="M135" i="10"/>
  <c r="M127" i="10"/>
  <c r="M119" i="10"/>
  <c r="M111" i="10"/>
  <c r="M103" i="10"/>
  <c r="M95" i="10"/>
  <c r="M87" i="10"/>
  <c r="M79" i="10"/>
  <c r="M71" i="10"/>
  <c r="M63" i="10"/>
  <c r="M55" i="10"/>
  <c r="N1047" i="10"/>
  <c r="N1039" i="10"/>
  <c r="N1031" i="10"/>
  <c r="N1023" i="10"/>
  <c r="N1015" i="10"/>
  <c r="N1007" i="10"/>
  <c r="N999" i="10"/>
  <c r="N991" i="10"/>
  <c r="N983" i="10"/>
  <c r="N975" i="10"/>
  <c r="N967" i="10"/>
  <c r="N959" i="10"/>
  <c r="N951" i="10"/>
  <c r="N943" i="10"/>
  <c r="N935" i="10"/>
  <c r="N927" i="10"/>
  <c r="N919" i="10"/>
  <c r="N911" i="10"/>
  <c r="N903" i="10"/>
  <c r="N895" i="10"/>
  <c r="N887" i="10"/>
  <c r="N879" i="10"/>
  <c r="N871" i="10"/>
  <c r="N863" i="10"/>
  <c r="N855" i="10"/>
  <c r="N847" i="10"/>
  <c r="N839" i="10"/>
  <c r="N831" i="10"/>
  <c r="N823" i="10"/>
  <c r="N815" i="10"/>
  <c r="N807" i="10"/>
  <c r="N799" i="10"/>
  <c r="N791" i="10"/>
  <c r="N783" i="10"/>
  <c r="N775" i="10"/>
  <c r="N767" i="10"/>
  <c r="N759" i="10"/>
  <c r="N751" i="10"/>
  <c r="N743" i="10"/>
  <c r="N735" i="10"/>
  <c r="N727" i="10"/>
  <c r="N719" i="10"/>
  <c r="N711" i="10"/>
  <c r="N703" i="10"/>
  <c r="N695" i="10"/>
  <c r="N687" i="10"/>
  <c r="N679" i="10"/>
  <c r="N671" i="10"/>
  <c r="N663" i="10"/>
  <c r="N655" i="10"/>
  <c r="N647" i="10"/>
  <c r="N639" i="10"/>
  <c r="N631" i="10"/>
  <c r="N623" i="10"/>
  <c r="N615" i="10"/>
  <c r="N607" i="10"/>
  <c r="N599" i="10"/>
  <c r="N591" i="10"/>
  <c r="N583" i="10"/>
  <c r="N575" i="10"/>
  <c r="N567" i="10"/>
  <c r="N559" i="10"/>
  <c r="N551" i="10"/>
  <c r="N543" i="10"/>
  <c r="N535" i="10"/>
  <c r="N527" i="10"/>
  <c r="N519" i="10"/>
  <c r="N511" i="10"/>
  <c r="N503" i="10"/>
  <c r="N495" i="10"/>
  <c r="N487" i="10"/>
  <c r="N479" i="10"/>
  <c r="N471" i="10"/>
  <c r="N463" i="10"/>
  <c r="N990" i="10"/>
  <c r="N982" i="10"/>
  <c r="N974" i="10"/>
  <c r="N966" i="10"/>
  <c r="N958" i="10"/>
  <c r="N950" i="10"/>
  <c r="N942" i="10"/>
  <c r="N934" i="10"/>
  <c r="N926" i="10"/>
  <c r="N918" i="10"/>
  <c r="N910" i="10"/>
  <c r="N902" i="10"/>
  <c r="N894" i="10"/>
  <c r="N886" i="10"/>
  <c r="N878" i="10"/>
  <c r="N870" i="10"/>
  <c r="N862" i="10"/>
  <c r="N854" i="10"/>
  <c r="N846" i="10"/>
  <c r="N838" i="10"/>
  <c r="N830" i="10"/>
  <c r="N822" i="10"/>
  <c r="N814" i="10"/>
  <c r="N806" i="10"/>
  <c r="N798" i="10"/>
  <c r="N790" i="10"/>
  <c r="N782" i="10"/>
  <c r="N774" i="10"/>
  <c r="N766" i="10"/>
  <c r="N758" i="10"/>
  <c r="N750" i="10"/>
  <c r="N742" i="10"/>
  <c r="N734" i="10"/>
  <c r="N726" i="10"/>
  <c r="N718" i="10"/>
  <c r="N710" i="10"/>
  <c r="N702" i="10"/>
  <c r="N694" i="10"/>
  <c r="N686" i="10"/>
  <c r="N678" i="10"/>
  <c r="N670" i="10"/>
  <c r="N662" i="10"/>
  <c r="N654" i="10"/>
  <c r="N646" i="10"/>
  <c r="N638" i="10"/>
  <c r="N630" i="10"/>
  <c r="N622" i="10"/>
  <c r="N614" i="10"/>
  <c r="N606" i="10"/>
  <c r="N598" i="10"/>
  <c r="N590" i="10"/>
  <c r="N582" i="10"/>
  <c r="N574" i="10"/>
  <c r="N566" i="10"/>
  <c r="N558" i="10"/>
  <c r="N550" i="10"/>
  <c r="N542" i="10"/>
  <c r="N534" i="10"/>
  <c r="N526" i="10"/>
  <c r="N518" i="10"/>
  <c r="N510" i="10"/>
  <c r="N502" i="10"/>
  <c r="N494" i="10"/>
  <c r="N486" i="10"/>
  <c r="N478" i="10"/>
  <c r="N470" i="10"/>
  <c r="N462" i="10"/>
  <c r="N454" i="10"/>
  <c r="N446" i="10"/>
  <c r="N438" i="10"/>
  <c r="N430" i="10"/>
  <c r="N422" i="10"/>
  <c r="N414" i="10"/>
  <c r="N406" i="10"/>
  <c r="N398" i="10"/>
  <c r="N390" i="10"/>
  <c r="N382" i="10"/>
  <c r="N374" i="10"/>
  <c r="N366" i="10"/>
  <c r="N358" i="10"/>
  <c r="N350" i="10"/>
  <c r="N342" i="10"/>
  <c r="N334" i="10"/>
  <c r="N326" i="10"/>
  <c r="N318" i="10"/>
  <c r="N310" i="10"/>
  <c r="N302" i="10"/>
  <c r="N294" i="10"/>
  <c r="N286" i="10"/>
  <c r="N278" i="10"/>
  <c r="N270" i="10"/>
  <c r="N262" i="10"/>
  <c r="N254" i="10"/>
  <c r="N246" i="10"/>
  <c r="N238" i="10"/>
  <c r="N230" i="10"/>
  <c r="N222" i="10"/>
  <c r="N214" i="10"/>
  <c r="M389" i="10"/>
  <c r="M381" i="10"/>
  <c r="M373" i="10"/>
  <c r="M365" i="10"/>
  <c r="M357" i="10"/>
  <c r="M349" i="10"/>
  <c r="M341" i="10"/>
  <c r="M333" i="10"/>
  <c r="M325" i="10"/>
  <c r="M317" i="10"/>
  <c r="M309" i="10"/>
  <c r="M301" i="10"/>
  <c r="M293" i="10"/>
  <c r="M285" i="10"/>
  <c r="M277" i="10"/>
  <c r="M269" i="10"/>
  <c r="M261" i="10"/>
  <c r="M253" i="10"/>
  <c r="M245" i="10"/>
  <c r="M237" i="10"/>
  <c r="M229" i="10"/>
  <c r="M221" i="10"/>
  <c r="M213" i="10"/>
  <c r="M205" i="10"/>
  <c r="M197" i="10"/>
  <c r="M189" i="10"/>
  <c r="M181" i="10"/>
  <c r="M173" i="10"/>
  <c r="M165" i="10"/>
  <c r="M157" i="10"/>
  <c r="M149" i="10"/>
  <c r="M141" i="10"/>
  <c r="M133" i="10"/>
  <c r="M125" i="10"/>
  <c r="M117" i="10"/>
  <c r="M109" i="10"/>
  <c r="M101" i="10"/>
  <c r="M93" i="10"/>
  <c r="M85" i="10"/>
  <c r="M77" i="10"/>
  <c r="M69" i="10"/>
  <c r="M61" i="10"/>
  <c r="N1053" i="10"/>
  <c r="N1045" i="10"/>
  <c r="N1037" i="10"/>
  <c r="N1029" i="10"/>
  <c r="N1021" i="10"/>
  <c r="N1013" i="10"/>
  <c r="N1005" i="10"/>
  <c r="N997" i="10"/>
  <c r="N989" i="10"/>
  <c r="N981" i="10"/>
  <c r="N973" i="10"/>
  <c r="N965" i="10"/>
  <c r="N957" i="10"/>
  <c r="N949" i="10"/>
  <c r="N941" i="10"/>
  <c r="N933" i="10"/>
  <c r="N925" i="10"/>
  <c r="N917" i="10"/>
  <c r="N909" i="10"/>
  <c r="N901" i="10"/>
  <c r="N893" i="10"/>
  <c r="N885" i="10"/>
  <c r="N877" i="10"/>
  <c r="N869" i="10"/>
  <c r="N861" i="10"/>
  <c r="N853" i="10"/>
  <c r="N845" i="10"/>
  <c r="N837" i="10"/>
  <c r="N829" i="10"/>
  <c r="N821" i="10"/>
  <c r="N813" i="10"/>
  <c r="N805" i="10"/>
  <c r="N797" i="10"/>
  <c r="N789" i="10"/>
  <c r="N781" i="10"/>
  <c r="N773" i="10"/>
  <c r="N765" i="10"/>
  <c r="N757" i="10"/>
  <c r="N749" i="10"/>
  <c r="N741" i="10"/>
  <c r="N733" i="10"/>
  <c r="N725" i="10"/>
  <c r="N717" i="10"/>
  <c r="N709" i="10"/>
  <c r="N701" i="10"/>
  <c r="N693" i="10"/>
  <c r="N685" i="10"/>
  <c r="N677" i="10"/>
  <c r="N669" i="10"/>
  <c r="N661" i="10"/>
  <c r="N653" i="10"/>
  <c r="N645" i="10"/>
  <c r="N637" i="10"/>
  <c r="N629" i="10"/>
  <c r="N621" i="10"/>
  <c r="N613" i="10"/>
  <c r="N605" i="10"/>
  <c r="M620" i="10"/>
  <c r="M612" i="10"/>
  <c r="M604" i="10"/>
  <c r="M596" i="10"/>
  <c r="M588" i="10"/>
  <c r="M580" i="10"/>
  <c r="M572" i="10"/>
  <c r="M564" i="10"/>
  <c r="M556" i="10"/>
  <c r="M548" i="10"/>
  <c r="M540" i="10"/>
  <c r="M532" i="10"/>
  <c r="M524" i="10"/>
  <c r="M516" i="10"/>
  <c r="M508" i="10"/>
  <c r="M500" i="10"/>
  <c r="M492" i="10"/>
  <c r="M484" i="10"/>
  <c r="M476" i="10"/>
  <c r="M468" i="10"/>
  <c r="M460" i="10"/>
  <c r="M452" i="10"/>
  <c r="M444" i="10"/>
  <c r="M436" i="10"/>
  <c r="M428" i="10"/>
  <c r="M420" i="10"/>
  <c r="M412" i="10"/>
  <c r="M404" i="10"/>
  <c r="M396" i="10"/>
  <c r="M388" i="10"/>
  <c r="M380" i="10"/>
  <c r="M372" i="10"/>
  <c r="M364" i="10"/>
  <c r="M356" i="10"/>
  <c r="M348" i="10"/>
  <c r="M340" i="10"/>
  <c r="M332" i="10"/>
  <c r="M324" i="10"/>
  <c r="M316" i="10"/>
  <c r="M308" i="10"/>
  <c r="M300" i="10"/>
  <c r="M292" i="10"/>
  <c r="M284" i="10"/>
  <c r="M276" i="10"/>
  <c r="M268" i="10"/>
  <c r="M260" i="10"/>
  <c r="M252" i="10"/>
  <c r="M244" i="10"/>
  <c r="M236" i="10"/>
  <c r="M228" i="10"/>
  <c r="M220" i="10"/>
  <c r="M212" i="10"/>
  <c r="M204" i="10"/>
  <c r="M196" i="10"/>
  <c r="M188" i="10"/>
  <c r="M180" i="10"/>
  <c r="M172" i="10"/>
  <c r="M164" i="10"/>
  <c r="M156" i="10"/>
  <c r="M148" i="10"/>
  <c r="M140" i="10"/>
  <c r="M132" i="10"/>
  <c r="M124" i="10"/>
  <c r="M116" i="10"/>
  <c r="M108" i="10"/>
  <c r="M100" i="10"/>
  <c r="M92" i="10"/>
  <c r="M84" i="10"/>
  <c r="M76" i="10"/>
  <c r="M68" i="10"/>
  <c r="M60" i="10"/>
  <c r="N1052" i="10"/>
  <c r="N1044" i="10"/>
  <c r="N1036" i="10"/>
  <c r="N1028" i="10"/>
  <c r="N1020" i="10"/>
  <c r="N1012" i="10"/>
  <c r="N1004" i="10"/>
  <c r="N996" i="10"/>
  <c r="N988" i="10"/>
  <c r="N980" i="10"/>
  <c r="N972" i="10"/>
  <c r="N964" i="10"/>
  <c r="N956" i="10"/>
  <c r="N948" i="10"/>
  <c r="N940" i="10"/>
  <c r="N932" i="10"/>
  <c r="N924" i="10"/>
  <c r="N916" i="10"/>
  <c r="N908" i="10"/>
  <c r="N900" i="10"/>
  <c r="N892" i="10"/>
  <c r="N884" i="10"/>
  <c r="N876" i="10"/>
  <c r="N868" i="10"/>
  <c r="N860" i="10"/>
  <c r="N852" i="10"/>
  <c r="N844" i="10"/>
  <c r="M611" i="10"/>
  <c r="M603" i="10"/>
  <c r="M595" i="10"/>
  <c r="M587" i="10"/>
  <c r="M579" i="10"/>
  <c r="M571" i="10"/>
  <c r="M563" i="10"/>
  <c r="M555" i="10"/>
  <c r="M547" i="10"/>
  <c r="M539" i="10"/>
  <c r="M531" i="10"/>
  <c r="M523" i="10"/>
  <c r="M515" i="10"/>
  <c r="M507" i="10"/>
  <c r="M499" i="10"/>
  <c r="M491" i="10"/>
  <c r="M483" i="10"/>
  <c r="M475" i="10"/>
  <c r="M467" i="10"/>
  <c r="M459" i="10"/>
  <c r="M451" i="10"/>
  <c r="M443" i="10"/>
  <c r="M435" i="10"/>
  <c r="M427" i="10"/>
  <c r="M419" i="10"/>
  <c r="M411" i="10"/>
  <c r="M403" i="10"/>
  <c r="M395" i="10"/>
  <c r="M387" i="10"/>
  <c r="M379" i="10"/>
  <c r="M371" i="10"/>
  <c r="M363" i="10"/>
  <c r="M355" i="10"/>
  <c r="M347" i="10"/>
  <c r="M339" i="10"/>
  <c r="M331" i="10"/>
  <c r="M323" i="10"/>
  <c r="M315" i="10"/>
  <c r="M307" i="10"/>
  <c r="M299" i="10"/>
  <c r="M291" i="10"/>
  <c r="M283" i="10"/>
  <c r="M275" i="10"/>
  <c r="M267" i="10"/>
  <c r="M259" i="10"/>
  <c r="M251" i="10"/>
  <c r="M243" i="10"/>
  <c r="M235" i="10"/>
  <c r="M227" i="10"/>
  <c r="M219" i="10"/>
  <c r="M211" i="10"/>
  <c r="M203" i="10"/>
  <c r="M195" i="10"/>
  <c r="M187" i="10"/>
  <c r="M179" i="10"/>
  <c r="M171" i="10"/>
  <c r="M163" i="10"/>
  <c r="M155" i="10"/>
  <c r="M147" i="10"/>
  <c r="M139" i="10"/>
  <c r="M131" i="10"/>
  <c r="M123" i="10"/>
  <c r="M115" i="10"/>
  <c r="M107" i="10"/>
  <c r="M99" i="10"/>
  <c r="M91" i="10"/>
  <c r="M83" i="10"/>
  <c r="M75" i="10"/>
  <c r="M67" i="10"/>
  <c r="M59" i="10"/>
  <c r="N1051" i="10"/>
  <c r="N1043" i="10"/>
  <c r="N1035" i="10"/>
  <c r="N1027" i="10"/>
  <c r="N1019" i="10"/>
  <c r="N1011" i="10"/>
  <c r="N1003" i="10"/>
  <c r="N995" i="10"/>
  <c r="N987" i="10"/>
  <c r="N979" i="10"/>
  <c r="N971" i="10"/>
  <c r="N963" i="10"/>
  <c r="N955" i="10"/>
  <c r="N947" i="10"/>
  <c r="N939" i="10"/>
  <c r="N931" i="10"/>
  <c r="N923" i="10"/>
  <c r="N915" i="10"/>
  <c r="O305" i="10"/>
  <c r="O297" i="10"/>
  <c r="O289" i="10"/>
  <c r="O281" i="10"/>
  <c r="O273" i="10"/>
  <c r="O265" i="10"/>
  <c r="O257" i="10"/>
  <c r="O249" i="10"/>
  <c r="O241" i="10"/>
  <c r="O233" i="10"/>
  <c r="O225" i="10"/>
  <c r="O217" i="10"/>
  <c r="O209" i="10"/>
  <c r="O201" i="10"/>
  <c r="O193" i="10"/>
  <c r="O185" i="10"/>
  <c r="O177" i="10"/>
  <c r="O169" i="10"/>
  <c r="O161" i="10"/>
  <c r="O153" i="10"/>
  <c r="O145" i="10"/>
  <c r="O137" i="10"/>
  <c r="O129" i="10"/>
  <c r="O121" i="10"/>
  <c r="O113" i="10"/>
  <c r="O105" i="10"/>
  <c r="O97" i="10"/>
  <c r="O89" i="10"/>
  <c r="O81" i="10"/>
  <c r="O73" i="10"/>
  <c r="O65" i="10"/>
  <c r="O57" i="10"/>
  <c r="P1048" i="10"/>
  <c r="P1040" i="10"/>
  <c r="P1032" i="10"/>
  <c r="P1024" i="10"/>
  <c r="P1016" i="10"/>
  <c r="P1008" i="10"/>
  <c r="P1000" i="10"/>
  <c r="P992" i="10"/>
  <c r="P984" i="10"/>
  <c r="P976" i="10"/>
  <c r="P968" i="10"/>
  <c r="P960" i="10"/>
  <c r="P952" i="10"/>
  <c r="P944" i="10"/>
  <c r="P936" i="10"/>
  <c r="P928" i="10"/>
  <c r="P920" i="10"/>
  <c r="P912" i="10"/>
  <c r="P904" i="10"/>
  <c r="P896" i="10"/>
  <c r="P888" i="10"/>
  <c r="P880" i="10"/>
  <c r="P872" i="10"/>
  <c r="P864" i="10"/>
  <c r="P856" i="10"/>
  <c r="P848" i="10"/>
  <c r="O448" i="10"/>
  <c r="O440" i="10"/>
  <c r="O432" i="10"/>
  <c r="O424" i="10"/>
  <c r="O416" i="10"/>
  <c r="O408" i="10"/>
  <c r="O400" i="10"/>
  <c r="O392" i="10"/>
  <c r="O384" i="10"/>
  <c r="O376" i="10"/>
  <c r="O368" i="10"/>
  <c r="O360" i="10"/>
  <c r="O352" i="10"/>
  <c r="O344" i="10"/>
  <c r="O336" i="10"/>
  <c r="O328" i="10"/>
  <c r="O320" i="10"/>
  <c r="O312" i="10"/>
  <c r="O304" i="10"/>
  <c r="O296" i="10"/>
  <c r="O288" i="10"/>
  <c r="O280" i="10"/>
  <c r="O272" i="10"/>
  <c r="O264" i="10"/>
  <c r="O256" i="10"/>
  <c r="O248" i="10"/>
  <c r="O240" i="10"/>
  <c r="O232" i="10"/>
  <c r="O224" i="10"/>
  <c r="O216" i="10"/>
  <c r="O208" i="10"/>
  <c r="O200" i="10"/>
  <c r="O192" i="10"/>
  <c r="O184" i="10"/>
  <c r="O176" i="10"/>
  <c r="O168" i="10"/>
  <c r="O160" i="10"/>
  <c r="O152" i="10"/>
  <c r="O144" i="10"/>
  <c r="O136" i="10"/>
  <c r="O128" i="10"/>
  <c r="O120" i="10"/>
  <c r="O112" i="10"/>
  <c r="O104" i="10"/>
  <c r="O96" i="10"/>
  <c r="O88" i="10"/>
  <c r="O80" i="10"/>
  <c r="O72" i="10"/>
  <c r="O64" i="10"/>
  <c r="O56" i="10"/>
  <c r="P1047" i="10"/>
  <c r="P1039" i="10"/>
  <c r="P1031" i="10"/>
  <c r="P1023" i="10"/>
  <c r="P1015" i="10"/>
  <c r="P1007" i="10"/>
  <c r="P999" i="10"/>
  <c r="P991" i="10"/>
  <c r="P983" i="10"/>
  <c r="P975" i="10"/>
  <c r="P967" i="10"/>
  <c r="P959" i="10"/>
  <c r="P951" i="10"/>
  <c r="P943" i="10"/>
  <c r="P935" i="10"/>
  <c r="P927" i="10"/>
  <c r="P919" i="10"/>
  <c r="P911" i="10"/>
  <c r="P903" i="10"/>
  <c r="P895" i="10"/>
  <c r="P887" i="10"/>
  <c r="P879" i="10"/>
  <c r="P871" i="10"/>
  <c r="P863" i="10"/>
  <c r="P855" i="10"/>
  <c r="P847" i="10"/>
  <c r="P839" i="10"/>
  <c r="P831" i="10"/>
  <c r="P823" i="10"/>
  <c r="P815" i="10"/>
  <c r="P807" i="10"/>
  <c r="P799" i="10"/>
  <c r="P791" i="10"/>
  <c r="P783" i="10"/>
  <c r="P775" i="10"/>
  <c r="P767" i="10"/>
  <c r="P759" i="10"/>
  <c r="P751" i="10"/>
  <c r="N455" i="10"/>
  <c r="N447" i="10"/>
  <c r="N439" i="10"/>
  <c r="N431" i="10"/>
  <c r="N423" i="10"/>
  <c r="N415" i="10"/>
  <c r="N407" i="10"/>
  <c r="N399" i="10"/>
  <c r="N391" i="10"/>
  <c r="N383" i="10"/>
  <c r="N375" i="10"/>
  <c r="N367" i="10"/>
  <c r="N359" i="10"/>
  <c r="N351" i="10"/>
  <c r="N343" i="10"/>
  <c r="N335" i="10"/>
  <c r="N327" i="10"/>
  <c r="N319" i="10"/>
  <c r="N311" i="10"/>
  <c r="N303" i="10"/>
  <c r="N295" i="10"/>
  <c r="N287" i="10"/>
  <c r="N279" i="10"/>
  <c r="N271" i="10"/>
  <c r="N263" i="10"/>
  <c r="N255" i="10"/>
  <c r="N247" i="10"/>
  <c r="N239" i="10"/>
  <c r="N231" i="10"/>
  <c r="N223" i="10"/>
  <c r="N215" i="10"/>
  <c r="N207" i="10"/>
  <c r="N199" i="10"/>
  <c r="N191" i="10"/>
  <c r="N183" i="10"/>
  <c r="N175" i="10"/>
  <c r="N167" i="10"/>
  <c r="N159" i="10"/>
  <c r="N151" i="10"/>
  <c r="N143" i="10"/>
  <c r="N135" i="10"/>
  <c r="N127" i="10"/>
  <c r="N119" i="10"/>
  <c r="N111" i="10"/>
  <c r="N103" i="10"/>
  <c r="N95" i="10"/>
  <c r="N87" i="10"/>
  <c r="N79" i="10"/>
  <c r="N71" i="10"/>
  <c r="N63" i="10"/>
  <c r="N55" i="10"/>
  <c r="O1047" i="10"/>
  <c r="O1039" i="10"/>
  <c r="O1031" i="10"/>
  <c r="O1023" i="10"/>
  <c r="O1015" i="10"/>
  <c r="O1007" i="10"/>
  <c r="O999" i="10"/>
  <c r="O991" i="10"/>
  <c r="O983" i="10"/>
  <c r="O975" i="10"/>
  <c r="O967" i="10"/>
  <c r="O959" i="10"/>
  <c r="O951" i="10"/>
  <c r="O943" i="10"/>
  <c r="O935" i="10"/>
  <c r="O927" i="10"/>
  <c r="O919" i="10"/>
  <c r="O911" i="10"/>
  <c r="O903" i="10"/>
  <c r="O895" i="10"/>
  <c r="O887" i="10"/>
  <c r="O879" i="10"/>
  <c r="O871" i="10"/>
  <c r="O863" i="10"/>
  <c r="O855" i="10"/>
  <c r="O847" i="10"/>
  <c r="O839" i="10"/>
  <c r="O831" i="10"/>
  <c r="O823" i="10"/>
  <c r="O815" i="10"/>
  <c r="O807" i="10"/>
  <c r="O799" i="10"/>
  <c r="O791" i="10"/>
  <c r="O783" i="10"/>
  <c r="O775" i="10"/>
  <c r="O767" i="10"/>
  <c r="O759" i="10"/>
  <c r="O751" i="10"/>
  <c r="O743" i="10"/>
  <c r="O735" i="10"/>
  <c r="N206" i="10"/>
  <c r="N198" i="10"/>
  <c r="N190" i="10"/>
  <c r="N182" i="10"/>
  <c r="N174" i="10"/>
  <c r="N166" i="10"/>
  <c r="N158" i="10"/>
  <c r="N150" i="10"/>
  <c r="N142" i="10"/>
  <c r="N134" i="10"/>
  <c r="N126" i="10"/>
  <c r="N118" i="10"/>
  <c r="N110" i="10"/>
  <c r="N102" i="10"/>
  <c r="N94" i="10"/>
  <c r="N86" i="10"/>
  <c r="N78" i="10"/>
  <c r="N70" i="10"/>
  <c r="N62" i="10"/>
  <c r="O54" i="10"/>
  <c r="O1046" i="10"/>
  <c r="O1038" i="10"/>
  <c r="O1030" i="10"/>
  <c r="O1022" i="10"/>
  <c r="O1014" i="10"/>
  <c r="O1006" i="10"/>
  <c r="O998" i="10"/>
  <c r="O990" i="10"/>
  <c r="O982" i="10"/>
  <c r="O974" i="10"/>
  <c r="O966" i="10"/>
  <c r="O958" i="10"/>
  <c r="O950" i="10"/>
  <c r="O942" i="10"/>
  <c r="O934" i="10"/>
  <c r="O926" i="10"/>
  <c r="O918" i="10"/>
  <c r="O910" i="10"/>
  <c r="O902" i="10"/>
  <c r="O894" i="10"/>
  <c r="O886" i="10"/>
  <c r="O878" i="10"/>
  <c r="O870" i="10"/>
  <c r="O862" i="10"/>
  <c r="O854" i="10"/>
  <c r="O846" i="10"/>
  <c r="O838" i="10"/>
  <c r="O830" i="10"/>
  <c r="O822" i="10"/>
  <c r="O814" i="10"/>
  <c r="O806" i="10"/>
  <c r="O798" i="10"/>
  <c r="O790" i="10"/>
  <c r="O782" i="10"/>
  <c r="O774" i="10"/>
  <c r="O766" i="10"/>
  <c r="O758" i="10"/>
  <c r="O750" i="10"/>
  <c r="O742" i="10"/>
  <c r="O734" i="10"/>
  <c r="O726" i="10"/>
  <c r="O718" i="10"/>
  <c r="O710" i="10"/>
  <c r="O702" i="10"/>
  <c r="O694" i="10"/>
  <c r="O686" i="10"/>
  <c r="O678" i="10"/>
  <c r="O670" i="10"/>
  <c r="O662" i="10"/>
  <c r="O654" i="10"/>
  <c r="O646" i="10"/>
  <c r="O638" i="10"/>
  <c r="O630" i="10"/>
  <c r="O622" i="10"/>
  <c r="O614" i="10"/>
  <c r="O606" i="10"/>
  <c r="O598" i="10"/>
  <c r="O590" i="10"/>
  <c r="O582" i="10"/>
  <c r="O574" i="10"/>
  <c r="O566" i="10"/>
  <c r="O558" i="10"/>
  <c r="O550" i="10"/>
  <c r="O542" i="10"/>
  <c r="O534" i="10"/>
  <c r="N597" i="10"/>
  <c r="N589" i="10"/>
  <c r="N581" i="10"/>
  <c r="N573" i="10"/>
  <c r="N565" i="10"/>
  <c r="N557" i="10"/>
  <c r="N549" i="10"/>
  <c r="N541" i="10"/>
  <c r="N533" i="10"/>
  <c r="N525" i="10"/>
  <c r="N517" i="10"/>
  <c r="N509" i="10"/>
  <c r="N501" i="10"/>
  <c r="N493" i="10"/>
  <c r="N485" i="10"/>
  <c r="N477" i="10"/>
  <c r="N469" i="10"/>
  <c r="N461" i="10"/>
  <c r="N453" i="10"/>
  <c r="N445" i="10"/>
  <c r="N437" i="10"/>
  <c r="N429" i="10"/>
  <c r="N421" i="10"/>
  <c r="N413" i="10"/>
  <c r="N405" i="10"/>
  <c r="N397" i="10"/>
  <c r="N389" i="10"/>
  <c r="N381" i="10"/>
  <c r="N373" i="10"/>
  <c r="N365" i="10"/>
  <c r="N357" i="10"/>
  <c r="N349" i="10"/>
  <c r="N341" i="10"/>
  <c r="N333" i="10"/>
  <c r="N325" i="10"/>
  <c r="N317" i="10"/>
  <c r="N309" i="10"/>
  <c r="N301" i="10"/>
  <c r="N293" i="10"/>
  <c r="N285" i="10"/>
  <c r="N277" i="10"/>
  <c r="N269" i="10"/>
  <c r="N261" i="10"/>
  <c r="N253" i="10"/>
  <c r="N245" i="10"/>
  <c r="N237" i="10"/>
  <c r="N229" i="10"/>
  <c r="N221" i="10"/>
  <c r="N213" i="10"/>
  <c r="N205" i="10"/>
  <c r="N197" i="10"/>
  <c r="N189" i="10"/>
  <c r="N181" i="10"/>
  <c r="N173" i="10"/>
  <c r="N165" i="10"/>
  <c r="N157" i="10"/>
  <c r="N149" i="10"/>
  <c r="N141" i="10"/>
  <c r="N133" i="10"/>
  <c r="N125" i="10"/>
  <c r="N117" i="10"/>
  <c r="N109" i="10"/>
  <c r="N101" i="10"/>
  <c r="N93" i="10"/>
  <c r="N85" i="10"/>
  <c r="N77" i="10"/>
  <c r="N69" i="10"/>
  <c r="N61" i="10"/>
  <c r="O1053" i="10"/>
  <c r="O1045" i="10"/>
  <c r="O1037" i="10"/>
  <c r="O1029" i="10"/>
  <c r="O1021" i="10"/>
  <c r="O1013" i="10"/>
  <c r="O1005" i="10"/>
  <c r="O997" i="10"/>
  <c r="O989" i="10"/>
  <c r="O981" i="10"/>
  <c r="O973" i="10"/>
  <c r="O965" i="10"/>
  <c r="O957" i="10"/>
  <c r="O949" i="10"/>
  <c r="O941" i="10"/>
  <c r="O933" i="10"/>
  <c r="O925" i="10"/>
  <c r="O917" i="10"/>
  <c r="O909" i="10"/>
  <c r="O901" i="10"/>
  <c r="O893" i="10"/>
  <c r="N836" i="10"/>
  <c r="N828" i="10"/>
  <c r="N820" i="10"/>
  <c r="N812" i="10"/>
  <c r="N804" i="10"/>
  <c r="N796" i="10"/>
  <c r="N788" i="10"/>
  <c r="N780" i="10"/>
  <c r="N772" i="10"/>
  <c r="N764" i="10"/>
  <c r="N756" i="10"/>
  <c r="N748" i="10"/>
  <c r="N740" i="10"/>
  <c r="N732" i="10"/>
  <c r="N724" i="10"/>
  <c r="N716" i="10"/>
  <c r="N708" i="10"/>
  <c r="N700" i="10"/>
  <c r="N692" i="10"/>
  <c r="N684" i="10"/>
  <c r="N676" i="10"/>
  <c r="N668" i="10"/>
  <c r="N660" i="10"/>
  <c r="N652" i="10"/>
  <c r="N644" i="10"/>
  <c r="N636" i="10"/>
  <c r="N628" i="10"/>
  <c r="N620" i="10"/>
  <c r="N612" i="10"/>
  <c r="N604" i="10"/>
  <c r="N596" i="10"/>
  <c r="N588" i="10"/>
  <c r="N580" i="10"/>
  <c r="N572" i="10"/>
  <c r="N564" i="10"/>
  <c r="N556" i="10"/>
  <c r="N548" i="10"/>
  <c r="N540" i="10"/>
  <c r="N532" i="10"/>
  <c r="N524" i="10"/>
  <c r="N516" i="10"/>
  <c r="N508" i="10"/>
  <c r="N500" i="10"/>
  <c r="N492" i="10"/>
  <c r="N484" i="10"/>
  <c r="N476" i="10"/>
  <c r="N468" i="10"/>
  <c r="N460" i="10"/>
  <c r="N452" i="10"/>
  <c r="N444" i="10"/>
  <c r="N436" i="10"/>
  <c r="N428" i="10"/>
  <c r="N420" i="10"/>
  <c r="N412" i="10"/>
  <c r="N404" i="10"/>
  <c r="N396" i="10"/>
  <c r="N388" i="10"/>
  <c r="N380" i="10"/>
  <c r="N372" i="10"/>
  <c r="N364" i="10"/>
  <c r="N356" i="10"/>
  <c r="N348" i="10"/>
  <c r="N340" i="10"/>
  <c r="N332" i="10"/>
  <c r="N324" i="10"/>
  <c r="N316" i="10"/>
  <c r="N308" i="10"/>
  <c r="N300" i="10"/>
  <c r="N292" i="10"/>
  <c r="N284" i="10"/>
  <c r="N276" i="10"/>
  <c r="N268" i="10"/>
  <c r="N260" i="10"/>
  <c r="N252" i="10"/>
  <c r="N244" i="10"/>
  <c r="N236" i="10"/>
  <c r="N228" i="10"/>
  <c r="N220" i="10"/>
  <c r="N212" i="10"/>
  <c r="N204" i="10"/>
  <c r="N196" i="10"/>
  <c r="N188" i="10"/>
  <c r="N180" i="10"/>
  <c r="N172" i="10"/>
  <c r="N164" i="10"/>
  <c r="N156" i="10"/>
  <c r="N148" i="10"/>
  <c r="N140" i="10"/>
  <c r="N132" i="10"/>
  <c r="N124" i="10"/>
  <c r="N116" i="10"/>
  <c r="N108" i="10"/>
  <c r="N100" i="10"/>
  <c r="N92" i="10"/>
  <c r="N84" i="10"/>
  <c r="N76" i="10"/>
  <c r="N68" i="10"/>
  <c r="N60" i="10"/>
  <c r="O1052" i="10"/>
  <c r="O1044" i="10"/>
  <c r="O1036" i="10"/>
  <c r="O1028" i="10"/>
  <c r="O1020" i="10"/>
  <c r="O1012" i="10"/>
  <c r="O1004" i="10"/>
  <c r="O996" i="10"/>
  <c r="O988" i="10"/>
  <c r="O980" i="10"/>
  <c r="N907" i="10"/>
  <c r="N899" i="10"/>
  <c r="N891" i="10"/>
  <c r="N883" i="10"/>
  <c r="N875" i="10"/>
  <c r="N867" i="10"/>
  <c r="N859" i="10"/>
  <c r="N851" i="10"/>
  <c r="N843" i="10"/>
  <c r="N835" i="10"/>
  <c r="N827" i="10"/>
  <c r="N819" i="10"/>
  <c r="N811" i="10"/>
  <c r="N803" i="10"/>
  <c r="N795" i="10"/>
  <c r="N787" i="10"/>
  <c r="N779" i="10"/>
  <c r="N771" i="10"/>
  <c r="N763" i="10"/>
  <c r="N755" i="10"/>
  <c r="N747" i="10"/>
  <c r="N739" i="10"/>
  <c r="N731" i="10"/>
  <c r="N723" i="10"/>
  <c r="N715" i="10"/>
  <c r="N707" i="10"/>
  <c r="N699" i="10"/>
  <c r="N691" i="10"/>
  <c r="N683" i="10"/>
  <c r="N675" i="10"/>
  <c r="N667" i="10"/>
  <c r="N659" i="10"/>
  <c r="N651" i="10"/>
  <c r="N643" i="10"/>
  <c r="N635" i="10"/>
  <c r="N627" i="10"/>
  <c r="N619" i="10"/>
  <c r="N611" i="10"/>
  <c r="N603" i="10"/>
  <c r="N595" i="10"/>
  <c r="N587" i="10"/>
  <c r="N579" i="10"/>
  <c r="N571" i="10"/>
  <c r="N563" i="10"/>
  <c r="N555" i="10"/>
  <c r="N547" i="10"/>
  <c r="N539" i="10"/>
  <c r="N531" i="10"/>
  <c r="N523" i="10"/>
  <c r="N515" i="10"/>
  <c r="N507" i="10"/>
  <c r="N499" i="10"/>
  <c r="N491" i="10"/>
  <c r="N483" i="10"/>
  <c r="N475" i="10"/>
  <c r="N467" i="10"/>
  <c r="N459" i="10"/>
  <c r="N451" i="10"/>
  <c r="N443" i="10"/>
  <c r="N435" i="10"/>
  <c r="N427" i="10"/>
  <c r="N419" i="10"/>
  <c r="N411" i="10"/>
  <c r="N403" i="10"/>
  <c r="N395" i="10"/>
  <c r="N387" i="10"/>
  <c r="N379" i="10"/>
  <c r="N371" i="10"/>
  <c r="N363" i="10"/>
  <c r="N355" i="10"/>
  <c r="N347" i="10"/>
  <c r="N339" i="10"/>
  <c r="N331" i="10"/>
  <c r="N323" i="10"/>
  <c r="N315" i="10"/>
  <c r="N307" i="10"/>
  <c r="N299" i="10"/>
  <c r="N291" i="10"/>
  <c r="P840" i="10"/>
  <c r="P832" i="10"/>
  <c r="P824" i="10"/>
  <c r="P816" i="10"/>
  <c r="P808" i="10"/>
  <c r="P800" i="10"/>
  <c r="P792" i="10"/>
  <c r="P784" i="10"/>
  <c r="P776" i="10"/>
  <c r="P768" i="10"/>
  <c r="P760" i="10"/>
  <c r="P752" i="10"/>
  <c r="P744" i="10"/>
  <c r="P736" i="10"/>
  <c r="P728" i="10"/>
  <c r="P720" i="10"/>
  <c r="P712" i="10"/>
  <c r="P704" i="10"/>
  <c r="P696" i="10"/>
  <c r="P688" i="10"/>
  <c r="P680" i="10"/>
  <c r="P672" i="10"/>
  <c r="P664" i="10"/>
  <c r="P656" i="10"/>
  <c r="P648" i="10"/>
  <c r="P640" i="10"/>
  <c r="P632" i="10"/>
  <c r="P624" i="10"/>
  <c r="P616" i="10"/>
  <c r="P608" i="10"/>
  <c r="P600" i="10"/>
  <c r="P592" i="10"/>
  <c r="P584" i="10"/>
  <c r="P576" i="10"/>
  <c r="P568" i="10"/>
  <c r="P560" i="10"/>
  <c r="P552" i="10"/>
  <c r="P544" i="10"/>
  <c r="P536" i="10"/>
  <c r="P528" i="10"/>
  <c r="P520" i="10"/>
  <c r="P512" i="10"/>
  <c r="P504" i="10"/>
  <c r="P496" i="10"/>
  <c r="P488" i="10"/>
  <c r="P480" i="10"/>
  <c r="P472" i="10"/>
  <c r="P464" i="10"/>
  <c r="P456" i="10"/>
  <c r="P448" i="10"/>
  <c r="P440" i="10"/>
  <c r="P432" i="10"/>
  <c r="P424" i="10"/>
  <c r="P416" i="10"/>
  <c r="P408" i="10"/>
  <c r="P400" i="10"/>
  <c r="P392" i="10"/>
  <c r="P384" i="10"/>
  <c r="P376" i="10"/>
  <c r="P368" i="10"/>
  <c r="P360" i="10"/>
  <c r="P352" i="10"/>
  <c r="P344" i="10"/>
  <c r="P336" i="10"/>
  <c r="P328" i="10"/>
  <c r="P320" i="10"/>
  <c r="P312" i="10"/>
  <c r="P304" i="10"/>
  <c r="P296" i="10"/>
  <c r="P288" i="10"/>
  <c r="P280" i="10"/>
  <c r="P272" i="10"/>
  <c r="P264" i="10"/>
  <c r="P256" i="10"/>
  <c r="P248" i="10"/>
  <c r="P240" i="10"/>
  <c r="P232" i="10"/>
  <c r="P224" i="10"/>
  <c r="P216" i="10"/>
  <c r="P208" i="10"/>
  <c r="P200" i="10"/>
  <c r="P743" i="10"/>
  <c r="P735" i="10"/>
  <c r="O727" i="10"/>
  <c r="O719" i="10"/>
  <c r="O711" i="10"/>
  <c r="O703" i="10"/>
  <c r="O695" i="10"/>
  <c r="O687" i="10"/>
  <c r="O679" i="10"/>
  <c r="O671" i="10"/>
  <c r="O663" i="10"/>
  <c r="O655" i="10"/>
  <c r="O647" i="10"/>
  <c r="O639" i="10"/>
  <c r="O631" i="10"/>
  <c r="O623" i="10"/>
  <c r="O615" i="10"/>
  <c r="O607" i="10"/>
  <c r="O599" i="10"/>
  <c r="O591" i="10"/>
  <c r="O583" i="10"/>
  <c r="O575" i="10"/>
  <c r="O567" i="10"/>
  <c r="O559" i="10"/>
  <c r="O551" i="10"/>
  <c r="O543" i="10"/>
  <c r="O535" i="10"/>
  <c r="O527" i="10"/>
  <c r="O519" i="10"/>
  <c r="O511" i="10"/>
  <c r="O503" i="10"/>
  <c r="O495" i="10"/>
  <c r="O487" i="10"/>
  <c r="O479" i="10"/>
  <c r="O471" i="10"/>
  <c r="O463" i="10"/>
  <c r="O455" i="10"/>
  <c r="O447" i="10"/>
  <c r="O439" i="10"/>
  <c r="O431" i="10"/>
  <c r="O423" i="10"/>
  <c r="O415" i="10"/>
  <c r="O407" i="10"/>
  <c r="O399" i="10"/>
  <c r="O391" i="10"/>
  <c r="O383" i="10"/>
  <c r="O375" i="10"/>
  <c r="O367" i="10"/>
  <c r="O359" i="10"/>
  <c r="O351" i="10"/>
  <c r="O343" i="10"/>
  <c r="O335" i="10"/>
  <c r="O327" i="10"/>
  <c r="O319" i="10"/>
  <c r="O311" i="10"/>
  <c r="O303" i="10"/>
  <c r="O295" i="10"/>
  <c r="O287" i="10"/>
  <c r="O279" i="10"/>
  <c r="O271" i="10"/>
  <c r="O263" i="10"/>
  <c r="O255" i="10"/>
  <c r="O247" i="10"/>
  <c r="O239" i="10"/>
  <c r="O231" i="10"/>
  <c r="O223" i="10"/>
  <c r="O215" i="10"/>
  <c r="O207" i="10"/>
  <c r="O199" i="10"/>
  <c r="O191" i="10"/>
  <c r="O183" i="10"/>
  <c r="O175" i="10"/>
  <c r="O167" i="10"/>
  <c r="O159" i="10"/>
  <c r="O151" i="10"/>
  <c r="O143" i="10"/>
  <c r="O135" i="10"/>
  <c r="O127" i="10"/>
  <c r="O119" i="10"/>
  <c r="O111" i="10"/>
  <c r="O103" i="10"/>
  <c r="O95" i="10"/>
  <c r="O87" i="10"/>
  <c r="O79" i="10"/>
  <c r="O71" i="10"/>
  <c r="O63" i="10"/>
  <c r="O55" i="10"/>
  <c r="O526" i="10"/>
  <c r="O518" i="10"/>
  <c r="O510" i="10"/>
  <c r="O502" i="10"/>
  <c r="O494" i="10"/>
  <c r="O486" i="10"/>
  <c r="O478" i="10"/>
  <c r="O470" i="10"/>
  <c r="O462" i="10"/>
  <c r="O454" i="10"/>
  <c r="O446" i="10"/>
  <c r="O438" i="10"/>
  <c r="O430" i="10"/>
  <c r="O422" i="10"/>
  <c r="O414" i="10"/>
  <c r="O406" i="10"/>
  <c r="O398" i="10"/>
  <c r="O390" i="10"/>
  <c r="O382" i="10"/>
  <c r="O374" i="10"/>
  <c r="O366" i="10"/>
  <c r="O358" i="10"/>
  <c r="O350" i="10"/>
  <c r="O342" i="10"/>
  <c r="O334" i="10"/>
  <c r="O326" i="10"/>
  <c r="O318" i="10"/>
  <c r="O310" i="10"/>
  <c r="O302" i="10"/>
  <c r="O294" i="10"/>
  <c r="O286" i="10"/>
  <c r="O278" i="10"/>
  <c r="O270" i="10"/>
  <c r="O262" i="10"/>
  <c r="O254" i="10"/>
  <c r="O246" i="10"/>
  <c r="O238" i="10"/>
  <c r="O230" i="10"/>
  <c r="O222" i="10"/>
  <c r="O214" i="10"/>
  <c r="O206" i="10"/>
  <c r="O198" i="10"/>
  <c r="O190" i="10"/>
  <c r="O182" i="10"/>
  <c r="O174" i="10"/>
  <c r="P1053" i="10"/>
  <c r="P1045" i="10"/>
  <c r="P1037" i="10"/>
  <c r="P1029" i="10"/>
  <c r="P1021" i="10"/>
  <c r="P1013" i="10"/>
  <c r="P1005" i="10"/>
  <c r="P997" i="10"/>
  <c r="P989" i="10"/>
  <c r="P981" i="10"/>
  <c r="P973" i="10"/>
  <c r="P965" i="10"/>
  <c r="P957" i="10"/>
  <c r="P949" i="10"/>
  <c r="P941" i="10"/>
  <c r="P933" i="10"/>
  <c r="P925" i="10"/>
  <c r="P917" i="10"/>
  <c r="P909" i="10"/>
  <c r="P901" i="10"/>
  <c r="P893" i="10"/>
  <c r="P885" i="10"/>
  <c r="P877" i="10"/>
  <c r="P869" i="10"/>
  <c r="P861" i="10"/>
  <c r="P853" i="10"/>
  <c r="P845" i="10"/>
  <c r="P837" i="10"/>
  <c r="P829" i="10"/>
  <c r="P821" i="10"/>
  <c r="P813" i="10"/>
  <c r="P805" i="10"/>
  <c r="P797" i="10"/>
  <c r="P789" i="10"/>
  <c r="P781" i="10"/>
  <c r="P773" i="10"/>
  <c r="P765" i="10"/>
  <c r="P757" i="10"/>
  <c r="P749" i="10"/>
  <c r="O885" i="10"/>
  <c r="O877" i="10"/>
  <c r="O869" i="10"/>
  <c r="O861" i="10"/>
  <c r="O853" i="10"/>
  <c r="O845" i="10"/>
  <c r="O837" i="10"/>
  <c r="O829" i="10"/>
  <c r="O821" i="10"/>
  <c r="O813" i="10"/>
  <c r="O805" i="10"/>
  <c r="O797" i="10"/>
  <c r="O789" i="10"/>
  <c r="O781" i="10"/>
  <c r="O773" i="10"/>
  <c r="O765" i="10"/>
  <c r="O757" i="10"/>
  <c r="O749" i="10"/>
  <c r="O741" i="10"/>
  <c r="O733" i="10"/>
  <c r="O725" i="10"/>
  <c r="O717" i="10"/>
  <c r="O709" i="10"/>
  <c r="O701" i="10"/>
  <c r="O693" i="10"/>
  <c r="O685" i="10"/>
  <c r="O677" i="10"/>
  <c r="O669" i="10"/>
  <c r="O661" i="10"/>
  <c r="O653" i="10"/>
  <c r="O645" i="10"/>
  <c r="O637" i="10"/>
  <c r="O629" i="10"/>
  <c r="O621" i="10"/>
  <c r="O613" i="10"/>
  <c r="O605" i="10"/>
  <c r="O597" i="10"/>
  <c r="O589" i="10"/>
  <c r="O581" i="10"/>
  <c r="O573" i="10"/>
  <c r="O565" i="10"/>
  <c r="O557" i="10"/>
  <c r="O549" i="10"/>
  <c r="O541" i="10"/>
  <c r="O533" i="10"/>
  <c r="O525" i="10"/>
  <c r="O517" i="10"/>
  <c r="O509" i="10"/>
  <c r="O501" i="10"/>
  <c r="O493" i="10"/>
  <c r="O485" i="10"/>
  <c r="O477" i="10"/>
  <c r="O469" i="10"/>
  <c r="O461" i="10"/>
  <c r="O453" i="10"/>
  <c r="O445" i="10"/>
  <c r="O437" i="10"/>
  <c r="O429" i="10"/>
  <c r="O421" i="10"/>
  <c r="O413" i="10"/>
  <c r="O405" i="10"/>
  <c r="O397" i="10"/>
  <c r="O389" i="10"/>
  <c r="O381" i="10"/>
  <c r="O373" i="10"/>
  <c r="O365" i="10"/>
  <c r="O357" i="10"/>
  <c r="O349" i="10"/>
  <c r="O341" i="10"/>
  <c r="O333" i="10"/>
  <c r="O325" i="10"/>
  <c r="O317" i="10"/>
  <c r="O309" i="10"/>
  <c r="O301" i="10"/>
  <c r="O293" i="10"/>
  <c r="O285" i="10"/>
  <c r="O277" i="10"/>
  <c r="O269" i="10"/>
  <c r="O261" i="10"/>
  <c r="O253" i="10"/>
  <c r="O245" i="10"/>
  <c r="O237" i="10"/>
  <c r="O229" i="10"/>
  <c r="O221" i="10"/>
  <c r="O972" i="10"/>
  <c r="O964" i="10"/>
  <c r="O956" i="10"/>
  <c r="O948" i="10"/>
  <c r="O940" i="10"/>
  <c r="O932" i="10"/>
  <c r="O924" i="10"/>
  <c r="O916" i="10"/>
  <c r="O908" i="10"/>
  <c r="O900" i="10"/>
  <c r="O892" i="10"/>
  <c r="O884" i="10"/>
  <c r="O876" i="10"/>
  <c r="O868" i="10"/>
  <c r="O860" i="10"/>
  <c r="O852" i="10"/>
  <c r="O844" i="10"/>
  <c r="O836" i="10"/>
  <c r="N283" i="10"/>
  <c r="N275" i="10"/>
  <c r="N267" i="10"/>
  <c r="N259" i="10"/>
  <c r="N251" i="10"/>
  <c r="N243" i="10"/>
  <c r="N235" i="10"/>
  <c r="N227" i="10"/>
  <c r="N219" i="10"/>
  <c r="N211" i="10"/>
  <c r="N203" i="10"/>
  <c r="N195" i="10"/>
  <c r="N187" i="10"/>
  <c r="N179" i="10"/>
  <c r="N171" i="10"/>
  <c r="N163" i="10"/>
  <c r="N155" i="10"/>
  <c r="N147" i="10"/>
  <c r="N139" i="10"/>
  <c r="N131" i="10"/>
  <c r="N123" i="10"/>
  <c r="N115" i="10"/>
  <c r="N107" i="10"/>
  <c r="N99" i="10"/>
  <c r="N91" i="10"/>
  <c r="N83" i="10"/>
  <c r="N75" i="10"/>
  <c r="N67" i="10"/>
  <c r="N59" i="10"/>
  <c r="O1051" i="10"/>
  <c r="O1043" i="10"/>
  <c r="O1035" i="10"/>
  <c r="O1027" i="10"/>
  <c r="O1019" i="10"/>
  <c r="O1011" i="10"/>
  <c r="O1003" i="10"/>
  <c r="O995" i="10"/>
  <c r="O987" i="10"/>
  <c r="O979" i="10"/>
  <c r="O971" i="10"/>
  <c r="O963" i="10"/>
  <c r="O955" i="10"/>
  <c r="O947" i="10"/>
  <c r="O939" i="10"/>
  <c r="O931" i="10"/>
  <c r="O923" i="10"/>
  <c r="O915" i="10"/>
  <c r="O907" i="10"/>
  <c r="O899" i="10"/>
  <c r="O891" i="10"/>
  <c r="O883" i="10"/>
  <c r="O875" i="10"/>
  <c r="O867" i="10"/>
  <c r="O859" i="10"/>
  <c r="O851" i="10"/>
  <c r="O843" i="10"/>
  <c r="O835" i="10"/>
  <c r="O827" i="10"/>
  <c r="O819" i="10"/>
  <c r="O811" i="10"/>
  <c r="O803" i="10"/>
  <c r="O795" i="10"/>
  <c r="O787" i="10"/>
  <c r="O779" i="10"/>
  <c r="O771" i="10"/>
  <c r="O763" i="10"/>
  <c r="O755" i="10"/>
  <c r="O747" i="10"/>
  <c r="O739" i="10"/>
  <c r="O731" i="10"/>
  <c r="O723" i="10"/>
  <c r="O715" i="10"/>
  <c r="O707" i="10"/>
  <c r="O699" i="10"/>
  <c r="O691" i="10"/>
  <c r="O683" i="10"/>
  <c r="O675" i="10"/>
  <c r="O667" i="10"/>
  <c r="O659" i="10"/>
  <c r="O651" i="10"/>
  <c r="O643" i="10"/>
  <c r="P192" i="10"/>
  <c r="P184" i="10"/>
  <c r="P176" i="10"/>
  <c r="P168" i="10"/>
  <c r="P160" i="10"/>
  <c r="P152" i="10"/>
  <c r="P144" i="10"/>
  <c r="P136" i="10"/>
  <c r="P128" i="10"/>
  <c r="P120" i="10"/>
  <c r="P112" i="10"/>
  <c r="P104" i="10"/>
  <c r="P96" i="10"/>
  <c r="P88" i="10"/>
  <c r="P80" i="10"/>
  <c r="P72" i="10"/>
  <c r="P64" i="10"/>
  <c r="P56" i="10"/>
  <c r="P741" i="10"/>
  <c r="O213" i="10"/>
  <c r="O205" i="10"/>
  <c r="O197" i="10"/>
  <c r="O189" i="10"/>
  <c r="O181" i="10"/>
  <c r="O173" i="10"/>
  <c r="O165" i="10"/>
  <c r="O157" i="10"/>
  <c r="O149" i="10"/>
  <c r="O141" i="10"/>
  <c r="O133" i="10"/>
  <c r="O125" i="10"/>
  <c r="O117" i="10"/>
  <c r="O109" i="10"/>
  <c r="O101" i="10"/>
  <c r="O93" i="10"/>
  <c r="O85" i="10"/>
  <c r="O77" i="10"/>
  <c r="O69" i="10"/>
  <c r="O61" i="10"/>
  <c r="P1052" i="10"/>
  <c r="P1044" i="10"/>
  <c r="P1036" i="10"/>
  <c r="P1028" i="10"/>
  <c r="P1020" i="10"/>
  <c r="P1012" i="10"/>
  <c r="P1004" i="10"/>
  <c r="P996" i="10"/>
  <c r="P988" i="10"/>
  <c r="P980" i="10"/>
  <c r="P972" i="10"/>
  <c r="P964" i="10"/>
  <c r="P956" i="10"/>
  <c r="P948" i="10"/>
  <c r="P940" i="10"/>
  <c r="P932" i="10"/>
  <c r="P924" i="10"/>
  <c r="P916" i="10"/>
  <c r="P908" i="10"/>
  <c r="P900" i="10"/>
  <c r="P892" i="10"/>
  <c r="P884" i="10"/>
  <c r="P876" i="10"/>
  <c r="P868" i="10"/>
  <c r="P860" i="10"/>
  <c r="P852" i="10"/>
  <c r="P844" i="10"/>
  <c r="P836" i="10"/>
  <c r="P828" i="10"/>
  <c r="P820" i="10"/>
  <c r="P812" i="10"/>
  <c r="P804" i="10"/>
  <c r="P796" i="10"/>
  <c r="P788" i="10"/>
  <c r="P780" i="10"/>
  <c r="P772" i="10"/>
  <c r="P764" i="10"/>
  <c r="P756" i="10"/>
  <c r="P748" i="10"/>
  <c r="P740" i="10"/>
  <c r="P732" i="10"/>
  <c r="P724" i="10"/>
  <c r="P716" i="10"/>
  <c r="P708" i="10"/>
  <c r="P700" i="10"/>
  <c r="P692" i="10"/>
  <c r="P684" i="10"/>
  <c r="P676" i="10"/>
  <c r="P668" i="10"/>
  <c r="P660" i="10"/>
  <c r="P652" i="10"/>
  <c r="P644" i="10"/>
  <c r="P636" i="10"/>
  <c r="P628" i="10"/>
  <c r="P620" i="10"/>
  <c r="P612" i="10"/>
  <c r="P604" i="10"/>
  <c r="P596" i="10"/>
  <c r="P588" i="10"/>
  <c r="P580" i="10"/>
  <c r="P572" i="10"/>
  <c r="P564" i="10"/>
  <c r="P556" i="10"/>
  <c r="P548" i="10"/>
  <c r="P540" i="10"/>
  <c r="O828" i="10"/>
  <c r="O820" i="10"/>
  <c r="O812" i="10"/>
  <c r="O804" i="10"/>
  <c r="O796" i="10"/>
  <c r="O788" i="10"/>
  <c r="O780" i="10"/>
  <c r="O772" i="10"/>
  <c r="O764" i="10"/>
  <c r="O756" i="10"/>
  <c r="O748" i="10"/>
  <c r="O740" i="10"/>
  <c r="O732" i="10"/>
  <c r="O724" i="10"/>
  <c r="O716" i="10"/>
  <c r="O708" i="10"/>
  <c r="O700" i="10"/>
  <c r="O692" i="10"/>
  <c r="O684" i="10"/>
  <c r="O676" i="10"/>
  <c r="O668" i="10"/>
  <c r="O660" i="10"/>
  <c r="O652" i="10"/>
  <c r="O644" i="10"/>
  <c r="O636" i="10"/>
  <c r="O628" i="10"/>
  <c r="O620" i="10"/>
  <c r="O612" i="10"/>
  <c r="O604" i="10"/>
  <c r="O596" i="10"/>
  <c r="O588" i="10"/>
  <c r="O580" i="10"/>
  <c r="O572" i="10"/>
  <c r="O564" i="10"/>
  <c r="O556" i="10"/>
  <c r="O548" i="10"/>
  <c r="O540" i="10"/>
  <c r="O532" i="10"/>
  <c r="O524" i="10"/>
  <c r="O516" i="10"/>
  <c r="O508" i="10"/>
  <c r="O500" i="10"/>
  <c r="O492" i="10"/>
  <c r="O484" i="10"/>
  <c r="O476" i="10"/>
  <c r="O468" i="10"/>
  <c r="O460" i="10"/>
  <c r="O452" i="10"/>
  <c r="O444" i="10"/>
  <c r="O436" i="10"/>
  <c r="O428" i="10"/>
  <c r="O420" i="10"/>
  <c r="O412" i="10"/>
  <c r="O404" i="10"/>
  <c r="O635" i="10"/>
  <c r="O627" i="10"/>
  <c r="O619" i="10"/>
  <c r="O611" i="10"/>
  <c r="O603" i="10"/>
  <c r="O595" i="10"/>
  <c r="O587" i="10"/>
  <c r="O579" i="10"/>
  <c r="O571" i="10"/>
  <c r="O563" i="10"/>
  <c r="O555" i="10"/>
  <c r="O547" i="10"/>
  <c r="O539" i="10"/>
  <c r="O531" i="10"/>
  <c r="O523" i="10"/>
  <c r="O515" i="10"/>
  <c r="O507" i="10"/>
  <c r="O499" i="10"/>
  <c r="O491" i="10"/>
  <c r="O483" i="10"/>
  <c r="O475" i="10"/>
  <c r="O467" i="10"/>
  <c r="O459" i="10"/>
  <c r="O451" i="10"/>
  <c r="O443" i="10"/>
  <c r="O435" i="10"/>
  <c r="O427" i="10"/>
  <c r="O419" i="10"/>
  <c r="P532" i="10"/>
  <c r="P524" i="10"/>
  <c r="P516" i="10"/>
  <c r="P508" i="10"/>
  <c r="P500" i="10"/>
  <c r="P492" i="10"/>
  <c r="P484" i="10"/>
  <c r="P476" i="10"/>
  <c r="P468" i="10"/>
  <c r="P460" i="10"/>
  <c r="P452" i="10"/>
  <c r="P444" i="10"/>
  <c r="P436" i="10"/>
  <c r="P428" i="10"/>
  <c r="P420" i="10"/>
  <c r="P412" i="10"/>
  <c r="P404" i="10"/>
  <c r="O396" i="10"/>
  <c r="O388" i="10"/>
  <c r="O380" i="10"/>
  <c r="O372" i="10"/>
  <c r="O364" i="10"/>
  <c r="O356" i="10"/>
  <c r="O348" i="10"/>
  <c r="O340" i="10"/>
  <c r="O332" i="10"/>
  <c r="O324" i="10"/>
  <c r="O316" i="10"/>
  <c r="O308" i="10"/>
  <c r="O300" i="10"/>
  <c r="O292" i="10"/>
  <c r="O284" i="10"/>
  <c r="O276" i="10"/>
  <c r="O268" i="10"/>
  <c r="O260" i="10"/>
  <c r="O252" i="10"/>
  <c r="O244" i="10"/>
  <c r="O236" i="10"/>
  <c r="O228" i="10"/>
  <c r="O220" i="10"/>
  <c r="O212" i="10"/>
  <c r="O204" i="10"/>
  <c r="O196" i="10"/>
  <c r="O188" i="10"/>
  <c r="O180" i="10"/>
  <c r="O172" i="10"/>
  <c r="O164" i="10"/>
  <c r="O156" i="10"/>
  <c r="O148" i="10"/>
  <c r="O140" i="10"/>
  <c r="O132" i="10"/>
  <c r="O124" i="10"/>
  <c r="O116" i="10"/>
  <c r="O108" i="10"/>
  <c r="O100" i="10"/>
  <c r="O92" i="10"/>
  <c r="O84" i="10"/>
  <c r="O76" i="10"/>
  <c r="O68" i="10"/>
  <c r="O60" i="10"/>
  <c r="P1051" i="10"/>
  <c r="P1043" i="10"/>
  <c r="P1035" i="10"/>
  <c r="P1027" i="10"/>
  <c r="P1019" i="10"/>
  <c r="P1011" i="10"/>
  <c r="P1003" i="10"/>
  <c r="P995" i="10"/>
  <c r="P987" i="10"/>
  <c r="P979" i="10"/>
  <c r="P971" i="10"/>
  <c r="P963" i="10"/>
  <c r="P955" i="10"/>
  <c r="P947" i="10"/>
  <c r="P939" i="10"/>
  <c r="P931" i="10"/>
  <c r="P923" i="10"/>
  <c r="P915" i="10"/>
  <c r="P907" i="10"/>
  <c r="P899" i="10"/>
  <c r="P891" i="10"/>
  <c r="P883" i="10"/>
  <c r="P875" i="10"/>
  <c r="P867" i="10"/>
  <c r="P859" i="10"/>
  <c r="P851" i="10"/>
  <c r="P843" i="10"/>
  <c r="P835" i="10"/>
  <c r="P827" i="10"/>
  <c r="P819" i="10"/>
  <c r="P811" i="10"/>
  <c r="P803" i="10"/>
  <c r="P795" i="10"/>
  <c r="P787" i="10"/>
  <c r="P779" i="10"/>
  <c r="P771" i="10"/>
  <c r="P763" i="10"/>
  <c r="P755" i="10"/>
  <c r="P747" i="10"/>
  <c r="P739" i="10"/>
  <c r="P731" i="10"/>
  <c r="P723" i="10"/>
  <c r="O411" i="10"/>
  <c r="O403" i="10"/>
  <c r="O395" i="10"/>
  <c r="O387" i="10"/>
  <c r="O379" i="10"/>
  <c r="O371" i="10"/>
  <c r="O363" i="10"/>
  <c r="O355" i="10"/>
  <c r="O347" i="10"/>
  <c r="O339" i="10"/>
  <c r="O331" i="10"/>
  <c r="O323" i="10"/>
  <c r="O315" i="10"/>
  <c r="O307" i="10"/>
  <c r="O299" i="10"/>
  <c r="O291" i="10"/>
  <c r="O283" i="10"/>
  <c r="O275" i="10"/>
  <c r="O267" i="10"/>
  <c r="O259" i="10"/>
  <c r="O251" i="10"/>
  <c r="O243" i="10"/>
  <c r="O235" i="10"/>
  <c r="O227" i="10"/>
  <c r="O219" i="10"/>
  <c r="O211" i="10"/>
  <c r="O203" i="10"/>
  <c r="O195" i="10"/>
  <c r="O187" i="10"/>
  <c r="O179" i="10"/>
  <c r="O171" i="10"/>
  <c r="O163" i="10"/>
  <c r="O155" i="10"/>
  <c r="O147" i="10"/>
  <c r="O139" i="10"/>
  <c r="O131" i="10"/>
  <c r="O123" i="10"/>
  <c r="O115" i="10"/>
  <c r="O107" i="10"/>
  <c r="O99" i="10"/>
  <c r="O91" i="10"/>
  <c r="O83" i="10"/>
  <c r="O75" i="10"/>
  <c r="O67" i="10"/>
  <c r="O59" i="10"/>
  <c r="P727" i="10"/>
  <c r="P719" i="10"/>
  <c r="P711" i="10"/>
  <c r="P703" i="10"/>
  <c r="P695" i="10"/>
  <c r="P687" i="10"/>
  <c r="P679" i="10"/>
  <c r="P671" i="10"/>
  <c r="P663" i="10"/>
  <c r="P655" i="10"/>
  <c r="P647" i="10"/>
  <c r="P639" i="10"/>
  <c r="P631" i="10"/>
  <c r="P623" i="10"/>
  <c r="P615" i="10"/>
  <c r="P607" i="10"/>
  <c r="P599" i="10"/>
  <c r="P591" i="10"/>
  <c r="P583" i="10"/>
  <c r="P575" i="10"/>
  <c r="P567" i="10"/>
  <c r="P559" i="10"/>
  <c r="P551" i="10"/>
  <c r="P543" i="10"/>
  <c r="P535" i="10"/>
  <c r="P527" i="10"/>
  <c r="P519" i="10"/>
  <c r="P511" i="10"/>
  <c r="P503" i="10"/>
  <c r="P495" i="10"/>
  <c r="P487" i="10"/>
  <c r="P479" i="10"/>
  <c r="P471" i="10"/>
  <c r="P463" i="10"/>
  <c r="P455" i="10"/>
  <c r="P447" i="10"/>
  <c r="P439" i="10"/>
  <c r="P431" i="10"/>
  <c r="P423" i="10"/>
  <c r="P415" i="10"/>
  <c r="P407" i="10"/>
  <c r="P399" i="10"/>
  <c r="P391" i="10"/>
  <c r="P383" i="10"/>
  <c r="P375" i="10"/>
  <c r="P367" i="10"/>
  <c r="P359" i="10"/>
  <c r="P351" i="10"/>
  <c r="P343" i="10"/>
  <c r="P335" i="10"/>
  <c r="P327" i="10"/>
  <c r="P319" i="10"/>
  <c r="P311" i="10"/>
  <c r="P303" i="10"/>
  <c r="P295" i="10"/>
  <c r="P287" i="10"/>
  <c r="P279" i="10"/>
  <c r="P271" i="10"/>
  <c r="P263" i="10"/>
  <c r="P255" i="10"/>
  <c r="P247" i="10"/>
  <c r="P239" i="10"/>
  <c r="P231" i="10"/>
  <c r="P223" i="10"/>
  <c r="P215" i="10"/>
  <c r="P207" i="10"/>
  <c r="P199" i="10"/>
  <c r="P191" i="10"/>
  <c r="P183" i="10"/>
  <c r="P175" i="10"/>
  <c r="P167" i="10"/>
  <c r="P159" i="10"/>
  <c r="P151" i="10"/>
  <c r="P143" i="10"/>
  <c r="P135" i="10"/>
  <c r="P127" i="10"/>
  <c r="P119" i="10"/>
  <c r="P111" i="10"/>
  <c r="P103" i="10"/>
  <c r="P95" i="10"/>
  <c r="P87" i="10"/>
  <c r="P79" i="10"/>
  <c r="P71" i="10"/>
  <c r="P63" i="10"/>
  <c r="P55" i="10"/>
  <c r="O166" i="10"/>
  <c r="O158" i="10"/>
  <c r="O150" i="10"/>
  <c r="O142" i="10"/>
  <c r="O134" i="10"/>
  <c r="O126" i="10"/>
  <c r="O118" i="10"/>
  <c r="O110" i="10"/>
  <c r="O102" i="10"/>
  <c r="O94" i="10"/>
  <c r="O86" i="10"/>
  <c r="O78" i="10"/>
  <c r="O70" i="10"/>
  <c r="O62" i="10"/>
  <c r="P1046" i="10"/>
  <c r="P1038" i="10"/>
  <c r="P1030" i="10"/>
  <c r="P1022" i="10"/>
  <c r="P1014" i="10"/>
  <c r="P1006" i="10"/>
  <c r="P998" i="10"/>
  <c r="P990" i="10"/>
  <c r="P982" i="10"/>
  <c r="P974" i="10"/>
  <c r="P966" i="10"/>
  <c r="P958" i="10"/>
  <c r="P950" i="10"/>
  <c r="P942" i="10"/>
  <c r="P934" i="10"/>
  <c r="P926" i="10"/>
  <c r="P918" i="10"/>
  <c r="P910" i="10"/>
  <c r="P902" i="10"/>
  <c r="P894" i="10"/>
  <c r="P886" i="10"/>
  <c r="P878" i="10"/>
  <c r="P870" i="10"/>
  <c r="P862" i="10"/>
  <c r="P854" i="10"/>
  <c r="P846" i="10"/>
  <c r="P838" i="10"/>
  <c r="P830" i="10"/>
  <c r="P822" i="10"/>
  <c r="P814" i="10"/>
  <c r="P806" i="10"/>
  <c r="P798" i="10"/>
  <c r="P790" i="10"/>
  <c r="P782" i="10"/>
  <c r="P774" i="10"/>
  <c r="P766" i="10"/>
  <c r="P758" i="10"/>
  <c r="P750" i="10"/>
  <c r="P742" i="10"/>
  <c r="P734" i="10"/>
  <c r="P726" i="10"/>
  <c r="P718" i="10"/>
  <c r="P710" i="10"/>
  <c r="P702" i="10"/>
  <c r="P694" i="10"/>
  <c r="P686" i="10"/>
  <c r="P678" i="10"/>
  <c r="P670" i="10"/>
  <c r="P662" i="10"/>
  <c r="P654" i="10"/>
  <c r="P646" i="10"/>
  <c r="P638" i="10"/>
  <c r="P630" i="10"/>
  <c r="P622" i="10"/>
  <c r="P614" i="10"/>
  <c r="P606" i="10"/>
  <c r="P598" i="10"/>
  <c r="P590" i="10"/>
  <c r="P582" i="10"/>
  <c r="P574" i="10"/>
  <c r="P566" i="10"/>
  <c r="P558" i="10"/>
  <c r="P550" i="10"/>
  <c r="P542" i="10"/>
  <c r="P534" i="10"/>
  <c r="P526" i="10"/>
  <c r="P396" i="10"/>
  <c r="P388" i="10"/>
  <c r="P380" i="10"/>
  <c r="P372" i="10"/>
  <c r="P364" i="10"/>
  <c r="P356" i="10"/>
  <c r="P348" i="10"/>
  <c r="P340" i="10"/>
  <c r="P332" i="10"/>
  <c r="P324" i="10"/>
  <c r="P316" i="10"/>
  <c r="P308" i="10"/>
  <c r="P300" i="10"/>
  <c r="P292" i="10"/>
  <c r="P284" i="10"/>
  <c r="P276" i="10"/>
  <c r="P268" i="10"/>
  <c r="P260" i="10"/>
  <c r="P252" i="10"/>
  <c r="P244" i="10"/>
  <c r="P236" i="10"/>
  <c r="P228" i="10"/>
  <c r="P220" i="10"/>
  <c r="P212" i="10"/>
  <c r="P204" i="10"/>
  <c r="P196" i="10"/>
  <c r="P188" i="10"/>
  <c r="P180" i="10"/>
  <c r="P172" i="10"/>
  <c r="P164" i="10"/>
  <c r="P156" i="10"/>
  <c r="P148" i="10"/>
  <c r="P140" i="10"/>
  <c r="P132" i="10"/>
  <c r="P124" i="10"/>
  <c r="P116" i="10"/>
  <c r="P108" i="10"/>
  <c r="P100" i="10"/>
  <c r="P92" i="10"/>
  <c r="P84" i="10"/>
  <c r="P76" i="10"/>
  <c r="P68" i="10"/>
  <c r="P60" i="10"/>
  <c r="P715" i="10"/>
  <c r="P707" i="10"/>
  <c r="P699" i="10"/>
  <c r="P691" i="10"/>
  <c r="P683" i="10"/>
  <c r="P675" i="10"/>
  <c r="P667" i="10"/>
  <c r="P659" i="10"/>
  <c r="P651" i="10"/>
  <c r="P643" i="10"/>
  <c r="P635" i="10"/>
  <c r="P627" i="10"/>
  <c r="P619" i="10"/>
  <c r="P611" i="10"/>
  <c r="P603" i="10"/>
  <c r="P595" i="10"/>
  <c r="P587" i="10"/>
  <c r="P579" i="10"/>
  <c r="P571" i="10"/>
  <c r="P563" i="10"/>
  <c r="P555" i="10"/>
  <c r="P547" i="10"/>
  <c r="P539" i="10"/>
  <c r="P531" i="10"/>
  <c r="P523" i="10"/>
  <c r="P515" i="10"/>
  <c r="P507" i="10"/>
  <c r="P499" i="10"/>
  <c r="P491" i="10"/>
  <c r="P483" i="10"/>
  <c r="P475" i="10"/>
  <c r="P467" i="10"/>
  <c r="P459" i="10"/>
  <c r="P451" i="10"/>
  <c r="P443" i="10"/>
  <c r="P435" i="10"/>
  <c r="P427" i="10"/>
  <c r="P419" i="10"/>
  <c r="P411" i="10"/>
  <c r="P403" i="10"/>
  <c r="P395" i="10"/>
  <c r="P387" i="10"/>
  <c r="P379" i="10"/>
  <c r="P371" i="10"/>
  <c r="P363" i="10"/>
  <c r="P355" i="10"/>
  <c r="P347" i="10"/>
  <c r="P339" i="10"/>
  <c r="P331" i="10"/>
  <c r="P323" i="10"/>
  <c r="P315" i="10"/>
  <c r="P307" i="10"/>
  <c r="P299" i="10"/>
  <c r="P291" i="10"/>
  <c r="P283" i="10"/>
  <c r="P275" i="10"/>
  <c r="P267" i="10"/>
  <c r="P259" i="10"/>
  <c r="P251" i="10"/>
  <c r="P243" i="10"/>
  <c r="P235" i="10"/>
  <c r="P227" i="10"/>
  <c r="P219" i="10"/>
  <c r="P211" i="10"/>
  <c r="P203" i="10"/>
  <c r="P195" i="10"/>
  <c r="P187" i="10"/>
  <c r="P179" i="10"/>
  <c r="P171" i="10"/>
  <c r="P163" i="10"/>
  <c r="P155" i="10"/>
  <c r="P147" i="10"/>
  <c r="P139" i="10"/>
  <c r="P131" i="10"/>
  <c r="P123" i="10"/>
  <c r="P115" i="10"/>
  <c r="P107" i="10"/>
  <c r="P99" i="10"/>
  <c r="P91" i="10"/>
  <c r="P83" i="10"/>
  <c r="P75" i="10"/>
  <c r="P67" i="10"/>
  <c r="P59" i="10"/>
  <c r="O162" i="10"/>
  <c r="O154" i="10"/>
  <c r="O146" i="10"/>
  <c r="O138" i="10"/>
  <c r="O130" i="10"/>
  <c r="O122" i="10"/>
  <c r="O114" i="10"/>
  <c r="O106" i="10"/>
  <c r="O98" i="10"/>
  <c r="O90" i="10"/>
  <c r="O82" i="10"/>
  <c r="O74" i="10"/>
  <c r="O66" i="10"/>
  <c r="O58" i="10"/>
  <c r="P1050" i="10"/>
  <c r="P1042" i="10"/>
  <c r="P1034" i="10"/>
  <c r="P1026" i="10"/>
  <c r="P1018" i="10"/>
  <c r="P1010" i="10"/>
  <c r="P1002" i="10"/>
  <c r="P994" i="10"/>
  <c r="P986" i="10"/>
  <c r="P978" i="10"/>
  <c r="P970" i="10"/>
  <c r="P962" i="10"/>
  <c r="P954" i="10"/>
  <c r="P946" i="10"/>
  <c r="P938" i="10"/>
  <c r="P930" i="10"/>
  <c r="P922" i="10"/>
  <c r="P914" i="10"/>
  <c r="P906" i="10"/>
  <c r="P898" i="10"/>
  <c r="P890" i="10"/>
  <c r="P882" i="10"/>
  <c r="P874" i="10"/>
  <c r="P866" i="10"/>
  <c r="P858" i="10"/>
  <c r="P850" i="10"/>
  <c r="P842" i="10"/>
  <c r="P834" i="10"/>
  <c r="P826" i="10"/>
  <c r="P818" i="10"/>
  <c r="P810" i="10"/>
  <c r="P802" i="10"/>
  <c r="P794" i="10"/>
  <c r="P786" i="10"/>
  <c r="P778" i="10"/>
  <c r="P770" i="10"/>
  <c r="P762" i="10"/>
  <c r="P754" i="10"/>
  <c r="P746" i="10"/>
  <c r="P738" i="10"/>
  <c r="P518" i="10"/>
  <c r="P510" i="10"/>
  <c r="P502" i="10"/>
  <c r="P494" i="10"/>
  <c r="P486" i="10"/>
  <c r="P478" i="10"/>
  <c r="P470" i="10"/>
  <c r="P462" i="10"/>
  <c r="P454" i="10"/>
  <c r="P446" i="10"/>
  <c r="P438" i="10"/>
  <c r="P430" i="10"/>
  <c r="P422" i="10"/>
  <c r="P414" i="10"/>
  <c r="P406" i="10"/>
  <c r="P398" i="10"/>
  <c r="P390" i="10"/>
  <c r="P382" i="10"/>
  <c r="P374" i="10"/>
  <c r="P366" i="10"/>
  <c r="P358" i="10"/>
  <c r="P350" i="10"/>
  <c r="P342" i="10"/>
  <c r="P334" i="10"/>
  <c r="P326" i="10"/>
  <c r="P318" i="10"/>
  <c r="P310" i="10"/>
  <c r="P302" i="10"/>
  <c r="P294" i="10"/>
  <c r="P286" i="10"/>
  <c r="P278" i="10"/>
  <c r="P270" i="10"/>
  <c r="P262" i="10"/>
  <c r="P254" i="10"/>
  <c r="P246" i="10"/>
  <c r="P238" i="10"/>
  <c r="P230" i="10"/>
  <c r="P222" i="10"/>
  <c r="P214" i="10"/>
  <c r="P206" i="10"/>
  <c r="P198" i="10"/>
  <c r="P190" i="10"/>
  <c r="P182" i="10"/>
  <c r="P174" i="10"/>
  <c r="P166" i="10"/>
  <c r="P158" i="10"/>
  <c r="P150" i="10"/>
  <c r="P142" i="10"/>
  <c r="P134" i="10"/>
  <c r="P126" i="10"/>
  <c r="P118" i="10"/>
  <c r="P110" i="10"/>
  <c r="P102" i="10"/>
  <c r="P94" i="10"/>
  <c r="P86" i="10"/>
  <c r="P78" i="10"/>
  <c r="P70" i="10"/>
  <c r="P62" i="10"/>
  <c r="P733" i="10"/>
  <c r="P725" i="10"/>
  <c r="P717" i="10"/>
  <c r="P709" i="10"/>
  <c r="P701" i="10"/>
  <c r="P693" i="10"/>
  <c r="P685" i="10"/>
  <c r="P677" i="10"/>
  <c r="P669" i="10"/>
  <c r="P661" i="10"/>
  <c r="P653" i="10"/>
  <c r="P645" i="10"/>
  <c r="P637" i="10"/>
  <c r="P629" i="10"/>
  <c r="P621" i="10"/>
  <c r="P613" i="10"/>
  <c r="P605" i="10"/>
  <c r="P597" i="10"/>
  <c r="P589" i="10"/>
  <c r="P581" i="10"/>
  <c r="P573" i="10"/>
  <c r="P565" i="10"/>
  <c r="P557" i="10"/>
  <c r="P549" i="10"/>
  <c r="P541" i="10"/>
  <c r="P533" i="10"/>
  <c r="P525" i="10"/>
  <c r="P517" i="10"/>
  <c r="P509" i="10"/>
  <c r="P501" i="10"/>
  <c r="P493" i="10"/>
  <c r="P485" i="10"/>
  <c r="P477" i="10"/>
  <c r="P469" i="10"/>
  <c r="P461" i="10"/>
  <c r="P453" i="10"/>
  <c r="P445" i="10"/>
  <c r="P437" i="10"/>
  <c r="P429" i="10"/>
  <c r="P421" i="10"/>
  <c r="P413" i="10"/>
  <c r="P405" i="10"/>
  <c r="P397" i="10"/>
  <c r="P389" i="10"/>
  <c r="P381" i="10"/>
  <c r="P373" i="10"/>
  <c r="P365" i="10"/>
  <c r="P357" i="10"/>
  <c r="P349" i="10"/>
  <c r="P341" i="10"/>
  <c r="P333" i="10"/>
  <c r="P325" i="10"/>
  <c r="P317" i="10"/>
  <c r="P309" i="10"/>
  <c r="P301" i="10"/>
  <c r="P293" i="10"/>
  <c r="P285" i="10"/>
  <c r="P277" i="10"/>
  <c r="P269" i="10"/>
  <c r="P261" i="10"/>
  <c r="P253" i="10"/>
  <c r="P245" i="10"/>
  <c r="P237" i="10"/>
  <c r="P229" i="10"/>
  <c r="P221" i="10"/>
  <c r="P213" i="10"/>
  <c r="P205" i="10"/>
  <c r="P197" i="10"/>
  <c r="P189" i="10"/>
  <c r="P181" i="10"/>
  <c r="P173" i="10"/>
  <c r="P165" i="10"/>
  <c r="P157" i="10"/>
  <c r="P149" i="10"/>
  <c r="P141" i="10"/>
  <c r="P133" i="10"/>
  <c r="P125" i="10"/>
  <c r="P117" i="10"/>
  <c r="P109" i="10"/>
  <c r="P101" i="10"/>
  <c r="P93" i="10"/>
  <c r="P85" i="10"/>
  <c r="P77" i="10"/>
  <c r="P69" i="10"/>
  <c r="P61" i="10"/>
  <c r="P730" i="10"/>
  <c r="P722" i="10"/>
  <c r="P714" i="10"/>
  <c r="P706" i="10"/>
  <c r="P698" i="10"/>
  <c r="P690" i="10"/>
  <c r="P682" i="10"/>
  <c r="P674" i="10"/>
  <c r="P666" i="10"/>
  <c r="P658" i="10"/>
  <c r="P650" i="10"/>
  <c r="P642" i="10"/>
  <c r="P634" i="10"/>
  <c r="P626" i="10"/>
  <c r="P618" i="10"/>
  <c r="P610" i="10"/>
  <c r="P602" i="10"/>
  <c r="P594" i="10"/>
  <c r="P586" i="10"/>
  <c r="P578" i="10"/>
  <c r="P570" i="10"/>
  <c r="P562" i="10"/>
  <c r="P554" i="10"/>
  <c r="P546" i="10"/>
  <c r="P538" i="10"/>
  <c r="P530" i="10"/>
  <c r="P522" i="10"/>
  <c r="P514" i="10"/>
  <c r="P506" i="10"/>
  <c r="P498" i="10"/>
  <c r="P490" i="10"/>
  <c r="P482" i="10"/>
  <c r="P474" i="10"/>
  <c r="P466" i="10"/>
  <c r="P458" i="10"/>
  <c r="P450" i="10"/>
  <c r="P442" i="10"/>
  <c r="P434" i="10"/>
  <c r="P426" i="10"/>
  <c r="P418" i="10"/>
  <c r="P410" i="10"/>
  <c r="P402" i="10"/>
  <c r="P394" i="10"/>
  <c r="P386" i="10"/>
  <c r="P378" i="10"/>
  <c r="P370" i="10"/>
  <c r="P362" i="10"/>
  <c r="P354" i="10"/>
  <c r="P346" i="10"/>
  <c r="P338" i="10"/>
  <c r="P330" i="10"/>
  <c r="P322" i="10"/>
  <c r="P314" i="10"/>
  <c r="P306" i="10"/>
  <c r="P298" i="10"/>
  <c r="P290" i="10"/>
  <c r="P282" i="10"/>
  <c r="P274" i="10"/>
  <c r="P266" i="10"/>
  <c r="P258" i="10"/>
  <c r="P250" i="10"/>
  <c r="P242" i="10"/>
  <c r="P234" i="10"/>
  <c r="P226" i="10"/>
  <c r="P218" i="10"/>
  <c r="P210" i="10"/>
  <c r="P202" i="10"/>
  <c r="P194" i="10"/>
  <c r="P186" i="10"/>
  <c r="P178" i="10"/>
  <c r="P170" i="10"/>
  <c r="P162" i="10"/>
  <c r="P154" i="10"/>
  <c r="P146" i="10"/>
  <c r="P138" i="10"/>
  <c r="P130" i="10"/>
  <c r="P122" i="10"/>
  <c r="P114" i="10"/>
  <c r="P106" i="10"/>
  <c r="P98" i="10"/>
  <c r="P90" i="10"/>
  <c r="P82" i="10"/>
  <c r="P74" i="10"/>
  <c r="P66" i="10"/>
  <c r="P58" i="10"/>
  <c r="P729" i="10"/>
  <c r="P721" i="10"/>
  <c r="P713" i="10"/>
  <c r="P705" i="10"/>
  <c r="P697" i="10"/>
  <c r="P689" i="10"/>
  <c r="P681" i="10"/>
  <c r="P673" i="10"/>
  <c r="P665" i="10"/>
  <c r="P657" i="10"/>
  <c r="P649" i="10"/>
  <c r="P641" i="10"/>
  <c r="P633" i="10"/>
  <c r="P625" i="10"/>
  <c r="P617" i="10"/>
  <c r="P609" i="10"/>
  <c r="P601" i="10"/>
  <c r="P593" i="10"/>
  <c r="P585" i="10"/>
  <c r="P577" i="10"/>
  <c r="P569" i="10"/>
  <c r="P561" i="10"/>
  <c r="P553" i="10"/>
  <c r="P545" i="10"/>
  <c r="P537" i="10"/>
  <c r="P529" i="10"/>
  <c r="P521" i="10"/>
  <c r="P513" i="10"/>
  <c r="P505" i="10"/>
  <c r="P497" i="10"/>
  <c r="P489" i="10"/>
  <c r="P481" i="10"/>
  <c r="P473" i="10"/>
  <c r="P465" i="10"/>
  <c r="P457" i="10"/>
  <c r="P449" i="10"/>
  <c r="P441" i="10"/>
  <c r="P433" i="10"/>
  <c r="P425" i="10"/>
  <c r="P417" i="10"/>
  <c r="P409" i="10"/>
  <c r="P401" i="10"/>
  <c r="P393" i="10"/>
  <c r="P385" i="10"/>
  <c r="P377" i="10"/>
  <c r="P369" i="10"/>
  <c r="P361" i="10"/>
  <c r="P353" i="10"/>
  <c r="P345" i="10"/>
  <c r="P337" i="10"/>
  <c r="P329" i="10"/>
  <c r="P321" i="10"/>
  <c r="P313" i="10"/>
  <c r="P305" i="10"/>
  <c r="P297" i="10"/>
  <c r="P289" i="10"/>
  <c r="P281" i="10"/>
  <c r="P273" i="10"/>
  <c r="P265" i="10"/>
  <c r="P257" i="10"/>
  <c r="P249" i="10"/>
  <c r="P241" i="10"/>
  <c r="P233" i="10"/>
  <c r="P225" i="10"/>
  <c r="P217" i="10"/>
  <c r="P209" i="10"/>
  <c r="P201" i="10"/>
  <c r="P193" i="10"/>
  <c r="P185" i="10"/>
  <c r="P177" i="10"/>
  <c r="P169" i="10"/>
  <c r="P161" i="10"/>
  <c r="P153" i="10"/>
  <c r="P145" i="10"/>
  <c r="P137" i="10"/>
  <c r="P129" i="10"/>
  <c r="P121" i="10"/>
  <c r="P113" i="10"/>
  <c r="P105" i="10"/>
  <c r="P97" i="10"/>
  <c r="P89" i="10"/>
  <c r="P81" i="10"/>
  <c r="P73" i="10"/>
  <c r="P65" i="10"/>
  <c r="P57" i="10"/>
  <c r="D155" i="10"/>
  <c r="L155" i="10" s="1"/>
  <c r="C834" i="10"/>
  <c r="K834" i="10" s="1"/>
  <c r="T636" i="10"/>
  <c r="T58" i="10"/>
  <c r="D491" i="10"/>
  <c r="L491" i="10" s="1"/>
  <c r="T875" i="10"/>
  <c r="C165" i="10"/>
  <c r="K165" i="10" s="1"/>
  <c r="D542" i="10"/>
  <c r="L542" i="10" s="1"/>
  <c r="D64" i="10"/>
  <c r="L64" i="10" s="1"/>
  <c r="D245" i="10"/>
  <c r="L245" i="10" s="1"/>
  <c r="C66" i="10"/>
  <c r="K66" i="10" s="1"/>
  <c r="R568" i="10"/>
  <c r="T319" i="10"/>
  <c r="T439" i="10"/>
  <c r="T501" i="10"/>
  <c r="T568" i="10"/>
  <c r="T733" i="10"/>
  <c r="T344" i="10"/>
  <c r="R939" i="10"/>
  <c r="R566" i="10"/>
  <c r="T1051" i="10"/>
  <c r="T1043" i="10"/>
  <c r="T1035" i="10"/>
  <c r="T1027" i="10"/>
  <c r="T1019" i="10"/>
  <c r="T1011" i="10"/>
  <c r="T1003" i="10"/>
  <c r="T995" i="10"/>
  <c r="T987" i="10"/>
  <c r="T979" i="10"/>
  <c r="T971" i="10"/>
  <c r="T963" i="10"/>
  <c r="T955" i="10"/>
  <c r="T947" i="10"/>
  <c r="T939" i="10"/>
  <c r="T931" i="10"/>
  <c r="T923" i="10"/>
  <c r="T915" i="10"/>
  <c r="T907" i="10"/>
  <c r="T899" i="10"/>
  <c r="T891" i="10"/>
  <c r="T883" i="10"/>
  <c r="T864" i="10"/>
  <c r="T847" i="10"/>
  <c r="T824" i="10"/>
  <c r="T806" i="10"/>
  <c r="T783" i="10"/>
  <c r="T760" i="10"/>
  <c r="T742" i="10"/>
  <c r="T716" i="10"/>
  <c r="T680" i="10"/>
  <c r="T643" i="10"/>
  <c r="T515" i="10"/>
  <c r="T442" i="10"/>
  <c r="T369" i="10"/>
  <c r="T296" i="10"/>
  <c r="T221" i="10"/>
  <c r="T122" i="10"/>
  <c r="R640" i="10"/>
  <c r="D171" i="10"/>
  <c r="L171" i="10" s="1"/>
  <c r="C461" i="10"/>
  <c r="K461" i="10" s="1"/>
  <c r="R408" i="10"/>
  <c r="T407" i="10"/>
  <c r="T415" i="10"/>
  <c r="T639" i="10"/>
  <c r="T703" i="10"/>
  <c r="T97" i="10"/>
  <c r="T336" i="10"/>
  <c r="T372" i="10"/>
  <c r="T841" i="10"/>
  <c r="T565" i="10"/>
  <c r="T557" i="10"/>
  <c r="T137" i="10"/>
  <c r="T188" i="10"/>
  <c r="T285" i="10"/>
  <c r="T651" i="10"/>
  <c r="T480" i="10"/>
  <c r="T289" i="10"/>
  <c r="T408" i="10"/>
  <c r="T426" i="10"/>
  <c r="T517" i="10"/>
  <c r="D65" i="10"/>
  <c r="L65" i="10" s="1"/>
  <c r="D253" i="10"/>
  <c r="L253" i="10" s="1"/>
  <c r="D736" i="10"/>
  <c r="L736" i="10" s="1"/>
  <c r="C681" i="10"/>
  <c r="K681" i="10" s="1"/>
  <c r="C501" i="10"/>
  <c r="K501" i="10" s="1"/>
  <c r="R915" i="10"/>
  <c r="R441" i="10"/>
  <c r="T1050" i="10"/>
  <c r="T1042" i="10"/>
  <c r="T1034" i="10"/>
  <c r="T1026" i="10"/>
  <c r="T1018" i="10"/>
  <c r="T1010" i="10"/>
  <c r="T1002" i="10"/>
  <c r="T994" i="10"/>
  <c r="T986" i="10"/>
  <c r="T978" i="10"/>
  <c r="T970" i="10"/>
  <c r="T962" i="10"/>
  <c r="T954" i="10"/>
  <c r="T946" i="10"/>
  <c r="T938" i="10"/>
  <c r="T930" i="10"/>
  <c r="T922" i="10"/>
  <c r="T914" i="10"/>
  <c r="T906" i="10"/>
  <c r="T898" i="10"/>
  <c r="T890" i="10"/>
  <c r="T882" i="10"/>
  <c r="T874" i="10"/>
  <c r="T863" i="10"/>
  <c r="T846" i="10"/>
  <c r="T823" i="10"/>
  <c r="T800" i="10"/>
  <c r="T782" i="10"/>
  <c r="T759" i="10"/>
  <c r="T736" i="10"/>
  <c r="T709" i="10"/>
  <c r="T673" i="10"/>
  <c r="T579" i="10"/>
  <c r="T506" i="10"/>
  <c r="T433" i="10"/>
  <c r="T360" i="10"/>
  <c r="T286" i="10"/>
  <c r="T211" i="10"/>
  <c r="T106" i="10"/>
  <c r="R144" i="10"/>
  <c r="T125" i="10"/>
  <c r="T150" i="10"/>
  <c r="T207" i="10"/>
  <c r="T375" i="10"/>
  <c r="T383" i="10"/>
  <c r="T575" i="10"/>
  <c r="T647" i="10"/>
  <c r="T719" i="10"/>
  <c r="T409" i="10"/>
  <c r="T528" i="10"/>
  <c r="T537" i="10"/>
  <c r="T564" i="10"/>
  <c r="T701" i="10"/>
  <c r="T66" i="10"/>
  <c r="T130" i="10"/>
  <c r="T364" i="10"/>
  <c r="T419" i="10"/>
  <c r="T446" i="10"/>
  <c r="T657" i="10"/>
  <c r="T818" i="10"/>
  <c r="T218" i="10"/>
  <c r="T402" i="10"/>
  <c r="T530" i="10"/>
  <c r="T621" i="10"/>
  <c r="T238" i="10"/>
  <c r="T586" i="10"/>
  <c r="T868" i="10"/>
  <c r="T200" i="10"/>
  <c r="T486" i="10"/>
  <c r="T550" i="10"/>
  <c r="T560" i="10"/>
  <c r="T773" i="10"/>
  <c r="T829" i="10"/>
  <c r="T192" i="10"/>
  <c r="T315" i="10"/>
  <c r="T434" i="10"/>
  <c r="T307" i="10"/>
  <c r="T362" i="10"/>
  <c r="D79" i="10"/>
  <c r="L79" i="10" s="1"/>
  <c r="D288" i="10"/>
  <c r="L288" i="10" s="1"/>
  <c r="D776" i="10"/>
  <c r="L776" i="10" s="1"/>
  <c r="R875" i="10"/>
  <c r="R336" i="10"/>
  <c r="T1049" i="10"/>
  <c r="T1041" i="10"/>
  <c r="T1033" i="10"/>
  <c r="T1025" i="10"/>
  <c r="T1017" i="10"/>
  <c r="T1009" i="10"/>
  <c r="T1001" i="10"/>
  <c r="T993" i="10"/>
  <c r="T985" i="10"/>
  <c r="T977" i="10"/>
  <c r="T969" i="10"/>
  <c r="T961" i="10"/>
  <c r="T953" i="10"/>
  <c r="T945" i="10"/>
  <c r="T937" i="10"/>
  <c r="T929" i="10"/>
  <c r="T921" i="10"/>
  <c r="T913" i="10"/>
  <c r="T905" i="10"/>
  <c r="T897" i="10"/>
  <c r="T889" i="10"/>
  <c r="T881" i="10"/>
  <c r="T873" i="10"/>
  <c r="T862" i="10"/>
  <c r="T840" i="10"/>
  <c r="T822" i="10"/>
  <c r="T799" i="10"/>
  <c r="T776" i="10"/>
  <c r="T758" i="10"/>
  <c r="T735" i="10"/>
  <c r="T707" i="10"/>
  <c r="T670" i="10"/>
  <c r="T634" i="10"/>
  <c r="T570" i="10"/>
  <c r="T497" i="10"/>
  <c r="T424" i="10"/>
  <c r="T350" i="10"/>
  <c r="T277" i="10"/>
  <c r="T201" i="10"/>
  <c r="T90" i="10"/>
  <c r="R851" i="10"/>
  <c r="R272" i="10"/>
  <c r="T1048" i="10"/>
  <c r="T1040" i="10"/>
  <c r="T1032" i="10"/>
  <c r="T1024" i="10"/>
  <c r="T1016" i="10"/>
  <c r="T1008" i="10"/>
  <c r="T1000" i="10"/>
  <c r="T992" i="10"/>
  <c r="T984" i="10"/>
  <c r="T976" i="10"/>
  <c r="T968" i="10"/>
  <c r="T960" i="10"/>
  <c r="T952" i="10"/>
  <c r="T944" i="10"/>
  <c r="T936" i="10"/>
  <c r="T928" i="10"/>
  <c r="T920" i="10"/>
  <c r="T912" i="10"/>
  <c r="T904" i="10"/>
  <c r="T896" i="10"/>
  <c r="T888" i="10"/>
  <c r="T880" i="10"/>
  <c r="T872" i="10"/>
  <c r="T858" i="10"/>
  <c r="T839" i="10"/>
  <c r="T816" i="10"/>
  <c r="T798" i="10"/>
  <c r="T775" i="10"/>
  <c r="T752" i="10"/>
  <c r="T734" i="10"/>
  <c r="T700" i="10"/>
  <c r="T664" i="10"/>
  <c r="T625" i="10"/>
  <c r="T561" i="10"/>
  <c r="T488" i="10"/>
  <c r="T414" i="10"/>
  <c r="T341" i="10"/>
  <c r="T268" i="10"/>
  <c r="T189" i="10"/>
  <c r="T74" i="10"/>
  <c r="D320" i="10"/>
  <c r="L320" i="10" s="1"/>
  <c r="R787" i="10"/>
  <c r="R103" i="10"/>
  <c r="T1047" i="10"/>
  <c r="T1039" i="10"/>
  <c r="T1023" i="10"/>
  <c r="T1015" i="10"/>
  <c r="T1007" i="10"/>
  <c r="T999" i="10"/>
  <c r="T991" i="10"/>
  <c r="T983" i="10"/>
  <c r="T975" i="10"/>
  <c r="T967" i="10"/>
  <c r="T959" i="10"/>
  <c r="T951" i="10"/>
  <c r="T943" i="10"/>
  <c r="T935" i="10"/>
  <c r="T927" i="10"/>
  <c r="T919" i="10"/>
  <c r="T911" i="10"/>
  <c r="T903" i="10"/>
  <c r="T895" i="10"/>
  <c r="T887" i="10"/>
  <c r="T879" i="10"/>
  <c r="T871" i="10"/>
  <c r="T856" i="10"/>
  <c r="T838" i="10"/>
  <c r="T815" i="10"/>
  <c r="T792" i="10"/>
  <c r="T774" i="10"/>
  <c r="T751" i="10"/>
  <c r="T728" i="10"/>
  <c r="T698" i="10"/>
  <c r="T661" i="10"/>
  <c r="T616" i="10"/>
  <c r="T552" i="10"/>
  <c r="T478" i="10"/>
  <c r="T405" i="10"/>
  <c r="T332" i="10"/>
  <c r="T259" i="10"/>
  <c r="T178" i="10"/>
  <c r="D90" i="10"/>
  <c r="L90" i="10" s="1"/>
  <c r="D858" i="10"/>
  <c r="L858" i="10" s="1"/>
  <c r="D130" i="10"/>
  <c r="L130" i="10" s="1"/>
  <c r="D433" i="10"/>
  <c r="L433" i="10" s="1"/>
  <c r="D1022" i="10"/>
  <c r="L1022" i="10" s="1"/>
  <c r="D140" i="10"/>
  <c r="L140" i="10" s="1"/>
  <c r="D436" i="10"/>
  <c r="L436" i="10" s="1"/>
  <c r="T60" i="10"/>
  <c r="T68" i="10"/>
  <c r="T76" i="10"/>
  <c r="T84" i="10"/>
  <c r="T92" i="10"/>
  <c r="T100" i="10"/>
  <c r="T108" i="10"/>
  <c r="T116" i="10"/>
  <c r="T124" i="10"/>
  <c r="T132" i="10"/>
  <c r="T140" i="10"/>
  <c r="T61" i="10"/>
  <c r="T69" i="10"/>
  <c r="T77" i="10"/>
  <c r="T85" i="10"/>
  <c r="T93" i="10"/>
  <c r="T101" i="10"/>
  <c r="T109" i="10"/>
  <c r="T117" i="10"/>
  <c r="T133" i="10"/>
  <c r="T141" i="10"/>
  <c r="T149" i="10"/>
  <c r="T157" i="10"/>
  <c r="T165" i="10"/>
  <c r="T173" i="10"/>
  <c r="T181" i="10"/>
  <c r="T62" i="10"/>
  <c r="T70" i="10"/>
  <c r="T78" i="10"/>
  <c r="T86" i="10"/>
  <c r="T94" i="10"/>
  <c r="T102" i="10"/>
  <c r="T110" i="10"/>
  <c r="T118" i="10"/>
  <c r="T126" i="10"/>
  <c r="T134" i="10"/>
  <c r="T142" i="10"/>
  <c r="T158" i="10"/>
  <c r="T166" i="10"/>
  <c r="T174" i="10"/>
  <c r="T182" i="10"/>
  <c r="T190" i="10"/>
  <c r="T198" i="10"/>
  <c r="T206" i="10"/>
  <c r="T214" i="10"/>
  <c r="T222" i="10"/>
  <c r="T55" i="10"/>
  <c r="T63" i="10"/>
  <c r="T71" i="10"/>
  <c r="T79" i="10"/>
  <c r="T87" i="10"/>
  <c r="T95" i="10"/>
  <c r="T103" i="10"/>
  <c r="T111" i="10"/>
  <c r="T119" i="10"/>
  <c r="T127" i="10"/>
  <c r="T135" i="10"/>
  <c r="T143" i="10"/>
  <c r="T151" i="10"/>
  <c r="T159" i="10"/>
  <c r="T167" i="10"/>
  <c r="T175" i="10"/>
  <c r="T183" i="10"/>
  <c r="T191" i="10"/>
  <c r="T199" i="10"/>
  <c r="T215" i="10"/>
  <c r="T223" i="10"/>
  <c r="T231" i="10"/>
  <c r="T239" i="10"/>
  <c r="T247" i="10"/>
  <c r="T255" i="10"/>
  <c r="T263" i="10"/>
  <c r="T271" i="10"/>
  <c r="T279" i="10"/>
  <c r="T287" i="10"/>
  <c r="T295" i="10"/>
  <c r="T303" i="10"/>
  <c r="T311" i="10"/>
  <c r="T327" i="10"/>
  <c r="T335" i="10"/>
  <c r="T343" i="10"/>
  <c r="T351" i="10"/>
  <c r="T359" i="10"/>
  <c r="T367" i="10"/>
  <c r="T391" i="10"/>
  <c r="T399" i="10"/>
  <c r="T423" i="10"/>
  <c r="T431" i="10"/>
  <c r="T447" i="10"/>
  <c r="T455" i="10"/>
  <c r="T463" i="10"/>
  <c r="T471" i="10"/>
  <c r="T479" i="10"/>
  <c r="T487" i="10"/>
  <c r="T495" i="10"/>
  <c r="T503" i="10"/>
  <c r="T511" i="10"/>
  <c r="T519" i="10"/>
  <c r="T527" i="10"/>
  <c r="T535" i="10"/>
  <c r="T543" i="10"/>
  <c r="T551" i="10"/>
  <c r="T559" i="10"/>
  <c r="T567" i="10"/>
  <c r="T583" i="10"/>
  <c r="T591" i="10"/>
  <c r="T599" i="10"/>
  <c r="T607" i="10"/>
  <c r="T615" i="10"/>
  <c r="T623" i="10"/>
  <c r="T631" i="10"/>
  <c r="T655" i="10"/>
  <c r="T663" i="10"/>
  <c r="T671" i="10"/>
  <c r="T679" i="10"/>
  <c r="T687" i="10"/>
  <c r="T695" i="10"/>
  <c r="T711" i="10"/>
  <c r="T727" i="10"/>
  <c r="T65" i="10"/>
  <c r="T81" i="10"/>
  <c r="T113" i="10"/>
  <c r="T129" i="10"/>
  <c r="T145" i="10"/>
  <c r="T156" i="10"/>
  <c r="T170" i="10"/>
  <c r="T184" i="10"/>
  <c r="T194" i="10"/>
  <c r="T204" i="10"/>
  <c r="T216" i="10"/>
  <c r="T226" i="10"/>
  <c r="T235" i="10"/>
  <c r="T244" i="10"/>
  <c r="T253" i="10"/>
  <c r="T262" i="10"/>
  <c r="T272" i="10"/>
  <c r="T281" i="10"/>
  <c r="T290" i="10"/>
  <c r="T299" i="10"/>
  <c r="T308" i="10"/>
  <c r="T317" i="10"/>
  <c r="T326" i="10"/>
  <c r="T345" i="10"/>
  <c r="T354" i="10"/>
  <c r="T363" i="10"/>
  <c r="T381" i="10"/>
  <c r="T390" i="10"/>
  <c r="T400" i="10"/>
  <c r="T418" i="10"/>
  <c r="T427" i="10"/>
  <c r="T436" i="10"/>
  <c r="T445" i="10"/>
  <c r="T454" i="10"/>
  <c r="T464" i="10"/>
  <c r="T473" i="10"/>
  <c r="T482" i="10"/>
  <c r="T491" i="10"/>
  <c r="T500" i="10"/>
  <c r="T509" i="10"/>
  <c r="T518" i="10"/>
  <c r="T546" i="10"/>
  <c r="T555" i="10"/>
  <c r="T573" i="10"/>
  <c r="T582" i="10"/>
  <c r="T592" i="10"/>
  <c r="T601" i="10"/>
  <c r="T610" i="10"/>
  <c r="T619" i="10"/>
  <c r="T628" i="10"/>
  <c r="T637" i="10"/>
  <c r="T646" i="10"/>
  <c r="T656" i="10"/>
  <c r="T665" i="10"/>
  <c r="T674" i="10"/>
  <c r="T683" i="10"/>
  <c r="T692" i="10"/>
  <c r="T710" i="10"/>
  <c r="T720" i="10"/>
  <c r="T729" i="10"/>
  <c r="T737" i="10"/>
  <c r="T745" i="10"/>
  <c r="T753" i="10"/>
  <c r="T761" i="10"/>
  <c r="T769" i="10"/>
  <c r="T777" i="10"/>
  <c r="T785" i="10"/>
  <c r="T793" i="10"/>
  <c r="T801" i="10"/>
  <c r="T809" i="10"/>
  <c r="T817" i="10"/>
  <c r="T825" i="10"/>
  <c r="T833" i="10"/>
  <c r="T849" i="10"/>
  <c r="T857" i="10"/>
  <c r="T865" i="10"/>
  <c r="T82" i="10"/>
  <c r="T98" i="10"/>
  <c r="T114" i="10"/>
  <c r="T146" i="10"/>
  <c r="T160" i="10"/>
  <c r="T171" i="10"/>
  <c r="T185" i="10"/>
  <c r="T195" i="10"/>
  <c r="T205" i="10"/>
  <c r="T217" i="10"/>
  <c r="T227" i="10"/>
  <c r="T236" i="10"/>
  <c r="T245" i="10"/>
  <c r="T254" i="10"/>
  <c r="T264" i="10"/>
  <c r="T273" i="10"/>
  <c r="T282" i="10"/>
  <c r="T291" i="10"/>
  <c r="T300" i="10"/>
  <c r="T309" i="10"/>
  <c r="T318" i="10"/>
  <c r="T328" i="10"/>
  <c r="T337" i="10"/>
  <c r="T346" i="10"/>
  <c r="T355" i="10"/>
  <c r="T373" i="10"/>
  <c r="T382" i="10"/>
  <c r="T392" i="10"/>
  <c r="T401" i="10"/>
  <c r="T410" i="10"/>
  <c r="T428" i="10"/>
  <c r="T437" i="10"/>
  <c r="T456" i="10"/>
  <c r="T465" i="10"/>
  <c r="T474" i="10"/>
  <c r="T483" i="10"/>
  <c r="T492" i="10"/>
  <c r="T510" i="10"/>
  <c r="T520" i="10"/>
  <c r="T529" i="10"/>
  <c r="T538" i="10"/>
  <c r="T547" i="10"/>
  <c r="T556" i="10"/>
  <c r="T574" i="10"/>
  <c r="T584" i="10"/>
  <c r="T593" i="10"/>
  <c r="T602" i="10"/>
  <c r="T611" i="10"/>
  <c r="T620" i="10"/>
  <c r="T629" i="10"/>
  <c r="T638" i="10"/>
  <c r="T648" i="10"/>
  <c r="T666" i="10"/>
  <c r="T675" i="10"/>
  <c r="T684" i="10"/>
  <c r="T693" i="10"/>
  <c r="T702" i="10"/>
  <c r="T712" i="10"/>
  <c r="T721" i="10"/>
  <c r="T730" i="10"/>
  <c r="T738" i="10"/>
  <c r="T746" i="10"/>
  <c r="T754" i="10"/>
  <c r="T762" i="10"/>
  <c r="T770" i="10"/>
  <c r="T778" i="10"/>
  <c r="T786" i="10"/>
  <c r="T794" i="10"/>
  <c r="T802" i="10"/>
  <c r="T810" i="10"/>
  <c r="T826" i="10"/>
  <c r="T834" i="10"/>
  <c r="T842" i="10"/>
  <c r="T850" i="10"/>
  <c r="T67" i="10"/>
  <c r="T83" i="10"/>
  <c r="T99" i="10"/>
  <c r="T115" i="10"/>
  <c r="T131" i="10"/>
  <c r="T147" i="10"/>
  <c r="T161" i="10"/>
  <c r="T172" i="10"/>
  <c r="T186" i="10"/>
  <c r="T196" i="10"/>
  <c r="T208" i="10"/>
  <c r="T228" i="10"/>
  <c r="T237" i="10"/>
  <c r="T246" i="10"/>
  <c r="T256" i="10"/>
  <c r="T265" i="10"/>
  <c r="T274" i="10"/>
  <c r="T283" i="10"/>
  <c r="T292" i="10"/>
  <c r="T301" i="10"/>
  <c r="T310" i="10"/>
  <c r="T320" i="10"/>
  <c r="T329" i="10"/>
  <c r="T338" i="10"/>
  <c r="T347" i="10"/>
  <c r="T356" i="10"/>
  <c r="T365" i="10"/>
  <c r="T374" i="10"/>
  <c r="T384" i="10"/>
  <c r="T393" i="10"/>
  <c r="T411" i="10"/>
  <c r="T420" i="10"/>
  <c r="T429" i="10"/>
  <c r="T438" i="10"/>
  <c r="T448" i="10"/>
  <c r="T457" i="10"/>
  <c r="T466" i="10"/>
  <c r="T475" i="10"/>
  <c r="T484" i="10"/>
  <c r="T493" i="10"/>
  <c r="T502" i="10"/>
  <c r="T512" i="10"/>
  <c r="T521" i="10"/>
  <c r="T539" i="10"/>
  <c r="T548" i="10"/>
  <c r="T566" i="10"/>
  <c r="T576" i="10"/>
  <c r="T585" i="10"/>
  <c r="T594" i="10"/>
  <c r="T603" i="10"/>
  <c r="T612" i="10"/>
  <c r="T630" i="10"/>
  <c r="T640" i="10"/>
  <c r="T649" i="10"/>
  <c r="T658" i="10"/>
  <c r="T667" i="10"/>
  <c r="T676" i="10"/>
  <c r="T685" i="10"/>
  <c r="T694" i="10"/>
  <c r="T704" i="10"/>
  <c r="T713" i="10"/>
  <c r="T722" i="10"/>
  <c r="T731" i="10"/>
  <c r="T739" i="10"/>
  <c r="T747" i="10"/>
  <c r="T755" i="10"/>
  <c r="T763" i="10"/>
  <c r="T771" i="10"/>
  <c r="T779" i="10"/>
  <c r="T787" i="10"/>
  <c r="T795" i="10"/>
  <c r="T803" i="10"/>
  <c r="T811" i="10"/>
  <c r="T819" i="10"/>
  <c r="T827" i="10"/>
  <c r="T835" i="10"/>
  <c r="T843" i="10"/>
  <c r="T851" i="10"/>
  <c r="T859" i="10"/>
  <c r="T867" i="10"/>
  <c r="T56" i="10"/>
  <c r="T72" i="10"/>
  <c r="T88" i="10"/>
  <c r="T104" i="10"/>
  <c r="T120" i="10"/>
  <c r="T136" i="10"/>
  <c r="T148" i="10"/>
  <c r="T162" i="10"/>
  <c r="T176" i="10"/>
  <c r="T187" i="10"/>
  <c r="T197" i="10"/>
  <c r="T209" i="10"/>
  <c r="T219" i="10"/>
  <c r="T229" i="10"/>
  <c r="T248" i="10"/>
  <c r="T257" i="10"/>
  <c r="T266" i="10"/>
  <c r="T275" i="10"/>
  <c r="T284" i="10"/>
  <c r="T293" i="10"/>
  <c r="T302" i="10"/>
  <c r="T312" i="10"/>
  <c r="T321" i="10"/>
  <c r="T330" i="10"/>
  <c r="T339" i="10"/>
  <c r="T348" i="10"/>
  <c r="T357" i="10"/>
  <c r="T366" i="10"/>
  <c r="T376" i="10"/>
  <c r="T385" i="10"/>
  <c r="T394" i="10"/>
  <c r="T403" i="10"/>
  <c r="T412" i="10"/>
  <c r="T421" i="10"/>
  <c r="T430" i="10"/>
  <c r="T440" i="10"/>
  <c r="T449" i="10"/>
  <c r="T458" i="10"/>
  <c r="T467" i="10"/>
  <c r="T476" i="10"/>
  <c r="T485" i="10"/>
  <c r="T494" i="10"/>
  <c r="T504" i="10"/>
  <c r="T513" i="10"/>
  <c r="T522" i="10"/>
  <c r="T531" i="10"/>
  <c r="T540" i="10"/>
  <c r="T549" i="10"/>
  <c r="T558" i="10"/>
  <c r="T577" i="10"/>
  <c r="T595" i="10"/>
  <c r="T604" i="10"/>
  <c r="T613" i="10"/>
  <c r="T622" i="10"/>
  <c r="T632" i="10"/>
  <c r="T641" i="10"/>
  <c r="T650" i="10"/>
  <c r="T659" i="10"/>
  <c r="T668" i="10"/>
  <c r="T677" i="10"/>
  <c r="T686" i="10"/>
  <c r="T696" i="10"/>
  <c r="T705" i="10"/>
  <c r="T714" i="10"/>
  <c r="T723" i="10"/>
  <c r="T732" i="10"/>
  <c r="T740" i="10"/>
  <c r="T748" i="10"/>
  <c r="T756" i="10"/>
  <c r="T764" i="10"/>
  <c r="T772" i="10"/>
  <c r="T780" i="10"/>
  <c r="T788" i="10"/>
  <c r="T796" i="10"/>
  <c r="T804" i="10"/>
  <c r="T812" i="10"/>
  <c r="T820" i="10"/>
  <c r="T828" i="10"/>
  <c r="T836" i="10"/>
  <c r="T844" i="10"/>
  <c r="T852" i="10"/>
  <c r="T860" i="10"/>
  <c r="T57" i="10"/>
  <c r="T73" i="10"/>
  <c r="T89" i="10"/>
  <c r="T105" i="10"/>
  <c r="T121" i="10"/>
  <c r="T152" i="10"/>
  <c r="T163" i="10"/>
  <c r="T177" i="10"/>
  <c r="T210" i="10"/>
  <c r="T220" i="10"/>
  <c r="T230" i="10"/>
  <c r="T240" i="10"/>
  <c r="T249" i="10"/>
  <c r="T258" i="10"/>
  <c r="T267" i="10"/>
  <c r="T276" i="10"/>
  <c r="T294" i="10"/>
  <c r="T304" i="10"/>
  <c r="T313" i="10"/>
  <c r="T322" i="10"/>
  <c r="T331" i="10"/>
  <c r="T340" i="10"/>
  <c r="T349" i="10"/>
  <c r="T358" i="10"/>
  <c r="T368" i="10"/>
  <c r="T377" i="10"/>
  <c r="T386" i="10"/>
  <c r="T395" i="10"/>
  <c r="T404" i="10"/>
  <c r="T413" i="10"/>
  <c r="T422" i="10"/>
  <c r="T432" i="10"/>
  <c r="T441" i="10"/>
  <c r="T450" i="10"/>
  <c r="T459" i="10"/>
  <c r="T468" i="10"/>
  <c r="T477" i="10"/>
  <c r="T496" i="10"/>
  <c r="T505" i="10"/>
  <c r="T514" i="10"/>
  <c r="T523" i="10"/>
  <c r="T532" i="10"/>
  <c r="T541" i="10"/>
  <c r="T569" i="10"/>
  <c r="T578" i="10"/>
  <c r="T587" i="10"/>
  <c r="T596" i="10"/>
  <c r="T605" i="10"/>
  <c r="T614" i="10"/>
  <c r="T624" i="10"/>
  <c r="T633" i="10"/>
  <c r="T642" i="10"/>
  <c r="T660" i="10"/>
  <c r="T669" i="10"/>
  <c r="T678" i="10"/>
  <c r="T688" i="10"/>
  <c r="T697" i="10"/>
  <c r="T706" i="10"/>
  <c r="T715" i="10"/>
  <c r="T724" i="10"/>
  <c r="T741" i="10"/>
  <c r="T749" i="10"/>
  <c r="T757" i="10"/>
  <c r="T765" i="10"/>
  <c r="T781" i="10"/>
  <c r="T789" i="10"/>
  <c r="T797" i="10"/>
  <c r="T805" i="10"/>
  <c r="T813" i="10"/>
  <c r="T821" i="10"/>
  <c r="T837" i="10"/>
  <c r="T845" i="10"/>
  <c r="T853" i="10"/>
  <c r="T861" i="10"/>
  <c r="T59" i="10"/>
  <c r="T75" i="10"/>
  <c r="T91" i="10"/>
  <c r="T107" i="10"/>
  <c r="T123" i="10"/>
  <c r="T139" i="10"/>
  <c r="T154" i="10"/>
  <c r="T168" i="10"/>
  <c r="T179" i="10"/>
  <c r="T202" i="10"/>
  <c r="T212" i="10"/>
  <c r="T224" i="10"/>
  <c r="T233" i="10"/>
  <c r="T242" i="10"/>
  <c r="T251" i="10"/>
  <c r="T260" i="10"/>
  <c r="T269" i="10"/>
  <c r="T278" i="10"/>
  <c r="T288" i="10"/>
  <c r="T297" i="10"/>
  <c r="T306" i="10"/>
  <c r="T324" i="10"/>
  <c r="T333" i="10"/>
  <c r="T342" i="10"/>
  <c r="T352" i="10"/>
  <c r="T361" i="10"/>
  <c r="T370" i="10"/>
  <c r="T379" i="10"/>
  <c r="T388" i="10"/>
  <c r="T397" i="10"/>
  <c r="T406" i="10"/>
  <c r="T416" i="10"/>
  <c r="T425" i="10"/>
  <c r="T443" i="10"/>
  <c r="T452" i="10"/>
  <c r="T461" i="10"/>
  <c r="T470" i="10"/>
  <c r="T489" i="10"/>
  <c r="T498" i="10"/>
  <c r="T507" i="10"/>
  <c r="T516" i="10"/>
  <c r="T525" i="10"/>
  <c r="T534" i="10"/>
  <c r="T544" i="10"/>
  <c r="T553" i="10"/>
  <c r="T562" i="10"/>
  <c r="T571" i="10"/>
  <c r="T589" i="10"/>
  <c r="T598" i="10"/>
  <c r="T608" i="10"/>
  <c r="T617" i="10"/>
  <c r="T626" i="10"/>
  <c r="T635" i="10"/>
  <c r="T644" i="10"/>
  <c r="T653" i="10"/>
  <c r="T662" i="10"/>
  <c r="T672" i="10"/>
  <c r="T681" i="10"/>
  <c r="T690" i="10"/>
  <c r="T699" i="10"/>
  <c r="T708" i="10"/>
  <c r="T717" i="10"/>
  <c r="T64" i="10"/>
  <c r="T80" i="10"/>
  <c r="T96" i="10"/>
  <c r="T112" i="10"/>
  <c r="T128" i="10"/>
  <c r="T144" i="10"/>
  <c r="T155" i="10"/>
  <c r="T169" i="10"/>
  <c r="T180" i="10"/>
  <c r="T193" i="10"/>
  <c r="T203" i="10"/>
  <c r="T213" i="10"/>
  <c r="T225" i="10"/>
  <c r="T234" i="10"/>
  <c r="T243" i="10"/>
  <c r="T252" i="10"/>
  <c r="T261" i="10"/>
  <c r="T270" i="10"/>
  <c r="T280" i="10"/>
  <c r="T298" i="10"/>
  <c r="T316" i="10"/>
  <c r="T325" i="10"/>
  <c r="T334" i="10"/>
  <c r="T353" i="10"/>
  <c r="T371" i="10"/>
  <c r="T380" i="10"/>
  <c r="T389" i="10"/>
  <c r="T398" i="10"/>
  <c r="T417" i="10"/>
  <c r="T435" i="10"/>
  <c r="T444" i="10"/>
  <c r="T453" i="10"/>
  <c r="T462" i="10"/>
  <c r="T472" i="10"/>
  <c r="T481" i="10"/>
  <c r="T490" i="10"/>
  <c r="T499" i="10"/>
  <c r="T508" i="10"/>
  <c r="T526" i="10"/>
  <c r="T536" i="10"/>
  <c r="T545" i="10"/>
  <c r="T554" i="10"/>
  <c r="T563" i="10"/>
  <c r="T572" i="10"/>
  <c r="T581" i="10"/>
  <c r="T590" i="10"/>
  <c r="T600" i="10"/>
  <c r="T609" i="10"/>
  <c r="T618" i="10"/>
  <c r="T627" i="10"/>
  <c r="R1035" i="10"/>
  <c r="R720" i="10"/>
  <c r="T54" i="10"/>
  <c r="T1046" i="10"/>
  <c r="T1038" i="10"/>
  <c r="T1030" i="10"/>
  <c r="T1022" i="10"/>
  <c r="T1014" i="10"/>
  <c r="T1006" i="10"/>
  <c r="T998" i="10"/>
  <c r="T990" i="10"/>
  <c r="T982" i="10"/>
  <c r="T974" i="10"/>
  <c r="T966" i="10"/>
  <c r="T958" i="10"/>
  <c r="T950" i="10"/>
  <c r="T942" i="10"/>
  <c r="T934" i="10"/>
  <c r="T926" i="10"/>
  <c r="T918" i="10"/>
  <c r="T910" i="10"/>
  <c r="T902" i="10"/>
  <c r="T894" i="10"/>
  <c r="T886" i="10"/>
  <c r="T878" i="10"/>
  <c r="T870" i="10"/>
  <c r="T855" i="10"/>
  <c r="T832" i="10"/>
  <c r="T814" i="10"/>
  <c r="T791" i="10"/>
  <c r="T768" i="10"/>
  <c r="T750" i="10"/>
  <c r="T726" i="10"/>
  <c r="T691" i="10"/>
  <c r="T654" i="10"/>
  <c r="T606" i="10"/>
  <c r="T542" i="10"/>
  <c r="T469" i="10"/>
  <c r="T396" i="10"/>
  <c r="T323" i="10"/>
  <c r="T250" i="10"/>
  <c r="T164" i="10"/>
  <c r="T1053" i="10"/>
  <c r="T1045" i="10"/>
  <c r="T1037" i="10"/>
  <c r="T1029" i="10"/>
  <c r="T1021" i="10"/>
  <c r="T1013" i="10"/>
  <c r="T1005" i="10"/>
  <c r="T997" i="10"/>
  <c r="T989" i="10"/>
  <c r="T981" i="10"/>
  <c r="T973" i="10"/>
  <c r="T965" i="10"/>
  <c r="T957" i="10"/>
  <c r="T949" i="10"/>
  <c r="T941" i="10"/>
  <c r="T933" i="10"/>
  <c r="T925" i="10"/>
  <c r="T917" i="10"/>
  <c r="T909" i="10"/>
  <c r="T901" i="10"/>
  <c r="T893" i="10"/>
  <c r="T885" i="10"/>
  <c r="T877" i="10"/>
  <c r="T869" i="10"/>
  <c r="T854" i="10"/>
  <c r="T831" i="10"/>
  <c r="T808" i="10"/>
  <c r="T790" i="10"/>
  <c r="T767" i="10"/>
  <c r="T744" i="10"/>
  <c r="T725" i="10"/>
  <c r="T689" i="10"/>
  <c r="T652" i="10"/>
  <c r="T597" i="10"/>
  <c r="T533" i="10"/>
  <c r="T460" i="10"/>
  <c r="T387" i="10"/>
  <c r="T314" i="10"/>
  <c r="T241" i="10"/>
  <c r="T153" i="10"/>
  <c r="R979" i="10"/>
  <c r="T1052" i="10"/>
  <c r="T1044" i="10"/>
  <c r="T1036" i="10"/>
  <c r="T1028" i="10"/>
  <c r="T1020" i="10"/>
  <c r="T1012" i="10"/>
  <c r="T1004" i="10"/>
  <c r="T996" i="10"/>
  <c r="T988" i="10"/>
  <c r="T980" i="10"/>
  <c r="T972" i="10"/>
  <c r="T964" i="10"/>
  <c r="T956" i="10"/>
  <c r="T948" i="10"/>
  <c r="T940" i="10"/>
  <c r="T932" i="10"/>
  <c r="T924" i="10"/>
  <c r="T916" i="10"/>
  <c r="T908" i="10"/>
  <c r="T900" i="10"/>
  <c r="T892" i="10"/>
  <c r="T884" i="10"/>
  <c r="T876" i="10"/>
  <c r="T866" i="10"/>
  <c r="T848" i="10"/>
  <c r="T830" i="10"/>
  <c r="T807" i="10"/>
  <c r="T784" i="10"/>
  <c r="T766" i="10"/>
  <c r="T743" i="10"/>
  <c r="T718" i="10"/>
  <c r="T682" i="10"/>
  <c r="T645" i="10"/>
  <c r="T588" i="10"/>
  <c r="T524" i="10"/>
  <c r="T451" i="10"/>
  <c r="T378" i="10"/>
  <c r="T305" i="10"/>
  <c r="T232" i="10"/>
  <c r="T138" i="10"/>
  <c r="R971" i="10"/>
  <c r="R907" i="10"/>
  <c r="R843" i="10"/>
  <c r="R779" i="10"/>
  <c r="R711" i="10"/>
  <c r="R630" i="10"/>
  <c r="R552" i="10"/>
  <c r="R423" i="10"/>
  <c r="R249" i="10"/>
  <c r="R80" i="10"/>
  <c r="R1027" i="10"/>
  <c r="R963" i="10"/>
  <c r="R899" i="10"/>
  <c r="R835" i="10"/>
  <c r="R771" i="10"/>
  <c r="R702" i="10"/>
  <c r="R618" i="10"/>
  <c r="R538" i="10"/>
  <c r="R400" i="10"/>
  <c r="R231" i="10"/>
  <c r="R57" i="10"/>
  <c r="D103" i="10"/>
  <c r="L103" i="10" s="1"/>
  <c r="R1019" i="10"/>
  <c r="R955" i="10"/>
  <c r="R891" i="10"/>
  <c r="R827" i="10"/>
  <c r="R763" i="10"/>
  <c r="R693" i="10"/>
  <c r="R608" i="10"/>
  <c r="R526" i="10"/>
  <c r="R377" i="10"/>
  <c r="R208" i="10"/>
  <c r="D576" i="10"/>
  <c r="L576" i="10" s="1"/>
  <c r="D177" i="10"/>
  <c r="L177" i="10" s="1"/>
  <c r="D578" i="10"/>
  <c r="L578" i="10" s="1"/>
  <c r="R1011" i="10"/>
  <c r="R947" i="10"/>
  <c r="R883" i="10"/>
  <c r="R819" i="10"/>
  <c r="R755" i="10"/>
  <c r="R682" i="10"/>
  <c r="R598" i="10"/>
  <c r="R510" i="10"/>
  <c r="R359" i="10"/>
  <c r="R185" i="10"/>
  <c r="D172" i="10"/>
  <c r="L172" i="10" s="1"/>
  <c r="D104" i="10"/>
  <c r="L104" i="10" s="1"/>
  <c r="D342" i="10"/>
  <c r="L342" i="10" s="1"/>
  <c r="D187" i="10"/>
  <c r="L187" i="10" s="1"/>
  <c r="D115" i="10"/>
  <c r="L115" i="10" s="1"/>
  <c r="D379" i="10"/>
  <c r="L379" i="10" s="1"/>
  <c r="C71" i="10"/>
  <c r="K71" i="10" s="1"/>
  <c r="R1003" i="10"/>
  <c r="R811" i="10"/>
  <c r="R747" i="10"/>
  <c r="R672" i="10"/>
  <c r="R586" i="10"/>
  <c r="R494" i="10"/>
  <c r="R167" i="10"/>
  <c r="D333" i="10"/>
  <c r="L333" i="10" s="1"/>
  <c r="D205" i="10"/>
  <c r="L205" i="10" s="1"/>
  <c r="D63" i="10"/>
  <c r="L63" i="10" s="1"/>
  <c r="D129" i="10"/>
  <c r="L129" i="10" s="1"/>
  <c r="D231" i="10"/>
  <c r="L231" i="10" s="1"/>
  <c r="D410" i="10"/>
  <c r="L410" i="10" s="1"/>
  <c r="D622" i="10"/>
  <c r="L622" i="10" s="1"/>
  <c r="C110" i="10"/>
  <c r="K110" i="10" s="1"/>
  <c r="R72" i="10"/>
  <c r="R1051" i="10"/>
  <c r="R995" i="10"/>
  <c r="R931" i="10"/>
  <c r="R867" i="10"/>
  <c r="R803" i="10"/>
  <c r="R738" i="10"/>
  <c r="R662" i="10"/>
  <c r="R478" i="10"/>
  <c r="R313" i="10"/>
  <c r="D874" i="10"/>
  <c r="L874" i="10" s="1"/>
  <c r="R66" i="10"/>
  <c r="R130" i="10"/>
  <c r="R138" i="10"/>
  <c r="R178" i="10"/>
  <c r="R218" i="10"/>
  <c r="R362" i="10"/>
  <c r="R402" i="10"/>
  <c r="R434" i="10"/>
  <c r="R530" i="10"/>
  <c r="R307" i="10"/>
  <c r="R315" i="10"/>
  <c r="R419" i="10"/>
  <c r="R364" i="10"/>
  <c r="R564" i="10"/>
  <c r="R636" i="10"/>
  <c r="R125" i="10"/>
  <c r="R621" i="10"/>
  <c r="R150" i="10"/>
  <c r="R238" i="10"/>
  <c r="R446" i="10"/>
  <c r="R383" i="10"/>
  <c r="R868" i="10"/>
  <c r="R192" i="10"/>
  <c r="R528" i="10"/>
  <c r="R773" i="10"/>
  <c r="R829" i="10"/>
  <c r="R878" i="10"/>
  <c r="R934" i="10"/>
  <c r="R958" i="10"/>
  <c r="R54" i="10"/>
  <c r="R409" i="10"/>
  <c r="R486" i="10"/>
  <c r="R799" i="10"/>
  <c r="R871" i="10"/>
  <c r="R200" i="10"/>
  <c r="R560" i="10"/>
  <c r="R647" i="10"/>
  <c r="R657" i="10"/>
  <c r="R824" i="10"/>
  <c r="R1024" i="10"/>
  <c r="R375" i="10"/>
  <c r="R550" i="10"/>
  <c r="R575" i="10"/>
  <c r="R207" i="10"/>
  <c r="R537" i="10"/>
  <c r="R701" i="10"/>
  <c r="R719" i="10"/>
  <c r="R818" i="10"/>
  <c r="R874" i="10"/>
  <c r="R946" i="10"/>
  <c r="R1042" i="10"/>
  <c r="R1043" i="10"/>
  <c r="R987" i="10"/>
  <c r="R923" i="10"/>
  <c r="R859" i="10"/>
  <c r="R795" i="10"/>
  <c r="R729" i="10"/>
  <c r="R650" i="10"/>
  <c r="R577" i="10"/>
  <c r="R462" i="10"/>
  <c r="R295" i="10"/>
  <c r="R121" i="10"/>
  <c r="R1050" i="10"/>
  <c r="R1034" i="10"/>
  <c r="R1026" i="10"/>
  <c r="R1018" i="10"/>
  <c r="R1010" i="10"/>
  <c r="R1002" i="10"/>
  <c r="R994" i="10"/>
  <c r="R986" i="10"/>
  <c r="R978" i="10"/>
  <c r="R970" i="10"/>
  <c r="R962" i="10"/>
  <c r="R954" i="10"/>
  <c r="R938" i="10"/>
  <c r="R930" i="10"/>
  <c r="R922" i="10"/>
  <c r="R914" i="10"/>
  <c r="R906" i="10"/>
  <c r="R898" i="10"/>
  <c r="R890" i="10"/>
  <c r="R882" i="10"/>
  <c r="R866" i="10"/>
  <c r="R858" i="10"/>
  <c r="R850" i="10"/>
  <c r="R842" i="10"/>
  <c r="R834" i="10"/>
  <c r="R826" i="10"/>
  <c r="R810" i="10"/>
  <c r="R802" i="10"/>
  <c r="R794" i="10"/>
  <c r="R786" i="10"/>
  <c r="R778" i="10"/>
  <c r="R770" i="10"/>
  <c r="R762" i="10"/>
  <c r="R754" i="10"/>
  <c r="R746" i="10"/>
  <c r="R737" i="10"/>
  <c r="R728" i="10"/>
  <c r="R710" i="10"/>
  <c r="R691" i="10"/>
  <c r="R681" i="10"/>
  <c r="R671" i="10"/>
  <c r="R659" i="10"/>
  <c r="R649" i="10"/>
  <c r="R639" i="10"/>
  <c r="R627" i="10"/>
  <c r="R617" i="10"/>
  <c r="R607" i="10"/>
  <c r="R595" i="10"/>
  <c r="R585" i="10"/>
  <c r="R576" i="10"/>
  <c r="R562" i="10"/>
  <c r="R551" i="10"/>
  <c r="R521" i="10"/>
  <c r="R505" i="10"/>
  <c r="R489" i="10"/>
  <c r="R473" i="10"/>
  <c r="R457" i="10"/>
  <c r="R440" i="10"/>
  <c r="R417" i="10"/>
  <c r="R399" i="10"/>
  <c r="R376" i="10"/>
  <c r="R353" i="10"/>
  <c r="R335" i="10"/>
  <c r="R312" i="10"/>
  <c r="R289" i="10"/>
  <c r="R271" i="10"/>
  <c r="R248" i="10"/>
  <c r="R225" i="10"/>
  <c r="R184" i="10"/>
  <c r="R161" i="10"/>
  <c r="R143" i="10"/>
  <c r="R120" i="10"/>
  <c r="R97" i="10"/>
  <c r="R79" i="10"/>
  <c r="R56" i="10"/>
  <c r="R1049" i="10"/>
  <c r="R1041" i="10"/>
  <c r="R1033" i="10"/>
  <c r="R1025" i="10"/>
  <c r="R1017" i="10"/>
  <c r="R1009" i="10"/>
  <c r="R1001" i="10"/>
  <c r="R993" i="10"/>
  <c r="R985" i="10"/>
  <c r="R977" i="10"/>
  <c r="R969" i="10"/>
  <c r="R961" i="10"/>
  <c r="R953" i="10"/>
  <c r="R945" i="10"/>
  <c r="R937" i="10"/>
  <c r="R929" i="10"/>
  <c r="R921" i="10"/>
  <c r="R913" i="10"/>
  <c r="R905" i="10"/>
  <c r="R897" i="10"/>
  <c r="R889" i="10"/>
  <c r="R881" i="10"/>
  <c r="R873" i="10"/>
  <c r="R865" i="10"/>
  <c r="R857" i="10"/>
  <c r="R849" i="10"/>
  <c r="R841" i="10"/>
  <c r="R833" i="10"/>
  <c r="R825" i="10"/>
  <c r="R817" i="10"/>
  <c r="R809" i="10"/>
  <c r="R801" i="10"/>
  <c r="R793" i="10"/>
  <c r="R785" i="10"/>
  <c r="R777" i="10"/>
  <c r="R769" i="10"/>
  <c r="R761" i="10"/>
  <c r="R753" i="10"/>
  <c r="R745" i="10"/>
  <c r="R736" i="10"/>
  <c r="R727" i="10"/>
  <c r="R718" i="10"/>
  <c r="R709" i="10"/>
  <c r="R699" i="10"/>
  <c r="R690" i="10"/>
  <c r="R680" i="10"/>
  <c r="R670" i="10"/>
  <c r="R658" i="10"/>
  <c r="R648" i="10"/>
  <c r="R638" i="10"/>
  <c r="R626" i="10"/>
  <c r="R616" i="10"/>
  <c r="R606" i="10"/>
  <c r="R594" i="10"/>
  <c r="R584" i="10"/>
  <c r="R561" i="10"/>
  <c r="R536" i="10"/>
  <c r="R520" i="10"/>
  <c r="R504" i="10"/>
  <c r="R488" i="10"/>
  <c r="R472" i="10"/>
  <c r="R456" i="10"/>
  <c r="R439" i="10"/>
  <c r="R416" i="10"/>
  <c r="R393" i="10"/>
  <c r="R352" i="10"/>
  <c r="R329" i="10"/>
  <c r="R311" i="10"/>
  <c r="R288" i="10"/>
  <c r="R265" i="10"/>
  <c r="R247" i="10"/>
  <c r="R224" i="10"/>
  <c r="R201" i="10"/>
  <c r="R183" i="10"/>
  <c r="R160" i="10"/>
  <c r="R137" i="10"/>
  <c r="R119" i="10"/>
  <c r="R96" i="10"/>
  <c r="R73" i="10"/>
  <c r="R55" i="10"/>
  <c r="R1048" i="10"/>
  <c r="R1040" i="10"/>
  <c r="R1032" i="10"/>
  <c r="R1016" i="10"/>
  <c r="R1008" i="10"/>
  <c r="R1000" i="10"/>
  <c r="R992" i="10"/>
  <c r="R984" i="10"/>
  <c r="R976" i="10"/>
  <c r="R968" i="10"/>
  <c r="R960" i="10"/>
  <c r="R952" i="10"/>
  <c r="R944" i="10"/>
  <c r="R936" i="10"/>
  <c r="R928" i="10"/>
  <c r="R920" i="10"/>
  <c r="R912" i="10"/>
  <c r="R904" i="10"/>
  <c r="R896" i="10"/>
  <c r="R888" i="10"/>
  <c r="R880" i="10"/>
  <c r="R872" i="10"/>
  <c r="R864" i="10"/>
  <c r="R856" i="10"/>
  <c r="R848" i="10"/>
  <c r="R840" i="10"/>
  <c r="R832" i="10"/>
  <c r="R816" i="10"/>
  <c r="R808" i="10"/>
  <c r="R800" i="10"/>
  <c r="R792" i="10"/>
  <c r="R784" i="10"/>
  <c r="R776" i="10"/>
  <c r="R768" i="10"/>
  <c r="R760" i="10"/>
  <c r="R752" i="10"/>
  <c r="R744" i="10"/>
  <c r="R735" i="10"/>
  <c r="R726" i="10"/>
  <c r="R717" i="10"/>
  <c r="R707" i="10"/>
  <c r="R698" i="10"/>
  <c r="R689" i="10"/>
  <c r="R679" i="10"/>
  <c r="R667" i="10"/>
  <c r="R635" i="10"/>
  <c r="R625" i="10"/>
  <c r="R615" i="10"/>
  <c r="R603" i="10"/>
  <c r="R593" i="10"/>
  <c r="R583" i="10"/>
  <c r="R574" i="10"/>
  <c r="R546" i="10"/>
  <c r="R535" i="10"/>
  <c r="R519" i="10"/>
  <c r="R503" i="10"/>
  <c r="R487" i="10"/>
  <c r="R471" i="10"/>
  <c r="R455" i="10"/>
  <c r="R433" i="10"/>
  <c r="R415" i="10"/>
  <c r="R392" i="10"/>
  <c r="R369" i="10"/>
  <c r="R351" i="10"/>
  <c r="R328" i="10"/>
  <c r="R305" i="10"/>
  <c r="R287" i="10"/>
  <c r="R264" i="10"/>
  <c r="R241" i="10"/>
  <c r="R223" i="10"/>
  <c r="R177" i="10"/>
  <c r="R159" i="10"/>
  <c r="R136" i="10"/>
  <c r="R113" i="10"/>
  <c r="R95" i="10"/>
  <c r="D898" i="10"/>
  <c r="L898" i="10" s="1"/>
  <c r="R58" i="10"/>
  <c r="R74" i="10"/>
  <c r="R82" i="10"/>
  <c r="R90" i="10"/>
  <c r="R98" i="10"/>
  <c r="R106" i="10"/>
  <c r="R114" i="10"/>
  <c r="R122" i="10"/>
  <c r="R146" i="10"/>
  <c r="R154" i="10"/>
  <c r="R162" i="10"/>
  <c r="R170" i="10"/>
  <c r="R186" i="10"/>
  <c r="R194" i="10"/>
  <c r="R202" i="10"/>
  <c r="R210" i="10"/>
  <c r="R226" i="10"/>
  <c r="R234" i="10"/>
  <c r="R242" i="10"/>
  <c r="R250" i="10"/>
  <c r="R258" i="10"/>
  <c r="R266" i="10"/>
  <c r="R274" i="10"/>
  <c r="R282" i="10"/>
  <c r="R290" i="10"/>
  <c r="R298" i="10"/>
  <c r="R306" i="10"/>
  <c r="R314" i="10"/>
  <c r="R322" i="10"/>
  <c r="R330" i="10"/>
  <c r="R338" i="10"/>
  <c r="R346" i="10"/>
  <c r="R354" i="10"/>
  <c r="R370" i="10"/>
  <c r="R378" i="10"/>
  <c r="R386" i="10"/>
  <c r="R394" i="10"/>
  <c r="R410" i="10"/>
  <c r="R418" i="10"/>
  <c r="R442" i="10"/>
  <c r="R450" i="10"/>
  <c r="R458" i="10"/>
  <c r="R466" i="10"/>
  <c r="R474" i="10"/>
  <c r="R482" i="10"/>
  <c r="R490" i="10"/>
  <c r="R498" i="10"/>
  <c r="R506" i="10"/>
  <c r="R514" i="10"/>
  <c r="R522" i="10"/>
  <c r="R59" i="10"/>
  <c r="R67" i="10"/>
  <c r="R75" i="10"/>
  <c r="R83" i="10"/>
  <c r="R91" i="10"/>
  <c r="R99" i="10"/>
  <c r="R107" i="10"/>
  <c r="R115" i="10"/>
  <c r="R123" i="10"/>
  <c r="R131" i="10"/>
  <c r="R139" i="10"/>
  <c r="R147" i="10"/>
  <c r="R155" i="10"/>
  <c r="R163" i="10"/>
  <c r="R171" i="10"/>
  <c r="R179" i="10"/>
  <c r="R187" i="10"/>
  <c r="R195" i="10"/>
  <c r="R203" i="10"/>
  <c r="R211" i="10"/>
  <c r="R219" i="10"/>
  <c r="R227" i="10"/>
  <c r="R235" i="10"/>
  <c r="R243" i="10"/>
  <c r="R251" i="10"/>
  <c r="R259" i="10"/>
  <c r="R267" i="10"/>
  <c r="R275" i="10"/>
  <c r="R283" i="10"/>
  <c r="R291" i="10"/>
  <c r="R299" i="10"/>
  <c r="R323" i="10"/>
  <c r="R331" i="10"/>
  <c r="R339" i="10"/>
  <c r="R347" i="10"/>
  <c r="R355" i="10"/>
  <c r="R363" i="10"/>
  <c r="R371" i="10"/>
  <c r="R379" i="10"/>
  <c r="R387" i="10"/>
  <c r="R395" i="10"/>
  <c r="R403" i="10"/>
  <c r="R411" i="10"/>
  <c r="R427" i="10"/>
  <c r="R435" i="10"/>
  <c r="R443" i="10"/>
  <c r="R451" i="10"/>
  <c r="R459" i="10"/>
  <c r="R467" i="10"/>
  <c r="R475" i="10"/>
  <c r="R483" i="10"/>
  <c r="R491" i="10"/>
  <c r="R499" i="10"/>
  <c r="R507" i="10"/>
  <c r="R515" i="10"/>
  <c r="R523" i="10"/>
  <c r="R531" i="10"/>
  <c r="R539" i="10"/>
  <c r="R547" i="10"/>
  <c r="R555" i="10"/>
  <c r="R563" i="10"/>
  <c r="R571" i="10"/>
  <c r="R60" i="10"/>
  <c r="R68" i="10"/>
  <c r="R76" i="10"/>
  <c r="R84" i="10"/>
  <c r="R92" i="10"/>
  <c r="R100" i="10"/>
  <c r="R108" i="10"/>
  <c r="R116" i="10"/>
  <c r="R124" i="10"/>
  <c r="R132" i="10"/>
  <c r="R140" i="10"/>
  <c r="R148" i="10"/>
  <c r="R156" i="10"/>
  <c r="R164" i="10"/>
  <c r="R172" i="10"/>
  <c r="R180" i="10"/>
  <c r="R196" i="10"/>
  <c r="R204" i="10"/>
  <c r="R212" i="10"/>
  <c r="R220" i="10"/>
  <c r="R228" i="10"/>
  <c r="R236" i="10"/>
  <c r="R244" i="10"/>
  <c r="R252" i="10"/>
  <c r="R260" i="10"/>
  <c r="R268" i="10"/>
  <c r="R276" i="10"/>
  <c r="R284" i="10"/>
  <c r="R292" i="10"/>
  <c r="R300" i="10"/>
  <c r="R308" i="10"/>
  <c r="R316" i="10"/>
  <c r="R324" i="10"/>
  <c r="R332" i="10"/>
  <c r="R340" i="10"/>
  <c r="R348" i="10"/>
  <c r="R356" i="10"/>
  <c r="R380" i="10"/>
  <c r="R388" i="10"/>
  <c r="R396" i="10"/>
  <c r="R404" i="10"/>
  <c r="R412" i="10"/>
  <c r="R420" i="10"/>
  <c r="R428" i="10"/>
  <c r="R436" i="10"/>
  <c r="R444" i="10"/>
  <c r="R452" i="10"/>
  <c r="R460" i="10"/>
  <c r="R468" i="10"/>
  <c r="R476" i="10"/>
  <c r="R484" i="10"/>
  <c r="R492" i="10"/>
  <c r="R500" i="10"/>
  <c r="R508" i="10"/>
  <c r="R516" i="10"/>
  <c r="R524" i="10"/>
  <c r="R532" i="10"/>
  <c r="R540" i="10"/>
  <c r="R548" i="10"/>
  <c r="R556" i="10"/>
  <c r="R572" i="10"/>
  <c r="R588" i="10"/>
  <c r="R596" i="10"/>
  <c r="R604" i="10"/>
  <c r="R612" i="10"/>
  <c r="R620" i="10"/>
  <c r="R628" i="10"/>
  <c r="R644" i="10"/>
  <c r="R652" i="10"/>
  <c r="R660" i="10"/>
  <c r="R668" i="10"/>
  <c r="R676" i="10"/>
  <c r="R684" i="10"/>
  <c r="R692" i="10"/>
  <c r="R700" i="10"/>
  <c r="R708" i="10"/>
  <c r="R716" i="10"/>
  <c r="R724" i="10"/>
  <c r="R732" i="10"/>
  <c r="R740" i="10"/>
  <c r="R61" i="10"/>
  <c r="R69" i="10"/>
  <c r="R77" i="10"/>
  <c r="R85" i="10"/>
  <c r="R93" i="10"/>
  <c r="R101" i="10"/>
  <c r="R109" i="10"/>
  <c r="R117" i="10"/>
  <c r="R133" i="10"/>
  <c r="R141" i="10"/>
  <c r="R149" i="10"/>
  <c r="R157" i="10"/>
  <c r="R165" i="10"/>
  <c r="R173" i="10"/>
  <c r="R181" i="10"/>
  <c r="R189" i="10"/>
  <c r="R197" i="10"/>
  <c r="R205" i="10"/>
  <c r="R213" i="10"/>
  <c r="R221" i="10"/>
  <c r="R229" i="10"/>
  <c r="R237" i="10"/>
  <c r="R245" i="10"/>
  <c r="R253" i="10"/>
  <c r="R261" i="10"/>
  <c r="R269" i="10"/>
  <c r="R277" i="10"/>
  <c r="R293" i="10"/>
  <c r="R301" i="10"/>
  <c r="R309" i="10"/>
  <c r="R317" i="10"/>
  <c r="R325" i="10"/>
  <c r="R333" i="10"/>
  <c r="R341" i="10"/>
  <c r="R349" i="10"/>
  <c r="R357" i="10"/>
  <c r="R365" i="10"/>
  <c r="R373" i="10"/>
  <c r="R381" i="10"/>
  <c r="R389" i="10"/>
  <c r="R397" i="10"/>
  <c r="R405" i="10"/>
  <c r="R413" i="10"/>
  <c r="R421" i="10"/>
  <c r="R429" i="10"/>
  <c r="R437" i="10"/>
  <c r="R445" i="10"/>
  <c r="R453" i="10"/>
  <c r="R461" i="10"/>
  <c r="R469" i="10"/>
  <c r="R477" i="10"/>
  <c r="R485" i="10"/>
  <c r="R493" i="10"/>
  <c r="R509" i="10"/>
  <c r="R525" i="10"/>
  <c r="R541" i="10"/>
  <c r="R549" i="10"/>
  <c r="R573" i="10"/>
  <c r="R581" i="10"/>
  <c r="R589" i="10"/>
  <c r="R597" i="10"/>
  <c r="R605" i="10"/>
  <c r="R613" i="10"/>
  <c r="R629" i="10"/>
  <c r="R637" i="10"/>
  <c r="R645" i="10"/>
  <c r="R653" i="10"/>
  <c r="R661" i="10"/>
  <c r="R669" i="10"/>
  <c r="R677" i="10"/>
  <c r="R685" i="10"/>
  <c r="R62" i="10"/>
  <c r="R70" i="10"/>
  <c r="R78" i="10"/>
  <c r="R86" i="10"/>
  <c r="R94" i="10"/>
  <c r="R102" i="10"/>
  <c r="R110" i="10"/>
  <c r="R118" i="10"/>
  <c r="R126" i="10"/>
  <c r="R134" i="10"/>
  <c r="R142" i="10"/>
  <c r="R158" i="10"/>
  <c r="R166" i="10"/>
  <c r="R174" i="10"/>
  <c r="R182" i="10"/>
  <c r="R190" i="10"/>
  <c r="R198" i="10"/>
  <c r="R206" i="10"/>
  <c r="R214" i="10"/>
  <c r="R222" i="10"/>
  <c r="R230" i="10"/>
  <c r="R246" i="10"/>
  <c r="R254" i="10"/>
  <c r="R262" i="10"/>
  <c r="R270" i="10"/>
  <c r="R278" i="10"/>
  <c r="R286" i="10"/>
  <c r="R294" i="10"/>
  <c r="R302" i="10"/>
  <c r="R310" i="10"/>
  <c r="R318" i="10"/>
  <c r="R326" i="10"/>
  <c r="R334" i="10"/>
  <c r="R342" i="10"/>
  <c r="R350" i="10"/>
  <c r="R358" i="10"/>
  <c r="R366" i="10"/>
  <c r="R374" i="10"/>
  <c r="R382" i="10"/>
  <c r="R390" i="10"/>
  <c r="R398" i="10"/>
  <c r="R406" i="10"/>
  <c r="R414" i="10"/>
  <c r="R422" i="10"/>
  <c r="R430" i="10"/>
  <c r="R438" i="10"/>
  <c r="R1047" i="10"/>
  <c r="R1039" i="10"/>
  <c r="R1023" i="10"/>
  <c r="R1015" i="10"/>
  <c r="R1007" i="10"/>
  <c r="R999" i="10"/>
  <c r="R991" i="10"/>
  <c r="R983" i="10"/>
  <c r="R975" i="10"/>
  <c r="R967" i="10"/>
  <c r="R959" i="10"/>
  <c r="R951" i="10"/>
  <c r="R943" i="10"/>
  <c r="R935" i="10"/>
  <c r="R927" i="10"/>
  <c r="R919" i="10"/>
  <c r="R911" i="10"/>
  <c r="R903" i="10"/>
  <c r="R895" i="10"/>
  <c r="R887" i="10"/>
  <c r="R879" i="10"/>
  <c r="R863" i="10"/>
  <c r="R855" i="10"/>
  <c r="R847" i="10"/>
  <c r="R839" i="10"/>
  <c r="R831" i="10"/>
  <c r="R823" i="10"/>
  <c r="R815" i="10"/>
  <c r="R807" i="10"/>
  <c r="R791" i="10"/>
  <c r="R783" i="10"/>
  <c r="R775" i="10"/>
  <c r="R767" i="10"/>
  <c r="R759" i="10"/>
  <c r="R751" i="10"/>
  <c r="R743" i="10"/>
  <c r="R734" i="10"/>
  <c r="R725" i="10"/>
  <c r="R715" i="10"/>
  <c r="R706" i="10"/>
  <c r="R697" i="10"/>
  <c r="R688" i="10"/>
  <c r="R678" i="10"/>
  <c r="R666" i="10"/>
  <c r="R656" i="10"/>
  <c r="R646" i="10"/>
  <c r="R634" i="10"/>
  <c r="R624" i="10"/>
  <c r="R614" i="10"/>
  <c r="R602" i="10"/>
  <c r="R592" i="10"/>
  <c r="R582" i="10"/>
  <c r="R570" i="10"/>
  <c r="R559" i="10"/>
  <c r="R545" i="10"/>
  <c r="R534" i="10"/>
  <c r="R518" i="10"/>
  <c r="R502" i="10"/>
  <c r="R470" i="10"/>
  <c r="R454" i="10"/>
  <c r="R432" i="10"/>
  <c r="R391" i="10"/>
  <c r="R368" i="10"/>
  <c r="R345" i="10"/>
  <c r="R327" i="10"/>
  <c r="R304" i="10"/>
  <c r="R281" i="10"/>
  <c r="R263" i="10"/>
  <c r="R240" i="10"/>
  <c r="R217" i="10"/>
  <c r="R199" i="10"/>
  <c r="R176" i="10"/>
  <c r="R153" i="10"/>
  <c r="R135" i="10"/>
  <c r="R112" i="10"/>
  <c r="R89" i="10"/>
  <c r="R71" i="10"/>
  <c r="R1046" i="10"/>
  <c r="R1038" i="10"/>
  <c r="R1030" i="10"/>
  <c r="R1022" i="10"/>
  <c r="R1014" i="10"/>
  <c r="R1006" i="10"/>
  <c r="R998" i="10"/>
  <c r="R990" i="10"/>
  <c r="R982" i="10"/>
  <c r="R974" i="10"/>
  <c r="R966" i="10"/>
  <c r="R950" i="10"/>
  <c r="R942" i="10"/>
  <c r="R926" i="10"/>
  <c r="R918" i="10"/>
  <c r="R910" i="10"/>
  <c r="R902" i="10"/>
  <c r="R894" i="10"/>
  <c r="R886" i="10"/>
  <c r="R870" i="10"/>
  <c r="R862" i="10"/>
  <c r="R854" i="10"/>
  <c r="R846" i="10"/>
  <c r="R838" i="10"/>
  <c r="R830" i="10"/>
  <c r="R822" i="10"/>
  <c r="R814" i="10"/>
  <c r="R806" i="10"/>
  <c r="R798" i="10"/>
  <c r="R790" i="10"/>
  <c r="R782" i="10"/>
  <c r="R774" i="10"/>
  <c r="R766" i="10"/>
  <c r="R758" i="10"/>
  <c r="R750" i="10"/>
  <c r="R742" i="10"/>
  <c r="R733" i="10"/>
  <c r="R723" i="10"/>
  <c r="R714" i="10"/>
  <c r="R705" i="10"/>
  <c r="R696" i="10"/>
  <c r="R687" i="10"/>
  <c r="R675" i="10"/>
  <c r="R665" i="10"/>
  <c r="R655" i="10"/>
  <c r="R643" i="10"/>
  <c r="R633" i="10"/>
  <c r="R623" i="10"/>
  <c r="R611" i="10"/>
  <c r="R601" i="10"/>
  <c r="R591" i="10"/>
  <c r="R569" i="10"/>
  <c r="R558" i="10"/>
  <c r="R544" i="10"/>
  <c r="R529" i="10"/>
  <c r="R513" i="10"/>
  <c r="R497" i="10"/>
  <c r="R481" i="10"/>
  <c r="R465" i="10"/>
  <c r="R449" i="10"/>
  <c r="R431" i="10"/>
  <c r="R385" i="10"/>
  <c r="R367" i="10"/>
  <c r="R344" i="10"/>
  <c r="R321" i="10"/>
  <c r="R303" i="10"/>
  <c r="R280" i="10"/>
  <c r="R257" i="10"/>
  <c r="R239" i="10"/>
  <c r="R216" i="10"/>
  <c r="R193" i="10"/>
  <c r="R175" i="10"/>
  <c r="R152" i="10"/>
  <c r="R129" i="10"/>
  <c r="R111" i="10"/>
  <c r="R88" i="10"/>
  <c r="R65" i="10"/>
  <c r="R426" i="10"/>
  <c r="R188" i="10"/>
  <c r="R372" i="10"/>
  <c r="R285" i="10"/>
  <c r="R517" i="10"/>
  <c r="R533" i="10"/>
  <c r="R557" i="10"/>
  <c r="R565" i="10"/>
  <c r="R1053" i="10"/>
  <c r="R1045" i="10"/>
  <c r="R1037" i="10"/>
  <c r="R1029" i="10"/>
  <c r="R1021" i="10"/>
  <c r="R1013" i="10"/>
  <c r="R1005" i="10"/>
  <c r="R997" i="10"/>
  <c r="R989" i="10"/>
  <c r="R981" i="10"/>
  <c r="R973" i="10"/>
  <c r="R965" i="10"/>
  <c r="R957" i="10"/>
  <c r="R949" i="10"/>
  <c r="R941" i="10"/>
  <c r="R933" i="10"/>
  <c r="R925" i="10"/>
  <c r="R917" i="10"/>
  <c r="R909" i="10"/>
  <c r="R901" i="10"/>
  <c r="R893" i="10"/>
  <c r="R885" i="10"/>
  <c r="R877" i="10"/>
  <c r="R869" i="10"/>
  <c r="R861" i="10"/>
  <c r="R853" i="10"/>
  <c r="R845" i="10"/>
  <c r="R837" i="10"/>
  <c r="R821" i="10"/>
  <c r="R813" i="10"/>
  <c r="R805" i="10"/>
  <c r="R797" i="10"/>
  <c r="R789" i="10"/>
  <c r="R781" i="10"/>
  <c r="R765" i="10"/>
  <c r="R757" i="10"/>
  <c r="R749" i="10"/>
  <c r="R741" i="10"/>
  <c r="R731" i="10"/>
  <c r="R722" i="10"/>
  <c r="R713" i="10"/>
  <c r="R704" i="10"/>
  <c r="R695" i="10"/>
  <c r="R686" i="10"/>
  <c r="R674" i="10"/>
  <c r="R664" i="10"/>
  <c r="R654" i="10"/>
  <c r="R642" i="10"/>
  <c r="R632" i="10"/>
  <c r="R622" i="10"/>
  <c r="R610" i="10"/>
  <c r="R600" i="10"/>
  <c r="R590" i="10"/>
  <c r="R579" i="10"/>
  <c r="R554" i="10"/>
  <c r="R543" i="10"/>
  <c r="R512" i="10"/>
  <c r="R496" i="10"/>
  <c r="R480" i="10"/>
  <c r="R464" i="10"/>
  <c r="R448" i="10"/>
  <c r="R425" i="10"/>
  <c r="R407" i="10"/>
  <c r="R384" i="10"/>
  <c r="R361" i="10"/>
  <c r="R343" i="10"/>
  <c r="R320" i="10"/>
  <c r="R297" i="10"/>
  <c r="R279" i="10"/>
  <c r="R256" i="10"/>
  <c r="R233" i="10"/>
  <c r="R215" i="10"/>
  <c r="R169" i="10"/>
  <c r="R151" i="10"/>
  <c r="R128" i="10"/>
  <c r="R105" i="10"/>
  <c r="R87" i="10"/>
  <c r="R64" i="10"/>
  <c r="R501" i="10"/>
  <c r="R1052" i="10"/>
  <c r="R1044" i="10"/>
  <c r="R1036" i="10"/>
  <c r="R1028" i="10"/>
  <c r="R1020" i="10"/>
  <c r="R1012" i="10"/>
  <c r="R1004" i="10"/>
  <c r="R996" i="10"/>
  <c r="R988" i="10"/>
  <c r="R980" i="10"/>
  <c r="R972" i="10"/>
  <c r="R964" i="10"/>
  <c r="R956" i="10"/>
  <c r="R948" i="10"/>
  <c r="R940" i="10"/>
  <c r="R932" i="10"/>
  <c r="R924" i="10"/>
  <c r="R916" i="10"/>
  <c r="R908" i="10"/>
  <c r="R900" i="10"/>
  <c r="R892" i="10"/>
  <c r="R884" i="10"/>
  <c r="R876" i="10"/>
  <c r="R860" i="10"/>
  <c r="R852" i="10"/>
  <c r="R844" i="10"/>
  <c r="R836" i="10"/>
  <c r="R828" i="10"/>
  <c r="R820" i="10"/>
  <c r="R812" i="10"/>
  <c r="R804" i="10"/>
  <c r="R796" i="10"/>
  <c r="R788" i="10"/>
  <c r="R780" i="10"/>
  <c r="R772" i="10"/>
  <c r="R764" i="10"/>
  <c r="R756" i="10"/>
  <c r="R748" i="10"/>
  <c r="R739" i="10"/>
  <c r="R730" i="10"/>
  <c r="R721" i="10"/>
  <c r="R712" i="10"/>
  <c r="R703" i="10"/>
  <c r="R694" i="10"/>
  <c r="R683" i="10"/>
  <c r="R673" i="10"/>
  <c r="R663" i="10"/>
  <c r="R651" i="10"/>
  <c r="R641" i="10"/>
  <c r="R631" i="10"/>
  <c r="R619" i="10"/>
  <c r="R609" i="10"/>
  <c r="R599" i="10"/>
  <c r="R587" i="10"/>
  <c r="R578" i="10"/>
  <c r="R567" i="10"/>
  <c r="R553" i="10"/>
  <c r="R542" i="10"/>
  <c r="R527" i="10"/>
  <c r="R511" i="10"/>
  <c r="R495" i="10"/>
  <c r="R479" i="10"/>
  <c r="R463" i="10"/>
  <c r="R447" i="10"/>
  <c r="R424" i="10"/>
  <c r="R401" i="10"/>
  <c r="R360" i="10"/>
  <c r="R337" i="10"/>
  <c r="R319" i="10"/>
  <c r="R296" i="10"/>
  <c r="R273" i="10"/>
  <c r="R255" i="10"/>
  <c r="R232" i="10"/>
  <c r="R209" i="10"/>
  <c r="R191" i="10"/>
  <c r="R168" i="10"/>
  <c r="R145" i="10"/>
  <c r="R127" i="10"/>
  <c r="R104" i="10"/>
  <c r="R81" i="10"/>
  <c r="R63" i="10"/>
  <c r="D74" i="10"/>
  <c r="L74" i="10" s="1"/>
  <c r="D105" i="10"/>
  <c r="L105" i="10" s="1"/>
  <c r="D144" i="10"/>
  <c r="L144" i="10" s="1"/>
  <c r="D189" i="10"/>
  <c r="L189" i="10" s="1"/>
  <c r="D266" i="10"/>
  <c r="L266" i="10" s="1"/>
  <c r="D356" i="10"/>
  <c r="L356" i="10" s="1"/>
  <c r="D458" i="10"/>
  <c r="L458" i="10" s="1"/>
  <c r="C239" i="10"/>
  <c r="K239" i="10" s="1"/>
  <c r="D78" i="10"/>
  <c r="L78" i="10" s="1"/>
  <c r="D114" i="10"/>
  <c r="L114" i="10" s="1"/>
  <c r="D145" i="10"/>
  <c r="L145" i="10" s="1"/>
  <c r="D195" i="10"/>
  <c r="L195" i="10" s="1"/>
  <c r="D274" i="10"/>
  <c r="L274" i="10" s="1"/>
  <c r="D364" i="10"/>
  <c r="L364" i="10" s="1"/>
  <c r="D468" i="10"/>
  <c r="L468" i="10" s="1"/>
  <c r="D608" i="10"/>
  <c r="L608" i="10" s="1"/>
  <c r="D1006" i="10"/>
  <c r="L1006" i="10" s="1"/>
  <c r="C363" i="10"/>
  <c r="K363" i="10" s="1"/>
  <c r="D949" i="10"/>
  <c r="L949" i="10" s="1"/>
  <c r="D489" i="10"/>
  <c r="L489" i="10" s="1"/>
  <c r="D88" i="10"/>
  <c r="L88" i="10" s="1"/>
  <c r="D119" i="10"/>
  <c r="L119" i="10" s="1"/>
  <c r="D156" i="10"/>
  <c r="L156" i="10" s="1"/>
  <c r="D211" i="10"/>
  <c r="L211" i="10" s="1"/>
  <c r="D297" i="10"/>
  <c r="L297" i="10" s="1"/>
  <c r="D387" i="10"/>
  <c r="L387" i="10" s="1"/>
  <c r="D507" i="10"/>
  <c r="L507" i="10" s="1"/>
  <c r="D656" i="10"/>
  <c r="L656" i="10" s="1"/>
  <c r="C658" i="10"/>
  <c r="K658" i="10" s="1"/>
  <c r="D89" i="10"/>
  <c r="L89" i="10" s="1"/>
  <c r="D128" i="10"/>
  <c r="L128" i="10" s="1"/>
  <c r="D161" i="10"/>
  <c r="L161" i="10" s="1"/>
  <c r="D223" i="10"/>
  <c r="L223" i="10" s="1"/>
  <c r="D311" i="10"/>
  <c r="L311" i="10" s="1"/>
  <c r="D400" i="10"/>
  <c r="L400" i="10" s="1"/>
  <c r="D530" i="10"/>
  <c r="L530" i="10" s="1"/>
  <c r="D661" i="10"/>
  <c r="L661" i="10" s="1"/>
  <c r="D190" i="10"/>
  <c r="L190" i="10" s="1"/>
  <c r="D206" i="10"/>
  <c r="L206" i="10" s="1"/>
  <c r="D225" i="10"/>
  <c r="L225" i="10" s="1"/>
  <c r="D246" i="10"/>
  <c r="L246" i="10" s="1"/>
  <c r="D267" i="10"/>
  <c r="L267" i="10" s="1"/>
  <c r="D291" i="10"/>
  <c r="L291" i="10" s="1"/>
  <c r="D312" i="10"/>
  <c r="L312" i="10" s="1"/>
  <c r="D334" i="10"/>
  <c r="L334" i="10" s="1"/>
  <c r="D358" i="10"/>
  <c r="L358" i="10" s="1"/>
  <c r="D380" i="10"/>
  <c r="L380" i="10" s="1"/>
  <c r="D401" i="10"/>
  <c r="L401" i="10" s="1"/>
  <c r="D435" i="10"/>
  <c r="L435" i="10" s="1"/>
  <c r="D466" i="10"/>
  <c r="L466" i="10" s="1"/>
  <c r="D492" i="10"/>
  <c r="L492" i="10" s="1"/>
  <c r="D541" i="10"/>
  <c r="L541" i="10" s="1"/>
  <c r="D577" i="10"/>
  <c r="L577" i="10" s="1"/>
  <c r="D609" i="10"/>
  <c r="L609" i="10" s="1"/>
  <c r="D660" i="10"/>
  <c r="L660" i="10" s="1"/>
  <c r="D769" i="10"/>
  <c r="L769" i="10" s="1"/>
  <c r="D864" i="10"/>
  <c r="L864" i="10" s="1"/>
  <c r="D1012" i="10"/>
  <c r="L1012" i="10" s="1"/>
  <c r="C95" i="10"/>
  <c r="K95" i="10" s="1"/>
  <c r="C216" i="10"/>
  <c r="K216" i="10" s="1"/>
  <c r="C436" i="10"/>
  <c r="K436" i="10" s="1"/>
  <c r="C591" i="10"/>
  <c r="K591" i="10" s="1"/>
  <c r="D55" i="10"/>
  <c r="L55" i="10" s="1"/>
  <c r="D66" i="10"/>
  <c r="L66" i="10" s="1"/>
  <c r="D80" i="10"/>
  <c r="L80" i="10" s="1"/>
  <c r="D94" i="10"/>
  <c r="L94" i="10" s="1"/>
  <c r="D106" i="10"/>
  <c r="L106" i="10" s="1"/>
  <c r="D120" i="10"/>
  <c r="L120" i="10" s="1"/>
  <c r="D131" i="10"/>
  <c r="L131" i="10" s="1"/>
  <c r="D146" i="10"/>
  <c r="L146" i="10" s="1"/>
  <c r="D162" i="10"/>
  <c r="L162" i="10" s="1"/>
  <c r="D178" i="10"/>
  <c r="L178" i="10" s="1"/>
  <c r="D196" i="10"/>
  <c r="L196" i="10" s="1"/>
  <c r="D212" i="10"/>
  <c r="L212" i="10" s="1"/>
  <c r="D233" i="10"/>
  <c r="L233" i="10" s="1"/>
  <c r="D254" i="10"/>
  <c r="L254" i="10" s="1"/>
  <c r="D275" i="10"/>
  <c r="L275" i="10" s="1"/>
  <c r="D299" i="10"/>
  <c r="L299" i="10" s="1"/>
  <c r="D321" i="10"/>
  <c r="L321" i="10" s="1"/>
  <c r="D343" i="10"/>
  <c r="L343" i="10" s="1"/>
  <c r="D366" i="10"/>
  <c r="L366" i="10" s="1"/>
  <c r="D388" i="10"/>
  <c r="L388" i="10" s="1"/>
  <c r="D411" i="10"/>
  <c r="L411" i="10" s="1"/>
  <c r="D445" i="10"/>
  <c r="L445" i="10" s="1"/>
  <c r="D469" i="10"/>
  <c r="L469" i="10" s="1"/>
  <c r="D508" i="10"/>
  <c r="L508" i="10" s="1"/>
  <c r="D543" i="10"/>
  <c r="L543" i="10" s="1"/>
  <c r="D624" i="10"/>
  <c r="L624" i="10" s="1"/>
  <c r="D679" i="10"/>
  <c r="L679" i="10" s="1"/>
  <c r="D777" i="10"/>
  <c r="L777" i="10" s="1"/>
  <c r="D905" i="10"/>
  <c r="L905" i="10" s="1"/>
  <c r="D1024" i="10"/>
  <c r="L1024" i="10" s="1"/>
  <c r="C112" i="10"/>
  <c r="K112" i="10" s="1"/>
  <c r="C253" i="10"/>
  <c r="K253" i="10" s="1"/>
  <c r="C483" i="10"/>
  <c r="K483" i="10" s="1"/>
  <c r="C690" i="10"/>
  <c r="K690" i="10" s="1"/>
  <c r="D56" i="10"/>
  <c r="L56" i="10" s="1"/>
  <c r="D70" i="10"/>
  <c r="L70" i="10" s="1"/>
  <c r="D81" i="10"/>
  <c r="L81" i="10" s="1"/>
  <c r="D95" i="10"/>
  <c r="L95" i="10" s="1"/>
  <c r="D107" i="10"/>
  <c r="L107" i="10" s="1"/>
  <c r="D121" i="10"/>
  <c r="L121" i="10" s="1"/>
  <c r="D135" i="10"/>
  <c r="L135" i="10" s="1"/>
  <c r="D147" i="10"/>
  <c r="L147" i="10" s="1"/>
  <c r="D163" i="10"/>
  <c r="L163" i="10" s="1"/>
  <c r="D179" i="10"/>
  <c r="L179" i="10" s="1"/>
  <c r="D197" i="10"/>
  <c r="L197" i="10" s="1"/>
  <c r="D213" i="10"/>
  <c r="L213" i="10" s="1"/>
  <c r="D234" i="10"/>
  <c r="L234" i="10" s="1"/>
  <c r="D255" i="10"/>
  <c r="L255" i="10" s="1"/>
  <c r="D277" i="10"/>
  <c r="L277" i="10" s="1"/>
  <c r="D300" i="10"/>
  <c r="L300" i="10" s="1"/>
  <c r="D322" i="10"/>
  <c r="L322" i="10" s="1"/>
  <c r="D346" i="10"/>
  <c r="L346" i="10" s="1"/>
  <c r="D367" i="10"/>
  <c r="L367" i="10" s="1"/>
  <c r="D389" i="10"/>
  <c r="L389" i="10" s="1"/>
  <c r="D413" i="10"/>
  <c r="L413" i="10" s="1"/>
  <c r="D446" i="10"/>
  <c r="L446" i="10" s="1"/>
  <c r="D477" i="10"/>
  <c r="L477" i="10" s="1"/>
  <c r="D509" i="10"/>
  <c r="L509" i="10" s="1"/>
  <c r="D558" i="10"/>
  <c r="L558" i="10" s="1"/>
  <c r="D590" i="10"/>
  <c r="L590" i="10" s="1"/>
  <c r="D625" i="10"/>
  <c r="L625" i="10" s="1"/>
  <c r="D686" i="10"/>
  <c r="L686" i="10" s="1"/>
  <c r="D809" i="10"/>
  <c r="L809" i="10" s="1"/>
  <c r="D906" i="10"/>
  <c r="L906" i="10" s="1"/>
  <c r="C118" i="10"/>
  <c r="K118" i="10" s="1"/>
  <c r="C255" i="10"/>
  <c r="K255" i="10" s="1"/>
  <c r="C485" i="10"/>
  <c r="K485" i="10" s="1"/>
  <c r="C717" i="10"/>
  <c r="K717" i="10" s="1"/>
  <c r="D57" i="10"/>
  <c r="L57" i="10" s="1"/>
  <c r="D71" i="10"/>
  <c r="L71" i="10" s="1"/>
  <c r="D82" i="10"/>
  <c r="L82" i="10" s="1"/>
  <c r="D96" i="10"/>
  <c r="L96" i="10" s="1"/>
  <c r="D111" i="10"/>
  <c r="L111" i="10" s="1"/>
  <c r="D122" i="10"/>
  <c r="L122" i="10" s="1"/>
  <c r="D136" i="10"/>
  <c r="L136" i="10" s="1"/>
  <c r="D148" i="10"/>
  <c r="L148" i="10" s="1"/>
  <c r="D164" i="10"/>
  <c r="L164" i="10" s="1"/>
  <c r="D180" i="10"/>
  <c r="L180" i="10" s="1"/>
  <c r="D198" i="10"/>
  <c r="L198" i="10" s="1"/>
  <c r="D214" i="10"/>
  <c r="L214" i="10" s="1"/>
  <c r="D235" i="10"/>
  <c r="L235" i="10" s="1"/>
  <c r="D257" i="10"/>
  <c r="L257" i="10" s="1"/>
  <c r="D278" i="10"/>
  <c r="L278" i="10" s="1"/>
  <c r="D301" i="10"/>
  <c r="L301" i="10" s="1"/>
  <c r="D324" i="10"/>
  <c r="L324" i="10" s="1"/>
  <c r="D347" i="10"/>
  <c r="L347" i="10" s="1"/>
  <c r="D368" i="10"/>
  <c r="L368" i="10" s="1"/>
  <c r="D391" i="10"/>
  <c r="L391" i="10" s="1"/>
  <c r="D422" i="10"/>
  <c r="L422" i="10" s="1"/>
  <c r="D448" i="10"/>
  <c r="L448" i="10" s="1"/>
  <c r="D478" i="10"/>
  <c r="L478" i="10" s="1"/>
  <c r="D524" i="10"/>
  <c r="L524" i="10" s="1"/>
  <c r="D559" i="10"/>
  <c r="L559" i="10" s="1"/>
  <c r="D592" i="10"/>
  <c r="L592" i="10" s="1"/>
  <c r="D638" i="10"/>
  <c r="L638" i="10" s="1"/>
  <c r="D687" i="10"/>
  <c r="L687" i="10" s="1"/>
  <c r="D816" i="10"/>
  <c r="L816" i="10" s="1"/>
  <c r="D940" i="10"/>
  <c r="L940" i="10" s="1"/>
  <c r="C55" i="10"/>
  <c r="K55" i="10" s="1"/>
  <c r="C146" i="10"/>
  <c r="K146" i="10" s="1"/>
  <c r="C309" i="10"/>
  <c r="K309" i="10" s="1"/>
  <c r="C766" i="10"/>
  <c r="K766" i="10" s="1"/>
  <c r="D58" i="10"/>
  <c r="L58" i="10" s="1"/>
  <c r="D72" i="10"/>
  <c r="L72" i="10" s="1"/>
  <c r="D86" i="10"/>
  <c r="L86" i="10" s="1"/>
  <c r="D98" i="10"/>
  <c r="L98" i="10" s="1"/>
  <c r="D112" i="10"/>
  <c r="L112" i="10" s="1"/>
  <c r="D123" i="10"/>
  <c r="L123" i="10" s="1"/>
  <c r="D138" i="10"/>
  <c r="L138" i="10" s="1"/>
  <c r="D153" i="10"/>
  <c r="L153" i="10" s="1"/>
  <c r="D169" i="10"/>
  <c r="L169" i="10" s="1"/>
  <c r="D185" i="10"/>
  <c r="L185" i="10" s="1"/>
  <c r="D203" i="10"/>
  <c r="L203" i="10" s="1"/>
  <c r="D221" i="10"/>
  <c r="L221" i="10" s="1"/>
  <c r="D242" i="10"/>
  <c r="L242" i="10" s="1"/>
  <c r="D263" i="10"/>
  <c r="L263" i="10" s="1"/>
  <c r="D286" i="10"/>
  <c r="L286" i="10" s="1"/>
  <c r="D308" i="10"/>
  <c r="L308" i="10" s="1"/>
  <c r="D330" i="10"/>
  <c r="L330" i="10" s="1"/>
  <c r="D354" i="10"/>
  <c r="L354" i="10" s="1"/>
  <c r="D376" i="10"/>
  <c r="L376" i="10" s="1"/>
  <c r="D397" i="10"/>
  <c r="L397" i="10" s="1"/>
  <c r="D423" i="10"/>
  <c r="L423" i="10" s="1"/>
  <c r="D456" i="10"/>
  <c r="L456" i="10" s="1"/>
  <c r="D481" i="10"/>
  <c r="L481" i="10" s="1"/>
  <c r="D525" i="10"/>
  <c r="L525" i="10" s="1"/>
  <c r="D560" i="10"/>
  <c r="L560" i="10" s="1"/>
  <c r="D593" i="10"/>
  <c r="L593" i="10" s="1"/>
  <c r="D641" i="10"/>
  <c r="L641" i="10" s="1"/>
  <c r="D727" i="10"/>
  <c r="L727" i="10" s="1"/>
  <c r="D817" i="10"/>
  <c r="L817" i="10" s="1"/>
  <c r="D948" i="10"/>
  <c r="L948" i="10" s="1"/>
  <c r="C156" i="10"/>
  <c r="K156" i="10" s="1"/>
  <c r="C340" i="10"/>
  <c r="K340" i="10" s="1"/>
  <c r="C544" i="10"/>
  <c r="K544" i="10" s="1"/>
  <c r="D62" i="10"/>
  <c r="L62" i="10" s="1"/>
  <c r="D73" i="10"/>
  <c r="L73" i="10" s="1"/>
  <c r="D87" i="10"/>
  <c r="L87" i="10" s="1"/>
  <c r="D99" i="10"/>
  <c r="L99" i="10" s="1"/>
  <c r="D113" i="10"/>
  <c r="L113" i="10" s="1"/>
  <c r="D127" i="10"/>
  <c r="L127" i="10" s="1"/>
  <c r="D139" i="10"/>
  <c r="L139" i="10" s="1"/>
  <c r="D154" i="10"/>
  <c r="L154" i="10" s="1"/>
  <c r="D170" i="10"/>
  <c r="L170" i="10" s="1"/>
  <c r="D186" i="10"/>
  <c r="L186" i="10" s="1"/>
  <c r="D204" i="10"/>
  <c r="L204" i="10" s="1"/>
  <c r="D222" i="10"/>
  <c r="L222" i="10" s="1"/>
  <c r="D243" i="10"/>
  <c r="L243" i="10" s="1"/>
  <c r="D265" i="10"/>
  <c r="L265" i="10" s="1"/>
  <c r="D287" i="10"/>
  <c r="L287" i="10" s="1"/>
  <c r="D309" i="10"/>
  <c r="L309" i="10" s="1"/>
  <c r="D332" i="10"/>
  <c r="L332" i="10" s="1"/>
  <c r="D355" i="10"/>
  <c r="L355" i="10" s="1"/>
  <c r="D377" i="10"/>
  <c r="L377" i="10" s="1"/>
  <c r="D399" i="10"/>
  <c r="L399" i="10" s="1"/>
  <c r="D424" i="10"/>
  <c r="L424" i="10" s="1"/>
  <c r="D457" i="10"/>
  <c r="L457" i="10" s="1"/>
  <c r="D490" i="10"/>
  <c r="L490" i="10" s="1"/>
  <c r="D526" i="10"/>
  <c r="L526" i="10" s="1"/>
  <c r="D564" i="10"/>
  <c r="L564" i="10" s="1"/>
  <c r="D606" i="10"/>
  <c r="L606" i="10" s="1"/>
  <c r="D642" i="10"/>
  <c r="L642" i="10" s="1"/>
  <c r="D729" i="10"/>
  <c r="L729" i="10" s="1"/>
  <c r="D856" i="10"/>
  <c r="L856" i="10" s="1"/>
  <c r="C70" i="10"/>
  <c r="K70" i="10" s="1"/>
  <c r="C164" i="10"/>
  <c r="K164" i="10" s="1"/>
  <c r="C347" i="10"/>
  <c r="K347" i="10" s="1"/>
  <c r="C567" i="10"/>
  <c r="K567" i="10" s="1"/>
  <c r="D1052" i="10"/>
  <c r="L1052" i="10" s="1"/>
  <c r="D1050" i="10"/>
  <c r="L1050" i="10" s="1"/>
  <c r="D1034" i="10"/>
  <c r="L1034" i="10" s="1"/>
  <c r="D1021" i="10"/>
  <c r="L1021" i="10" s="1"/>
  <c r="D1005" i="10"/>
  <c r="L1005" i="10" s="1"/>
  <c r="D989" i="10"/>
  <c r="L989" i="10" s="1"/>
  <c r="D971" i="10"/>
  <c r="L971" i="10" s="1"/>
  <c r="D961" i="10"/>
  <c r="L961" i="10" s="1"/>
  <c r="D953" i="10"/>
  <c r="L953" i="10" s="1"/>
  <c r="D936" i="10"/>
  <c r="L936" i="10" s="1"/>
  <c r="D928" i="10"/>
  <c r="L928" i="10" s="1"/>
  <c r="D920" i="10"/>
  <c r="L920" i="10" s="1"/>
  <c r="D912" i="10"/>
  <c r="L912" i="10" s="1"/>
  <c r="D904" i="10"/>
  <c r="L904" i="10" s="1"/>
  <c r="D896" i="10"/>
  <c r="L896" i="10" s="1"/>
  <c r="D888" i="10"/>
  <c r="L888" i="10" s="1"/>
  <c r="D880" i="10"/>
  <c r="L880" i="10" s="1"/>
  <c r="D863" i="10"/>
  <c r="L863" i="10" s="1"/>
  <c r="D855" i="10"/>
  <c r="L855" i="10" s="1"/>
  <c r="D847" i="10"/>
  <c r="L847" i="10" s="1"/>
  <c r="D838" i="10"/>
  <c r="L838" i="10" s="1"/>
  <c r="D830" i="10"/>
  <c r="L830" i="10" s="1"/>
  <c r="D822" i="10"/>
  <c r="L822" i="10" s="1"/>
  <c r="D814" i="10"/>
  <c r="L814" i="10" s="1"/>
  <c r="D806" i="10"/>
  <c r="L806" i="10" s="1"/>
  <c r="D791" i="10"/>
  <c r="L791" i="10" s="1"/>
  <c r="D783" i="10"/>
  <c r="L783" i="10" s="1"/>
  <c r="D775" i="10"/>
  <c r="L775" i="10" s="1"/>
  <c r="D767" i="10"/>
  <c r="L767" i="10" s="1"/>
  <c r="D759" i="10"/>
  <c r="L759" i="10" s="1"/>
  <c r="D751" i="10"/>
  <c r="L751" i="10" s="1"/>
  <c r="D743" i="10"/>
  <c r="L743" i="10" s="1"/>
  <c r="D735" i="10"/>
  <c r="L735" i="10" s="1"/>
  <c r="D726" i="10"/>
  <c r="L726" i="10" s="1"/>
  <c r="D718" i="10"/>
  <c r="L718" i="10" s="1"/>
  <c r="D710" i="10"/>
  <c r="L710" i="10" s="1"/>
  <c r="D700" i="10"/>
  <c r="L700" i="10" s="1"/>
  <c r="D692" i="10"/>
  <c r="L692" i="10" s="1"/>
  <c r="D684" i="10"/>
  <c r="L684" i="10" s="1"/>
  <c r="D1047" i="10"/>
  <c r="L1047" i="10" s="1"/>
  <c r="D1020" i="10"/>
  <c r="L1020" i="10" s="1"/>
  <c r="D1004" i="10"/>
  <c r="L1004" i="10" s="1"/>
  <c r="D988" i="10"/>
  <c r="L988" i="10" s="1"/>
  <c r="D970" i="10"/>
  <c r="L970" i="10" s="1"/>
  <c r="D960" i="10"/>
  <c r="L960" i="10" s="1"/>
  <c r="D952" i="10"/>
  <c r="L952" i="10" s="1"/>
  <c r="D945" i="10"/>
  <c r="L945" i="10" s="1"/>
  <c r="D935" i="10"/>
  <c r="L935" i="10" s="1"/>
  <c r="D927" i="10"/>
  <c r="L927" i="10" s="1"/>
  <c r="D919" i="10"/>
  <c r="L919" i="10" s="1"/>
  <c r="D911" i="10"/>
  <c r="L911" i="10" s="1"/>
  <c r="D903" i="10"/>
  <c r="L903" i="10" s="1"/>
  <c r="D895" i="10"/>
  <c r="L895" i="10" s="1"/>
  <c r="D887" i="10"/>
  <c r="L887" i="10" s="1"/>
  <c r="D879" i="10"/>
  <c r="L879" i="10" s="1"/>
  <c r="D870" i="10"/>
  <c r="L870" i="10" s="1"/>
  <c r="D862" i="10"/>
  <c r="L862" i="10" s="1"/>
  <c r="D854" i="10"/>
  <c r="L854" i="10" s="1"/>
  <c r="D846" i="10"/>
  <c r="L846" i="10" s="1"/>
  <c r="D837" i="10"/>
  <c r="L837" i="10" s="1"/>
  <c r="D821" i="10"/>
  <c r="L821" i="10" s="1"/>
  <c r="D813" i="10"/>
  <c r="L813" i="10" s="1"/>
  <c r="D805" i="10"/>
  <c r="L805" i="10" s="1"/>
  <c r="D798" i="10"/>
  <c r="L798" i="10" s="1"/>
  <c r="D790" i="10"/>
  <c r="L790" i="10" s="1"/>
  <c r="D782" i="10"/>
  <c r="L782" i="10" s="1"/>
  <c r="D774" i="10"/>
  <c r="L774" i="10" s="1"/>
  <c r="D766" i="10"/>
  <c r="L766" i="10" s="1"/>
  <c r="D758" i="10"/>
  <c r="L758" i="10" s="1"/>
  <c r="D750" i="10"/>
  <c r="L750" i="10" s="1"/>
  <c r="D742" i="10"/>
  <c r="L742" i="10" s="1"/>
  <c r="D734" i="10"/>
  <c r="L734" i="10" s="1"/>
  <c r="D725" i="10"/>
  <c r="L725" i="10" s="1"/>
  <c r="D717" i="10"/>
  <c r="L717" i="10" s="1"/>
  <c r="D709" i="10"/>
  <c r="L709" i="10" s="1"/>
  <c r="D699" i="10"/>
  <c r="L699" i="10" s="1"/>
  <c r="D691" i="10"/>
  <c r="L691" i="10" s="1"/>
  <c r="D683" i="10"/>
  <c r="L683" i="10" s="1"/>
  <c r="D675" i="10"/>
  <c r="L675" i="10" s="1"/>
  <c r="D667" i="10"/>
  <c r="L667" i="10" s="1"/>
  <c r="D659" i="10"/>
  <c r="L659" i="10" s="1"/>
  <c r="D1046" i="10"/>
  <c r="L1046" i="10" s="1"/>
  <c r="D1030" i="10"/>
  <c r="L1030" i="10" s="1"/>
  <c r="D1017" i="10"/>
  <c r="L1017" i="10" s="1"/>
  <c r="D1001" i="10"/>
  <c r="L1001" i="10" s="1"/>
  <c r="D987" i="10"/>
  <c r="L987" i="10" s="1"/>
  <c r="D967" i="10"/>
  <c r="L967" i="10" s="1"/>
  <c r="D959" i="10"/>
  <c r="L959" i="10" s="1"/>
  <c r="D944" i="10"/>
  <c r="L944" i="10" s="1"/>
  <c r="D926" i="10"/>
  <c r="L926" i="10" s="1"/>
  <c r="D918" i="10"/>
  <c r="L918" i="10" s="1"/>
  <c r="D910" i="10"/>
  <c r="L910" i="10" s="1"/>
  <c r="D902" i="10"/>
  <c r="L902" i="10" s="1"/>
  <c r="D894" i="10"/>
  <c r="L894" i="10" s="1"/>
  <c r="D886" i="10"/>
  <c r="L886" i="10" s="1"/>
  <c r="D869" i="10"/>
  <c r="L869" i="10" s="1"/>
  <c r="D861" i="10"/>
  <c r="L861" i="10" s="1"/>
  <c r="D853" i="10"/>
  <c r="L853" i="10" s="1"/>
  <c r="D845" i="10"/>
  <c r="L845" i="10" s="1"/>
  <c r="D836" i="10"/>
  <c r="L836" i="10" s="1"/>
  <c r="D828" i="10"/>
  <c r="L828" i="10" s="1"/>
  <c r="D820" i="10"/>
  <c r="L820" i="10" s="1"/>
  <c r="D812" i="10"/>
  <c r="L812" i="10" s="1"/>
  <c r="D804" i="10"/>
  <c r="L804" i="10" s="1"/>
  <c r="D797" i="10"/>
  <c r="L797" i="10" s="1"/>
  <c r="D789" i="10"/>
  <c r="L789" i="10" s="1"/>
  <c r="D781" i="10"/>
  <c r="L781" i="10" s="1"/>
  <c r="D765" i="10"/>
  <c r="L765" i="10" s="1"/>
  <c r="D757" i="10"/>
  <c r="L757" i="10" s="1"/>
  <c r="D749" i="10"/>
  <c r="L749" i="10" s="1"/>
  <c r="D741" i="10"/>
  <c r="L741" i="10" s="1"/>
  <c r="D732" i="10"/>
  <c r="L732" i="10" s="1"/>
  <c r="D724" i="10"/>
  <c r="L724" i="10" s="1"/>
  <c r="D716" i="10"/>
  <c r="L716" i="10" s="1"/>
  <c r="D708" i="10"/>
  <c r="L708" i="10" s="1"/>
  <c r="D698" i="10"/>
  <c r="L698" i="10" s="1"/>
  <c r="D690" i="10"/>
  <c r="L690" i="10" s="1"/>
  <c r="D682" i="10"/>
  <c r="L682" i="10" s="1"/>
  <c r="D674" i="10"/>
  <c r="L674" i="10" s="1"/>
  <c r="D666" i="10"/>
  <c r="L666" i="10" s="1"/>
  <c r="D1045" i="10"/>
  <c r="L1045" i="10" s="1"/>
  <c r="D1029" i="10"/>
  <c r="L1029" i="10" s="1"/>
  <c r="D1014" i="10"/>
  <c r="L1014" i="10" s="1"/>
  <c r="D998" i="10"/>
  <c r="L998" i="10" s="1"/>
  <c r="D984" i="10"/>
  <c r="L984" i="10" s="1"/>
  <c r="D966" i="10"/>
  <c r="L966" i="10" s="1"/>
  <c r="D951" i="10"/>
  <c r="L951" i="10" s="1"/>
  <c r="D943" i="10"/>
  <c r="L943" i="10" s="1"/>
  <c r="D933" i="10"/>
  <c r="L933" i="10" s="1"/>
  <c r="D925" i="10"/>
  <c r="L925" i="10" s="1"/>
  <c r="D917" i="10"/>
  <c r="L917" i="10" s="1"/>
  <c r="D909" i="10"/>
  <c r="L909" i="10" s="1"/>
  <c r="D901" i="10"/>
  <c r="L901" i="10" s="1"/>
  <c r="D893" i="10"/>
  <c r="L893" i="10" s="1"/>
  <c r="D885" i="10"/>
  <c r="L885" i="10" s="1"/>
  <c r="D877" i="10"/>
  <c r="L877" i="10" s="1"/>
  <c r="D860" i="10"/>
  <c r="L860" i="10" s="1"/>
  <c r="D852" i="10"/>
  <c r="L852" i="10" s="1"/>
  <c r="D844" i="10"/>
  <c r="L844" i="10" s="1"/>
  <c r="D835" i="10"/>
  <c r="L835" i="10" s="1"/>
  <c r="D827" i="10"/>
  <c r="L827" i="10" s="1"/>
  <c r="D819" i="10"/>
  <c r="L819" i="10" s="1"/>
  <c r="D811" i="10"/>
  <c r="L811" i="10" s="1"/>
  <c r="D796" i="10"/>
  <c r="L796" i="10" s="1"/>
  <c r="D788" i="10"/>
  <c r="L788" i="10" s="1"/>
  <c r="D780" i="10"/>
  <c r="L780" i="10" s="1"/>
  <c r="D772" i="10"/>
  <c r="L772" i="10" s="1"/>
  <c r="D764" i="10"/>
  <c r="L764" i="10" s="1"/>
  <c r="D756" i="10"/>
  <c r="L756" i="10" s="1"/>
  <c r="D748" i="10"/>
  <c r="L748" i="10" s="1"/>
  <c r="D740" i="10"/>
  <c r="L740" i="10" s="1"/>
  <c r="D731" i="10"/>
  <c r="L731" i="10" s="1"/>
  <c r="D723" i="10"/>
  <c r="L723" i="10" s="1"/>
  <c r="D715" i="10"/>
  <c r="L715" i="10" s="1"/>
  <c r="D706" i="10"/>
  <c r="L706" i="10" s="1"/>
  <c r="D697" i="10"/>
  <c r="L697" i="10" s="1"/>
  <c r="D689" i="10"/>
  <c r="L689" i="10" s="1"/>
  <c r="D681" i="10"/>
  <c r="L681" i="10" s="1"/>
  <c r="D673" i="10"/>
  <c r="L673" i="10" s="1"/>
  <c r="D1013" i="10"/>
  <c r="L1013" i="10" s="1"/>
  <c r="D997" i="10"/>
  <c r="L997" i="10" s="1"/>
  <c r="D980" i="10"/>
  <c r="L980" i="10" s="1"/>
  <c r="D965" i="10"/>
  <c r="L965" i="10" s="1"/>
  <c r="D957" i="10"/>
  <c r="L957" i="10" s="1"/>
  <c r="D950" i="10"/>
  <c r="L950" i="10" s="1"/>
  <c r="D942" i="10"/>
  <c r="L942" i="10" s="1"/>
  <c r="D932" i="10"/>
  <c r="L932" i="10" s="1"/>
  <c r="D924" i="10"/>
  <c r="L924" i="10" s="1"/>
  <c r="D916" i="10"/>
  <c r="L916" i="10" s="1"/>
  <c r="D908" i="10"/>
  <c r="L908" i="10" s="1"/>
  <c r="D900" i="10"/>
  <c r="L900" i="10" s="1"/>
  <c r="D892" i="10"/>
  <c r="L892" i="10" s="1"/>
  <c r="D884" i="10"/>
  <c r="L884" i="10" s="1"/>
  <c r="D876" i="10"/>
  <c r="L876" i="10" s="1"/>
  <c r="D867" i="10"/>
  <c r="L867" i="10" s="1"/>
  <c r="D859" i="10"/>
  <c r="L859" i="10" s="1"/>
  <c r="D851" i="10"/>
  <c r="L851" i="10" s="1"/>
  <c r="D843" i="10"/>
  <c r="L843" i="10" s="1"/>
  <c r="D834" i="10"/>
  <c r="L834" i="10" s="1"/>
  <c r="D826" i="10"/>
  <c r="L826" i="10" s="1"/>
  <c r="D810" i="10"/>
  <c r="L810" i="10" s="1"/>
  <c r="D803" i="10"/>
  <c r="L803" i="10" s="1"/>
  <c r="D795" i="10"/>
  <c r="L795" i="10" s="1"/>
  <c r="D787" i="10"/>
  <c r="L787" i="10" s="1"/>
  <c r="D779" i="10"/>
  <c r="L779" i="10" s="1"/>
  <c r="D771" i="10"/>
  <c r="L771" i="10" s="1"/>
  <c r="D763" i="10"/>
  <c r="L763" i="10" s="1"/>
  <c r="D755" i="10"/>
  <c r="L755" i="10" s="1"/>
  <c r="D747" i="10"/>
  <c r="L747" i="10" s="1"/>
  <c r="D739" i="10"/>
  <c r="L739" i="10" s="1"/>
  <c r="D730" i="10"/>
  <c r="L730" i="10" s="1"/>
  <c r="D722" i="10"/>
  <c r="L722" i="10" s="1"/>
  <c r="D714" i="10"/>
  <c r="L714" i="10" s="1"/>
  <c r="D705" i="10"/>
  <c r="L705" i="10" s="1"/>
  <c r="D696" i="10"/>
  <c r="L696" i="10" s="1"/>
  <c r="D688" i="10"/>
  <c r="L688" i="10" s="1"/>
  <c r="D680" i="10"/>
  <c r="L680" i="10" s="1"/>
  <c r="D1039" i="10"/>
  <c r="L1039" i="10" s="1"/>
  <c r="D1009" i="10"/>
  <c r="L1009" i="10" s="1"/>
  <c r="D964" i="10"/>
  <c r="L964" i="10" s="1"/>
  <c r="D947" i="10"/>
  <c r="L947" i="10" s="1"/>
  <c r="D922" i="10"/>
  <c r="L922" i="10" s="1"/>
  <c r="D899" i="10"/>
  <c r="L899" i="10" s="1"/>
  <c r="D881" i="10"/>
  <c r="L881" i="10" s="1"/>
  <c r="D857" i="10"/>
  <c r="L857" i="10" s="1"/>
  <c r="D833" i="10"/>
  <c r="L833" i="10" s="1"/>
  <c r="D815" i="10"/>
  <c r="L815" i="10" s="1"/>
  <c r="D793" i="10"/>
  <c r="L793" i="10" s="1"/>
  <c r="D770" i="10"/>
  <c r="L770" i="10" s="1"/>
  <c r="D752" i="10"/>
  <c r="L752" i="10" s="1"/>
  <c r="D728" i="10"/>
  <c r="L728" i="10" s="1"/>
  <c r="D704" i="10"/>
  <c r="L704" i="10" s="1"/>
  <c r="D685" i="10"/>
  <c r="L685" i="10" s="1"/>
  <c r="D669" i="10"/>
  <c r="L669" i="10" s="1"/>
  <c r="D648" i="10"/>
  <c r="L648" i="10" s="1"/>
  <c r="D640" i="10"/>
  <c r="L640" i="10" s="1"/>
  <c r="D631" i="10"/>
  <c r="L631" i="10" s="1"/>
  <c r="D623" i="10"/>
  <c r="L623" i="10" s="1"/>
  <c r="D615" i="10"/>
  <c r="L615" i="10" s="1"/>
  <c r="D607" i="10"/>
  <c r="L607" i="10" s="1"/>
  <c r="D599" i="10"/>
  <c r="L599" i="10" s="1"/>
  <c r="D591" i="10"/>
  <c r="L591" i="10" s="1"/>
  <c r="D583" i="10"/>
  <c r="L583" i="10" s="1"/>
  <c r="D566" i="10"/>
  <c r="L566" i="10" s="1"/>
  <c r="D556" i="10"/>
  <c r="L556" i="10" s="1"/>
  <c r="D548" i="10"/>
  <c r="L548" i="10" s="1"/>
  <c r="D540" i="10"/>
  <c r="L540" i="10" s="1"/>
  <c r="D531" i="10"/>
  <c r="L531" i="10" s="1"/>
  <c r="D523" i="10"/>
  <c r="L523" i="10" s="1"/>
  <c r="D514" i="10"/>
  <c r="L514" i="10" s="1"/>
  <c r="D506" i="10"/>
  <c r="L506" i="10" s="1"/>
  <c r="D497" i="10"/>
  <c r="L497" i="10" s="1"/>
  <c r="D488" i="10"/>
  <c r="L488" i="10" s="1"/>
  <c r="D479" i="10"/>
  <c r="L479" i="10" s="1"/>
  <c r="D471" i="10"/>
  <c r="L471" i="10" s="1"/>
  <c r="D463" i="10"/>
  <c r="L463" i="10" s="1"/>
  <c r="D455" i="10"/>
  <c r="L455" i="10" s="1"/>
  <c r="D447" i="10"/>
  <c r="L447" i="10" s="1"/>
  <c r="D438" i="10"/>
  <c r="L438" i="10" s="1"/>
  <c r="D430" i="10"/>
  <c r="L430" i="10" s="1"/>
  <c r="D421" i="10"/>
  <c r="L421" i="10" s="1"/>
  <c r="D412" i="10"/>
  <c r="L412" i="10" s="1"/>
  <c r="D394" i="10"/>
  <c r="L394" i="10" s="1"/>
  <c r="D386" i="10"/>
  <c r="L386" i="10" s="1"/>
  <c r="D378" i="10"/>
  <c r="L378" i="10" s="1"/>
  <c r="D369" i="10"/>
  <c r="L369" i="10" s="1"/>
  <c r="D361" i="10"/>
  <c r="L361" i="10" s="1"/>
  <c r="D353" i="10"/>
  <c r="L353" i="10" s="1"/>
  <c r="D345" i="10"/>
  <c r="L345" i="10" s="1"/>
  <c r="D335" i="10"/>
  <c r="L335" i="10" s="1"/>
  <c r="D327" i="10"/>
  <c r="L327" i="10" s="1"/>
  <c r="D318" i="10"/>
  <c r="L318" i="10" s="1"/>
  <c r="D310" i="10"/>
  <c r="L310" i="10" s="1"/>
  <c r="D302" i="10"/>
  <c r="L302" i="10" s="1"/>
  <c r="D294" i="10"/>
  <c r="L294" i="10" s="1"/>
  <c r="D284" i="10"/>
  <c r="L284" i="10" s="1"/>
  <c r="D276" i="10"/>
  <c r="L276" i="10" s="1"/>
  <c r="D268" i="10"/>
  <c r="L268" i="10" s="1"/>
  <c r="D260" i="10"/>
  <c r="L260" i="10" s="1"/>
  <c r="D252" i="10"/>
  <c r="L252" i="10" s="1"/>
  <c r="D244" i="10"/>
  <c r="L244" i="10" s="1"/>
  <c r="D236" i="10"/>
  <c r="L236" i="10" s="1"/>
  <c r="D228" i="10"/>
  <c r="L228" i="10" s="1"/>
  <c r="D220" i="10"/>
  <c r="L220" i="10" s="1"/>
  <c r="D1037" i="10"/>
  <c r="L1037" i="10" s="1"/>
  <c r="D996" i="10"/>
  <c r="L996" i="10" s="1"/>
  <c r="D962" i="10"/>
  <c r="L962" i="10" s="1"/>
  <c r="D938" i="10"/>
  <c r="L938" i="10" s="1"/>
  <c r="D915" i="10"/>
  <c r="L915" i="10" s="1"/>
  <c r="D897" i="10"/>
  <c r="L897" i="10" s="1"/>
  <c r="D873" i="10"/>
  <c r="L873" i="10" s="1"/>
  <c r="D850" i="10"/>
  <c r="L850" i="10" s="1"/>
  <c r="D831" i="10"/>
  <c r="L831" i="10" s="1"/>
  <c r="D808" i="10"/>
  <c r="L808" i="10" s="1"/>
  <c r="D786" i="10"/>
  <c r="L786" i="10" s="1"/>
  <c r="D768" i="10"/>
  <c r="L768" i="10" s="1"/>
  <c r="D745" i="10"/>
  <c r="L745" i="10" s="1"/>
  <c r="D721" i="10"/>
  <c r="L721" i="10" s="1"/>
  <c r="D678" i="10"/>
  <c r="L678" i="10" s="1"/>
  <c r="D665" i="10"/>
  <c r="L665" i="10" s="1"/>
  <c r="D655" i="10"/>
  <c r="L655" i="10" s="1"/>
  <c r="D646" i="10"/>
  <c r="L646" i="10" s="1"/>
  <c r="D637" i="10"/>
  <c r="L637" i="10" s="1"/>
  <c r="D629" i="10"/>
  <c r="L629" i="10" s="1"/>
  <c r="D613" i="10"/>
  <c r="L613" i="10" s="1"/>
  <c r="D605" i="10"/>
  <c r="L605" i="10" s="1"/>
  <c r="D597" i="10"/>
  <c r="L597" i="10" s="1"/>
  <c r="D589" i="10"/>
  <c r="L589" i="10" s="1"/>
  <c r="D581" i="10"/>
  <c r="L581" i="10" s="1"/>
  <c r="D573" i="10"/>
  <c r="L573" i="10" s="1"/>
  <c r="D563" i="10"/>
  <c r="L563" i="10" s="1"/>
  <c r="D554" i="10"/>
  <c r="L554" i="10" s="1"/>
  <c r="D546" i="10"/>
  <c r="L546" i="10" s="1"/>
  <c r="D538" i="10"/>
  <c r="L538" i="10" s="1"/>
  <c r="D529" i="10"/>
  <c r="L529" i="10" s="1"/>
  <c r="D521" i="10"/>
  <c r="L521" i="10" s="1"/>
  <c r="D512" i="10"/>
  <c r="L512" i="10" s="1"/>
  <c r="D504" i="10"/>
  <c r="L504" i="10" s="1"/>
  <c r="D495" i="10"/>
  <c r="L495" i="10" s="1"/>
  <c r="D956" i="10"/>
  <c r="L956" i="10" s="1"/>
  <c r="D937" i="10"/>
  <c r="L937" i="10" s="1"/>
  <c r="D914" i="10"/>
  <c r="L914" i="10" s="1"/>
  <c r="D891" i="10"/>
  <c r="L891" i="10" s="1"/>
  <c r="D872" i="10"/>
  <c r="L872" i="10" s="1"/>
  <c r="D849" i="10"/>
  <c r="L849" i="10" s="1"/>
  <c r="D825" i="10"/>
  <c r="L825" i="10" s="1"/>
  <c r="D807" i="10"/>
  <c r="L807" i="10" s="1"/>
  <c r="D785" i="10"/>
  <c r="L785" i="10" s="1"/>
  <c r="D762" i="10"/>
  <c r="L762" i="10" s="1"/>
  <c r="D744" i="10"/>
  <c r="L744" i="10" s="1"/>
  <c r="D720" i="10"/>
  <c r="L720" i="10" s="1"/>
  <c r="D695" i="10"/>
  <c r="L695" i="10" s="1"/>
  <c r="D677" i="10"/>
  <c r="L677" i="10" s="1"/>
  <c r="D664" i="10"/>
  <c r="L664" i="10" s="1"/>
  <c r="D654" i="10"/>
  <c r="L654" i="10" s="1"/>
  <c r="D645" i="10"/>
  <c r="L645" i="10" s="1"/>
  <c r="D628" i="10"/>
  <c r="L628" i="10" s="1"/>
  <c r="D620" i="10"/>
  <c r="L620" i="10" s="1"/>
  <c r="D612" i="10"/>
  <c r="L612" i="10" s="1"/>
  <c r="D604" i="10"/>
  <c r="L604" i="10" s="1"/>
  <c r="D596" i="10"/>
  <c r="L596" i="10" s="1"/>
  <c r="D588" i="10"/>
  <c r="L588" i="10" s="1"/>
  <c r="D572" i="10"/>
  <c r="L572" i="10" s="1"/>
  <c r="D562" i="10"/>
  <c r="L562" i="10" s="1"/>
  <c r="D553" i="10"/>
  <c r="L553" i="10" s="1"/>
  <c r="D545" i="10"/>
  <c r="L545" i="10" s="1"/>
  <c r="D520" i="10"/>
  <c r="L520" i="10" s="1"/>
  <c r="D511" i="10"/>
  <c r="L511" i="10" s="1"/>
  <c r="D503" i="10"/>
  <c r="L503" i="10" s="1"/>
  <c r="D494" i="10"/>
  <c r="L494" i="10" s="1"/>
  <c r="D1025" i="10"/>
  <c r="L1025" i="10" s="1"/>
  <c r="D993" i="10"/>
  <c r="L993" i="10" s="1"/>
  <c r="D955" i="10"/>
  <c r="L955" i="10" s="1"/>
  <c r="D931" i="10"/>
  <c r="L931" i="10" s="1"/>
  <c r="D913" i="10"/>
  <c r="L913" i="10" s="1"/>
  <c r="D890" i="10"/>
  <c r="L890" i="10" s="1"/>
  <c r="D866" i="10"/>
  <c r="L866" i="10" s="1"/>
  <c r="D848" i="10"/>
  <c r="L848" i="10" s="1"/>
  <c r="D802" i="10"/>
  <c r="L802" i="10" s="1"/>
  <c r="D784" i="10"/>
  <c r="L784" i="10" s="1"/>
  <c r="D761" i="10"/>
  <c r="L761" i="10" s="1"/>
  <c r="D738" i="10"/>
  <c r="L738" i="10" s="1"/>
  <c r="D694" i="10"/>
  <c r="L694" i="10" s="1"/>
  <c r="D676" i="10"/>
  <c r="L676" i="10" s="1"/>
  <c r="D663" i="10"/>
  <c r="L663" i="10" s="1"/>
  <c r="D653" i="10"/>
  <c r="L653" i="10" s="1"/>
  <c r="D644" i="10"/>
  <c r="L644" i="10" s="1"/>
  <c r="D635" i="10"/>
  <c r="L635" i="10" s="1"/>
  <c r="D627" i="10"/>
  <c r="L627" i="10" s="1"/>
  <c r="D619" i="10"/>
  <c r="L619" i="10" s="1"/>
  <c r="D611" i="10"/>
  <c r="L611" i="10" s="1"/>
  <c r="D603" i="10"/>
  <c r="L603" i="10" s="1"/>
  <c r="D595" i="10"/>
  <c r="L595" i="10" s="1"/>
  <c r="D587" i="10"/>
  <c r="L587" i="10" s="1"/>
  <c r="D579" i="10"/>
  <c r="L579" i="10" s="1"/>
  <c r="D571" i="10"/>
  <c r="L571" i="10" s="1"/>
  <c r="D561" i="10"/>
  <c r="L561" i="10" s="1"/>
  <c r="D552" i="10"/>
  <c r="L552" i="10" s="1"/>
  <c r="D544" i="10"/>
  <c r="L544" i="10" s="1"/>
  <c r="D536" i="10"/>
  <c r="L536" i="10" s="1"/>
  <c r="D527" i="10"/>
  <c r="L527" i="10" s="1"/>
  <c r="D519" i="10"/>
  <c r="L519" i="10" s="1"/>
  <c r="D510" i="10"/>
  <c r="L510" i="10" s="1"/>
  <c r="D502" i="10"/>
  <c r="L502" i="10" s="1"/>
  <c r="D493" i="10"/>
  <c r="L493" i="10" s="1"/>
  <c r="D484" i="10"/>
  <c r="L484" i="10" s="1"/>
  <c r="D475" i="10"/>
  <c r="L475" i="10" s="1"/>
  <c r="D467" i="10"/>
  <c r="L467" i="10" s="1"/>
  <c r="D459" i="10"/>
  <c r="L459" i="10" s="1"/>
  <c r="D451" i="10"/>
  <c r="L451" i="10" s="1"/>
  <c r="D443" i="10"/>
  <c r="L443" i="10" s="1"/>
  <c r="D425" i="10"/>
  <c r="L425" i="10" s="1"/>
  <c r="D417" i="10"/>
  <c r="L417" i="10" s="1"/>
  <c r="D406" i="10"/>
  <c r="L406" i="10" s="1"/>
  <c r="D398" i="10"/>
  <c r="L398" i="10" s="1"/>
  <c r="D390" i="10"/>
  <c r="L390" i="10" s="1"/>
  <c r="D382" i="10"/>
  <c r="L382" i="10" s="1"/>
  <c r="D374" i="10"/>
  <c r="L374" i="10" s="1"/>
  <c r="D365" i="10"/>
  <c r="L365" i="10" s="1"/>
  <c r="D357" i="10"/>
  <c r="L357" i="10" s="1"/>
  <c r="D349" i="10"/>
  <c r="L349" i="10" s="1"/>
  <c r="D340" i="10"/>
  <c r="L340" i="10" s="1"/>
  <c r="D331" i="10"/>
  <c r="L331" i="10" s="1"/>
  <c r="D323" i="10"/>
  <c r="L323" i="10" s="1"/>
  <c r="D314" i="10"/>
  <c r="L314" i="10" s="1"/>
  <c r="D306" i="10"/>
  <c r="L306" i="10" s="1"/>
  <c r="D298" i="10"/>
  <c r="L298" i="10" s="1"/>
  <c r="D290" i="10"/>
  <c r="L290" i="10" s="1"/>
  <c r="D280" i="10"/>
  <c r="L280" i="10" s="1"/>
  <c r="D272" i="10"/>
  <c r="L272" i="10" s="1"/>
  <c r="D264" i="10"/>
  <c r="L264" i="10" s="1"/>
  <c r="D256" i="10"/>
  <c r="L256" i="10" s="1"/>
  <c r="D248" i="10"/>
  <c r="L248" i="10" s="1"/>
  <c r="D240" i="10"/>
  <c r="L240" i="10" s="1"/>
  <c r="D232" i="10"/>
  <c r="L232" i="10" s="1"/>
  <c r="D224" i="10"/>
  <c r="L224" i="10" s="1"/>
  <c r="D216" i="10"/>
  <c r="L216" i="10" s="1"/>
  <c r="D979" i="10"/>
  <c r="L979" i="10" s="1"/>
  <c r="D930" i="10"/>
  <c r="L930" i="10" s="1"/>
  <c r="D889" i="10"/>
  <c r="L889" i="10" s="1"/>
  <c r="D842" i="10"/>
  <c r="L842" i="10" s="1"/>
  <c r="D801" i="10"/>
  <c r="L801" i="10" s="1"/>
  <c r="D760" i="10"/>
  <c r="L760" i="10" s="1"/>
  <c r="D713" i="10"/>
  <c r="L713" i="10" s="1"/>
  <c r="D672" i="10"/>
  <c r="L672" i="10" s="1"/>
  <c r="D652" i="10"/>
  <c r="L652" i="10" s="1"/>
  <c r="D634" i="10"/>
  <c r="L634" i="10" s="1"/>
  <c r="D618" i="10"/>
  <c r="L618" i="10" s="1"/>
  <c r="D602" i="10"/>
  <c r="L602" i="10" s="1"/>
  <c r="D574" i="10"/>
  <c r="L574" i="10" s="1"/>
  <c r="D555" i="10"/>
  <c r="L555" i="10" s="1"/>
  <c r="D539" i="10"/>
  <c r="L539" i="10" s="1"/>
  <c r="D522" i="10"/>
  <c r="L522" i="10" s="1"/>
  <c r="D505" i="10"/>
  <c r="L505" i="10" s="1"/>
  <c r="D487" i="10"/>
  <c r="L487" i="10" s="1"/>
  <c r="D476" i="10"/>
  <c r="L476" i="10" s="1"/>
  <c r="D465" i="10"/>
  <c r="L465" i="10" s="1"/>
  <c r="D454" i="10"/>
  <c r="L454" i="10" s="1"/>
  <c r="D444" i="10"/>
  <c r="L444" i="10" s="1"/>
  <c r="D432" i="10"/>
  <c r="L432" i="10" s="1"/>
  <c r="D420" i="10"/>
  <c r="L420" i="10" s="1"/>
  <c r="D396" i="10"/>
  <c r="L396" i="10" s="1"/>
  <c r="D385" i="10"/>
  <c r="L385" i="10" s="1"/>
  <c r="D363" i="10"/>
  <c r="L363" i="10" s="1"/>
  <c r="D352" i="10"/>
  <c r="L352" i="10" s="1"/>
  <c r="D341" i="10"/>
  <c r="L341" i="10" s="1"/>
  <c r="D329" i="10"/>
  <c r="L329" i="10" s="1"/>
  <c r="D317" i="10"/>
  <c r="L317" i="10" s="1"/>
  <c r="D296" i="10"/>
  <c r="L296" i="10" s="1"/>
  <c r="D283" i="10"/>
  <c r="L283" i="10" s="1"/>
  <c r="D273" i="10"/>
  <c r="L273" i="10" s="1"/>
  <c r="D262" i="10"/>
  <c r="L262" i="10" s="1"/>
  <c r="D251" i="10"/>
  <c r="L251" i="10" s="1"/>
  <c r="D241" i="10"/>
  <c r="L241" i="10" s="1"/>
  <c r="D230" i="10"/>
  <c r="L230" i="10" s="1"/>
  <c r="D219" i="10"/>
  <c r="L219" i="10" s="1"/>
  <c r="D210" i="10"/>
  <c r="L210" i="10" s="1"/>
  <c r="D202" i="10"/>
  <c r="L202" i="10" s="1"/>
  <c r="D194" i="10"/>
  <c r="L194" i="10" s="1"/>
  <c r="D184" i="10"/>
  <c r="L184" i="10" s="1"/>
  <c r="D176" i="10"/>
  <c r="L176" i="10" s="1"/>
  <c r="D168" i="10"/>
  <c r="L168" i="10" s="1"/>
  <c r="D160" i="10"/>
  <c r="L160" i="10" s="1"/>
  <c r="D152" i="10"/>
  <c r="L152" i="10" s="1"/>
  <c r="D1053" i="10"/>
  <c r="L1053" i="10" s="1"/>
  <c r="D978" i="10"/>
  <c r="L978" i="10" s="1"/>
  <c r="D929" i="10"/>
  <c r="L929" i="10" s="1"/>
  <c r="D883" i="10"/>
  <c r="L883" i="10" s="1"/>
  <c r="D840" i="10"/>
  <c r="L840" i="10" s="1"/>
  <c r="D800" i="10"/>
  <c r="L800" i="10" s="1"/>
  <c r="D754" i="10"/>
  <c r="L754" i="10" s="1"/>
  <c r="D712" i="10"/>
  <c r="L712" i="10" s="1"/>
  <c r="D671" i="10"/>
  <c r="L671" i="10" s="1"/>
  <c r="D650" i="10"/>
  <c r="L650" i="10" s="1"/>
  <c r="D633" i="10"/>
  <c r="L633" i="10" s="1"/>
  <c r="D617" i="10"/>
  <c r="L617" i="10" s="1"/>
  <c r="D601" i="10"/>
  <c r="L601" i="10" s="1"/>
  <c r="D585" i="10"/>
  <c r="L585" i="10" s="1"/>
  <c r="D570" i="10"/>
  <c r="L570" i="10" s="1"/>
  <c r="D551" i="10"/>
  <c r="L551" i="10" s="1"/>
  <c r="D535" i="10"/>
  <c r="L535" i="10" s="1"/>
  <c r="D518" i="10"/>
  <c r="L518" i="10" s="1"/>
  <c r="D500" i="10"/>
  <c r="L500" i="10" s="1"/>
  <c r="D474" i="10"/>
  <c r="L474" i="10" s="1"/>
  <c r="D464" i="10"/>
  <c r="L464" i="10" s="1"/>
  <c r="D453" i="10"/>
  <c r="L453" i="10" s="1"/>
  <c r="D442" i="10"/>
  <c r="L442" i="10" s="1"/>
  <c r="D431" i="10"/>
  <c r="L431" i="10" s="1"/>
  <c r="D405" i="10"/>
  <c r="L405" i="10" s="1"/>
  <c r="D395" i="10"/>
  <c r="L395" i="10" s="1"/>
  <c r="D384" i="10"/>
  <c r="L384" i="10" s="1"/>
  <c r="D373" i="10"/>
  <c r="L373" i="10" s="1"/>
  <c r="D351" i="10"/>
  <c r="L351" i="10" s="1"/>
  <c r="D339" i="10"/>
  <c r="L339" i="10" s="1"/>
  <c r="D328" i="10"/>
  <c r="L328" i="10" s="1"/>
  <c r="D316" i="10"/>
  <c r="L316" i="10" s="1"/>
  <c r="D305" i="10"/>
  <c r="L305" i="10" s="1"/>
  <c r="D295" i="10"/>
  <c r="L295" i="10" s="1"/>
  <c r="D282" i="10"/>
  <c r="L282" i="10" s="1"/>
  <c r="D271" i="10"/>
  <c r="L271" i="10" s="1"/>
  <c r="D261" i="10"/>
  <c r="L261" i="10" s="1"/>
  <c r="D250" i="10"/>
  <c r="L250" i="10" s="1"/>
  <c r="D239" i="10"/>
  <c r="L239" i="10" s="1"/>
  <c r="D229" i="10"/>
  <c r="L229" i="10" s="1"/>
  <c r="D209" i="10"/>
  <c r="L209" i="10" s="1"/>
  <c r="D201" i="10"/>
  <c r="L201" i="10" s="1"/>
  <c r="D193" i="10"/>
  <c r="L193" i="10" s="1"/>
  <c r="D183" i="10"/>
  <c r="L183" i="10" s="1"/>
  <c r="D175" i="10"/>
  <c r="L175" i="10" s="1"/>
  <c r="D167" i="10"/>
  <c r="L167" i="10" s="1"/>
  <c r="D159" i="10"/>
  <c r="L159" i="10" s="1"/>
  <c r="D151" i="10"/>
  <c r="L151" i="10" s="1"/>
  <c r="D143" i="10"/>
  <c r="L143" i="10" s="1"/>
  <c r="D134" i="10"/>
  <c r="L134" i="10" s="1"/>
  <c r="D126" i="10"/>
  <c r="L126" i="10" s="1"/>
  <c r="D118" i="10"/>
  <c r="L118" i="10" s="1"/>
  <c r="D110" i="10"/>
  <c r="L110" i="10" s="1"/>
  <c r="D102" i="10"/>
  <c r="L102" i="10" s="1"/>
  <c r="D93" i="10"/>
  <c r="L93" i="10" s="1"/>
  <c r="D85" i="10"/>
  <c r="L85" i="10" s="1"/>
  <c r="D77" i="10"/>
  <c r="L77" i="10" s="1"/>
  <c r="D69" i="10"/>
  <c r="L69" i="10" s="1"/>
  <c r="D61" i="10"/>
  <c r="L61" i="10" s="1"/>
  <c r="D100" i="10"/>
  <c r="L100" i="10" s="1"/>
  <c r="D67" i="10"/>
  <c r="L67" i="10" s="1"/>
  <c r="D907" i="10"/>
  <c r="L907" i="10" s="1"/>
  <c r="D823" i="10"/>
  <c r="L823" i="10" s="1"/>
  <c r="D737" i="10"/>
  <c r="L737" i="10" s="1"/>
  <c r="D662" i="10"/>
  <c r="L662" i="10" s="1"/>
  <c r="D626" i="10"/>
  <c r="L626" i="10" s="1"/>
  <c r="D594" i="10"/>
  <c r="L594" i="10" s="1"/>
  <c r="D547" i="10"/>
  <c r="L547" i="10" s="1"/>
  <c r="D496" i="10"/>
  <c r="L496" i="10" s="1"/>
  <c r="D470" i="10"/>
  <c r="L470" i="10" s="1"/>
  <c r="D449" i="10"/>
  <c r="L449" i="10" s="1"/>
  <c r="D427" i="10"/>
  <c r="L427" i="10" s="1"/>
  <c r="D1038" i="10"/>
  <c r="L1038" i="10" s="1"/>
  <c r="D975" i="10"/>
  <c r="L975" i="10" s="1"/>
  <c r="D923" i="10"/>
  <c r="L923" i="10" s="1"/>
  <c r="D882" i="10"/>
  <c r="L882" i="10" s="1"/>
  <c r="D839" i="10"/>
  <c r="L839" i="10" s="1"/>
  <c r="D794" i="10"/>
  <c r="L794" i="10" s="1"/>
  <c r="D753" i="10"/>
  <c r="L753" i="10" s="1"/>
  <c r="D711" i="10"/>
  <c r="L711" i="10" s="1"/>
  <c r="D670" i="10"/>
  <c r="L670" i="10" s="1"/>
  <c r="D649" i="10"/>
  <c r="L649" i="10" s="1"/>
  <c r="D632" i="10"/>
  <c r="L632" i="10" s="1"/>
  <c r="D616" i="10"/>
  <c r="L616" i="10" s="1"/>
  <c r="D600" i="10"/>
  <c r="L600" i="10" s="1"/>
  <c r="D584" i="10"/>
  <c r="L584" i="10" s="1"/>
  <c r="D569" i="10"/>
  <c r="L569" i="10" s="1"/>
  <c r="D534" i="10"/>
  <c r="L534" i="10" s="1"/>
  <c r="D516" i="10"/>
  <c r="L516" i="10" s="1"/>
  <c r="D499" i="10"/>
  <c r="L499" i="10" s="1"/>
  <c r="D485" i="10"/>
  <c r="L485" i="10" s="1"/>
  <c r="D473" i="10"/>
  <c r="L473" i="10" s="1"/>
  <c r="D462" i="10"/>
  <c r="L462" i="10" s="1"/>
  <c r="D452" i="10"/>
  <c r="L452" i="10" s="1"/>
  <c r="D441" i="10"/>
  <c r="L441" i="10" s="1"/>
  <c r="D429" i="10"/>
  <c r="L429" i="10" s="1"/>
  <c r="D418" i="10"/>
  <c r="L418" i="10" s="1"/>
  <c r="D404" i="10"/>
  <c r="L404" i="10" s="1"/>
  <c r="D393" i="10"/>
  <c r="L393" i="10" s="1"/>
  <c r="D371" i="10"/>
  <c r="L371" i="10" s="1"/>
  <c r="D360" i="10"/>
  <c r="L360" i="10" s="1"/>
  <c r="D350" i="10"/>
  <c r="L350" i="10" s="1"/>
  <c r="D338" i="10"/>
  <c r="L338" i="10" s="1"/>
  <c r="D326" i="10"/>
  <c r="L326" i="10" s="1"/>
  <c r="D304" i="10"/>
  <c r="L304" i="10" s="1"/>
  <c r="D293" i="10"/>
  <c r="L293" i="10" s="1"/>
  <c r="D281" i="10"/>
  <c r="L281" i="10" s="1"/>
  <c r="D270" i="10"/>
  <c r="L270" i="10" s="1"/>
  <c r="D259" i="10"/>
  <c r="L259" i="10" s="1"/>
  <c r="D249" i="10"/>
  <c r="L249" i="10" s="1"/>
  <c r="D227" i="10"/>
  <c r="L227" i="10" s="1"/>
  <c r="D217" i="10"/>
  <c r="L217" i="10" s="1"/>
  <c r="D208" i="10"/>
  <c r="L208" i="10" s="1"/>
  <c r="D182" i="10"/>
  <c r="L182" i="10" s="1"/>
  <c r="D174" i="10"/>
  <c r="L174" i="10" s="1"/>
  <c r="D166" i="10"/>
  <c r="L166" i="10" s="1"/>
  <c r="D158" i="10"/>
  <c r="L158" i="10" s="1"/>
  <c r="D142" i="10"/>
  <c r="L142" i="10" s="1"/>
  <c r="D133" i="10"/>
  <c r="L133" i="10" s="1"/>
  <c r="D117" i="10"/>
  <c r="L117" i="10" s="1"/>
  <c r="D109" i="10"/>
  <c r="L109" i="10" s="1"/>
  <c r="D101" i="10"/>
  <c r="L101" i="10" s="1"/>
  <c r="D92" i="10"/>
  <c r="L92" i="10" s="1"/>
  <c r="D84" i="10"/>
  <c r="L84" i="10" s="1"/>
  <c r="D76" i="10"/>
  <c r="L76" i="10" s="1"/>
  <c r="D68" i="10"/>
  <c r="L68" i="10" s="1"/>
  <c r="D60" i="10"/>
  <c r="L60" i="10" s="1"/>
  <c r="D108" i="10"/>
  <c r="L108" i="10" s="1"/>
  <c r="D59" i="10"/>
  <c r="L59" i="10" s="1"/>
  <c r="D954" i="10"/>
  <c r="L954" i="10" s="1"/>
  <c r="D865" i="10"/>
  <c r="L865" i="10" s="1"/>
  <c r="D778" i="10"/>
  <c r="L778" i="10" s="1"/>
  <c r="D693" i="10"/>
  <c r="L693" i="10" s="1"/>
  <c r="D643" i="10"/>
  <c r="L643" i="10" s="1"/>
  <c r="D610" i="10"/>
  <c r="L610" i="10" s="1"/>
  <c r="D513" i="10"/>
  <c r="L513" i="10" s="1"/>
  <c r="D482" i="10"/>
  <c r="L482" i="10" s="1"/>
  <c r="D460" i="10"/>
  <c r="L460" i="10" s="1"/>
  <c r="D437" i="10"/>
  <c r="L437" i="10" s="1"/>
  <c r="D414" i="10"/>
  <c r="L414" i="10" s="1"/>
  <c r="D963" i="10"/>
  <c r="L963" i="10" s="1"/>
  <c r="D921" i="10"/>
  <c r="L921" i="10" s="1"/>
  <c r="D832" i="10"/>
  <c r="L832" i="10" s="1"/>
  <c r="D792" i="10"/>
  <c r="L792" i="10" s="1"/>
  <c r="D746" i="10"/>
  <c r="L746" i="10" s="1"/>
  <c r="D702" i="10"/>
  <c r="L702" i="10" s="1"/>
  <c r="D668" i="10"/>
  <c r="L668" i="10" s="1"/>
  <c r="D630" i="10"/>
  <c r="L630" i="10" s="1"/>
  <c r="D614" i="10"/>
  <c r="L614" i="10" s="1"/>
  <c r="D598" i="10"/>
  <c r="L598" i="10" s="1"/>
  <c r="D582" i="10"/>
  <c r="L582" i="10" s="1"/>
  <c r="D567" i="10"/>
  <c r="L567" i="10" s="1"/>
  <c r="D549" i="10"/>
  <c r="L549" i="10" s="1"/>
  <c r="D532" i="10"/>
  <c r="L532" i="10" s="1"/>
  <c r="D515" i="10"/>
  <c r="L515" i="10" s="1"/>
  <c r="D498" i="10"/>
  <c r="L498" i="10" s="1"/>
  <c r="D483" i="10"/>
  <c r="L483" i="10" s="1"/>
  <c r="D472" i="10"/>
  <c r="L472" i="10" s="1"/>
  <c r="D461" i="10"/>
  <c r="L461" i="10" s="1"/>
  <c r="D450" i="10"/>
  <c r="L450" i="10" s="1"/>
  <c r="D440" i="10"/>
  <c r="L440" i="10" s="1"/>
  <c r="D428" i="10"/>
  <c r="L428" i="10" s="1"/>
  <c r="D416" i="10"/>
  <c r="L416" i="10" s="1"/>
  <c r="D403" i="10"/>
  <c r="L403" i="10" s="1"/>
  <c r="D392" i="10"/>
  <c r="L392" i="10" s="1"/>
  <c r="D381" i="10"/>
  <c r="L381" i="10" s="1"/>
  <c r="D370" i="10"/>
  <c r="L370" i="10" s="1"/>
  <c r="D359" i="10"/>
  <c r="L359" i="10" s="1"/>
  <c r="D348" i="10"/>
  <c r="L348" i="10" s="1"/>
  <c r="D337" i="10"/>
  <c r="L337" i="10" s="1"/>
  <c r="D325" i="10"/>
  <c r="L325" i="10" s="1"/>
  <c r="D313" i="10"/>
  <c r="L313" i="10" s="1"/>
  <c r="D303" i="10"/>
  <c r="L303" i="10" s="1"/>
  <c r="D292" i="10"/>
  <c r="L292" i="10" s="1"/>
  <c r="D279" i="10"/>
  <c r="L279" i="10" s="1"/>
  <c r="D269" i="10"/>
  <c r="L269" i="10" s="1"/>
  <c r="D258" i="10"/>
  <c r="L258" i="10" s="1"/>
  <c r="D247" i="10"/>
  <c r="L247" i="10" s="1"/>
  <c r="D237" i="10"/>
  <c r="L237" i="10" s="1"/>
  <c r="D226" i="10"/>
  <c r="L226" i="10" s="1"/>
  <c r="D215" i="10"/>
  <c r="L215" i="10" s="1"/>
  <c r="D199" i="10"/>
  <c r="L199" i="10" s="1"/>
  <c r="D191" i="10"/>
  <c r="L191" i="10" s="1"/>
  <c r="D181" i="10"/>
  <c r="L181" i="10" s="1"/>
  <c r="D173" i="10"/>
  <c r="L173" i="10" s="1"/>
  <c r="D165" i="10"/>
  <c r="L165" i="10" s="1"/>
  <c r="D157" i="10"/>
  <c r="L157" i="10" s="1"/>
  <c r="D149" i="10"/>
  <c r="L149" i="10" s="1"/>
  <c r="D141" i="10"/>
  <c r="L141" i="10" s="1"/>
  <c r="D132" i="10"/>
  <c r="L132" i="10" s="1"/>
  <c r="D124" i="10"/>
  <c r="L124" i="10" s="1"/>
  <c r="D116" i="10"/>
  <c r="L116" i="10" s="1"/>
  <c r="D91" i="10"/>
  <c r="L91" i="10" s="1"/>
  <c r="D83" i="10"/>
  <c r="L83" i="10" s="1"/>
  <c r="D75" i="10"/>
  <c r="L75" i="10" s="1"/>
  <c r="D658" i="10"/>
  <c r="L658" i="10" s="1"/>
  <c r="D207" i="10"/>
  <c r="L207" i="10" s="1"/>
  <c r="D647" i="10"/>
  <c r="L647" i="10" s="1"/>
  <c r="C77" i="10"/>
  <c r="K77" i="10" s="1"/>
  <c r="C119" i="10"/>
  <c r="K119" i="10" s="1"/>
  <c r="C166" i="10"/>
  <c r="K166" i="10" s="1"/>
  <c r="C267" i="10"/>
  <c r="K267" i="10" s="1"/>
  <c r="C366" i="10"/>
  <c r="K366" i="10" s="1"/>
  <c r="C487" i="10"/>
  <c r="K487" i="10" s="1"/>
  <c r="C599" i="10"/>
  <c r="K599" i="10" s="1"/>
  <c r="C826" i="10"/>
  <c r="K826" i="10" s="1"/>
  <c r="D946" i="10"/>
  <c r="L946" i="10" s="1"/>
  <c r="D871" i="10"/>
  <c r="L871" i="10" s="1"/>
  <c r="D799" i="10"/>
  <c r="L799" i="10" s="1"/>
  <c r="D829" i="10"/>
  <c r="L829" i="10" s="1"/>
  <c r="D934" i="10"/>
  <c r="L934" i="10" s="1"/>
  <c r="D878" i="10"/>
  <c r="L878" i="10" s="1"/>
  <c r="D773" i="10"/>
  <c r="L773" i="10" s="1"/>
  <c r="D958" i="10"/>
  <c r="L958" i="10" s="1"/>
  <c r="D868" i="10"/>
  <c r="L868" i="10" s="1"/>
  <c r="D1042" i="10"/>
  <c r="L1042" i="10" s="1"/>
  <c r="D1027" i="10"/>
  <c r="L1027" i="10" s="1"/>
  <c r="D818" i="10"/>
  <c r="L818" i="10" s="1"/>
  <c r="D657" i="10"/>
  <c r="L657" i="10" s="1"/>
  <c r="D575" i="10"/>
  <c r="L575" i="10" s="1"/>
  <c r="D402" i="10"/>
  <c r="L402" i="10" s="1"/>
  <c r="D701" i="10"/>
  <c r="L701" i="10" s="1"/>
  <c r="D621" i="10"/>
  <c r="L621" i="10" s="1"/>
  <c r="D995" i="10"/>
  <c r="L995" i="10" s="1"/>
  <c r="D636" i="10"/>
  <c r="L636" i="10" s="1"/>
  <c r="D537" i="10"/>
  <c r="L537" i="10" s="1"/>
  <c r="D528" i="10"/>
  <c r="L528" i="10" s="1"/>
  <c r="D824" i="10"/>
  <c r="L824" i="10" s="1"/>
  <c r="D719" i="10"/>
  <c r="L719" i="10" s="1"/>
  <c r="D434" i="10"/>
  <c r="L434" i="10" s="1"/>
  <c r="C187" i="10"/>
  <c r="K187" i="10" s="1"/>
  <c r="D125" i="10"/>
  <c r="L125" i="10" s="1"/>
  <c r="D150" i="10"/>
  <c r="L150" i="10" s="1"/>
  <c r="D192" i="10"/>
  <c r="L192" i="10" s="1"/>
  <c r="D200" i="10"/>
  <c r="L200" i="10" s="1"/>
  <c r="D238" i="10"/>
  <c r="L238" i="10" s="1"/>
  <c r="D315" i="10"/>
  <c r="L315" i="10" s="1"/>
  <c r="D383" i="10"/>
  <c r="L383" i="10" s="1"/>
  <c r="D550" i="10"/>
  <c r="L550" i="10" s="1"/>
  <c r="C86" i="10"/>
  <c r="K86" i="10" s="1"/>
  <c r="C129" i="10"/>
  <c r="K129" i="10" s="1"/>
  <c r="C197" i="10"/>
  <c r="K197" i="10" s="1"/>
  <c r="C288" i="10"/>
  <c r="K288" i="10" s="1"/>
  <c r="C391" i="10"/>
  <c r="K391" i="10" s="1"/>
  <c r="C618" i="10"/>
  <c r="K618" i="10" s="1"/>
  <c r="C885" i="10"/>
  <c r="K885" i="10" s="1"/>
  <c r="C822" i="10"/>
  <c r="K822" i="10" s="1"/>
  <c r="C752" i="10"/>
  <c r="K752" i="10" s="1"/>
  <c r="C709" i="10"/>
  <c r="K709" i="10" s="1"/>
  <c r="C672" i="10"/>
  <c r="K672" i="10" s="1"/>
  <c r="C643" i="10"/>
  <c r="K643" i="10" s="1"/>
  <c r="C615" i="10"/>
  <c r="K615" i="10" s="1"/>
  <c r="C590" i="10"/>
  <c r="K590" i="10" s="1"/>
  <c r="C558" i="10"/>
  <c r="K558" i="10" s="1"/>
  <c r="C532" i="10"/>
  <c r="K532" i="10" s="1"/>
  <c r="C503" i="10"/>
  <c r="K503" i="10" s="1"/>
  <c r="C477" i="10"/>
  <c r="K477" i="10" s="1"/>
  <c r="C458" i="10"/>
  <c r="K458" i="10" s="1"/>
  <c r="C435" i="10"/>
  <c r="K435" i="10" s="1"/>
  <c r="C410" i="10"/>
  <c r="K410" i="10" s="1"/>
  <c r="C382" i="10"/>
  <c r="K382" i="10" s="1"/>
  <c r="C358" i="10"/>
  <c r="K358" i="10" s="1"/>
  <c r="C334" i="10"/>
  <c r="K334" i="10" s="1"/>
  <c r="C318" i="10"/>
  <c r="K318" i="10" s="1"/>
  <c r="C301" i="10"/>
  <c r="K301" i="10" s="1"/>
  <c r="C283" i="10"/>
  <c r="K283" i="10" s="1"/>
  <c r="C265" i="10"/>
  <c r="K265" i="10" s="1"/>
  <c r="C248" i="10"/>
  <c r="K248" i="10" s="1"/>
  <c r="C231" i="10"/>
  <c r="K231" i="10" s="1"/>
  <c r="C212" i="10"/>
  <c r="K212" i="10" s="1"/>
  <c r="C196" i="10"/>
  <c r="K196" i="10" s="1"/>
  <c r="C177" i="10"/>
  <c r="K177" i="10" s="1"/>
  <c r="C163" i="10"/>
  <c r="K163" i="10" s="1"/>
  <c r="C154" i="10"/>
  <c r="K154" i="10" s="1"/>
  <c r="C145" i="10"/>
  <c r="K145" i="10" s="1"/>
  <c r="C135" i="10"/>
  <c r="K135" i="10" s="1"/>
  <c r="C126" i="10"/>
  <c r="K126" i="10" s="1"/>
  <c r="C117" i="10"/>
  <c r="K117" i="10" s="1"/>
  <c r="C109" i="10"/>
  <c r="K109" i="10" s="1"/>
  <c r="C101" i="10"/>
  <c r="K101" i="10" s="1"/>
  <c r="C92" i="10"/>
  <c r="K92" i="10" s="1"/>
  <c r="C84" i="10"/>
  <c r="K84" i="10" s="1"/>
  <c r="C76" i="10"/>
  <c r="K76" i="10" s="1"/>
  <c r="C68" i="10"/>
  <c r="K68" i="10" s="1"/>
  <c r="C60" i="10"/>
  <c r="K60" i="10" s="1"/>
  <c r="C884" i="10"/>
  <c r="K884" i="10" s="1"/>
  <c r="C801" i="10"/>
  <c r="K801" i="10" s="1"/>
  <c r="C747" i="10"/>
  <c r="K747" i="10" s="1"/>
  <c r="C708" i="10"/>
  <c r="K708" i="10" s="1"/>
  <c r="C671" i="10"/>
  <c r="K671" i="10" s="1"/>
  <c r="C637" i="10"/>
  <c r="K637" i="10" s="1"/>
  <c r="C609" i="10"/>
  <c r="K609" i="10" s="1"/>
  <c r="C587" i="10"/>
  <c r="K587" i="10" s="1"/>
  <c r="C556" i="10"/>
  <c r="K556" i="10" s="1"/>
  <c r="C524" i="10"/>
  <c r="K524" i="10" s="1"/>
  <c r="C476" i="10"/>
  <c r="K476" i="10" s="1"/>
  <c r="C454" i="10"/>
  <c r="K454" i="10" s="1"/>
  <c r="C432" i="10"/>
  <c r="K432" i="10" s="1"/>
  <c r="C406" i="10"/>
  <c r="K406" i="10" s="1"/>
  <c r="C380" i="10"/>
  <c r="K380" i="10" s="1"/>
  <c r="C357" i="10"/>
  <c r="K357" i="10" s="1"/>
  <c r="C333" i="10"/>
  <c r="K333" i="10" s="1"/>
  <c r="C317" i="10"/>
  <c r="K317" i="10" s="1"/>
  <c r="C299" i="10"/>
  <c r="K299" i="10" s="1"/>
  <c r="C281" i="10"/>
  <c r="K281" i="10" s="1"/>
  <c r="C262" i="10"/>
  <c r="K262" i="10" s="1"/>
  <c r="C247" i="10"/>
  <c r="K247" i="10" s="1"/>
  <c r="C230" i="10"/>
  <c r="K230" i="10" s="1"/>
  <c r="C210" i="10"/>
  <c r="K210" i="10" s="1"/>
  <c r="C193" i="10"/>
  <c r="K193" i="10" s="1"/>
  <c r="C174" i="10"/>
  <c r="K174" i="10" s="1"/>
  <c r="C161" i="10"/>
  <c r="K161" i="10" s="1"/>
  <c r="C153" i="10"/>
  <c r="K153" i="10" s="1"/>
  <c r="C144" i="10"/>
  <c r="K144" i="10" s="1"/>
  <c r="C134" i="10"/>
  <c r="K134" i="10" s="1"/>
  <c r="C124" i="10"/>
  <c r="K124" i="10" s="1"/>
  <c r="C116" i="10"/>
  <c r="K116" i="10" s="1"/>
  <c r="C108" i="10"/>
  <c r="K108" i="10" s="1"/>
  <c r="C100" i="10"/>
  <c r="K100" i="10" s="1"/>
  <c r="C91" i="10"/>
  <c r="K91" i="10" s="1"/>
  <c r="C83" i="10"/>
  <c r="K83" i="10" s="1"/>
  <c r="C75" i="10"/>
  <c r="K75" i="10" s="1"/>
  <c r="C67" i="10"/>
  <c r="K67" i="10" s="1"/>
  <c r="C59" i="10"/>
  <c r="K59" i="10" s="1"/>
  <c r="C1015" i="10"/>
  <c r="K1015" i="10" s="1"/>
  <c r="C872" i="10"/>
  <c r="K872" i="10" s="1"/>
  <c r="C798" i="10"/>
  <c r="K798" i="10" s="1"/>
  <c r="C738" i="10"/>
  <c r="K738" i="10" s="1"/>
  <c r="C702" i="10"/>
  <c r="K702" i="10" s="1"/>
  <c r="C667" i="10"/>
  <c r="K667" i="10" s="1"/>
  <c r="C634" i="10"/>
  <c r="K634" i="10" s="1"/>
  <c r="C608" i="10"/>
  <c r="K608" i="10" s="1"/>
  <c r="C581" i="10"/>
  <c r="K581" i="10" s="1"/>
  <c r="C554" i="10"/>
  <c r="K554" i="10" s="1"/>
  <c r="C523" i="10"/>
  <c r="K523" i="10" s="1"/>
  <c r="C496" i="10"/>
  <c r="K496" i="10" s="1"/>
  <c r="C474" i="10"/>
  <c r="K474" i="10" s="1"/>
  <c r="C453" i="10"/>
  <c r="K453" i="10" s="1"/>
  <c r="C427" i="10"/>
  <c r="K427" i="10" s="1"/>
  <c r="C399" i="10"/>
  <c r="K399" i="10" s="1"/>
  <c r="C376" i="10"/>
  <c r="K376" i="10" s="1"/>
  <c r="C355" i="10"/>
  <c r="K355" i="10" s="1"/>
  <c r="C331" i="10"/>
  <c r="K331" i="10" s="1"/>
  <c r="C314" i="10"/>
  <c r="K314" i="10" s="1"/>
  <c r="C297" i="10"/>
  <c r="K297" i="10" s="1"/>
  <c r="C277" i="10"/>
  <c r="K277" i="10" s="1"/>
  <c r="C260" i="10"/>
  <c r="K260" i="10" s="1"/>
  <c r="C245" i="10"/>
  <c r="K245" i="10" s="1"/>
  <c r="C228" i="10"/>
  <c r="K228" i="10" s="1"/>
  <c r="C209" i="10"/>
  <c r="K209" i="10" s="1"/>
  <c r="C191" i="10"/>
  <c r="K191" i="10" s="1"/>
  <c r="C173" i="10"/>
  <c r="K173" i="10" s="1"/>
  <c r="C160" i="10"/>
  <c r="K160" i="10" s="1"/>
  <c r="C152" i="10"/>
  <c r="K152" i="10" s="1"/>
  <c r="C143" i="10"/>
  <c r="K143" i="10" s="1"/>
  <c r="C133" i="10"/>
  <c r="K133" i="10" s="1"/>
  <c r="C123" i="10"/>
  <c r="K123" i="10" s="1"/>
  <c r="C115" i="10"/>
  <c r="K115" i="10" s="1"/>
  <c r="C107" i="10"/>
  <c r="K107" i="10" s="1"/>
  <c r="C99" i="10"/>
  <c r="K99" i="10" s="1"/>
  <c r="C90" i="10"/>
  <c r="K90" i="10" s="1"/>
  <c r="C82" i="10"/>
  <c r="K82" i="10" s="1"/>
  <c r="C74" i="10"/>
  <c r="K74" i="10" s="1"/>
  <c r="C58" i="10"/>
  <c r="K58" i="10" s="1"/>
  <c r="C1003" i="10"/>
  <c r="K1003" i="10" s="1"/>
  <c r="C857" i="10"/>
  <c r="K857" i="10" s="1"/>
  <c r="C794" i="10"/>
  <c r="K794" i="10" s="1"/>
  <c r="C736" i="10"/>
  <c r="K736" i="10" s="1"/>
  <c r="C695" i="10"/>
  <c r="K695" i="10" s="1"/>
  <c r="C661" i="10"/>
  <c r="K661" i="10" s="1"/>
  <c r="C629" i="10"/>
  <c r="K629" i="10" s="1"/>
  <c r="C606" i="10"/>
  <c r="K606" i="10" s="1"/>
  <c r="C547" i="10"/>
  <c r="K547" i="10" s="1"/>
  <c r="C521" i="10"/>
  <c r="K521" i="10" s="1"/>
  <c r="C495" i="10"/>
  <c r="K495" i="10" s="1"/>
  <c r="C469" i="10"/>
  <c r="K469" i="10" s="1"/>
  <c r="C451" i="10"/>
  <c r="K451" i="10" s="1"/>
  <c r="C425" i="10"/>
  <c r="K425" i="10" s="1"/>
  <c r="C398" i="10"/>
  <c r="K398" i="10" s="1"/>
  <c r="C374" i="10"/>
  <c r="K374" i="10" s="1"/>
  <c r="C350" i="10"/>
  <c r="K350" i="10" s="1"/>
  <c r="C329" i="10"/>
  <c r="K329" i="10" s="1"/>
  <c r="C312" i="10"/>
  <c r="K312" i="10" s="1"/>
  <c r="C294" i="10"/>
  <c r="K294" i="10" s="1"/>
  <c r="C275" i="10"/>
  <c r="K275" i="10" s="1"/>
  <c r="C258" i="10"/>
  <c r="K258" i="10" s="1"/>
  <c r="C243" i="10"/>
  <c r="K243" i="10" s="1"/>
  <c r="C226" i="10"/>
  <c r="K226" i="10" s="1"/>
  <c r="C206" i="10"/>
  <c r="K206" i="10" s="1"/>
  <c r="C189" i="10"/>
  <c r="K189" i="10" s="1"/>
  <c r="C171" i="10"/>
  <c r="K171" i="10" s="1"/>
  <c r="C158" i="10"/>
  <c r="K158" i="10" s="1"/>
  <c r="C151" i="10"/>
  <c r="K151" i="10" s="1"/>
  <c r="C142" i="10"/>
  <c r="K142" i="10" s="1"/>
  <c r="C132" i="10"/>
  <c r="K132" i="10" s="1"/>
  <c r="C122" i="10"/>
  <c r="K122" i="10" s="1"/>
  <c r="C114" i="10"/>
  <c r="K114" i="10" s="1"/>
  <c r="C106" i="10"/>
  <c r="K106" i="10" s="1"/>
  <c r="C98" i="10"/>
  <c r="K98" i="10" s="1"/>
  <c r="C89" i="10"/>
  <c r="K89" i="10" s="1"/>
  <c r="C81" i="10"/>
  <c r="K81" i="10" s="1"/>
  <c r="C73" i="10"/>
  <c r="K73" i="10" s="1"/>
  <c r="C65" i="10"/>
  <c r="K65" i="10" s="1"/>
  <c r="C57" i="10"/>
  <c r="K57" i="10" s="1"/>
  <c r="C971" i="10"/>
  <c r="K971" i="10" s="1"/>
  <c r="C855" i="10"/>
  <c r="K855" i="10" s="1"/>
  <c r="C780" i="10"/>
  <c r="K780" i="10" s="1"/>
  <c r="C734" i="10"/>
  <c r="K734" i="10" s="1"/>
  <c r="C694" i="10"/>
  <c r="K694" i="10" s="1"/>
  <c r="C659" i="10"/>
  <c r="K659" i="10" s="1"/>
  <c r="C628" i="10"/>
  <c r="K628" i="10" s="1"/>
  <c r="C600" i="10"/>
  <c r="K600" i="10" s="1"/>
  <c r="C578" i="10"/>
  <c r="K578" i="10" s="1"/>
  <c r="C546" i="10"/>
  <c r="K546" i="10" s="1"/>
  <c r="C514" i="10"/>
  <c r="K514" i="10" s="1"/>
  <c r="C493" i="10"/>
  <c r="K493" i="10" s="1"/>
  <c r="C468" i="10"/>
  <c r="K468" i="10" s="1"/>
  <c r="C445" i="10"/>
  <c r="K445" i="10" s="1"/>
  <c r="C423" i="10"/>
  <c r="K423" i="10" s="1"/>
  <c r="C396" i="10"/>
  <c r="K396" i="10" s="1"/>
  <c r="C371" i="10"/>
  <c r="K371" i="10" s="1"/>
  <c r="C349" i="10"/>
  <c r="K349" i="10" s="1"/>
  <c r="C327" i="10"/>
  <c r="K327" i="10" s="1"/>
  <c r="C310" i="10"/>
  <c r="K310" i="10" s="1"/>
  <c r="C293" i="10"/>
  <c r="K293" i="10" s="1"/>
  <c r="C273" i="10"/>
  <c r="K273" i="10" s="1"/>
  <c r="C256" i="10"/>
  <c r="K256" i="10" s="1"/>
  <c r="C240" i="10"/>
  <c r="K240" i="10" s="1"/>
  <c r="C223" i="10"/>
  <c r="K223" i="10" s="1"/>
  <c r="C204" i="10"/>
  <c r="K204" i="10" s="1"/>
  <c r="C185" i="10"/>
  <c r="K185" i="10" s="1"/>
  <c r="C169" i="10"/>
  <c r="K169" i="10" s="1"/>
  <c r="C149" i="10"/>
  <c r="K149" i="10" s="1"/>
  <c r="C141" i="10"/>
  <c r="K141" i="10" s="1"/>
  <c r="C131" i="10"/>
  <c r="K131" i="10" s="1"/>
  <c r="C121" i="10"/>
  <c r="K121" i="10" s="1"/>
  <c r="C113" i="10"/>
  <c r="K113" i="10" s="1"/>
  <c r="C105" i="10"/>
  <c r="K105" i="10" s="1"/>
  <c r="C96" i="10"/>
  <c r="K96" i="10" s="1"/>
  <c r="C88" i="10"/>
  <c r="K88" i="10" s="1"/>
  <c r="C80" i="10"/>
  <c r="K80" i="10" s="1"/>
  <c r="C72" i="10"/>
  <c r="K72" i="10" s="1"/>
  <c r="C64" i="10"/>
  <c r="K64" i="10" s="1"/>
  <c r="C56" i="10"/>
  <c r="K56" i="10" s="1"/>
  <c r="C774" i="10"/>
  <c r="K774" i="10" s="1"/>
  <c r="C680" i="10"/>
  <c r="K680" i="10" s="1"/>
  <c r="C597" i="10"/>
  <c r="K597" i="10" s="1"/>
  <c r="C536" i="10"/>
  <c r="K536" i="10" s="1"/>
  <c r="C466" i="10"/>
  <c r="K466" i="10" s="1"/>
  <c r="C414" i="10"/>
  <c r="K414" i="10" s="1"/>
  <c r="C341" i="10"/>
  <c r="K341" i="10" s="1"/>
  <c r="C291" i="10"/>
  <c r="K291" i="10" s="1"/>
  <c r="C251" i="10"/>
  <c r="K251" i="10" s="1"/>
  <c r="C199" i="10"/>
  <c r="K199" i="10" s="1"/>
  <c r="C157" i="10"/>
  <c r="K157" i="10" s="1"/>
  <c r="C136" i="10"/>
  <c r="K136" i="10" s="1"/>
  <c r="C111" i="10"/>
  <c r="K111" i="10" s="1"/>
  <c r="C87" i="10"/>
  <c r="K87" i="10" s="1"/>
  <c r="C69" i="10"/>
  <c r="K69" i="10" s="1"/>
  <c r="C931" i="10"/>
  <c r="K931" i="10" s="1"/>
  <c r="C753" i="10"/>
  <c r="K753" i="10" s="1"/>
  <c r="C648" i="10"/>
  <c r="K648" i="10" s="1"/>
  <c r="C510" i="10"/>
  <c r="K510" i="10" s="1"/>
  <c r="C460" i="10"/>
  <c r="K460" i="10" s="1"/>
  <c r="C390" i="10"/>
  <c r="K390" i="10" s="1"/>
  <c r="C326" i="10"/>
  <c r="K326" i="10" s="1"/>
  <c r="C284" i="10"/>
  <c r="K284" i="10" s="1"/>
  <c r="C236" i="10"/>
  <c r="K236" i="10" s="1"/>
  <c r="C183" i="10"/>
  <c r="K183" i="10" s="1"/>
  <c r="C155" i="10"/>
  <c r="K155" i="10" s="1"/>
  <c r="C128" i="10"/>
  <c r="K128" i="10" s="1"/>
  <c r="C104" i="10"/>
  <c r="K104" i="10" s="1"/>
  <c r="C85" i="10"/>
  <c r="K85" i="10" s="1"/>
  <c r="C63" i="10"/>
  <c r="K63" i="10" s="1"/>
  <c r="C925" i="10"/>
  <c r="K925" i="10" s="1"/>
  <c r="C724" i="10"/>
  <c r="K724" i="10" s="1"/>
  <c r="C645" i="10"/>
  <c r="K645" i="10" s="1"/>
  <c r="C571" i="10"/>
  <c r="K571" i="10" s="1"/>
  <c r="C505" i="10"/>
  <c r="K505" i="10" s="1"/>
  <c r="C444" i="10"/>
  <c r="K444" i="10" s="1"/>
  <c r="C388" i="10"/>
  <c r="K388" i="10" s="1"/>
  <c r="C324" i="10"/>
  <c r="K324" i="10" s="1"/>
  <c r="C270" i="10"/>
  <c r="K270" i="10" s="1"/>
  <c r="C234" i="10"/>
  <c r="K234" i="10" s="1"/>
  <c r="C182" i="10"/>
  <c r="K182" i="10" s="1"/>
  <c r="C148" i="10"/>
  <c r="K148" i="10" s="1"/>
  <c r="C127" i="10"/>
  <c r="K127" i="10" s="1"/>
  <c r="C103" i="10"/>
  <c r="K103" i="10" s="1"/>
  <c r="C79" i="10"/>
  <c r="K79" i="10" s="1"/>
  <c r="C62" i="10"/>
  <c r="K62" i="10" s="1"/>
  <c r="C919" i="10"/>
  <c r="K919" i="10" s="1"/>
  <c r="C722" i="10"/>
  <c r="K722" i="10" s="1"/>
  <c r="C626" i="10"/>
  <c r="K626" i="10" s="1"/>
  <c r="C570" i="10"/>
  <c r="K570" i="10" s="1"/>
  <c r="C442" i="10"/>
  <c r="K442" i="10" s="1"/>
  <c r="C367" i="10"/>
  <c r="K367" i="10" s="1"/>
  <c r="C322" i="10"/>
  <c r="K322" i="10" s="1"/>
  <c r="C269" i="10"/>
  <c r="K269" i="10" s="1"/>
  <c r="C221" i="10"/>
  <c r="K221" i="10" s="1"/>
  <c r="C180" i="10"/>
  <c r="K180" i="10" s="1"/>
  <c r="C147" i="10"/>
  <c r="K147" i="10" s="1"/>
  <c r="C120" i="10"/>
  <c r="K120" i="10" s="1"/>
  <c r="C102" i="10"/>
  <c r="K102" i="10" s="1"/>
  <c r="C78" i="10"/>
  <c r="K78" i="10" s="1"/>
  <c r="C61" i="10"/>
  <c r="K61" i="10" s="1"/>
  <c r="C489" i="10"/>
  <c r="K489" i="10" s="1"/>
  <c r="D218" i="10"/>
  <c r="L218" i="10" s="1"/>
  <c r="D362" i="10"/>
  <c r="L362" i="10" s="1"/>
  <c r="D419" i="10"/>
  <c r="L419" i="10" s="1"/>
  <c r="D486" i="10"/>
  <c r="L486" i="10" s="1"/>
  <c r="C93" i="10"/>
  <c r="K93" i="10" s="1"/>
  <c r="C139" i="10"/>
  <c r="K139" i="10" s="1"/>
  <c r="C201" i="10"/>
  <c r="K201" i="10" s="1"/>
  <c r="C302" i="10"/>
  <c r="K302" i="10" s="1"/>
  <c r="C417" i="10"/>
  <c r="K417" i="10" s="1"/>
  <c r="C513" i="10"/>
  <c r="K513" i="10" s="1"/>
  <c r="C619" i="10"/>
  <c r="K619" i="10" s="1"/>
  <c r="C851" i="10"/>
  <c r="K851" i="10" s="1"/>
  <c r="D307" i="10"/>
  <c r="L307" i="10" s="1"/>
  <c r="D375" i="10"/>
  <c r="L375" i="10" s="1"/>
  <c r="D409" i="10"/>
  <c r="L409" i="10" s="1"/>
  <c r="D586" i="10"/>
  <c r="L586" i="10" s="1"/>
  <c r="D54" i="10"/>
  <c r="L54" i="10" s="1"/>
  <c r="C94" i="10"/>
  <c r="K94" i="10" s="1"/>
  <c r="C140" i="10"/>
  <c r="K140" i="10" s="1"/>
  <c r="C214" i="10"/>
  <c r="K214" i="10" s="1"/>
  <c r="C306" i="10"/>
  <c r="K306" i="10" s="1"/>
  <c r="C418" i="10"/>
  <c r="K418" i="10" s="1"/>
  <c r="C538" i="10"/>
  <c r="K538" i="10" s="1"/>
  <c r="C655" i="10"/>
  <c r="K655" i="10" s="1"/>
  <c r="C636" i="10"/>
  <c r="K636" i="10" s="1"/>
  <c r="D639" i="10"/>
  <c r="L639" i="10" s="1"/>
  <c r="C344" i="10"/>
  <c r="K344" i="10" s="1"/>
  <c r="D972" i="10"/>
  <c r="L972" i="10" s="1"/>
  <c r="D982" i="10"/>
  <c r="L982" i="10" s="1"/>
  <c r="D990" i="10"/>
  <c r="L990" i="10" s="1"/>
  <c r="D999" i="10"/>
  <c r="L999" i="10" s="1"/>
  <c r="D1007" i="10"/>
  <c r="L1007" i="10" s="1"/>
  <c r="D1015" i="10"/>
  <c r="L1015" i="10" s="1"/>
  <c r="D1023" i="10"/>
  <c r="L1023" i="10" s="1"/>
  <c r="D1032" i="10"/>
  <c r="L1032" i="10" s="1"/>
  <c r="D1040" i="10"/>
  <c r="L1040" i="10" s="1"/>
  <c r="D1048" i="10"/>
  <c r="L1048" i="10" s="1"/>
  <c r="C383" i="10"/>
  <c r="K383" i="10" s="1"/>
  <c r="D973" i="10"/>
  <c r="L973" i="10" s="1"/>
  <c r="D983" i="10"/>
  <c r="L983" i="10" s="1"/>
  <c r="D991" i="10"/>
  <c r="L991" i="10" s="1"/>
  <c r="D1000" i="10"/>
  <c r="L1000" i="10" s="1"/>
  <c r="D1008" i="10"/>
  <c r="L1008" i="10" s="1"/>
  <c r="D1016" i="10"/>
  <c r="L1016" i="10" s="1"/>
  <c r="D1033" i="10"/>
  <c r="L1033" i="10" s="1"/>
  <c r="D1041" i="10"/>
  <c r="L1041" i="10" s="1"/>
  <c r="D1049" i="10"/>
  <c r="L1049" i="10" s="1"/>
  <c r="D968" i="10"/>
  <c r="L968" i="10" s="1"/>
  <c r="D976" i="10"/>
  <c r="L976" i="10" s="1"/>
  <c r="D985" i="10"/>
  <c r="L985" i="10" s="1"/>
  <c r="D994" i="10"/>
  <c r="L994" i="10" s="1"/>
  <c r="D1002" i="10"/>
  <c r="L1002" i="10" s="1"/>
  <c r="D1010" i="10"/>
  <c r="L1010" i="10" s="1"/>
  <c r="D1018" i="10"/>
  <c r="L1018" i="10" s="1"/>
  <c r="D1026" i="10"/>
  <c r="L1026" i="10" s="1"/>
  <c r="D1035" i="10"/>
  <c r="L1035" i="10" s="1"/>
  <c r="D1043" i="10"/>
  <c r="L1043" i="10" s="1"/>
  <c r="D1051" i="10"/>
  <c r="L1051" i="10" s="1"/>
  <c r="D969" i="10"/>
  <c r="L969" i="10" s="1"/>
  <c r="D977" i="10"/>
  <c r="L977" i="10" s="1"/>
  <c r="D986" i="10"/>
  <c r="L986" i="10" s="1"/>
  <c r="D1003" i="10"/>
  <c r="L1003" i="10" s="1"/>
  <c r="D1011" i="10"/>
  <c r="L1011" i="10" s="1"/>
  <c r="D1019" i="10"/>
  <c r="L1019" i="10" s="1"/>
  <c r="D1036" i="10"/>
  <c r="L1036" i="10" s="1"/>
  <c r="D1044" i="10"/>
  <c r="L1044" i="10" s="1"/>
  <c r="D1028" i="10"/>
  <c r="L1028" i="10" s="1"/>
  <c r="D941" i="10"/>
  <c r="L941" i="10" s="1"/>
  <c r="D426" i="10"/>
  <c r="L426" i="10" s="1"/>
  <c r="C991" i="10"/>
  <c r="K991" i="10" s="1"/>
  <c r="C923" i="10"/>
  <c r="K923" i="10" s="1"/>
  <c r="C877" i="10"/>
  <c r="K877" i="10" s="1"/>
  <c r="C853" i="10"/>
  <c r="K853" i="10" s="1"/>
  <c r="C825" i="10"/>
  <c r="K825" i="10" s="1"/>
  <c r="C797" i="10"/>
  <c r="K797" i="10" s="1"/>
  <c r="C768" i="10"/>
  <c r="K768" i="10" s="1"/>
  <c r="C749" i="10"/>
  <c r="K749" i="10" s="1"/>
  <c r="C735" i="10"/>
  <c r="K735" i="10" s="1"/>
  <c r="C721" i="10"/>
  <c r="K721" i="10" s="1"/>
  <c r="C706" i="10"/>
  <c r="K706" i="10" s="1"/>
  <c r="C692" i="10"/>
  <c r="K692" i="10" s="1"/>
  <c r="C679" i="10"/>
  <c r="K679" i="10" s="1"/>
  <c r="C669" i="10"/>
  <c r="K669" i="10" s="1"/>
  <c r="C656" i="10"/>
  <c r="K656" i="10" s="1"/>
  <c r="C644" i="10"/>
  <c r="K644" i="10" s="1"/>
  <c r="C635" i="10"/>
  <c r="K635" i="10" s="1"/>
  <c r="C627" i="10"/>
  <c r="K627" i="10" s="1"/>
  <c r="C616" i="10"/>
  <c r="K616" i="10" s="1"/>
  <c r="C607" i="10"/>
  <c r="K607" i="10" s="1"/>
  <c r="C598" i="10"/>
  <c r="K598" i="10" s="1"/>
  <c r="C589" i="10"/>
  <c r="K589" i="10" s="1"/>
  <c r="C579" i="10"/>
  <c r="K579" i="10" s="1"/>
  <c r="C569" i="10"/>
  <c r="K569" i="10" s="1"/>
  <c r="C555" i="10"/>
  <c r="K555" i="10" s="1"/>
  <c r="C545" i="10"/>
  <c r="K545" i="10" s="1"/>
  <c r="C534" i="10"/>
  <c r="K534" i="10" s="1"/>
  <c r="C522" i="10"/>
  <c r="K522" i="10" s="1"/>
  <c r="C511" i="10"/>
  <c r="K511" i="10" s="1"/>
  <c r="C502" i="10"/>
  <c r="K502" i="10" s="1"/>
  <c r="C494" i="10"/>
  <c r="K494" i="10" s="1"/>
  <c r="C484" i="10"/>
  <c r="K484" i="10" s="1"/>
  <c r="C475" i="10"/>
  <c r="K475" i="10" s="1"/>
  <c r="C467" i="10"/>
  <c r="K467" i="10" s="1"/>
  <c r="C459" i="10"/>
  <c r="K459" i="10" s="1"/>
  <c r="C452" i="10"/>
  <c r="K452" i="10" s="1"/>
  <c r="C443" i="10"/>
  <c r="K443" i="10" s="1"/>
  <c r="C433" i="10"/>
  <c r="K433" i="10" s="1"/>
  <c r="C424" i="10"/>
  <c r="K424" i="10" s="1"/>
  <c r="C416" i="10"/>
  <c r="K416" i="10" s="1"/>
  <c r="C405" i="10"/>
  <c r="K405" i="10" s="1"/>
  <c r="C397" i="10"/>
  <c r="K397" i="10" s="1"/>
  <c r="C389" i="10"/>
  <c r="K389" i="10" s="1"/>
  <c r="C381" i="10"/>
  <c r="K381" i="10" s="1"/>
  <c r="C373" i="10"/>
  <c r="K373" i="10" s="1"/>
  <c r="C365" i="10"/>
  <c r="K365" i="10" s="1"/>
  <c r="C356" i="10"/>
  <c r="K356" i="10" s="1"/>
  <c r="C348" i="10"/>
  <c r="K348" i="10" s="1"/>
  <c r="C339" i="10"/>
  <c r="K339" i="10" s="1"/>
  <c r="C332" i="10"/>
  <c r="K332" i="10" s="1"/>
  <c r="C325" i="10"/>
  <c r="K325" i="10" s="1"/>
  <c r="C316" i="10"/>
  <c r="K316" i="10" s="1"/>
  <c r="C308" i="10"/>
  <c r="K308" i="10" s="1"/>
  <c r="C300" i="10"/>
  <c r="K300" i="10" s="1"/>
  <c r="C292" i="10"/>
  <c r="K292" i="10" s="1"/>
  <c r="C282" i="10"/>
  <c r="K282" i="10" s="1"/>
  <c r="C276" i="10"/>
  <c r="K276" i="10" s="1"/>
  <c r="C268" i="10"/>
  <c r="K268" i="10" s="1"/>
  <c r="C261" i="10"/>
  <c r="K261" i="10" s="1"/>
  <c r="C254" i="10"/>
  <c r="K254" i="10" s="1"/>
  <c r="C246" i="10"/>
  <c r="K246" i="10" s="1"/>
  <c r="C237" i="10"/>
  <c r="K237" i="10" s="1"/>
  <c r="C229" i="10"/>
  <c r="K229" i="10" s="1"/>
  <c r="C222" i="10"/>
  <c r="K222" i="10" s="1"/>
  <c r="C215" i="10"/>
  <c r="K215" i="10" s="1"/>
  <c r="C208" i="10"/>
  <c r="K208" i="10" s="1"/>
  <c r="C198" i="10"/>
  <c r="K198" i="10" s="1"/>
  <c r="C190" i="10"/>
  <c r="K190" i="10" s="1"/>
  <c r="C181" i="10"/>
  <c r="K181" i="10" s="1"/>
  <c r="C172" i="10"/>
  <c r="K172" i="10" s="1"/>
  <c r="C963" i="10"/>
  <c r="K963" i="10" s="1"/>
  <c r="C901" i="10"/>
  <c r="K901" i="10" s="1"/>
  <c r="C870" i="10"/>
  <c r="K870" i="10" s="1"/>
  <c r="C848" i="10"/>
  <c r="K848" i="10" s="1"/>
  <c r="C814" i="10"/>
  <c r="K814" i="10" s="1"/>
  <c r="C790" i="10"/>
  <c r="K790" i="10" s="1"/>
  <c r="C764" i="10"/>
  <c r="K764" i="10" s="1"/>
  <c r="C745" i="10"/>
  <c r="K745" i="10" s="1"/>
  <c r="C731" i="10"/>
  <c r="K731" i="10" s="1"/>
  <c r="C716" i="10"/>
  <c r="K716" i="10" s="1"/>
  <c r="C701" i="10"/>
  <c r="K701" i="10" s="1"/>
  <c r="C689" i="10"/>
  <c r="K689" i="10" s="1"/>
  <c r="C678" i="10"/>
  <c r="K678" i="10" s="1"/>
  <c r="C666" i="10"/>
  <c r="K666" i="10" s="1"/>
  <c r="C653" i="10"/>
  <c r="K653" i="10" s="1"/>
  <c r="C642" i="10"/>
  <c r="K642" i="10" s="1"/>
  <c r="C624" i="10"/>
  <c r="K624" i="10" s="1"/>
  <c r="C614" i="10"/>
  <c r="K614" i="10" s="1"/>
  <c r="C605" i="10"/>
  <c r="K605" i="10" s="1"/>
  <c r="C595" i="10"/>
  <c r="K595" i="10" s="1"/>
  <c r="C585" i="10"/>
  <c r="K585" i="10" s="1"/>
  <c r="C577" i="10"/>
  <c r="K577" i="10" s="1"/>
  <c r="C563" i="10"/>
  <c r="K563" i="10" s="1"/>
  <c r="C553" i="10"/>
  <c r="K553" i="10" s="1"/>
  <c r="C542" i="10"/>
  <c r="K542" i="10" s="1"/>
  <c r="C531" i="10"/>
  <c r="K531" i="10" s="1"/>
  <c r="C520" i="10"/>
  <c r="K520" i="10" s="1"/>
  <c r="C509" i="10"/>
  <c r="K509" i="10" s="1"/>
  <c r="C500" i="10"/>
  <c r="K500" i="10" s="1"/>
  <c r="C492" i="10"/>
  <c r="K492" i="10" s="1"/>
  <c r="C482" i="10"/>
  <c r="K482" i="10" s="1"/>
  <c r="C473" i="10"/>
  <c r="K473" i="10" s="1"/>
  <c r="C465" i="10"/>
  <c r="K465" i="10" s="1"/>
  <c r="C457" i="10"/>
  <c r="K457" i="10" s="1"/>
  <c r="C450" i="10"/>
  <c r="K450" i="10" s="1"/>
  <c r="C441" i="10"/>
  <c r="K441" i="10" s="1"/>
  <c r="C431" i="10"/>
  <c r="K431" i="10" s="1"/>
  <c r="C422" i="10"/>
  <c r="K422" i="10" s="1"/>
  <c r="C413" i="10"/>
  <c r="K413" i="10" s="1"/>
  <c r="C404" i="10"/>
  <c r="K404" i="10" s="1"/>
  <c r="C395" i="10"/>
  <c r="K395" i="10" s="1"/>
  <c r="C387" i="10"/>
  <c r="K387" i="10" s="1"/>
  <c r="C379" i="10"/>
  <c r="K379" i="10" s="1"/>
  <c r="C361" i="10"/>
  <c r="K361" i="10" s="1"/>
  <c r="C354" i="10"/>
  <c r="K354" i="10" s="1"/>
  <c r="C346" i="10"/>
  <c r="K346" i="10" s="1"/>
  <c r="C338" i="10"/>
  <c r="K338" i="10" s="1"/>
  <c r="C330" i="10"/>
  <c r="K330" i="10" s="1"/>
  <c r="C323" i="10"/>
  <c r="K323" i="10" s="1"/>
  <c r="C313" i="10"/>
  <c r="K313" i="10" s="1"/>
  <c r="C305" i="10"/>
  <c r="K305" i="10" s="1"/>
  <c r="C298" i="10"/>
  <c r="K298" i="10" s="1"/>
  <c r="C290" i="10"/>
  <c r="K290" i="10" s="1"/>
  <c r="C280" i="10"/>
  <c r="K280" i="10" s="1"/>
  <c r="C274" i="10"/>
  <c r="K274" i="10" s="1"/>
  <c r="C266" i="10"/>
  <c r="K266" i="10" s="1"/>
  <c r="C259" i="10"/>
  <c r="K259" i="10" s="1"/>
  <c r="C252" i="10"/>
  <c r="K252" i="10" s="1"/>
  <c r="C244" i="10"/>
  <c r="K244" i="10" s="1"/>
  <c r="C235" i="10"/>
  <c r="K235" i="10" s="1"/>
  <c r="C227" i="10"/>
  <c r="K227" i="10" s="1"/>
  <c r="C220" i="10"/>
  <c r="K220" i="10" s="1"/>
  <c r="C213" i="10"/>
  <c r="K213" i="10" s="1"/>
  <c r="C205" i="10"/>
  <c r="K205" i="10" s="1"/>
  <c r="C186" i="10"/>
  <c r="K186" i="10" s="1"/>
  <c r="C179" i="10"/>
  <c r="K179" i="10" s="1"/>
  <c r="C170" i="10"/>
  <c r="K170" i="10" s="1"/>
  <c r="C162" i="10"/>
  <c r="K162" i="10" s="1"/>
  <c r="C959" i="10"/>
  <c r="K959" i="10" s="1"/>
  <c r="C899" i="10"/>
  <c r="K899" i="10" s="1"/>
  <c r="C865" i="10"/>
  <c r="K865" i="10" s="1"/>
  <c r="C845" i="10"/>
  <c r="K845" i="10" s="1"/>
  <c r="C811" i="10"/>
  <c r="K811" i="10" s="1"/>
  <c r="C786" i="10"/>
  <c r="K786" i="10" s="1"/>
  <c r="C761" i="10"/>
  <c r="K761" i="10" s="1"/>
  <c r="C744" i="10"/>
  <c r="K744" i="10" s="1"/>
  <c r="C727" i="10"/>
  <c r="K727" i="10" s="1"/>
  <c r="C715" i="10"/>
  <c r="K715" i="10" s="1"/>
  <c r="C700" i="10"/>
  <c r="K700" i="10" s="1"/>
  <c r="C688" i="10"/>
  <c r="K688" i="10" s="1"/>
  <c r="C677" i="10"/>
  <c r="K677" i="10" s="1"/>
  <c r="C665" i="10"/>
  <c r="K665" i="10" s="1"/>
  <c r="C652" i="10"/>
  <c r="K652" i="10" s="1"/>
  <c r="C641" i="10"/>
  <c r="K641" i="10" s="1"/>
  <c r="C632" i="10"/>
  <c r="K632" i="10" s="1"/>
  <c r="C623" i="10"/>
  <c r="K623" i="10" s="1"/>
  <c r="C613" i="10"/>
  <c r="K613" i="10" s="1"/>
  <c r="C604" i="10"/>
  <c r="K604" i="10" s="1"/>
  <c r="C594" i="10"/>
  <c r="K594" i="10" s="1"/>
  <c r="C584" i="10"/>
  <c r="K584" i="10" s="1"/>
  <c r="C576" i="10"/>
  <c r="K576" i="10" s="1"/>
  <c r="C562" i="10"/>
  <c r="K562" i="10" s="1"/>
  <c r="C552" i="10"/>
  <c r="K552" i="10" s="1"/>
  <c r="C541" i="10"/>
  <c r="K541" i="10" s="1"/>
  <c r="C529" i="10"/>
  <c r="K529" i="10" s="1"/>
  <c r="C518" i="10"/>
  <c r="K518" i="10" s="1"/>
  <c r="C508" i="10"/>
  <c r="K508" i="10" s="1"/>
  <c r="C499" i="10"/>
  <c r="K499" i="10" s="1"/>
  <c r="C491" i="10"/>
  <c r="K491" i="10" s="1"/>
  <c r="C481" i="10"/>
  <c r="K481" i="10" s="1"/>
  <c r="C472" i="10"/>
  <c r="K472" i="10" s="1"/>
  <c r="C464" i="10"/>
  <c r="K464" i="10" s="1"/>
  <c r="C449" i="10"/>
  <c r="K449" i="10" s="1"/>
  <c r="C440" i="10"/>
  <c r="K440" i="10" s="1"/>
  <c r="C430" i="10"/>
  <c r="K430" i="10" s="1"/>
  <c r="C421" i="10"/>
  <c r="K421" i="10" s="1"/>
  <c r="C412" i="10"/>
  <c r="K412" i="10" s="1"/>
  <c r="C403" i="10"/>
  <c r="K403" i="10" s="1"/>
  <c r="C394" i="10"/>
  <c r="K394" i="10" s="1"/>
  <c r="C386" i="10"/>
  <c r="K386" i="10" s="1"/>
  <c r="C378" i="10"/>
  <c r="K378" i="10" s="1"/>
  <c r="C370" i="10"/>
  <c r="K370" i="10" s="1"/>
  <c r="C353" i="10"/>
  <c r="K353" i="10" s="1"/>
  <c r="C345" i="10"/>
  <c r="K345" i="10" s="1"/>
  <c r="C337" i="10"/>
  <c r="K337" i="10" s="1"/>
  <c r="C1035" i="10"/>
  <c r="K1035" i="10" s="1"/>
  <c r="C945" i="10"/>
  <c r="K945" i="10" s="1"/>
  <c r="C893" i="10"/>
  <c r="K893" i="10" s="1"/>
  <c r="C863" i="10"/>
  <c r="K863" i="10" s="1"/>
  <c r="C839" i="10"/>
  <c r="K839" i="10" s="1"/>
  <c r="C807" i="10"/>
  <c r="K807" i="10" s="1"/>
  <c r="C783" i="10"/>
  <c r="K783" i="10" s="1"/>
  <c r="C759" i="10"/>
  <c r="K759" i="10" s="1"/>
  <c r="C743" i="10"/>
  <c r="K743" i="10" s="1"/>
  <c r="C726" i="10"/>
  <c r="K726" i="10" s="1"/>
  <c r="C713" i="10"/>
  <c r="K713" i="10" s="1"/>
  <c r="C699" i="10"/>
  <c r="K699" i="10" s="1"/>
  <c r="C686" i="10"/>
  <c r="K686" i="10" s="1"/>
  <c r="C674" i="10"/>
  <c r="K674" i="10" s="1"/>
  <c r="C664" i="10"/>
  <c r="K664" i="10" s="1"/>
  <c r="C650" i="10"/>
  <c r="K650" i="10" s="1"/>
  <c r="C640" i="10"/>
  <c r="K640" i="10" s="1"/>
  <c r="C631" i="10"/>
  <c r="K631" i="10" s="1"/>
  <c r="C622" i="10"/>
  <c r="K622" i="10" s="1"/>
  <c r="C612" i="10"/>
  <c r="K612" i="10" s="1"/>
  <c r="C602" i="10"/>
  <c r="K602" i="10" s="1"/>
  <c r="C593" i="10"/>
  <c r="K593" i="10" s="1"/>
  <c r="C583" i="10"/>
  <c r="K583" i="10" s="1"/>
  <c r="C574" i="10"/>
  <c r="K574" i="10" s="1"/>
  <c r="C549" i="10"/>
  <c r="K549" i="10" s="1"/>
  <c r="C540" i="10"/>
  <c r="K540" i="10" s="1"/>
  <c r="C526" i="10"/>
  <c r="K526" i="10" s="1"/>
  <c r="C516" i="10"/>
  <c r="K516" i="10" s="1"/>
  <c r="C507" i="10"/>
  <c r="K507" i="10" s="1"/>
  <c r="C498" i="10"/>
  <c r="K498" i="10" s="1"/>
  <c r="C490" i="10"/>
  <c r="K490" i="10" s="1"/>
  <c r="C479" i="10"/>
  <c r="K479" i="10" s="1"/>
  <c r="C471" i="10"/>
  <c r="K471" i="10" s="1"/>
  <c r="C463" i="10"/>
  <c r="K463" i="10" s="1"/>
  <c r="C456" i="10"/>
  <c r="K456" i="10" s="1"/>
  <c r="C448" i="10"/>
  <c r="K448" i="10" s="1"/>
  <c r="C438" i="10"/>
  <c r="K438" i="10" s="1"/>
  <c r="C429" i="10"/>
  <c r="K429" i="10" s="1"/>
  <c r="C420" i="10"/>
  <c r="K420" i="10" s="1"/>
  <c r="C401" i="10"/>
  <c r="K401" i="10" s="1"/>
  <c r="C393" i="10"/>
  <c r="K393" i="10" s="1"/>
  <c r="C385" i="10"/>
  <c r="K385" i="10" s="1"/>
  <c r="C377" i="10"/>
  <c r="K377" i="10" s="1"/>
  <c r="C369" i="10"/>
  <c r="K369" i="10" s="1"/>
  <c r="C360" i="10"/>
  <c r="K360" i="10" s="1"/>
  <c r="C352" i="10"/>
  <c r="K352" i="10" s="1"/>
  <c r="C343" i="10"/>
  <c r="K343" i="10" s="1"/>
  <c r="C335" i="10"/>
  <c r="K335" i="10" s="1"/>
  <c r="C328" i="10"/>
  <c r="K328" i="10" s="1"/>
  <c r="C321" i="10"/>
  <c r="K321" i="10" s="1"/>
  <c r="C304" i="10"/>
  <c r="K304" i="10" s="1"/>
  <c r="C296" i="10"/>
  <c r="K296" i="10" s="1"/>
  <c r="C287" i="10"/>
  <c r="K287" i="10" s="1"/>
  <c r="C279" i="10"/>
  <c r="K279" i="10" s="1"/>
  <c r="C272" i="10"/>
  <c r="K272" i="10" s="1"/>
  <c r="C264" i="10"/>
  <c r="K264" i="10" s="1"/>
  <c r="C257" i="10"/>
  <c r="K257" i="10" s="1"/>
  <c r="C250" i="10"/>
  <c r="K250" i="10" s="1"/>
  <c r="C242" i="10"/>
  <c r="K242" i="10" s="1"/>
  <c r="C233" i="10"/>
  <c r="K233" i="10" s="1"/>
  <c r="C225" i="10"/>
  <c r="K225" i="10" s="1"/>
  <c r="C219" i="10"/>
  <c r="K219" i="10" s="1"/>
  <c r="C211" i="10"/>
  <c r="K211" i="10" s="1"/>
  <c r="C203" i="10"/>
  <c r="K203" i="10" s="1"/>
  <c r="C195" i="10"/>
  <c r="K195" i="10" s="1"/>
  <c r="C184" i="10"/>
  <c r="K184" i="10" s="1"/>
  <c r="C176" i="10"/>
  <c r="K176" i="10" s="1"/>
  <c r="C168" i="10"/>
  <c r="K168" i="10" s="1"/>
  <c r="C935" i="10"/>
  <c r="K935" i="10" s="1"/>
  <c r="C887" i="10"/>
  <c r="K887" i="10" s="1"/>
  <c r="C862" i="10"/>
  <c r="K862" i="10" s="1"/>
  <c r="C836" i="10"/>
  <c r="K836" i="10" s="1"/>
  <c r="C804" i="10"/>
  <c r="K804" i="10" s="1"/>
  <c r="C782" i="10"/>
  <c r="K782" i="10" s="1"/>
  <c r="C755" i="10"/>
  <c r="K755" i="10" s="1"/>
  <c r="C739" i="10"/>
  <c r="K739" i="10" s="1"/>
  <c r="C725" i="10"/>
  <c r="K725" i="10" s="1"/>
  <c r="C711" i="10"/>
  <c r="K711" i="10" s="1"/>
  <c r="C698" i="10"/>
  <c r="K698" i="10" s="1"/>
  <c r="C682" i="10"/>
  <c r="K682" i="10" s="1"/>
  <c r="C673" i="10"/>
  <c r="K673" i="10" s="1"/>
  <c r="C662" i="10"/>
  <c r="K662" i="10" s="1"/>
  <c r="C649" i="10"/>
  <c r="K649" i="10" s="1"/>
  <c r="C638" i="10"/>
  <c r="K638" i="10" s="1"/>
  <c r="C630" i="10"/>
  <c r="K630" i="10" s="1"/>
  <c r="C620" i="10"/>
  <c r="K620" i="10" s="1"/>
  <c r="C611" i="10"/>
  <c r="K611" i="10" s="1"/>
  <c r="C601" i="10"/>
  <c r="K601" i="10" s="1"/>
  <c r="C592" i="10"/>
  <c r="K592" i="10" s="1"/>
  <c r="C582" i="10"/>
  <c r="K582" i="10" s="1"/>
  <c r="C572" i="10"/>
  <c r="K572" i="10" s="1"/>
  <c r="C561" i="10"/>
  <c r="K561" i="10" s="1"/>
  <c r="C548" i="10"/>
  <c r="K548" i="10" s="1"/>
  <c r="C539" i="10"/>
  <c r="K539" i="10" s="1"/>
  <c r="C525" i="10"/>
  <c r="K525" i="10" s="1"/>
  <c r="C515" i="10"/>
  <c r="K515" i="10" s="1"/>
  <c r="C506" i="10"/>
  <c r="K506" i="10" s="1"/>
  <c r="C497" i="10"/>
  <c r="K497" i="10" s="1"/>
  <c r="C488" i="10"/>
  <c r="K488" i="10" s="1"/>
  <c r="C478" i="10"/>
  <c r="K478" i="10" s="1"/>
  <c r="C470" i="10"/>
  <c r="K470" i="10" s="1"/>
  <c r="C462" i="10"/>
  <c r="K462" i="10" s="1"/>
  <c r="C455" i="10"/>
  <c r="K455" i="10" s="1"/>
  <c r="C447" i="10"/>
  <c r="K447" i="10" s="1"/>
  <c r="C437" i="10"/>
  <c r="K437" i="10" s="1"/>
  <c r="C428" i="10"/>
  <c r="K428" i="10" s="1"/>
  <c r="C419" i="10"/>
  <c r="K419" i="10" s="1"/>
  <c r="C411" i="10"/>
  <c r="K411" i="10" s="1"/>
  <c r="C400" i="10"/>
  <c r="K400" i="10" s="1"/>
  <c r="C392" i="10"/>
  <c r="K392" i="10" s="1"/>
  <c r="C384" i="10"/>
  <c r="K384" i="10" s="1"/>
  <c r="C368" i="10"/>
  <c r="K368" i="10" s="1"/>
  <c r="C359" i="10"/>
  <c r="K359" i="10" s="1"/>
  <c r="C351" i="10"/>
  <c r="K351" i="10" s="1"/>
  <c r="C342" i="10"/>
  <c r="K342" i="10" s="1"/>
  <c r="C320" i="10"/>
  <c r="K320" i="10" s="1"/>
  <c r="C311" i="10"/>
  <c r="K311" i="10" s="1"/>
  <c r="C303" i="10"/>
  <c r="K303" i="10" s="1"/>
  <c r="C295" i="10"/>
  <c r="K295" i="10" s="1"/>
  <c r="C286" i="10"/>
  <c r="K286" i="10" s="1"/>
  <c r="C278" i="10"/>
  <c r="K278" i="10" s="1"/>
  <c r="C271" i="10"/>
  <c r="K271" i="10" s="1"/>
  <c r="C263" i="10"/>
  <c r="K263" i="10" s="1"/>
  <c r="C249" i="10"/>
  <c r="K249" i="10" s="1"/>
  <c r="C241" i="10"/>
  <c r="K241" i="10" s="1"/>
  <c r="C232" i="10"/>
  <c r="K232" i="10" s="1"/>
  <c r="C224" i="10"/>
  <c r="K224" i="10" s="1"/>
  <c r="C217" i="10"/>
  <c r="K217" i="10" s="1"/>
  <c r="C202" i="10"/>
  <c r="K202" i="10" s="1"/>
  <c r="C194" i="10"/>
  <c r="K194" i="10" s="1"/>
  <c r="C175" i="10"/>
  <c r="K175" i="10" s="1"/>
  <c r="C167" i="10"/>
  <c r="K167" i="10" s="1"/>
  <c r="C159" i="10"/>
  <c r="K159" i="10" s="1"/>
  <c r="D285" i="10"/>
  <c r="L285" i="10" s="1"/>
  <c r="D372" i="10"/>
  <c r="L372" i="10" s="1"/>
  <c r="C446" i="10"/>
  <c r="K446" i="10" s="1"/>
  <c r="C647" i="10"/>
  <c r="K647" i="10" s="1"/>
  <c r="D97" i="10"/>
  <c r="L97" i="10" s="1"/>
  <c r="D137" i="10"/>
  <c r="L137" i="10" s="1"/>
  <c r="D707" i="10"/>
  <c r="L707" i="10" s="1"/>
  <c r="D841" i="10"/>
  <c r="L841" i="10" s="1"/>
  <c r="C130" i="10"/>
  <c r="K130" i="10" s="1"/>
  <c r="C138" i="10"/>
  <c r="K138" i="10" s="1"/>
  <c r="C218" i="10"/>
  <c r="K218" i="10" s="1"/>
  <c r="C486" i="10"/>
  <c r="K486" i="10" s="1"/>
  <c r="C560" i="10"/>
  <c r="K560" i="10" s="1"/>
  <c r="C586" i="10"/>
  <c r="K586" i="10" s="1"/>
  <c r="C657" i="10"/>
  <c r="K657" i="10" s="1"/>
  <c r="C719" i="10"/>
  <c r="K719" i="10" s="1"/>
  <c r="C530" i="10"/>
  <c r="K530" i="10" s="1"/>
  <c r="D319" i="10"/>
  <c r="L319" i="10" s="1"/>
  <c r="D501" i="10"/>
  <c r="L501" i="10" s="1"/>
  <c r="D651" i="10"/>
  <c r="L651" i="10" s="1"/>
  <c r="C289" i="10"/>
  <c r="K289" i="10" s="1"/>
  <c r="C372" i="10"/>
  <c r="K372" i="10" s="1"/>
  <c r="C550" i="10"/>
  <c r="K550" i="10" s="1"/>
  <c r="D992" i="10"/>
  <c r="L992" i="10" s="1"/>
  <c r="C875" i="10"/>
  <c r="K875" i="10" s="1"/>
  <c r="D981" i="10"/>
  <c r="L981" i="10" s="1"/>
  <c r="C125" i="10"/>
  <c r="K125" i="10" s="1"/>
  <c r="C192" i="10"/>
  <c r="K192" i="10" s="1"/>
  <c r="C407" i="10"/>
  <c r="K407" i="10" s="1"/>
  <c r="D289" i="10"/>
  <c r="L289" i="10" s="1"/>
  <c r="D407" i="10"/>
  <c r="L407" i="10" s="1"/>
  <c r="D415" i="10"/>
  <c r="L415" i="10" s="1"/>
  <c r="D557" i="10"/>
  <c r="L557" i="10" s="1"/>
  <c r="D565" i="10"/>
  <c r="L565" i="10" s="1"/>
  <c r="C200" i="10"/>
  <c r="K200" i="10" s="1"/>
  <c r="C319" i="10"/>
  <c r="K319" i="10" s="1"/>
  <c r="C408" i="10"/>
  <c r="K408" i="10" s="1"/>
  <c r="C651" i="10"/>
  <c r="K651" i="10" s="1"/>
  <c r="C238" i="10"/>
  <c r="K238" i="10" s="1"/>
  <c r="C315" i="10"/>
  <c r="K315" i="10" s="1"/>
  <c r="C364" i="10"/>
  <c r="K364" i="10" s="1"/>
  <c r="D439" i="10"/>
  <c r="L439" i="10" s="1"/>
  <c r="D517" i="10"/>
  <c r="L517" i="10" s="1"/>
  <c r="D974" i="10"/>
  <c r="L974" i="10" s="1"/>
  <c r="C533" i="10"/>
  <c r="K533" i="10" s="1"/>
  <c r="D336" i="10"/>
  <c r="L336" i="10" s="1"/>
  <c r="D408" i="10"/>
  <c r="L408" i="10" s="1"/>
  <c r="D480" i="10"/>
  <c r="L480" i="10" s="1"/>
  <c r="D703" i="10"/>
  <c r="L703" i="10" s="1"/>
  <c r="D733" i="10"/>
  <c r="L733" i="10" s="1"/>
  <c r="D875" i="10"/>
  <c r="L875" i="10" s="1"/>
  <c r="D939" i="10"/>
  <c r="L939" i="10" s="1"/>
  <c r="C362" i="10"/>
  <c r="K362" i="10" s="1"/>
  <c r="C375" i="10"/>
  <c r="K375" i="10" s="1"/>
  <c r="C402" i="10"/>
  <c r="K402" i="10" s="1"/>
  <c r="C409" i="10"/>
  <c r="K409" i="10" s="1"/>
  <c r="C434" i="10"/>
  <c r="K434" i="10" s="1"/>
  <c r="C137" i="10"/>
  <c r="K137" i="10" s="1"/>
  <c r="C621" i="10"/>
  <c r="K621" i="10" s="1"/>
  <c r="D188" i="10"/>
  <c r="L188" i="10" s="1"/>
  <c r="D533" i="10"/>
  <c r="L533" i="10" s="1"/>
  <c r="C207" i="10"/>
  <c r="K207" i="10" s="1"/>
  <c r="C97" i="10"/>
  <c r="K97" i="10" s="1"/>
  <c r="C150" i="10"/>
  <c r="K150" i="10" s="1"/>
  <c r="C178" i="10"/>
  <c r="K178" i="10" s="1"/>
  <c r="C307" i="10"/>
  <c r="K307" i="10" s="1"/>
  <c r="C528" i="10"/>
  <c r="K528" i="10" s="1"/>
  <c r="C537" i="10"/>
  <c r="K537" i="10" s="1"/>
  <c r="C564" i="10"/>
  <c r="K564" i="10" s="1"/>
  <c r="C575" i="10"/>
  <c r="K575" i="10" s="1"/>
  <c r="C336" i="10"/>
  <c r="K336" i="10" s="1"/>
  <c r="C415" i="10"/>
  <c r="K415" i="10" s="1"/>
  <c r="C480" i="10"/>
  <c r="K480" i="10" s="1"/>
  <c r="C568" i="10"/>
  <c r="K568" i="10" s="1"/>
  <c r="C733" i="10"/>
  <c r="K733" i="10" s="1"/>
  <c r="D568" i="10"/>
  <c r="L568" i="10" s="1"/>
  <c r="C426" i="10"/>
  <c r="K426" i="10" s="1"/>
  <c r="C439" i="10"/>
  <c r="K439" i="10" s="1"/>
  <c r="C517" i="10"/>
  <c r="K517" i="10" s="1"/>
  <c r="D344" i="10"/>
  <c r="L344" i="10" s="1"/>
  <c r="C639" i="10"/>
  <c r="K639" i="10" s="1"/>
  <c r="C703" i="10"/>
  <c r="K703" i="10" s="1"/>
  <c r="C941" i="10"/>
  <c r="K941" i="10" s="1"/>
  <c r="C979" i="10"/>
  <c r="K979" i="10" s="1"/>
  <c r="C973" i="10"/>
  <c r="K973" i="10" s="1"/>
  <c r="C907" i="10"/>
  <c r="K907" i="10" s="1"/>
  <c r="C879" i="10"/>
  <c r="K879" i="10" s="1"/>
  <c r="C866" i="10"/>
  <c r="K866" i="10" s="1"/>
  <c r="C854" i="10"/>
  <c r="K854" i="10" s="1"/>
  <c r="C842" i="10"/>
  <c r="K842" i="10" s="1"/>
  <c r="C803" i="10"/>
  <c r="K803" i="10" s="1"/>
  <c r="C787" i="10"/>
  <c r="K787" i="10" s="1"/>
  <c r="C771" i="10"/>
  <c r="K771" i="10" s="1"/>
  <c r="C757" i="10"/>
  <c r="K757" i="10" s="1"/>
  <c r="C746" i="10"/>
  <c r="K746" i="10" s="1"/>
  <c r="C737" i="10"/>
  <c r="K737" i="10" s="1"/>
  <c r="C729" i="10"/>
  <c r="K729" i="10" s="1"/>
  <c r="C710" i="10"/>
  <c r="K710" i="10" s="1"/>
  <c r="C693" i="10"/>
  <c r="K693" i="10" s="1"/>
  <c r="C684" i="10"/>
  <c r="K684" i="10" s="1"/>
  <c r="C1043" i="10"/>
  <c r="K1043" i="10" s="1"/>
  <c r="C947" i="10"/>
  <c r="K947" i="10" s="1"/>
  <c r="C921" i="10"/>
  <c r="K921" i="10" s="1"/>
  <c r="C860" i="10"/>
  <c r="K860" i="10" s="1"/>
  <c r="C846" i="10"/>
  <c r="K846" i="10" s="1"/>
  <c r="C833" i="10"/>
  <c r="K833" i="10" s="1"/>
  <c r="C808" i="10"/>
  <c r="K808" i="10" s="1"/>
  <c r="C778" i="10"/>
  <c r="K778" i="10" s="1"/>
  <c r="C762" i="10"/>
  <c r="K762" i="10" s="1"/>
  <c r="C751" i="10"/>
  <c r="K751" i="10" s="1"/>
  <c r="C740" i="10"/>
  <c r="K740" i="10" s="1"/>
  <c r="C732" i="10"/>
  <c r="K732" i="10" s="1"/>
  <c r="C723" i="10"/>
  <c r="K723" i="10" s="1"/>
  <c r="C714" i="10"/>
  <c r="K714" i="10" s="1"/>
  <c r="C704" i="10"/>
  <c r="K704" i="10" s="1"/>
  <c r="C696" i="10"/>
  <c r="K696" i="10" s="1"/>
  <c r="C687" i="10"/>
  <c r="K687" i="10" s="1"/>
  <c r="C188" i="10"/>
  <c r="K188" i="10" s="1"/>
  <c r="C285" i="10"/>
  <c r="K285" i="10" s="1"/>
  <c r="C557" i="10"/>
  <c r="K557" i="10" s="1"/>
  <c r="C565" i="10"/>
  <c r="K565" i="10" s="1"/>
  <c r="C660" i="10"/>
  <c r="K660" i="10" s="1"/>
  <c r="C668" i="10"/>
  <c r="K668" i="10" s="1"/>
  <c r="C675" i="10"/>
  <c r="K675" i="10" s="1"/>
  <c r="C685" i="10"/>
  <c r="K685" i="10" s="1"/>
  <c r="C697" i="10"/>
  <c r="K697" i="10" s="1"/>
  <c r="C707" i="10"/>
  <c r="K707" i="10" s="1"/>
  <c r="C718" i="10"/>
  <c r="K718" i="10" s="1"/>
  <c r="C730" i="10"/>
  <c r="K730" i="10" s="1"/>
  <c r="C742" i="10"/>
  <c r="K742" i="10" s="1"/>
  <c r="C754" i="10"/>
  <c r="K754" i="10" s="1"/>
  <c r="C772" i="10"/>
  <c r="K772" i="10" s="1"/>
  <c r="C795" i="10"/>
  <c r="K795" i="10" s="1"/>
  <c r="C816" i="10"/>
  <c r="K816" i="10" s="1"/>
  <c r="C843" i="10"/>
  <c r="K843" i="10" s="1"/>
  <c r="C861" i="10"/>
  <c r="K861" i="10" s="1"/>
  <c r="C909" i="10"/>
  <c r="K909" i="10" s="1"/>
  <c r="C955" i="10"/>
  <c r="K955" i="10" s="1"/>
  <c r="C1023" i="10"/>
  <c r="K1023" i="10" s="1"/>
  <c r="C939" i="10"/>
  <c r="K939" i="10" s="1"/>
  <c r="C871" i="10"/>
  <c r="K871" i="10" s="1"/>
  <c r="C824" i="10"/>
  <c r="K824" i="10" s="1"/>
  <c r="C995" i="10"/>
  <c r="K995" i="10" s="1"/>
  <c r="C841" i="10"/>
  <c r="K841" i="10" s="1"/>
  <c r="C965" i="10"/>
  <c r="K965" i="10" s="1"/>
  <c r="C54" i="10"/>
  <c r="K54" i="10" s="1"/>
  <c r="C1051" i="10"/>
  <c r="K1051" i="10" s="1"/>
  <c r="C1007" i="10"/>
  <c r="K1007" i="10" s="1"/>
  <c r="C987" i="10"/>
  <c r="K987" i="10" s="1"/>
  <c r="C969" i="10"/>
  <c r="K969" i="10" s="1"/>
  <c r="C943" i="10"/>
  <c r="K943" i="10" s="1"/>
  <c r="C929" i="10"/>
  <c r="K929" i="10" s="1"/>
  <c r="C917" i="10"/>
  <c r="K917" i="10" s="1"/>
  <c r="C905" i="10"/>
  <c r="K905" i="10" s="1"/>
  <c r="C874" i="10"/>
  <c r="K874" i="10" s="1"/>
  <c r="C869" i="10"/>
  <c r="K869" i="10" s="1"/>
  <c r="C864" i="10"/>
  <c r="K864" i="10" s="1"/>
  <c r="C859" i="10"/>
  <c r="K859" i="10" s="1"/>
  <c r="C852" i="10"/>
  <c r="K852" i="10" s="1"/>
  <c r="C847" i="10"/>
  <c r="K847" i="10" s="1"/>
  <c r="C835" i="10"/>
  <c r="K835" i="10" s="1"/>
  <c r="C830" i="10"/>
  <c r="K830" i="10" s="1"/>
  <c r="C818" i="10"/>
  <c r="K818" i="10" s="1"/>
  <c r="C812" i="10"/>
  <c r="K812" i="10" s="1"/>
  <c r="C806" i="10"/>
  <c r="K806" i="10" s="1"/>
  <c r="C799" i="10"/>
  <c r="K799" i="10" s="1"/>
  <c r="C793" i="10"/>
  <c r="K793" i="10" s="1"/>
  <c r="C785" i="10"/>
  <c r="K785" i="10" s="1"/>
  <c r="C777" i="10"/>
  <c r="K777" i="10" s="1"/>
  <c r="C770" i="10"/>
  <c r="K770" i="10" s="1"/>
  <c r="C763" i="10"/>
  <c r="K763" i="10" s="1"/>
  <c r="C1027" i="10"/>
  <c r="K1027" i="10" s="1"/>
  <c r="C967" i="10"/>
  <c r="K967" i="10" s="1"/>
  <c r="C953" i="10"/>
  <c r="K953" i="10" s="1"/>
  <c r="C927" i="10"/>
  <c r="K927" i="10" s="1"/>
  <c r="C915" i="10"/>
  <c r="K915" i="10" s="1"/>
  <c r="C903" i="10"/>
  <c r="K903" i="10" s="1"/>
  <c r="C889" i="10"/>
  <c r="K889" i="10" s="1"/>
  <c r="C883" i="10"/>
  <c r="K883" i="10" s="1"/>
  <c r="C878" i="10"/>
  <c r="K878" i="10" s="1"/>
  <c r="C868" i="10"/>
  <c r="K868" i="10" s="1"/>
  <c r="C858" i="10"/>
  <c r="K858" i="10" s="1"/>
  <c r="C840" i="10"/>
  <c r="K840" i="10" s="1"/>
  <c r="C829" i="10"/>
  <c r="K829" i="10" s="1"/>
  <c r="C823" i="10"/>
  <c r="K823" i="10" s="1"/>
  <c r="C817" i="10"/>
  <c r="K817" i="10" s="1"/>
  <c r="C805" i="10"/>
  <c r="K805" i="10" s="1"/>
  <c r="C792" i="10"/>
  <c r="K792" i="10" s="1"/>
  <c r="C784" i="10"/>
  <c r="K784" i="10" s="1"/>
  <c r="C776" i="10"/>
  <c r="K776" i="10" s="1"/>
  <c r="C769" i="10"/>
  <c r="K769" i="10" s="1"/>
  <c r="C1039" i="10"/>
  <c r="K1039" i="10" s="1"/>
  <c r="C1019" i="10"/>
  <c r="K1019" i="10" s="1"/>
  <c r="C999" i="10"/>
  <c r="K999" i="10" s="1"/>
  <c r="C975" i="10"/>
  <c r="K975" i="10" s="1"/>
  <c r="C961" i="10"/>
  <c r="K961" i="10" s="1"/>
  <c r="C949" i="10"/>
  <c r="K949" i="10" s="1"/>
  <c r="C937" i="10"/>
  <c r="K937" i="10" s="1"/>
  <c r="C911" i="10"/>
  <c r="K911" i="10" s="1"/>
  <c r="C897" i="10"/>
  <c r="K897" i="10" s="1"/>
  <c r="C886" i="10"/>
  <c r="K886" i="10" s="1"/>
  <c r="C881" i="10"/>
  <c r="K881" i="10" s="1"/>
  <c r="C876" i="10"/>
  <c r="K876" i="10" s="1"/>
  <c r="C850" i="10"/>
  <c r="K850" i="10" s="1"/>
  <c r="C844" i="10"/>
  <c r="K844" i="10" s="1"/>
  <c r="C838" i="10"/>
  <c r="K838" i="10" s="1"/>
  <c r="C832" i="10"/>
  <c r="K832" i="10" s="1"/>
  <c r="C827" i="10"/>
  <c r="K827" i="10" s="1"/>
  <c r="C820" i="10"/>
  <c r="K820" i="10" s="1"/>
  <c r="C815" i="10"/>
  <c r="K815" i="10" s="1"/>
  <c r="C809" i="10"/>
  <c r="K809" i="10" s="1"/>
  <c r="C796" i="10"/>
  <c r="K796" i="10" s="1"/>
  <c r="C789" i="10"/>
  <c r="K789" i="10" s="1"/>
  <c r="C781" i="10"/>
  <c r="K781" i="10" s="1"/>
  <c r="C773" i="10"/>
  <c r="K773" i="10" s="1"/>
  <c r="C760" i="10"/>
  <c r="K760" i="10" s="1"/>
  <c r="C504" i="10"/>
  <c r="K504" i="10" s="1"/>
  <c r="C512" i="10"/>
  <c r="K512" i="10" s="1"/>
  <c r="C519" i="10"/>
  <c r="K519" i="10" s="1"/>
  <c r="C527" i="10"/>
  <c r="K527" i="10" s="1"/>
  <c r="C535" i="10"/>
  <c r="K535" i="10" s="1"/>
  <c r="C543" i="10"/>
  <c r="K543" i="10" s="1"/>
  <c r="C551" i="10"/>
  <c r="K551" i="10" s="1"/>
  <c r="C559" i="10"/>
  <c r="K559" i="10" s="1"/>
  <c r="C566" i="10"/>
  <c r="K566" i="10" s="1"/>
  <c r="C573" i="10"/>
  <c r="K573" i="10" s="1"/>
  <c r="C588" i="10"/>
  <c r="K588" i="10" s="1"/>
  <c r="C596" i="10"/>
  <c r="K596" i="10" s="1"/>
  <c r="C603" i="10"/>
  <c r="K603" i="10" s="1"/>
  <c r="C610" i="10"/>
  <c r="K610" i="10" s="1"/>
  <c r="C617" i="10"/>
  <c r="K617" i="10" s="1"/>
  <c r="C625" i="10"/>
  <c r="K625" i="10" s="1"/>
  <c r="C633" i="10"/>
  <c r="K633" i="10" s="1"/>
  <c r="C646" i="10"/>
  <c r="K646" i="10" s="1"/>
  <c r="C654" i="10"/>
  <c r="K654" i="10" s="1"/>
  <c r="C663" i="10"/>
  <c r="K663" i="10" s="1"/>
  <c r="C670" i="10"/>
  <c r="K670" i="10" s="1"/>
  <c r="C676" i="10"/>
  <c r="K676" i="10" s="1"/>
  <c r="C683" i="10"/>
  <c r="K683" i="10" s="1"/>
  <c r="C691" i="10"/>
  <c r="K691" i="10" s="1"/>
  <c r="C705" i="10"/>
  <c r="K705" i="10" s="1"/>
  <c r="C712" i="10"/>
  <c r="K712" i="10" s="1"/>
  <c r="C720" i="10"/>
  <c r="K720" i="10" s="1"/>
  <c r="C728" i="10"/>
  <c r="K728" i="10" s="1"/>
  <c r="C741" i="10"/>
  <c r="K741" i="10" s="1"/>
  <c r="C748" i="10"/>
  <c r="K748" i="10" s="1"/>
  <c r="C756" i="10"/>
  <c r="K756" i="10" s="1"/>
  <c r="C765" i="10"/>
  <c r="K765" i="10" s="1"/>
  <c r="C775" i="10"/>
  <c r="K775" i="10" s="1"/>
  <c r="C788" i="10"/>
  <c r="K788" i="10" s="1"/>
  <c r="C800" i="10"/>
  <c r="K800" i="10" s="1"/>
  <c r="C810" i="10"/>
  <c r="K810" i="10" s="1"/>
  <c r="C819" i="10"/>
  <c r="K819" i="10" s="1"/>
  <c r="C828" i="10"/>
  <c r="K828" i="10" s="1"/>
  <c r="C837" i="10"/>
  <c r="K837" i="10" s="1"/>
  <c r="C856" i="10"/>
  <c r="K856" i="10" s="1"/>
  <c r="C873" i="10"/>
  <c r="K873" i="10" s="1"/>
  <c r="C880" i="10"/>
  <c r="K880" i="10" s="1"/>
  <c r="C891" i="10"/>
  <c r="K891" i="10" s="1"/>
  <c r="C913" i="10"/>
  <c r="K913" i="10" s="1"/>
  <c r="C933" i="10"/>
  <c r="K933" i="10" s="1"/>
  <c r="C951" i="10"/>
  <c r="K951" i="10" s="1"/>
  <c r="C1011" i="10"/>
  <c r="K1011" i="10" s="1"/>
  <c r="C750" i="10"/>
  <c r="K750" i="10" s="1"/>
  <c r="C758" i="10"/>
  <c r="K758" i="10" s="1"/>
  <c r="C767" i="10"/>
  <c r="K767" i="10" s="1"/>
  <c r="C779" i="10"/>
  <c r="K779" i="10" s="1"/>
  <c r="C791" i="10"/>
  <c r="K791" i="10" s="1"/>
  <c r="C802" i="10"/>
  <c r="K802" i="10" s="1"/>
  <c r="C813" i="10"/>
  <c r="K813" i="10" s="1"/>
  <c r="C821" i="10"/>
  <c r="K821" i="10" s="1"/>
  <c r="C831" i="10"/>
  <c r="K831" i="10" s="1"/>
  <c r="C849" i="10"/>
  <c r="K849" i="10" s="1"/>
  <c r="C867" i="10"/>
  <c r="K867" i="10" s="1"/>
  <c r="C882" i="10"/>
  <c r="K882" i="10" s="1"/>
  <c r="C895" i="10"/>
  <c r="K895" i="10" s="1"/>
  <c r="C957" i="10"/>
  <c r="K957" i="10" s="1"/>
  <c r="C983" i="10"/>
  <c r="K983" i="10" s="1"/>
  <c r="C1047" i="10"/>
  <c r="K1047" i="10" s="1"/>
  <c r="C974" i="10"/>
  <c r="K974" i="10" s="1"/>
  <c r="C888" i="10"/>
  <c r="K888" i="10" s="1"/>
  <c r="C892" i="10"/>
  <c r="K892" i="10" s="1"/>
  <c r="C896" i="10"/>
  <c r="K896" i="10" s="1"/>
  <c r="C900" i="10"/>
  <c r="K900" i="10" s="1"/>
  <c r="C904" i="10"/>
  <c r="K904" i="10" s="1"/>
  <c r="C908" i="10"/>
  <c r="K908" i="10" s="1"/>
  <c r="C912" i="10"/>
  <c r="K912" i="10" s="1"/>
  <c r="C916" i="10"/>
  <c r="K916" i="10" s="1"/>
  <c r="C920" i="10"/>
  <c r="K920" i="10" s="1"/>
  <c r="C924" i="10"/>
  <c r="K924" i="10" s="1"/>
  <c r="C928" i="10"/>
  <c r="K928" i="10" s="1"/>
  <c r="C932" i="10"/>
  <c r="K932" i="10" s="1"/>
  <c r="C936" i="10"/>
  <c r="K936" i="10" s="1"/>
  <c r="C940" i="10"/>
  <c r="K940" i="10" s="1"/>
  <c r="C944" i="10"/>
  <c r="K944" i="10" s="1"/>
  <c r="C948" i="10"/>
  <c r="K948" i="10" s="1"/>
  <c r="C952" i="10"/>
  <c r="K952" i="10" s="1"/>
  <c r="C956" i="10"/>
  <c r="K956" i="10" s="1"/>
  <c r="C960" i="10"/>
  <c r="K960" i="10" s="1"/>
  <c r="C964" i="10"/>
  <c r="K964" i="10" s="1"/>
  <c r="C968" i="10"/>
  <c r="K968" i="10" s="1"/>
  <c r="C972" i="10"/>
  <c r="K972" i="10" s="1"/>
  <c r="C976" i="10"/>
  <c r="K976" i="10" s="1"/>
  <c r="C980" i="10"/>
  <c r="K980" i="10" s="1"/>
  <c r="C984" i="10"/>
  <c r="K984" i="10" s="1"/>
  <c r="C988" i="10"/>
  <c r="K988" i="10" s="1"/>
  <c r="C992" i="10"/>
  <c r="K992" i="10" s="1"/>
  <c r="C996" i="10"/>
  <c r="K996" i="10" s="1"/>
  <c r="C1000" i="10"/>
  <c r="K1000" i="10" s="1"/>
  <c r="C1004" i="10"/>
  <c r="K1004" i="10" s="1"/>
  <c r="C1008" i="10"/>
  <c r="K1008" i="10" s="1"/>
  <c r="C1012" i="10"/>
  <c r="K1012" i="10" s="1"/>
  <c r="C1016" i="10"/>
  <c r="K1016" i="10" s="1"/>
  <c r="C1020" i="10"/>
  <c r="K1020" i="10" s="1"/>
  <c r="C1024" i="10"/>
  <c r="K1024" i="10" s="1"/>
  <c r="C1028" i="10"/>
  <c r="K1028" i="10" s="1"/>
  <c r="C1032" i="10"/>
  <c r="K1032" i="10" s="1"/>
  <c r="C1036" i="10"/>
  <c r="K1036" i="10" s="1"/>
  <c r="C1040" i="10"/>
  <c r="K1040" i="10" s="1"/>
  <c r="C1044" i="10"/>
  <c r="K1044" i="10" s="1"/>
  <c r="C1048" i="10"/>
  <c r="K1048" i="10" s="1"/>
  <c r="C1052" i="10"/>
  <c r="K1052" i="10" s="1"/>
  <c r="C977" i="10"/>
  <c r="K977" i="10" s="1"/>
  <c r="C981" i="10"/>
  <c r="K981" i="10" s="1"/>
  <c r="C985" i="10"/>
  <c r="K985" i="10" s="1"/>
  <c r="C989" i="10"/>
  <c r="K989" i="10" s="1"/>
  <c r="C993" i="10"/>
  <c r="K993" i="10" s="1"/>
  <c r="C997" i="10"/>
  <c r="K997" i="10" s="1"/>
  <c r="C1001" i="10"/>
  <c r="K1001" i="10" s="1"/>
  <c r="C1005" i="10"/>
  <c r="K1005" i="10" s="1"/>
  <c r="C1009" i="10"/>
  <c r="K1009" i="10" s="1"/>
  <c r="C1013" i="10"/>
  <c r="K1013" i="10" s="1"/>
  <c r="C1017" i="10"/>
  <c r="K1017" i="10" s="1"/>
  <c r="C1021" i="10"/>
  <c r="K1021" i="10" s="1"/>
  <c r="C1025" i="10"/>
  <c r="K1025" i="10" s="1"/>
  <c r="C1029" i="10"/>
  <c r="K1029" i="10" s="1"/>
  <c r="C1033" i="10"/>
  <c r="K1033" i="10" s="1"/>
  <c r="C1037" i="10"/>
  <c r="K1037" i="10" s="1"/>
  <c r="C1041" i="10"/>
  <c r="K1041" i="10" s="1"/>
  <c r="C1045" i="10"/>
  <c r="K1045" i="10" s="1"/>
  <c r="C1049" i="10"/>
  <c r="K1049" i="10" s="1"/>
  <c r="C1053" i="10"/>
  <c r="K1053" i="10" s="1"/>
  <c r="C890" i="10"/>
  <c r="K890" i="10" s="1"/>
  <c r="C894" i="10"/>
  <c r="K894" i="10" s="1"/>
  <c r="C898" i="10"/>
  <c r="K898" i="10" s="1"/>
  <c r="C902" i="10"/>
  <c r="K902" i="10" s="1"/>
  <c r="C906" i="10"/>
  <c r="K906" i="10" s="1"/>
  <c r="C910" i="10"/>
  <c r="K910" i="10" s="1"/>
  <c r="C914" i="10"/>
  <c r="K914" i="10" s="1"/>
  <c r="C918" i="10"/>
  <c r="K918" i="10" s="1"/>
  <c r="C922" i="10"/>
  <c r="K922" i="10" s="1"/>
  <c r="C926" i="10"/>
  <c r="K926" i="10" s="1"/>
  <c r="C930" i="10"/>
  <c r="K930" i="10" s="1"/>
  <c r="C934" i="10"/>
  <c r="K934" i="10" s="1"/>
  <c r="C938" i="10"/>
  <c r="K938" i="10" s="1"/>
  <c r="C942" i="10"/>
  <c r="K942" i="10" s="1"/>
  <c r="C946" i="10"/>
  <c r="K946" i="10" s="1"/>
  <c r="C950" i="10"/>
  <c r="K950" i="10" s="1"/>
  <c r="C954" i="10"/>
  <c r="K954" i="10" s="1"/>
  <c r="C958" i="10"/>
  <c r="K958" i="10" s="1"/>
  <c r="C962" i="10"/>
  <c r="K962" i="10" s="1"/>
  <c r="C966" i="10"/>
  <c r="K966" i="10" s="1"/>
  <c r="C970" i="10"/>
  <c r="K970" i="10" s="1"/>
  <c r="C978" i="10"/>
  <c r="K978" i="10" s="1"/>
  <c r="C982" i="10"/>
  <c r="K982" i="10" s="1"/>
  <c r="C986" i="10"/>
  <c r="K986" i="10" s="1"/>
  <c r="C990" i="10"/>
  <c r="K990" i="10" s="1"/>
  <c r="C994" i="10"/>
  <c r="K994" i="10" s="1"/>
  <c r="C998" i="10"/>
  <c r="K998" i="10" s="1"/>
  <c r="C1002" i="10"/>
  <c r="K1002" i="10" s="1"/>
  <c r="C1006" i="10"/>
  <c r="K1006" i="10" s="1"/>
  <c r="C1010" i="10"/>
  <c r="K1010" i="10" s="1"/>
  <c r="C1014" i="10"/>
  <c r="K1014" i="10" s="1"/>
  <c r="C1018" i="10"/>
  <c r="K1018" i="10" s="1"/>
  <c r="C1022" i="10"/>
  <c r="K1022" i="10" s="1"/>
  <c r="C1026" i="10"/>
  <c r="K1026" i="10" s="1"/>
  <c r="C1030" i="10"/>
  <c r="K1030" i="10" s="1"/>
  <c r="C1034" i="10"/>
  <c r="K1034" i="10" s="1"/>
  <c r="C1038" i="10"/>
  <c r="K1038" i="10" s="1"/>
  <c r="C1042" i="10"/>
  <c r="K1042" i="10" s="1"/>
  <c r="C1046" i="10"/>
  <c r="K1046" i="10" s="1"/>
  <c r="C1050" i="10"/>
  <c r="K1050" i="10" s="1"/>
  <c r="E19" i="9" l="1"/>
  <c r="E23" i="9"/>
  <c r="E20" i="9"/>
  <c r="E22" i="9"/>
  <c r="E4" i="9"/>
  <c r="E6" i="9"/>
  <c r="E3" i="9"/>
  <c r="E7" i="9"/>
  <c r="E8" i="9"/>
  <c r="E5" i="9"/>
  <c r="E18" i="9"/>
  <c r="AC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</calcChain>
</file>

<file path=xl/sharedStrings.xml><?xml version="1.0" encoding="utf-8"?>
<sst xmlns="http://schemas.openxmlformats.org/spreadsheetml/2006/main" count="591" uniqueCount="101">
  <si>
    <t>RP</t>
  </si>
  <si>
    <t>AAL</t>
  </si>
  <si>
    <t xml:space="preserve">% of total asset value </t>
  </si>
  <si>
    <t>Housing</t>
  </si>
  <si>
    <t>US$ million</t>
  </si>
  <si>
    <t>Services Sector</t>
  </si>
  <si>
    <t xml:space="preserve">Productive Sector </t>
  </si>
  <si>
    <t>Roads</t>
  </si>
  <si>
    <t>Schools</t>
  </si>
  <si>
    <t>Health Centers</t>
  </si>
  <si>
    <t>no adaptation</t>
  </si>
  <si>
    <t>with adaptation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</si>
  <si>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</si>
  <si>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</si>
  <si>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</si>
  <si>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</si>
  <si>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</si>
  <si>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</si>
  <si>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</si>
  <si>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</si>
  <si>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</si>
  <si>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</si>
  <si>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</si>
  <si>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</si>
  <si>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</si>
  <si>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</si>
  <si>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</si>
  <si>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</si>
  <si>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</si>
  <si>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</si>
  <si>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</si>
  <si>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</si>
  <si>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</si>
  <si>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</si>
  <si>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</si>
  <si>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</si>
  <si>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</si>
  <si>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</si>
  <si>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Number </t>
  </si>
  <si>
    <t>%</t>
  </si>
  <si>
    <t>Base year</t>
  </si>
  <si>
    <t xml:space="preserve">Base year 2020 (no climate change) </t>
  </si>
  <si>
    <t>with socio-economic projections</t>
  </si>
  <si>
    <t>no socio-economic projections</t>
  </si>
  <si>
    <t>Number</t>
  </si>
  <si>
    <t>% of asset</t>
  </si>
  <si>
    <t>km</t>
  </si>
  <si>
    <t>Year 2050 (SSP585, no adaptation, no socio-economic projections)</t>
  </si>
  <si>
    <t>Year 2050 (SSP585,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</si>
  <si>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</si>
  <si>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</si>
  <si>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no adaptation, no socio-economic projections)</t>
  </si>
  <si>
    <t>Year 2050 (SSP126, no adaptation, with socio-economic projections)</t>
  </si>
  <si>
    <t>Year 2050 (SSP126, with adaptation, no socio-economic projections)</t>
  </si>
  <si>
    <t>Year 2050 (SSP126, with adaptation, with socio-economic projections)</t>
  </si>
  <si>
    <t>SSP126</t>
  </si>
  <si>
    <t>SSP585</t>
  </si>
  <si>
    <t xml:space="preserve">Baseline period (1981 - 2016) </t>
  </si>
  <si>
    <t xml:space="preserve">This mock data is based on Iizumi (2019), covering 1981-2016. </t>
  </si>
  <si>
    <t>Crop Yield - Maize</t>
  </si>
  <si>
    <t>Crop Yield - Rice</t>
  </si>
  <si>
    <t>Production loss* (tonne/ha)</t>
  </si>
  <si>
    <t>Reduction (% below expected yield)</t>
  </si>
  <si>
    <t>Production loss* (tonne)</t>
  </si>
  <si>
    <t>*Production based on average expected production of last 5 years</t>
  </si>
  <si>
    <t>Production* (tonne/ha)</t>
  </si>
  <si>
    <t>Production* (tonne)</t>
  </si>
  <si>
    <t>weighted average</t>
  </si>
  <si>
    <t>weighted average (%of damage of total capital in the dataset)</t>
  </si>
  <si>
    <t>housing</t>
  </si>
  <si>
    <t>services</t>
  </si>
  <si>
    <t>sector</t>
  </si>
  <si>
    <t>productive</t>
  </si>
  <si>
    <t>roads</t>
  </si>
  <si>
    <t>schools</t>
  </si>
  <si>
    <t>health centers</t>
  </si>
  <si>
    <t>total asset value</t>
  </si>
  <si>
    <t>asset value (all sectors)</t>
  </si>
  <si>
    <t>%AAL per sector</t>
  </si>
  <si>
    <t>CGE interpolation</t>
  </si>
  <si>
    <t>Services</t>
  </si>
  <si>
    <t>Return Period</t>
  </si>
  <si>
    <t>Exceedance Probability (1/return period)</t>
  </si>
  <si>
    <t>Probable Maximum Losses (US$million)</t>
  </si>
  <si>
    <t>Probable Maximum Losses (% value)</t>
  </si>
  <si>
    <t>Probable Maximum Losses</t>
  </si>
  <si>
    <t>Productive</t>
  </si>
  <si>
    <t>Health centers</t>
  </si>
  <si>
    <t>Probability</t>
  </si>
  <si>
    <t>Estimated Damages (US$ million)</t>
  </si>
  <si>
    <t>Productive sector</t>
  </si>
  <si>
    <t xml:space="preserve">Flood </t>
  </si>
  <si>
    <t>Estimated Damages (% of asset)</t>
  </si>
  <si>
    <t>Risk curves corresponding to flood (national AAL PML sheet) for 2020</t>
  </si>
  <si>
    <t>Simlution results using 2020 estimates</t>
  </si>
  <si>
    <t>% of innundated asset</t>
  </si>
  <si>
    <t>% of asset innundated</t>
  </si>
  <si>
    <t xml:space="preserve">Services </t>
  </si>
  <si>
    <t>Innundation duration</t>
  </si>
  <si>
    <t>Innundation Duration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</si>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</sst>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"/>
    <numFmt numFmtId="167" formatCode="0.000000"/>
    <numFmt numFmtId="168" formatCode="0.0%"/>
    <numFmt numFmtId="169" formatCode="0.0"/>
  </numFmts>
  <fonts count="2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i/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2"/>
      <color rgb="FF0000FF"/>
      <name val="Inherit"/>
    </font>
    <font>
      <u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/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0" xfId="0" applyNumberFormat="1" applyFill="1"/>
    <xf numFmtId="1" fontId="0" fillId="2" borderId="2" xfId="0" applyNumberFormat="1" applyFill="1" applyBorder="1"/>
    <xf numFmtId="1" fontId="0" fillId="2" borderId="3" xfId="0" applyNumberFormat="1" applyFill="1" applyBorder="1"/>
    <xf numFmtId="2" fontId="0" fillId="0" borderId="0" xfId="0" applyNumberFormat="1"/>
    <xf numFmtId="0" fontId="1" fillId="3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9" fontId="1" fillId="0" borderId="0" xfId="0" applyNumberFormat="1" applyFont="1"/>
    <xf numFmtId="0" fontId="1" fillId="3" borderId="3" xfId="0" applyFont="1" applyFill="1" applyBorder="1"/>
    <xf numFmtId="0" fontId="4" fillId="0" borderId="0" xfId="0" applyFont="1"/>
    <xf numFmtId="0" fontId="1" fillId="0" borderId="3" xfId="0" applyFont="1" applyBorder="1" applyAlignment="1">
      <alignment vertical="center"/>
    </xf>
    <xf numFmtId="2" fontId="1" fillId="4" borderId="0" xfId="0" applyNumberFormat="1" applyFont="1" applyFill="1"/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4" borderId="0" xfId="0" applyFont="1" applyFill="1"/>
    <xf numFmtId="2" fontId="1" fillId="0" borderId="1" xfId="0" applyNumberFormat="1" applyFont="1" applyBorder="1"/>
    <xf numFmtId="2" fontId="2" fillId="0" borderId="3" xfId="0" applyNumberFormat="1" applyFont="1" applyBorder="1"/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0" xfId="0" applyNumberFormat="1" applyFont="1"/>
    <xf numFmtId="2" fontId="1" fillId="0" borderId="0" xfId="0" applyNumberFormat="1" applyFont="1" applyAlignment="1">
      <alignment vertical="center"/>
    </xf>
    <xf numFmtId="2" fontId="1" fillId="5" borderId="0" xfId="0" applyNumberFormat="1" applyFont="1" applyFill="1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5" fillId="0" borderId="0" xfId="0" applyNumberFormat="1" applyFont="1"/>
    <xf numFmtId="2" fontId="0" fillId="0" borderId="3" xfId="0" applyNumberFormat="1" applyBorder="1"/>
    <xf numFmtId="2" fontId="6" fillId="0" borderId="0" xfId="0" applyNumberFormat="1" applyFont="1"/>
    <xf numFmtId="0" fontId="7" fillId="0" borderId="0" xfId="0" applyFont="1"/>
    <xf numFmtId="2" fontId="8" fillId="0" borderId="0" xfId="0" applyNumberFormat="1" applyFont="1"/>
    <xf numFmtId="0" fontId="9" fillId="0" borderId="0" xfId="0" applyFont="1"/>
    <xf numFmtId="166" fontId="1" fillId="5" borderId="0" xfId="0" applyNumberFormat="1" applyFont="1" applyFill="1"/>
    <xf numFmtId="0" fontId="10" fillId="0" borderId="0" xfId="0" applyFont="1"/>
    <xf numFmtId="2" fontId="10" fillId="0" borderId="0" xfId="0" applyNumberFormat="1" applyFont="1"/>
    <xf numFmtId="167" fontId="1" fillId="5" borderId="0" xfId="0" applyNumberFormat="1" applyFont="1" applyFill="1"/>
    <xf numFmtId="2" fontId="11" fillId="0" borderId="0" xfId="0" applyNumberFormat="1" applyFont="1"/>
    <xf numFmtId="0" fontId="11" fillId="0" borderId="0" xfId="0" applyFont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9" xfId="0" applyBorder="1"/>
    <xf numFmtId="10" fontId="0" fillId="0" borderId="7" xfId="0" applyNumberFormat="1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2" fontId="2" fillId="0" borderId="11" xfId="0" applyNumberFormat="1" applyFont="1" applyBorder="1"/>
    <xf numFmtId="2" fontId="12" fillId="0" borderId="1" xfId="0" applyNumberFormat="1" applyFont="1" applyBorder="1"/>
    <xf numFmtId="2" fontId="2" fillId="0" borderId="12" xfId="0" applyNumberFormat="1" applyFont="1" applyBorder="1"/>
    <xf numFmtId="2" fontId="1" fillId="0" borderId="9" xfId="0" applyNumberFormat="1" applyFont="1" applyBorder="1"/>
    <xf numFmtId="2" fontId="1" fillId="0" borderId="7" xfId="0" applyNumberFormat="1" applyFont="1" applyBorder="1"/>
    <xf numFmtId="0" fontId="1" fillId="0" borderId="9" xfId="0" applyFont="1" applyBorder="1"/>
    <xf numFmtId="2" fontId="2" fillId="0" borderId="7" xfId="0" applyNumberFormat="1" applyFont="1" applyBorder="1"/>
    <xf numFmtId="2" fontId="2" fillId="0" borderId="10" xfId="0" applyNumberFormat="1" applyFont="1" applyBorder="1"/>
    <xf numFmtId="2" fontId="2" fillId="0" borderId="8" xfId="0" applyNumberFormat="1" applyFont="1" applyBorder="1"/>
    <xf numFmtId="1" fontId="2" fillId="0" borderId="0" xfId="0" applyNumberFormat="1" applyFont="1"/>
    <xf numFmtId="167" fontId="1" fillId="6" borderId="0" xfId="0" applyNumberFormat="1" applyFont="1" applyFill="1"/>
    <xf numFmtId="0" fontId="0" fillId="6" borderId="3" xfId="0" applyFill="1" applyBorder="1"/>
    <xf numFmtId="2" fontId="13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4" fontId="10" fillId="0" borderId="0" xfId="0" applyNumberFormat="1" applyFont="1"/>
    <xf numFmtId="0" fontId="14" fillId="0" borderId="11" xfId="0" applyFont="1" applyBorder="1"/>
    <xf numFmtId="0" fontId="14" fillId="0" borderId="1" xfId="0" applyFont="1" applyBorder="1"/>
    <xf numFmtId="0" fontId="14" fillId="0" borderId="12" xfId="0" applyFont="1" applyBorder="1"/>
    <xf numFmtId="0" fontId="14" fillId="0" borderId="9" xfId="0" applyFont="1" applyBorder="1"/>
    <xf numFmtId="2" fontId="15" fillId="0" borderId="0" xfId="0" applyNumberFormat="1" applyFont="1"/>
    <xf numFmtId="2" fontId="14" fillId="0" borderId="0" xfId="0" applyNumberFormat="1" applyFont="1"/>
    <xf numFmtId="10" fontId="14" fillId="0" borderId="7" xfId="0" applyNumberFormat="1" applyFont="1" applyBorder="1"/>
    <xf numFmtId="0" fontId="14" fillId="0" borderId="0" xfId="0" applyFont="1"/>
    <xf numFmtId="0" fontId="14" fillId="5" borderId="0" xfId="0" applyFont="1" applyFill="1"/>
    <xf numFmtId="0" fontId="14" fillId="0" borderId="7" xfId="0" applyFont="1" applyBorder="1"/>
    <xf numFmtId="0" fontId="16" fillId="0" borderId="10" xfId="0" applyFont="1" applyBorder="1"/>
    <xf numFmtId="0" fontId="14" fillId="0" borderId="3" xfId="0" applyFont="1" applyBorder="1"/>
    <xf numFmtId="2" fontId="15" fillId="0" borderId="3" xfId="0" applyNumberFormat="1" applyFont="1" applyBorder="1"/>
    <xf numFmtId="0" fontId="14" fillId="0" borderId="8" xfId="0" applyFont="1" applyBorder="1"/>
    <xf numFmtId="2" fontId="14" fillId="0" borderId="3" xfId="0" applyNumberFormat="1" applyFont="1" applyBorder="1"/>
    <xf numFmtId="2" fontId="14" fillId="4" borderId="3" xfId="0" applyNumberFormat="1" applyFont="1" applyFill="1" applyBorder="1"/>
    <xf numFmtId="0" fontId="18" fillId="0" borderId="0" xfId="0" applyFont="1"/>
    <xf numFmtId="0" fontId="0" fillId="7" borderId="0" xfId="0" applyFill="1"/>
    <xf numFmtId="0" fontId="0" fillId="8" borderId="0" xfId="0" applyFill="1"/>
    <xf numFmtId="2" fontId="0" fillId="8" borderId="0" xfId="0" applyNumberFormat="1" applyFill="1"/>
    <xf numFmtId="2" fontId="1" fillId="7" borderId="0" xfId="0" applyNumberFormat="1" applyFont="1" applyFill="1" applyAlignment="1">
      <alignment vertical="center"/>
    </xf>
    <xf numFmtId="2" fontId="1" fillId="7" borderId="0" xfId="0" applyNumberFormat="1" applyFont="1" applyFill="1"/>
    <xf numFmtId="0" fontId="19" fillId="7" borderId="0" xfId="0" applyFont="1" applyFill="1"/>
    <xf numFmtId="0" fontId="19" fillId="8" borderId="0" xfId="0" applyFont="1" applyFill="1"/>
    <xf numFmtId="2" fontId="19" fillId="8" borderId="0" xfId="0" applyNumberFormat="1" applyFont="1" applyFill="1"/>
    <xf numFmtId="0" fontId="19" fillId="0" borderId="0" xfId="0" applyFont="1"/>
    <xf numFmtId="0" fontId="20" fillId="0" borderId="0" xfId="0" applyFont="1"/>
    <xf numFmtId="2" fontId="1" fillId="8" borderId="0" xfId="0" applyNumberFormat="1" applyFont="1" applyFill="1"/>
    <xf numFmtId="0" fontId="0" fillId="0" borderId="3" xfId="0" applyBorder="1" applyAlignment="1">
      <alignment horizontal="center"/>
    </xf>
    <xf numFmtId="168" fontId="0" fillId="0" borderId="0" xfId="1" applyNumberFormat="1" applyFont="1"/>
    <xf numFmtId="0" fontId="0" fillId="0" borderId="0" xfId="0" applyFont="1"/>
    <xf numFmtId="0" fontId="0" fillId="0" borderId="3" xfId="0" applyFill="1" applyBorder="1" applyAlignment="1">
      <alignment horizontal="center"/>
    </xf>
    <xf numFmtId="0" fontId="0" fillId="9" borderId="0" xfId="0" applyFill="1"/>
    <xf numFmtId="0" fontId="0" fillId="0" borderId="0" xfId="0" applyFill="1"/>
    <xf numFmtId="0" fontId="7" fillId="0" borderId="0" xfId="0" applyFont="1" applyFill="1"/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 wrapText="1"/>
    </xf>
    <xf numFmtId="2" fontId="1" fillId="4" borderId="0" xfId="0" applyNumberFormat="1" applyFont="1" applyFill="1" applyBorder="1"/>
    <xf numFmtId="2" fontId="14" fillId="4" borderId="0" xfId="0" applyNumberFormat="1" applyFont="1" applyFill="1" applyBorder="1"/>
    <xf numFmtId="2" fontId="1" fillId="0" borderId="0" xfId="0" applyNumberFormat="1" applyFont="1" applyBorder="1"/>
    <xf numFmtId="2" fontId="1" fillId="0" borderId="0" xfId="0" applyNumberFormat="1" applyFont="1"/>
    <xf numFmtId="2" fontId="1" fillId="0" borderId="3" xfId="0" applyNumberFormat="1" applyFont="1" applyBorder="1"/>
    <xf numFmtId="169" fontId="1" fillId="0" borderId="0" xfId="0" applyNumberFormat="1" applyFont="1"/>
    <xf numFmtId="169" fontId="1" fillId="0" borderId="3" xfId="0" applyNumberFormat="1" applyFont="1" applyBorder="1"/>
    <xf numFmtId="1" fontId="1" fillId="0" borderId="0" xfId="0" applyNumberFormat="1" applyFont="1"/>
    <xf numFmtId="1" fontId="1" fillId="0" borderId="3" xfId="0" applyNumberFormat="1" applyFont="1" applyBorder="1"/>
    <xf numFmtId="1" fontId="0" fillId="0" borderId="0" xfId="0" applyNumberFormat="1"/>
    <xf numFmtId="169" fontId="1" fillId="0" borderId="0" xfId="0" applyNumberFormat="1" applyFont="1" applyAlignment="1">
      <alignment vertical="center"/>
    </xf>
    <xf numFmtId="2" fontId="0" fillId="0" borderId="3" xfId="0" applyNumberFormat="1" applyBorder="1"/>
    <xf numFmtId="169" fontId="1" fillId="0" borderId="0" xfId="0" applyNumberFormat="1" applyFont="1" applyFill="1"/>
    <xf numFmtId="2" fontId="1" fillId="0" borderId="0" xfId="0" applyNumberFormat="1" applyFont="1" applyFill="1"/>
    <xf numFmtId="169" fontId="1" fillId="0" borderId="3" xfId="0" applyNumberFormat="1" applyFont="1" applyFill="1" applyBorder="1"/>
    <xf numFmtId="2" fontId="1" fillId="0" borderId="3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Productive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PML)'!$B$6,'Flood (national AAL PML)'!$D$6,'Flood (national AAL PML)'!$F$6,'Flood (national AAL PML)'!$J$6,'Flood (national AAL PML)'!$N$6,'Flood (national AAL PML)'!$R$6,'Flood (national AAL PML)'!$T$6)</c:f>
              <c:numCache>
                <c:formatCode>0.0</c:formatCode>
                <c:ptCount val="7"/>
                <c:pt idx="0">
                  <c:v>92.689411276849498</c:v>
                </c:pt>
                <c:pt idx="1">
                  <c:v>298.13221510010902</c:v>
                </c:pt>
                <c:pt idx="2">
                  <c:v>357.43199441973098</c:v>
                </c:pt>
                <c:pt idx="3">
                  <c:v>162.67653292743401</c:v>
                </c:pt>
                <c:pt idx="4">
                  <c:v>14.263540259444</c:v>
                </c:pt>
                <c:pt idx="5">
                  <c:v>5.5796796168612799</c:v>
                </c:pt>
                <c:pt idx="6" formatCode="0.0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AD-45BA-A8D9-2840E6EACD79}"/>
            </c:ext>
          </c:extLst>
        </c:ser>
        <c:ser>
          <c:idx val="1"/>
          <c:order val="1"/>
          <c:tx>
            <c:v>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Productive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PML)'!$B$7,'Flood (national AAL PML)'!$D$7,'Flood (national AAL PML)'!$F$7,'Flood (national AAL PML)'!$J$7,'Flood (national AAL PML)'!$N$7,'Flood (national AAL PML)'!$R$7,'Flood (national AAL PML)'!$T$7)</c:f>
              <c:numCache>
                <c:formatCode>0.0</c:formatCode>
                <c:ptCount val="7"/>
                <c:pt idx="0">
                  <c:v>107.724089770874</c:v>
                </c:pt>
                <c:pt idx="1">
                  <c:v>344.05970870607399</c:v>
                </c:pt>
                <c:pt idx="2">
                  <c:v>412.41639746037998</c:v>
                </c:pt>
                <c:pt idx="3">
                  <c:v>220.98389066196901</c:v>
                </c:pt>
                <c:pt idx="4">
                  <c:v>16.740495362852698</c:v>
                </c:pt>
                <c:pt idx="5">
                  <c:v>6.38000802737265</c:v>
                </c:pt>
                <c:pt idx="6" formatCode="0.00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AD-45BA-A8D9-2840E6EACD79}"/>
            </c:ext>
          </c:extLst>
        </c:ser>
        <c:ser>
          <c:idx val="2"/>
          <c:order val="2"/>
          <c:tx>
            <c:v>100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Productive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PML)'!$B$8,'Flood (national AAL PML)'!$D$8,'Flood (national AAL PML)'!$F$8,'Flood (national AAL PML)'!$J$8,'Flood (national AAL PML)'!$N$8,'Flood (national AAL PML)'!$R$8,'Flood (national AAL PML)'!$T$8)</c:f>
              <c:numCache>
                <c:formatCode>0.0</c:formatCode>
                <c:ptCount val="7"/>
                <c:pt idx="0">
                  <c:v>148.578348790343</c:v>
                </c:pt>
                <c:pt idx="1">
                  <c:v>471.64262625479699</c:v>
                </c:pt>
                <c:pt idx="2">
                  <c:v>565.35040780021097</c:v>
                </c:pt>
                <c:pt idx="3">
                  <c:v>258.93895755801299</c:v>
                </c:pt>
                <c:pt idx="4">
                  <c:v>21.1765211595519</c:v>
                </c:pt>
                <c:pt idx="5">
                  <c:v>7.93635101199476</c:v>
                </c:pt>
                <c:pt idx="6" formatCode="0.0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AD-45BA-A8D9-2840E6EACD79}"/>
            </c:ext>
          </c:extLst>
        </c:ser>
        <c:ser>
          <c:idx val="3"/>
          <c:order val="3"/>
          <c:tx>
            <c:v>200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Productive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PML)'!$B$9,'Flood (national AAL PML)'!$D$9,'Flood (national AAL PML)'!$F$9,'Flood (national AAL PML)'!$J$9,'Flood (national AAL PML)'!$N$9,'Flood (national AAL PML)'!$R$9,'Flood (national AAL PML)'!$T$9)</c:f>
              <c:numCache>
                <c:formatCode>0.0</c:formatCode>
                <c:ptCount val="7"/>
                <c:pt idx="0">
                  <c:v>154.26320486480299</c:v>
                </c:pt>
                <c:pt idx="1">
                  <c:v>490.57679011763298</c:v>
                </c:pt>
                <c:pt idx="2">
                  <c:v>588.07132005685003</c:v>
                </c:pt>
                <c:pt idx="3">
                  <c:v>267.76727252096498</c:v>
                </c:pt>
                <c:pt idx="4">
                  <c:v>22.024287970326</c:v>
                </c:pt>
                <c:pt idx="5">
                  <c:v>8.2474320175743205</c:v>
                </c:pt>
                <c:pt idx="6" formatCode="0.00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AD-45BA-A8D9-2840E6EAC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46831"/>
        <c:axId val="106143087"/>
      </c:barChart>
      <c:catAx>
        <c:axId val="10614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3087"/>
        <c:crossesAt val="0"/>
        <c:auto val="1"/>
        <c:lblAlgn val="ctr"/>
        <c:lblOffset val="100"/>
        <c:noMultiLvlLbl val="0"/>
      </c:catAx>
      <c:valAx>
        <c:axId val="1061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6831"/>
        <c:crosses val="autoZero"/>
        <c:crossBetween val="between"/>
        <c:majorUnit val="100"/>
        <c:min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76792</xdr:colOff>
      <xdr:row>2</xdr:row>
      <xdr:rowOff>16539</xdr:rowOff>
    </xdr:from>
    <xdr:to>
      <xdr:col>9</xdr:col>
      <xdr:colOff>144722</xdr:colOff>
      <xdr:row>15</xdr:row>
      <xdr:rowOff>241890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0A003-3E46-65AC-6821-5ECC04B9B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b563660\AppData\Local\Microsoft\Windows\INetCache\Content.Outlook\ZF1KWWIX\data%20exchange_CCDR_0308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d (national AAL PML)"/>
      <sheetName val="Calcs"/>
      <sheetName val="Drought (national AAL PML)"/>
      <sheetName val="Flood Affected Population"/>
      <sheetName val="Drought Affected Population"/>
      <sheetName val="Flood AAL (admin 1)"/>
      <sheetName val="Drought AAL (admin 1)"/>
    </sheetNames>
    <sheetDataSet>
      <sheetData sheetId="0" refreshError="1">
        <row r="6">
          <cell r="C6">
            <v>1.5623834261001326</v>
          </cell>
        </row>
        <row r="7">
          <cell r="C7">
            <v>1.8158097039480634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7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8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5B14-E561-4F4E-963F-851A74451728}">
  <dimension ref="A1:O26"/>
  <sheetViews>
    <sheetView topLeftCell="A27" workbookViewId="0">
      <selection activeCell="E38" sqref="E38"/>
    </sheetView>
  </sheetViews>
  <sheetFormatPr defaultColWidth="10.90625" defaultRowHeight="14.5"/>
  <cols>
    <col min="1" max="1" width="21.1796875" customWidth="1"/>
    <col min="3" max="4" width="15.1796875" customWidth="1"/>
  </cols>
  <sheetData>
    <row r="1" spans="1:15">
      <c r="A1" s="58">
        <v>2020</v>
      </c>
    </row>
    <row r="2" spans="1:15">
      <c r="A2" s="59" t="s">
        <v>71</v>
      </c>
      <c r="B2" s="60" t="s">
        <v>1</v>
      </c>
      <c r="C2" s="60" t="s">
        <v>78</v>
      </c>
      <c r="D2" s="60" t="s">
        <v>76</v>
      </c>
      <c r="E2" s="61"/>
    </row>
    <row r="3" spans="1:15">
      <c r="A3" s="62" t="s">
        <v>69</v>
      </c>
      <c r="B3" s="51">
        <f>'Flood (national AAL PML)'!B10</f>
        <v>56.327998339077297</v>
      </c>
      <c r="C3" s="19">
        <f>(B3/D3)*100</f>
        <v>0.94947124831238316</v>
      </c>
      <c r="D3" s="51">
        <f>('Flood (national AAL PML)'!B10*100)/'Flood (national AAL PML)'!C10</f>
        <v>5932.56493434596</v>
      </c>
      <c r="E3" s="63">
        <f>D3/$D$11</f>
        <v>0.1117952645899238</v>
      </c>
    </row>
    <row r="4" spans="1:15">
      <c r="A4" s="62" t="s">
        <v>70</v>
      </c>
      <c r="B4" s="51">
        <f>'Flood (national AAL PML)'!D10</f>
        <v>180.32301130247399</v>
      </c>
      <c r="C4" s="19">
        <f>(B4/D4)*100</f>
        <v>0.92626481422880202</v>
      </c>
      <c r="D4" s="82">
        <f>('Flood (national AAL PML)'!D10*100)/'Flood (national AAL PML)'!E10</f>
        <v>19467.760032816204</v>
      </c>
      <c r="E4" s="63">
        <f t="shared" ref="E4:E8" si="0">D4/$D$11</f>
        <v>0.36685706906329379</v>
      </c>
    </row>
    <row r="5" spans="1:15">
      <c r="A5" s="62" t="s">
        <v>72</v>
      </c>
      <c r="B5" s="51">
        <f>'Flood (national AAL PML)'!F10</f>
        <v>216.188258158633</v>
      </c>
      <c r="C5" s="19">
        <f t="shared" ref="C5:C7" si="1">(B5/D5)*100</f>
        <v>0.92611724198221701</v>
      </c>
      <c r="D5" s="51">
        <f>('Flood (national AAL PML)'!F10*100)/'Flood (national AAL PML)'!G10</f>
        <v>23343.508614083679</v>
      </c>
      <c r="E5" s="63">
        <f t="shared" si="0"/>
        <v>0.43989298909483537</v>
      </c>
    </row>
    <row r="6" spans="1:15">
      <c r="A6" s="62" t="s">
        <v>73</v>
      </c>
      <c r="B6" s="51">
        <f>'Flood (national AAL PML)'!J10</f>
        <v>116.419787069168</v>
      </c>
      <c r="C6" s="19">
        <f t="shared" si="1"/>
        <v>3.2180144353402897</v>
      </c>
      <c r="D6" s="55">
        <f>('Flood (national AAL PML)'!J10*100)/'Flood (national AAL PML)'!K10</f>
        <v>3617.752170115954</v>
      </c>
      <c r="E6" s="63">
        <f t="shared" si="0"/>
        <v>6.8174148206516461E-2</v>
      </c>
    </row>
    <row r="7" spans="1:15" ht="15.5">
      <c r="A7" s="62" t="s">
        <v>74</v>
      </c>
      <c r="B7" s="51">
        <f>'Flood (national AAL PML)'!N10</f>
        <v>8.0799589540424606</v>
      </c>
      <c r="C7" s="19">
        <f t="shared" si="1"/>
        <v>1.3337887641001769</v>
      </c>
      <c r="D7" s="54">
        <f>('Flood (national AAL PML)'!N10*100)/'Flood (national AAL PML)'!O10</f>
        <v>605.79</v>
      </c>
      <c r="E7" s="63">
        <f t="shared" si="0"/>
        <v>1.1415712105205344E-2</v>
      </c>
      <c r="O7" s="52"/>
    </row>
    <row r="8" spans="1:15">
      <c r="A8" s="62" t="s">
        <v>75</v>
      </c>
      <c r="B8" s="51">
        <f>'Flood (national AAL PML)'!R10</f>
        <v>3.10134829387008</v>
      </c>
      <c r="C8" s="19">
        <f>(B8/D8)*100</f>
        <v>3.1339729523035604</v>
      </c>
      <c r="D8" s="55">
        <f>('Flood (national AAL PML)'!R10*100)/'Flood (national AAL PML)'!S10</f>
        <v>98.958999999999989</v>
      </c>
      <c r="E8" s="63">
        <f t="shared" si="0"/>
        <v>1.8648169402251864E-3</v>
      </c>
    </row>
    <row r="9" spans="1:15">
      <c r="A9" s="66"/>
      <c r="B9" s="64"/>
      <c r="C9" s="78">
        <f>SUMPRODUCT(C3:C8,D3:D8)/SUM(D3:D8)</f>
        <v>1.093801493615252</v>
      </c>
      <c r="D9" s="64"/>
      <c r="E9" s="65"/>
      <c r="F9" s="26"/>
    </row>
    <row r="11" spans="1:15">
      <c r="A11" s="50" t="s">
        <v>77</v>
      </c>
      <c r="C11" s="51"/>
      <c r="D11" s="51">
        <f>SUM(D3:D8)</f>
        <v>53066.334751361799</v>
      </c>
    </row>
    <row r="16" spans="1:15">
      <c r="A16" s="58">
        <v>2050</v>
      </c>
    </row>
    <row r="17" spans="1:5">
      <c r="A17" s="83" t="s">
        <v>71</v>
      </c>
      <c r="B17" s="84" t="s">
        <v>1</v>
      </c>
      <c r="C17" s="84" t="s">
        <v>78</v>
      </c>
      <c r="D17" s="84" t="s">
        <v>76</v>
      </c>
      <c r="E17" s="85"/>
    </row>
    <row r="18" spans="1:5">
      <c r="A18" s="86" t="s">
        <v>69</v>
      </c>
      <c r="B18" s="87">
        <f>'Flood (national AAL PML)'!B21</f>
        <v>75.959705965139065</v>
      </c>
      <c r="C18" s="88">
        <f>(B18/D18)*100</f>
        <v>1.2706848387765857</v>
      </c>
      <c r="D18" s="87">
        <f>('Flood (national AAL PML)'!B21*100)/'Flood (national AAL PML)'!C21</f>
        <v>5977.8556922323087</v>
      </c>
      <c r="E18" s="89">
        <f>D18/$D$26</f>
        <v>0.12051895429873685</v>
      </c>
    </row>
    <row r="19" spans="1:5">
      <c r="A19" s="86" t="s">
        <v>70</v>
      </c>
      <c r="B19" s="87">
        <f>'Flood (national AAL PML)'!D21</f>
        <v>206.44406299467846</v>
      </c>
      <c r="C19" s="88">
        <f t="shared" ref="C19:C23" si="2">(B19/D19)*100</f>
        <v>1.0606848387765857</v>
      </c>
      <c r="D19" s="87">
        <f>('Flood (national AAL PML)'!D21*100)/'Flood (national AAL PML)'!E21</f>
        <v>19463.280273977991</v>
      </c>
      <c r="E19" s="89">
        <f t="shared" ref="E19:E22" si="3">D19/$D$26</f>
        <v>0.39239725858405727</v>
      </c>
    </row>
    <row r="20" spans="1:5">
      <c r="A20" s="86" t="s">
        <v>72</v>
      </c>
      <c r="B20" s="87">
        <f>'Flood (national AAL PML)'!F21</f>
        <v>333.53361121602887</v>
      </c>
      <c r="C20" s="88">
        <f t="shared" si="2"/>
        <v>1.4306848387765854</v>
      </c>
      <c r="D20" s="87">
        <f>('Flood (national AAL PML)'!F21*100)/'Flood (national AAL PML)'!G21</f>
        <v>23312.864033789709</v>
      </c>
      <c r="E20" s="89">
        <f t="shared" si="3"/>
        <v>0.47000833404390269</v>
      </c>
    </row>
    <row r="21" spans="1:5">
      <c r="A21" s="86" t="s">
        <v>73</v>
      </c>
      <c r="B21" s="87">
        <f>'Flood (national AAL PML)'!J21</f>
        <v>6.8610879041755997</v>
      </c>
      <c r="C21" s="88">
        <f t="shared" si="2"/>
        <v>1.5065572518083852</v>
      </c>
      <c r="D21" s="87">
        <f>('Flood (national AAL PML)'!J21*100)/'Flood (national AAL PML)'!K21</f>
        <v>455.41501299999993</v>
      </c>
      <c r="E21" s="89">
        <f t="shared" si="3"/>
        <v>9.1815768001936374E-3</v>
      </c>
    </row>
    <row r="22" spans="1:5">
      <c r="A22" s="86" t="s">
        <v>74</v>
      </c>
      <c r="B22" s="87">
        <f>'Flood (national AAL PML)'!N21</f>
        <v>5.8761272571636498</v>
      </c>
      <c r="C22" s="88">
        <f>(B22/D22)*100</f>
        <v>2.009270144297342</v>
      </c>
      <c r="D22" s="87">
        <f>('Flood (national AAL PML)'!N21*100)/'Flood (national AAL PML)'!O21</f>
        <v>292.4508321512227</v>
      </c>
      <c r="E22" s="89">
        <f t="shared" si="3"/>
        <v>5.896072151835254E-3</v>
      </c>
    </row>
    <row r="23" spans="1:5">
      <c r="A23" s="86" t="s">
        <v>75</v>
      </c>
      <c r="B23" s="87">
        <f>'Flood (national AAL PML)'!R21</f>
        <v>1.991046064088565</v>
      </c>
      <c r="C23" s="88">
        <f t="shared" si="2"/>
        <v>2.009270144297342</v>
      </c>
      <c r="D23" s="87">
        <f>('Flood (national AAL PML)'!R21*100)/'Flood (national AAL PML)'!S21</f>
        <v>99.093000000000004</v>
      </c>
      <c r="E23" s="89">
        <f>D23/$D$26</f>
        <v>1.9978041212742985E-3</v>
      </c>
    </row>
    <row r="24" spans="1:5">
      <c r="A24" s="86"/>
      <c r="B24" s="90"/>
      <c r="C24" s="91">
        <f>SUMPRODUCT(C18:C23,D18:D23)/SUM(D18:D23)</f>
        <v>1.2714787296151742</v>
      </c>
      <c r="D24" s="90"/>
      <c r="E24" s="92"/>
    </row>
    <row r="25" spans="1:5">
      <c r="A25" s="86"/>
      <c r="B25" s="90"/>
      <c r="C25" s="90"/>
      <c r="D25" s="90"/>
      <c r="E25" s="92"/>
    </row>
    <row r="26" spans="1:5">
      <c r="A26" s="93" t="s">
        <v>77</v>
      </c>
      <c r="B26" s="94"/>
      <c r="C26" s="95"/>
      <c r="D26" s="95">
        <f>SUM(D18:D23)</f>
        <v>49600.958845151232</v>
      </c>
      <c r="E26" s="9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7FF-A1A7-42AF-8720-D9FDD64B5BE1}">
  <dimension ref="A1:X1053"/>
  <sheetViews>
    <sheetView topLeftCell="A30" zoomScale="50" zoomScaleNormal="50" workbookViewId="0">
      <selection activeCell="A49" sqref="A49"/>
    </sheetView>
  </sheetViews>
  <sheetFormatPr defaultColWidth="8.81640625" defaultRowHeight="14.5"/>
  <cols>
    <col min="1" max="1" width="33.1796875" customWidth="1"/>
    <col min="2" max="2" width="11.81640625" bestFit="1" customWidth="1"/>
    <col min="3" max="3" width="19" bestFit="1" customWidth="1"/>
    <col min="4" max="5" width="14.81640625" bestFit="1" customWidth="1"/>
    <col min="6" max="6" width="12.6328125" bestFit="1" customWidth="1"/>
    <col min="7" max="7" width="11.1796875" bestFit="1" customWidth="1"/>
    <col min="8" max="8" width="12.1796875" bestFit="1" customWidth="1"/>
    <col min="9" max="9" width="12.1796875" customWidth="1"/>
    <col min="10" max="10" width="6.81640625" customWidth="1"/>
    <col min="16" max="16" width="13.7265625" bestFit="1" customWidth="1"/>
    <col min="18" max="18" width="17.54296875" customWidth="1"/>
    <col min="19" max="19" width="13.1796875" bestFit="1" customWidth="1"/>
    <col min="20" max="20" width="22.26953125" customWidth="1"/>
  </cols>
  <sheetData>
    <row r="1" spans="1:16">
      <c r="A1" s="113" t="s">
        <v>93</v>
      </c>
      <c r="J1" s="116"/>
      <c r="K1" s="116"/>
      <c r="L1" s="116"/>
      <c r="M1" s="116"/>
      <c r="N1" s="116"/>
      <c r="O1" s="116"/>
      <c r="P1" s="116"/>
    </row>
    <row r="2" spans="1:16">
      <c r="A2" s="99" t="s">
        <v>3</v>
      </c>
      <c r="J2" s="117"/>
      <c r="K2" s="116"/>
      <c r="L2" s="116"/>
      <c r="M2" s="116"/>
      <c r="N2" s="116"/>
      <c r="O2" s="116"/>
      <c r="P2" s="116"/>
    </row>
    <row r="3" spans="1:16">
      <c r="A3" s="100" t="s">
        <v>81</v>
      </c>
      <c r="B3" s="100">
        <v>1</v>
      </c>
      <c r="C3" s="100">
        <v>10</v>
      </c>
      <c r="D3" s="100">
        <v>25</v>
      </c>
      <c r="E3" s="100">
        <v>100</v>
      </c>
      <c r="F3" s="100">
        <v>200</v>
      </c>
      <c r="J3" s="116"/>
      <c r="K3" s="116"/>
      <c r="L3" s="116"/>
      <c r="M3" s="116"/>
      <c r="N3" s="116"/>
      <c r="O3" s="116"/>
      <c r="P3" s="116"/>
    </row>
    <row r="4" spans="1:16">
      <c r="A4" s="100" t="s">
        <v>82</v>
      </c>
      <c r="B4" s="100">
        <f>1/B3</f>
        <v>1</v>
      </c>
      <c r="C4" s="100">
        <f>1/C3</f>
        <v>0.1</v>
      </c>
      <c r="D4" s="100">
        <f t="shared" ref="D4:F4" si="0">1/D3</f>
        <v>0.04</v>
      </c>
      <c r="E4" s="100">
        <f>1/E3</f>
        <v>0.01</v>
      </c>
      <c r="F4" s="100">
        <f t="shared" si="0"/>
        <v>5.0000000000000001E-3</v>
      </c>
      <c r="J4" s="116"/>
      <c r="K4" s="116"/>
      <c r="L4" s="116"/>
      <c r="M4" s="116"/>
      <c r="N4" s="116"/>
      <c r="O4" s="116"/>
      <c r="P4" s="116"/>
    </row>
    <row r="5" spans="1:16">
      <c r="A5" s="100" t="s">
        <v>83</v>
      </c>
      <c r="B5" s="100">
        <v>0</v>
      </c>
      <c r="C5" s="100">
        <v>92.69</v>
      </c>
      <c r="D5" s="100">
        <v>107.72</v>
      </c>
      <c r="E5" s="100">
        <v>148.58000000000001</v>
      </c>
      <c r="F5" s="100">
        <v>154.26</v>
      </c>
      <c r="J5" s="116"/>
      <c r="K5" s="116"/>
      <c r="L5" s="116"/>
      <c r="M5" s="116"/>
      <c r="N5" s="116"/>
      <c r="O5" s="116"/>
      <c r="P5" s="116"/>
    </row>
    <row r="6" spans="1:16">
      <c r="A6" s="101" t="s">
        <v>84</v>
      </c>
      <c r="B6" s="101">
        <v>0</v>
      </c>
      <c r="C6" s="102">
        <f>'[1]Flood (national AAL PML)'!$C$6</f>
        <v>1.5623834261001326</v>
      </c>
      <c r="D6" s="102">
        <f>'[1]Flood (national AAL PML)'!$C$7</f>
        <v>1.8158097039480634</v>
      </c>
      <c r="E6" s="102">
        <v>2.5</v>
      </c>
      <c r="F6" s="102">
        <v>2.6</v>
      </c>
      <c r="J6" s="116"/>
      <c r="K6" s="116"/>
      <c r="L6" s="116"/>
      <c r="M6" s="116"/>
      <c r="N6" s="116"/>
      <c r="O6" s="116"/>
      <c r="P6" s="116"/>
    </row>
    <row r="8" spans="1:16">
      <c r="A8" s="99" t="s">
        <v>80</v>
      </c>
    </row>
    <row r="9" spans="1:16">
      <c r="A9" s="100" t="s">
        <v>81</v>
      </c>
      <c r="B9" s="100">
        <v>1</v>
      </c>
      <c r="C9" s="100">
        <v>10</v>
      </c>
      <c r="D9" s="100">
        <v>25</v>
      </c>
      <c r="E9" s="100">
        <v>100</v>
      </c>
      <c r="F9" s="100">
        <v>200</v>
      </c>
    </row>
    <row r="10" spans="1:16">
      <c r="A10" s="100" t="s">
        <v>82</v>
      </c>
      <c r="B10" s="100">
        <f>1/B9</f>
        <v>1</v>
      </c>
      <c r="C10" s="100">
        <f>1/C9</f>
        <v>0.1</v>
      </c>
      <c r="D10" s="100">
        <f>1/D9</f>
        <v>0.04</v>
      </c>
      <c r="E10" s="100">
        <f>1/E9</f>
        <v>0.01</v>
      </c>
      <c r="F10" s="100">
        <f>1/F9</f>
        <v>5.0000000000000001E-3</v>
      </c>
    </row>
    <row r="11" spans="1:16">
      <c r="A11" s="100" t="s">
        <v>83</v>
      </c>
      <c r="B11" s="100">
        <v>0</v>
      </c>
      <c r="C11" s="103">
        <v>298.13221510010902</v>
      </c>
      <c r="D11" s="104">
        <v>344.05970870607399</v>
      </c>
      <c r="E11" s="104">
        <v>471.64262625479699</v>
      </c>
      <c r="F11" s="104">
        <v>490.57679011763298</v>
      </c>
    </row>
    <row r="12" spans="1:16">
      <c r="A12" s="101" t="s">
        <v>84</v>
      </c>
      <c r="B12" s="101">
        <v>0</v>
      </c>
      <c r="C12" s="102">
        <v>1.5314150914001201</v>
      </c>
      <c r="D12" s="102">
        <v>1.7673307464551811</v>
      </c>
      <c r="E12" s="102">
        <v>2.42</v>
      </c>
      <c r="F12" s="102">
        <v>2.52</v>
      </c>
      <c r="H12" s="26"/>
      <c r="I12" s="26"/>
    </row>
    <row r="13" spans="1:16">
      <c r="A13" s="101" t="s">
        <v>95</v>
      </c>
      <c r="B13" s="101">
        <v>0</v>
      </c>
      <c r="C13" s="102">
        <v>0.25</v>
      </c>
      <c r="D13" s="102">
        <v>0.28999999999999998</v>
      </c>
      <c r="E13" s="102">
        <v>0.33</v>
      </c>
      <c r="F13" s="102">
        <v>0.34</v>
      </c>
      <c r="H13" s="26"/>
      <c r="I13" s="26"/>
    </row>
    <row r="14" spans="1:16">
      <c r="A14" s="115" t="s">
        <v>98</v>
      </c>
      <c r="B14" s="115">
        <v>0</v>
      </c>
      <c r="C14" s="115">
        <v>7</v>
      </c>
      <c r="D14" s="115">
        <v>8</v>
      </c>
      <c r="E14" s="115">
        <v>14</v>
      </c>
      <c r="F14" s="115">
        <v>21</v>
      </c>
      <c r="H14" s="26"/>
      <c r="I14" s="26"/>
    </row>
    <row r="16" spans="1:16">
      <c r="A16" s="99" t="s">
        <v>86</v>
      </c>
    </row>
    <row r="17" spans="1:24">
      <c r="A17" s="105" t="s">
        <v>81</v>
      </c>
      <c r="B17" s="105">
        <v>1</v>
      </c>
      <c r="C17" s="105">
        <v>10</v>
      </c>
      <c r="D17" s="105">
        <v>25</v>
      </c>
      <c r="E17" s="105">
        <v>100</v>
      </c>
      <c r="F17" s="105">
        <v>200</v>
      </c>
    </row>
    <row r="18" spans="1:24">
      <c r="A18" s="105" t="s">
        <v>82</v>
      </c>
      <c r="B18" s="105">
        <v>1</v>
      </c>
      <c r="C18" s="105">
        <v>0.1</v>
      </c>
      <c r="D18" s="105">
        <v>0.04</v>
      </c>
      <c r="E18" s="105">
        <v>0.01</v>
      </c>
      <c r="F18" s="105">
        <v>5.0000000000000001E-3</v>
      </c>
    </row>
    <row r="19" spans="1:24">
      <c r="A19" s="100" t="s">
        <v>83</v>
      </c>
      <c r="B19" s="105">
        <v>0</v>
      </c>
      <c r="C19" s="104">
        <v>357.43199441973098</v>
      </c>
      <c r="D19" s="104">
        <v>412.41639746037998</v>
      </c>
      <c r="E19" s="104">
        <v>565.35040780021097</v>
      </c>
      <c r="F19" s="104">
        <v>588.07132005685003</v>
      </c>
    </row>
    <row r="20" spans="1:24">
      <c r="A20" s="106" t="s">
        <v>84</v>
      </c>
      <c r="B20" s="101">
        <v>0</v>
      </c>
      <c r="C20" s="107">
        <v>1.5311836807774646</v>
      </c>
      <c r="D20" s="107">
        <v>1.7667284052216539</v>
      </c>
      <c r="E20" s="107">
        <v>2.421874179869953</v>
      </c>
      <c r="F20" s="107">
        <v>2.5192070728478795</v>
      </c>
    </row>
    <row r="21" spans="1:24">
      <c r="A21" s="101" t="s">
        <v>95</v>
      </c>
      <c r="B21" s="101">
        <v>0</v>
      </c>
      <c r="C21" s="107">
        <v>0.28999999999999998</v>
      </c>
      <c r="D21" s="107">
        <v>0.35</v>
      </c>
      <c r="E21" s="107">
        <v>0.39</v>
      </c>
      <c r="F21" s="107">
        <v>0.4</v>
      </c>
    </row>
    <row r="22" spans="1:24">
      <c r="A22" s="108"/>
      <c r="B22" s="108"/>
      <c r="C22" s="108"/>
      <c r="D22" s="108"/>
      <c r="E22" s="108"/>
      <c r="F22" s="108"/>
    </row>
    <row r="23" spans="1:24">
      <c r="A23" s="109" t="s">
        <v>7</v>
      </c>
    </row>
    <row r="24" spans="1:24">
      <c r="A24" s="105" t="s">
        <v>81</v>
      </c>
      <c r="B24" s="105">
        <v>1</v>
      </c>
      <c r="C24" s="105">
        <v>10</v>
      </c>
      <c r="D24" s="105">
        <v>25</v>
      </c>
      <c r="E24" s="105">
        <v>100</v>
      </c>
      <c r="F24" s="105">
        <v>200</v>
      </c>
    </row>
    <row r="25" spans="1:24">
      <c r="A25" s="105" t="s">
        <v>82</v>
      </c>
      <c r="B25" s="105">
        <v>1</v>
      </c>
      <c r="C25" s="105">
        <v>0.1</v>
      </c>
      <c r="D25" s="105">
        <v>0.04</v>
      </c>
      <c r="E25" s="105">
        <v>0.01</v>
      </c>
      <c r="F25" s="105">
        <v>5.0000000000000001E-3</v>
      </c>
      <c r="S25" s="112"/>
      <c r="T25" s="112"/>
      <c r="U25" s="112"/>
      <c r="V25" s="112"/>
      <c r="W25" s="112"/>
      <c r="X25" s="112"/>
    </row>
    <row r="26" spans="1:24">
      <c r="A26" s="100" t="s">
        <v>83</v>
      </c>
      <c r="B26" s="105">
        <v>0</v>
      </c>
      <c r="C26" s="104">
        <v>19.126417432657799</v>
      </c>
      <c r="D26" s="104">
        <v>26.511667626625101</v>
      </c>
      <c r="E26" s="104">
        <v>30.602298933558</v>
      </c>
      <c r="F26" s="104">
        <v>31.846409312708399</v>
      </c>
    </row>
    <row r="27" spans="1:24">
      <c r="A27" s="106" t="s">
        <v>84</v>
      </c>
      <c r="B27" s="101">
        <v>0</v>
      </c>
      <c r="C27" s="110">
        <v>4.9440017308329729</v>
      </c>
      <c r="D27" s="110">
        <v>6.8530204935033172</v>
      </c>
      <c r="E27" s="110">
        <v>7.9104107932226855</v>
      </c>
      <c r="F27" s="110">
        <v>8.232001801550485</v>
      </c>
    </row>
    <row r="28" spans="1:24">
      <c r="A28" s="106"/>
      <c r="B28" s="101"/>
      <c r="C28" s="110"/>
      <c r="D28" s="110"/>
      <c r="E28" s="110"/>
      <c r="F28" s="110"/>
    </row>
    <row r="29" spans="1:24">
      <c r="A29" s="108"/>
      <c r="B29" s="108"/>
      <c r="C29" s="108"/>
      <c r="D29" s="108"/>
      <c r="E29" s="108"/>
      <c r="F29" s="108"/>
    </row>
    <row r="30" spans="1:24">
      <c r="A30" s="109" t="s">
        <v>8</v>
      </c>
      <c r="B30" s="108"/>
      <c r="C30" s="108"/>
      <c r="D30" s="108"/>
      <c r="E30" s="108"/>
      <c r="F30" s="108"/>
    </row>
    <row r="31" spans="1:24">
      <c r="A31" s="105" t="s">
        <v>81</v>
      </c>
      <c r="B31" s="105">
        <v>1</v>
      </c>
      <c r="C31" s="105">
        <v>10</v>
      </c>
      <c r="D31" s="105">
        <v>25</v>
      </c>
      <c r="E31" s="105">
        <v>100</v>
      </c>
      <c r="F31" s="105">
        <v>200</v>
      </c>
    </row>
    <row r="32" spans="1:24">
      <c r="A32" s="105" t="s">
        <v>82</v>
      </c>
      <c r="B32" s="105">
        <v>1</v>
      </c>
      <c r="C32" s="105">
        <v>0.1</v>
      </c>
      <c r="D32" s="105">
        <v>0.04</v>
      </c>
      <c r="E32" s="105">
        <v>0.01</v>
      </c>
      <c r="F32" s="105">
        <v>5.0000000000000001E-3</v>
      </c>
    </row>
    <row r="33" spans="1:6">
      <c r="A33" s="100" t="s">
        <v>83</v>
      </c>
      <c r="B33" s="105">
        <v>0</v>
      </c>
      <c r="C33" s="104">
        <v>14.263540259444</v>
      </c>
      <c r="D33" s="104">
        <v>16.740495362852698</v>
      </c>
      <c r="E33" s="104">
        <v>21.1765211595519</v>
      </c>
      <c r="F33" s="104">
        <v>22.024287970326</v>
      </c>
    </row>
    <row r="34" spans="1:6">
      <c r="A34" s="106" t="s">
        <v>84</v>
      </c>
      <c r="B34" s="101">
        <v>0</v>
      </c>
      <c r="C34" s="110">
        <v>2.3545354428835075</v>
      </c>
      <c r="D34" s="110">
        <v>2.7634155999360668</v>
      </c>
      <c r="E34" s="110">
        <v>3.4956868154891794</v>
      </c>
      <c r="F34" s="110">
        <v>3.6356308242668254</v>
      </c>
    </row>
    <row r="35" spans="1:6">
      <c r="A35" s="106"/>
      <c r="B35" s="101"/>
      <c r="C35" s="110"/>
      <c r="D35" s="110"/>
      <c r="E35" s="110"/>
      <c r="F35" s="110"/>
    </row>
    <row r="36" spans="1:6">
      <c r="A36" s="108"/>
      <c r="B36" s="108"/>
      <c r="C36" s="108"/>
      <c r="D36" s="108"/>
      <c r="E36" s="108"/>
      <c r="F36" s="108"/>
    </row>
    <row r="37" spans="1:6">
      <c r="A37" s="109" t="s">
        <v>87</v>
      </c>
      <c r="B37" s="108"/>
      <c r="C37" s="108"/>
      <c r="D37" s="108"/>
      <c r="E37" s="108"/>
      <c r="F37" s="108"/>
    </row>
    <row r="38" spans="1:6">
      <c r="A38" s="105" t="s">
        <v>81</v>
      </c>
      <c r="B38" s="105">
        <v>1</v>
      </c>
      <c r="C38" s="105">
        <v>10</v>
      </c>
      <c r="D38" s="105">
        <v>25</v>
      </c>
      <c r="E38" s="105">
        <v>100</v>
      </c>
      <c r="F38" s="105">
        <v>200</v>
      </c>
    </row>
    <row r="39" spans="1:6">
      <c r="A39" s="105" t="s">
        <v>82</v>
      </c>
      <c r="B39" s="105">
        <v>1</v>
      </c>
      <c r="C39" s="105">
        <v>0.1</v>
      </c>
      <c r="D39" s="105">
        <v>0.04</v>
      </c>
      <c r="E39" s="105">
        <v>0.01</v>
      </c>
      <c r="F39" s="105">
        <v>5.0000000000000001E-3</v>
      </c>
    </row>
    <row r="40" spans="1:6">
      <c r="A40" s="100" t="s">
        <v>83</v>
      </c>
      <c r="B40" s="105">
        <v>0</v>
      </c>
      <c r="C40" s="104">
        <v>5.5796796168612799</v>
      </c>
      <c r="D40" s="104">
        <v>6.38000802737265</v>
      </c>
      <c r="E40" s="104">
        <v>7.93635101199476</v>
      </c>
      <c r="F40" s="104">
        <v>8.2474320175743205</v>
      </c>
    </row>
    <row r="41" spans="1:6">
      <c r="A41" s="106" t="s">
        <v>85</v>
      </c>
      <c r="B41" s="101">
        <v>0</v>
      </c>
      <c r="C41" s="110">
        <v>5.6383751016696619</v>
      </c>
      <c r="D41" s="110">
        <v>6.4471225733613418</v>
      </c>
      <c r="E41" s="110">
        <v>8.0198375205840406</v>
      </c>
      <c r="F41" s="110">
        <v>8.3341909453150507</v>
      </c>
    </row>
    <row r="42" spans="1:6">
      <c r="A42" s="106"/>
      <c r="B42" s="101"/>
      <c r="C42" s="110"/>
      <c r="D42" s="110"/>
      <c r="E42" s="110"/>
      <c r="F42" s="110"/>
    </row>
    <row r="43" spans="1:6">
      <c r="A43" s="108"/>
      <c r="B43" s="108"/>
      <c r="C43" s="108"/>
      <c r="D43" s="108"/>
      <c r="E43" s="108"/>
      <c r="F43" s="108"/>
    </row>
    <row r="44" spans="1:6">
      <c r="A44" s="109" t="s">
        <v>100</v>
      </c>
      <c r="B44" s="108"/>
      <c r="C44" s="108"/>
      <c r="D44" s="108"/>
      <c r="E44" s="108"/>
      <c r="F44" s="108"/>
    </row>
    <row r="45" spans="1:6">
      <c r="A45" s="105" t="s">
        <v>81</v>
      </c>
      <c r="B45" s="105">
        <v>1</v>
      </c>
      <c r="C45" s="105">
        <v>10</v>
      </c>
      <c r="D45" s="105">
        <v>25</v>
      </c>
      <c r="E45" s="105">
        <v>100</v>
      </c>
      <c r="F45" s="105">
        <v>200</v>
      </c>
    </row>
    <row r="46" spans="1:6">
      <c r="A46" s="105" t="s">
        <v>82</v>
      </c>
      <c r="B46" s="105">
        <v>1</v>
      </c>
      <c r="C46" s="105">
        <v>0.1</v>
      </c>
      <c r="D46" s="105">
        <v>0.04</v>
      </c>
      <c r="E46" s="105">
        <v>0.01</v>
      </c>
      <c r="F46" s="105">
        <v>5.0000000000000001E-3</v>
      </c>
    </row>
    <row r="47" spans="1:6">
      <c r="A47" s="100" t="s">
        <v>83</v>
      </c>
      <c r="B47" s="105">
        <v>0</v>
      </c>
      <c r="C47" s="104">
        <v>144</v>
      </c>
      <c r="D47" s="104">
        <v>242</v>
      </c>
      <c r="E47" s="104">
        <v>330</v>
      </c>
      <c r="F47" s="104">
        <v>540</v>
      </c>
    </row>
    <row r="48" spans="1:6">
      <c r="A48" s="106"/>
      <c r="B48" s="101"/>
      <c r="C48" s="110"/>
      <c r="D48" s="110"/>
      <c r="E48" s="110"/>
      <c r="F48" s="110"/>
    </row>
    <row r="49" spans="1:20">
      <c r="A49" s="106"/>
      <c r="B49" s="101"/>
      <c r="C49" s="110"/>
      <c r="D49" s="110"/>
      <c r="E49" s="110"/>
      <c r="F49" s="110"/>
    </row>
    <row r="50" spans="1:20">
      <c r="A50" s="50" t="s">
        <v>94</v>
      </c>
    </row>
    <row r="52" spans="1:20">
      <c r="A52" s="60" t="s">
        <v>91</v>
      </c>
      <c r="B52" s="60" t="s">
        <v>88</v>
      </c>
      <c r="C52" s="119" t="s">
        <v>89</v>
      </c>
      <c r="D52" s="119"/>
      <c r="E52" s="119"/>
      <c r="F52" s="119"/>
      <c r="G52" s="119"/>
      <c r="H52" s="119"/>
      <c r="I52" s="119"/>
      <c r="J52" s="119"/>
      <c r="K52" s="119" t="s">
        <v>92</v>
      </c>
      <c r="L52" s="119"/>
      <c r="M52" s="119"/>
      <c r="N52" s="119"/>
      <c r="O52" s="119"/>
      <c r="P52" s="119"/>
      <c r="Q52" s="119"/>
      <c r="R52" s="60" t="s">
        <v>96</v>
      </c>
      <c r="S52" s="60"/>
      <c r="T52" s="60" t="s">
        <v>99</v>
      </c>
    </row>
    <row r="53" spans="1:20">
      <c r="A53" s="64"/>
      <c r="B53" s="64"/>
      <c r="C53" s="111" t="s">
        <v>3</v>
      </c>
      <c r="D53" s="111" t="s">
        <v>80</v>
      </c>
      <c r="E53" s="111" t="s">
        <v>90</v>
      </c>
      <c r="F53" s="111" t="s">
        <v>7</v>
      </c>
      <c r="G53" s="111" t="s">
        <v>8</v>
      </c>
      <c r="H53" s="111" t="s">
        <v>87</v>
      </c>
      <c r="I53" s="111" t="s">
        <v>100</v>
      </c>
      <c r="J53" s="111"/>
      <c r="K53" s="111" t="s">
        <v>3</v>
      </c>
      <c r="L53" s="111" t="s">
        <v>80</v>
      </c>
      <c r="M53" s="111" t="s">
        <v>90</v>
      </c>
      <c r="N53" s="111" t="s">
        <v>7</v>
      </c>
      <c r="O53" s="111" t="s">
        <v>8</v>
      </c>
      <c r="P53" s="111" t="s">
        <v>87</v>
      </c>
      <c r="Q53" s="111"/>
      <c r="R53" s="114" t="s">
        <v>97</v>
      </c>
      <c r="S53" s="114" t="s">
        <v>86</v>
      </c>
      <c r="T53" s="64"/>
    </row>
    <row r="54" spans="1:20">
      <c r="A54">
        <v>1</v>
      </c>
      <c r="B54">
        <v>9.8155930583614603E-2</v>
      </c>
      <c r="C54" s="1">
        <f>IF($B54&lt;=0.005,$F$5,IF(B54&lt;=0.01,$F$5+($B54-0.005)*SLOPE($E$5:$F$5,$E$4:$F$4),IF($B54&lt;=0.04,$E$5+($B54-0.01)*SLOPE($D$5:$E$5,$D$4:$E$4),IF($B54&lt;=0.1,$D$5+($B54-0.04)*SLOPE($C$5:$D$5,$C$4:$D$4),IF($B54&lt;=1,$C$5+($B54-0.1)*SLOPE($B$5:$C$5,$B$4:$C$4),)))))</f>
        <v>93.151939388804536</v>
      </c>
      <c r="D54" s="1">
        <f>IF($B54&lt;=0.005,$F$11,IF($B54&lt;=0.01,$F$11+($B54-0.005)*SLOPE($E$11:$F$11,$E$10:$F$10),IF($B54&lt;=0.04,$E$11+($B54-0.01)*SLOPE($D$11:$E$11,$D$10:$E$10),IF($B54&lt;=0.1,$D$11+($B54-0.04)*SLOPE($C$11:$D$11,$C$10:$D$10),IF($B54&lt;=1,$C$11+($B54-0.1)*SLOPE($B$11:$C$11,$B$10:$C$10),)))))</f>
        <v>299.54377320560894</v>
      </c>
      <c r="E54" s="1">
        <f>IF($B54&lt;=0.005,$F$19,IF($B54&lt;=0.01,$F$19+($B54-0.005)*SLOPE($E$19:$F$19,$E$18:$F$18),IF($B54&lt;=0.04,$E$19+($B54-0.01)*SLOPE($D$19:$E$19,$D$18:$E$18),IF($B54&lt;=0.1,$D$19+($B54-0.04)*SLOPE($C$19:$D$19,$C$18:$D$18),IF($B54&lt;=1,$C$19+($B54-0.1)*SLOPE($B$19:$C$19,$B$18:$C$18),)))))</f>
        <v>359.12191202015549</v>
      </c>
      <c r="F54" s="1">
        <f>IF($B54&lt;=0.005,$F$26,IF($B54&lt;=0.01,$F$26+($B54-0.005)*SLOPE($E$26:$F$26,$E$25:$F$25),IF($B54&lt;=0.04,$E$26+($B54-0.01)*SLOPE($D$26:$E$26,$D$25:$E$25),IF($B54&lt;=0.1,$D$26+($B54-0.04)*SLOPE($C$26:$D$26,$C$25:$D$25),IF($B54&lt;=1,$C$26+($B54-0.1)*SLOPE($B$26:$C$26,$B$25:$C$25),)))))</f>
        <v>19.353399332908623</v>
      </c>
      <c r="G54" s="1">
        <f>IF($B54&lt;=0.005,$F$33,IF($B54&lt;=0.01,$F$33+($B54-0.005)*SLOPE($E$33:$F$33,$E$32:$F$32),IF($B54&lt;=0.04,$E$33+($B54-0.01)*SLOPE($D$33:$E$33,$D$32:$E$32),IF($B54&lt;=0.1,$D$33+($B54-0.04)*SLOPE($C$33:$D$33,$C$32:$D$32),IF($B54&lt;=1,$C$33+($B54-0.1)*SLOPE($B$33:$C$33,$B$32:$C$32),)))))</f>
        <v>14.339668211976594</v>
      </c>
      <c r="H54" s="1">
        <f>IF($B54&lt;=0.005,$F$40,IF($B54&lt;=0.01,$F$40+($B54-0.005)*SLOPE($E$40:$F$40,$E$39:$F$39),IF($B54&lt;=0.04,$E$40+($B54-0.01)*SLOPE($D$40:$E$40,$D$39:$E$39),IF($B54&lt;=0.1,$D$40+($B54-0.04)*SLOPE($C$40:$D$40,$C$39:$D$39),IF($B54&lt;=1,$C$40+($B54-0.1)*SLOPE($B$40:$C$40,$B$39:$C$39),)))))</f>
        <v>5.604277302609419</v>
      </c>
      <c r="I54" s="1">
        <f>IF($B54&lt;=0.005,$F$47,IF($B54&lt;=0.01,$F$47+($B54-0.005)*SLOPE($E$47:$F$47,$E$46:$F$46),IF($B54&lt;=0.04,$E$47+($B54-0.01)*SLOPE($D$47:$E$47,$D$46:$E$46),IF($B54&lt;=0.1,$D$47+($B54-0.04)*SLOPE($C$47:$D$47,$C$46:$D$46),IF($B54&lt;=1,$C$47+($B54-0.1)*SLOPE($B$47:$C$47,$B$46:$C$46),)))))</f>
        <v>147.0119800467628</v>
      </c>
      <c r="K54" s="112">
        <f>C54/'CGE-Flood Weighted Av Calcs'!$D$3</f>
        <v>1.5701798533971571E-2</v>
      </c>
      <c r="L54" s="112">
        <f>D54/'CGE-Flood Weighted Av Calcs'!$D$4</f>
        <v>1.5386658388056829E-2</v>
      </c>
      <c r="M54" s="112">
        <f>E54/'CGE-Flood Weighted Av Calcs'!$D$5</f>
        <v>1.5384230278197722E-2</v>
      </c>
      <c r="N54" s="112">
        <f>F54/'CGE-Flood Weighted Av Calcs'!$D$6</f>
        <v>5.3495647083775556E-3</v>
      </c>
      <c r="O54" s="112">
        <f>G54/'CGE-Flood Weighted Av Calcs'!$D$7</f>
        <v>2.3671021660932989E-2</v>
      </c>
      <c r="P54" s="112">
        <f>H54/'CGE-Flood Weighted Av Calcs'!$D$8</f>
        <v>5.6632315429717556E-2</v>
      </c>
      <c r="R54" s="1">
        <f>IF($B54&lt;=0.005,$F$13,IF($B54&lt;=0.01,$F$13+($B54-0.005)*SLOPE($E$13:$F$13,$E$10:$F$10),IF($B54&lt;=0.04,$E$13+($B54-0.01)*SLOPE($D$13:$E$13,$D$10:$E$10),IF($B54&lt;=0.1,$D$13+($B54-0.04)*SLOPE($C$13:$D$13,$C$10:$D$10),IF($B54&lt;=1,$C$13+($B54-0.1)*SLOPE($B$13:$C$13,$B$10:$C$10),)))))</f>
        <v>0.25122937961092362</v>
      </c>
      <c r="S54" s="1">
        <f>IF($B54&lt;=0.005,$F$21,IF($B54&lt;=0.01,$F$21+($B54-0.005)*SLOPE($E$21:$F$21,$E$18:$F$18),IF($B54&lt;=0.04,$E$21+($B54-0.01)*SLOPE($D$21:$E$21,$D$18:$E$18),IF($B54&lt;=0.1,$D$21+($B54-0.04)*SLOPE($C$21:$D$21,$C$18:$D$18),IF($B54&lt;=1,$C$21+($B54-0.1)*SLOPE($B$21:$C$21,$B$18:$C$18),)))))</f>
        <v>0.29184406941638541</v>
      </c>
      <c r="T54" s="1">
        <f>IF($B54&lt;=0.005,$F$14,IF($B54&lt;=0.01,$F$14+($B54-0.005)*SLOPE($E$14:$F$14,$E$10:$F$10),IF($B54&lt;=0.04,$E$14+($B54-0.01)*SLOPE($D$14:$E$14,$D$10:$E$10),IF($B54&lt;=0.1,$D$14+($B54-0.04)*SLOPE($C$14:$D$14,$C$10:$D$10),IF($B54&lt;=1,$C$14+($B54-0.1)*SLOPE($B$14:$C$14,$B$10:$C$10),)))))</f>
        <v>7.0307344902730904</v>
      </c>
    </row>
    <row r="55" spans="1:20">
      <c r="A55">
        <v>2</v>
      </c>
      <c r="B55">
        <v>0.54591558262379414</v>
      </c>
      <c r="C55" s="1">
        <f t="shared" ref="C55:C118" si="1">IF($B55&lt;=0.005,$F$5,IF(B55&lt;=0.01,$F$5+($B55-0.005)*SLOPE($E$5:$F$5,$E$4:$F$4),IF($B55&lt;=0.04,$E$5+($B55-0.01)*SLOPE($D$5:$E$5,$D$4:$E$4),IF($B55&lt;=0.1,$D$5+($B55-0.04)*SLOPE($C$5:$D$5,$C$4:$D$4),IF($B55&lt;=1,$C$5+($B55-0.1)*SLOPE($B$5:$C$5,$B$4:$C$4),)))))</f>
        <v>46.76564960733392</v>
      </c>
      <c r="D55" s="1">
        <f>IF($B55&lt;=0.005,$F$11,IF($B55&lt;=0.01,$F$11+($B55-0.005)*SLOPE($E$11:$F$11,$E$10:$F$10),IF($B55&lt;=0.04,$E$11+($B55-0.01)*SLOPE($D$11:$E$11,$D$10:$E$10),IF($B55&lt;=0.1,$D$11+($B55-0.04)*SLOPE($C$11:$D$11,$C$10:$D$10),IF($B55&lt;=1,$C$11+($B55-0.1)*SLOPE($B$11:$C$11,$B$10:$C$10),)))))</f>
        <v>150.41910354978967</v>
      </c>
      <c r="E55" s="1">
        <f>IF($B55&lt;=0.005,$F$19,IF($B55&lt;=0.01,$F$19+($B55-0.005)*SLOPE($E$19:$F$19,$E$18:$F$18),IF($B55&lt;=0.04,$E$19+($B55-0.01)*SLOPE($D$19:$E$19,$D$18:$E$18),IF($B55&lt;=0.1,$D$19+($B55-0.04)*SLOPE($C$19:$D$19,$C$18:$D$18),IF($B55&lt;=1,$C$19+($B55-0.1)*SLOPE($B$19:$C$19,$B$18:$C$18),)))))</f>
        <v>180.33810993077645</v>
      </c>
      <c r="F55" s="1">
        <f t="shared" ref="F55:F118" si="2">IF($B55&lt;=0.005,$F$26,IF($B55&lt;=0.01,$F$26+($B55-0.005)*SLOPE($E$26:$F$26,$E$25:$F$25),IF($B55&lt;=0.04,$E$26+($B55-0.01)*SLOPE($D$26:$E$26,$D$25:$E$25),IF($B55&lt;=0.1,$D$26+($B55-0.04)*SLOPE($C$26:$D$26,$C$25:$D$25),IF($B55&lt;=1,$C$26+($B55-0.1)*SLOPE($B$26:$C$26,$B$25:$C$25),)))))</f>
        <v>9.6500090182250258</v>
      </c>
      <c r="G55" s="1">
        <f>IF($B55&lt;=0.005,$F$33,IF($B55&lt;=0.01,$F$33+($B55-0.005)*SLOPE($E$33:$F$33,$E$32:$F$32),IF($B55&lt;=0.04,$E$33+($B55-0.01)*SLOPE($D$33:$E$33,$D$32:$E$32),IF($B55&lt;=0.1,$D$33+($B55-0.04)*SLOPE($C$33:$D$33,$C$32:$D$32),IF($B55&lt;=1,$C$33+($B55-0.1)*SLOPE($B$33:$C$33,$B$32:$C$32),)))))</f>
        <v>7.1965015204796501</v>
      </c>
      <c r="H55" s="1">
        <f t="shared" ref="H55:H118" si="3">IF($B55&lt;=0.005,$F$40,IF($B55&lt;=0.01,$F$40+($B55-0.005)*SLOPE($E$40:$F$40,$E$39:$F$39),IF($B55&lt;=0.04,$E$40+($B55-0.01)*SLOPE($D$40:$E$40,$D$39:$E$39),IF($B55&lt;=0.1,$D$40+($B55-0.04)*SLOPE($C$40:$D$40,$C$39:$D$39),IF($B55&lt;=1,$C$40+($B55-0.1)*SLOPE($B$40:$C$40,$B$39:$C$39),)))))</f>
        <v>2.8151617421870507</v>
      </c>
      <c r="I55" s="1">
        <f t="shared" ref="I55:I118" si="4">IF($B55&lt;=0.005,$F$47,IF($B55&lt;=0.01,$F$47+($B55-0.005)*SLOPE($E$47:$F$47,$E$46:$F$46),IF($B55&lt;=0.04,$E$47+($B55-0.01)*SLOPE($D$47:$E$47,$D$46:$E$46),IF($B55&lt;=0.1,$D$47+($B55-0.04)*SLOPE($C$47:$D$47,$C$46:$D$46),IF($B55&lt;=1,$C$47+($B55-0.1)*SLOPE($B$47:$C$47,$B$46:$C$46),)))))</f>
        <v>72.653506780192927</v>
      </c>
      <c r="K55" s="112">
        <f>C55/'CGE-Flood Weighted Av Calcs'!$D$3</f>
        <v>7.8828719322715061E-3</v>
      </c>
      <c r="L55" s="112">
        <f>D55/'CGE-Flood Weighted Av Calcs'!$D$4</f>
        <v>7.7265747726617141E-3</v>
      </c>
      <c r="M55" s="112">
        <f>E55/'CGE-Flood Weighted Av Calcs'!$D$5</f>
        <v>7.7254072175754378E-3</v>
      </c>
      <c r="N55" s="112">
        <f>F55/'CGE-Flood Weighted Av Calcs'!$D$6</f>
        <v>2.6674046657860838E-3</v>
      </c>
      <c r="O55" s="112">
        <f>G55/'CGE-Flood Weighted Av Calcs'!$D$7</f>
        <v>1.1879531719704271E-2</v>
      </c>
      <c r="P55" s="112">
        <f>H55/'CGE-Flood Weighted Av Calcs'!$D$8</f>
        <v>2.8447758588779706E-2</v>
      </c>
      <c r="R55" s="1">
        <f t="shared" ref="R55:R118" si="5">IF($B55&lt;=0.005,$F$13,IF($B55&lt;=0.01,$F$13+($B55-0.005)*SLOPE($E$13:$F$13,$E$10:$F$10),IF($B55&lt;=0.04,$E$13+($B55-0.01)*SLOPE($D$13:$E$13,$D$10:$E$10),IF($B55&lt;=0.1,$D$13+($B55-0.04)*SLOPE($C$13:$D$13,$C$10:$D$10),IF($B55&lt;=1,$C$13+($B55-0.1)*SLOPE($B$13:$C$13,$B$10:$C$10),)))))</f>
        <v>0.12613456038227938</v>
      </c>
      <c r="S55" s="1">
        <f t="shared" ref="S55:S118" si="6">IF($B55&lt;=0.005,$F$21,IF($B55&lt;=0.01,$F$21+($B55-0.005)*SLOPE($E$21:$F$21,$E$18:$F$18),IF($B55&lt;=0.04,$E$21+($B55-0.01)*SLOPE($D$21:$E$21,$D$18:$E$18),IF($B55&lt;=0.1,$D$21+($B55-0.04)*SLOPE($C$21:$D$21,$C$18:$D$18),IF($B55&lt;=1,$C$21+($B55-0.1)*SLOPE($B$21:$C$21,$B$18:$C$18),)))))</f>
        <v>0.14631609004344409</v>
      </c>
      <c r="T55" s="1">
        <f t="shared" ref="T55:T118" si="7">IF($B55&lt;=0.005,$F$14,IF($B55&lt;=0.01,$F$14+($B55-0.005)*SLOPE($E$14:$F$14,$E$10:$F$10),IF($B55&lt;=0.04,$E$14+($B55-0.01)*SLOPE($D$14:$E$14,$D$10:$E$10),IF($B55&lt;=0.1,$D$14+($B55-0.04)*SLOPE($C$14:$D$14,$C$10:$D$10),IF($B55&lt;=1,$C$14+($B55-0.1)*SLOPE($B$14:$C$14,$B$10:$C$10),)))))</f>
        <v>3.5317676907038238</v>
      </c>
    </row>
    <row r="56" spans="1:20">
      <c r="A56">
        <v>3</v>
      </c>
      <c r="B56">
        <v>0.93148229453867082</v>
      </c>
      <c r="C56" s="1">
        <f>IF($B56&lt;=0.005,$F$5,IF(B56&lt;=0.01,$F$5+($B56-0.005)*SLOPE($E$5:$F$5,$E$4:$F$4),IF($B56&lt;=0.04,$E$5+($B56-0.01)*SLOPE($D$5:$E$5,$D$4:$E$4),IF($B56&lt;=0.1,$D$5+($B56-0.04)*SLOPE($C$5:$D$5,$C$4:$D$4),IF($B56&lt;=1,$C$5+($B56-0.1)*SLOPE($B$5:$C$5,$B$4:$C$4),)))))</f>
        <v>7.0565623546784622</v>
      </c>
      <c r="D56" s="1">
        <f>IF($B56&lt;=0.005,$F$11,IF($B56&lt;=0.01,$F$11+($B56-0.005)*SLOPE($E$11:$F$11,$E$10:$F$10),IF($B56&lt;=0.04,$E$11+($B56-0.01)*SLOPE($D$11:$E$11,$D$10:$E$10),IF($B56&lt;=0.1,$D$11+($B56-0.04)*SLOPE($C$11:$D$11,$C$10:$D$10),IF($B56&lt;=1,$C$11+($B56-0.1)*SLOPE($B$11:$C$11,$B$10:$C$10),)))))</f>
        <v>22.697039225292144</v>
      </c>
      <c r="E56" s="1">
        <f t="shared" ref="E56:E119" si="8">IF($B56&lt;=0.005,$F$19,IF($B56&lt;=0.01,$F$19+($B56-0.005)*SLOPE($E$19:$F$19,$E$18:$F$18),IF($B56&lt;=0.04,$E$19+($B56-0.01)*SLOPE($D$19:$E$19,$D$18:$E$18),IF($B56&lt;=0.1,$D$19+($B56-0.04)*SLOPE($C$19:$D$19,$C$18:$D$18),IF($B56&lt;=1,$C$19+($B56-0.1)*SLOPE($B$19:$C$19,$B$18:$C$18),)))))</f>
        <v>27.211577906785124</v>
      </c>
      <c r="F56" s="1">
        <f>IF($B56&lt;=0.005,$F$26,IF($B56&lt;=0.01,$F$26+($B56-0.005)*SLOPE($E$26:$F$26,$E$25:$F$25),IF($B56&lt;=0.04,$E$26+($B56-0.01)*SLOPE($D$26:$E$26,$D$25:$E$25),IF($B56&lt;=0.1,$D$26+($B56-0.04)*SLOPE($C$26:$D$26,$C$25:$D$25),IF($B56&lt;=1,$C$26+($B56-0.1)*SLOPE($B$26:$C$26,$B$25:$C$25),)))))</f>
        <v>1.4561091513125319</v>
      </c>
      <c r="G56" s="1">
        <f t="shared" ref="G56:G119" si="9">IF($B56&lt;=0.005,$F$33,IF($B56&lt;=0.01,$F$33+($B56-0.005)*SLOPE($E$33:$F$33,$E$32:$F$32),IF($B56&lt;=0.04,$E$33+($B56-0.01)*SLOPE($D$33:$E$33,$D$32:$E$32),IF($B56&lt;=0.1,$D$33+($B56-0.04)*SLOPE($C$33:$D$33,$C$32:$D$32),IF($B56&lt;=1,$C$33+($B56-0.1)*SLOPE($B$33:$C$33,$B$32:$C$32),)))))</f>
        <v>1.0858945003693279</v>
      </c>
      <c r="H56" s="1">
        <f t="shared" si="3"/>
        <v>0.42478538284075906</v>
      </c>
      <c r="I56" s="1">
        <f t="shared" si="4"/>
        <v>10.96283287381263</v>
      </c>
      <c r="K56" s="112">
        <f>C56/'CGE-Flood Weighted Av Calcs'!$D$3</f>
        <v>1.1894623038721814E-3</v>
      </c>
      <c r="L56" s="112">
        <f>D56/'CGE-Flood Weighted Av Calcs'!$D$4</f>
        <v>1.1658783130176478E-3</v>
      </c>
      <c r="M56" s="112">
        <f>E56/'CGE-Flood Weighted Av Calcs'!$D$5</f>
        <v>1.1657021382967146E-3</v>
      </c>
      <c r="N56" s="112">
        <f>F56/'CGE-Flood Weighted Av Calcs'!$D$6</f>
        <v>4.0249002221339603E-4</v>
      </c>
      <c r="O56" s="112">
        <f>G56/'CGE-Flood Weighted Av Calcs'!$D$7</f>
        <v>1.7925262885972498E-3</v>
      </c>
      <c r="P56" s="112">
        <f>H56/'CGE-Flood Weighted Av Calcs'!$D$8</f>
        <v>4.2925391610743749E-3</v>
      </c>
      <c r="R56" s="1">
        <f t="shared" si="5"/>
        <v>1.90326959614803E-2</v>
      </c>
      <c r="S56" s="1">
        <f t="shared" si="6"/>
        <v>2.2077927315317158E-2</v>
      </c>
      <c r="T56" s="1">
        <f t="shared" si="7"/>
        <v>0.53291548692144985</v>
      </c>
    </row>
    <row r="57" spans="1:20">
      <c r="A57">
        <v>4</v>
      </c>
      <c r="B57">
        <v>0.93369536993122049</v>
      </c>
      <c r="C57" s="1">
        <f t="shared" si="1"/>
        <v>6.8286401789724351</v>
      </c>
      <c r="D57" s="1">
        <f t="shared" ref="D57:D120" si="10">IF($B57&lt;=0.005,$F$11,IF($B57&lt;=0.01,$F$11+($B57-0.005)*SLOPE($E$11:$F$11,$E$10:$F$10),IF($B57&lt;=0.04,$E$11+($B57-0.01)*SLOPE($D$11:$E$11,$D$10:$E$10),IF($B57&lt;=0.1,$D$11+($B57-0.04)*SLOPE($C$11:$D$11,$C$10:$D$10),IF($B57&lt;=1,$C$11+($B57-0.1)*SLOPE($B$11:$C$11,$B$10:$C$10),)))))</f>
        <v>21.963940259776166</v>
      </c>
      <c r="E57" s="1">
        <f t="shared" si="8"/>
        <v>26.332662405273709</v>
      </c>
      <c r="F57" s="1">
        <f>IF($B57&lt;=0.005,$F$26,IF($B57&lt;=0.01,$F$26+($B57-0.005)*SLOPE($E$26:$F$26,$E$25:$F$25),IF($B57&lt;=0.04,$E$26+($B57-0.01)*SLOPE($D$26:$E$26,$D$25:$E$25),IF($B57&lt;=0.1,$D$26+($B57-0.04)*SLOPE($C$26:$D$26,$C$25:$D$25),IF($B57&lt;=1,$C$26+($B57-0.1)*SLOPE($B$26:$C$26,$B$25:$C$25),)))))</f>
        <v>1.4090778137926989</v>
      </c>
      <c r="G57" s="1">
        <f>IF($B57&lt;=0.005,$F$33,IF($B57&lt;=0.01,$F$33+($B57-0.005)*SLOPE($E$33:$F$33,$E$32:$F$32),IF($B57&lt;=0.04,$E$33+($B57-0.01)*SLOPE($D$33:$E$33,$D$32:$E$32),IF($B57&lt;=0.1,$D$33+($B57-0.04)*SLOPE($C$33:$D$33,$C$32:$D$32),IF($B57&lt;=1,$C$33+($B57-0.1)*SLOPE($B$33:$C$33,$B$32:$C$32),)))))</f>
        <v>1.0508208448595315</v>
      </c>
      <c r="H57" s="1">
        <f>IF($B57&lt;=0.005,$F$40,IF($B57&lt;=0.01,$F$40+($B57-0.005)*SLOPE($E$40:$F$40,$E$39:$F$39),IF($B57&lt;=0.04,$E$40+($B57-0.01)*SLOPE($D$40:$E$40,$D$39:$E$39),IF($B57&lt;=0.1,$D$40+($B57-0.04)*SLOPE($C$40:$D$40,$C$39:$D$39),IF($B57&lt;=1,$C$40+($B57-0.1)*SLOPE($B$40:$C$40,$B$39:$C$39),)))))</f>
        <v>0.41106510322032985</v>
      </c>
      <c r="I57" s="1">
        <f t="shared" si="4"/>
        <v>10.608740811004708</v>
      </c>
      <c r="K57" s="112">
        <f>C57/'CGE-Flood Weighted Av Calcs'!$D$3</f>
        <v>1.1510434785869334E-3</v>
      </c>
      <c r="L57" s="112">
        <f>D57/'CGE-Flood Weighted Av Calcs'!$D$4</f>
        <v>1.1282212346336829E-3</v>
      </c>
      <c r="M57" s="112">
        <f>E57/'CGE-Flood Weighted Av Calcs'!$D$5</f>
        <v>1.1280507502366892E-3</v>
      </c>
      <c r="N57" s="112">
        <f>F57/'CGE-Flood Weighted Av Calcs'!$D$6</f>
        <v>3.8948986761233454E-4</v>
      </c>
      <c r="O57" s="112">
        <f>G57/'CGE-Flood Weighted Av Calcs'!$D$7</f>
        <v>1.7346289058246778E-3</v>
      </c>
      <c r="P57" s="112">
        <f>H57/'CGE-Flood Weighted Av Calcs'!$D$8</f>
        <v>4.1538930589469364E-3</v>
      </c>
      <c r="R57" s="1">
        <f t="shared" si="5"/>
        <v>1.8417952796883186E-2</v>
      </c>
      <c r="S57" s="1">
        <f t="shared" si="6"/>
        <v>2.1364825244384489E-2</v>
      </c>
      <c r="T57" s="1">
        <f t="shared" si="7"/>
        <v>0.51570267831273053</v>
      </c>
    </row>
    <row r="58" spans="1:20">
      <c r="A58">
        <v>5</v>
      </c>
      <c r="B58">
        <v>0.23474130227316259</v>
      </c>
      <c r="C58" s="1">
        <f t="shared" si="1"/>
        <v>78.813142991445062</v>
      </c>
      <c r="D58" s="1">
        <f t="shared" si="10"/>
        <v>253.49807853102979</v>
      </c>
      <c r="E58" s="1">
        <f t="shared" si="8"/>
        <v>303.91993619505507</v>
      </c>
      <c r="F58" s="1">
        <f t="shared" si="2"/>
        <v>16.262952551883988</v>
      </c>
      <c r="G58" s="1">
        <f t="shared" si="9"/>
        <v>12.128109159907147</v>
      </c>
      <c r="H58" s="1">
        <f t="shared" si="3"/>
        <v>4.7443315081469359</v>
      </c>
      <c r="I58" s="1">
        <f t="shared" si="4"/>
        <v>122.44139163629399</v>
      </c>
      <c r="K58" s="112">
        <f>C58/'CGE-Flood Weighted Av Calcs'!$D$3</f>
        <v>1.3284834445749539E-2</v>
      </c>
      <c r="L58" s="112">
        <f>D58/'CGE-Flood Weighted Av Calcs'!$D$4</f>
        <v>1.3021430205823159E-2</v>
      </c>
      <c r="M58" s="112">
        <f>E58/'CGE-Flood Weighted Av Calcs'!$D$5</f>
        <v>1.3019462550359424E-2</v>
      </c>
      <c r="N58" s="112">
        <f>F58/'CGE-Flood Weighted Av Calcs'!$D$6</f>
        <v>4.4953196866889689E-3</v>
      </c>
      <c r="O58" s="112">
        <f>G58/'CGE-Flood Weighted Av Calcs'!$D$7</f>
        <v>2.0020319186363506E-2</v>
      </c>
      <c r="P58" s="112">
        <f>H58/'CGE-Flood Weighted Av Calcs'!$D$8</f>
        <v>4.7942395417768333E-2</v>
      </c>
      <c r="R58" s="1">
        <f t="shared" si="5"/>
        <v>0.21257186047967705</v>
      </c>
      <c r="S58" s="1">
        <f t="shared" si="6"/>
        <v>0.24658335815642538</v>
      </c>
      <c r="T58" s="1">
        <f t="shared" si="7"/>
        <v>5.9520120934309579</v>
      </c>
    </row>
    <row r="59" spans="1:20">
      <c r="A59">
        <v>6</v>
      </c>
      <c r="B59">
        <v>0.65040405060347517</v>
      </c>
      <c r="C59" s="1">
        <f t="shared" si="1"/>
        <v>36.004498388404329</v>
      </c>
      <c r="D59" s="1">
        <f t="shared" si="10"/>
        <v>115.80646087067953</v>
      </c>
      <c r="E59" s="1">
        <f t="shared" si="8"/>
        <v>138.84086381539913</v>
      </c>
      <c r="F59" s="1">
        <f t="shared" si="2"/>
        <v>7.4294645121380505</v>
      </c>
      <c r="G59" s="1">
        <f t="shared" si="9"/>
        <v>5.540528776395421</v>
      </c>
      <c r="H59" s="1">
        <f t="shared" si="3"/>
        <v>2.1673704366500632</v>
      </c>
      <c r="I59" s="1">
        <f t="shared" si="4"/>
        <v>55.935351903443959</v>
      </c>
      <c r="K59" s="112">
        <f>C59/'CGE-Flood Weighted Av Calcs'!$D$3</f>
        <v>6.0689598490460805E-3</v>
      </c>
      <c r="L59" s="112">
        <f>D59/'CGE-Flood Weighted Av Calcs'!$D$4</f>
        <v>5.9486279199799123E-3</v>
      </c>
      <c r="M59" s="112">
        <f>E59/'CGE-Flood Weighted Av Calcs'!$D$5</f>
        <v>5.9477290286873681E-3</v>
      </c>
      <c r="N59" s="112">
        <f>F59/'CGE-Flood Weighted Av Calcs'!$D$6</f>
        <v>2.0536134491213436E-3</v>
      </c>
      <c r="O59" s="112">
        <f>G59/'CGE-Flood Weighted Av Calcs'!$D$7</f>
        <v>9.145956150473632E-3</v>
      </c>
      <c r="P59" s="112">
        <f>H59/'CGE-Flood Weighted Av Calcs'!$D$8</f>
        <v>2.1901701074688137E-2</v>
      </c>
      <c r="R59" s="1">
        <f t="shared" si="5"/>
        <v>9.710998594347911E-2</v>
      </c>
      <c r="S59" s="1">
        <f t="shared" si="6"/>
        <v>0.11264758369443578</v>
      </c>
      <c r="T59" s="1">
        <f t="shared" si="7"/>
        <v>2.7190796064174156</v>
      </c>
    </row>
    <row r="60" spans="1:20">
      <c r="A60">
        <v>7</v>
      </c>
      <c r="B60">
        <v>0.55212339897006668</v>
      </c>
      <c r="C60" s="1">
        <f t="shared" si="1"/>
        <v>46.126313499405029</v>
      </c>
      <c r="D60" s="1">
        <f t="shared" si="10"/>
        <v>148.36271461840198</v>
      </c>
      <c r="E60" s="1">
        <f>IF($B60&lt;=0.005,$F$19,IF($B60&lt;=0.01,$F$19+($B60-0.005)*SLOPE($E$19:$F$19,$E$18:$F$18),IF($B60&lt;=0.04,$E$19+($B60-0.01)*SLOPE($D$19:$E$19,$D$18:$E$18),IF($B60&lt;=0.1,$D$19+($B60-0.04)*SLOPE($C$19:$D$19,$C$18:$D$18),IF($B60&lt;=1,$C$19+($B60-0.1)*SLOPE($B$19:$C$19,$B$18:$C$18),)))))</f>
        <v>177.87269640006579</v>
      </c>
      <c r="F60" s="1">
        <f t="shared" si="2"/>
        <v>9.5180831440204869</v>
      </c>
      <c r="G60" s="1">
        <f t="shared" si="9"/>
        <v>7.0981177000593245</v>
      </c>
      <c r="H60" s="1">
        <f>IF($B60&lt;=0.005,$F$40,IF($B60&lt;=0.01,$F$40+($B60-0.005)*SLOPE($E$40:$F$40,$E$39:$F$39),IF($B60&lt;=0.04,$E$40+($B60-0.01)*SLOPE($D$40:$E$40,$D$39:$E$39),IF($B60&lt;=0.1,$D$40+($B60-0.04)*SLOPE($C$40:$D$40,$C$39:$D$39),IF($B60&lt;=1,$C$40+($B60-0.1)*SLOPE($B$40:$C$40,$B$39:$C$39),)))))</f>
        <v>2.7766754907064786</v>
      </c>
      <c r="I60" s="1">
        <f t="shared" si="4"/>
        <v>71.660256164789317</v>
      </c>
      <c r="K60" s="112">
        <f>C60/'CGE-Flood Weighted Av Calcs'!$D$3</f>
        <v>7.7751046992105546E-3</v>
      </c>
      <c r="L60" s="112">
        <f>D60/'CGE-Flood Weighted Av Calcs'!$D$4</f>
        <v>7.6209442878025779E-3</v>
      </c>
      <c r="M60" s="112">
        <f>E60/'CGE-Flood Weighted Av Calcs'!$D$5</f>
        <v>7.6197926944345925E-3</v>
      </c>
      <c r="N60" s="112">
        <f>F60/'CGE-Flood Weighted Av Calcs'!$D$6</f>
        <v>2.6309384104979804E-3</v>
      </c>
      <c r="O60" s="112">
        <f>G60/'CGE-Flood Weighted Av Calcs'!$D$7</f>
        <v>1.1717125901813046E-2</v>
      </c>
      <c r="P60" s="112">
        <f>H60/'CGE-Flood Weighted Av Calcs'!$D$8</f>
        <v>2.8058847509640144E-2</v>
      </c>
      <c r="R60" s="1">
        <f t="shared" si="5"/>
        <v>0.12441016695275925</v>
      </c>
      <c r="S60" s="1">
        <f t="shared" si="6"/>
        <v>0.14431579366520073</v>
      </c>
      <c r="T60" s="1">
        <f t="shared" si="7"/>
        <v>3.4834846746772596</v>
      </c>
    </row>
    <row r="61" spans="1:20">
      <c r="A61">
        <v>8</v>
      </c>
      <c r="B61">
        <v>0.79140315563701746</v>
      </c>
      <c r="C61" s="1">
        <f t="shared" si="1"/>
        <v>21.483157226672063</v>
      </c>
      <c r="D61" s="1">
        <f t="shared" si="10"/>
        <v>69.09937696980964</v>
      </c>
      <c r="E61" s="1">
        <f t="shared" si="8"/>
        <v>82.843540122581203</v>
      </c>
      <c r="F61" s="1">
        <f t="shared" si="2"/>
        <v>4.43301146713506</v>
      </c>
      <c r="G61" s="1">
        <f t="shared" si="9"/>
        <v>3.3059216528493067</v>
      </c>
      <c r="H61" s="1">
        <f t="shared" si="3"/>
        <v>1.293226178481909</v>
      </c>
      <c r="I61" s="1">
        <f t="shared" si="4"/>
        <v>33.375495098077181</v>
      </c>
      <c r="K61" s="112">
        <f>C61/'CGE-Flood Weighted Av Calcs'!$D$3</f>
        <v>3.6212258044235786E-3</v>
      </c>
      <c r="L61" s="112">
        <f>D61/'CGE-Flood Weighted Av Calcs'!$D$4</f>
        <v>3.5494261719546034E-3</v>
      </c>
      <c r="M61" s="112">
        <f>E61/'CGE-Flood Weighted Av Calcs'!$D$5</f>
        <v>3.5488898216697287E-3</v>
      </c>
      <c r="N61" s="112">
        <f>F61/'CGE-Flood Weighted Av Calcs'!$D$6</f>
        <v>1.2253496808746233E-3</v>
      </c>
      <c r="O61" s="112">
        <f>G61/'CGE-Flood Weighted Av Calcs'!$D$7</f>
        <v>5.4572073702921923E-3</v>
      </c>
      <c r="P61" s="112">
        <f>H61/'CGE-Flood Weighted Av Calcs'!$D$8</f>
        <v>1.3068302817145577E-2</v>
      </c>
      <c r="R61" s="1">
        <f t="shared" si="5"/>
        <v>5.7943567878606245E-2</v>
      </c>
      <c r="S61" s="1">
        <f t="shared" si="6"/>
        <v>6.721453873918326E-2</v>
      </c>
      <c r="T61" s="1">
        <f t="shared" si="7"/>
        <v>1.6224199006009759</v>
      </c>
    </row>
    <row r="62" spans="1:20">
      <c r="A62">
        <v>9</v>
      </c>
      <c r="B62">
        <v>0.26126376117146877</v>
      </c>
      <c r="C62" s="1">
        <f t="shared" si="1"/>
        <v>76.081624418907296</v>
      </c>
      <c r="D62" s="1">
        <f t="shared" si="10"/>
        <v>244.71230139630353</v>
      </c>
      <c r="E62" s="1">
        <f t="shared" si="8"/>
        <v>293.38663021623626</v>
      </c>
      <c r="F62" s="1">
        <f t="shared" si="2"/>
        <v>15.69930852940675</v>
      </c>
      <c r="G62" s="1">
        <f>IF($B62&lt;=0.005,$F$33,IF($B62&lt;=0.01,$F$33+($B62-0.005)*SLOPE($E$33:$F$33,$E$32:$F$32),IF($B62&lt;=0.04,$E$33+($B62-0.01)*SLOPE($D$33:$E$33,$D$32:$E$32),IF($B62&lt;=0.1,$D$33+($B62-0.04)*SLOPE($C$33:$D$33,$C$32:$D$32),IF($B62&lt;=1,$C$33+($B62-0.1)*SLOPE($B$33:$C$33,$B$32:$C$32),)))))</f>
        <v>11.707771204045548</v>
      </c>
      <c r="H62" s="1">
        <f t="shared" si="3"/>
        <v>4.5799017044759136</v>
      </c>
      <c r="I62" s="1">
        <f t="shared" si="4"/>
        <v>118.19779821256499</v>
      </c>
      <c r="K62" s="112">
        <f>C62/'CGE-Flood Weighted Av Calcs'!$D$3</f>
        <v>1.2824406519082622E-2</v>
      </c>
      <c r="L62" s="112">
        <f>D62/'CGE-Flood Weighted Av Calcs'!$D$4</f>
        <v>1.2570131385624208E-2</v>
      </c>
      <c r="M62" s="112">
        <f>E62/'CGE-Flood Weighted Av Calcs'!$D$5</f>
        <v>1.2568231925479673E-2</v>
      </c>
      <c r="N62" s="112">
        <f>F62/'CGE-Flood Weighted Av Calcs'!$D$6</f>
        <v>4.339520174734237E-3</v>
      </c>
      <c r="O62" s="112">
        <f>G62/'CGE-Flood Weighted Av Calcs'!$D$7</f>
        <v>1.932645174738036E-2</v>
      </c>
      <c r="P62" s="112">
        <f>H62/'CGE-Flood Weighted Av Calcs'!$D$8</f>
        <v>4.6280800174576482E-2</v>
      </c>
      <c r="R62" s="1">
        <f t="shared" si="5"/>
        <v>0.20520451078570312</v>
      </c>
      <c r="S62" s="1">
        <f t="shared" si="6"/>
        <v>0.23803723251141562</v>
      </c>
      <c r="T62" s="1">
        <f t="shared" si="7"/>
        <v>5.7457263019996878</v>
      </c>
    </row>
    <row r="63" spans="1:20">
      <c r="A63">
        <v>10</v>
      </c>
      <c r="B63">
        <v>0.98553209524294161</v>
      </c>
      <c r="C63" s="1">
        <f t="shared" si="1"/>
        <v>1.4900334354797309</v>
      </c>
      <c r="D63" s="1">
        <f t="shared" si="10"/>
        <v>4.7926094367547307</v>
      </c>
      <c r="E63" s="1">
        <f t="shared" si="8"/>
        <v>5.7458800582112417</v>
      </c>
      <c r="F63" s="1">
        <f>IF($B63&lt;=0.005,$F$26,IF($B63&lt;=0.01,$F$26+($B63-0.005)*SLOPE($E$26:$F$26,$E$25:$F$25),IF($B63&lt;=0.04,$E$26+($B63-0.01)*SLOPE($D$26:$E$26,$D$25:$E$25),IF($B63&lt;=0.1,$D$26+($B63-0.04)*SLOPE($C$26:$D$26,$C$25:$D$25),IF($B63&lt;=1,$C$26+($B63-0.1)*SLOPE($B$26:$C$26,$B$25:$C$25),)))))</f>
        <v>0.30746576195492636</v>
      </c>
      <c r="G63" s="1">
        <f t="shared" si="9"/>
        <v>0.22929282441344867</v>
      </c>
      <c r="H63" s="1">
        <f t="shared" si="3"/>
        <v>8.9695859190721094E-2</v>
      </c>
      <c r="I63" s="1">
        <f t="shared" si="4"/>
        <v>2.3148647611293143</v>
      </c>
      <c r="K63" s="112">
        <f>C63/'CGE-Flood Weighted Av Calcs'!$D$3</f>
        <v>2.5116175751458515E-4</v>
      </c>
      <c r="L63" s="112">
        <f>D63/'CGE-Flood Weighted Av Calcs'!$D$4</f>
        <v>2.4618186317665601E-4</v>
      </c>
      <c r="M63" s="112">
        <f>E63/'CGE-Flood Weighted Av Calcs'!$D$5</f>
        <v>2.4614466287833952E-4</v>
      </c>
      <c r="N63" s="112">
        <f>F63/'CGE-Flood Weighted Av Calcs'!$D$6</f>
        <v>8.4988066483578849E-5</v>
      </c>
      <c r="O63" s="112">
        <f>G63/'CGE-Flood Weighted Av Calcs'!$D$7</f>
        <v>3.7850216149729889E-4</v>
      </c>
      <c r="P63" s="112">
        <f>H63/'CGE-Flood Weighted Av Calcs'!$D$8</f>
        <v>9.0639415506140017E-4</v>
      </c>
      <c r="R63" s="1">
        <f t="shared" si="5"/>
        <v>4.0188624325162015E-3</v>
      </c>
      <c r="S63" s="1">
        <f t="shared" si="6"/>
        <v>4.6618804217188337E-3</v>
      </c>
      <c r="T63" s="1">
        <f t="shared" si="7"/>
        <v>0.11252814811045475</v>
      </c>
    </row>
    <row r="64" spans="1:20">
      <c r="A64">
        <v>11</v>
      </c>
      <c r="B64">
        <v>0.6030326292218301</v>
      </c>
      <c r="C64" s="1">
        <f t="shared" si="1"/>
        <v>40.883228441587306</v>
      </c>
      <c r="D64" s="1">
        <f t="shared" si="10"/>
        <v>131.49862396951343</v>
      </c>
      <c r="E64" s="1">
        <f t="shared" si="8"/>
        <v>157.65426561866457</v>
      </c>
      <c r="F64" s="1">
        <f t="shared" si="2"/>
        <v>8.4361818229421335</v>
      </c>
      <c r="G64" s="1">
        <f t="shared" si="9"/>
        <v>6.2912889719778446</v>
      </c>
      <c r="H64" s="1">
        <f>IF($B64&lt;=0.005,$F$40,IF($B64&lt;=0.01,$F$40+($B64-0.005)*SLOPE($E$40:$F$40,$E$39:$F$39),IF($B64&lt;=0.04,$E$40+($B64-0.01)*SLOPE($D$40:$E$40,$D$39:$E$39),IF($B64&lt;=0.1,$D$40+($B64-0.04)*SLOPE($C$40:$D$40,$C$39:$D$39),IF($B64&lt;=1,$C$40+($B64-0.1)*SLOPE($B$40:$C$40,$B$39:$C$39),)))))</f>
        <v>2.4610563858777428</v>
      </c>
      <c r="I64" s="1">
        <f t="shared" si="4"/>
        <v>63.51477932450716</v>
      </c>
      <c r="K64" s="112">
        <f>C64/'CGE-Flood Weighted Av Calcs'!$D$3</f>
        <v>6.8913242238442529E-3</v>
      </c>
      <c r="L64" s="112">
        <f>D64/'CGE-Flood Weighted Av Calcs'!$D$4</f>
        <v>6.7546869155901985E-3</v>
      </c>
      <c r="M64" s="112">
        <f>E64/'CGE-Flood Weighted Av Calcs'!$D$5</f>
        <v>6.7536662215185641E-3</v>
      </c>
      <c r="N64" s="112">
        <f>F64/'CGE-Flood Weighted Av Calcs'!$D$6</f>
        <v>2.3318849457484377E-3</v>
      </c>
      <c r="O64" s="112">
        <f>G64/'CGE-Flood Weighted Av Calcs'!$D$7</f>
        <v>1.0385263824060888E-2</v>
      </c>
      <c r="P64" s="112">
        <f>H64/'CGE-Flood Weighted Av Calcs'!$D$8</f>
        <v>2.4869454884121133E-2</v>
      </c>
      <c r="R64" s="1">
        <f t="shared" si="5"/>
        <v>0.11026871410504718</v>
      </c>
      <c r="S64" s="1">
        <f t="shared" si="6"/>
        <v>0.12791170836185473</v>
      </c>
      <c r="T64" s="1">
        <f t="shared" si="7"/>
        <v>3.0875239949413218</v>
      </c>
    </row>
    <row r="65" spans="1:20">
      <c r="A65">
        <v>12</v>
      </c>
      <c r="B65">
        <v>0.17355357766070734</v>
      </c>
      <c r="C65" s="1">
        <f t="shared" si="1"/>
        <v>85.114798762921154</v>
      </c>
      <c r="D65" s="1">
        <f t="shared" si="10"/>
        <v>273.76700283730395</v>
      </c>
      <c r="E65" s="1">
        <f t="shared" si="8"/>
        <v>328.22043668642743</v>
      </c>
      <c r="F65" s="1">
        <f t="shared" si="2"/>
        <v>17.563288065986576</v>
      </c>
      <c r="G65" s="1">
        <f t="shared" si="9"/>
        <v>13.097835352566623</v>
      </c>
      <c r="H65" s="1">
        <f t="shared" si="3"/>
        <v>5.1236736190605336</v>
      </c>
      <c r="I65" s="1">
        <f t="shared" si="4"/>
        <v>132.23142757428681</v>
      </c>
      <c r="K65" s="112">
        <f>C65/'CGE-Flood Weighted Av Calcs'!$D$3</f>
        <v>1.4347048823715016E-2</v>
      </c>
      <c r="L65" s="112">
        <f>D65/'CGE-Flood Weighted Av Calcs'!$D$4</f>
        <v>1.4062583593378145E-2</v>
      </c>
      <c r="M65" s="112">
        <f>E65/'CGE-Flood Weighted Av Calcs'!$D$5</f>
        <v>1.4060458610253835E-2</v>
      </c>
      <c r="N65" s="112">
        <f>F65/'CGE-Flood Weighted Av Calcs'!$D$6</f>
        <v>4.8547515805715483E-3</v>
      </c>
      <c r="O65" s="112">
        <f>G65/'CGE-Flood Weighted Av Calcs'!$D$7</f>
        <v>2.1621082144912634E-2</v>
      </c>
      <c r="P65" s="112">
        <f>H65/'CGE-Flood Weighted Av Calcs'!$D$8</f>
        <v>5.1775721450909307E-2</v>
      </c>
      <c r="R65" s="1">
        <f t="shared" si="5"/>
        <v>0.22956845064980352</v>
      </c>
      <c r="S65" s="1">
        <f t="shared" si="6"/>
        <v>0.26629940275377206</v>
      </c>
      <c r="T65" s="1">
        <f t="shared" si="7"/>
        <v>6.4279166181944989</v>
      </c>
    </row>
    <row r="66" spans="1:20">
      <c r="A66">
        <v>13</v>
      </c>
      <c r="B66">
        <v>6.3916047622702421E-2</v>
      </c>
      <c r="C66" s="1">
        <f t="shared" si="1"/>
        <v>101.72903007051305</v>
      </c>
      <c r="D66" s="1">
        <f t="shared" si="10"/>
        <v>325.752973301547</v>
      </c>
      <c r="E66" s="1">
        <f t="shared" si="8"/>
        <v>390.49957076661292</v>
      </c>
      <c r="F66" s="1">
        <f t="shared" si="2"/>
        <v>23.567901037550197</v>
      </c>
      <c r="G66" s="1">
        <f t="shared" si="9"/>
        <v>15.753179092645727</v>
      </c>
      <c r="H66" s="1">
        <f t="shared" si="3"/>
        <v>6.0609964877127886</v>
      </c>
      <c r="I66" s="1">
        <f t="shared" si="4"/>
        <v>202.9371222162527</v>
      </c>
      <c r="K66" s="112">
        <f>C66/'CGE-Flood Weighted Av Calcs'!$D$3</f>
        <v>1.7147562849512788E-2</v>
      </c>
      <c r="L66" s="112">
        <f>D66/'CGE-Flood Weighted Av Calcs'!$D$4</f>
        <v>1.6732945791012178E-2</v>
      </c>
      <c r="M66" s="112">
        <f>E66/'CGE-Flood Weighted Av Calcs'!$D$5</f>
        <v>1.6728400911035949E-2</v>
      </c>
      <c r="N66" s="112">
        <f>F66/'CGE-Flood Weighted Av Calcs'!$D$6</f>
        <v>6.5145150716044804E-3</v>
      </c>
      <c r="O66" s="112">
        <f>G66/'CGE-Flood Weighted Av Calcs'!$D$7</f>
        <v>2.6004356448019492E-2</v>
      </c>
      <c r="P66" s="112">
        <f>H66/'CGE-Flood Weighted Av Calcs'!$D$8</f>
        <v>6.1247551892327015E-2</v>
      </c>
      <c r="R66" s="1">
        <f t="shared" si="5"/>
        <v>0.27405596825153172</v>
      </c>
      <c r="S66" s="1">
        <f t="shared" si="6"/>
        <v>0.32608395237729759</v>
      </c>
      <c r="T66" s="1">
        <f t="shared" si="7"/>
        <v>7.6013992062882929</v>
      </c>
    </row>
    <row r="67" spans="1:20">
      <c r="A67">
        <v>14</v>
      </c>
      <c r="B67">
        <v>0.7554297543478502</v>
      </c>
      <c r="C67" s="1">
        <f t="shared" si="1"/>
        <v>25.188017854997526</v>
      </c>
      <c r="D67" s="1">
        <f t="shared" si="10"/>
        <v>81.0158545376147</v>
      </c>
      <c r="E67" s="1">
        <f t="shared" si="8"/>
        <v>97.130256310190475</v>
      </c>
      <c r="F67" s="1">
        <f t="shared" si="2"/>
        <v>5.1975028999451975</v>
      </c>
      <c r="G67" s="1">
        <f t="shared" si="9"/>
        <v>3.8760417168017192</v>
      </c>
      <c r="H67" s="1">
        <f t="shared" si="3"/>
        <v>1.5162484606178399</v>
      </c>
      <c r="I67" s="1">
        <f t="shared" si="4"/>
        <v>39.13123930434395</v>
      </c>
      <c r="K67" s="112">
        <f>C67/'CGE-Flood Weighted Av Calcs'!$D$3</f>
        <v>4.2457213926431966E-3</v>
      </c>
      <c r="L67" s="112">
        <f>D67/'CGE-Flood Weighted Av Calcs'!$D$4</f>
        <v>4.1615396122126414E-3</v>
      </c>
      <c r="M67" s="112">
        <f>E67/'CGE-Flood Weighted Av Calcs'!$D$5</f>
        <v>4.1609107660700818E-3</v>
      </c>
      <c r="N67" s="112">
        <f>F67/'CGE-Flood Weighted Av Calcs'!$D$6</f>
        <v>1.4366663761212284E-3</v>
      </c>
      <c r="O67" s="112">
        <f>G67/'CGE-Flood Weighted Av Calcs'!$D$7</f>
        <v>6.3983256851412526E-3</v>
      </c>
      <c r="P67" s="112">
        <f>H67/'CGE-Flood Weighted Av Calcs'!$D$8</f>
        <v>1.5321986485492376E-2</v>
      </c>
      <c r="R67" s="1">
        <f t="shared" si="5"/>
        <v>6.793617934781937E-2</v>
      </c>
      <c r="S67" s="1">
        <f t="shared" si="6"/>
        <v>7.8805968043470481E-2</v>
      </c>
      <c r="T67" s="1">
        <f t="shared" si="7"/>
        <v>1.9022130217389437</v>
      </c>
    </row>
    <row r="68" spans="1:20">
      <c r="A68">
        <v>15</v>
      </c>
      <c r="B68">
        <v>0.86005680902555171</v>
      </c>
      <c r="C68" s="1">
        <f t="shared" si="1"/>
        <v>14.412593746024029</v>
      </c>
      <c r="D68" s="1">
        <f t="shared" si="10"/>
        <v>46.357303903766507</v>
      </c>
      <c r="E68" s="1">
        <f t="shared" si="8"/>
        <v>55.577970950509268</v>
      </c>
      <c r="F68" s="1">
        <f t="shared" si="2"/>
        <v>2.9740132082616064</v>
      </c>
      <c r="G68" s="1">
        <f t="shared" si="9"/>
        <v>2.2178725983323382</v>
      </c>
      <c r="H68" s="1">
        <f t="shared" si="3"/>
        <v>0.8675979668873941</v>
      </c>
      <c r="I68" s="1">
        <f t="shared" si="4"/>
        <v>22.390910555911702</v>
      </c>
      <c r="K68" s="112">
        <f>C68/'CGE-Flood Weighted Av Calcs'!$D$3</f>
        <v>2.4294034545806376E-3</v>
      </c>
      <c r="L68" s="112">
        <f>D68/'CGE-Flood Weighted Av Calcs'!$D$4</f>
        <v>2.3812346066328857E-3</v>
      </c>
      <c r="M68" s="112">
        <f>E68/'CGE-Flood Weighted Av Calcs'!$D$5</f>
        <v>2.3808747806222151E-3</v>
      </c>
      <c r="N68" s="112">
        <f>F68/'CGE-Flood Weighted Av Calcs'!$D$6</f>
        <v>8.2206106676629683E-4</v>
      </c>
      <c r="O68" s="112">
        <f>G68/'CGE-Flood Weighted Av Calcs'!$D$7</f>
        <v>3.6611244793283782E-3</v>
      </c>
      <c r="P68" s="112">
        <f>H68/'CGE-Flood Weighted Av Calcs'!$D$8</f>
        <v>8.7672467070947988E-3</v>
      </c>
      <c r="R68" s="1">
        <f t="shared" si="5"/>
        <v>3.8873108604013412E-2</v>
      </c>
      <c r="S68" s="1">
        <f t="shared" si="6"/>
        <v>4.509280598065557E-2</v>
      </c>
      <c r="T68" s="1">
        <f t="shared" si="7"/>
        <v>1.0884470409123761</v>
      </c>
    </row>
    <row r="69" spans="1:20">
      <c r="A69">
        <v>16</v>
      </c>
      <c r="B69">
        <v>0.74374518576961091</v>
      </c>
      <c r="C69" s="1">
        <f t="shared" si="1"/>
        <v>26.391398590016422</v>
      </c>
      <c r="D69" s="1">
        <f t="shared" si="10"/>
        <v>84.886461551747601</v>
      </c>
      <c r="E69" s="1">
        <f t="shared" si="8"/>
        <v>101.7707437000285</v>
      </c>
      <c r="F69" s="1">
        <f t="shared" si="2"/>
        <v>5.4458183845539985</v>
      </c>
      <c r="G69" s="1">
        <f t="shared" si="9"/>
        <v>4.0612231771683316</v>
      </c>
      <c r="H69" s="1">
        <f t="shared" si="3"/>
        <v>1.5886886263154176</v>
      </c>
      <c r="I69" s="1">
        <f t="shared" si="4"/>
        <v>41.000770276862227</v>
      </c>
      <c r="K69" s="112">
        <f>C69/'CGE-Flood Weighted Av Calcs'!$D$3</f>
        <v>4.4485646397608228E-3</v>
      </c>
      <c r="L69" s="112">
        <f>D69/'CGE-Flood Weighted Av Calcs'!$D$4</f>
        <v>4.3603609972928115E-3</v>
      </c>
      <c r="M69" s="112">
        <f>E69/'CGE-Flood Weighted Av Calcs'!$D$5</f>
        <v>4.3597021074470296E-3</v>
      </c>
      <c r="N69" s="112">
        <f>F69/'CGE-Flood Weighted Av Calcs'!$D$6</f>
        <v>1.5053044344879635E-3</v>
      </c>
      <c r="O69" s="112">
        <f>G69/'CGE-Flood Weighted Av Calcs'!$D$7</f>
        <v>6.7040115834997799E-3</v>
      </c>
      <c r="P69" s="112">
        <f>H69/'CGE-Flood Weighted Av Calcs'!$D$8</f>
        <v>1.6054008491551225E-2</v>
      </c>
      <c r="R69" s="1">
        <f t="shared" si="5"/>
        <v>7.118189284177473E-2</v>
      </c>
      <c r="S69" s="1">
        <f t="shared" si="6"/>
        <v>8.2570995696458704E-2</v>
      </c>
      <c r="T69" s="1">
        <f t="shared" si="7"/>
        <v>1.9930929995696935</v>
      </c>
    </row>
    <row r="70" spans="1:20">
      <c r="A70">
        <v>17</v>
      </c>
      <c r="B70">
        <v>0.27004426485566146</v>
      </c>
      <c r="C70" s="1">
        <f>IF($B70&lt;=0.005,$F$5,IF(B70&lt;=0.01,$F$5+($B70-0.005)*SLOPE($E$5:$F$5,$E$4:$F$4),IF($B70&lt;=0.04,$E$5+($B70-0.01)*SLOPE($D$5:$E$5,$D$4:$E$4),IF($B70&lt;=0.1,$D$5+($B70-0.04)*SLOPE($C$5:$D$5,$C$4:$D$4),IF($B70&lt;=1,$C$5+($B70-0.1)*SLOPE($B$5:$C$5,$B$4:$C$4),)))))</f>
        <v>75.177330100587483</v>
      </c>
      <c r="D70" s="1">
        <f t="shared" si="10"/>
        <v>241.80368915956683</v>
      </c>
      <c r="E70" s="1">
        <f t="shared" si="8"/>
        <v>289.89948250084649</v>
      </c>
      <c r="F70" s="1">
        <f t="shared" si="2"/>
        <v>15.512708997481351</v>
      </c>
      <c r="G70" s="1">
        <f t="shared" si="9"/>
        <v>11.568614462048126</v>
      </c>
      <c r="H70" s="1">
        <f t="shared" si="3"/>
        <v>4.5254657073287294</v>
      </c>
      <c r="I70" s="1">
        <f t="shared" si="4"/>
        <v>116.79291762309416</v>
      </c>
      <c r="K70" s="112">
        <f>C70/'CGE-Flood Weighted Av Calcs'!$D$3</f>
        <v>1.2671977623937371E-2</v>
      </c>
      <c r="L70" s="112">
        <f>D70/'CGE-Flood Weighted Av Calcs'!$D$4</f>
        <v>1.2420724765045686E-2</v>
      </c>
      <c r="M70" s="112">
        <f>E70/'CGE-Flood Weighted Av Calcs'!$D$5</f>
        <v>1.2418847881588093E-2</v>
      </c>
      <c r="N70" s="112">
        <f>F70/'CGE-Flood Weighted Av Calcs'!$D$6</f>
        <v>4.2879413149475489E-3</v>
      </c>
      <c r="O70" s="112">
        <f>G70/'CGE-Flood Weighted Av Calcs'!$D$7</f>
        <v>1.9096740557038128E-2</v>
      </c>
      <c r="P70" s="112">
        <f>H70/'CGE-Flood Weighted Av Calcs'!$D$8</f>
        <v>4.57307138039868E-2</v>
      </c>
      <c r="R70" s="1">
        <f t="shared" si="5"/>
        <v>0.20276548198453848</v>
      </c>
      <c r="S70" s="1">
        <f t="shared" si="6"/>
        <v>0.23520795910206463</v>
      </c>
      <c r="T70" s="1">
        <f t="shared" si="7"/>
        <v>5.6774334955670778</v>
      </c>
    </row>
    <row r="71" spans="1:20">
      <c r="A71">
        <v>18</v>
      </c>
      <c r="B71">
        <v>0.76592598024429959</v>
      </c>
      <c r="C71" s="1">
        <f t="shared" si="1"/>
        <v>24.107023212395418</v>
      </c>
      <c r="D71" s="1">
        <f t="shared" si="10"/>
        <v>77.53889556350407</v>
      </c>
      <c r="E71" s="1">
        <f t="shared" si="8"/>
        <v>92.961715247915038</v>
      </c>
      <c r="F71" s="1">
        <f t="shared" si="2"/>
        <v>4.9744415688752373</v>
      </c>
      <c r="G71" s="1">
        <f t="shared" si="9"/>
        <v>3.7096935605281374</v>
      </c>
      <c r="H71" s="1">
        <f t="shared" si="3"/>
        <v>1.4511755965196294</v>
      </c>
      <c r="I71" s="1">
        <f t="shared" si="4"/>
        <v>37.451843160912048</v>
      </c>
      <c r="K71" s="112">
        <f>C71/'CGE-Flood Weighted Av Calcs'!$D$3</f>
        <v>4.0635076866719728E-3</v>
      </c>
      <c r="L71" s="112">
        <f>D71/'CGE-Flood Weighted Av Calcs'!$D$4</f>
        <v>3.9829387373174485E-3</v>
      </c>
      <c r="M71" s="112">
        <f>E71/'CGE-Flood Weighted Av Calcs'!$D$5</f>
        <v>3.9823368793767827E-3</v>
      </c>
      <c r="N71" s="112">
        <f>F71/'CGE-Flood Weighted Av Calcs'!$D$6</f>
        <v>1.375008937860937E-3</v>
      </c>
      <c r="O71" s="112">
        <f>G71/'CGE-Flood Weighted Av Calcs'!$D$7</f>
        <v>6.123728619700123E-3</v>
      </c>
      <c r="P71" s="112">
        <f>H71/'CGE-Flood Weighted Av Calcs'!$D$8</f>
        <v>1.4664412499314156E-2</v>
      </c>
      <c r="R71" s="1">
        <f t="shared" si="5"/>
        <v>6.5020561043250102E-2</v>
      </c>
      <c r="S71" s="1">
        <f t="shared" si="6"/>
        <v>7.542385081017014E-2</v>
      </c>
      <c r="T71" s="1">
        <f t="shared" si="7"/>
        <v>1.8205757092110035</v>
      </c>
    </row>
    <row r="72" spans="1:20">
      <c r="A72">
        <v>19</v>
      </c>
      <c r="B72">
        <v>0.54991356477214848</v>
      </c>
      <c r="C72" s="1">
        <f t="shared" si="1"/>
        <v>46.353901868077294</v>
      </c>
      <c r="D72" s="1">
        <f t="shared" si="10"/>
        <v>149.09473991221236</v>
      </c>
      <c r="E72" s="1">
        <f>IF($B72&lt;=0.005,$F$19,IF($B72&lt;=0.01,$F$19+($B72-0.005)*SLOPE($E$19:$F$19,$E$18:$F$18),IF($B72&lt;=0.04,$E$19+($B72-0.01)*SLOPE($D$19:$E$19,$D$18:$E$18),IF($B72&lt;=0.1,$D$19+($B72-0.04)*SLOPE($C$19:$D$19,$C$18:$D$18),IF($B72&lt;=1,$C$19+($B72-0.1)*SLOPE($B$19:$C$19,$B$18:$C$18),)))))</f>
        <v>178.75032467195336</v>
      </c>
      <c r="F72" s="1">
        <f t="shared" si="2"/>
        <v>9.5650456010497606</v>
      </c>
      <c r="G72" s="1">
        <f>IF($B72&lt;=0.005,$F$33,IF($B72&lt;=0.01,$F$33+($B72-0.005)*SLOPE($E$33:$F$33,$E$32:$F$32),IF($B72&lt;=0.04,$E$33+($B72-0.01)*SLOPE($D$33:$E$33,$D$32:$E$32),IF($B72&lt;=0.1,$D$33+($B72-0.04)*SLOPE($C$33:$D$33,$C$32:$D$32),IF($B72&lt;=1,$C$33+($B72-0.1)*SLOPE($B$33:$C$33,$B$32:$C$32),)))))</f>
        <v>7.1331399878912158</v>
      </c>
      <c r="H72" s="1">
        <f t="shared" si="3"/>
        <v>2.7903756760739977</v>
      </c>
      <c r="I72" s="1">
        <f t="shared" si="4"/>
        <v>72.013829636456222</v>
      </c>
      <c r="K72" s="112">
        <f>C72/'CGE-Flood Weighted Av Calcs'!$D$3</f>
        <v>7.8134672575965007E-3</v>
      </c>
      <c r="L72" s="112">
        <f>D72/'CGE-Flood Weighted Av Calcs'!$D$4</f>
        <v>7.658546214915735E-3</v>
      </c>
      <c r="M72" s="112">
        <f>E72/'CGE-Flood Weighted Av Calcs'!$D$5</f>
        <v>7.6573889395576619E-3</v>
      </c>
      <c r="N72" s="112">
        <f>F72/'CGE-Flood Weighted Av Calcs'!$D$6</f>
        <v>2.6439195255166382E-3</v>
      </c>
      <c r="O72" s="112">
        <f>G72/'CGE-Flood Weighted Av Calcs'!$D$7</f>
        <v>1.1774938490056317E-2</v>
      </c>
      <c r="P72" s="112">
        <f>H72/'CGE-Flood Weighted Av Calcs'!$D$8</f>
        <v>2.8197290555421924E-2</v>
      </c>
      <c r="R72" s="1">
        <f t="shared" si="5"/>
        <v>0.12502400978551431</v>
      </c>
      <c r="S72" s="1">
        <f t="shared" si="6"/>
        <v>0.14502785135119658</v>
      </c>
      <c r="T72" s="1">
        <f t="shared" si="7"/>
        <v>3.5006722739944012</v>
      </c>
    </row>
    <row r="73" spans="1:20">
      <c r="A73">
        <v>20</v>
      </c>
      <c r="B73">
        <v>0.79050948965067125</v>
      </c>
      <c r="C73" s="1">
        <f t="shared" si="1"/>
        <v>21.575194893643655</v>
      </c>
      <c r="D73" s="1">
        <f t="shared" si="10"/>
        <v>69.395410992108566</v>
      </c>
      <c r="E73" s="1">
        <f t="shared" si="8"/>
        <v>83.198456584631003</v>
      </c>
      <c r="F73" s="1">
        <f t="shared" si="2"/>
        <v>4.4520032768019782</v>
      </c>
      <c r="G73" s="1">
        <f t="shared" si="9"/>
        <v>3.3200848092656905</v>
      </c>
      <c r="H73" s="1">
        <f t="shared" si="3"/>
        <v>1.2987665894689071</v>
      </c>
      <c r="I73" s="1">
        <f t="shared" si="4"/>
        <v>33.518481655892572</v>
      </c>
      <c r="K73" s="112">
        <f>C73/'CGE-Flood Weighted Av Calcs'!$D$3</f>
        <v>3.6367397799114405E-3</v>
      </c>
      <c r="L73" s="112">
        <f>D73/'CGE-Flood Weighted Av Calcs'!$D$4</f>
        <v>3.5646325450452879E-3</v>
      </c>
      <c r="M73" s="112">
        <f>E73/'CGE-Flood Weighted Av Calcs'!$D$5</f>
        <v>3.5640938969403874E-3</v>
      </c>
      <c r="N73" s="112">
        <f>F73/'CGE-Flood Weighted Av Calcs'!$D$6</f>
        <v>1.2305992968720367E-3</v>
      </c>
      <c r="O73" s="112">
        <f>G73/'CGE-Flood Weighted Av Calcs'!$D$7</f>
        <v>5.4805870173916553E-3</v>
      </c>
      <c r="P73" s="112">
        <f>H73/'CGE-Flood Weighted Av Calcs'!$D$8</f>
        <v>1.3124289750996951E-2</v>
      </c>
      <c r="R73" s="1">
        <f t="shared" si="5"/>
        <v>5.8191808430369085E-2</v>
      </c>
      <c r="S73" s="1">
        <f t="shared" si="6"/>
        <v>6.7502497779228149E-2</v>
      </c>
      <c r="T73" s="1">
        <f t="shared" si="7"/>
        <v>1.6293706360503348</v>
      </c>
    </row>
    <row r="74" spans="1:20">
      <c r="A74">
        <v>21</v>
      </c>
      <c r="B74">
        <v>0.46126460072471243</v>
      </c>
      <c r="C74" s="1">
        <f t="shared" si="1"/>
        <v>55.483760176473787</v>
      </c>
      <c r="D74" s="1">
        <f t="shared" si="10"/>
        <v>178.46041993198128</v>
      </c>
      <c r="E74" s="1">
        <f t="shared" si="8"/>
        <v>213.9569646971957</v>
      </c>
      <c r="F74" s="1">
        <f t="shared" si="2"/>
        <v>11.448975702543022</v>
      </c>
      <c r="G74" s="1">
        <f t="shared" si="9"/>
        <v>8.5380822852785574</v>
      </c>
      <c r="H74" s="1">
        <f t="shared" si="3"/>
        <v>3.3399676957977169</v>
      </c>
      <c r="I74" s="1">
        <f t="shared" si="4"/>
        <v>86.197663884045994</v>
      </c>
      <c r="K74" s="112">
        <f>C74/'CGE-Flood Weighted Av Calcs'!$D$3</f>
        <v>9.3524067229768353E-3</v>
      </c>
      <c r="L74" s="112">
        <f>D74/'CGE-Flood Weighted Av Calcs'!$D$4</f>
        <v>9.1669724524627398E-3</v>
      </c>
      <c r="M74" s="112">
        <f>E74/'CGE-Flood Weighted Av Calcs'!$D$5</f>
        <v>9.16558724030502E-3</v>
      </c>
      <c r="N74" s="112">
        <f>F74/'CGE-Flood Weighted Av Calcs'!$D$6</f>
        <v>3.1646655614267979E-3</v>
      </c>
      <c r="O74" s="112">
        <f>G74/'CGE-Flood Weighted Av Calcs'!$D$7</f>
        <v>1.4094128799218472E-2</v>
      </c>
      <c r="P74" s="112">
        <f>H74/'CGE-Flood Weighted Av Calcs'!$D$8</f>
        <v>3.3751025129576062E-2</v>
      </c>
      <c r="R74" s="1">
        <f t="shared" si="5"/>
        <v>0.1496487220209132</v>
      </c>
      <c r="S74" s="1">
        <f t="shared" si="6"/>
        <v>0.17359251754425931</v>
      </c>
      <c r="T74" s="1">
        <f t="shared" si="7"/>
        <v>4.1901642165855701</v>
      </c>
    </row>
    <row r="75" spans="1:20">
      <c r="A75">
        <v>22</v>
      </c>
      <c r="B75">
        <v>0.15965701376013575</v>
      </c>
      <c r="C75" s="1">
        <f t="shared" si="1"/>
        <v>86.545990438414464</v>
      </c>
      <c r="D75" s="1">
        <f t="shared" si="10"/>
        <v>278.37035103503462</v>
      </c>
      <c r="E75" s="1">
        <f t="shared" si="8"/>
        <v>333.73941063149692</v>
      </c>
      <c r="F75" s="1">
        <f t="shared" si="2"/>
        <v>17.85861193492206</v>
      </c>
      <c r="G75" s="1">
        <f t="shared" si="9"/>
        <v>13.318073351081887</v>
      </c>
      <c r="H75" s="1">
        <f t="shared" si="3"/>
        <v>5.2098273683276775</v>
      </c>
      <c r="I75" s="1">
        <f t="shared" si="4"/>
        <v>134.45487779837828</v>
      </c>
      <c r="K75" s="112">
        <f>C75/'CGE-Flood Weighted Av Calcs'!$D$3</f>
        <v>1.4588292146178725E-2</v>
      </c>
      <c r="L75" s="112">
        <f>D75/'CGE-Flood Weighted Av Calcs'!$D$4</f>
        <v>1.4299043678666384E-2</v>
      </c>
      <c r="M75" s="112">
        <f>E75/'CGE-Flood Weighted Av Calcs'!$D$5</f>
        <v>1.4296882964292018E-2</v>
      </c>
      <c r="N75" s="112">
        <f>F75/'CGE-Flood Weighted Av Calcs'!$D$6</f>
        <v>4.9363834489385893E-3</v>
      </c>
      <c r="O75" s="112">
        <f>G75/'CGE-Flood Weighted Av Calcs'!$D$7</f>
        <v>2.1984637169781423E-2</v>
      </c>
      <c r="P75" s="112">
        <f>H75/'CGE-Flood Weighted Av Calcs'!$D$8</f>
        <v>5.2646321894195353E-2</v>
      </c>
      <c r="R75" s="1">
        <f t="shared" si="5"/>
        <v>0.23342860728885118</v>
      </c>
      <c r="S75" s="1">
        <f t="shared" si="6"/>
        <v>0.27077718445506738</v>
      </c>
      <c r="T75" s="1">
        <f t="shared" si="7"/>
        <v>6.5360010040878329</v>
      </c>
    </row>
    <row r="76" spans="1:20">
      <c r="A76">
        <v>23</v>
      </c>
      <c r="B76">
        <v>0.74917568095718601</v>
      </c>
      <c r="C76" s="1">
        <f t="shared" si="1"/>
        <v>25.832117924531602</v>
      </c>
      <c r="D76" s="1">
        <f t="shared" si="10"/>
        <v>83.087566485789552</v>
      </c>
      <c r="E76" s="1">
        <f t="shared" si="8"/>
        <v>99.614040671604357</v>
      </c>
      <c r="F76" s="1">
        <f t="shared" si="2"/>
        <v>5.3304118091944428</v>
      </c>
      <c r="G76" s="1">
        <f t="shared" si="9"/>
        <v>3.9751586363497822</v>
      </c>
      <c r="H76" s="1">
        <f t="shared" si="3"/>
        <v>1.5550214893069993</v>
      </c>
      <c r="I76" s="1">
        <f t="shared" si="4"/>
        <v>40.131891046850214</v>
      </c>
      <c r="K76" s="112">
        <f>C76/'CGE-Flood Weighted Av Calcs'!$D$3</f>
        <v>4.354291644576745E-3</v>
      </c>
      <c r="L76" s="112">
        <f>D76/'CGE-Flood Weighted Av Calcs'!$D$4</f>
        <v>4.2679571941369419E-3</v>
      </c>
      <c r="M76" s="112">
        <f>E76/'CGE-Flood Weighted Av Calcs'!$D$5</f>
        <v>4.2673122673386335E-3</v>
      </c>
      <c r="N76" s="112">
        <f>F76/'CGE-Flood Weighted Av Calcs'!$D$6</f>
        <v>1.4734043567786999E-3</v>
      </c>
      <c r="O76" s="112">
        <f>G76/'CGE-Flood Weighted Av Calcs'!$D$7</f>
        <v>6.561941656926959E-3</v>
      </c>
      <c r="P76" s="112">
        <f>H76/'CGE-Flood Weighted Av Calcs'!$D$8</f>
        <v>1.5713795504269441E-2</v>
      </c>
      <c r="R76" s="1">
        <f t="shared" si="5"/>
        <v>6.9673421956337217E-2</v>
      </c>
      <c r="S76" s="1">
        <f t="shared" si="6"/>
        <v>8.0821169469351167E-2</v>
      </c>
      <c r="T76" s="1">
        <f t="shared" si="7"/>
        <v>1.9508558147774426</v>
      </c>
    </row>
    <row r="77" spans="1:20">
      <c r="A77">
        <v>24</v>
      </c>
      <c r="B77">
        <v>0.58460568225742904</v>
      </c>
      <c r="C77" s="1">
        <f t="shared" si="1"/>
        <v>42.780999235065451</v>
      </c>
      <c r="D77" s="1">
        <f t="shared" si="10"/>
        <v>137.60269787621246</v>
      </c>
      <c r="E77" s="1">
        <f t="shared" si="8"/>
        <v>164.97246606816731</v>
      </c>
      <c r="F77" s="1">
        <f t="shared" si="2"/>
        <v>8.8277834669983353</v>
      </c>
      <c r="G77" s="1">
        <f t="shared" si="9"/>
        <v>6.5833261940727041</v>
      </c>
      <c r="H77" s="1">
        <f t="shared" si="3"/>
        <v>2.5752968974091344</v>
      </c>
      <c r="I77" s="1">
        <f t="shared" si="4"/>
        <v>66.46309083881134</v>
      </c>
      <c r="K77" s="112">
        <f>C77/'CGE-Flood Weighted Av Calcs'!$D$3</f>
        <v>7.2112146615352429E-3</v>
      </c>
      <c r="L77" s="112">
        <f>D77/'CGE-Flood Weighted Av Calcs'!$D$4</f>
        <v>7.0682347452536822E-3</v>
      </c>
      <c r="M77" s="112">
        <f>E77/'CGE-Flood Weighted Av Calcs'!$D$5</f>
        <v>7.0671666712790382E-3</v>
      </c>
      <c r="N77" s="112">
        <f>F77/'CGE-Flood Weighted Av Calcs'!$D$6</f>
        <v>2.4401294096149744E-3</v>
      </c>
      <c r="O77" s="112">
        <f>G77/'CGE-Flood Weighted Av Calcs'!$D$7</f>
        <v>1.0867340487747741E-2</v>
      </c>
      <c r="P77" s="112">
        <f>H77/'CGE-Flood Weighted Av Calcs'!$D$8</f>
        <v>2.6023877539275202E-2</v>
      </c>
      <c r="R77" s="1">
        <f t="shared" si="5"/>
        <v>0.11538731048404749</v>
      </c>
      <c r="S77" s="1">
        <f t="shared" si="6"/>
        <v>0.13384928016149508</v>
      </c>
      <c r="T77" s="1">
        <f t="shared" si="7"/>
        <v>3.2308446935533301</v>
      </c>
    </row>
    <row r="78" spans="1:20">
      <c r="A78">
        <v>25</v>
      </c>
      <c r="B78">
        <v>0.79619855807136897</v>
      </c>
      <c r="C78" s="1">
        <f t="shared" si="1"/>
        <v>20.989284058183131</v>
      </c>
      <c r="D78" s="1">
        <f t="shared" si="10"/>
        <v>67.510861469754474</v>
      </c>
      <c r="E78" s="1">
        <f t="shared" si="8"/>
        <v>80.939062060186188</v>
      </c>
      <c r="F78" s="1">
        <f t="shared" si="2"/>
        <v>4.331101613005071</v>
      </c>
      <c r="G78" s="1">
        <f t="shared" si="9"/>
        <v>3.2299223020908521</v>
      </c>
      <c r="H78" s="1">
        <f t="shared" si="3"/>
        <v>1.2634963904623557</v>
      </c>
      <c r="I78" s="1">
        <f t="shared" si="4"/>
        <v>32.608230708580948</v>
      </c>
      <c r="K78" s="112">
        <f>C78/'CGE-Flood Weighted Av Calcs'!$D$3</f>
        <v>3.5379779725069472E-3</v>
      </c>
      <c r="L78" s="112">
        <f>D78/'CGE-Flood Weighted Av Calcs'!$D$4</f>
        <v>3.4678289313179065E-3</v>
      </c>
      <c r="M78" s="112">
        <f>E78/'CGE-Flood Weighted Av Calcs'!$D$5</f>
        <v>3.4673049111115105E-3</v>
      </c>
      <c r="N78" s="112">
        <f>F78/'CGE-Flood Weighted Av Calcs'!$D$6</f>
        <v>1.1971802957597985E-3</v>
      </c>
      <c r="O78" s="112">
        <f>G78/'CGE-Flood Weighted Av Calcs'!$D$7</f>
        <v>5.3317524259080739E-3</v>
      </c>
      <c r="P78" s="112">
        <f>H78/'CGE-Flood Weighted Av Calcs'!$D$8</f>
        <v>1.2767877509497427E-2</v>
      </c>
      <c r="R78" s="1">
        <f t="shared" si="5"/>
        <v>5.6611511646841944E-2</v>
      </c>
      <c r="S78" s="1">
        <f t="shared" si="6"/>
        <v>6.5669353510336675E-2</v>
      </c>
      <c r="T78" s="1">
        <f t="shared" si="7"/>
        <v>1.5851223261115752</v>
      </c>
    </row>
    <row r="79" spans="1:20">
      <c r="A79">
        <v>26</v>
      </c>
      <c r="B79">
        <v>0.96882766393488962</v>
      </c>
      <c r="C79" s="1">
        <f t="shared" si="1"/>
        <v>3.2104042554167762</v>
      </c>
      <c r="D79" s="1">
        <f t="shared" si="10"/>
        <v>10.326086223262678</v>
      </c>
      <c r="E79" s="1">
        <f t="shared" si="8"/>
        <v>12.379989167193912</v>
      </c>
      <c r="F79" s="1">
        <f t="shared" si="2"/>
        <v>0.66246123548043911</v>
      </c>
      <c r="G79" s="1">
        <f t="shared" si="9"/>
        <v>0.49403096716179995</v>
      </c>
      <c r="H79" s="1">
        <f t="shared" si="3"/>
        <v>0.1932573868360512</v>
      </c>
      <c r="I79" s="1">
        <f t="shared" si="4"/>
        <v>4.9875737704176402</v>
      </c>
      <c r="K79" s="112">
        <f>C79/'CGE-Flood Weighted Av Calcs'!$D$3</f>
        <v>5.4114945069214137E-4</v>
      </c>
      <c r="L79" s="112">
        <f>D79/'CGE-Flood Weighted Av Calcs'!$D$4</f>
        <v>5.3041984315896188E-4</v>
      </c>
      <c r="M79" s="112">
        <f>E79/'CGE-Flood Weighted Av Calcs'!$D$5</f>
        <v>5.3033969194008726E-4</v>
      </c>
      <c r="N79" s="112">
        <f>F79/'CGE-Flood Weighted Av Calcs'!$D$6</f>
        <v>1.8311404549836986E-4</v>
      </c>
      <c r="O79" s="112">
        <f>G79/'CGE-Flood Weighted Av Calcs'!$D$7</f>
        <v>8.1551522336420208E-4</v>
      </c>
      <c r="P79" s="112">
        <f>H79/'CGE-Flood Weighted Av Calcs'!$D$8</f>
        <v>1.9529035947821948E-3</v>
      </c>
      <c r="R79" s="1">
        <f t="shared" si="5"/>
        <v>8.6589822403084216E-3</v>
      </c>
      <c r="S79" s="1">
        <f t="shared" si="6"/>
        <v>1.0044419398757776E-2</v>
      </c>
      <c r="T79" s="1">
        <f t="shared" si="7"/>
        <v>0.24245150272863736</v>
      </c>
    </row>
    <row r="80" spans="1:20">
      <c r="A80">
        <v>27</v>
      </c>
      <c r="B80">
        <v>0.39343269088775112</v>
      </c>
      <c r="C80" s="1">
        <f t="shared" si="1"/>
        <v>62.469693201793724</v>
      </c>
      <c r="D80" s="1">
        <f>IF($B80&lt;=0.005,$F$11,IF($B80&lt;=0.01,$F$11+($B80-0.005)*SLOPE($E$11:$F$11,$E$10:$F$10),IF($B80&lt;=0.04,$E$11+($B80-0.01)*SLOPE($D$11:$E$11,$D$10:$E$10),IF($B80&lt;=0.1,$D$11+($B80-0.04)*SLOPE($C$11:$D$11,$C$10:$D$10),IF($B80&lt;=1,$C$11+($B80-0.1)*SLOPE($B$11:$C$11,$B$10:$C$10),)))))</f>
        <v>200.93028385883034</v>
      </c>
      <c r="E80" s="1">
        <f t="shared" si="8"/>
        <v>240.89618116200063</v>
      </c>
      <c r="F80" s="1">
        <f t="shared" si="2"/>
        <v>12.890510616760942</v>
      </c>
      <c r="G80" s="1">
        <f t="shared" si="9"/>
        <v>9.6131080373168611</v>
      </c>
      <c r="H80" s="1">
        <f t="shared" si="3"/>
        <v>3.7605013898977893</v>
      </c>
      <c r="I80" s="1">
        <f t="shared" si="4"/>
        <v>97.050769457959802</v>
      </c>
      <c r="K80" s="112">
        <f>C80/'CGE-Flood Weighted Av Calcs'!$D$3</f>
        <v>1.0529963665485061E-2</v>
      </c>
      <c r="L80" s="112">
        <f>D80/'CGE-Flood Weighted Av Calcs'!$D$4</f>
        <v>1.0321181456938463E-2</v>
      </c>
      <c r="M80" s="112">
        <f>E80/'CGE-Flood Weighted Av Calcs'!$D$5</f>
        <v>1.0319621833397503E-2</v>
      </c>
      <c r="N80" s="112">
        <f>F80/'CGE-Flood Weighted Av Calcs'!$D$6</f>
        <v>3.5631270497856636E-3</v>
      </c>
      <c r="O80" s="112">
        <f>G80/'CGE-Flood Weighted Av Calcs'!$D$7</f>
        <v>1.586871364221407E-2</v>
      </c>
      <c r="P80" s="112">
        <f>H80/'CGE-Flood Weighted Av Calcs'!$D$8</f>
        <v>3.8000600146502993E-2</v>
      </c>
      <c r="R80" s="1">
        <f t="shared" si="5"/>
        <v>0.16849091919784689</v>
      </c>
      <c r="S80" s="1">
        <f t="shared" si="6"/>
        <v>0.19544946626950238</v>
      </c>
      <c r="T80" s="1">
        <f t="shared" si="7"/>
        <v>4.7177457375397136</v>
      </c>
    </row>
    <row r="81" spans="1:20">
      <c r="A81">
        <v>28</v>
      </c>
      <c r="B81">
        <v>0.48817676533974541</v>
      </c>
      <c r="C81" s="1">
        <f t="shared" si="1"/>
        <v>52.71210624517667</v>
      </c>
      <c r="D81" s="1">
        <f t="shared" si="10"/>
        <v>169.54554965440511</v>
      </c>
      <c r="E81" s="1">
        <f t="shared" si="8"/>
        <v>203.2688883944142</v>
      </c>
      <c r="F81" s="1">
        <f t="shared" si="2"/>
        <v>10.877049819827995</v>
      </c>
      <c r="G81" s="1">
        <f t="shared" si="9"/>
        <v>8.1115681258837711</v>
      </c>
      <c r="H81" s="1">
        <f t="shared" si="3"/>
        <v>3.1731218554109226</v>
      </c>
      <c r="I81" s="1">
        <f t="shared" si="4"/>
        <v>81.891717545640716</v>
      </c>
      <c r="K81" s="112">
        <f>C81/'CGE-Flood Weighted Av Calcs'!$D$3</f>
        <v>8.8852135338638241E-3</v>
      </c>
      <c r="L81" s="112">
        <f>D81/'CGE-Flood Weighted Av Calcs'!$D$4</f>
        <v>8.7090425076437866E-3</v>
      </c>
      <c r="M81" s="112">
        <f>E81/'CGE-Flood Weighted Av Calcs'!$D$5</f>
        <v>8.7077264928279632E-3</v>
      </c>
      <c r="N81" s="112">
        <f>F81/'CGE-Flood Weighted Av Calcs'!$D$6</f>
        <v>3.0065768212860669E-3</v>
      </c>
      <c r="O81" s="112">
        <f>G81/'CGE-Flood Weighted Av Calcs'!$D$7</f>
        <v>1.3390066072209465E-2</v>
      </c>
      <c r="P81" s="112">
        <f>H81/'CGE-Flood Weighted Av Calcs'!$D$8</f>
        <v>3.2065015364048981E-2</v>
      </c>
      <c r="R81" s="1">
        <f t="shared" si="5"/>
        <v>0.1421731207389596</v>
      </c>
      <c r="S81" s="1">
        <f t="shared" si="6"/>
        <v>0.16492082005719313</v>
      </c>
      <c r="T81" s="1">
        <f t="shared" si="7"/>
        <v>3.9808473806908693</v>
      </c>
    </row>
    <row r="82" spans="1:20">
      <c r="A82">
        <v>29</v>
      </c>
      <c r="B82">
        <v>0.39101619202180371</v>
      </c>
      <c r="C82" s="1">
        <f t="shared" si="1"/>
        <v>62.718565734998904</v>
      </c>
      <c r="D82" s="1">
        <f t="shared" si="10"/>
        <v>201.73076848071011</v>
      </c>
      <c r="E82" s="1">
        <f t="shared" si="8"/>
        <v>241.85588561663241</v>
      </c>
      <c r="F82" s="1">
        <f t="shared" si="2"/>
        <v>12.941865023467226</v>
      </c>
      <c r="G82" s="1">
        <f t="shared" si="9"/>
        <v>9.6514056249405744</v>
      </c>
      <c r="H82" s="1">
        <f t="shared" si="3"/>
        <v>3.7754828226383395</v>
      </c>
      <c r="I82" s="1">
        <f t="shared" si="4"/>
        <v>97.437409276511403</v>
      </c>
      <c r="K82" s="112">
        <f>C82/'CGE-Flood Weighted Av Calcs'!$D$3</f>
        <v>1.0571913907237048E-2</v>
      </c>
      <c r="L82" s="112">
        <f>D82/'CGE-Flood Weighted Av Calcs'!$D$4</f>
        <v>1.0362299932845832E-2</v>
      </c>
      <c r="M82" s="112">
        <f>E82/'CGE-Flood Weighted Av Calcs'!$D$5</f>
        <v>1.0360734095932569E-2</v>
      </c>
      <c r="N82" s="112">
        <f>F82/'CGE-Flood Weighted Av Calcs'!$D$6</f>
        <v>3.5773221644014442E-3</v>
      </c>
      <c r="O82" s="112">
        <f>G82/'CGE-Flood Weighted Av Calcs'!$D$7</f>
        <v>1.593193288918697E-2</v>
      </c>
      <c r="P82" s="112">
        <f>H82/'CGE-Flood Weighted Av Calcs'!$D$8</f>
        <v>3.8151990446936006E-2</v>
      </c>
      <c r="R82" s="1">
        <f t="shared" si="5"/>
        <v>0.16916216888283231</v>
      </c>
      <c r="S82" s="1">
        <f t="shared" si="6"/>
        <v>0.19622811590408545</v>
      </c>
      <c r="T82" s="1">
        <f t="shared" si="7"/>
        <v>4.7365407287193051</v>
      </c>
    </row>
    <row r="83" spans="1:20">
      <c r="A83">
        <v>30</v>
      </c>
      <c r="B83">
        <v>0.93881638497857711</v>
      </c>
      <c r="C83" s="1">
        <f t="shared" si="1"/>
        <v>6.3012325292618954</v>
      </c>
      <c r="D83" s="1">
        <f t="shared" si="10"/>
        <v>20.267562971299014</v>
      </c>
      <c r="E83" s="1">
        <f t="shared" si="8"/>
        <v>24.298868381017996</v>
      </c>
      <c r="F83" s="1">
        <f t="shared" si="2"/>
        <v>1.3002481788208513</v>
      </c>
      <c r="G83" s="1">
        <f t="shared" si="9"/>
        <v>0.96966106230709848</v>
      </c>
      <c r="H83" s="1">
        <f t="shared" si="3"/>
        <v>0.37931663291213447</v>
      </c>
      <c r="I83" s="1">
        <f t="shared" si="4"/>
        <v>9.7893784034276337</v>
      </c>
      <c r="K83" s="112">
        <f>C83/'CGE-Flood Weighted Av Calcs'!$D$3</f>
        <v>1.0621430357688245E-3</v>
      </c>
      <c r="L83" s="112">
        <f>D83/'CGE-Flood Weighted Av Calcs'!$D$4</f>
        <v>1.0410834598913591E-3</v>
      </c>
      <c r="M83" s="112">
        <f>E83/'CGE-Flood Weighted Av Calcs'!$D$5</f>
        <v>1.0409261427974854E-3</v>
      </c>
      <c r="N83" s="112">
        <f>F83/'CGE-Flood Weighted Av Calcs'!$D$6</f>
        <v>3.5940775312400035E-4</v>
      </c>
      <c r="O83" s="112">
        <f>G83/'CGE-Flood Weighted Av Calcs'!$D$7</f>
        <v>1.6006554454631118E-3</v>
      </c>
      <c r="P83" s="112">
        <f>H83/'CGE-Flood Weighted Av Calcs'!$D$8</f>
        <v>3.8330685729659202E-3</v>
      </c>
      <c r="R83" s="1">
        <f t="shared" si="5"/>
        <v>1.6995448617061898E-2</v>
      </c>
      <c r="S83" s="1">
        <f t="shared" si="6"/>
        <v>1.9714720395791807E-2</v>
      </c>
      <c r="T83" s="1">
        <f t="shared" si="7"/>
        <v>0.47587256127773436</v>
      </c>
    </row>
    <row r="84" spans="1:20">
      <c r="A84">
        <v>31</v>
      </c>
      <c r="B84">
        <v>0.48937636524988359</v>
      </c>
      <c r="C84" s="1">
        <f t="shared" si="1"/>
        <v>52.588560783320325</v>
      </c>
      <c r="D84" s="1">
        <f t="shared" si="10"/>
        <v>169.14817256724578</v>
      </c>
      <c r="E84" s="1">
        <f t="shared" si="8"/>
        <v>202.79247129620705</v>
      </c>
      <c r="F84" s="1">
        <f t="shared" si="2"/>
        <v>10.85155643245746</v>
      </c>
      <c r="G84" s="1">
        <f t="shared" si="9"/>
        <v>8.0925564129799028</v>
      </c>
      <c r="H84" s="1">
        <f t="shared" si="3"/>
        <v>3.1656847630031595</v>
      </c>
      <c r="I84" s="1">
        <f t="shared" si="4"/>
        <v>81.699781560018607</v>
      </c>
      <c r="K84" s="112">
        <f>C84/'CGE-Flood Weighted Av Calcs'!$D$3</f>
        <v>8.8643885680651201E-3</v>
      </c>
      <c r="L84" s="112">
        <f>D84/'CGE-Flood Weighted Av Calcs'!$D$4</f>
        <v>8.68863044757681E-3</v>
      </c>
      <c r="M84" s="112">
        <f>E84/'CGE-Flood Weighted Av Calcs'!$D$5</f>
        <v>8.6873175172072319E-3</v>
      </c>
      <c r="N84" s="112">
        <f>F84/'CGE-Flood Weighted Av Calcs'!$D$6</f>
        <v>2.9995300734239221E-3</v>
      </c>
      <c r="O84" s="112">
        <f>G84/'CGE-Flood Weighted Av Calcs'!$D$7</f>
        <v>1.335868273325724E-2</v>
      </c>
      <c r="P84" s="112">
        <f>H84/'CGE-Flood Weighted Av Calcs'!$D$8</f>
        <v>3.1989862094434662E-2</v>
      </c>
      <c r="R84" s="1">
        <f t="shared" si="5"/>
        <v>0.14183989854169898</v>
      </c>
      <c r="S84" s="1">
        <f t="shared" si="6"/>
        <v>0.16453428230837083</v>
      </c>
      <c r="T84" s="1">
        <f t="shared" si="7"/>
        <v>3.9715171591675724</v>
      </c>
    </row>
    <row r="85" spans="1:20">
      <c r="A85">
        <v>32</v>
      </c>
      <c r="B85">
        <v>0.42934754735538261</v>
      </c>
      <c r="C85" s="1">
        <f t="shared" si="1"/>
        <v>58.77086203958843</v>
      </c>
      <c r="D85" s="1">
        <f t="shared" si="10"/>
        <v>189.03319973249984</v>
      </c>
      <c r="E85" s="1">
        <f t="shared" si="8"/>
        <v>226.63271585475186</v>
      </c>
      <c r="F85" s="1">
        <f t="shared" si="2"/>
        <v>12.127263353612154</v>
      </c>
      <c r="G85" s="1">
        <f t="shared" si="9"/>
        <v>9.0439158138299565</v>
      </c>
      <c r="H85" s="1">
        <f t="shared" si="3"/>
        <v>3.5378420648145203</v>
      </c>
      <c r="I85" s="1">
        <f t="shared" si="4"/>
        <v>91.304392423138779</v>
      </c>
      <c r="K85" s="112">
        <f>C85/'CGE-Flood Weighted Av Calcs'!$D$3</f>
        <v>9.9064844110412879E-3</v>
      </c>
      <c r="L85" s="112">
        <f>D85/'CGE-Flood Weighted Av Calcs'!$D$4</f>
        <v>9.7100641991606836E-3</v>
      </c>
      <c r="M85" s="112">
        <f>E85/'CGE-Flood Weighted Av Calcs'!$D$5</f>
        <v>9.7085969209452557E-3</v>
      </c>
      <c r="N85" s="112">
        <f>F85/'CGE-Flood Weighted Av Calcs'!$D$6</f>
        <v>3.3521542613637514E-3</v>
      </c>
      <c r="O85" s="112">
        <f>G85/'CGE-Flood Weighted Av Calcs'!$D$7</f>
        <v>1.4929126948001711E-2</v>
      </c>
      <c r="P85" s="112">
        <f>H85/'CGE-Flood Weighted Av Calcs'!$D$8</f>
        <v>3.5750584229979294E-2</v>
      </c>
      <c r="R85" s="1">
        <f t="shared" si="5"/>
        <v>0.15851457017906037</v>
      </c>
      <c r="S85" s="1">
        <f t="shared" si="6"/>
        <v>0.18387690140771001</v>
      </c>
      <c r="T85" s="1">
        <f t="shared" si="7"/>
        <v>4.4384079650136909</v>
      </c>
    </row>
    <row r="86" spans="1:20">
      <c r="A86">
        <v>33</v>
      </c>
      <c r="B86">
        <v>0.76895414960755326</v>
      </c>
      <c r="C86" s="1">
        <f t="shared" si="1"/>
        <v>23.795155414306549</v>
      </c>
      <c r="D86" s="1">
        <f t="shared" si="10"/>
        <v>76.535790185765052</v>
      </c>
      <c r="E86" s="1">
        <f t="shared" si="8"/>
        <v>91.759087897972279</v>
      </c>
      <c r="F86" s="1">
        <f t="shared" si="2"/>
        <v>4.9100882007659319</v>
      </c>
      <c r="G86" s="1">
        <f t="shared" si="9"/>
        <v>3.6617019876112664</v>
      </c>
      <c r="H86" s="1">
        <f t="shared" si="3"/>
        <v>1.4324020244390177</v>
      </c>
      <c r="I86" s="1">
        <f t="shared" si="4"/>
        <v>36.96733606279146</v>
      </c>
      <c r="K86" s="112">
        <f>C86/'CGE-Flood Weighted Av Calcs'!$D$3</f>
        <v>4.0109388902845383E-3</v>
      </c>
      <c r="L86" s="112">
        <f>D86/'CGE-Flood Weighted Av Calcs'!$D$4</f>
        <v>3.9314122455152015E-3</v>
      </c>
      <c r="M86" s="112">
        <f>E86/'CGE-Flood Weighted Av Calcs'!$D$5</f>
        <v>3.9308181736918456E-3</v>
      </c>
      <c r="N86" s="112">
        <f>F86/'CGE-Flood Weighted Av Calcs'!$D$6</f>
        <v>1.357220718800248E-3</v>
      </c>
      <c r="O86" s="112">
        <f>G86/'CGE-Flood Weighted Av Calcs'!$D$7</f>
        <v>6.0445071520019589E-3</v>
      </c>
      <c r="P86" s="112">
        <f>H86/'CGE-Flood Weighted Av Calcs'!$D$8</f>
        <v>1.4474701891076282E-2</v>
      </c>
      <c r="R86" s="1">
        <f t="shared" si="5"/>
        <v>6.4179402886790748E-2</v>
      </c>
      <c r="S86" s="1">
        <f t="shared" si="6"/>
        <v>7.4448107348677267E-2</v>
      </c>
      <c r="T86" s="1">
        <f t="shared" si="7"/>
        <v>1.7970232808301416</v>
      </c>
    </row>
    <row r="87" spans="1:20">
      <c r="A87">
        <v>34</v>
      </c>
      <c r="B87">
        <v>0.34101664208424609</v>
      </c>
      <c r="C87" s="1">
        <f t="shared" si="1"/>
        <v>67.867963828012478</v>
      </c>
      <c r="D87" s="1">
        <f t="shared" si="10"/>
        <v>218.29352023281297</v>
      </c>
      <c r="E87" s="1">
        <f t="shared" si="8"/>
        <v>261.71303989915481</v>
      </c>
      <c r="F87" s="1">
        <f t="shared" si="2"/>
        <v>14.004434205190277</v>
      </c>
      <c r="G87" s="1">
        <f t="shared" si="9"/>
        <v>10.443817395483279</v>
      </c>
      <c r="H87" s="1">
        <f t="shared" si="3"/>
        <v>4.0854622333481485</v>
      </c>
      <c r="I87" s="1">
        <f t="shared" si="4"/>
        <v>105.43733726652061</v>
      </c>
      <c r="K87" s="112">
        <f>C87/'CGE-Flood Weighted Av Calcs'!$D$3</f>
        <v>1.1439902399567183E-2</v>
      </c>
      <c r="L87" s="112">
        <f>D87/'CGE-Flood Weighted Av Calcs'!$D$4</f>
        <v>1.1213078436596829E-2</v>
      </c>
      <c r="M87" s="112">
        <f>E87/'CGE-Flood Weighted Av Calcs'!$D$5</f>
        <v>1.1211384039383748E-2</v>
      </c>
      <c r="N87" s="112">
        <f>F87/'CGE-Flood Weighted Av Calcs'!$D$6</f>
        <v>3.871031941013642E-3</v>
      </c>
      <c r="O87" s="112">
        <f>G87/'CGE-Flood Weighted Av Calcs'!$D$7</f>
        <v>1.7239996360922563E-2</v>
      </c>
      <c r="P87" s="112">
        <f>H87/'CGE-Flood Weighted Av Calcs'!$D$8</f>
        <v>4.1284392863187268E-2</v>
      </c>
      <c r="R87" s="1">
        <f t="shared" si="5"/>
        <v>0.18305093275437609</v>
      </c>
      <c r="S87" s="1">
        <f t="shared" si="6"/>
        <v>0.21233908199507626</v>
      </c>
      <c r="T87" s="1">
        <f t="shared" si="7"/>
        <v>5.1254261171225304</v>
      </c>
    </row>
    <row r="88" spans="1:20">
      <c r="A88">
        <v>35</v>
      </c>
      <c r="B88">
        <v>0.40513683030547631</v>
      </c>
      <c r="C88" s="1">
        <f t="shared" si="1"/>
        <v>61.26429688776156</v>
      </c>
      <c r="D88" s="1">
        <f t="shared" si="10"/>
        <v>197.05319384722264</v>
      </c>
      <c r="E88" s="1">
        <f t="shared" si="8"/>
        <v>236.24792127861832</v>
      </c>
      <c r="F88" s="1">
        <f t="shared" si="2"/>
        <v>12.641779220990458</v>
      </c>
      <c r="G88" s="1">
        <f t="shared" si="9"/>
        <v>9.4276164108870066</v>
      </c>
      <c r="H88" s="1">
        <f t="shared" si="3"/>
        <v>3.6879398919622517</v>
      </c>
      <c r="I88" s="1">
        <f t="shared" si="4"/>
        <v>95.178107151123783</v>
      </c>
      <c r="K88" s="112">
        <f>C88/'CGE-Flood Weighted Av Calcs'!$D$3</f>
        <v>1.0326780670040097E-2</v>
      </c>
      <c r="L88" s="112">
        <f>D88/'CGE-Flood Weighted Av Calcs'!$D$4</f>
        <v>1.0122027059870069E-2</v>
      </c>
      <c r="M88" s="112">
        <f>E88/'CGE-Flood Weighted Av Calcs'!$D$5</f>
        <v>1.0120497530353448E-2</v>
      </c>
      <c r="N88" s="112">
        <f>F88/'CGE-Flood Weighted Av Calcs'!$D$6</f>
        <v>3.494374027446239E-3</v>
      </c>
      <c r="O88" s="112">
        <f>G88/'CGE-Flood Weighted Av Calcs'!$D$7</f>
        <v>1.5562515741242027E-2</v>
      </c>
      <c r="P88" s="112">
        <f>H88/'CGE-Flood Weighted Av Calcs'!$D$8</f>
        <v>3.726735205450997E-2</v>
      </c>
      <c r="R88" s="1">
        <f t="shared" si="5"/>
        <v>0.16523976935958989</v>
      </c>
      <c r="S88" s="1">
        <f t="shared" si="6"/>
        <v>0.19167813245712428</v>
      </c>
      <c r="T88" s="1">
        <f t="shared" si="7"/>
        <v>4.6267135420685177</v>
      </c>
    </row>
    <row r="89" spans="1:20">
      <c r="A89">
        <v>36</v>
      </c>
      <c r="B89">
        <v>0.24522135521639432</v>
      </c>
      <c r="C89" s="1">
        <f t="shared" si="1"/>
        <v>77.733813983324907</v>
      </c>
      <c r="D89" s="1">
        <f t="shared" si="10"/>
        <v>250.02647697732746</v>
      </c>
      <c r="E89" s="1">
        <f t="shared" si="8"/>
        <v>299.75781816713987</v>
      </c>
      <c r="F89" s="1">
        <f t="shared" si="2"/>
        <v>16.040234921541092</v>
      </c>
      <c r="G89" s="1">
        <f t="shared" si="9"/>
        <v>11.962017318710602</v>
      </c>
      <c r="H89" s="1">
        <f t="shared" si="3"/>
        <v>4.6793589106014055</v>
      </c>
      <c r="I89" s="1">
        <f t="shared" si="4"/>
        <v>120.76458316537691</v>
      </c>
      <c r="K89" s="112">
        <f>C89/'CGE-Flood Weighted Av Calcs'!$D$3</f>
        <v>1.3102901501051117E-2</v>
      </c>
      <c r="L89" s="112">
        <f>D89/'CGE-Flood Weighted Av Calcs'!$D$4</f>
        <v>1.2843104525423856E-2</v>
      </c>
      <c r="M89" s="112">
        <f>E89/'CGE-Flood Weighted Av Calcs'!$D$5</f>
        <v>1.2841163816577643E-2</v>
      </c>
      <c r="N89" s="112">
        <f>F89/'CGE-Flood Weighted Av Calcs'!$D$6</f>
        <v>4.4337572523733652E-3</v>
      </c>
      <c r="O89" s="112">
        <f>G89/'CGE-Flood Weighted Av Calcs'!$D$7</f>
        <v>1.9746145229717564E-2</v>
      </c>
      <c r="P89" s="112">
        <f>H89/'CGE-Flood Weighted Av Calcs'!$D$8</f>
        <v>4.7285834644665022E-2</v>
      </c>
      <c r="R89" s="1">
        <f t="shared" si="5"/>
        <v>0.20966073466211269</v>
      </c>
      <c r="S89" s="1">
        <f t="shared" si="6"/>
        <v>0.24320645220805071</v>
      </c>
      <c r="T89" s="1">
        <f t="shared" si="7"/>
        <v>5.8705005705391553</v>
      </c>
    </row>
    <row r="90" spans="1:20">
      <c r="A90">
        <v>37</v>
      </c>
      <c r="B90">
        <v>0.17345694766199349</v>
      </c>
      <c r="C90" s="1">
        <f t="shared" si="1"/>
        <v>85.124750579122022</v>
      </c>
      <c r="D90" s="1">
        <f t="shared" si="10"/>
        <v>273.79901229903913</v>
      </c>
      <c r="E90" s="1">
        <f t="shared" si="8"/>
        <v>328.25881296771752</v>
      </c>
      <c r="F90" s="1">
        <f t="shared" si="2"/>
        <v>17.565341605644264</v>
      </c>
      <c r="G90" s="1">
        <f t="shared" si="9"/>
        <v>13.099366781318761</v>
      </c>
      <c r="H90" s="1">
        <f t="shared" si="3"/>
        <v>5.1242726906540899</v>
      </c>
      <c r="I90" s="1">
        <f t="shared" si="4"/>
        <v>132.24688837408104</v>
      </c>
      <c r="K90" s="112">
        <f>C90/'CGE-Flood Weighted Av Calcs'!$D$3</f>
        <v>1.4348726313352466E-2</v>
      </c>
      <c r="L90" s="112">
        <f>D90/'CGE-Flood Weighted Av Calcs'!$D$4</f>
        <v>1.4064227822692727E-2</v>
      </c>
      <c r="M90" s="112">
        <f>E90/'CGE-Flood Weighted Av Calcs'!$D$5</f>
        <v>1.4062102591110549E-2</v>
      </c>
      <c r="N90" s="112">
        <f>F90/'CGE-Flood Weighted Av Calcs'!$D$6</f>
        <v>4.8553192091876406E-3</v>
      </c>
      <c r="O90" s="112">
        <f>G90/'CGE-Flood Weighted Av Calcs'!$D$7</f>
        <v>2.1623610131099494E-2</v>
      </c>
      <c r="P90" s="112">
        <f>H90/'CGE-Flood Weighted Av Calcs'!$D$8</f>
        <v>5.1781775186229555E-2</v>
      </c>
      <c r="R90" s="1">
        <f t="shared" si="5"/>
        <v>0.22959529231611292</v>
      </c>
      <c r="S90" s="1">
        <f t="shared" si="6"/>
        <v>0.26633053908669096</v>
      </c>
      <c r="T90" s="1">
        <f t="shared" si="7"/>
        <v>6.428668184851162</v>
      </c>
    </row>
    <row r="91" spans="1:20">
      <c r="A91">
        <v>38</v>
      </c>
      <c r="B91">
        <v>0.63699830890114584</v>
      </c>
      <c r="C91" s="1">
        <f t="shared" si="1"/>
        <v>37.385140831058663</v>
      </c>
      <c r="D91" s="1">
        <f t="shared" si="10"/>
        <v>120.24722028042993</v>
      </c>
      <c r="E91" s="1">
        <f t="shared" si="8"/>
        <v>144.16490936355396</v>
      </c>
      <c r="F91" s="1">
        <f t="shared" si="2"/>
        <v>7.7143576363526503</v>
      </c>
      <c r="G91" s="1">
        <f t="shared" si="9"/>
        <v>5.7529880391497343</v>
      </c>
      <c r="H91" s="1">
        <f t="shared" si="3"/>
        <v>2.2504812630116127</v>
      </c>
      <c r="I91" s="1">
        <f t="shared" si="4"/>
        <v>58.080270575816641</v>
      </c>
      <c r="K91" s="112">
        <f>C91/'CGE-Flood Weighted Av Calcs'!$D$3</f>
        <v>6.301682534416324E-3</v>
      </c>
      <c r="L91" s="112">
        <f>D91/'CGE-Flood Weighted Av Calcs'!$D$4</f>
        <v>6.1767363105839036E-3</v>
      </c>
      <c r="M91" s="112">
        <f>E91/'CGE-Flood Weighted Av Calcs'!$D$5</f>
        <v>6.1758029500576421E-3</v>
      </c>
      <c r="N91" s="112">
        <f>F91/'CGE-Flood Weighted Av Calcs'!$D$6</f>
        <v>2.1323621059718403E-3</v>
      </c>
      <c r="O91" s="112">
        <f>G91/'CGE-Flood Weighted Av Calcs'!$D$7</f>
        <v>9.4966705279878084E-3</v>
      </c>
      <c r="P91" s="112">
        <f>H91/'CGE-Flood Weighted Av Calcs'!$D$8</f>
        <v>2.2741552188397345E-2</v>
      </c>
      <c r="R91" s="1">
        <f t="shared" si="5"/>
        <v>0.10083380308301504</v>
      </c>
      <c r="S91" s="1">
        <f t="shared" si="6"/>
        <v>0.11696721157629744</v>
      </c>
      <c r="T91" s="1">
        <f t="shared" si="7"/>
        <v>2.8233464863244215</v>
      </c>
    </row>
    <row r="92" spans="1:20">
      <c r="A92">
        <v>39</v>
      </c>
      <c r="B92">
        <v>0.2582204817349345</v>
      </c>
      <c r="C92" s="1">
        <f t="shared" si="1"/>
        <v>76.395048386654366</v>
      </c>
      <c r="D92" s="1">
        <f t="shared" si="10"/>
        <v>245.72041210695085</v>
      </c>
      <c r="E92" s="1">
        <f t="shared" si="8"/>
        <v>294.59525848132182</v>
      </c>
      <c r="F92" s="1">
        <f t="shared" si="2"/>
        <v>15.763983010370504</v>
      </c>
      <c r="G92" s="1">
        <f t="shared" si="9"/>
        <v>11.756002247116374</v>
      </c>
      <c r="H92" s="1">
        <f t="shared" si="3"/>
        <v>4.5987689536319616</v>
      </c>
      <c r="I92" s="1">
        <f t="shared" si="4"/>
        <v>118.68472292241047</v>
      </c>
      <c r="K92" s="112">
        <f>C92/'CGE-Flood Weighted Av Calcs'!$D$3</f>
        <v>1.2877237625225689E-2</v>
      </c>
      <c r="L92" s="112">
        <f>D92/'CGE-Flood Weighted Av Calcs'!$D$4</f>
        <v>1.26219149862515E-2</v>
      </c>
      <c r="M92" s="112">
        <f>E92/'CGE-Flood Weighted Av Calcs'!$D$5</f>
        <v>1.2620007701138195E-2</v>
      </c>
      <c r="N92" s="112">
        <f>F92/'CGE-Flood Weighted Av Calcs'!$D$6</f>
        <v>4.3573971541188373E-3</v>
      </c>
      <c r="O92" s="112">
        <f>G92/'CGE-Flood Weighted Av Calcs'!$D$7</f>
        <v>1.940606851733501E-2</v>
      </c>
      <c r="P92" s="112">
        <f>H92/'CGE-Flood Weighted Av Calcs'!$D$8</f>
        <v>4.6471457407936234E-2</v>
      </c>
      <c r="R92" s="1">
        <f t="shared" si="5"/>
        <v>0.20604986618474042</v>
      </c>
      <c r="S92" s="1">
        <f t="shared" si="6"/>
        <v>0.23901784477429888</v>
      </c>
      <c r="T92" s="1">
        <f t="shared" si="7"/>
        <v>5.7693962531727321</v>
      </c>
    </row>
    <row r="93" spans="1:20">
      <c r="A93">
        <v>40</v>
      </c>
      <c r="B93">
        <v>0.96220119032068452</v>
      </c>
      <c r="C93" s="1">
        <f t="shared" si="1"/>
        <v>3.8928574101952904</v>
      </c>
      <c r="D93" s="1">
        <f t="shared" si="10"/>
        <v>12.521158730935326</v>
      </c>
      <c r="E93" s="1">
        <f t="shared" si="8"/>
        <v>15.011671033743994</v>
      </c>
      <c r="F93" s="1">
        <f t="shared" si="2"/>
        <v>0.80328423598241372</v>
      </c>
      <c r="G93" s="1">
        <f t="shared" si="9"/>
        <v>0.59904982624441949</v>
      </c>
      <c r="H93" s="1">
        <f t="shared" si="3"/>
        <v>0.23433916434366164</v>
      </c>
      <c r="I93" s="1">
        <f t="shared" si="4"/>
        <v>6.0478095486904522</v>
      </c>
      <c r="K93" s="112">
        <f>C93/'CGE-Flood Weighted Av Calcs'!$D$3</f>
        <v>6.5618454298881795E-4</v>
      </c>
      <c r="L93" s="112">
        <f>D93/'CGE-Flood Weighted Av Calcs'!$D$4</f>
        <v>6.4317408422072159E-4</v>
      </c>
      <c r="M93" s="112">
        <f>E93/'CGE-Flood Weighted Av Calcs'!$D$5</f>
        <v>6.4307689481979185E-4</v>
      </c>
      <c r="N93" s="112">
        <f>F93/'CGE-Flood Weighted Av Calcs'!$D$6</f>
        <v>2.2203959757604607E-4</v>
      </c>
      <c r="O93" s="112">
        <f>G93/'CGE-Flood Weighted Av Calcs'!$D$7</f>
        <v>9.8887374543062709E-4</v>
      </c>
      <c r="P93" s="112">
        <f>H93/'CGE-Flood Weighted Av Calcs'!$D$8</f>
        <v>2.3680429707622517E-3</v>
      </c>
      <c r="R93" s="1">
        <f t="shared" si="5"/>
        <v>1.0499669355365393E-2</v>
      </c>
      <c r="S93" s="1">
        <f t="shared" si="6"/>
        <v>1.2179616452223874E-2</v>
      </c>
      <c r="T93" s="1">
        <f t="shared" si="7"/>
        <v>0.29399074195023189</v>
      </c>
    </row>
    <row r="94" spans="1:20">
      <c r="A94">
        <v>41</v>
      </c>
      <c r="B94">
        <v>0.96724282177713394</v>
      </c>
      <c r="C94" s="1">
        <f t="shared" si="1"/>
        <v>3.3736253883082981</v>
      </c>
      <c r="D94" s="1">
        <f t="shared" si="10"/>
        <v>10.851077893346826</v>
      </c>
      <c r="E94" s="1">
        <f t="shared" si="8"/>
        <v>13.0094039375129</v>
      </c>
      <c r="F94" s="1">
        <f t="shared" si="2"/>
        <v>0.69614162734055895</v>
      </c>
      <c r="G94" s="1">
        <f t="shared" si="9"/>
        <v>0.5191481448529256</v>
      </c>
      <c r="H94" s="1">
        <f t="shared" si="3"/>
        <v>0.2030828440400203</v>
      </c>
      <c r="I94" s="1">
        <f t="shared" si="4"/>
        <v>5.2411485156585513</v>
      </c>
      <c r="K94" s="112">
        <f>C94/'CGE-Flood Weighted Av Calcs'!$D$3</f>
        <v>5.6866219344301643E-4</v>
      </c>
      <c r="L94" s="112">
        <f>D94/'CGE-Flood Weighted Av Calcs'!$D$4</f>
        <v>5.5738707869089701E-4</v>
      </c>
      <c r="M94" s="112">
        <f>E94/'CGE-Flood Weighted Av Calcs'!$D$5</f>
        <v>5.573028524796836E-4</v>
      </c>
      <c r="N94" s="112">
        <f>F94/'CGE-Flood Weighted Av Calcs'!$D$6</f>
        <v>1.9242380202020488E-4</v>
      </c>
      <c r="O94" s="112">
        <f>G94/'CGE-Flood Weighted Av Calcs'!$D$7</f>
        <v>8.5697707927322273E-4</v>
      </c>
      <c r="P94" s="112">
        <f>H94/'CGE-Flood Weighted Av Calcs'!$D$8</f>
        <v>2.0521917565862664E-3</v>
      </c>
      <c r="R94" s="1">
        <f t="shared" si="5"/>
        <v>9.099216173018343E-3</v>
      </c>
      <c r="S94" s="1">
        <f t="shared" si="6"/>
        <v>1.0555090760701269E-2</v>
      </c>
      <c r="T94" s="1">
        <f t="shared" si="7"/>
        <v>0.25477805284451449</v>
      </c>
    </row>
    <row r="95" spans="1:20">
      <c r="A95">
        <v>42</v>
      </c>
      <c r="B95">
        <v>0.12865506959282824</v>
      </c>
      <c r="C95" s="1">
        <f t="shared" si="1"/>
        <v>89.738846221600838</v>
      </c>
      <c r="D95" s="1">
        <f t="shared" si="10"/>
        <v>288.63999357615609</v>
      </c>
      <c r="E95" s="1">
        <f t="shared" si="8"/>
        <v>346.05172922550787</v>
      </c>
      <c r="F95" s="1">
        <f t="shared" si="2"/>
        <v>18.517452074219698</v>
      </c>
      <c r="G95" s="1">
        <f t="shared" si="9"/>
        <v>13.809403883027915</v>
      </c>
      <c r="H95" s="1">
        <f t="shared" si="3"/>
        <v>5.402028386053674</v>
      </c>
      <c r="I95" s="1">
        <f t="shared" si="4"/>
        <v>139.41518886514748</v>
      </c>
      <c r="K95" s="112">
        <f>C95/'CGE-Flood Weighted Av Calcs'!$D$3</f>
        <v>1.5126483606115668E-2</v>
      </c>
      <c r="L95" s="112">
        <f>D95/'CGE-Flood Weighted Av Calcs'!$D$4</f>
        <v>1.4826564180450372E-2</v>
      </c>
      <c r="M95" s="112">
        <f>E95/'CGE-Flood Weighted Av Calcs'!$D$5</f>
        <v>1.4824323752973743E-2</v>
      </c>
      <c r="N95" s="112">
        <f>F95/'CGE-Flood Weighted Av Calcs'!$D$6</f>
        <v>5.118496570102586E-3</v>
      </c>
      <c r="O95" s="112">
        <f>G95/'CGE-Flood Weighted Av Calcs'!$D$7</f>
        <v>2.2795694684672768E-2</v>
      </c>
      <c r="P95" s="112">
        <f>H95/'CGE-Flood Weighted Av Calcs'!$D$8</f>
        <v>5.4588550673043128E-2</v>
      </c>
      <c r="R95" s="1">
        <f t="shared" si="5"/>
        <v>0.24204025844643659</v>
      </c>
      <c r="S95" s="1">
        <f t="shared" si="6"/>
        <v>0.28076669979786645</v>
      </c>
      <c r="T95" s="1">
        <f t="shared" si="7"/>
        <v>6.7771272365002249</v>
      </c>
    </row>
    <row r="96" spans="1:20">
      <c r="A96">
        <v>43</v>
      </c>
      <c r="B96">
        <v>0.83011899178249093</v>
      </c>
      <c r="C96" s="1">
        <f t="shared" si="1"/>
        <v>17.49585627964548</v>
      </c>
      <c r="D96" s="1">
        <f t="shared" si="10"/>
        <v>56.274445870362001</v>
      </c>
      <c r="E96" s="1">
        <f t="shared" si="8"/>
        <v>67.46767509024329</v>
      </c>
      <c r="F96" s="1">
        <f t="shared" si="2"/>
        <v>3.6102389744987189</v>
      </c>
      <c r="G96" s="1">
        <f t="shared" si="9"/>
        <v>2.6923384444726413</v>
      </c>
      <c r="H96" s="1">
        <f t="shared" si="3"/>
        <v>1.0532017764923101</v>
      </c>
      <c r="I96" s="1">
        <f t="shared" si="4"/>
        <v>27.180961314801422</v>
      </c>
      <c r="K96" s="112">
        <f>C96/'CGE-Flood Weighted Av Calcs'!$D$3</f>
        <v>2.9491217497435319E-3</v>
      </c>
      <c r="L96" s="112">
        <f>D96/'CGE-Flood Weighted Av Calcs'!$D$4</f>
        <v>2.8906482191840199E-3</v>
      </c>
      <c r="M96" s="112">
        <f>E96/'CGE-Flood Weighted Av Calcs'!$D$5</f>
        <v>2.8902114161852466E-3</v>
      </c>
      <c r="N96" s="112">
        <f>F96/'CGE-Flood Weighted Av Calcs'!$D$6</f>
        <v>9.9792324203982325E-4</v>
      </c>
      <c r="O96" s="112">
        <f>G96/'CGE-Flood Weighted Av Calcs'!$D$7</f>
        <v>4.4443428324545493E-3</v>
      </c>
      <c r="P96" s="112">
        <f>H96/'CGE-Flood Weighted Av Calcs'!$D$8</f>
        <v>1.0642809410890472E-2</v>
      </c>
      <c r="R96" s="1">
        <f t="shared" si="5"/>
        <v>4.7189168949308052E-2</v>
      </c>
      <c r="S96" s="1">
        <f t="shared" si="6"/>
        <v>5.4739435981197376E-2</v>
      </c>
      <c r="T96" s="1">
        <f t="shared" si="7"/>
        <v>1.3212967305806265</v>
      </c>
    </row>
    <row r="97" spans="1:20">
      <c r="A97">
        <v>44</v>
      </c>
      <c r="B97">
        <v>3.2993611744211337E-2</v>
      </c>
      <c r="C97" s="1">
        <f t="shared" si="1"/>
        <v>117.26270080438417</v>
      </c>
      <c r="D97" s="1">
        <f t="shared" si="10"/>
        <v>373.8562238778282</v>
      </c>
      <c r="E97" s="1">
        <f t="shared" si="8"/>
        <v>448.13356592556846</v>
      </c>
      <c r="F97" s="1">
        <f t="shared" si="2"/>
        <v>27.467019331546972</v>
      </c>
      <c r="G97" s="1">
        <f t="shared" si="9"/>
        <v>17.776512664331658</v>
      </c>
      <c r="H97" s="1">
        <f t="shared" si="3"/>
        <v>6.743486134353831</v>
      </c>
      <c r="I97" s="1">
        <f t="shared" si="4"/>
        <v>262.55207221698009</v>
      </c>
      <c r="K97" s="112">
        <f>C97/'CGE-Flood Weighted Av Calcs'!$D$3</f>
        <v>1.976593633649151E-2</v>
      </c>
      <c r="L97" s="112">
        <f>D97/'CGE-Flood Weighted Av Calcs'!$D$4</f>
        <v>1.9203864401843369E-2</v>
      </c>
      <c r="M97" s="112">
        <f>E97/'CGE-Flood Weighted Av Calcs'!$D$5</f>
        <v>1.9197352605991678E-2</v>
      </c>
      <c r="N97" s="112">
        <f>F97/'CGE-Flood Weighted Av Calcs'!$D$6</f>
        <v>7.5922888135995827E-3</v>
      </c>
      <c r="O97" s="112">
        <f>G97/'CGE-Flood Weighted Av Calcs'!$D$7</f>
        <v>2.934434814759514E-2</v>
      </c>
      <c r="P97" s="112">
        <f>H97/'CGE-Flood Weighted Av Calcs'!$D$8</f>
        <v>6.814424291225489E-2</v>
      </c>
      <c r="R97" s="1">
        <f t="shared" si="5"/>
        <v>0.29934185100771821</v>
      </c>
      <c r="S97" s="1">
        <f t="shared" si="6"/>
        <v>0.3593418510077182</v>
      </c>
      <c r="T97" s="1">
        <f t="shared" si="7"/>
        <v>9.4012776511577343</v>
      </c>
    </row>
    <row r="98" spans="1:20">
      <c r="A98">
        <v>45</v>
      </c>
      <c r="B98">
        <v>0.17873555353981596</v>
      </c>
      <c r="C98" s="1">
        <f t="shared" si="1"/>
        <v>84.581112824882737</v>
      </c>
      <c r="D98" s="1">
        <f t="shared" si="10"/>
        <v>272.05043178459948</v>
      </c>
      <c r="E98" s="1">
        <f t="shared" si="8"/>
        <v>326.16243227142218</v>
      </c>
      <c r="F98" s="1">
        <f t="shared" si="2"/>
        <v>17.453162917331248</v>
      </c>
      <c r="G98" s="1">
        <f t="shared" si="9"/>
        <v>13.015709439705363</v>
      </c>
      <c r="H98" s="1">
        <f t="shared" si="3"/>
        <v>5.0915472132963897</v>
      </c>
      <c r="I98" s="1">
        <f t="shared" si="4"/>
        <v>131.40231143362945</v>
      </c>
      <c r="K98" s="112">
        <f>C98/'CGE-Flood Weighted Av Calcs'!$D$3</f>
        <v>1.4257090105362235E-2</v>
      </c>
      <c r="L98" s="112">
        <f>D98/'CGE-Flood Weighted Av Calcs'!$D$4</f>
        <v>1.3974408525994384E-2</v>
      </c>
      <c r="M98" s="112">
        <f>E98/'CGE-Flood Weighted Av Calcs'!$D$5</f>
        <v>1.3972296866917462E-2</v>
      </c>
      <c r="N98" s="112">
        <f>F98/'CGE-Flood Weighted Av Calcs'!$D$6</f>
        <v>4.8243113670143551E-3</v>
      </c>
      <c r="O98" s="112">
        <f>G98/'CGE-Flood Weighted Av Calcs'!$D$7</f>
        <v>2.1485513857451202E-2</v>
      </c>
      <c r="P98" s="112">
        <f>H98/'CGE-Flood Weighted Av Calcs'!$D$8</f>
        <v>5.1451077853417987E-2</v>
      </c>
      <c r="R98" s="1">
        <f t="shared" si="5"/>
        <v>0.22812901290560667</v>
      </c>
      <c r="S98" s="1">
        <f t="shared" si="6"/>
        <v>0.26462965497050372</v>
      </c>
      <c r="T98" s="1">
        <f t="shared" si="7"/>
        <v>6.3876123613569868</v>
      </c>
    </row>
    <row r="99" spans="1:20">
      <c r="A99">
        <v>46</v>
      </c>
      <c r="B99">
        <v>0.50917082133971703</v>
      </c>
      <c r="C99" s="1">
        <f t="shared" si="1"/>
        <v>50.54995174446848</v>
      </c>
      <c r="D99" s="1">
        <f t="shared" si="10"/>
        <v>162.59110029973036</v>
      </c>
      <c r="E99" s="1">
        <f t="shared" si="8"/>
        <v>194.93116916438157</v>
      </c>
      <c r="F99" s="1">
        <f t="shared" si="2"/>
        <v>10.430893065761273</v>
      </c>
      <c r="G99" s="1">
        <f t="shared" si="9"/>
        <v>7.7788463892564197</v>
      </c>
      <c r="H99" s="1">
        <f t="shared" si="3"/>
        <v>3.0429661817017157</v>
      </c>
      <c r="I99" s="1">
        <f t="shared" si="4"/>
        <v>78.532668585645254</v>
      </c>
      <c r="K99" s="112">
        <f>C99/'CGE-Flood Weighted Av Calcs'!$D$3</f>
        <v>8.5207582730051305E-3</v>
      </c>
      <c r="L99" s="112">
        <f>D99/'CGE-Flood Weighted Av Calcs'!$D$4</f>
        <v>8.3518134611098322E-3</v>
      </c>
      <c r="M99" s="112">
        <f>E99/'CGE-Flood Weighted Av Calcs'!$D$5</f>
        <v>8.3505514268225767E-3</v>
      </c>
      <c r="N99" s="112">
        <f>F99/'CGE-Flood Weighted Av Calcs'!$D$6</f>
        <v>2.8832525212546408E-3</v>
      </c>
      <c r="O99" s="112">
        <f>G99/'CGE-Flood Weighted Av Calcs'!$D$7</f>
        <v>1.2840829972855973E-2</v>
      </c>
      <c r="P99" s="112">
        <f>H99/'CGE-Flood Weighted Av Calcs'!$D$8</f>
        <v>3.074976689034566E-2</v>
      </c>
      <c r="R99" s="1">
        <f t="shared" si="5"/>
        <v>0.13634143851674524</v>
      </c>
      <c r="S99" s="1">
        <f t="shared" si="6"/>
        <v>0.1581560686794245</v>
      </c>
      <c r="T99" s="1">
        <f t="shared" si="7"/>
        <v>3.8175602784688678</v>
      </c>
    </row>
    <row r="100" spans="1:20">
      <c r="A100">
        <v>47</v>
      </c>
      <c r="B100">
        <v>0.72594409991667819</v>
      </c>
      <c r="C100" s="1">
        <f t="shared" si="1"/>
        <v>28.224712643025669</v>
      </c>
      <c r="D100" s="1">
        <f t="shared" si="10"/>
        <v>90.783213947883212</v>
      </c>
      <c r="E100" s="1">
        <f t="shared" si="8"/>
        <v>108.84038549919583</v>
      </c>
      <c r="F100" s="1">
        <f t="shared" si="2"/>
        <v>5.8241194943070766</v>
      </c>
      <c r="G100" s="1">
        <f t="shared" si="9"/>
        <v>4.3433415157518027</v>
      </c>
      <c r="H100" s="1">
        <f t="shared" si="3"/>
        <v>1.6990490217505356</v>
      </c>
      <c r="I100" s="1">
        <f t="shared" si="4"/>
        <v>43.848944013331462</v>
      </c>
      <c r="K100" s="112">
        <f>C100/'CGE-Flood Weighted Av Calcs'!$D$3</f>
        <v>4.7575901748030886E-3</v>
      </c>
      <c r="L100" s="112">
        <f>D100/'CGE-Flood Weighted Av Calcs'!$D$4</f>
        <v>4.6632593474982605E-3</v>
      </c>
      <c r="M100" s="112">
        <f>E100/'CGE-Flood Weighted Av Calcs'!$D$5</f>
        <v>4.662554686981798E-3</v>
      </c>
      <c r="N100" s="112">
        <f>F100/'CGE-Flood Weighted Av Calcs'!$D$6</f>
        <v>1.6098724347169435E-3</v>
      </c>
      <c r="O100" s="112">
        <f>G100/'CGE-Flood Weighted Av Calcs'!$D$7</f>
        <v>7.1697147786391373E-3</v>
      </c>
      <c r="P100" s="112">
        <f>H100/'CGE-Flood Weighted Av Calcs'!$D$8</f>
        <v>1.7169221816616335E-2</v>
      </c>
      <c r="R100" s="1">
        <f t="shared" si="5"/>
        <v>7.6126638912033834E-2</v>
      </c>
      <c r="S100" s="1">
        <f t="shared" si="6"/>
        <v>8.8306901137959248E-2</v>
      </c>
      <c r="T100" s="1">
        <f t="shared" si="7"/>
        <v>2.1315458895369481</v>
      </c>
    </row>
    <row r="101" spans="1:20">
      <c r="A101">
        <v>48</v>
      </c>
      <c r="B101">
        <v>0.10680504672630331</v>
      </c>
      <c r="C101" s="1">
        <f t="shared" si="1"/>
        <v>91.989155798821045</v>
      </c>
      <c r="D101" s="1">
        <f t="shared" si="10"/>
        <v>295.87798881747284</v>
      </c>
      <c r="E101" s="1">
        <f t="shared" si="8"/>
        <v>354.72939283806204</v>
      </c>
      <c r="F101" s="1">
        <f t="shared" si="2"/>
        <v>18.981799472284447</v>
      </c>
      <c r="G101" s="1">
        <f t="shared" si="9"/>
        <v>14.155691306168416</v>
      </c>
      <c r="H101" s="1">
        <f t="shared" si="3"/>
        <v>5.5374907496273433</v>
      </c>
      <c r="I101" s="1">
        <f t="shared" si="4"/>
        <v>142.91119252379147</v>
      </c>
      <c r="K101" s="112">
        <f>C101/'CGE-Flood Weighted Av Calcs'!$D$3</f>
        <v>1.5505798388528292E-2</v>
      </c>
      <c r="L101" s="112">
        <f>D101/'CGE-Flood Weighted Av Calcs'!$D$4</f>
        <v>1.5198358122286303E-2</v>
      </c>
      <c r="M101" s="112">
        <f>E101/'CGE-Flood Weighted Av Calcs'!$D$5</f>
        <v>1.5196061513394159E-2</v>
      </c>
      <c r="N101" s="112">
        <f>F101/'CGE-Flood Weighted Av Calcs'!$D$6</f>
        <v>5.2468490321370062E-3</v>
      </c>
      <c r="O101" s="112">
        <f>G101/'CGE-Flood Weighted Av Calcs'!$D$7</f>
        <v>2.3367324165417747E-2</v>
      </c>
      <c r="P101" s="112">
        <f>H101/'CGE-Flood Weighted Av Calcs'!$D$8</f>
        <v>5.5957424283060095E-2</v>
      </c>
      <c r="R101" s="1">
        <f t="shared" si="5"/>
        <v>0.24810970924269352</v>
      </c>
      <c r="S101" s="1">
        <f t="shared" si="6"/>
        <v>0.28780726272152446</v>
      </c>
      <c r="T101" s="1">
        <f t="shared" si="7"/>
        <v>6.947071858795419</v>
      </c>
    </row>
    <row r="102" spans="1:20">
      <c r="A102">
        <v>49</v>
      </c>
      <c r="B102">
        <v>0.99390189969775866</v>
      </c>
      <c r="C102" s="1">
        <f t="shared" si="1"/>
        <v>0.62803657446085026</v>
      </c>
      <c r="D102" s="1">
        <f t="shared" si="10"/>
        <v>2.0200446122331641</v>
      </c>
      <c r="E102" s="1">
        <f t="shared" si="8"/>
        <v>2.4218401702241295</v>
      </c>
      <c r="F102" s="1">
        <f t="shared" si="2"/>
        <v>0.1295942354743147</v>
      </c>
      <c r="G102" s="1">
        <f t="shared" si="9"/>
        <v>9.6644999074607441E-2</v>
      </c>
      <c r="H102" s="1">
        <f t="shared" si="3"/>
        <v>3.7806051064435131E-2</v>
      </c>
      <c r="I102" s="1">
        <f t="shared" si="4"/>
        <v>0.97569604835857149</v>
      </c>
      <c r="K102" s="112">
        <f>C102/'CGE-Flood Weighted Av Calcs'!$D$3</f>
        <v>1.0586257064375287E-4</v>
      </c>
      <c r="L102" s="112">
        <f>D102/'CGE-Flood Weighted Av Calcs'!$D$4</f>
        <v>1.0376358701915562E-4</v>
      </c>
      <c r="M102" s="112">
        <f>E102/'CGE-Flood Weighted Av Calcs'!$D$5</f>
        <v>1.037479074059577E-4</v>
      </c>
      <c r="N102" s="112">
        <f>F102/'CGE-Flood Weighted Av Calcs'!$D$6</f>
        <v>3.5821755991141048E-5</v>
      </c>
      <c r="O102" s="112">
        <f>G102/'CGE-Flood Weighted Av Calcs'!$D$7</f>
        <v>1.5953548106539798E-4</v>
      </c>
      <c r="P102" s="112">
        <f>H102/'CGE-Flood Weighted Av Calcs'!$D$8</f>
        <v>3.8203752124046458E-4</v>
      </c>
      <c r="R102" s="1">
        <f t="shared" si="5"/>
        <v>1.6939167506225816E-3</v>
      </c>
      <c r="S102" s="1">
        <f t="shared" si="6"/>
        <v>1.9649434307222324E-3</v>
      </c>
      <c r="T102" s="1">
        <f t="shared" si="7"/>
        <v>4.7429669017433618E-2</v>
      </c>
    </row>
    <row r="103" spans="1:20">
      <c r="A103">
        <v>50</v>
      </c>
      <c r="B103">
        <v>0.77557221443996482</v>
      </c>
      <c r="C103" s="1">
        <f t="shared" si="1"/>
        <v>23.113568270621855</v>
      </c>
      <c r="D103" s="1">
        <f t="shared" si="10"/>
        <v>74.343503154472842</v>
      </c>
      <c r="E103" s="1">
        <f t="shared" si="8"/>
        <v>89.130745551030088</v>
      </c>
      <c r="F103" s="1">
        <f t="shared" si="2"/>
        <v>4.7694439001202689</v>
      </c>
      <c r="G103" s="1">
        <f t="shared" si="9"/>
        <v>3.5568163940815847</v>
      </c>
      <c r="H103" s="1">
        <f t="shared" si="3"/>
        <v>1.3913723783851584</v>
      </c>
      <c r="I103" s="1">
        <f t="shared" si="4"/>
        <v>35.9084456896056</v>
      </c>
      <c r="K103" s="112">
        <f>C103/'CGE-Flood Weighted Av Calcs'!$D$3</f>
        <v>3.8960497738184515E-3</v>
      </c>
      <c r="L103" s="112">
        <f>D103/'CGE-Flood Weighted Av Calcs'!$D$4</f>
        <v>3.8188010859572076E-3</v>
      </c>
      <c r="M103" s="112">
        <f>E103/'CGE-Flood Weighted Av Calcs'!$D$5</f>
        <v>3.8182240306950019E-3</v>
      </c>
      <c r="N103" s="112">
        <f>F103/'CGE-Flood Weighted Av Calcs'!$D$6</f>
        <v>1.3183445619956331E-3</v>
      </c>
      <c r="O103" s="112">
        <f>G103/'CGE-Flood Weighted Av Calcs'!$D$7</f>
        <v>5.8713686163218027E-3</v>
      </c>
      <c r="P103" s="112">
        <f>H103/'CGE-Flood Weighted Av Calcs'!$D$8</f>
        <v>1.4060089313606226E-2</v>
      </c>
      <c r="R103" s="1">
        <f t="shared" si="5"/>
        <v>6.2341051544454212E-2</v>
      </c>
      <c r="S103" s="1">
        <f t="shared" si="6"/>
        <v>7.2315619791566893E-2</v>
      </c>
      <c r="T103" s="1">
        <f t="shared" si="7"/>
        <v>1.7455494432447187</v>
      </c>
    </row>
    <row r="104" spans="1:20">
      <c r="A104">
        <v>51</v>
      </c>
      <c r="B104">
        <v>0.7783553419747925</v>
      </c>
      <c r="C104" s="1">
        <f t="shared" si="1"/>
        <v>22.826937058173883</v>
      </c>
      <c r="D104" s="1">
        <f t="shared" si="10"/>
        <v>73.42156984684587</v>
      </c>
      <c r="E104" s="1">
        <f t="shared" si="8"/>
        <v>88.02543574492131</v>
      </c>
      <c r="F104" s="1">
        <f t="shared" si="2"/>
        <v>4.7102980567875594</v>
      </c>
      <c r="G104" s="1">
        <f t="shared" si="9"/>
        <v>3.5127083367036054</v>
      </c>
      <c r="H104" s="1">
        <f t="shared" si="3"/>
        <v>1.3741179784104878</v>
      </c>
      <c r="I104" s="1">
        <f t="shared" si="4"/>
        <v>35.463145284033175</v>
      </c>
      <c r="K104" s="112">
        <f>C104/'CGE-Flood Weighted Av Calcs'!$D$3</f>
        <v>3.8477348854657678E-3</v>
      </c>
      <c r="L104" s="112">
        <f>D104/'CGE-Flood Weighted Av Calcs'!$D$4</f>
        <v>3.7714441580891374E-3</v>
      </c>
      <c r="M104" s="112">
        <f>E104/'CGE-Flood Weighted Av Calcs'!$D$5</f>
        <v>3.7708742588855528E-3</v>
      </c>
      <c r="N104" s="112">
        <f>F104/'CGE-Flood Weighted Av Calcs'!$D$6</f>
        <v>1.3019957795054236E-3</v>
      </c>
      <c r="O104" s="112">
        <f>G104/'CGE-Flood Weighted Av Calcs'!$D$7</f>
        <v>5.7985578116238395E-3</v>
      </c>
      <c r="P104" s="112">
        <f>H104/'CGE-Flood Weighted Av Calcs'!$D$8</f>
        <v>1.3885730235860184E-2</v>
      </c>
      <c r="R104" s="1">
        <f t="shared" si="5"/>
        <v>6.1567960562557617E-2</v>
      </c>
      <c r="S104" s="1">
        <f t="shared" si="6"/>
        <v>7.1418834252566843E-2</v>
      </c>
      <c r="T104" s="1">
        <f t="shared" si="7"/>
        <v>1.723902895751614</v>
      </c>
    </row>
    <row r="105" spans="1:20">
      <c r="A105">
        <v>52</v>
      </c>
      <c r="B105">
        <v>0.64541955645846549</v>
      </c>
      <c r="C105" s="1">
        <f t="shared" si="1"/>
        <v>36.517845902072047</v>
      </c>
      <c r="D105" s="1">
        <f t="shared" si="10"/>
        <v>117.45761451579648</v>
      </c>
      <c r="E105" s="1">
        <f t="shared" si="8"/>
        <v>140.82043901920389</v>
      </c>
      <c r="F105" s="1">
        <f t="shared" si="2"/>
        <v>7.5353928629248212</v>
      </c>
      <c r="G105" s="1">
        <f t="shared" si="9"/>
        <v>5.6195249240735414</v>
      </c>
      <c r="H105" s="1">
        <f t="shared" si="3"/>
        <v>2.198272525962591</v>
      </c>
      <c r="I105" s="1">
        <f t="shared" si="4"/>
        <v>56.732870966645507</v>
      </c>
      <c r="K105" s="112">
        <f>C105/'CGE-Flood Weighted Av Calcs'!$D$3</f>
        <v>6.1554902990873005E-3</v>
      </c>
      <c r="L105" s="112">
        <f>D105/'CGE-Flood Weighted Av Calcs'!$D$4</f>
        <v>6.0334426928317277E-3</v>
      </c>
      <c r="M105" s="112">
        <f>E105/'CGE-Flood Weighted Av Calcs'!$D$5</f>
        <v>6.0325309852625863E-3</v>
      </c>
      <c r="N105" s="112">
        <f>F105/'CGE-Flood Weighted Av Calcs'!$D$6</f>
        <v>2.0828936059164335E-3</v>
      </c>
      <c r="O105" s="112">
        <f>G105/'CGE-Flood Weighted Av Calcs'!$D$7</f>
        <v>9.2763580185766387E-3</v>
      </c>
      <c r="P105" s="112">
        <f>H105/'CGE-Flood Weighted Av Calcs'!$D$8</f>
        <v>2.2213972715595259E-2</v>
      </c>
      <c r="R105" s="1">
        <f t="shared" si="5"/>
        <v>9.8494567650426246E-2</v>
      </c>
      <c r="S105" s="1">
        <f t="shared" si="6"/>
        <v>0.11425369847449443</v>
      </c>
      <c r="T105" s="1">
        <f t="shared" si="7"/>
        <v>2.7578478942119355</v>
      </c>
    </row>
    <row r="106" spans="1:20">
      <c r="A106">
        <v>53</v>
      </c>
      <c r="B106">
        <v>0.30301928494777708</v>
      </c>
      <c r="C106" s="1">
        <f t="shared" si="1"/>
        <v>71.781269420211714</v>
      </c>
      <c r="D106" s="1">
        <f t="shared" si="10"/>
        <v>230.88044940064125</v>
      </c>
      <c r="E106" s="1">
        <f t="shared" si="8"/>
        <v>276.80356339245139</v>
      </c>
      <c r="F106" s="1">
        <f t="shared" si="2"/>
        <v>14.811937887334594</v>
      </c>
      <c r="G106" s="1">
        <f t="shared" si="9"/>
        <v>11.046013876892721</v>
      </c>
      <c r="H106" s="1">
        <f t="shared" si="3"/>
        <v>4.321032321246987</v>
      </c>
      <c r="I106" s="1">
        <f t="shared" si="4"/>
        <v>111.51691440835566</v>
      </c>
      <c r="K106" s="112">
        <f>C106/'CGE-Flood Weighted Av Calcs'!$D$3</f>
        <v>1.209953371174104E-2</v>
      </c>
      <c r="L106" s="112">
        <f>D106/'CGE-Flood Weighted Av Calcs'!$D$4</f>
        <v>1.1859630949398041E-2</v>
      </c>
      <c r="M106" s="112">
        <f>E106/'CGE-Flood Weighted Av Calcs'!$D$5</f>
        <v>1.185783885227302E-2</v>
      </c>
      <c r="N106" s="112">
        <f>F106/'CGE-Flood Weighted Av Calcs'!$D$6</f>
        <v>4.0942378556737486E-3</v>
      </c>
      <c r="O106" s="112">
        <f>G106/'CGE-Flood Weighted Av Calcs'!$D$7</f>
        <v>1.823406440663055E-2</v>
      </c>
      <c r="P106" s="112">
        <f>H106/'CGE-Flood Weighted Av Calcs'!$D$8</f>
        <v>4.3664874556604123E-2</v>
      </c>
      <c r="R106" s="1">
        <f t="shared" si="5"/>
        <v>0.19360575418117304</v>
      </c>
      <c r="S106" s="1">
        <f t="shared" si="6"/>
        <v>0.2245826748501607</v>
      </c>
      <c r="T106" s="1">
        <f t="shared" si="7"/>
        <v>5.4209611170728449</v>
      </c>
    </row>
    <row r="107" spans="1:20">
      <c r="A107">
        <v>54</v>
      </c>
      <c r="B107">
        <v>0.46237364283084359</v>
      </c>
      <c r="C107" s="1">
        <f t="shared" si="1"/>
        <v>55.369541162232345</v>
      </c>
      <c r="D107" s="1">
        <f t="shared" si="10"/>
        <v>178.09304084338109</v>
      </c>
      <c r="E107" s="1">
        <f t="shared" si="8"/>
        <v>213.51651232842912</v>
      </c>
      <c r="F107" s="1">
        <f t="shared" si="2"/>
        <v>11.425406811129401</v>
      </c>
      <c r="G107" s="1">
        <f t="shared" si="9"/>
        <v>8.5205057666894248</v>
      </c>
      <c r="H107" s="1">
        <f t="shared" si="3"/>
        <v>3.3330920295379158</v>
      </c>
      <c r="I107" s="1">
        <f t="shared" si="4"/>
        <v>86.020217147065011</v>
      </c>
      <c r="K107" s="112">
        <f>C107/'CGE-Flood Weighted Av Calcs'!$D$3</f>
        <v>9.3331538339641619E-3</v>
      </c>
      <c r="L107" s="112">
        <f>D107/'CGE-Flood Weighted Av Calcs'!$D$4</f>
        <v>9.1481012989257683E-3</v>
      </c>
      <c r="M107" s="112">
        <f>E107/'CGE-Flood Weighted Av Calcs'!$D$5</f>
        <v>9.1467189383694306E-3</v>
      </c>
      <c r="N107" s="112">
        <f>F107/'CGE-Flood Weighted Av Calcs'!$D$6</f>
        <v>3.1581507726006564E-3</v>
      </c>
      <c r="O107" s="112">
        <f>G107/'CGE-Flood Weighted Av Calcs'!$D$7</f>
        <v>1.4065114588701407E-2</v>
      </c>
      <c r="P107" s="112">
        <f>H107/'CGE-Flood Weighted Av Calcs'!$D$8</f>
        <v>3.3681545180710357E-2</v>
      </c>
      <c r="R107" s="1">
        <f t="shared" si="5"/>
        <v>0.1493406547692101</v>
      </c>
      <c r="S107" s="1">
        <f t="shared" si="6"/>
        <v>0.17323515953228372</v>
      </c>
      <c r="T107" s="1">
        <f t="shared" si="7"/>
        <v>4.1815383335378833</v>
      </c>
    </row>
    <row r="108" spans="1:20">
      <c r="A108">
        <v>55</v>
      </c>
      <c r="B108">
        <v>0.60161089815613689</v>
      </c>
      <c r="C108" s="1">
        <f t="shared" si="1"/>
        <v>41.029650944341867</v>
      </c>
      <c r="D108" s="1">
        <f t="shared" si="10"/>
        <v>131.96958378272649</v>
      </c>
      <c r="E108" s="1">
        <f t="shared" si="8"/>
        <v>158.21890136348591</v>
      </c>
      <c r="F108" s="1">
        <f t="shared" si="2"/>
        <v>8.4663958472081617</v>
      </c>
      <c r="G108" s="1">
        <f t="shared" si="9"/>
        <v>6.3138211034151972</v>
      </c>
      <c r="H108" s="1">
        <f t="shared" si="3"/>
        <v>2.4698706123754173</v>
      </c>
      <c r="I108" s="1">
        <f t="shared" si="4"/>
        <v>63.74225629501808</v>
      </c>
      <c r="K108" s="112">
        <f>C108/'CGE-Flood Weighted Av Calcs'!$D$3</f>
        <v>6.916005370089592E-3</v>
      </c>
      <c r="L108" s="112">
        <f>D108/'CGE-Flood Weighted Av Calcs'!$D$4</f>
        <v>6.7788786979225872E-3</v>
      </c>
      <c r="M108" s="112">
        <f>E108/'CGE-Flood Weighted Av Calcs'!$D$5</f>
        <v>6.7778543482546055E-3</v>
      </c>
      <c r="N108" s="112">
        <f>F108/'CGE-Flood Weighted Av Calcs'!$D$6</f>
        <v>2.3402365471974279E-3</v>
      </c>
      <c r="O108" s="112">
        <f>G108/'CGE-Flood Weighted Av Calcs'!$D$7</f>
        <v>1.0422458448332256E-2</v>
      </c>
      <c r="P108" s="112">
        <f>H108/'CGE-Flood Weighted Av Calcs'!$D$8</f>
        <v>2.495852436236641E-2</v>
      </c>
      <c r="R108" s="1">
        <f t="shared" si="5"/>
        <v>0.11066363940107307</v>
      </c>
      <c r="S108" s="1">
        <f t="shared" si="6"/>
        <v>0.12836982170524477</v>
      </c>
      <c r="T108" s="1">
        <f t="shared" si="7"/>
        <v>3.0985819032300466</v>
      </c>
    </row>
    <row r="109" spans="1:20">
      <c r="A109">
        <v>56</v>
      </c>
      <c r="B109">
        <v>0.57407682920556469</v>
      </c>
      <c r="C109" s="1">
        <f t="shared" si="1"/>
        <v>43.865354112151351</v>
      </c>
      <c r="D109" s="1">
        <f t="shared" si="10"/>
        <v>141.09046485711897</v>
      </c>
      <c r="E109" s="1">
        <f t="shared" si="8"/>
        <v>169.15396489625638</v>
      </c>
      <c r="F109" s="1">
        <f t="shared" si="2"/>
        <v>9.0515381765061917</v>
      </c>
      <c r="G109" s="1">
        <f t="shared" si="9"/>
        <v>6.750191437840523</v>
      </c>
      <c r="H109" s="1">
        <f t="shared" si="3"/>
        <v>2.6405720382562623</v>
      </c>
      <c r="I109" s="1">
        <f t="shared" si="4"/>
        <v>68.147707327109629</v>
      </c>
      <c r="K109" s="112">
        <f>C109/'CGE-Flood Weighted Av Calcs'!$D$3</f>
        <v>7.3939947725135723E-3</v>
      </c>
      <c r="L109" s="112">
        <f>D109/'CGE-Flood Weighted Av Calcs'!$D$4</f>
        <v>7.2473907947954528E-3</v>
      </c>
      <c r="M109" s="112">
        <f>E109/'CGE-Flood Weighted Av Calcs'!$D$5</f>
        <v>7.246295648727025E-3</v>
      </c>
      <c r="N109" s="112">
        <f>F109/'CGE-Flood Weighted Av Calcs'!$D$6</f>
        <v>2.5019785078910137E-3</v>
      </c>
      <c r="O109" s="112">
        <f>G109/'CGE-Flood Weighted Av Calcs'!$D$7</f>
        <v>1.1142791128675817E-2</v>
      </c>
      <c r="P109" s="112">
        <f>H109/'CGE-Flood Weighted Av Calcs'!$D$8</f>
        <v>2.6683495571461539E-2</v>
      </c>
      <c r="R109" s="1">
        <f t="shared" si="5"/>
        <v>0.11831199188734312</v>
      </c>
      <c r="S109" s="1">
        <f t="shared" si="6"/>
        <v>0.13724191058931803</v>
      </c>
      <c r="T109" s="1">
        <f t="shared" si="7"/>
        <v>3.3127357728456084</v>
      </c>
    </row>
    <row r="110" spans="1:20">
      <c r="A110">
        <v>57</v>
      </c>
      <c r="B110">
        <v>0.80231951759400777</v>
      </c>
      <c r="C110" s="1">
        <f t="shared" si="1"/>
        <v>20.358893238012698</v>
      </c>
      <c r="D110" s="1">
        <f t="shared" si="10"/>
        <v>65.483244557507334</v>
      </c>
      <c r="E110" s="1">
        <f t="shared" si="8"/>
        <v>78.508143426920412</v>
      </c>
      <c r="F110" s="1">
        <f t="shared" si="2"/>
        <v>4.2010215830957467</v>
      </c>
      <c r="G110" s="1">
        <f t="shared" si="9"/>
        <v>3.1329150214490902</v>
      </c>
      <c r="H110" s="1">
        <f t="shared" si="3"/>
        <v>1.2255486203689108</v>
      </c>
      <c r="I110" s="1">
        <f t="shared" si="4"/>
        <v>31.628877184958739</v>
      </c>
      <c r="K110" s="112">
        <f>C110/'CGE-Flood Weighted Av Calcs'!$D$3</f>
        <v>3.4317185674862197E-3</v>
      </c>
      <c r="L110" s="112">
        <f>D110/'CGE-Flood Weighted Av Calcs'!$D$4</f>
        <v>3.3636763781310351E-3</v>
      </c>
      <c r="M110" s="112">
        <f>E110/'CGE-Flood Weighted Av Calcs'!$D$5</f>
        <v>3.3631680963141348E-3</v>
      </c>
      <c r="N110" s="112">
        <f>F110/'CGE-Flood Weighted Av Calcs'!$D$6</f>
        <v>1.1612242590296334E-3</v>
      </c>
      <c r="O110" s="112">
        <f>G110/'CGE-Flood Weighted Av Calcs'!$D$7</f>
        <v>5.1716189132357589E-3</v>
      </c>
      <c r="P110" s="112">
        <f>H110/'CGE-Flood Weighted Av Calcs'!$D$8</f>
        <v>1.2384407889822157E-2</v>
      </c>
      <c r="R110" s="1">
        <f t="shared" si="5"/>
        <v>5.4911245112775592E-2</v>
      </c>
      <c r="S110" s="1">
        <f t="shared" si="6"/>
        <v>6.3697044330819713E-2</v>
      </c>
      <c r="T110" s="1">
        <f t="shared" si="7"/>
        <v>1.5375148631577176</v>
      </c>
    </row>
    <row r="111" spans="1:20">
      <c r="A111">
        <v>58</v>
      </c>
      <c r="B111">
        <v>0.74091235491739571</v>
      </c>
      <c r="C111" s="1">
        <f t="shared" si="1"/>
        <v>26.683148691896221</v>
      </c>
      <c r="D111" s="1">
        <f t="shared" si="10"/>
        <v>85.82485948171967</v>
      </c>
      <c r="E111" s="1">
        <f t="shared" si="8"/>
        <v>102.89579301265184</v>
      </c>
      <c r="F111" s="1">
        <f t="shared" si="2"/>
        <v>5.5060205016601991</v>
      </c>
      <c r="G111" s="1">
        <f t="shared" si="9"/>
        <v>4.1061189515114052</v>
      </c>
      <c r="H111" s="1">
        <f t="shared" si="3"/>
        <v>1.606251169164441</v>
      </c>
      <c r="I111" s="1">
        <f t="shared" si="4"/>
        <v>41.454023213216658</v>
      </c>
      <c r="K111" s="112">
        <f>C111/'CGE-Flood Weighted Av Calcs'!$D$3</f>
        <v>4.4977423740306562E-3</v>
      </c>
      <c r="L111" s="112">
        <f>D111/'CGE-Flood Weighted Av Calcs'!$D$4</f>
        <v>4.4085636630535486E-3</v>
      </c>
      <c r="M111" s="112">
        <f>E111/'CGE-Flood Weighted Av Calcs'!$D$5</f>
        <v>4.4078974893505263E-3</v>
      </c>
      <c r="N111" s="112">
        <f>F111/'CGE-Flood Weighted Av Calcs'!$D$6</f>
        <v>1.5219451866111998E-3</v>
      </c>
      <c r="O111" s="112">
        <f>G111/'CGE-Flood Weighted Av Calcs'!$D$7</f>
        <v>6.7781227017801636E-3</v>
      </c>
      <c r="P111" s="112">
        <f>H111/'CGE-Flood Weighted Av Calcs'!$D$8</f>
        <v>1.623148141315536E-2</v>
      </c>
      <c r="R111" s="1">
        <f t="shared" si="5"/>
        <v>7.1968790300723395E-2</v>
      </c>
      <c r="S111" s="1">
        <f t="shared" si="6"/>
        <v>8.3483796748839156E-2</v>
      </c>
      <c r="T111" s="1">
        <f t="shared" si="7"/>
        <v>2.0151261284202562</v>
      </c>
    </row>
    <row r="112" spans="1:20">
      <c r="A112">
        <v>59</v>
      </c>
      <c r="B112">
        <v>0.26715626430435291</v>
      </c>
      <c r="C112" s="1">
        <f t="shared" si="1"/>
        <v>75.474762068477261</v>
      </c>
      <c r="D112" s="1">
        <f t="shared" si="10"/>
        <v>242.76036249464678</v>
      </c>
      <c r="E112" s="1">
        <f t="shared" si="8"/>
        <v>291.04644227522374</v>
      </c>
      <c r="F112" s="1">
        <f t="shared" si="2"/>
        <v>15.574083557581432</v>
      </c>
      <c r="G112" s="1">
        <f t="shared" si="9"/>
        <v>11.614384586640222</v>
      </c>
      <c r="H112" s="1">
        <f t="shared" si="3"/>
        <v>4.5433702826727522</v>
      </c>
      <c r="I112" s="1">
        <f t="shared" si="4"/>
        <v>117.25499771130353</v>
      </c>
      <c r="K112" s="112">
        <f>C112/'CGE-Flood Weighted Av Calcs'!$D$3</f>
        <v>1.2722113100106848E-2</v>
      </c>
      <c r="L112" s="112">
        <f>D112/'CGE-Flood Weighted Av Calcs'!$D$4</f>
        <v>1.2469866183137305E-2</v>
      </c>
      <c r="M112" s="112">
        <f>E112/'CGE-Flood Weighted Av Calcs'!$D$5</f>
        <v>1.2467981873968538E-2</v>
      </c>
      <c r="N112" s="112">
        <f>F112/'CGE-Flood Weighted Av Calcs'!$D$6</f>
        <v>4.3049061475878437E-3</v>
      </c>
      <c r="O112" s="112">
        <f>G112/'CGE-Flood Weighted Av Calcs'!$D$7</f>
        <v>1.9172294997672829E-2</v>
      </c>
      <c r="P112" s="112">
        <f>H112/'CGE-Flood Weighted Av Calcs'!$D$8</f>
        <v>4.5911643030676873E-2</v>
      </c>
      <c r="R112" s="1">
        <f t="shared" si="5"/>
        <v>0.20356770435990196</v>
      </c>
      <c r="S112" s="1">
        <f t="shared" si="6"/>
        <v>0.23613853705748628</v>
      </c>
      <c r="T112" s="1">
        <f t="shared" si="7"/>
        <v>5.6998957220772555</v>
      </c>
    </row>
    <row r="113" spans="1:20">
      <c r="A113">
        <v>60</v>
      </c>
      <c r="B113">
        <v>0.21112586090111307</v>
      </c>
      <c r="C113" s="1">
        <f t="shared" si="1"/>
        <v>81.245271058973145</v>
      </c>
      <c r="D113" s="1">
        <f t="shared" si="10"/>
        <v>261.32088280526966</v>
      </c>
      <c r="E113" s="1">
        <f t="shared" si="8"/>
        <v>313.29872987140379</v>
      </c>
      <c r="F113" s="1">
        <f t="shared" si="2"/>
        <v>16.764817873593184</v>
      </c>
      <c r="G113" s="1">
        <f t="shared" si="9"/>
        <v>12.502375602968</v>
      </c>
      <c r="H113" s="1">
        <f t="shared" si="3"/>
        <v>4.8907388379989438</v>
      </c>
      <c r="I113" s="1">
        <f t="shared" si="4"/>
        <v>126.21986225582191</v>
      </c>
      <c r="K113" s="112">
        <f>C113/'CGE-Flood Weighted Av Calcs'!$D$3</f>
        <v>1.3694796762967094E-2</v>
      </c>
      <c r="L113" s="112">
        <f>D113/'CGE-Flood Weighted Av Calcs'!$D$4</f>
        <v>1.3423264020347955E-2</v>
      </c>
      <c r="M113" s="112">
        <f>E113/'CGE-Flood Weighted Av Calcs'!$D$5</f>
        <v>1.3421235644173191E-2</v>
      </c>
      <c r="N113" s="112">
        <f>F113/'CGE-Flood Weighted Av Calcs'!$D$6</f>
        <v>4.6340426555685956E-3</v>
      </c>
      <c r="O113" s="112">
        <f>G113/'CGE-Flood Weighted Av Calcs'!$D$7</f>
        <v>2.0638134672028262E-2</v>
      </c>
      <c r="P113" s="112">
        <f>H113/'CGE-Flood Weighted Av Calcs'!$D$8</f>
        <v>4.9421870047180592E-2</v>
      </c>
      <c r="R113" s="1">
        <f t="shared" si="5"/>
        <v>0.21913170530524637</v>
      </c>
      <c r="S113" s="1">
        <f t="shared" si="6"/>
        <v>0.25419277815408575</v>
      </c>
      <c r="T113" s="1">
        <f t="shared" si="7"/>
        <v>6.1356877485468981</v>
      </c>
    </row>
    <row r="114" spans="1:20">
      <c r="A114">
        <v>61</v>
      </c>
      <c r="B114">
        <v>0.60717701092051579</v>
      </c>
      <c r="C114" s="1">
        <f t="shared" si="1"/>
        <v>40.456403175308218</v>
      </c>
      <c r="D114" s="1">
        <f t="shared" si="10"/>
        <v>130.12576430723618</v>
      </c>
      <c r="E114" s="1">
        <f t="shared" si="8"/>
        <v>156.00833826733361</v>
      </c>
      <c r="F114" s="1">
        <f t="shared" si="2"/>
        <v>8.3481071847539887</v>
      </c>
      <c r="G114" s="1">
        <f t="shared" si="9"/>
        <v>6.22560724396706</v>
      </c>
      <c r="H114" s="1">
        <f t="shared" si="3"/>
        <v>2.4353626946681324</v>
      </c>
      <c r="I114" s="1">
        <f t="shared" si="4"/>
        <v>62.851678252717448</v>
      </c>
      <c r="K114" s="112">
        <f>C114/'CGE-Flood Weighted Av Calcs'!$D$3</f>
        <v>6.8193780637933066E-3</v>
      </c>
      <c r="L114" s="112">
        <f>D114/'CGE-Flood Weighted Av Calcs'!$D$4</f>
        <v>6.6841672636136452E-3</v>
      </c>
      <c r="M114" s="112">
        <f>E114/'CGE-Flood Weighted Av Calcs'!$D$5</f>
        <v>6.6831572256970048E-3</v>
      </c>
      <c r="N114" s="112">
        <f>F114/'CGE-Flood Weighted Av Calcs'!$D$6</f>
        <v>2.3075398181535527E-3</v>
      </c>
      <c r="O114" s="112">
        <f>G114/'CGE-Flood Weighted Av Calcs'!$D$7</f>
        <v>1.0276840561856519E-2</v>
      </c>
      <c r="P114" s="112">
        <f>H114/'CGE-Flood Weighted Av Calcs'!$D$8</f>
        <v>2.4609815122102412E-2</v>
      </c>
      <c r="R114" s="1">
        <f t="shared" si="5"/>
        <v>0.10911749696652337</v>
      </c>
      <c r="S114" s="1">
        <f t="shared" si="6"/>
        <v>0.12657629648116711</v>
      </c>
      <c r="T114" s="1">
        <f t="shared" si="7"/>
        <v>3.0552899150626551</v>
      </c>
    </row>
    <row r="115" spans="1:20">
      <c r="A115">
        <v>62</v>
      </c>
      <c r="B115">
        <v>0.87955827190405056</v>
      </c>
      <c r="C115" s="1">
        <f t="shared" si="1"/>
        <v>12.40415975245952</v>
      </c>
      <c r="D115" s="1">
        <f t="shared" si="10"/>
        <v>39.897287986367189</v>
      </c>
      <c r="E115" s="1">
        <f t="shared" si="8"/>
        <v>47.833030094104629</v>
      </c>
      <c r="F115" s="1">
        <f t="shared" si="2"/>
        <v>2.559576408748665</v>
      </c>
      <c r="G115" s="1">
        <f t="shared" si="9"/>
        <v>1.9088060417928698</v>
      </c>
      <c r="H115" s="1">
        <f t="shared" si="3"/>
        <v>0.74669583919613114</v>
      </c>
      <c r="I115" s="1">
        <f t="shared" si="4"/>
        <v>19.270676495351879</v>
      </c>
      <c r="K115" s="112">
        <f>C115/'CGE-Flood Weighted Av Calcs'!$D$3</f>
        <v>2.0908595000194508E-3</v>
      </c>
      <c r="L115" s="112">
        <f>D115/'CGE-Flood Weighted Av Calcs'!$D$4</f>
        <v>2.0494031115605264E-3</v>
      </c>
      <c r="M115" s="112">
        <f>E115/'CGE-Flood Weighted Av Calcs'!$D$5</f>
        <v>2.049093428279494E-3</v>
      </c>
      <c r="N115" s="112">
        <f>F115/'CGE-Flood Weighted Av Calcs'!$D$6</f>
        <v>7.0750462950219914E-4</v>
      </c>
      <c r="O115" s="112">
        <f>G115/'CGE-Flood Weighted Av Calcs'!$D$7</f>
        <v>3.1509368622672377E-3</v>
      </c>
      <c r="P115" s="112">
        <f>H115/'CGE-Flood Weighted Av Calcs'!$D$8</f>
        <v>7.5455071210918786E-3</v>
      </c>
      <c r="R115" s="1">
        <f t="shared" si="5"/>
        <v>3.3456035582208166E-2</v>
      </c>
      <c r="S115" s="1">
        <f t="shared" si="6"/>
        <v>3.8809001275361465E-2</v>
      </c>
      <c r="T115" s="1">
        <f t="shared" si="7"/>
        <v>0.9367689963018293</v>
      </c>
    </row>
    <row r="116" spans="1:20">
      <c r="A116">
        <v>63</v>
      </c>
      <c r="B116">
        <v>0.65323316772101192</v>
      </c>
      <c r="C116" s="1">
        <f t="shared" si="1"/>
        <v>35.713130759932682</v>
      </c>
      <c r="D116" s="1">
        <f t="shared" si="10"/>
        <v>114.86929314509189</v>
      </c>
      <c r="E116" s="1">
        <f t="shared" si="8"/>
        <v>137.71728940010118</v>
      </c>
      <c r="F116" s="1">
        <f t="shared" si="2"/>
        <v>7.3693413177426219</v>
      </c>
      <c r="G116" s="1">
        <f t="shared" si="9"/>
        <v>5.4956918587235677</v>
      </c>
      <c r="H116" s="1">
        <f t="shared" si="3"/>
        <v>2.1498309176340267</v>
      </c>
      <c r="I116" s="1">
        <f t="shared" si="4"/>
        <v>55.482693164638079</v>
      </c>
      <c r="K116" s="112">
        <f>C116/'CGE-Flood Weighted Av Calcs'!$D$3</f>
        <v>6.0198465849358469E-3</v>
      </c>
      <c r="L116" s="112">
        <f>D116/'CGE-Flood Weighted Av Calcs'!$D$4</f>
        <v>5.9004884461006431E-3</v>
      </c>
      <c r="M116" s="112">
        <f>E116/'CGE-Flood Weighted Av Calcs'!$D$5</f>
        <v>5.8995968291164743E-3</v>
      </c>
      <c r="N116" s="112">
        <f>F116/'CGE-Flood Weighted Av Calcs'!$D$6</f>
        <v>2.0369945123981294E-3</v>
      </c>
      <c r="O116" s="112">
        <f>G116/'CGE-Flood Weighted Av Calcs'!$D$7</f>
        <v>9.0719421890813126E-3</v>
      </c>
      <c r="P116" s="112">
        <f>H116/'CGE-Flood Weighted Av Calcs'!$D$8</f>
        <v>2.1724460813407846E-2</v>
      </c>
      <c r="R116" s="1">
        <f t="shared" si="5"/>
        <v>9.6324120077496689E-2</v>
      </c>
      <c r="S116" s="1">
        <f t="shared" si="6"/>
        <v>0.11173597928989615</v>
      </c>
      <c r="T116" s="1">
        <f t="shared" si="7"/>
        <v>2.6970753621699073</v>
      </c>
    </row>
    <row r="117" spans="1:20">
      <c r="A117">
        <v>64</v>
      </c>
      <c r="B117">
        <v>0.10146612679940525</v>
      </c>
      <c r="C117" s="1">
        <f t="shared" si="1"/>
        <v>92.539005229959031</v>
      </c>
      <c r="D117" s="1">
        <f t="shared" si="10"/>
        <v>297.64654884419309</v>
      </c>
      <c r="E117" s="1">
        <f t="shared" si="8"/>
        <v>356.84972705752693</v>
      </c>
      <c r="F117" s="1">
        <f t="shared" si="2"/>
        <v>19.095259929130432</v>
      </c>
      <c r="G117" s="1">
        <f t="shared" si="9"/>
        <v>14.240304527634258</v>
      </c>
      <c r="H117" s="1">
        <f t="shared" si="3"/>
        <v>5.5705901526186405</v>
      </c>
      <c r="I117" s="1">
        <f t="shared" si="4"/>
        <v>143.76541971209517</v>
      </c>
      <c r="K117" s="112">
        <f>C117/'CGE-Flood Weighted Av Calcs'!$D$3</f>
        <v>1.5598481643953731E-2</v>
      </c>
      <c r="L117" s="112">
        <f>D117/'CGE-Flood Weighted Av Calcs'!$D$4</f>
        <v>1.5289203706151066E-2</v>
      </c>
      <c r="M117" s="112">
        <f>E117/'CGE-Flood Weighted Av Calcs'!$D$5</f>
        <v>1.5286893369672426E-2</v>
      </c>
      <c r="N117" s="112">
        <f>F117/'CGE-Flood Weighted Av Calcs'!$D$6</f>
        <v>5.2782111740170426E-3</v>
      </c>
      <c r="O117" s="112">
        <f>G117/'CGE-Flood Weighted Av Calcs'!$D$7</f>
        <v>2.350699834535773E-2</v>
      </c>
      <c r="P117" s="112">
        <f>H117/'CGE-Flood Weighted Av Calcs'!$D$8</f>
        <v>5.6291900207344869E-2</v>
      </c>
      <c r="R117" s="1">
        <f t="shared" si="5"/>
        <v>0.24959274255572075</v>
      </c>
      <c r="S117" s="1">
        <f t="shared" si="6"/>
        <v>0.28952758136463608</v>
      </c>
      <c r="T117" s="1">
        <f t="shared" si="7"/>
        <v>6.9885967915601812</v>
      </c>
    </row>
    <row r="118" spans="1:20">
      <c r="A118">
        <v>65</v>
      </c>
      <c r="B118">
        <v>0.975602810710547</v>
      </c>
      <c r="C118" s="1">
        <f t="shared" si="1"/>
        <v>2.5126394169326858</v>
      </c>
      <c r="D118" s="1">
        <f t="shared" si="10"/>
        <v>8.0817645389792006</v>
      </c>
      <c r="E118" s="1">
        <f t="shared" si="8"/>
        <v>9.6892622510721367</v>
      </c>
      <c r="F118" s="1">
        <f t="shared" si="2"/>
        <v>0.51847869614849529</v>
      </c>
      <c r="G118" s="1">
        <f t="shared" si="9"/>
        <v>0.38665587960820957</v>
      </c>
      <c r="H118" s="1">
        <f t="shared" si="3"/>
        <v>0.15125388865229716</v>
      </c>
      <c r="I118" s="1">
        <f t="shared" si="4"/>
        <v>3.903550286312452</v>
      </c>
      <c r="K118" s="112">
        <f>C118/'CGE-Flood Weighted Av Calcs'!$D$3</f>
        <v>4.2353340329846615E-4</v>
      </c>
      <c r="L118" s="112">
        <f>D118/'CGE-Flood Weighted Av Calcs'!$D$4</f>
        <v>4.151358207290422E-4</v>
      </c>
      <c r="M118" s="112">
        <f>E118/'CGE-Flood Weighted Av Calcs'!$D$5</f>
        <v>4.1507308996499266E-4</v>
      </c>
      <c r="N118" s="112">
        <f>F118/'CGE-Flood Weighted Av Calcs'!$D$6</f>
        <v>1.4331515033874675E-4</v>
      </c>
      <c r="O118" s="112">
        <f>G118/'CGE-Flood Weighted Av Calcs'!$D$7</f>
        <v>6.3826718765283281E-4</v>
      </c>
      <c r="P118" s="112">
        <f>H118/'CGE-Flood Weighted Av Calcs'!$D$8</f>
        <v>1.5284500515597083E-3</v>
      </c>
      <c r="R118" s="1">
        <f t="shared" si="5"/>
        <v>6.7769970248480471E-3</v>
      </c>
      <c r="S118" s="1">
        <f t="shared" si="6"/>
        <v>7.8613165488237713E-3</v>
      </c>
      <c r="T118" s="1">
        <f t="shared" si="7"/>
        <v>0.18975591669574587</v>
      </c>
    </row>
    <row r="119" spans="1:20">
      <c r="A119">
        <v>66</v>
      </c>
      <c r="B119">
        <v>0.56527023805838705</v>
      </c>
      <c r="C119" s="1">
        <f t="shared" ref="C119:C182" si="11">IF($B119&lt;=0.005,$F$5,IF(B119&lt;=0.01,$F$5+($B119-0.005)*SLOPE($E$5:$F$5,$E$4:$F$4),IF($B119&lt;=0.04,$E$5+($B119-0.01)*SLOPE($D$5:$E$5,$D$4:$E$4),IF($B119&lt;=0.1,$D$5+($B119-0.04)*SLOPE($C$5:$D$5,$C$4:$D$4),IF($B119&lt;=1,$C$5+($B119-0.1)*SLOPE($B$5:$C$5,$B$4:$C$4),)))))</f>
        <v>44.772335149297902</v>
      </c>
      <c r="D119" s="1">
        <f t="shared" si="10"/>
        <v>144.00771877510684</v>
      </c>
      <c r="E119" s="1">
        <f t="shared" si="8"/>
        <v>172.65147316045065</v>
      </c>
      <c r="F119" s="1">
        <f t="shared" ref="F119:F182" si="12">IF($B119&lt;=0.005,$F$26,IF($B119&lt;=0.01,$F$26+($B119-0.005)*SLOPE($E$26:$F$26,$E$25:$F$25),IF($B119&lt;=0.04,$E$26+($B119-0.01)*SLOPE($D$26:$E$26,$D$25:$E$25),IF($B119&lt;=0.1,$D$26+($B119-0.04)*SLOPE($C$26:$D$26,$C$25:$D$25),IF($B119&lt;=1,$C$26+($B119-0.1)*SLOPE($B$26:$C$26,$B$25:$C$25),)))))</f>
        <v>9.2386921081058233</v>
      </c>
      <c r="G119" s="1">
        <f t="shared" si="9"/>
        <v>6.8897616238141133</v>
      </c>
      <c r="H119" s="1">
        <f t="shared" ref="H119:H182" si="13">IF($B119&lt;=0.005,$F$40,IF($B119&lt;=0.01,$F$40+($B119-0.005)*SLOPE($E$40:$F$40,$E$39:$F$39),IF($B119&lt;=0.04,$E$40+($B119-0.01)*SLOPE($D$40:$E$40,$D$39:$E$39),IF($B119&lt;=0.1,$D$40+($B119-0.04)*SLOPE($C$40:$D$40,$C$39:$D$39),IF($B119&lt;=1,$C$40+($B119-0.1)*SLOPE($B$40:$C$40,$B$39:$C$39),)))))</f>
        <v>2.6951697683873048</v>
      </c>
      <c r="I119" s="1">
        <f t="shared" ref="I119:I182" si="14">IF($B119&lt;=0.005,$F$47,IF($B119&lt;=0.01,$F$47+($B119-0.005)*SLOPE($E$47:$F$47,$E$46:$F$46),IF($B119&lt;=0.04,$E$47+($B119-0.01)*SLOPE($D$47:$E$47,$D$46:$E$46),IF($B119&lt;=0.1,$D$47+($B119-0.04)*SLOPE($C$47:$D$47,$C$46:$D$46),IF($B119&lt;=1,$C$47+($B119-0.1)*SLOPE($B$47:$C$47,$B$46:$C$46),)))))</f>
        <v>69.556761910658054</v>
      </c>
      <c r="K119" s="112">
        <f>C119/'CGE-Flood Weighted Av Calcs'!$D$3</f>
        <v>7.5468765440885746E-3</v>
      </c>
      <c r="L119" s="112">
        <f>D119/'CGE-Flood Weighted Av Calcs'!$D$4</f>
        <v>7.3972413124241028E-3</v>
      </c>
      <c r="M119" s="112">
        <f>E119/'CGE-Flood Weighted Av Calcs'!$D$5</f>
        <v>7.3961235225918874E-3</v>
      </c>
      <c r="N119" s="112">
        <f>F119/'CGE-Flood Weighted Av Calcs'!$D$6</f>
        <v>2.5537106119156057E-3</v>
      </c>
      <c r="O119" s="112">
        <f>G119/'CGE-Flood Weighted Av Calcs'!$D$7</f>
        <v>1.1373184806309306E-2</v>
      </c>
      <c r="P119" s="112">
        <f>H119/'CGE-Flood Weighted Av Calcs'!$D$8</f>
        <v>2.723521628540411E-2</v>
      </c>
      <c r="R119" s="1">
        <f t="shared" ref="R119:R182" si="15">IF($B119&lt;=0.005,$F$13,IF($B119&lt;=0.01,$F$13+($B119-0.005)*SLOPE($E$13:$F$13,$E$10:$F$10),IF($B119&lt;=0.04,$E$13+($B119-0.01)*SLOPE($D$13:$E$13,$D$10:$E$10),IF($B119&lt;=0.1,$D$13+($B119-0.04)*SLOPE($C$13:$D$13,$C$10:$D$10),IF($B119&lt;=1,$C$13+($B119-0.1)*SLOPE($B$13:$C$13,$B$10:$C$10),)))))</f>
        <v>0.12075826720600358</v>
      </c>
      <c r="S119" s="1">
        <f t="shared" ref="S119:S182" si="16">IF($B119&lt;=0.005,$F$21,IF($B119&lt;=0.01,$F$21+($B119-0.005)*SLOPE($E$21:$F$21,$E$18:$F$18),IF($B119&lt;=0.04,$E$21+($B119-0.01)*SLOPE($D$21:$E$21,$D$18:$E$18),IF($B119&lt;=0.1,$D$21+($B119-0.04)*SLOPE($C$21:$D$21,$C$18:$D$18),IF($B119&lt;=1,$C$21+($B119-0.1)*SLOPE($B$21:$C$21,$B$18:$C$18),)))))</f>
        <v>0.14007958995896416</v>
      </c>
      <c r="T119" s="1">
        <f t="shared" ref="T119:T182" si="17">IF($B119&lt;=0.005,$F$14,IF($B119&lt;=0.01,$F$14+($B119-0.005)*SLOPE($E$14:$F$14,$E$10:$F$10),IF($B119&lt;=0.04,$E$14+($B119-0.01)*SLOPE($D$14:$E$14,$D$10:$E$10),IF($B119&lt;=0.1,$D$14+($B119-0.04)*SLOPE($C$14:$D$14,$C$10:$D$10),IF($B119&lt;=1,$C$14+($B119-0.1)*SLOPE($B$14:$C$14,$B$10:$C$10),)))))</f>
        <v>3.3812314817681011</v>
      </c>
    </row>
    <row r="120" spans="1:20">
      <c r="A120">
        <v>67</v>
      </c>
      <c r="B120">
        <v>0.77589788444545416</v>
      </c>
      <c r="C120" s="1">
        <f t="shared" si="11"/>
        <v>23.080027878612071</v>
      </c>
      <c r="D120" s="1">
        <f t="shared" si="10"/>
        <v>74.235622354330388</v>
      </c>
      <c r="E120" s="1">
        <f t="shared" ref="E120:E183" si="18">IF($B120&lt;=0.005,$F$19,IF($B120&lt;=0.01,$F$19+($B120-0.005)*SLOPE($E$19:$F$19,$E$18:$F$18),IF($B120&lt;=0.04,$E$19+($B120-0.01)*SLOPE($D$19:$E$19,$D$18:$E$18),IF($B120&lt;=0.1,$D$19+($B120-0.04)*SLOPE($C$19:$D$19,$C$18:$D$18),IF($B120&lt;=1,$C$19+($B120-0.1)*SLOPE($B$19:$C$19,$B$18:$C$18),)))))</f>
        <v>89.001406795935964</v>
      </c>
      <c r="F120" s="1">
        <f t="shared" si="12"/>
        <v>4.7625228995977302</v>
      </c>
      <c r="G120" s="1">
        <f t="shared" ref="G120:G183" si="19">IF($B120&lt;=0.005,$F$33,IF($B120&lt;=0.01,$F$33+($B120-0.005)*SLOPE($E$33:$F$33,$E$32:$F$32),IF($B120&lt;=0.04,$E$33+($B120-0.01)*SLOPE($D$33:$E$33,$D$32:$E$32),IF($B120&lt;=0.1,$D$33+($B120-0.04)*SLOPE($C$33:$D$33,$C$32:$D$32),IF($B120&lt;=1,$C$33+($B120-0.1)*SLOPE($B$33:$C$33,$B$32:$C$32),)))))</f>
        <v>3.5516550527098172</v>
      </c>
      <c r="H120" s="1">
        <f t="shared" si="13"/>
        <v>1.3893533402835452</v>
      </c>
      <c r="I120" s="1">
        <f t="shared" si="14"/>
        <v>35.856338488727317</v>
      </c>
      <c r="K120" s="112">
        <f>C120/'CGE-Flood Weighted Av Calcs'!$D$3</f>
        <v>3.8903961665876898E-3</v>
      </c>
      <c r="L120" s="112">
        <f>D120/'CGE-Flood Weighted Av Calcs'!$D$4</f>
        <v>3.8132595752769544E-3</v>
      </c>
      <c r="M120" s="112">
        <f>E120/'CGE-Flood Weighted Av Calcs'!$D$5</f>
        <v>3.8126833573869593E-3</v>
      </c>
      <c r="N120" s="112">
        <f>F120/'CGE-Flood Weighted Av Calcs'!$D$6</f>
        <v>1.3164314954844142E-3</v>
      </c>
      <c r="O120" s="112">
        <f>G120/'CGE-Flood Weighted Av Calcs'!$D$7</f>
        <v>5.8628485988705941E-3</v>
      </c>
      <c r="P120" s="112">
        <f>H120/'CGE-Flood Weighted Av Calcs'!$D$8</f>
        <v>1.4039686539713875E-2</v>
      </c>
      <c r="R120" s="1">
        <f t="shared" si="15"/>
        <v>6.2250587654040485E-2</v>
      </c>
      <c r="S120" s="1">
        <f t="shared" si="16"/>
        <v>7.2210681678686994E-2</v>
      </c>
      <c r="T120" s="1">
        <f t="shared" si="17"/>
        <v>1.7430164543131346</v>
      </c>
    </row>
    <row r="121" spans="1:20">
      <c r="A121">
        <v>68</v>
      </c>
      <c r="B121">
        <v>0.56129518832679126</v>
      </c>
      <c r="C121" s="1">
        <f t="shared" si="11"/>
        <v>45.181721104433024</v>
      </c>
      <c r="D121" s="1">
        <f t="shared" ref="D121:D184" si="20">IF($B121&lt;=0.005,$F$11,IF($B121&lt;=0.01,$F$11+($B121-0.005)*SLOPE($E$11:$F$11,$E$10:$F$10),IF($B121&lt;=0.04,$E$11+($B121-0.01)*SLOPE($D$11:$E$11,$D$10:$E$10),IF($B121&lt;=0.1,$D$11+($B121-0.04)*SLOPE($C$11:$D$11,$C$10:$D$10),IF($B121&lt;=1,$C$11+($B121-0.1)*SLOPE($B$11:$C$11,$B$10:$C$10),)))))</f>
        <v>145.32448586578877</v>
      </c>
      <c r="E121" s="1">
        <f t="shared" si="18"/>
        <v>174.23015088654165</v>
      </c>
      <c r="F121" s="1">
        <f t="shared" si="12"/>
        <v>9.3231681753081279</v>
      </c>
      <c r="G121" s="1">
        <f t="shared" si="19"/>
        <v>6.9527597147917897</v>
      </c>
      <c r="H121" s="1">
        <f t="shared" si="13"/>
        <v>2.7198136616799657</v>
      </c>
      <c r="I121" s="1">
        <f t="shared" si="14"/>
        <v>70.19276986771338</v>
      </c>
      <c r="K121" s="112">
        <f>C121/'CGE-Flood Weighted Av Calcs'!$D$3</f>
        <v>7.6158831137031818E-3</v>
      </c>
      <c r="L121" s="112">
        <f>D121/'CGE-Flood Weighted Av Calcs'!$D$4</f>
        <v>7.4648796585133452E-3</v>
      </c>
      <c r="M121" s="112">
        <f>E121/'CGE-Flood Weighted Av Calcs'!$D$5</f>
        <v>7.4637516479174239E-3</v>
      </c>
      <c r="N121" s="112">
        <f>F121/'CGE-Flood Weighted Av Calcs'!$D$6</f>
        <v>2.57706104147242E-3</v>
      </c>
      <c r="O121" s="112">
        <f>G121/'CGE-Flood Weighted Av Calcs'!$D$7</f>
        <v>1.1477178089423381E-2</v>
      </c>
      <c r="P121" s="112">
        <f>H121/'CGE-Flood Weighted Av Calcs'!$D$8</f>
        <v>2.7484247634676644E-2</v>
      </c>
      <c r="R121" s="1">
        <f t="shared" si="15"/>
        <v>0.12186244768700241</v>
      </c>
      <c r="S121" s="1">
        <f t="shared" si="16"/>
        <v>0.1413604393169228</v>
      </c>
      <c r="T121" s="1">
        <f t="shared" si="17"/>
        <v>3.4121485352360681</v>
      </c>
    </row>
    <row r="122" spans="1:20">
      <c r="A122">
        <v>69</v>
      </c>
      <c r="B122">
        <v>0.30113213912897407</v>
      </c>
      <c r="C122" s="1">
        <f t="shared" si="11"/>
        <v>71.975624471261554</v>
      </c>
      <c r="D122" s="1">
        <f t="shared" si="20"/>
        <v>231.50558158194863</v>
      </c>
      <c r="E122" s="1">
        <f t="shared" si="18"/>
        <v>277.55303705220206</v>
      </c>
      <c r="F122" s="1">
        <f t="shared" si="12"/>
        <v>14.852042708097617</v>
      </c>
      <c r="G122" s="1">
        <f t="shared" si="19"/>
        <v>11.075922077294873</v>
      </c>
      <c r="H122" s="1">
        <f t="shared" si="13"/>
        <v>4.3327319535350091</v>
      </c>
      <c r="I122" s="1">
        <f t="shared" si="14"/>
        <v>111.81885773936415</v>
      </c>
      <c r="K122" s="112">
        <f>C122/'CGE-Flood Weighted Av Calcs'!$D$3</f>
        <v>1.2132294423709762E-2</v>
      </c>
      <c r="L122" s="112">
        <f>D122/'CGE-Flood Weighted Av Calcs'!$D$4</f>
        <v>1.1891742100360123E-2</v>
      </c>
      <c r="M122" s="112">
        <f>E122/'CGE-Flood Weighted Av Calcs'!$D$5</f>
        <v>1.1889945150950782E-2</v>
      </c>
      <c r="N122" s="112">
        <f>F122/'CGE-Flood Weighted Av Calcs'!$D$6</f>
        <v>4.1053234189951677E-3</v>
      </c>
      <c r="O122" s="112">
        <f>G122/'CGE-Flood Weighted Av Calcs'!$D$7</f>
        <v>1.8283434981255672E-2</v>
      </c>
      <c r="P122" s="112">
        <f>H122/'CGE-Flood Weighted Av Calcs'!$D$8</f>
        <v>4.3783101623248111E-2</v>
      </c>
      <c r="R122" s="1">
        <f t="shared" si="15"/>
        <v>0.19412996135306276</v>
      </c>
      <c r="S122" s="1">
        <f t="shared" si="16"/>
        <v>0.22519075516955278</v>
      </c>
      <c r="T122" s="1">
        <f t="shared" si="17"/>
        <v>5.4356389178857576</v>
      </c>
    </row>
    <row r="123" spans="1:20">
      <c r="A123">
        <v>70</v>
      </c>
      <c r="B123">
        <v>0.75250608588276202</v>
      </c>
      <c r="C123" s="1">
        <f t="shared" si="11"/>
        <v>25.489123221696445</v>
      </c>
      <c r="D123" s="1">
        <f t="shared" si="20"/>
        <v>81.984343155075891</v>
      </c>
      <c r="E123" s="1">
        <f t="shared" si="18"/>
        <v>98.291381477411107</v>
      </c>
      <c r="F123" s="1">
        <f t="shared" si="12"/>
        <v>5.2596354593873915</v>
      </c>
      <c r="G123" s="1">
        <f t="shared" si="19"/>
        <v>3.9223771199762218</v>
      </c>
      <c r="H123" s="1">
        <f t="shared" si="13"/>
        <v>1.5343741643301874</v>
      </c>
      <c r="I123" s="1">
        <f t="shared" si="14"/>
        <v>39.599026258758059</v>
      </c>
      <c r="K123" s="112">
        <f>C123/'CGE-Flood Weighted Av Calcs'!$D$3</f>
        <v>4.2964760611603004E-3</v>
      </c>
      <c r="L123" s="112">
        <f>D123/'CGE-Flood Weighted Av Calcs'!$D$4</f>
        <v>4.2112879456536042E-3</v>
      </c>
      <c r="M123" s="112">
        <f>E123/'CGE-Flood Weighted Av Calcs'!$D$5</f>
        <v>4.2106515820894913E-3</v>
      </c>
      <c r="N123" s="112">
        <f>F123/'CGE-Flood Weighted Av Calcs'!$D$6</f>
        <v>1.4538407309472535E-3</v>
      </c>
      <c r="O123" s="112">
        <f>G123/'CGE-Flood Weighted Av Calcs'!$D$7</f>
        <v>6.474813252077819E-3</v>
      </c>
      <c r="P123" s="112">
        <f>H123/'CGE-Flood Weighted Av Calcs'!$D$8</f>
        <v>1.5505150257482265E-2</v>
      </c>
      <c r="R123" s="1">
        <f t="shared" si="15"/>
        <v>6.8748309477010522E-2</v>
      </c>
      <c r="S123" s="1">
        <f t="shared" si="16"/>
        <v>7.9748038993332243E-2</v>
      </c>
      <c r="T123" s="1">
        <f t="shared" si="17"/>
        <v>1.9249526653562956</v>
      </c>
    </row>
    <row r="124" spans="1:20">
      <c r="A124">
        <v>71</v>
      </c>
      <c r="B124">
        <v>0.87124431747882958</v>
      </c>
      <c r="C124" s="1">
        <f t="shared" si="11"/>
        <v>13.260404680985886</v>
      </c>
      <c r="D124" s="1">
        <f t="shared" si="20"/>
        <v>42.651352040847712</v>
      </c>
      <c r="E124" s="1">
        <f t="shared" si="18"/>
        <v>51.134889329350699</v>
      </c>
      <c r="F124" s="1">
        <f t="shared" si="12"/>
        <v>2.736261034140739</v>
      </c>
      <c r="G124" s="1">
        <f t="shared" si="19"/>
        <v>2.0405687347476711</v>
      </c>
      <c r="H124" s="1">
        <f t="shared" si="13"/>
        <v>0.79823939702048552</v>
      </c>
      <c r="I124" s="1">
        <f t="shared" si="14"/>
        <v>20.600909203387246</v>
      </c>
      <c r="K124" s="112">
        <f>C124/'CGE-Flood Weighted Av Calcs'!$D$3</f>
        <v>2.2351891345033866E-3</v>
      </c>
      <c r="L124" s="112">
        <f>D124/'CGE-Flood Weighted Av Calcs'!$D$4</f>
        <v>2.1908710590715953E-3</v>
      </c>
      <c r="M124" s="112">
        <f>E124/'CGE-Flood Weighted Av Calcs'!$D$5</f>
        <v>2.1905399987086705E-3</v>
      </c>
      <c r="N124" s="112">
        <f>F124/'CGE-Flood Weighted Av Calcs'!$D$6</f>
        <v>7.5634286304720479E-4</v>
      </c>
      <c r="O124" s="112">
        <f>G124/'CGE-Flood Weighted Av Calcs'!$D$7</f>
        <v>3.3684424218750246E-3</v>
      </c>
      <c r="P124" s="112">
        <f>H124/'CGE-Flood Weighted Av Calcs'!$D$8</f>
        <v>8.0663648280650136E-3</v>
      </c>
      <c r="R124" s="1">
        <f t="shared" si="15"/>
        <v>3.5765467366991766E-2</v>
      </c>
      <c r="S124" s="1">
        <f t="shared" si="16"/>
        <v>4.1487942145710471E-2</v>
      </c>
      <c r="T124" s="1">
        <f t="shared" si="17"/>
        <v>1.0014330862757701</v>
      </c>
    </row>
    <row r="125" spans="1:20">
      <c r="A125">
        <v>72</v>
      </c>
      <c r="B125">
        <v>7.7288808458290448E-2</v>
      </c>
      <c r="C125" s="1">
        <f t="shared" si="11"/>
        <v>98.379153481198244</v>
      </c>
      <c r="D125" s="1">
        <f t="shared" si="20"/>
        <v>315.51668350537091</v>
      </c>
      <c r="E125" s="1">
        <f t="shared" si="18"/>
        <v>378.24468290744329</v>
      </c>
      <c r="F125" s="1">
        <f t="shared" si="12"/>
        <v>21.921881294968451</v>
      </c>
      <c r="G125" s="1">
        <f t="shared" si="19"/>
        <v>15.201116956006166</v>
      </c>
      <c r="H125" s="1">
        <f t="shared" si="13"/>
        <v>5.8826198139845411</v>
      </c>
      <c r="I125" s="1">
        <f t="shared" si="14"/>
        <v>181.09494618479226</v>
      </c>
      <c r="K125" s="112">
        <f>C125/'CGE-Flood Weighted Av Calcs'!$D$3</f>
        <v>1.6582903781068203E-2</v>
      </c>
      <c r="L125" s="112">
        <f>D125/'CGE-Flood Weighted Av Calcs'!$D$4</f>
        <v>1.6207138518941785E-2</v>
      </c>
      <c r="M125" s="112">
        <f>E125/'CGE-Flood Weighted Av Calcs'!$D$5</f>
        <v>1.6203420366689845E-2</v>
      </c>
      <c r="N125" s="112">
        <f>F125/'CGE-Flood Weighted Av Calcs'!$D$6</f>
        <v>6.0595309640200769E-3</v>
      </c>
      <c r="O125" s="112">
        <f>G125/'CGE-Flood Weighted Av Calcs'!$D$7</f>
        <v>2.5093047022905903E-2</v>
      </c>
      <c r="P125" s="112">
        <f>H125/'CGE-Flood Weighted Av Calcs'!$D$8</f>
        <v>5.9445020806440464E-2</v>
      </c>
      <c r="R125" s="1">
        <f t="shared" si="15"/>
        <v>0.26514079436113969</v>
      </c>
      <c r="S125" s="1">
        <f t="shared" si="16"/>
        <v>0.31271119154170957</v>
      </c>
      <c r="T125" s="1">
        <f t="shared" si="17"/>
        <v>7.3785198590284926</v>
      </c>
    </row>
    <row r="126" spans="1:20">
      <c r="A126">
        <v>73</v>
      </c>
      <c r="B126">
        <v>0.11830427819874278</v>
      </c>
      <c r="C126" s="1">
        <f t="shared" si="11"/>
        <v>90.804862726398369</v>
      </c>
      <c r="D126" s="1">
        <f t="shared" si="20"/>
        <v>292.06877620544253</v>
      </c>
      <c r="E126" s="1">
        <f t="shared" si="18"/>
        <v>350.16251146085295</v>
      </c>
      <c r="F126" s="1">
        <f t="shared" si="12"/>
        <v>18.737422693065962</v>
      </c>
      <c r="G126" s="1">
        <f t="shared" si="19"/>
        <v>13.973447138324188</v>
      </c>
      <c r="H126" s="1">
        <f t="shared" si="13"/>
        <v>5.4661996080091875</v>
      </c>
      <c r="I126" s="1">
        <f t="shared" si="14"/>
        <v>141.07131548820115</v>
      </c>
      <c r="K126" s="112">
        <f>C126/'CGE-Flood Weighted Av Calcs'!$D$3</f>
        <v>1.5306172579872355E-2</v>
      </c>
      <c r="L126" s="112">
        <f>D126/'CGE-Flood Weighted Av Calcs'!$D$4</f>
        <v>1.5002690382104113E-2</v>
      </c>
      <c r="M126" s="112">
        <f>E126/'CGE-Flood Weighted Av Calcs'!$D$5</f>
        <v>1.5000423340371027E-2</v>
      </c>
      <c r="N126" s="112">
        <f>F126/'CGE-Flood Weighted Av Calcs'!$D$6</f>
        <v>5.1792996899689241E-3</v>
      </c>
      <c r="O126" s="112">
        <f>G126/'CGE-Flood Weighted Av Calcs'!$D$7</f>
        <v>2.3066486964664634E-2</v>
      </c>
      <c r="P126" s="112">
        <f>H126/'CGE-Flood Weighted Av Calcs'!$D$8</f>
        <v>5.5237013389476328E-2</v>
      </c>
      <c r="R126" s="1">
        <f t="shared" si="15"/>
        <v>0.24491547827812701</v>
      </c>
      <c r="S126" s="1">
        <f t="shared" si="16"/>
        <v>0.28410195480262729</v>
      </c>
      <c r="T126" s="1">
        <f t="shared" si="17"/>
        <v>6.857633391787556</v>
      </c>
    </row>
    <row r="127" spans="1:20">
      <c r="A127">
        <v>74</v>
      </c>
      <c r="B127">
        <v>0.95745831429203354</v>
      </c>
      <c r="C127" s="1">
        <f t="shared" si="11"/>
        <v>4.3813209425238</v>
      </c>
      <c r="D127" s="1">
        <f t="shared" si="20"/>
        <v>14.092274438009667</v>
      </c>
      <c r="E127" s="1">
        <f t="shared" si="18"/>
        <v>16.895288409528689</v>
      </c>
      <c r="F127" s="1">
        <f t="shared" si="12"/>
        <v>0.90407782126611025</v>
      </c>
      <c r="G127" s="1">
        <f t="shared" si="19"/>
        <v>0.67421671866688193</v>
      </c>
      <c r="H127" s="1">
        <f t="shared" si="13"/>
        <v>0.26374330734628781</v>
      </c>
      <c r="I127" s="1">
        <f t="shared" si="14"/>
        <v>6.8066697132746015</v>
      </c>
      <c r="K127" s="112">
        <f>C127/'CGE-Flood Weighted Av Calcs'!$D$3</f>
        <v>7.3852052038378944E-4</v>
      </c>
      <c r="L127" s="112">
        <f>D127/'CGE-Flood Weighted Av Calcs'!$D$4</f>
        <v>7.2387755007534275E-4</v>
      </c>
      <c r="M127" s="112">
        <f>E127/'CGE-Flood Weighted Av Calcs'!$D$5</f>
        <v>7.2376816565335731E-4</v>
      </c>
      <c r="N127" s="112">
        <f>F127/'CGE-Flood Weighted Av Calcs'!$D$6</f>
        <v>2.499004295358168E-4</v>
      </c>
      <c r="O127" s="112">
        <f>G127/'CGE-Flood Weighted Av Calcs'!$D$7</f>
        <v>1.1129545199935324E-3</v>
      </c>
      <c r="P127" s="112">
        <f>H127/'CGE-Flood Weighted Av Calcs'!$D$8</f>
        <v>2.6651775719872661E-3</v>
      </c>
      <c r="R127" s="1">
        <f t="shared" si="15"/>
        <v>1.1817134918879563E-2</v>
      </c>
      <c r="S127" s="1">
        <f t="shared" si="16"/>
        <v>1.3707876505900329E-2</v>
      </c>
      <c r="T127" s="1">
        <f t="shared" si="17"/>
        <v>0.33087977772862853</v>
      </c>
    </row>
    <row r="128" spans="1:20">
      <c r="A128">
        <v>75</v>
      </c>
      <c r="B128">
        <v>0.2511170816428806</v>
      </c>
      <c r="C128" s="1">
        <f t="shared" si="11"/>
        <v>77.126619669468226</v>
      </c>
      <c r="D128" s="1">
        <f t="shared" si="20"/>
        <v>248.07347033382456</v>
      </c>
      <c r="E128" s="1">
        <f t="shared" si="18"/>
        <v>297.41635010583752</v>
      </c>
      <c r="F128" s="1">
        <f t="shared" si="12"/>
        <v>15.914941449650284</v>
      </c>
      <c r="G128" s="1">
        <f t="shared" si="19"/>
        <v>11.868579617329651</v>
      </c>
      <c r="H128" s="1">
        <f t="shared" si="13"/>
        <v>4.6428075055253437</v>
      </c>
      <c r="I128" s="1">
        <f t="shared" si="14"/>
        <v>119.8212669371391</v>
      </c>
      <c r="K128" s="112">
        <f>C128/'CGE-Flood Weighted Av Calcs'!$D$3</f>
        <v>1.3000552125936588E-2</v>
      </c>
      <c r="L128" s="112">
        <f>D128/'CGE-Flood Weighted Av Calcs'!$D$4</f>
        <v>1.2742784476265104E-2</v>
      </c>
      <c r="M128" s="112">
        <f>E128/'CGE-Flood Weighted Av Calcs'!$D$5</f>
        <v>1.2740858926682485E-2</v>
      </c>
      <c r="N128" s="112">
        <f>F128/'CGE-Flood Weighted Av Calcs'!$D$6</f>
        <v>4.399124290799662E-3</v>
      </c>
      <c r="O128" s="112">
        <f>G128/'CGE-Flood Weighted Av Calcs'!$D$7</f>
        <v>1.9591904153798596E-2</v>
      </c>
      <c r="P128" s="112">
        <f>H128/'CGE-Flood Weighted Av Calcs'!$D$8</f>
        <v>4.69164755658944E-2</v>
      </c>
      <c r="R128" s="1">
        <f t="shared" si="15"/>
        <v>0.2080230328769776</v>
      </c>
      <c r="S128" s="1">
        <f t="shared" si="16"/>
        <v>0.24130671813729401</v>
      </c>
      <c r="T128" s="1">
        <f t="shared" si="17"/>
        <v>5.8246449205553734</v>
      </c>
    </row>
    <row r="129" spans="1:20">
      <c r="A129">
        <v>76</v>
      </c>
      <c r="B129">
        <v>0.88499457930127767</v>
      </c>
      <c r="C129" s="1">
        <f t="shared" si="11"/>
        <v>11.844280493960653</v>
      </c>
      <c r="D129" s="1">
        <f t="shared" si="20"/>
        <v>38.096467579366674</v>
      </c>
      <c r="E129" s="1">
        <f t="shared" si="18"/>
        <v>45.674018766027245</v>
      </c>
      <c r="F129" s="1">
        <f t="shared" si="12"/>
        <v>2.4440463147802056</v>
      </c>
      <c r="G129" s="1">
        <f t="shared" si="19"/>
        <v>1.8226493868783553</v>
      </c>
      <c r="H129" s="1">
        <f t="shared" si="13"/>
        <v>0.71299266855690835</v>
      </c>
      <c r="I129" s="1">
        <f t="shared" si="14"/>
        <v>18.400867311795551</v>
      </c>
      <c r="K129" s="112">
        <f>C129/'CGE-Flood Weighted Av Calcs'!$D$3</f>
        <v>1.9964856053052934E-3</v>
      </c>
      <c r="L129" s="112">
        <f>D129/'CGE-Flood Weighted Av Calcs'!$D$4</f>
        <v>1.9569004094538165E-3</v>
      </c>
      <c r="M129" s="112">
        <f>E129/'CGE-Flood Weighted Av Calcs'!$D$5</f>
        <v>1.9566047041647823E-3</v>
      </c>
      <c r="N129" s="112">
        <f>F129/'CGE-Flood Weighted Av Calcs'!$D$6</f>
        <v>6.7557040942964059E-4</v>
      </c>
      <c r="O129" s="112">
        <f>G129/'CGE-Flood Weighted Av Calcs'!$D$7</f>
        <v>3.0087148795430022E-3</v>
      </c>
      <c r="P129" s="112">
        <f>H129/'CGE-Flood Weighted Av Calcs'!$D$8</f>
        <v>7.2049300069413433E-3</v>
      </c>
      <c r="R129" s="1">
        <f t="shared" si="15"/>
        <v>3.1945950194089523E-2</v>
      </c>
      <c r="S129" s="1">
        <f t="shared" si="16"/>
        <v>3.7057302225143862E-2</v>
      </c>
      <c r="T129" s="1">
        <f t="shared" si="17"/>
        <v>0.89448660543450753</v>
      </c>
    </row>
    <row r="130" spans="1:20">
      <c r="A130">
        <v>77</v>
      </c>
      <c r="B130">
        <v>6.5768043252847908E-2</v>
      </c>
      <c r="C130" s="1">
        <f t="shared" si="11"/>
        <v>101.2651051651616</v>
      </c>
      <c r="D130" s="1">
        <f t="shared" si="20"/>
        <v>324.33534801051729</v>
      </c>
      <c r="E130" s="1">
        <f t="shared" si="18"/>
        <v>388.80238953065555</v>
      </c>
      <c r="F130" s="1">
        <f t="shared" si="12"/>
        <v>23.339943519437554</v>
      </c>
      <c r="G130" s="1">
        <f t="shared" si="19"/>
        <v>15.676723925519402</v>
      </c>
      <c r="H130" s="1">
        <f t="shared" si="13"/>
        <v>6.0362930757303168</v>
      </c>
      <c r="I130" s="1">
        <f t="shared" si="14"/>
        <v>199.9121960203484</v>
      </c>
      <c r="K130" s="112">
        <f>C130/'CGE-Flood Weighted Av Calcs'!$D$3</f>
        <v>1.7069363131433746E-2</v>
      </c>
      <c r="L130" s="112">
        <f>D130/'CGE-Flood Weighted Av Calcs'!$D$4</f>
        <v>1.6660126663971365E-2</v>
      </c>
      <c r="M130" s="112">
        <f>E130/'CGE-Flood Weighted Av Calcs'!$D$5</f>
        <v>1.6655696277640204E-2</v>
      </c>
      <c r="N130" s="112">
        <f>F130/'CGE-Flood Weighted Av Calcs'!$D$6</f>
        <v>6.4515042551102873E-3</v>
      </c>
      <c r="O130" s="112">
        <f>G130/'CGE-Flood Weighted Av Calcs'!$D$7</f>
        <v>2.5878149070667069E-2</v>
      </c>
      <c r="P130" s="112">
        <f>H130/'CGE-Flood Weighted Av Calcs'!$D$8</f>
        <v>6.0997919095082988E-2</v>
      </c>
      <c r="R130" s="1">
        <f t="shared" si="15"/>
        <v>0.27282130449810138</v>
      </c>
      <c r="S130" s="1">
        <f t="shared" si="16"/>
        <v>0.32423195674715211</v>
      </c>
      <c r="T130" s="1">
        <f t="shared" si="17"/>
        <v>7.5705326124525349</v>
      </c>
    </row>
    <row r="131" spans="1:20">
      <c r="A131">
        <v>78</v>
      </c>
      <c r="B131">
        <v>0.38490659167978092</v>
      </c>
      <c r="C131" s="1">
        <f t="shared" si="11"/>
        <v>63.347786685779013</v>
      </c>
      <c r="D131" s="1">
        <f t="shared" si="20"/>
        <v>203.75462257331418</v>
      </c>
      <c r="E131" s="1">
        <f t="shared" si="18"/>
        <v>244.28229298925095</v>
      </c>
      <c r="F131" s="1">
        <f t="shared" si="12"/>
        <v>13.071703652898599</v>
      </c>
      <c r="G131" s="1">
        <f t="shared" si="19"/>
        <v>9.7482328809934131</v>
      </c>
      <c r="H131" s="1">
        <f t="shared" si="13"/>
        <v>3.8133601698556205</v>
      </c>
      <c r="I131" s="1">
        <f t="shared" si="14"/>
        <v>98.414945331235032</v>
      </c>
      <c r="K131" s="112">
        <f>C131/'CGE-Flood Weighted Av Calcs'!$D$3</f>
        <v>1.067797611772164E-2</v>
      </c>
      <c r="L131" s="112">
        <f>D131/'CGE-Flood Weighted Av Calcs'!$D$4</f>
        <v>1.0466259201359133E-2</v>
      </c>
      <c r="M131" s="112">
        <f>E131/'CGE-Flood Weighted Av Calcs'!$D$5</f>
        <v>1.0464677655263432E-2</v>
      </c>
      <c r="N131" s="112">
        <f>F131/'CGE-Flood Weighted Av Calcs'!$D$6</f>
        <v>3.613211474482961E-3</v>
      </c>
      <c r="O131" s="112">
        <f>G131/'CGE-Flood Weighted Av Calcs'!$D$7</f>
        <v>1.6091769228599704E-2</v>
      </c>
      <c r="P131" s="112">
        <f>H131/'CGE-Flood Weighted Av Calcs'!$D$8</f>
        <v>3.8534748429709484E-2</v>
      </c>
      <c r="R131" s="1">
        <f t="shared" si="15"/>
        <v>0.17085928008894974</v>
      </c>
      <c r="S131" s="1">
        <f t="shared" si="16"/>
        <v>0.19819676490318169</v>
      </c>
      <c r="T131" s="1">
        <f t="shared" si="17"/>
        <v>4.7840598424905929</v>
      </c>
    </row>
    <row r="132" spans="1:20">
      <c r="A132">
        <v>79</v>
      </c>
      <c r="B132">
        <v>0.73804713646720654</v>
      </c>
      <c r="C132" s="1">
        <f t="shared" si="11"/>
        <v>26.978234356505155</v>
      </c>
      <c r="D132" s="1">
        <f t="shared" si="20"/>
        <v>86.773986063164756</v>
      </c>
      <c r="E132" s="1">
        <f t="shared" si="18"/>
        <v>104.03370495165109</v>
      </c>
      <c r="F132" s="1">
        <f t="shared" si="12"/>
        <v>5.5669109062313886</v>
      </c>
      <c r="G132" s="1">
        <f t="shared" si="19"/>
        <v>4.151528016751822</v>
      </c>
      <c r="H132" s="1">
        <f t="shared" si="13"/>
        <v>1.6240145035915248</v>
      </c>
      <c r="I132" s="1">
        <f t="shared" si="14"/>
        <v>41.912458165246932</v>
      </c>
      <c r="K132" s="112">
        <f>C132/'CGE-Flood Weighted Av Calcs'!$D$3</f>
        <v>4.5474823546081235E-3</v>
      </c>
      <c r="L132" s="112">
        <f>D132/'CGE-Flood Weighted Av Calcs'!$D$4</f>
        <v>4.4573174272177444E-3</v>
      </c>
      <c r="M132" s="112">
        <f>E132/'CGE-Flood Weighted Av Calcs'!$D$5</f>
        <v>4.4566438863815503E-3</v>
      </c>
      <c r="N132" s="112">
        <f>F132/'CGE-Flood Weighted Av Calcs'!$D$6</f>
        <v>1.5387761915302677E-3</v>
      </c>
      <c r="O132" s="112">
        <f>G132/'CGE-Flood Weighted Av Calcs'!$D$7</f>
        <v>6.8530811283643214E-3</v>
      </c>
      <c r="P132" s="112">
        <f>H132/'CGE-Flood Weighted Av Calcs'!$D$8</f>
        <v>1.6410983372826371E-2</v>
      </c>
      <c r="R132" s="1">
        <f t="shared" si="15"/>
        <v>7.2764684314664846E-2</v>
      </c>
      <c r="S132" s="1">
        <f t="shared" si="16"/>
        <v>8.4407033805011217E-2</v>
      </c>
      <c r="T132" s="1">
        <f t="shared" si="17"/>
        <v>2.037411160810616</v>
      </c>
    </row>
    <row r="133" spans="1:20">
      <c r="A133">
        <v>80</v>
      </c>
      <c r="B133">
        <v>0.89471373188638537</v>
      </c>
      <c r="C133" s="1">
        <f t="shared" si="11"/>
        <v>10.843315768278842</v>
      </c>
      <c r="D133" s="1">
        <f t="shared" si="20"/>
        <v>34.876920369262109</v>
      </c>
      <c r="E133" s="1">
        <f t="shared" si="18"/>
        <v>41.814089774288675</v>
      </c>
      <c r="F133" s="1">
        <f t="shared" si="12"/>
        <v>2.2374990154085772</v>
      </c>
      <c r="G133" s="1">
        <f t="shared" si="19"/>
        <v>1.6686165822279531</v>
      </c>
      <c r="H133" s="1">
        <f t="shared" si="13"/>
        <v>0.65273738236547452</v>
      </c>
      <c r="I133" s="1">
        <f t="shared" si="14"/>
        <v>16.84580289817832</v>
      </c>
      <c r="K133" s="112">
        <f>C133/'CGE-Flood Weighted Av Calcs'!$D$3</f>
        <v>1.8277618345991643E-3</v>
      </c>
      <c r="L133" s="112">
        <f>D133/'CGE-Flood Weighted Av Calcs'!$D$4</f>
        <v>1.7915219989598781E-3</v>
      </c>
      <c r="M133" s="112">
        <f>E133/'CGE-Flood Weighted Av Calcs'!$D$5</f>
        <v>1.7912512838391941E-3</v>
      </c>
      <c r="N133" s="112">
        <f>F133/'CGE-Flood Weighted Av Calcs'!$D$6</f>
        <v>6.1847769283125394E-4</v>
      </c>
      <c r="O133" s="112">
        <f>G133/'CGE-Flood Weighted Av Calcs'!$D$7</f>
        <v>2.7544472213604601E-3</v>
      </c>
      <c r="P133" s="112">
        <f>H133/'CGE-Flood Weighted Av Calcs'!$D$8</f>
        <v>6.5960385853280103E-3</v>
      </c>
      <c r="R133" s="1">
        <f t="shared" si="15"/>
        <v>2.924618558711517E-2</v>
      </c>
      <c r="S133" s="1">
        <f t="shared" si="16"/>
        <v>3.392557528105361E-2</v>
      </c>
      <c r="T133" s="1">
        <f t="shared" si="17"/>
        <v>0.81889319643922587</v>
      </c>
    </row>
    <row r="134" spans="1:20">
      <c r="A134">
        <v>81</v>
      </c>
      <c r="B134">
        <v>0.34466192115034133</v>
      </c>
      <c r="C134" s="1">
        <f t="shared" si="11"/>
        <v>67.492540587305399</v>
      </c>
      <c r="D134" s="1">
        <f t="shared" si="20"/>
        <v>217.08599231877628</v>
      </c>
      <c r="E134" s="1">
        <f t="shared" si="18"/>
        <v>260.26532949158712</v>
      </c>
      <c r="F134" s="1">
        <f t="shared" si="12"/>
        <v>13.926966283993981</v>
      </c>
      <c r="G134" s="1">
        <f t="shared" si="19"/>
        <v>10.386045634687548</v>
      </c>
      <c r="H134" s="1">
        <f t="shared" si="13"/>
        <v>4.0628628007894116</v>
      </c>
      <c r="I134" s="1">
        <f t="shared" si="14"/>
        <v>104.85409261594538</v>
      </c>
      <c r="K134" s="112">
        <f>C134/'CGE-Flood Weighted Av Calcs'!$D$3</f>
        <v>1.1376620624338125E-2</v>
      </c>
      <c r="L134" s="112">
        <f>D134/'CGE-Flood Weighted Av Calcs'!$D$4</f>
        <v>1.1151051376883683E-2</v>
      </c>
      <c r="M134" s="112">
        <f>E134/'CGE-Flood Weighted Av Calcs'!$D$5</f>
        <v>1.1149366352518363E-2</v>
      </c>
      <c r="N134" s="112">
        <f>F134/'CGE-Flood Weighted Av Calcs'!$D$6</f>
        <v>3.8496186662635881E-3</v>
      </c>
      <c r="O134" s="112">
        <f>G134/'CGE-Flood Weighted Av Calcs'!$D$7</f>
        <v>1.7144630374696757E-2</v>
      </c>
      <c r="P134" s="112">
        <f>H134/'CGE-Flood Weighted Av Calcs'!$D$8</f>
        <v>4.1056021188466053E-2</v>
      </c>
      <c r="R134" s="1">
        <f t="shared" si="15"/>
        <v>0.1820383552360163</v>
      </c>
      <c r="S134" s="1">
        <f t="shared" si="16"/>
        <v>0.21116449207377891</v>
      </c>
      <c r="T134" s="1">
        <f t="shared" si="17"/>
        <v>5.0970739466084565</v>
      </c>
    </row>
    <row r="135" spans="1:20">
      <c r="A135">
        <v>82</v>
      </c>
      <c r="B135">
        <v>0.87859219552137013</v>
      </c>
      <c r="C135" s="1">
        <f t="shared" si="11"/>
        <v>12.503654885693578</v>
      </c>
      <c r="D135" s="1">
        <f t="shared" si="20"/>
        <v>40.217308532949858</v>
      </c>
      <c r="E135" s="1">
        <f t="shared" si="18"/>
        <v>48.216704103241568</v>
      </c>
      <c r="F135" s="1">
        <f t="shared" si="12"/>
        <v>2.5801070533786401</v>
      </c>
      <c r="G135" s="1">
        <f t="shared" si="19"/>
        <v>1.9241167855462695</v>
      </c>
      <c r="H135" s="1">
        <f t="shared" si="13"/>
        <v>0.752685168863656</v>
      </c>
      <c r="I135" s="1">
        <f t="shared" si="14"/>
        <v>19.425248716580754</v>
      </c>
      <c r="K135" s="112">
        <f>C135/'CGE-Flood Weighted Av Calcs'!$D$3</f>
        <v>2.1076305146370982E-3</v>
      </c>
      <c r="L135" s="112">
        <f>D135/'CGE-Flood Weighted Av Calcs'!$D$4</f>
        <v>2.0658415999147708E-3</v>
      </c>
      <c r="M135" s="112">
        <f>E135/'CGE-Flood Weighted Av Calcs'!$D$5</f>
        <v>2.0655294326299908E-3</v>
      </c>
      <c r="N135" s="112">
        <f>F135/'CGE-Flood Weighted Av Calcs'!$D$6</f>
        <v>7.1317960215498786E-4</v>
      </c>
      <c r="O135" s="112">
        <f>G135/'CGE-Flood Weighted Av Calcs'!$D$7</f>
        <v>3.176210874306723E-3</v>
      </c>
      <c r="P135" s="112">
        <f>H135/'CGE-Flood Weighted Av Calcs'!$D$8</f>
        <v>7.6060304657853866E-3</v>
      </c>
      <c r="R135" s="1">
        <f t="shared" si="15"/>
        <v>3.3724390132952725E-2</v>
      </c>
      <c r="S135" s="1">
        <f t="shared" si="16"/>
        <v>3.9120292554225167E-2</v>
      </c>
      <c r="T135" s="1">
        <f t="shared" si="17"/>
        <v>0.9442829237226773</v>
      </c>
    </row>
    <row r="136" spans="1:20">
      <c r="A136">
        <v>83</v>
      </c>
      <c r="B136">
        <v>0.22156476968933947</v>
      </c>
      <c r="C136" s="1">
        <f t="shared" si="11"/>
        <v>80.170179441661247</v>
      </c>
      <c r="D136" s="1">
        <f t="shared" si="20"/>
        <v>257.8629105827564</v>
      </c>
      <c r="E136" s="1">
        <f t="shared" si="18"/>
        <v>309.15295210724668</v>
      </c>
      <c r="F136" s="1">
        <f t="shared" si="12"/>
        <v>16.54297462134312</v>
      </c>
      <c r="G136" s="1">
        <f t="shared" si="19"/>
        <v>12.336935829895188</v>
      </c>
      <c r="H136" s="1">
        <f t="shared" si="13"/>
        <v>4.8260213195678983</v>
      </c>
      <c r="I136" s="1">
        <f t="shared" si="14"/>
        <v>124.54963684970568</v>
      </c>
      <c r="K136" s="112">
        <f>C136/'CGE-Flood Weighted Av Calcs'!$D$3</f>
        <v>1.3513578077759323E-2</v>
      </c>
      <c r="L136" s="112">
        <f>D136/'CGE-Flood Weighted Av Calcs'!$D$4</f>
        <v>1.3245638437503073E-2</v>
      </c>
      <c r="M136" s="112">
        <f>E136/'CGE-Flood Weighted Av Calcs'!$D$5</f>
        <v>1.3243636902154783E-2</v>
      </c>
      <c r="N136" s="112">
        <f>F136/'CGE-Flood Weighted Av Calcs'!$D$6</f>
        <v>4.5727219122400232E-3</v>
      </c>
      <c r="O136" s="112">
        <f>G136/'CGE-Flood Weighted Av Calcs'!$D$7</f>
        <v>2.0365037108395961E-2</v>
      </c>
      <c r="P136" s="112">
        <f>H136/'CGE-Flood Weighted Av Calcs'!$D$8</f>
        <v>4.8767886898290189E-2</v>
      </c>
      <c r="R136" s="1">
        <f t="shared" si="15"/>
        <v>0.21623200841962792</v>
      </c>
      <c r="S136" s="1">
        <f t="shared" si="16"/>
        <v>0.25082912976676836</v>
      </c>
      <c r="T136" s="1">
        <f t="shared" si="17"/>
        <v>6.054496235749582</v>
      </c>
    </row>
    <row r="137" spans="1:20">
      <c r="A137">
        <v>84</v>
      </c>
      <c r="B137">
        <v>1.3487838623841175E-2</v>
      </c>
      <c r="C137" s="1">
        <f t="shared" si="11"/>
        <v>143.82956379432832</v>
      </c>
      <c r="D137" s="1">
        <f t="shared" si="20"/>
        <v>456.80967200250433</v>
      </c>
      <c r="E137" s="1">
        <f t="shared" si="18"/>
        <v>547.57010286147136</v>
      </c>
      <c r="F137" s="1">
        <f t="shared" si="12"/>
        <v>30.126716871284184</v>
      </c>
      <c r="G137" s="1">
        <f t="shared" si="19"/>
        <v>20.660783089215791</v>
      </c>
      <c r="H137" s="1">
        <f t="shared" si="13"/>
        <v>7.7554085728711186</v>
      </c>
      <c r="I137" s="1">
        <f t="shared" si="14"/>
        <v>319.76900670339921</v>
      </c>
      <c r="K137" s="112">
        <f>C137/'CGE-Flood Weighted Av Calcs'!$D$3</f>
        <v>2.4244077458241073E-2</v>
      </c>
      <c r="L137" s="112">
        <f>D137/'CGE-Flood Weighted Av Calcs'!$D$4</f>
        <v>2.3464932341084661E-2</v>
      </c>
      <c r="M137" s="112">
        <f>E137/'CGE-Flood Weighted Av Calcs'!$D$5</f>
        <v>2.3457060886344635E-2</v>
      </c>
      <c r="N137" s="112">
        <f>F137/'CGE-Flood Weighted Av Calcs'!$D$6</f>
        <v>8.3274683987871346E-3</v>
      </c>
      <c r="O137" s="112">
        <f>G137/'CGE-Flood Weighted Av Calcs'!$D$7</f>
        <v>3.4105520211980704E-2</v>
      </c>
      <c r="P137" s="112">
        <f>H137/'CGE-Flood Weighted Av Calcs'!$D$8</f>
        <v>7.8369916560101852E-2</v>
      </c>
      <c r="R137" s="1">
        <f t="shared" si="15"/>
        <v>0.32534954850154513</v>
      </c>
      <c r="S137" s="1">
        <f t="shared" si="16"/>
        <v>0.38534954850154512</v>
      </c>
      <c r="T137" s="1">
        <f t="shared" si="17"/>
        <v>13.302432275231766</v>
      </c>
    </row>
    <row r="138" spans="1:20">
      <c r="A138">
        <v>85</v>
      </c>
      <c r="B138">
        <v>6.7241194387676617E-2</v>
      </c>
      <c r="C138" s="1">
        <f t="shared" si="11"/>
        <v>100.89608080588701</v>
      </c>
      <c r="D138" s="1">
        <f t="shared" si="20"/>
        <v>323.20771235509289</v>
      </c>
      <c r="E138" s="1">
        <f t="shared" si="18"/>
        <v>387.45238393503536</v>
      </c>
      <c r="F138" s="1">
        <f t="shared" si="12"/>
        <v>23.15861702436694</v>
      </c>
      <c r="G138" s="1">
        <f t="shared" si="19"/>
        <v>15.615908438494298</v>
      </c>
      <c r="H138" s="1">
        <f t="shared" si="13"/>
        <v>6.0166429972939754</v>
      </c>
      <c r="I138" s="1">
        <f t="shared" si="14"/>
        <v>197.50604916679487</v>
      </c>
      <c r="K138" s="112">
        <f>C138/'CGE-Flood Weighted Av Calcs'!$D$3</f>
        <v>1.7007159959052411E-2</v>
      </c>
      <c r="L138" s="112">
        <f>D138/'CGE-Flood Weighted Av Calcs'!$D$4</f>
        <v>1.6602203428143329E-2</v>
      </c>
      <c r="M138" s="112">
        <f>E138/'CGE-Flood Weighted Av Calcs'!$D$5</f>
        <v>1.6597864114620556E-2</v>
      </c>
      <c r="N138" s="112">
        <f>F138/'CGE-Flood Weighted Av Calcs'!$D$6</f>
        <v>6.4013829403976761E-3</v>
      </c>
      <c r="O138" s="112">
        <f>G138/'CGE-Flood Weighted Av Calcs'!$D$7</f>
        <v>2.5777758692771914E-2</v>
      </c>
      <c r="P138" s="112">
        <f>H138/'CGE-Flood Weighted Av Calcs'!$D$8</f>
        <v>6.0799351219130916E-2</v>
      </c>
      <c r="R138" s="1">
        <f t="shared" si="15"/>
        <v>0.27183920374154891</v>
      </c>
      <c r="S138" s="1">
        <f t="shared" si="16"/>
        <v>0.3227588056123234</v>
      </c>
      <c r="T138" s="1">
        <f t="shared" si="17"/>
        <v>7.5459800935387236</v>
      </c>
    </row>
    <row r="139" spans="1:20">
      <c r="A139">
        <v>86</v>
      </c>
      <c r="B139">
        <v>0.17386352618392586</v>
      </c>
      <c r="C139" s="1">
        <f t="shared" si="11"/>
        <v>85.082877508902129</v>
      </c>
      <c r="D139" s="1">
        <f t="shared" si="20"/>
        <v>273.66432990419935</v>
      </c>
      <c r="E139" s="1">
        <f t="shared" si="18"/>
        <v>328.0973416655147</v>
      </c>
      <c r="F139" s="1">
        <f t="shared" si="12"/>
        <v>17.556701171722448</v>
      </c>
      <c r="G139" s="1">
        <f t="shared" si="19"/>
        <v>13.092923171189641</v>
      </c>
      <c r="H139" s="1">
        <f t="shared" si="13"/>
        <v>5.1217520485524464</v>
      </c>
      <c r="I139" s="1">
        <f t="shared" si="14"/>
        <v>132.18183581057187</v>
      </c>
      <c r="K139" s="112">
        <f>C139/'CGE-Flood Weighted Av Calcs'!$D$3</f>
        <v>1.4341668140254777E-2</v>
      </c>
      <c r="L139" s="112">
        <f>D139/'CGE-Flood Weighted Av Calcs'!$D$4</f>
        <v>1.4057309595089102E-2</v>
      </c>
      <c r="M139" s="112">
        <f>E139/'CGE-Flood Weighted Av Calcs'!$D$5</f>
        <v>1.4055185408913465E-2</v>
      </c>
      <c r="N139" s="112">
        <f>F139/'CGE-Flood Weighted Av Calcs'!$D$6</f>
        <v>4.8529308659525268E-3</v>
      </c>
      <c r="O139" s="112">
        <f>G139/'CGE-Flood Weighted Av Calcs'!$D$7</f>
        <v>2.1612973425097215E-2</v>
      </c>
      <c r="P139" s="112">
        <f>H139/'CGE-Flood Weighted Av Calcs'!$D$8</f>
        <v>5.1756303606063592E-2</v>
      </c>
      <c r="R139" s="1">
        <f t="shared" si="15"/>
        <v>0.22948235383779836</v>
      </c>
      <c r="S139" s="1">
        <f t="shared" si="16"/>
        <v>0.26619953045184608</v>
      </c>
      <c r="T139" s="1">
        <f t="shared" si="17"/>
        <v>6.4255059074583549</v>
      </c>
    </row>
    <row r="140" spans="1:20">
      <c r="A140">
        <v>87</v>
      </c>
      <c r="B140">
        <v>0.12979254302812715</v>
      </c>
      <c r="C140" s="1">
        <f t="shared" si="11"/>
        <v>89.621699096358768</v>
      </c>
      <c r="D140" s="1">
        <f t="shared" si="20"/>
        <v>288.2631963818414</v>
      </c>
      <c r="E140" s="1">
        <f t="shared" si="18"/>
        <v>345.59998544930971</v>
      </c>
      <c r="F140" s="1">
        <f t="shared" si="12"/>
        <v>18.493278972284045</v>
      </c>
      <c r="G140" s="1">
        <f t="shared" si="19"/>
        <v>13.791376773985212</v>
      </c>
      <c r="H140" s="1">
        <f t="shared" si="13"/>
        <v>5.3949764556740538</v>
      </c>
      <c r="I140" s="1">
        <f t="shared" si="14"/>
        <v>139.23319311549966</v>
      </c>
      <c r="K140" s="112">
        <f>C140/'CGE-Flood Weighted Av Calcs'!$D$3</f>
        <v>1.51067371513295E-2</v>
      </c>
      <c r="L140" s="112">
        <f>D140/'CGE-Flood Weighted Av Calcs'!$D$4</f>
        <v>1.4807209247284998E-2</v>
      </c>
      <c r="M140" s="112">
        <f>E140/'CGE-Flood Weighted Av Calcs'!$D$5</f>
        <v>1.4804971744513215E-2</v>
      </c>
      <c r="N140" s="112">
        <f>F140/'CGE-Flood Weighted Av Calcs'!$D$6</f>
        <v>5.1118147685863483E-3</v>
      </c>
      <c r="O140" s="112">
        <f>G140/'CGE-Flood Weighted Av Calcs'!$D$7</f>
        <v>2.2765936667797772E-2</v>
      </c>
      <c r="P140" s="112">
        <f>H140/'CGE-Flood Weighted Av Calcs'!$D$8</f>
        <v>5.4517289540860908E-2</v>
      </c>
      <c r="R140" s="1">
        <f t="shared" si="15"/>
        <v>0.241724293603298</v>
      </c>
      <c r="S140" s="1">
        <f t="shared" si="16"/>
        <v>0.28040018057982569</v>
      </c>
      <c r="T140" s="1">
        <f t="shared" si="17"/>
        <v>6.7682802208923443</v>
      </c>
    </row>
    <row r="141" spans="1:20">
      <c r="A141">
        <v>88</v>
      </c>
      <c r="B141">
        <v>0.8010352747682854</v>
      </c>
      <c r="C141" s="1">
        <f t="shared" si="11"/>
        <v>20.491155979697368</v>
      </c>
      <c r="D141" s="1">
        <f t="shared" si="20"/>
        <v>65.908660289017376</v>
      </c>
      <c r="E141" s="1">
        <f t="shared" si="18"/>
        <v>79.018176176383918</v>
      </c>
      <c r="F141" s="1">
        <f t="shared" si="12"/>
        <v>4.2283137657287053</v>
      </c>
      <c r="G141" s="1">
        <f t="shared" si="19"/>
        <v>3.1532681872797497</v>
      </c>
      <c r="H141" s="1">
        <f t="shared" si="13"/>
        <v>1.2335104687220033</v>
      </c>
      <c r="I141" s="1">
        <f t="shared" si="14"/>
        <v>31.834356037074315</v>
      </c>
      <c r="K141" s="112">
        <f>C141/'CGE-Flood Weighted Av Calcs'!$D$3</f>
        <v>3.4540129280449974E-3</v>
      </c>
      <c r="L141" s="112">
        <f>D141/'CGE-Flood Weighted Av Calcs'!$D$4</f>
        <v>3.3855286986236308E-3</v>
      </c>
      <c r="M141" s="112">
        <f>E141/'CGE-Flood Weighted Av Calcs'!$D$5</f>
        <v>3.3850171147241518E-3</v>
      </c>
      <c r="N141" s="112">
        <f>F141/'CGE-Flood Weighted Av Calcs'!$D$6</f>
        <v>1.1687682204038819E-3</v>
      </c>
      <c r="O141" s="112">
        <f>G141/'CGE-Flood Weighted Av Calcs'!$D$7</f>
        <v>5.2052166382405615E-3</v>
      </c>
      <c r="P141" s="112">
        <f>H141/'CGE-Flood Weighted Av Calcs'!$D$8</f>
        <v>1.2464863920633833E-2</v>
      </c>
      <c r="R141" s="1">
        <f t="shared" si="15"/>
        <v>5.5267979231031827E-2</v>
      </c>
      <c r="S141" s="1">
        <f t="shared" si="16"/>
        <v>6.4110855907996922E-2</v>
      </c>
      <c r="T141" s="1">
        <f t="shared" si="17"/>
        <v>1.5475034184688923</v>
      </c>
    </row>
    <row r="142" spans="1:20">
      <c r="A142">
        <v>89</v>
      </c>
      <c r="B142">
        <v>0.21421183982006053</v>
      </c>
      <c r="C142" s="1">
        <f t="shared" si="11"/>
        <v>80.927449518976204</v>
      </c>
      <c r="D142" s="1">
        <f t="shared" si="20"/>
        <v>260.29862754876069</v>
      </c>
      <c r="E142" s="1">
        <f t="shared" si="18"/>
        <v>312.07314364947422</v>
      </c>
      <c r="F142" s="1">
        <f t="shared" si="12"/>
        <v>16.69923596137966</v>
      </c>
      <c r="G142" s="1">
        <f t="shared" si="19"/>
        <v>12.453467842356662</v>
      </c>
      <c r="H142" s="1">
        <f t="shared" si="13"/>
        <v>4.87160686725215</v>
      </c>
      <c r="I142" s="1">
        <f t="shared" si="14"/>
        <v>125.72610562879031</v>
      </c>
      <c r="K142" s="112">
        <f>C142/'CGE-Flood Weighted Av Calcs'!$D$3</f>
        <v>1.36412243969645E-2</v>
      </c>
      <c r="L142" s="112">
        <f>D142/'CGE-Flood Weighted Av Calcs'!$D$4</f>
        <v>1.3370753857145522E-2</v>
      </c>
      <c r="M142" s="112">
        <f>E142/'CGE-Flood Weighted Av Calcs'!$D$5</f>
        <v>1.3368733415729684E-2</v>
      </c>
      <c r="N142" s="112">
        <f>F142/'CGE-Flood Weighted Av Calcs'!$D$6</f>
        <v>4.6159148488174153E-3</v>
      </c>
      <c r="O142" s="112">
        <f>G142/'CGE-Flood Weighted Av Calcs'!$D$7</f>
        <v>2.0557400819354334E-2</v>
      </c>
      <c r="P142" s="112">
        <f>H142/'CGE-Flood Weighted Av Calcs'!$D$8</f>
        <v>4.9228537750504252E-2</v>
      </c>
      <c r="R142" s="1">
        <f t="shared" si="15"/>
        <v>0.21827448893887208</v>
      </c>
      <c r="S142" s="1">
        <f t="shared" si="16"/>
        <v>0.25319840716909159</v>
      </c>
      <c r="T142" s="1">
        <f t="shared" si="17"/>
        <v>6.111685690288418</v>
      </c>
    </row>
    <row r="143" spans="1:20">
      <c r="A143">
        <v>90</v>
      </c>
      <c r="B143">
        <v>0.46946764383867989</v>
      </c>
      <c r="C143" s="1">
        <f t="shared" si="11"/>
        <v>54.638937880658624</v>
      </c>
      <c r="D143" s="1">
        <f t="shared" si="20"/>
        <v>175.74309613850482</v>
      </c>
      <c r="E143" s="1">
        <f t="shared" si="18"/>
        <v>210.6991535188219</v>
      </c>
      <c r="F143" s="1">
        <f t="shared" si="12"/>
        <v>11.274648117192099</v>
      </c>
      <c r="G143" s="1">
        <f t="shared" si="19"/>
        <v>8.4080773567163014</v>
      </c>
      <c r="H143" s="1">
        <f t="shared" si="13"/>
        <v>3.289111748620785</v>
      </c>
      <c r="I143" s="1">
        <f t="shared" si="14"/>
        <v>84.885176985811199</v>
      </c>
      <c r="K143" s="112">
        <f>C143/'CGE-Flood Weighted Av Calcs'!$D$3</f>
        <v>9.2100025006607595E-3</v>
      </c>
      <c r="L143" s="112">
        <f>D143/'CGE-Flood Weighted Av Calcs'!$D$4</f>
        <v>9.0273917411278996E-3</v>
      </c>
      <c r="M143" s="112">
        <f>E143/'CGE-Flood Weighted Av Calcs'!$D$5</f>
        <v>9.0260276208736778E-3</v>
      </c>
      <c r="N143" s="112">
        <f>F143/'CGE-Flood Weighted Av Calcs'!$D$6</f>
        <v>3.116478848475331E-3</v>
      </c>
      <c r="O143" s="112">
        <f>G143/'CGE-Flood Weighted Av Calcs'!$D$7</f>
        <v>1.3879524846425828E-2</v>
      </c>
      <c r="P143" s="112">
        <f>H143/'CGE-Flood Weighted Av Calcs'!$D$8</f>
        <v>3.3237115862334757E-2</v>
      </c>
      <c r="R143" s="1">
        <f t="shared" si="15"/>
        <v>0.14737009893370001</v>
      </c>
      <c r="S143" s="1">
        <f t="shared" si="16"/>
        <v>0.17094931476309203</v>
      </c>
      <c r="T143" s="1">
        <f t="shared" si="17"/>
        <v>4.1263627701436008</v>
      </c>
    </row>
    <row r="144" spans="1:20">
      <c r="A144">
        <v>91</v>
      </c>
      <c r="B144">
        <v>0.23768236689945077</v>
      </c>
      <c r="C144" s="1">
        <f t="shared" si="11"/>
        <v>78.510246013433232</v>
      </c>
      <c r="D144" s="1">
        <f t="shared" si="20"/>
        <v>252.52382729570994</v>
      </c>
      <c r="E144" s="1">
        <f t="shared" si="18"/>
        <v>302.75190220050894</v>
      </c>
      <c r="F144" s="1">
        <f t="shared" si="12"/>
        <v>16.200450296618641</v>
      </c>
      <c r="G144" s="1">
        <f t="shared" si="19"/>
        <v>12.081498055793048</v>
      </c>
      <c r="H144" s="1">
        <f t="shared" si="13"/>
        <v>4.7260979544278561</v>
      </c>
      <c r="I144" s="1">
        <f t="shared" si="14"/>
        <v>121.97082129608788</v>
      </c>
      <c r="K144" s="112">
        <f>C144/'CGE-Flood Weighted Av Calcs'!$D$3</f>
        <v>1.323377778115945E-2</v>
      </c>
      <c r="L144" s="112">
        <f>D144/'CGE-Flood Weighted Av Calcs'!$D$4</f>
        <v>1.2971385864117817E-2</v>
      </c>
      <c r="M144" s="112">
        <f>E144/'CGE-Flood Weighted Av Calcs'!$D$5</f>
        <v>1.2969425770805152E-2</v>
      </c>
      <c r="N144" s="112">
        <f>F144/'CGE-Flood Weighted Av Calcs'!$D$6</f>
        <v>4.4780431424907121E-3</v>
      </c>
      <c r="O144" s="112">
        <f>G144/'CGE-Flood Weighted Av Calcs'!$D$7</f>
        <v>1.99433765096701E-2</v>
      </c>
      <c r="P144" s="112">
        <f>H144/'CGE-Flood Weighted Av Calcs'!$D$8</f>
        <v>4.7758141800420949E-2</v>
      </c>
      <c r="R144" s="1">
        <f t="shared" si="15"/>
        <v>0.21175489808348591</v>
      </c>
      <c r="S144" s="1">
        <f t="shared" si="16"/>
        <v>0.24563568177684364</v>
      </c>
      <c r="T144" s="1">
        <f t="shared" si="17"/>
        <v>5.929137146337605</v>
      </c>
    </row>
    <row r="145" spans="1:20">
      <c r="A145">
        <v>92</v>
      </c>
      <c r="B145">
        <v>0.39190174092764063</v>
      </c>
      <c r="C145" s="1">
        <f t="shared" si="11"/>
        <v>62.627364037129993</v>
      </c>
      <c r="D145" s="1">
        <f t="shared" si="20"/>
        <v>201.43742330640274</v>
      </c>
      <c r="E145" s="1">
        <f t="shared" si="18"/>
        <v>241.50419282599964</v>
      </c>
      <c r="F145" s="1">
        <f t="shared" si="12"/>
        <v>12.923045714544925</v>
      </c>
      <c r="G145" s="1">
        <f t="shared" si="19"/>
        <v>9.6373711110848959</v>
      </c>
      <c r="H145" s="1">
        <f t="shared" si="13"/>
        <v>3.7699927346609705</v>
      </c>
      <c r="I145" s="1">
        <f t="shared" si="14"/>
        <v>97.295721451577492</v>
      </c>
      <c r="K145" s="112">
        <f>C145/'CGE-Flood Weighted Av Calcs'!$D$3</f>
        <v>1.0556540843667039E-2</v>
      </c>
      <c r="L145" s="112">
        <f>D145/'CGE-Flood Weighted Av Calcs'!$D$4</f>
        <v>1.0347231677750592E-2</v>
      </c>
      <c r="M145" s="112">
        <f>E145/'CGE-Flood Weighted Av Calcs'!$D$5</f>
        <v>1.0345668117786483E-2</v>
      </c>
      <c r="N145" s="112">
        <f>F145/'CGE-Flood Weighted Av Calcs'!$D$6</f>
        <v>3.5721202301512885E-3</v>
      </c>
      <c r="O145" s="112">
        <f>G145/'CGE-Flood Weighted Av Calcs'!$D$7</f>
        <v>1.5908765597129199E-2</v>
      </c>
      <c r="P145" s="112">
        <f>H145/'CGE-Flood Weighted Av Calcs'!$D$8</f>
        <v>3.8096512036913985E-2</v>
      </c>
      <c r="R145" s="1">
        <f t="shared" si="15"/>
        <v>0.16891618307565537</v>
      </c>
      <c r="S145" s="1">
        <f t="shared" si="16"/>
        <v>0.19594277236776023</v>
      </c>
      <c r="T145" s="1">
        <f t="shared" si="17"/>
        <v>4.7296531261183503</v>
      </c>
    </row>
    <row r="146" spans="1:20">
      <c r="A146">
        <v>93</v>
      </c>
      <c r="B146">
        <v>0.92973775304363682</v>
      </c>
      <c r="C146" s="1">
        <f t="shared" si="11"/>
        <v>7.2362307448725716</v>
      </c>
      <c r="D146" s="1">
        <f t="shared" si="20"/>
        <v>23.274932581123835</v>
      </c>
      <c r="E146" s="1">
        <f t="shared" si="18"/>
        <v>27.904416735582856</v>
      </c>
      <c r="F146" s="1">
        <f t="shared" si="12"/>
        <v>1.4931834056043236</v>
      </c>
      <c r="G146" s="1">
        <f t="shared" si="19"/>
        <v>1.1135426535345374</v>
      </c>
      <c r="H146" s="1">
        <f t="shared" si="13"/>
        <v>0.43560091908588117</v>
      </c>
      <c r="I146" s="1">
        <f t="shared" si="14"/>
        <v>11.241959513018088</v>
      </c>
      <c r="K146" s="112">
        <f>C146/'CGE-Flood Weighted Av Calcs'!$D$3</f>
        <v>1.2197474153176437E-3</v>
      </c>
      <c r="L146" s="112">
        <f>D146/'CGE-Flood Weighted Av Calcs'!$D$4</f>
        <v>1.1955629482739666E-3</v>
      </c>
      <c r="M146" s="112">
        <f>E146/'CGE-Flood Weighted Av Calcs'!$D$5</f>
        <v>1.1953822879371045E-3</v>
      </c>
      <c r="N146" s="112">
        <f>F146/'CGE-Flood Weighted Av Calcs'!$D$6</f>
        <v>4.1273789231296764E-4</v>
      </c>
      <c r="O146" s="112">
        <f>G146/'CGE-Flood Weighted Av Calcs'!$D$7</f>
        <v>1.8381661195043455E-3</v>
      </c>
      <c r="P146" s="112">
        <f>H146/'CGE-Flood Weighted Av Calcs'!$D$8</f>
        <v>4.4018322647347008E-3</v>
      </c>
      <c r="R146" s="1">
        <f t="shared" si="15"/>
        <v>1.951729082121198E-2</v>
      </c>
      <c r="S146" s="1">
        <f t="shared" si="16"/>
        <v>2.2640057352605936E-2</v>
      </c>
      <c r="T146" s="1">
        <f t="shared" si="17"/>
        <v>0.54648414299393622</v>
      </c>
    </row>
    <row r="147" spans="1:20">
      <c r="A147">
        <v>94</v>
      </c>
      <c r="B147">
        <v>0.35265669847321701</v>
      </c>
      <c r="C147" s="1">
        <f t="shared" si="11"/>
        <v>66.66916735390835</v>
      </c>
      <c r="D147" s="1">
        <f t="shared" si="20"/>
        <v>214.43765823821957</v>
      </c>
      <c r="E147" s="1">
        <f t="shared" si="18"/>
        <v>257.09023037663479</v>
      </c>
      <c r="F147" s="1">
        <f t="shared" si="12"/>
        <v>13.757064674706795</v>
      </c>
      <c r="G147" s="1">
        <f t="shared" si="19"/>
        <v>10.259341381120739</v>
      </c>
      <c r="H147" s="1">
        <f t="shared" si="13"/>
        <v>4.0132980273785295</v>
      </c>
      <c r="I147" s="1">
        <f t="shared" si="14"/>
        <v>103.57492824428527</v>
      </c>
      <c r="K147" s="112">
        <f>C147/'CGE-Flood Weighted Av Calcs'!$D$3</f>
        <v>1.1237831880766146E-2</v>
      </c>
      <c r="L147" s="112">
        <f>D147/'CGE-Flood Weighted Av Calcs'!$D$4</f>
        <v>1.1015014458609959E-2</v>
      </c>
      <c r="M147" s="112">
        <f>E147/'CGE-Flood Weighted Av Calcs'!$D$5</f>
        <v>1.1013349990649061E-2</v>
      </c>
      <c r="N147" s="112">
        <f>F147/'CGE-Flood Weighted Av Calcs'!$D$6</f>
        <v>3.8026553583038448E-3</v>
      </c>
      <c r="O147" s="112">
        <f>G147/'CGE-Flood Weighted Av Calcs'!$D$7</f>
        <v>1.6935474968422622E-2</v>
      </c>
      <c r="P147" s="112">
        <f>H147/'CGE-Flood Weighted Av Calcs'!$D$8</f>
        <v>4.0555159484013885E-2</v>
      </c>
      <c r="R147" s="1">
        <f t="shared" si="15"/>
        <v>0.17981758375743973</v>
      </c>
      <c r="S147" s="1">
        <f t="shared" si="16"/>
        <v>0.20858839715863006</v>
      </c>
      <c r="T147" s="1">
        <f t="shared" si="17"/>
        <v>5.0348923452083127</v>
      </c>
    </row>
    <row r="148" spans="1:20">
      <c r="A148">
        <v>95</v>
      </c>
      <c r="B148">
        <v>0.11515307512057626</v>
      </c>
      <c r="C148" s="1">
        <f t="shared" si="11"/>
        <v>91.129401630081986</v>
      </c>
      <c r="D148" s="1">
        <f t="shared" si="20"/>
        <v>293.1126374875804</v>
      </c>
      <c r="E148" s="1">
        <f t="shared" si="18"/>
        <v>351.4140012397981</v>
      </c>
      <c r="F148" s="1">
        <f t="shared" si="12"/>
        <v>18.804390721386063</v>
      </c>
      <c r="G148" s="1">
        <f t="shared" si="19"/>
        <v>14.023388596069868</v>
      </c>
      <c r="H148" s="1">
        <f t="shared" si="13"/>
        <v>5.4857359453245609</v>
      </c>
      <c r="I148" s="1">
        <f t="shared" si="14"/>
        <v>141.57550798070781</v>
      </c>
      <c r="K148" s="112">
        <f>C148/'CGE-Flood Weighted Av Calcs'!$D$3</f>
        <v>1.5360877232459423E-2</v>
      </c>
      <c r="L148" s="112">
        <f>D148/'CGE-Flood Weighted Av Calcs'!$D$4</f>
        <v>1.5056310381548234E-2</v>
      </c>
      <c r="M148" s="112">
        <f>E148/'CGE-Flood Weighted Av Calcs'!$D$5</f>
        <v>1.5054035237349963E-2</v>
      </c>
      <c r="N148" s="112">
        <f>F148/'CGE-Flood Weighted Av Calcs'!$D$6</f>
        <v>5.1978106396335481E-3</v>
      </c>
      <c r="O148" s="112">
        <f>G148/'CGE-Flood Weighted Av Calcs'!$D$7</f>
        <v>2.3148927179500931E-2</v>
      </c>
      <c r="P148" s="112">
        <f>H148/'CGE-Flood Weighted Av Calcs'!$D$8</f>
        <v>5.5434431889212314E-2</v>
      </c>
      <c r="R148" s="1">
        <f t="shared" si="15"/>
        <v>0.24579081246650658</v>
      </c>
      <c r="S148" s="1">
        <f t="shared" si="16"/>
        <v>0.28511734246114762</v>
      </c>
      <c r="T148" s="1">
        <f t="shared" si="17"/>
        <v>6.8821427490621847</v>
      </c>
    </row>
    <row r="149" spans="1:20">
      <c r="A149">
        <v>96</v>
      </c>
      <c r="B149">
        <v>0.36915537466713588</v>
      </c>
      <c r="C149" s="1">
        <f t="shared" si="11"/>
        <v>64.969987024559089</v>
      </c>
      <c r="D149" s="1">
        <f t="shared" si="20"/>
        <v>208.97233948276124</v>
      </c>
      <c r="E149" s="1">
        <f t="shared" si="18"/>
        <v>250.53783622410396</v>
      </c>
      <c r="F149" s="1">
        <f t="shared" si="12"/>
        <v>13.406441821405522</v>
      </c>
      <c r="G149" s="1">
        <f t="shared" si="19"/>
        <v>9.9978641232101921</v>
      </c>
      <c r="H149" s="1">
        <f t="shared" si="13"/>
        <v>3.9110121081958589</v>
      </c>
      <c r="I149" s="1">
        <f t="shared" si="14"/>
        <v>100.93514005325824</v>
      </c>
      <c r="K149" s="112">
        <f>C149/'CGE-Flood Weighted Av Calcs'!$D$3</f>
        <v>1.0951416081166208E-2</v>
      </c>
      <c r="L149" s="112">
        <f>D149/'CGE-Flood Weighted Av Calcs'!$D$4</f>
        <v>1.0734277550704498E-2</v>
      </c>
      <c r="M149" s="112">
        <f>E149/'CGE-Flood Weighted Av Calcs'!$D$5</f>
        <v>1.0732655504620615E-2</v>
      </c>
      <c r="N149" s="112">
        <f>F149/'CGE-Flood Weighted Av Calcs'!$D$6</f>
        <v>3.7057380359406507E-3</v>
      </c>
      <c r="O149" s="112">
        <f>G149/'CGE-Flood Weighted Av Calcs'!$D$7</f>
        <v>1.6503844769986616E-2</v>
      </c>
      <c r="P149" s="112">
        <f>H149/'CGE-Flood Weighted Av Calcs'!$D$8</f>
        <v>3.9521540316654974E-2</v>
      </c>
      <c r="R149" s="1">
        <f t="shared" si="15"/>
        <v>0.1752346181480178</v>
      </c>
      <c r="S149" s="1">
        <f t="shared" si="16"/>
        <v>0.20327215705170065</v>
      </c>
      <c r="T149" s="1">
        <f t="shared" si="17"/>
        <v>4.9065693081444994</v>
      </c>
    </row>
    <row r="150" spans="1:20">
      <c r="A150">
        <v>97</v>
      </c>
      <c r="B150">
        <v>9.1943946846710922E-2</v>
      </c>
      <c r="C150" s="1">
        <f t="shared" si="11"/>
        <v>94.708041314898907</v>
      </c>
      <c r="D150" s="1">
        <f t="shared" si="20"/>
        <v>304.29878726155903</v>
      </c>
      <c r="E150" s="1">
        <f t="shared" si="18"/>
        <v>364.81461564468663</v>
      </c>
      <c r="F150" s="1">
        <f t="shared" si="12"/>
        <v>20.118016901206786</v>
      </c>
      <c r="G150" s="1">
        <f t="shared" si="19"/>
        <v>14.596114958966851</v>
      </c>
      <c r="H150" s="1">
        <f t="shared" si="13"/>
        <v>5.6871377537807293</v>
      </c>
      <c r="I150" s="1">
        <f t="shared" si="14"/>
        <v>157.15822015037216</v>
      </c>
      <c r="K150" s="112">
        <f>C150/'CGE-Flood Weighted Av Calcs'!$D$3</f>
        <v>1.596409687260171E-2</v>
      </c>
      <c r="L150" s="112">
        <f>D150/'CGE-Flood Weighted Av Calcs'!$D$4</f>
        <v>1.563090909013733E-2</v>
      </c>
      <c r="M150" s="112">
        <f>E150/'CGE-Flood Weighted Av Calcs'!$D$5</f>
        <v>1.562809694445785E-2</v>
      </c>
      <c r="N150" s="112">
        <f>F150/'CGE-Flood Weighted Av Calcs'!$D$6</f>
        <v>5.5609162693314E-3</v>
      </c>
      <c r="O150" s="112">
        <f>G150/'CGE-Flood Weighted Av Calcs'!$D$7</f>
        <v>2.4094347808591841E-2</v>
      </c>
      <c r="P150" s="112">
        <f>H150/'CGE-Flood Weighted Av Calcs'!$D$8</f>
        <v>5.7469636453286004E-2</v>
      </c>
      <c r="R150" s="1">
        <f t="shared" si="15"/>
        <v>0.2553707021021927</v>
      </c>
      <c r="S150" s="1">
        <f t="shared" si="16"/>
        <v>0.29805605315328909</v>
      </c>
      <c r="T150" s="1">
        <f t="shared" si="17"/>
        <v>7.1342675525548183</v>
      </c>
    </row>
    <row r="151" spans="1:20">
      <c r="A151">
        <v>98</v>
      </c>
      <c r="B151">
        <v>0.85925155488771265</v>
      </c>
      <c r="C151" s="1">
        <f t="shared" si="11"/>
        <v>14.495525974953253</v>
      </c>
      <c r="D151" s="1">
        <f t="shared" si="20"/>
        <v>46.624050792469291</v>
      </c>
      <c r="E151" s="1">
        <f t="shared" si="18"/>
        <v>55.897774942178785</v>
      </c>
      <c r="F151" s="1">
        <f t="shared" si="12"/>
        <v>2.9911261269057015</v>
      </c>
      <c r="G151" s="1">
        <f t="shared" si="19"/>
        <v>2.2306345703480606</v>
      </c>
      <c r="H151" s="1">
        <f t="shared" si="13"/>
        <v>0.87259025588660943</v>
      </c>
      <c r="I151" s="1">
        <f t="shared" si="14"/>
        <v>22.519751217965947</v>
      </c>
      <c r="K151" s="112">
        <f>C151/'CGE-Flood Weighted Av Calcs'!$D$3</f>
        <v>2.4433826069113771E-3</v>
      </c>
      <c r="L151" s="112">
        <f>D151/'CGE-Flood Weighted Av Calcs'!$D$4</f>
        <v>2.3949365881784325E-3</v>
      </c>
      <c r="M151" s="112">
        <f>E151/'CGE-Flood Weighted Av Calcs'!$D$5</f>
        <v>2.3945746916748567E-3</v>
      </c>
      <c r="N151" s="112">
        <f>F151/'CGE-Flood Weighted Av Calcs'!$D$6</f>
        <v>8.2679132960338506E-4</v>
      </c>
      <c r="O151" s="112">
        <f>G151/'CGE-Flood Weighted Av Calcs'!$D$7</f>
        <v>3.6821911394180505E-3</v>
      </c>
      <c r="P151" s="112">
        <f>H151/'CGE-Flood Weighted Av Calcs'!$D$8</f>
        <v>8.817694761331556E-3</v>
      </c>
      <c r="R151" s="1">
        <f t="shared" si="15"/>
        <v>3.9096790308968704E-2</v>
      </c>
      <c r="S151" s="1">
        <f t="shared" si="16"/>
        <v>4.5352276758403698E-2</v>
      </c>
      <c r="T151" s="1">
        <f t="shared" si="17"/>
        <v>1.0947101286511245</v>
      </c>
    </row>
    <row r="152" spans="1:20">
      <c r="A152">
        <v>99</v>
      </c>
      <c r="B152">
        <v>0.26499916048567995</v>
      </c>
      <c r="C152" s="1">
        <f t="shared" si="11"/>
        <v>75.696919793980356</v>
      </c>
      <c r="D152" s="1">
        <f t="shared" si="20"/>
        <v>243.47492042760442</v>
      </c>
      <c r="E152" s="1">
        <f t="shared" si="18"/>
        <v>291.9031288530889</v>
      </c>
      <c r="F152" s="1">
        <f t="shared" si="12"/>
        <v>15.619925411005344</v>
      </c>
      <c r="G152" s="1">
        <f t="shared" si="19"/>
        <v>11.648571183486268</v>
      </c>
      <c r="H152" s="1">
        <f t="shared" si="13"/>
        <v>4.5567435584599778</v>
      </c>
      <c r="I152" s="1">
        <f t="shared" si="14"/>
        <v>117.60013432229121</v>
      </c>
      <c r="K152" s="112">
        <f>C152/'CGE-Flood Weighted Av Calcs'!$D$3</f>
        <v>1.2759560263005468E-2</v>
      </c>
      <c r="L152" s="112">
        <f>D152/'CGE-Flood Weighted Av Calcs'!$D$4</f>
        <v>1.2506570864711001E-2</v>
      </c>
      <c r="M152" s="112">
        <f>E152/'CGE-Flood Weighted Av Calcs'!$D$5</f>
        <v>1.2504681009134034E-2</v>
      </c>
      <c r="N152" s="112">
        <f>F152/'CGE-Flood Weighted Av Calcs'!$D$6</f>
        <v>4.3175775112601769E-3</v>
      </c>
      <c r="O152" s="112">
        <f>G152/'CGE-Flood Weighted Av Calcs'!$D$7</f>
        <v>1.9228728079839993E-2</v>
      </c>
      <c r="P152" s="112">
        <f>H152/'CGE-Flood Weighted Av Calcs'!$D$8</f>
        <v>4.6046782591376005E-2</v>
      </c>
      <c r="R152" s="1">
        <f t="shared" si="15"/>
        <v>0.2041668998650889</v>
      </c>
      <c r="S152" s="1">
        <f t="shared" si="16"/>
        <v>0.2368336038435031</v>
      </c>
      <c r="T152" s="1">
        <f t="shared" si="17"/>
        <v>5.716673196222489</v>
      </c>
    </row>
    <row r="153" spans="1:20">
      <c r="A153">
        <v>100</v>
      </c>
      <c r="B153">
        <v>0.15151644910142748</v>
      </c>
      <c r="C153" s="1">
        <f t="shared" si="11"/>
        <v>87.384378147542989</v>
      </c>
      <c r="D153" s="1">
        <f t="shared" si="20"/>
        <v>281.0669783393306</v>
      </c>
      <c r="E153" s="1">
        <f t="shared" si="18"/>
        <v>336.97240870001343</v>
      </c>
      <c r="F153" s="1">
        <f t="shared" si="12"/>
        <v>18.031611754699831</v>
      </c>
      <c r="G153" s="1">
        <f t="shared" si="19"/>
        <v>13.447088097464212</v>
      </c>
      <c r="H153" s="1">
        <f t="shared" si="13"/>
        <v>5.2602959713231616</v>
      </c>
      <c r="I153" s="1">
        <f t="shared" si="14"/>
        <v>135.7573681437716</v>
      </c>
      <c r="K153" s="112">
        <f>C153/'CGE-Flood Weighted Av Calcs'!$D$3</f>
        <v>1.4729611747128182E-2</v>
      </c>
      <c r="L153" s="112">
        <f>D153/'CGE-Flood Weighted Av Calcs'!$D$4</f>
        <v>1.4437561273898211E-2</v>
      </c>
      <c r="M153" s="112">
        <f>E153/'CGE-Flood Weighted Av Calcs'!$D$5</f>
        <v>1.4435379628266772E-2</v>
      </c>
      <c r="N153" s="112">
        <f>F153/'CGE-Flood Weighted Av Calcs'!$D$6</f>
        <v>4.9842031479237266E-3</v>
      </c>
      <c r="O153" s="112">
        <f>G153/'CGE-Flood Weighted Av Calcs'!$D$7</f>
        <v>2.2197606592159351E-2</v>
      </c>
      <c r="P153" s="112">
        <f>H153/'CGE-Flood Weighted Av Calcs'!$D$8</f>
        <v>5.3156316972919719E-2</v>
      </c>
      <c r="R153" s="1">
        <f t="shared" si="15"/>
        <v>0.23568987524960347</v>
      </c>
      <c r="S153" s="1">
        <f t="shared" si="16"/>
        <v>0.27340025528954004</v>
      </c>
      <c r="T153" s="1">
        <f t="shared" si="17"/>
        <v>6.599316506988897</v>
      </c>
    </row>
    <row r="154" spans="1:20">
      <c r="A154">
        <v>101</v>
      </c>
      <c r="B154">
        <v>0.39530161696627719</v>
      </c>
      <c r="C154" s="1">
        <f t="shared" si="11"/>
        <v>62.277214581550851</v>
      </c>
      <c r="D154" s="1">
        <f t="shared" si="20"/>
        <v>200.31118711255328</v>
      </c>
      <c r="E154" s="1">
        <f t="shared" si="18"/>
        <v>240.15394341125551</v>
      </c>
      <c r="F154" s="1">
        <f t="shared" si="12"/>
        <v>12.850792994173531</v>
      </c>
      <c r="G154" s="1">
        <f t="shared" si="19"/>
        <v>9.5834885902468816</v>
      </c>
      <c r="H154" s="1">
        <f t="shared" si="13"/>
        <v>3.7489147135135976</v>
      </c>
      <c r="I154" s="1">
        <f t="shared" si="14"/>
        <v>96.751741285395639</v>
      </c>
      <c r="K154" s="112">
        <f>C154/'CGE-Flood Weighted Av Calcs'!$D$3</f>
        <v>1.0497519246861249E-2</v>
      </c>
      <c r="L154" s="112">
        <f>D154/'CGE-Flood Weighted Av Calcs'!$D$4</f>
        <v>1.0289380328034396E-2</v>
      </c>
      <c r="M154" s="112">
        <f>E154/'CGE-Flood Weighted Av Calcs'!$D$5</f>
        <v>1.0287825509930631E-2</v>
      </c>
      <c r="N154" s="112">
        <f>F154/'CGE-Flood Weighted Av Calcs'!$D$6</f>
        <v>3.5521485137445571E-3</v>
      </c>
      <c r="O154" s="112">
        <f>G154/'CGE-Flood Weighted Av Calcs'!$D$7</f>
        <v>1.5819819723413859E-2</v>
      </c>
      <c r="P154" s="112">
        <f>H154/'CGE-Flood Weighted Av Calcs'!$D$8</f>
        <v>3.7883514521302744E-2</v>
      </c>
      <c r="R154" s="1">
        <f t="shared" si="15"/>
        <v>0.167971773064923</v>
      </c>
      <c r="S154" s="1">
        <f t="shared" si="16"/>
        <v>0.19484725675531067</v>
      </c>
      <c r="T154" s="1">
        <f t="shared" si="17"/>
        <v>4.7032096458178447</v>
      </c>
    </row>
    <row r="155" spans="1:20">
      <c r="A155">
        <v>102</v>
      </c>
      <c r="B155">
        <v>0.59741821136497053</v>
      </c>
      <c r="C155" s="1">
        <f t="shared" si="11"/>
        <v>41.461451098423211</v>
      </c>
      <c r="D155" s="1">
        <f t="shared" si="20"/>
        <v>133.35844489413915</v>
      </c>
      <c r="E155" s="1">
        <f t="shared" si="18"/>
        <v>159.88401292097907</v>
      </c>
      <c r="F155" s="1">
        <f t="shared" si="12"/>
        <v>8.555497044688428</v>
      </c>
      <c r="G155" s="1">
        <f t="shared" si="19"/>
        <v>6.3802683887941303</v>
      </c>
      <c r="H155" s="1">
        <f t="shared" si="13"/>
        <v>2.4958637779627</v>
      </c>
      <c r="I155" s="1">
        <f t="shared" si="14"/>
        <v>64.413086181604697</v>
      </c>
      <c r="K155" s="112">
        <f>C155/'CGE-Flood Weighted Av Calcs'!$D$3</f>
        <v>6.9887901029766246E-3</v>
      </c>
      <c r="L155" s="112">
        <f>D155/'CGE-Flood Weighted Av Calcs'!$D$4</f>
        <v>6.8502202959837659E-3</v>
      </c>
      <c r="M155" s="112">
        <f>E155/'CGE-Flood Weighted Av Calcs'!$D$5</f>
        <v>6.8491851659573293E-3</v>
      </c>
      <c r="N155" s="112">
        <f>F155/'CGE-Flood Weighted Av Calcs'!$D$6</f>
        <v>2.3648654309049071E-3</v>
      </c>
      <c r="O155" s="112">
        <f>G155/'CGE-Flood Weighted Av Calcs'!$D$7</f>
        <v>1.0532145444451264E-2</v>
      </c>
      <c r="P155" s="112">
        <f>H155/'CGE-Flood Weighted Av Calcs'!$D$8</f>
        <v>2.5221190371393205E-2</v>
      </c>
      <c r="R155" s="1">
        <f t="shared" si="15"/>
        <v>0.11182827462084149</v>
      </c>
      <c r="S155" s="1">
        <f t="shared" si="16"/>
        <v>0.12972079856017615</v>
      </c>
      <c r="T155" s="1">
        <f t="shared" si="17"/>
        <v>3.131191689383563</v>
      </c>
    </row>
    <row r="156" spans="1:20">
      <c r="A156">
        <v>103</v>
      </c>
      <c r="B156">
        <v>0.15345751513219674</v>
      </c>
      <c r="C156" s="1">
        <f t="shared" si="11"/>
        <v>87.184469913774095</v>
      </c>
      <c r="D156" s="1">
        <f t="shared" si="20"/>
        <v>280.42398465554299</v>
      </c>
      <c r="E156" s="1">
        <f t="shared" si="18"/>
        <v>336.20152080814876</v>
      </c>
      <c r="F156" s="1">
        <f t="shared" si="12"/>
        <v>17.990361044512227</v>
      </c>
      <c r="G156" s="1">
        <f t="shared" si="19"/>
        <v>13.416325349157416</v>
      </c>
      <c r="H156" s="1">
        <f t="shared" si="13"/>
        <v>5.2482620529155337</v>
      </c>
      <c r="I156" s="1">
        <f t="shared" si="14"/>
        <v>135.44679757884853</v>
      </c>
      <c r="K156" s="112">
        <f>C156/'CGE-Flood Weighted Av Calcs'!$D$3</f>
        <v>1.4695914984264022E-2</v>
      </c>
      <c r="L156" s="112">
        <f>D156/'CGE-Flood Weighted Av Calcs'!$D$4</f>
        <v>1.4404532631532385E-2</v>
      </c>
      <c r="M156" s="112">
        <f>E156/'CGE-Flood Weighted Av Calcs'!$D$5</f>
        <v>1.4402355976826492E-2</v>
      </c>
      <c r="N156" s="112">
        <f>F156/'CGE-Flood Weighted Av Calcs'!$D$6</f>
        <v>4.9728008438830159E-3</v>
      </c>
      <c r="O156" s="112">
        <f>G156/'CGE-Flood Weighted Av Calcs'!$D$7</f>
        <v>2.2146825383643536E-2</v>
      </c>
      <c r="P156" s="112">
        <f>H156/'CGE-Flood Weighted Av Calcs'!$D$8</f>
        <v>5.3034711879824316E-2</v>
      </c>
      <c r="R156" s="1">
        <f t="shared" si="15"/>
        <v>0.23515069024105645</v>
      </c>
      <c r="S156" s="1">
        <f t="shared" si="16"/>
        <v>0.27277480067962545</v>
      </c>
      <c r="T156" s="1">
        <f t="shared" si="17"/>
        <v>6.5842193267495812</v>
      </c>
    </row>
    <row r="157" spans="1:20">
      <c r="A157">
        <v>104</v>
      </c>
      <c r="B157">
        <v>0.99651893585407769</v>
      </c>
      <c r="C157" s="1">
        <f t="shared" si="11"/>
        <v>0.35851092853950206</v>
      </c>
      <c r="D157" s="1">
        <f t="shared" si="20"/>
        <v>1.153130405254899</v>
      </c>
      <c r="E157" s="1">
        <f t="shared" si="18"/>
        <v>1.3824930004222438</v>
      </c>
      <c r="F157" s="1">
        <f t="shared" si="12"/>
        <v>7.3978095516409326E-2</v>
      </c>
      <c r="G157" s="1">
        <f t="shared" si="19"/>
        <v>5.5169220656743789E-2</v>
      </c>
      <c r="H157" s="1">
        <f t="shared" si="13"/>
        <v>2.1581358511099324E-2</v>
      </c>
      <c r="I157" s="1">
        <f t="shared" si="14"/>
        <v>0.55697026334755151</v>
      </c>
      <c r="K157" s="112">
        <f>C157/'CGE-Flood Weighted Av Calcs'!$D$3</f>
        <v>6.0431016349090557E-5</v>
      </c>
      <c r="L157" s="112">
        <f>D157/'CGE-Flood Weighted Av Calcs'!$D$4</f>
        <v>5.923282407997132E-5</v>
      </c>
      <c r="M157" s="112">
        <f>E157/'CGE-Flood Weighted Av Calcs'!$D$5</f>
        <v>5.9223873466397151E-5</v>
      </c>
      <c r="N157" s="112">
        <f>F157/'CGE-Flood Weighted Av Calcs'!$D$6</f>
        <v>2.0448635516688314E-5</v>
      </c>
      <c r="O157" s="112">
        <f>G157/'CGE-Flood Weighted Av Calcs'!$D$7</f>
        <v>9.1069876783611147E-5</v>
      </c>
      <c r="P157" s="112">
        <f>H157/'CGE-Flood Weighted Av Calcs'!$D$8</f>
        <v>2.1808383786314865E-4</v>
      </c>
      <c r="R157" s="1">
        <f t="shared" si="15"/>
        <v>9.6696226275616581E-4</v>
      </c>
      <c r="S157" s="1">
        <f t="shared" si="16"/>
        <v>1.1216762247971968E-3</v>
      </c>
      <c r="T157" s="1">
        <f t="shared" si="17"/>
        <v>2.7074943357174419E-2</v>
      </c>
    </row>
    <row r="158" spans="1:20">
      <c r="A158">
        <v>105</v>
      </c>
      <c r="B158">
        <v>0.6915162259774329</v>
      </c>
      <c r="C158" s="1">
        <f t="shared" si="11"/>
        <v>31.770401126835282</v>
      </c>
      <c r="D158" s="1">
        <f t="shared" si="20"/>
        <v>102.18772319087711</v>
      </c>
      <c r="E158" s="1">
        <f t="shared" si="18"/>
        <v>122.51330066112419</v>
      </c>
      <c r="F158" s="1">
        <f t="shared" si="12"/>
        <v>6.5557660368414403</v>
      </c>
      <c r="G158" s="1">
        <f t="shared" si="19"/>
        <v>4.8889674779512351</v>
      </c>
      <c r="H158" s="1">
        <f t="shared" si="13"/>
        <v>1.9124895844957321</v>
      </c>
      <c r="I158" s="1">
        <f t="shared" si="14"/>
        <v>49.357403843610712</v>
      </c>
      <c r="K158" s="112">
        <f>C158/'CGE-Flood Weighted Av Calcs'!$D$3</f>
        <v>5.3552555224307598E-3</v>
      </c>
      <c r="L158" s="112">
        <f>D158/'CGE-Flood Weighted Av Calcs'!$D$4</f>
        <v>5.2490745221136078E-3</v>
      </c>
      <c r="M158" s="112">
        <f>E158/'CGE-Flood Weighted Av Calcs'!$D$5</f>
        <v>5.2482813396444216E-3</v>
      </c>
      <c r="N158" s="112">
        <f>F158/'CGE-Flood Weighted Av Calcs'!$D$6</f>
        <v>1.8121103183890341E-3</v>
      </c>
      <c r="O158" s="112">
        <f>G158/'CGE-Flood Weighted Av Calcs'!$D$7</f>
        <v>8.0703997721177888E-3</v>
      </c>
      <c r="P158" s="112">
        <f>H158/'CGE-Flood Weighted Av Calcs'!$D$8</f>
        <v>1.9326080341310364E-2</v>
      </c>
      <c r="R158" s="1">
        <f t="shared" si="15"/>
        <v>8.5689937228490859E-2</v>
      </c>
      <c r="S158" s="1">
        <f t="shared" si="16"/>
        <v>9.9400327185049403E-2</v>
      </c>
      <c r="T158" s="1">
        <f t="shared" si="17"/>
        <v>2.3993182423977446</v>
      </c>
    </row>
    <row r="159" spans="1:20">
      <c r="A159">
        <v>106</v>
      </c>
      <c r="B159">
        <v>0.87654161860190094</v>
      </c>
      <c r="C159" s="1">
        <f t="shared" si="11"/>
        <v>12.714841524210911</v>
      </c>
      <c r="D159" s="1">
        <f t="shared" si="20"/>
        <v>40.896578576543732</v>
      </c>
      <c r="E159" s="1">
        <f t="shared" si="18"/>
        <v>49.031083878838217</v>
      </c>
      <c r="F159" s="1">
        <f t="shared" si="12"/>
        <v>2.6236850424225722</v>
      </c>
      <c r="G159" s="1">
        <f t="shared" si="19"/>
        <v>1.9566151038195319</v>
      </c>
      <c r="H159" s="1">
        <f t="shared" si="13"/>
        <v>0.76539801579739919</v>
      </c>
      <c r="I159" s="1">
        <f t="shared" si="14"/>
        <v>19.753341023695825</v>
      </c>
      <c r="K159" s="112">
        <f>C159/'CGE-Flood Weighted Av Calcs'!$D$3</f>
        <v>2.1432283784370695E-3</v>
      </c>
      <c r="L159" s="112">
        <f>D159/'CGE-Flood Weighted Av Calcs'!$D$4</f>
        <v>2.100733649254235E-3</v>
      </c>
      <c r="M159" s="112">
        <f>E159/'CGE-Flood Weighted Av Calcs'!$D$5</f>
        <v>2.1004162094663279E-3</v>
      </c>
      <c r="N159" s="112">
        <f>F159/'CGE-Flood Weighted Av Calcs'!$D$6</f>
        <v>7.2522520035928257E-4</v>
      </c>
      <c r="O159" s="112">
        <f>G159/'CGE-Flood Weighted Av Calcs'!$D$7</f>
        <v>3.2298570524761584E-3</v>
      </c>
      <c r="P159" s="112">
        <f>H159/'CGE-Flood Weighted Av Calcs'!$D$8</f>
        <v>7.7344962640830978E-3</v>
      </c>
      <c r="R159" s="1">
        <f t="shared" si="15"/>
        <v>3.4293994832805291E-2</v>
      </c>
      <c r="S159" s="1">
        <f t="shared" si="16"/>
        <v>3.978103400605415E-2</v>
      </c>
      <c r="T159" s="1">
        <f t="shared" si="17"/>
        <v>0.96023185531854871</v>
      </c>
    </row>
    <row r="160" spans="1:20">
      <c r="A160">
        <v>107</v>
      </c>
      <c r="B160">
        <v>0.20069705948231942</v>
      </c>
      <c r="C160" s="1">
        <f t="shared" si="11"/>
        <v>82.319321729537563</v>
      </c>
      <c r="D160" s="1">
        <f t="shared" si="20"/>
        <v>264.77550688062979</v>
      </c>
      <c r="E160" s="1">
        <f t="shared" si="18"/>
        <v>317.44049352754462</v>
      </c>
      <c r="F160" s="1">
        <f t="shared" si="12"/>
        <v>16.986446328324451</v>
      </c>
      <c r="G160" s="1">
        <f t="shared" si="19"/>
        <v>12.667655190628789</v>
      </c>
      <c r="H160" s="1">
        <f t="shared" si="13"/>
        <v>4.9553936943375403</v>
      </c>
      <c r="I160" s="1">
        <f t="shared" si="14"/>
        <v>127.88847048282889</v>
      </c>
      <c r="K160" s="112">
        <f>C160/'CGE-Flood Weighted Av Calcs'!$D$3</f>
        <v>1.3875839984988368E-2</v>
      </c>
      <c r="L160" s="112">
        <f>D160/'CGE-Flood Weighted Av Calcs'!$D$4</f>
        <v>1.3600717618991906E-2</v>
      </c>
      <c r="M160" s="112">
        <f>E160/'CGE-Flood Weighted Av Calcs'!$D$5</f>
        <v>1.3598662427979032E-2</v>
      </c>
      <c r="N160" s="112">
        <f>F160/'CGE-Flood Weighted Av Calcs'!$D$6</f>
        <v>4.6953040256983696E-3</v>
      </c>
      <c r="O160" s="112">
        <f>G160/'CGE-Flood Weighted Av Calcs'!$D$7</f>
        <v>2.0910967811665411E-2</v>
      </c>
      <c r="P160" s="112">
        <f>H160/'CGE-Flood Weighted Av Calcs'!$D$8</f>
        <v>5.0075219983402627E-2</v>
      </c>
      <c r="R160" s="1">
        <f t="shared" si="15"/>
        <v>0.22202859458824462</v>
      </c>
      <c r="S160" s="1">
        <f t="shared" si="16"/>
        <v>0.25755316972236375</v>
      </c>
      <c r="T160" s="1">
        <f t="shared" si="17"/>
        <v>6.2168006484708496</v>
      </c>
    </row>
    <row r="161" spans="1:20">
      <c r="A161">
        <v>108</v>
      </c>
      <c r="B161">
        <v>0.28583225369603815</v>
      </c>
      <c r="C161" s="1">
        <f t="shared" si="11"/>
        <v>73.551342672126921</v>
      </c>
      <c r="D161" s="1">
        <f t="shared" si="20"/>
        <v>236.57379128739205</v>
      </c>
      <c r="E161" s="1">
        <f t="shared" si="18"/>
        <v>283.6293354574106</v>
      </c>
      <c r="F161" s="1">
        <f t="shared" si="12"/>
        <v>15.177189369722253</v>
      </c>
      <c r="G161" s="1">
        <f t="shared" si="19"/>
        <v>11.318400446003276</v>
      </c>
      <c r="H161" s="1">
        <f t="shared" si="13"/>
        <v>4.4275857967466372</v>
      </c>
      <c r="I161" s="1">
        <f t="shared" si="14"/>
        <v>114.2668394086339</v>
      </c>
      <c r="K161" s="112">
        <f>C161/'CGE-Flood Weighted Av Calcs'!$D$3</f>
        <v>1.2397899304280542E-2</v>
      </c>
      <c r="L161" s="112">
        <f>D161/'CGE-Flood Weighted Av Calcs'!$D$4</f>
        <v>1.215208071645669E-2</v>
      </c>
      <c r="M161" s="112">
        <f>E161/'CGE-Flood Weighted Av Calcs'!$D$5</f>
        <v>1.2150244427536075E-2</v>
      </c>
      <c r="N161" s="112">
        <f>F161/'CGE-Flood Weighted Av Calcs'!$D$6</f>
        <v>4.1951987466393543E-3</v>
      </c>
      <c r="O161" s="112">
        <f>G161/'CGE-Flood Weighted Av Calcs'!$D$7</f>
        <v>1.8683703009299057E-2</v>
      </c>
      <c r="P161" s="112">
        <f>H161/'CGE-Flood Weighted Av Calcs'!$D$8</f>
        <v>4.4741618213064376E-2</v>
      </c>
      <c r="R161" s="1">
        <f t="shared" si="15"/>
        <v>0.19837992952887828</v>
      </c>
      <c r="S161" s="1">
        <f t="shared" si="16"/>
        <v>0.23012071825349881</v>
      </c>
      <c r="T161" s="1">
        <f t="shared" si="17"/>
        <v>5.5546380268085924</v>
      </c>
    </row>
    <row r="162" spans="1:20">
      <c r="A162">
        <v>109</v>
      </c>
      <c r="B162">
        <v>0.24252797750231203</v>
      </c>
      <c r="C162" s="1">
        <f t="shared" si="11"/>
        <v>78.011201961456337</v>
      </c>
      <c r="D162" s="1">
        <f t="shared" si="20"/>
        <v>250.91867993732814</v>
      </c>
      <c r="E162" s="1">
        <f t="shared" si="18"/>
        <v>300.82748413166217</v>
      </c>
      <c r="F162" s="1">
        <f t="shared" si="12"/>
        <v>16.09747343983371</v>
      </c>
      <c r="G162" s="1">
        <f t="shared" si="19"/>
        <v>12.004702986998048</v>
      </c>
      <c r="H162" s="1">
        <f t="shared" si="13"/>
        <v>4.6960568936367091</v>
      </c>
      <c r="I162" s="1">
        <f t="shared" si="14"/>
        <v>121.19552359963006</v>
      </c>
      <c r="K162" s="112">
        <f>C162/'CGE-Flood Weighted Av Calcs'!$D$3</f>
        <v>1.3149658339147491E-2</v>
      </c>
      <c r="L162" s="112">
        <f>D162/'CGE-Flood Weighted Av Calcs'!$D$4</f>
        <v>1.2888934295181481E-2</v>
      </c>
      <c r="M162" s="112">
        <f>E162/'CGE-Flood Weighted Av Calcs'!$D$5</f>
        <v>1.2886986661044004E-2</v>
      </c>
      <c r="N162" s="112">
        <f>F162/'CGE-Flood Weighted Av Calcs'!$D$6</f>
        <v>4.44957882212196E-3</v>
      </c>
      <c r="O162" s="112">
        <f>G162/'CGE-Flood Weighted Av Calcs'!$D$7</f>
        <v>1.9816608044038442E-2</v>
      </c>
      <c r="P162" s="112">
        <f>H162/'CGE-Flood Weighted Av Calcs'!$D$8</f>
        <v>4.7454571020692504E-2</v>
      </c>
      <c r="R162" s="1">
        <f t="shared" si="15"/>
        <v>0.21040889513824665</v>
      </c>
      <c r="S162" s="1">
        <f t="shared" si="16"/>
        <v>0.24407431836036611</v>
      </c>
      <c r="T162" s="1">
        <f t="shared" si="17"/>
        <v>5.8914490638709065</v>
      </c>
    </row>
    <row r="163" spans="1:20">
      <c r="A163">
        <v>110</v>
      </c>
      <c r="B163">
        <v>0.11575772868843526</v>
      </c>
      <c r="C163" s="1">
        <f t="shared" si="11"/>
        <v>91.067129030965489</v>
      </c>
      <c r="D163" s="1">
        <f t="shared" si="20"/>
        <v>292.91234114585376</v>
      </c>
      <c r="E163" s="1">
        <f t="shared" si="18"/>
        <v>351.17386509458385</v>
      </c>
      <c r="F163" s="1">
        <f t="shared" si="12"/>
        <v>18.791540880784932</v>
      </c>
      <c r="G163" s="1">
        <f t="shared" si="19"/>
        <v>14.013805817727453</v>
      </c>
      <c r="H163" s="1">
        <f t="shared" si="13"/>
        <v>5.4819873084491775</v>
      </c>
      <c r="I163" s="1">
        <f t="shared" si="14"/>
        <v>141.47876340985036</v>
      </c>
      <c r="K163" s="112">
        <f>C163/'CGE-Flood Weighted Av Calcs'!$D$3</f>
        <v>1.5350380491200685E-2</v>
      </c>
      <c r="L163" s="112">
        <f>D163/'CGE-Flood Weighted Av Calcs'!$D$4</f>
        <v>1.5046021763782809E-2</v>
      </c>
      <c r="M163" s="112">
        <f>E163/'CGE-Flood Weighted Av Calcs'!$D$5</f>
        <v>1.5043748174287414E-2</v>
      </c>
      <c r="N163" s="112">
        <f>F163/'CGE-Flood Weighted Av Calcs'!$D$6</f>
        <v>5.1942587543752717E-3</v>
      </c>
      <c r="O163" s="112">
        <f>G163/'CGE-Flood Weighted Av Calcs'!$D$7</f>
        <v>2.3133108532209932E-2</v>
      </c>
      <c r="P163" s="112">
        <f>H163/'CGE-Flood Weighted Av Calcs'!$D$8</f>
        <v>5.5396551182299518E-2</v>
      </c>
      <c r="R163" s="1">
        <f t="shared" si="15"/>
        <v>0.24562285314210131</v>
      </c>
      <c r="S163" s="1">
        <f t="shared" si="16"/>
        <v>0.28492250964483751</v>
      </c>
      <c r="T163" s="1">
        <f t="shared" si="17"/>
        <v>6.877439887978837</v>
      </c>
    </row>
    <row r="164" spans="1:20">
      <c r="A164">
        <v>111</v>
      </c>
      <c r="B164">
        <v>0.33903315358359065</v>
      </c>
      <c r="C164" s="1">
        <f t="shared" si="11"/>
        <v>68.072241104818872</v>
      </c>
      <c r="D164" s="1">
        <f t="shared" si="20"/>
        <v>218.95056669984189</v>
      </c>
      <c r="E164" s="1">
        <f t="shared" si="18"/>
        <v>262.50077573326359</v>
      </c>
      <c r="F164" s="1">
        <f t="shared" si="12"/>
        <v>14.046586459675179</v>
      </c>
      <c r="G164" s="1">
        <f t="shared" si="19"/>
        <v>10.475252471131327</v>
      </c>
      <c r="H164" s="1">
        <f t="shared" si="13"/>
        <v>4.0977591559674664</v>
      </c>
      <c r="I164" s="1">
        <f t="shared" si="14"/>
        <v>105.75469542662549</v>
      </c>
      <c r="K164" s="112">
        <f>C164/'CGE-Flood Weighted Av Calcs'!$D$3</f>
        <v>1.1474335613373871E-2</v>
      </c>
      <c r="L164" s="112">
        <f>D164/'CGE-Flood Weighted Av Calcs'!$D$4</f>
        <v>1.1246828927969301E-2</v>
      </c>
      <c r="M164" s="112">
        <f>E164/'CGE-Flood Weighted Av Calcs'!$D$5</f>
        <v>1.1245129430752787E-2</v>
      </c>
      <c r="N164" s="112">
        <f>F164/'CGE-Flood Weighted Av Calcs'!$D$6</f>
        <v>3.8826834451805379E-3</v>
      </c>
      <c r="O164" s="112">
        <f>G164/'CGE-Flood Weighted Av Calcs'!$D$7</f>
        <v>1.7291887405093066E-2</v>
      </c>
      <c r="P164" s="112">
        <f>H164/'CGE-Flood Weighted Av Calcs'!$D$8</f>
        <v>4.1408655665148869E-2</v>
      </c>
      <c r="R164" s="1">
        <f t="shared" si="15"/>
        <v>0.18360190178233593</v>
      </c>
      <c r="S164" s="1">
        <f t="shared" si="16"/>
        <v>0.21297820606750967</v>
      </c>
      <c r="T164" s="1">
        <f t="shared" si="17"/>
        <v>5.1408532499054065</v>
      </c>
    </row>
    <row r="165" spans="1:20">
      <c r="A165">
        <v>112</v>
      </c>
      <c r="B165">
        <v>0.14913889427212501</v>
      </c>
      <c r="C165" s="1">
        <f t="shared" si="11"/>
        <v>87.629239877685251</v>
      </c>
      <c r="D165" s="1">
        <f t="shared" si="20"/>
        <v>281.85456243686605</v>
      </c>
      <c r="E165" s="1">
        <f t="shared" si="18"/>
        <v>337.91664666054663</v>
      </c>
      <c r="F165" s="1">
        <f t="shared" si="12"/>
        <v>18.082138539293467</v>
      </c>
      <c r="G165" s="1">
        <f t="shared" si="19"/>
        <v>13.484768485271758</v>
      </c>
      <c r="H165" s="1">
        <f t="shared" si="13"/>
        <v>5.2750359648998604</v>
      </c>
      <c r="I165" s="1">
        <f t="shared" si="14"/>
        <v>136.13777691645998</v>
      </c>
      <c r="K165" s="112">
        <f>C165/'CGE-Flood Weighted Av Calcs'!$D$3</f>
        <v>1.4770885923281681E-2</v>
      </c>
      <c r="L165" s="112">
        <f>D165/'CGE-Flood Weighted Av Calcs'!$D$4</f>
        <v>1.4478017088856267E-2</v>
      </c>
      <c r="M165" s="112">
        <f>E165/'CGE-Flood Weighted Av Calcs'!$D$5</f>
        <v>1.4475829329986568E-2</v>
      </c>
      <c r="N165" s="112">
        <f>F165/'CGE-Flood Weighted Av Calcs'!$D$6</f>
        <v>4.9981694955942516E-3</v>
      </c>
      <c r="O165" s="112">
        <f>G165/'CGE-Flood Weighted Av Calcs'!$D$7</f>
        <v>2.2259807004525921E-2</v>
      </c>
      <c r="P165" s="112">
        <f>H165/'CGE-Flood Weighted Av Calcs'!$D$8</f>
        <v>5.3305267483501867E-2</v>
      </c>
      <c r="R165" s="1">
        <f t="shared" si="15"/>
        <v>0.23635030714663194</v>
      </c>
      <c r="S165" s="1">
        <f t="shared" si="16"/>
        <v>0.27416635629009306</v>
      </c>
      <c r="T165" s="1">
        <f t="shared" si="17"/>
        <v>6.6178086001056942</v>
      </c>
    </row>
    <row r="166" spans="1:20">
      <c r="A166">
        <v>113</v>
      </c>
      <c r="B166">
        <v>0.22086697914170805</v>
      </c>
      <c r="C166" s="1">
        <f t="shared" si="11"/>
        <v>80.242044114838976</v>
      </c>
      <c r="D166" s="1">
        <f t="shared" si="20"/>
        <v>258.09405929569112</v>
      </c>
      <c r="E166" s="1">
        <f t="shared" si="18"/>
        <v>309.43007729294351</v>
      </c>
      <c r="F166" s="1">
        <f t="shared" si="12"/>
        <v>16.557803769448185</v>
      </c>
      <c r="G166" s="1">
        <f t="shared" si="19"/>
        <v>12.347994678304966</v>
      </c>
      <c r="H166" s="1">
        <f t="shared" si="13"/>
        <v>4.8303473725628514</v>
      </c>
      <c r="I166" s="1">
        <f t="shared" si="14"/>
        <v>124.66128333732671</v>
      </c>
      <c r="K166" s="112">
        <f>C166/'CGE-Flood Weighted Av Calcs'!$D$3</f>
        <v>1.3525691670104799E-2</v>
      </c>
      <c r="L166" s="112">
        <f>D166/'CGE-Flood Weighted Av Calcs'!$D$4</f>
        <v>1.3257511848339506E-2</v>
      </c>
      <c r="M166" s="112">
        <f>E166/'CGE-Flood Weighted Av Calcs'!$D$5</f>
        <v>1.3255508518811828E-2</v>
      </c>
      <c r="N166" s="112">
        <f>F166/'CGE-Flood Weighted Av Calcs'!$D$6</f>
        <v>4.5768209072534352E-3</v>
      </c>
      <c r="O166" s="112">
        <f>G166/'CGE-Flood Weighted Av Calcs'!$D$7</f>
        <v>2.0383292359241596E-2</v>
      </c>
      <c r="P166" s="112">
        <f>H166/'CGE-Flood Weighted Av Calcs'!$D$8</f>
        <v>4.8811602507734031E-2</v>
      </c>
      <c r="R166" s="1">
        <f t="shared" si="15"/>
        <v>0.21642583912730332</v>
      </c>
      <c r="S166" s="1">
        <f t="shared" si="16"/>
        <v>0.25105397338767182</v>
      </c>
      <c r="T166" s="1">
        <f t="shared" si="17"/>
        <v>6.0599234955644929</v>
      </c>
    </row>
    <row r="167" spans="1:20">
      <c r="A167">
        <v>114</v>
      </c>
      <c r="B167">
        <v>0.65245930777335714</v>
      </c>
      <c r="C167" s="1">
        <f t="shared" si="11"/>
        <v>35.792829736097261</v>
      </c>
      <c r="D167" s="1">
        <f t="shared" si="20"/>
        <v>115.12564045661586</v>
      </c>
      <c r="E167" s="1">
        <f t="shared" si="18"/>
        <v>138.02462529398096</v>
      </c>
      <c r="F167" s="1">
        <f t="shared" si="12"/>
        <v>7.3857870604017997</v>
      </c>
      <c r="G167" s="1">
        <f t="shared" si="19"/>
        <v>5.5079562837441749</v>
      </c>
      <c r="H167" s="1">
        <f t="shared" si="13"/>
        <v>2.154628573829843</v>
      </c>
      <c r="I167" s="1">
        <f t="shared" si="14"/>
        <v>55.606510756262836</v>
      </c>
      <c r="K167" s="112">
        <f>C167/'CGE-Flood Weighted Av Calcs'!$D$3</f>
        <v>6.0332807364447787E-3</v>
      </c>
      <c r="L167" s="112">
        <f>D167/'CGE-Flood Weighted Av Calcs'!$D$4</f>
        <v>5.913656232794739E-3</v>
      </c>
      <c r="M167" s="112">
        <f>E167/'CGE-Flood Weighted Av Calcs'!$D$5</f>
        <v>5.9127626260393222E-3</v>
      </c>
      <c r="N167" s="112">
        <f>F167/'CGE-Flood Weighted Av Calcs'!$D$6</f>
        <v>2.0415403579635127E-3</v>
      </c>
      <c r="O167" s="112">
        <f>G167/'CGE-Flood Weighted Av Calcs'!$D$7</f>
        <v>9.0921875299099942E-3</v>
      </c>
      <c r="P167" s="112">
        <f>H167/'CGE-Flood Weighted Av Calcs'!$D$8</f>
        <v>2.1772942065197136E-2</v>
      </c>
      <c r="R167" s="1">
        <f t="shared" si="15"/>
        <v>9.6539081174067454E-2</v>
      </c>
      <c r="S167" s="1">
        <f t="shared" si="16"/>
        <v>0.11198533416191825</v>
      </c>
      <c r="T167" s="1">
        <f t="shared" si="17"/>
        <v>2.7030942728738889</v>
      </c>
    </row>
    <row r="168" spans="1:20">
      <c r="A168">
        <v>115</v>
      </c>
      <c r="B168">
        <v>0.12355284910340836</v>
      </c>
      <c r="C168" s="1">
        <f t="shared" si="11"/>
        <v>90.26431824067231</v>
      </c>
      <c r="D168" s="1">
        <f t="shared" si="20"/>
        <v>290.33014501664485</v>
      </c>
      <c r="E168" s="1">
        <f t="shared" si="18"/>
        <v>348.07805905384407</v>
      </c>
      <c r="F168" s="1">
        <f t="shared" si="12"/>
        <v>18.625882295235368</v>
      </c>
      <c r="G168" s="1">
        <f t="shared" si="19"/>
        <v>13.890265802320583</v>
      </c>
      <c r="H168" s="1">
        <f t="shared" si="13"/>
        <v>5.4336603367931717</v>
      </c>
      <c r="I168" s="1">
        <f t="shared" si="14"/>
        <v>140.23154414345467</v>
      </c>
      <c r="K168" s="112">
        <f>C168/'CGE-Flood Weighted Av Calcs'!$D$3</f>
        <v>1.5215057776796768E-2</v>
      </c>
      <c r="L168" s="112">
        <f>D168/'CGE-Flood Weighted Av Calcs'!$D$4</f>
        <v>1.4913382152196465E-2</v>
      </c>
      <c r="M168" s="112">
        <f>E168/'CGE-Flood Weighted Av Calcs'!$D$5</f>
        <v>1.4911128605741834E-2</v>
      </c>
      <c r="N168" s="112">
        <f>F168/'CGE-Flood Weighted Av Calcs'!$D$6</f>
        <v>5.1484682806888851E-3</v>
      </c>
      <c r="O168" s="112">
        <f>G168/'CGE-Flood Weighted Av Calcs'!$D$7</f>
        <v>2.2929176451114384E-2</v>
      </c>
      <c r="P168" s="112">
        <f>H168/'CGE-Flood Weighted Av Calcs'!$D$8</f>
        <v>5.4908197706051723E-2</v>
      </c>
      <c r="R168" s="1">
        <f t="shared" si="15"/>
        <v>0.24345754191571989</v>
      </c>
      <c r="S168" s="1">
        <f t="shared" si="16"/>
        <v>0.28241074862223509</v>
      </c>
      <c r="T168" s="1">
        <f t="shared" si="17"/>
        <v>6.8168111736401569</v>
      </c>
    </row>
    <row r="169" spans="1:20">
      <c r="A169">
        <v>116</v>
      </c>
      <c r="B169">
        <v>0.4419073916717281</v>
      </c>
      <c r="C169" s="1">
        <f t="shared" si="11"/>
        <v>57.477337628830583</v>
      </c>
      <c r="D169" s="1">
        <f t="shared" si="20"/>
        <v>184.87265061322807</v>
      </c>
      <c r="E169" s="1">
        <f t="shared" si="18"/>
        <v>221.64461562853776</v>
      </c>
      <c r="F169" s="1">
        <f t="shared" si="12"/>
        <v>11.860346881074801</v>
      </c>
      <c r="G169" s="1">
        <f t="shared" si="19"/>
        <v>8.8448626526537986</v>
      </c>
      <c r="H169" s="1">
        <f t="shared" si="13"/>
        <v>3.4599755011224493</v>
      </c>
      <c r="I169" s="1">
        <f t="shared" si="14"/>
        <v>89.294817332523493</v>
      </c>
      <c r="K169" s="112">
        <f>C169/'CGE-Flood Weighted Av Calcs'!$D$3</f>
        <v>9.6884464417863487E-3</v>
      </c>
      <c r="L169" s="112">
        <f>D169/'CGE-Flood Weighted Av Calcs'!$D$4</f>
        <v>9.4963493643641563E-3</v>
      </c>
      <c r="M169" s="112">
        <f>E169/'CGE-Flood Weighted Av Calcs'!$D$5</f>
        <v>9.494914380386436E-3</v>
      </c>
      <c r="N169" s="112">
        <f>F169/'CGE-Flood Weighted Av Calcs'!$D$6</f>
        <v>3.2783746158860463E-3</v>
      </c>
      <c r="O169" s="112">
        <f>G169/'CGE-Flood Weighted Av Calcs'!$D$7</f>
        <v>1.4600542519113554E-2</v>
      </c>
      <c r="P169" s="112">
        <f>H169/'CGE-Flood Weighted Av Calcs'!$D$8</f>
        <v>3.4963727413600071E-2</v>
      </c>
      <c r="R169" s="1">
        <f t="shared" si="15"/>
        <v>0.15502572453563107</v>
      </c>
      <c r="S169" s="1">
        <f t="shared" si="16"/>
        <v>0.17982984046133205</v>
      </c>
      <c r="T169" s="1">
        <f t="shared" si="17"/>
        <v>4.3407202869976711</v>
      </c>
    </row>
    <row r="170" spans="1:20">
      <c r="A170">
        <v>117</v>
      </c>
      <c r="B170">
        <v>0.31497838253856181</v>
      </c>
      <c r="C170" s="1">
        <f t="shared" si="11"/>
        <v>70.549615247223016</v>
      </c>
      <c r="D170" s="1">
        <f t="shared" si="20"/>
        <v>226.91890245026457</v>
      </c>
      <c r="E170" s="1">
        <f t="shared" si="18"/>
        <v>272.05404772207987</v>
      </c>
      <c r="F170" s="1">
        <f t="shared" si="12"/>
        <v>14.557788228846547</v>
      </c>
      <c r="G170" s="1">
        <f t="shared" si="19"/>
        <v>10.856481576945189</v>
      </c>
      <c r="H170" s="1">
        <f t="shared" si="13"/>
        <v>4.2468901733988131</v>
      </c>
      <c r="I170" s="1">
        <f t="shared" si="14"/>
        <v>109.6034587938301</v>
      </c>
      <c r="K170" s="112">
        <f>C170/'CGE-Flood Weighted Av Calcs'!$D$3</f>
        <v>1.1891924661251232E-2</v>
      </c>
      <c r="L170" s="112">
        <f>D170/'CGE-Flood Weighted Av Calcs'!$D$4</f>
        <v>1.1656138254619655E-2</v>
      </c>
      <c r="M170" s="112">
        <f>E170/'CGE-Flood Weighted Av Calcs'!$D$5</f>
        <v>1.1654376907074859E-2</v>
      </c>
      <c r="N170" s="112">
        <f>F170/'CGE-Flood Weighted Av Calcs'!$D$6</f>
        <v>4.023987145692169E-3</v>
      </c>
      <c r="O170" s="112">
        <f>G170/'CGE-Flood Weighted Av Calcs'!$D$7</f>
        <v>1.7921196416159378E-2</v>
      </c>
      <c r="P170" s="112">
        <f>H170/'CGE-Flood Weighted Av Calcs'!$D$8</f>
        <v>4.2915653688889478E-2</v>
      </c>
      <c r="R170" s="1">
        <f t="shared" si="15"/>
        <v>0.19028378262817727</v>
      </c>
      <c r="S170" s="1">
        <f t="shared" si="16"/>
        <v>0.22072918784868562</v>
      </c>
      <c r="T170" s="1">
        <f t="shared" si="17"/>
        <v>5.3279459135889642</v>
      </c>
    </row>
    <row r="171" spans="1:20">
      <c r="A171">
        <v>118</v>
      </c>
      <c r="B171">
        <v>0.28141905241590615</v>
      </c>
      <c r="C171" s="1">
        <f t="shared" si="11"/>
        <v>74.00585336841074</v>
      </c>
      <c r="D171" s="1">
        <f t="shared" si="20"/>
        <v>238.03569959109026</v>
      </c>
      <c r="E171" s="1">
        <f t="shared" si="18"/>
        <v>285.38202360778092</v>
      </c>
      <c r="F171" s="1">
        <f t="shared" si="12"/>
        <v>15.270976847386859</v>
      </c>
      <c r="G171" s="1">
        <f t="shared" si="19"/>
        <v>11.38834252837238</v>
      </c>
      <c r="H171" s="1">
        <f t="shared" si="13"/>
        <v>4.4549460736664805</v>
      </c>
      <c r="I171" s="1">
        <f t="shared" si="14"/>
        <v>114.97295161345501</v>
      </c>
      <c r="K171" s="112">
        <f>C171/'CGE-Flood Weighted Av Calcs'!$D$3</f>
        <v>1.2474512152401678E-2</v>
      </c>
      <c r="L171" s="112">
        <f>D171/'CGE-Flood Weighted Av Calcs'!$D$4</f>
        <v>1.2227174528032028E-2</v>
      </c>
      <c r="M171" s="112">
        <f>E171/'CGE-Flood Weighted Av Calcs'!$D$5</f>
        <v>1.222532689175968E-2</v>
      </c>
      <c r="N171" s="112">
        <f>F171/'CGE-Flood Weighted Av Calcs'!$D$6</f>
        <v>4.2211229872325395E-3</v>
      </c>
      <c r="O171" s="112">
        <f>G171/'CGE-Flood Weighted Av Calcs'!$D$7</f>
        <v>1.879915899630628E-2</v>
      </c>
      <c r="P171" s="112">
        <f>H171/'CGE-Flood Weighted Av Calcs'!$D$8</f>
        <v>4.5018099148803857E-2</v>
      </c>
      <c r="R171" s="1">
        <f t="shared" si="15"/>
        <v>0.19960581877335939</v>
      </c>
      <c r="S171" s="1">
        <f t="shared" si="16"/>
        <v>0.23154274977709691</v>
      </c>
      <c r="T171" s="1">
        <f t="shared" si="17"/>
        <v>5.5889629256540641</v>
      </c>
    </row>
    <row r="172" spans="1:20">
      <c r="A172">
        <v>119</v>
      </c>
      <c r="B172">
        <v>0.68409483677840877</v>
      </c>
      <c r="C172" s="1">
        <f t="shared" si="11"/>
        <v>32.534721754454779</v>
      </c>
      <c r="D172" s="1">
        <f t="shared" si="20"/>
        <v>104.64611785868277</v>
      </c>
      <c r="E172" s="1">
        <f t="shared" si="18"/>
        <v>125.46068059753779</v>
      </c>
      <c r="F172" s="1">
        <f t="shared" si="12"/>
        <v>6.7134822454533882</v>
      </c>
      <c r="G172" s="1">
        <f t="shared" si="19"/>
        <v>5.006584459752661</v>
      </c>
      <c r="H172" s="1">
        <f t="shared" si="13"/>
        <v>1.9584995556541647</v>
      </c>
      <c r="I172" s="1">
        <f t="shared" si="14"/>
        <v>50.544826115454583</v>
      </c>
      <c r="K172" s="112">
        <f>C172/'CGE-Flood Weighted Av Calcs'!$D$3</f>
        <v>5.4840902905416902E-3</v>
      </c>
      <c r="L172" s="112">
        <f>D172/'CGE-Flood Weighted Av Calcs'!$D$4</f>
        <v>5.3753548267640458E-3</v>
      </c>
      <c r="M172" s="112">
        <f>E172/'CGE-Flood Weighted Av Calcs'!$D$5</f>
        <v>5.3745425622026867E-3</v>
      </c>
      <c r="N172" s="112">
        <f>F172/'CGE-Flood Weighted Av Calcs'!$D$6</f>
        <v>1.855705402075182E-3</v>
      </c>
      <c r="O172" s="112">
        <f>G172/'CGE-Flood Weighted Av Calcs'!$D$7</f>
        <v>8.264554482168179E-3</v>
      </c>
      <c r="P172" s="112">
        <f>H172/'CGE-Flood Weighted Av Calcs'!$D$8</f>
        <v>1.9791020075527896E-2</v>
      </c>
      <c r="R172" s="1">
        <f t="shared" si="15"/>
        <v>8.7751434228219766E-2</v>
      </c>
      <c r="S172" s="1">
        <f t="shared" si="16"/>
        <v>0.10179166370473494</v>
      </c>
      <c r="T172" s="1">
        <f t="shared" si="17"/>
        <v>2.4570401583901544</v>
      </c>
    </row>
    <row r="173" spans="1:20">
      <c r="A173">
        <v>120</v>
      </c>
      <c r="B173">
        <v>0.92451229817531855</v>
      </c>
      <c r="C173" s="1">
        <f t="shared" si="11"/>
        <v>7.7743945356997131</v>
      </c>
      <c r="D173" s="1">
        <f t="shared" si="20"/>
        <v>25.005906397565354</v>
      </c>
      <c r="E173" s="1">
        <f t="shared" si="18"/>
        <v>29.979688685953192</v>
      </c>
      <c r="F173" s="1">
        <f t="shared" si="12"/>
        <v>1.6042325512565121</v>
      </c>
      <c r="G173" s="1">
        <f t="shared" si="19"/>
        <v>1.1963576378547209</v>
      </c>
      <c r="H173" s="1">
        <f t="shared" si="13"/>
        <v>0.46799687910541898</v>
      </c>
      <c r="I173" s="1">
        <f t="shared" si="14"/>
        <v>12.078032291949</v>
      </c>
      <c r="K173" s="112">
        <f>C173/'CGE-Flood Weighted Av Calcs'!$D$3</f>
        <v>1.3104609257103407E-3</v>
      </c>
      <c r="L173" s="112">
        <f>D173/'CGE-Flood Weighted Av Calcs'!$D$4</f>
        <v>1.2844778421047757E-3</v>
      </c>
      <c r="M173" s="112">
        <f>E173/'CGE-Flood Weighted Av Calcs'!$D$5</f>
        <v>1.2842837459260837E-3</v>
      </c>
      <c r="N173" s="112">
        <f>F173/'CGE-Flood Weighted Av Calcs'!$D$6</f>
        <v>4.4343351225329905E-4</v>
      </c>
      <c r="O173" s="112">
        <f>G173/'CGE-Flood Weighted Av Calcs'!$D$7</f>
        <v>1.9748718827559404E-3</v>
      </c>
      <c r="P173" s="112">
        <f>H173/'CGE-Flood Weighted Av Calcs'!$D$8</f>
        <v>4.729199760561637E-3</v>
      </c>
      <c r="R173" s="1">
        <f t="shared" si="15"/>
        <v>2.0968806062411499E-2</v>
      </c>
      <c r="S173" s="1">
        <f t="shared" si="16"/>
        <v>2.4323815032397333E-2</v>
      </c>
      <c r="T173" s="1">
        <f t="shared" si="17"/>
        <v>0.58712656974752342</v>
      </c>
    </row>
    <row r="174" spans="1:20">
      <c r="A174">
        <v>121</v>
      </c>
      <c r="B174">
        <v>0.19831757068757272</v>
      </c>
      <c r="C174" s="1">
        <f t="shared" si="11"/>
        <v>82.564382636632089</v>
      </c>
      <c r="D174" s="1">
        <f t="shared" si="20"/>
        <v>265.56373161972283</v>
      </c>
      <c r="E174" s="1">
        <f t="shared" si="18"/>
        <v>318.38549955599547</v>
      </c>
      <c r="F174" s="1">
        <f t="shared" si="12"/>
        <v>17.037014212729627</v>
      </c>
      <c r="G174" s="1">
        <f t="shared" si="19"/>
        <v>12.705366228651862</v>
      </c>
      <c r="H174" s="1">
        <f t="shared" si="13"/>
        <v>4.970145677811538</v>
      </c>
      <c r="I174" s="1">
        <f t="shared" si="14"/>
        <v>128.26918868998837</v>
      </c>
      <c r="K174" s="112">
        <f>C174/'CGE-Flood Weighted Av Calcs'!$D$3</f>
        <v>1.3917147734639075E-2</v>
      </c>
      <c r="L174" s="112">
        <f>D174/'CGE-Flood Weighted Av Calcs'!$D$4</f>
        <v>1.3641206341770714E-2</v>
      </c>
      <c r="M174" s="112">
        <f>E174/'CGE-Flood Weighted Av Calcs'!$D$5</f>
        <v>1.3639145032546911E-2</v>
      </c>
      <c r="N174" s="112">
        <f>F174/'CGE-Flood Weighted Av Calcs'!$D$6</f>
        <v>4.7092817339623259E-3</v>
      </c>
      <c r="O174" s="112">
        <f>G174/'CGE-Flood Weighted Av Calcs'!$D$7</f>
        <v>2.097321881947847E-2</v>
      </c>
      <c r="P174" s="112">
        <f>H174/'CGE-Flood Weighted Av Calcs'!$D$8</f>
        <v>5.0224291654235982E-2</v>
      </c>
      <c r="R174" s="1">
        <f t="shared" si="15"/>
        <v>0.22268956369789647</v>
      </c>
      <c r="S174" s="1">
        <f t="shared" si="16"/>
        <v>0.25831989388955989</v>
      </c>
      <c r="T174" s="1">
        <f t="shared" si="17"/>
        <v>6.235307783541101</v>
      </c>
    </row>
    <row r="175" spans="1:20">
      <c r="A175">
        <v>122</v>
      </c>
      <c r="B175">
        <v>0.39404661599071278</v>
      </c>
      <c r="C175" s="1">
        <f t="shared" si="11"/>
        <v>62.406465737578706</v>
      </c>
      <c r="D175" s="1">
        <f t="shared" si="20"/>
        <v>200.7269162467731</v>
      </c>
      <c r="E175" s="1">
        <f t="shared" si="18"/>
        <v>240.65236285758294</v>
      </c>
      <c r="F175" s="1">
        <f t="shared" si="12"/>
        <v>12.877463741436907</v>
      </c>
      <c r="G175" s="1">
        <f t="shared" si="19"/>
        <v>9.6033783201808873</v>
      </c>
      <c r="H175" s="1">
        <f t="shared" si="13"/>
        <v>3.7566952728052616</v>
      </c>
      <c r="I175" s="1">
        <f t="shared" si="14"/>
        <v>96.952541441485948</v>
      </c>
      <c r="K175" s="112">
        <f>C175/'CGE-Flood Weighted Av Calcs'!$D$3</f>
        <v>1.0519305971062034E-2</v>
      </c>
      <c r="L175" s="112">
        <f>D175/'CGE-Flood Weighted Av Calcs'!$D$4</f>
        <v>1.0310735077297743E-2</v>
      </c>
      <c r="M175" s="112">
        <f>E175/'CGE-Flood Weighted Av Calcs'!$D$5</f>
        <v>1.0309177032298897E-2</v>
      </c>
      <c r="N175" s="112">
        <f>F175/'CGE-Flood Weighted Av Calcs'!$D$6</f>
        <v>3.5595207012270734E-3</v>
      </c>
      <c r="O175" s="112">
        <f>G175/'CGE-Flood Weighted Av Calcs'!$D$7</f>
        <v>1.5852652437611858E-2</v>
      </c>
      <c r="P175" s="112">
        <f>H175/'CGE-Flood Weighted Av Calcs'!$D$8</f>
        <v>3.7962138590782665E-2</v>
      </c>
      <c r="R175" s="1">
        <f t="shared" si="15"/>
        <v>0.16832038444702421</v>
      </c>
      <c r="S175" s="1">
        <f t="shared" si="16"/>
        <v>0.1952516459585481</v>
      </c>
      <c r="T175" s="1">
        <f t="shared" si="17"/>
        <v>4.7129707645166778</v>
      </c>
    </row>
    <row r="176" spans="1:20">
      <c r="A176">
        <v>123</v>
      </c>
      <c r="B176">
        <v>0.8829391517281201</v>
      </c>
      <c r="C176" s="1">
        <f t="shared" si="11"/>
        <v>12.055966695911735</v>
      </c>
      <c r="D176" s="1">
        <f t="shared" si="20"/>
        <v>38.777344440881507</v>
      </c>
      <c r="E176" s="1">
        <f t="shared" si="18"/>
        <v>46.490324962537272</v>
      </c>
      <c r="F176" s="1">
        <f t="shared" si="12"/>
        <v>2.4877273878544344</v>
      </c>
      <c r="G176" s="1">
        <f t="shared" si="19"/>
        <v>1.8552245801451388</v>
      </c>
      <c r="H176" s="1">
        <f t="shared" si="13"/>
        <v>0.72573558781677683</v>
      </c>
      <c r="I176" s="1">
        <f t="shared" si="14"/>
        <v>18.729735723500752</v>
      </c>
      <c r="K176" s="112">
        <f>C176/'CGE-Flood Weighted Av Calcs'!$D$3</f>
        <v>2.0321676760948685E-3</v>
      </c>
      <c r="L176" s="112">
        <f>D176/'CGE-Flood Weighted Av Calcs'!$D$4</f>
        <v>1.9918749961739682E-3</v>
      </c>
      <c r="M176" s="112">
        <f>E176/'CGE-Flood Weighted Av Calcs'!$D$5</f>
        <v>1.9915740059096593E-3</v>
      </c>
      <c r="N176" s="112">
        <f>F176/'CGE-Flood Weighted Av Calcs'!$D$6</f>
        <v>6.8764450157864164E-4</v>
      </c>
      <c r="O176" s="112">
        <f>G176/'CGE-Flood Weighted Av Calcs'!$D$7</f>
        <v>3.0624879581127766E-3</v>
      </c>
      <c r="P176" s="112">
        <f>H176/'CGE-Flood Weighted Av Calcs'!$D$8</f>
        <v>7.3336996919610839E-3</v>
      </c>
      <c r="R176" s="1">
        <f t="shared" si="15"/>
        <v>3.2516902297744399E-2</v>
      </c>
      <c r="S176" s="1">
        <f t="shared" si="16"/>
        <v>3.7719606665383543E-2</v>
      </c>
      <c r="T176" s="1">
        <f t="shared" si="17"/>
        <v>0.9104732643368445</v>
      </c>
    </row>
    <row r="177" spans="1:20">
      <c r="A177">
        <v>124</v>
      </c>
      <c r="B177">
        <v>0.3132847005460625</v>
      </c>
      <c r="C177" s="1">
        <f t="shared" si="11"/>
        <v>70.724045673761637</v>
      </c>
      <c r="D177" s="1">
        <f t="shared" si="20"/>
        <v>227.47994818815232</v>
      </c>
      <c r="E177" s="1">
        <f t="shared" si="18"/>
        <v>272.72668786929296</v>
      </c>
      <c r="F177" s="1">
        <f t="shared" si="12"/>
        <v>14.593781638609567</v>
      </c>
      <c r="G177" s="1">
        <f t="shared" si="19"/>
        <v>10.883323689485977</v>
      </c>
      <c r="H177" s="1">
        <f t="shared" si="13"/>
        <v>4.25739039883325</v>
      </c>
      <c r="I177" s="1">
        <f t="shared" si="14"/>
        <v>109.87444791262999</v>
      </c>
      <c r="K177" s="112">
        <f>C177/'CGE-Flood Weighted Av Calcs'!$D$3</f>
        <v>1.1921326855490822E-2</v>
      </c>
      <c r="L177" s="112">
        <f>D177/'CGE-Flood Weighted Av Calcs'!$D$4</f>
        <v>1.1684957478656834E-2</v>
      </c>
      <c r="M177" s="112">
        <f>E177/'CGE-Flood Weighted Av Calcs'!$D$5</f>
        <v>1.1683191776267542E-2</v>
      </c>
      <c r="N177" s="112">
        <f>F177/'CGE-Flood Weighted Av Calcs'!$D$6</f>
        <v>4.0339362544399545E-3</v>
      </c>
      <c r="O177" s="112">
        <f>G177/'CGE-Flood Weighted Av Calcs'!$D$7</f>
        <v>1.7965505685940634E-2</v>
      </c>
      <c r="P177" s="112">
        <f>H177/'CGE-Flood Weighted Av Calcs'!$D$8</f>
        <v>4.3021760515296742E-2</v>
      </c>
      <c r="R177" s="1">
        <f t="shared" si="15"/>
        <v>0.19075424984831596</v>
      </c>
      <c r="S177" s="1">
        <f t="shared" si="16"/>
        <v>0.22127492982404651</v>
      </c>
      <c r="T177" s="1">
        <f t="shared" si="17"/>
        <v>5.3411189957528471</v>
      </c>
    </row>
    <row r="178" spans="1:20">
      <c r="A178">
        <v>125</v>
      </c>
      <c r="B178">
        <v>5.8208526058433074E-2</v>
      </c>
      <c r="C178" s="1">
        <f t="shared" si="11"/>
        <v>103.15876422236252</v>
      </c>
      <c r="D178" s="1">
        <f t="shared" si="20"/>
        <v>330.12184263736179</v>
      </c>
      <c r="E178" s="1">
        <f t="shared" si="18"/>
        <v>395.72998186749589</v>
      </c>
      <c r="F178" s="1">
        <f t="shared" si="12"/>
        <v>24.27042561654341</v>
      </c>
      <c r="G178" s="1">
        <f t="shared" si="19"/>
        <v>15.988800337086264</v>
      </c>
      <c r="H178" s="1">
        <f t="shared" si="13"/>
        <v>6.1371280154043069</v>
      </c>
      <c r="I178" s="1">
        <f t="shared" si="14"/>
        <v>212.25940743789266</v>
      </c>
      <c r="K178" s="112">
        <f>C178/'CGE-Flood Weighted Av Calcs'!$D$3</f>
        <v>1.7388560490107022E-2</v>
      </c>
      <c r="L178" s="112">
        <f>D178/'CGE-Flood Weighted Av Calcs'!$D$4</f>
        <v>1.6957361405774755E-2</v>
      </c>
      <c r="M178" s="112">
        <f>E178/'CGE-Flood Weighted Av Calcs'!$D$5</f>
        <v>1.6952463676721794E-2</v>
      </c>
      <c r="N178" s="112">
        <f>F178/'CGE-Flood Weighted Av Calcs'!$D$6</f>
        <v>6.7087032155012183E-3</v>
      </c>
      <c r="O178" s="112">
        <f>G178/'CGE-Flood Weighted Av Calcs'!$D$7</f>
        <v>2.639330516694938E-2</v>
      </c>
      <c r="P178" s="112">
        <f>H178/'CGE-Flood Weighted Av Calcs'!$D$8</f>
        <v>6.2016875831448451E-2</v>
      </c>
      <c r="R178" s="1">
        <f t="shared" si="15"/>
        <v>0.27786098262771125</v>
      </c>
      <c r="S178" s="1">
        <f t="shared" si="16"/>
        <v>0.33179147394156688</v>
      </c>
      <c r="T178" s="1">
        <f t="shared" si="17"/>
        <v>7.6965245656927825</v>
      </c>
    </row>
    <row r="179" spans="1:20">
      <c r="A179">
        <v>126</v>
      </c>
      <c r="B179">
        <v>0.91424588381530647</v>
      </c>
      <c r="C179" s="1">
        <f t="shared" si="11"/>
        <v>8.8317211435102791</v>
      </c>
      <c r="D179" s="1">
        <f t="shared" si="20"/>
        <v>28.406738457883137</v>
      </c>
      <c r="E179" s="1">
        <f t="shared" si="18"/>
        <v>34.056960863995926</v>
      </c>
      <c r="F179" s="1">
        <f t="shared" si="12"/>
        <v>1.8224100252412043</v>
      </c>
      <c r="G179" s="1">
        <f t="shared" si="19"/>
        <v>1.3590636540149053</v>
      </c>
      <c r="H179" s="1">
        <f t="shared" si="13"/>
        <v>0.53164499348632077</v>
      </c>
      <c r="I179" s="1">
        <f t="shared" si="14"/>
        <v>13.720658589550936</v>
      </c>
      <c r="K179" s="112">
        <f>C179/'CGE-Flood Weighted Av Calcs'!$D$3</f>
        <v>1.4886851203903323E-3</v>
      </c>
      <c r="L179" s="112">
        <f>D179/'CGE-Flood Weighted Av Calcs'!$D$4</f>
        <v>1.4591683074991048E-3</v>
      </c>
      <c r="M179" s="112">
        <f>E179/'CGE-Flood Weighted Av Calcs'!$D$5</f>
        <v>1.4589478140166372E-3</v>
      </c>
      <c r="N179" s="112">
        <f>F179/'CGE-Flood Weighted Av Calcs'!$D$6</f>
        <v>5.0374098046157578E-4</v>
      </c>
      <c r="O179" s="112">
        <f>G179/'CGE-Flood Weighted Av Calcs'!$D$7</f>
        <v>2.2434567325556798E-3</v>
      </c>
      <c r="P179" s="112">
        <f>H179/'CGE-Flood Weighted Av Calcs'!$D$8</f>
        <v>5.3723763729051511E-3</v>
      </c>
      <c r="R179" s="1">
        <f t="shared" si="15"/>
        <v>2.382058782908153E-2</v>
      </c>
      <c r="S179" s="1">
        <f t="shared" si="16"/>
        <v>2.7631881881734599E-2</v>
      </c>
      <c r="T179" s="1">
        <f t="shared" si="17"/>
        <v>0.6669764592142835</v>
      </c>
    </row>
    <row r="180" spans="1:20">
      <c r="A180">
        <v>127</v>
      </c>
      <c r="B180">
        <v>0.19948835864424308</v>
      </c>
      <c r="C180" s="1">
        <f t="shared" si="11"/>
        <v>82.443804485850123</v>
      </c>
      <c r="D180" s="1">
        <f t="shared" si="20"/>
        <v>265.17589872312874</v>
      </c>
      <c r="E180" s="1">
        <f t="shared" si="18"/>
        <v>317.92052502888953</v>
      </c>
      <c r="F180" s="1">
        <f t="shared" si="12"/>
        <v>17.012133124746953</v>
      </c>
      <c r="G180" s="1">
        <f t="shared" si="19"/>
        <v>12.686811138479372</v>
      </c>
      <c r="H180" s="1">
        <f t="shared" si="13"/>
        <v>4.9628872092587599</v>
      </c>
      <c r="I180" s="1">
        <f t="shared" si="14"/>
        <v>128.08186261692111</v>
      </c>
      <c r="K180" s="112">
        <f>C180/'CGE-Flood Weighted Av Calcs'!$D$3</f>
        <v>1.389682294222359E-2</v>
      </c>
      <c r="L180" s="112">
        <f>D180/'CGE-Flood Weighted Av Calcs'!$D$4</f>
        <v>1.3621284537929884E-2</v>
      </c>
      <c r="M180" s="112">
        <f>E180/'CGE-Flood Weighted Av Calcs'!$D$5</f>
        <v>1.3619226239070194E-2</v>
      </c>
      <c r="N180" s="112">
        <f>F180/'CGE-Flood Weighted Av Calcs'!$D$6</f>
        <v>4.7024042346719653E-3</v>
      </c>
      <c r="O180" s="112">
        <f>G180/'CGE-Flood Weighted Av Calcs'!$D$7</f>
        <v>2.0942589244588673E-2</v>
      </c>
      <c r="P180" s="112">
        <f>H180/'CGE-Flood Weighted Av Calcs'!$D$8</f>
        <v>5.0150943413522373E-2</v>
      </c>
      <c r="R180" s="1">
        <f t="shared" si="15"/>
        <v>0.22236434482104359</v>
      </c>
      <c r="S180" s="1">
        <f t="shared" si="16"/>
        <v>0.25794263999241057</v>
      </c>
      <c r="T180" s="1">
        <f t="shared" si="17"/>
        <v>6.2262016549892207</v>
      </c>
    </row>
    <row r="181" spans="1:20">
      <c r="A181">
        <v>128</v>
      </c>
      <c r="B181">
        <v>0.81528960801050088</v>
      </c>
      <c r="C181" s="1">
        <f t="shared" si="11"/>
        <v>19.023118037229651</v>
      </c>
      <c r="D181" s="1">
        <f t="shared" si="20"/>
        <v>61.186798128709796</v>
      </c>
      <c r="E181" s="1">
        <f t="shared" si="18"/>
        <v>73.357115332063302</v>
      </c>
      <c r="F181" s="1">
        <f t="shared" si="12"/>
        <v>3.9253867348233449</v>
      </c>
      <c r="G181" s="1">
        <f t="shared" si="19"/>
        <v>2.9273601249776711</v>
      </c>
      <c r="H181" s="1">
        <f t="shared" si="13"/>
        <v>1.1451386768958507</v>
      </c>
      <c r="I181" s="1">
        <f t="shared" si="14"/>
        <v>29.553662718319842</v>
      </c>
      <c r="K181" s="112">
        <f>C181/'CGE-Flood Weighted Av Calcs'!$D$3</f>
        <v>3.2065587562467818E-3</v>
      </c>
      <c r="L181" s="112">
        <f>D181/'CGE-Flood Weighted Av Calcs'!$D$4</f>
        <v>3.1429809092350168E-3</v>
      </c>
      <c r="M181" s="112">
        <f>E181/'CGE-Flood Weighted Av Calcs'!$D$5</f>
        <v>3.1425059764925507E-3</v>
      </c>
      <c r="N181" s="112">
        <f>F181/'CGE-Flood Weighted Av Calcs'!$D$6</f>
        <v>1.0850347260513234E-3</v>
      </c>
      <c r="O181" s="112">
        <f>G181/'CGE-Flood Weighted Av Calcs'!$D$7</f>
        <v>4.8323018289797969E-3</v>
      </c>
      <c r="P181" s="112">
        <f>H181/'CGE-Flood Weighted Av Calcs'!$D$8</f>
        <v>1.1571849724591505E-2</v>
      </c>
      <c r="R181" s="1">
        <f t="shared" si="15"/>
        <v>5.1308442219305306E-2</v>
      </c>
      <c r="S181" s="1">
        <f t="shared" si="16"/>
        <v>5.9517792974394162E-2</v>
      </c>
      <c r="T181" s="1">
        <f t="shared" si="17"/>
        <v>1.4366363821405495</v>
      </c>
    </row>
    <row r="182" spans="1:20">
      <c r="A182">
        <v>129</v>
      </c>
      <c r="B182">
        <v>0.4912413679745572</v>
      </c>
      <c r="C182" s="1">
        <f t="shared" si="11"/>
        <v>52.396486224931444</v>
      </c>
      <c r="D182" s="1">
        <f t="shared" si="20"/>
        <v>168.53037546338504</v>
      </c>
      <c r="E182" s="1">
        <f t="shared" si="18"/>
        <v>202.05179169234228</v>
      </c>
      <c r="F182" s="1">
        <f t="shared" si="12"/>
        <v>10.811922187318403</v>
      </c>
      <c r="G182" s="1">
        <f t="shared" si="19"/>
        <v>8.0629991447050653</v>
      </c>
      <c r="H182" s="1">
        <f t="shared" si="13"/>
        <v>3.1541224100162126</v>
      </c>
      <c r="I182" s="1">
        <f t="shared" si="14"/>
        <v>81.401381124070838</v>
      </c>
      <c r="K182" s="112">
        <f>C182/'CGE-Flood Weighted Av Calcs'!$D$3</f>
        <v>8.832012258574282E-3</v>
      </c>
      <c r="L182" s="112">
        <f>D182/'CGE-Flood Weighted Av Calcs'!$D$4</f>
        <v>8.6568960773760594E-3</v>
      </c>
      <c r="M182" s="112">
        <f>E182/'CGE-Flood Weighted Av Calcs'!$D$5</f>
        <v>8.655587942355835E-3</v>
      </c>
      <c r="N182" s="112">
        <f>F182/'CGE-Flood Weighted Av Calcs'!$D$6</f>
        <v>2.9885745841379363E-3</v>
      </c>
      <c r="O182" s="112">
        <f>G182/'CGE-Flood Weighted Av Calcs'!$D$7</f>
        <v>1.3309891455298149E-2</v>
      </c>
      <c r="P182" s="112">
        <f>H182/'CGE-Flood Weighted Av Calcs'!$D$8</f>
        <v>3.18730222619086E-2</v>
      </c>
      <c r="R182" s="1">
        <f t="shared" si="15"/>
        <v>0.14132184222928967</v>
      </c>
      <c r="S182" s="1">
        <f t="shared" si="16"/>
        <v>0.16393333698597601</v>
      </c>
      <c r="T182" s="1">
        <f t="shared" si="17"/>
        <v>3.9570115824201109</v>
      </c>
    </row>
    <row r="183" spans="1:20">
      <c r="A183">
        <v>130</v>
      </c>
      <c r="B183">
        <v>0.77749991499016058</v>
      </c>
      <c r="C183" s="1">
        <f t="shared" ref="C183:C246" si="21">IF($B183&lt;=0.005,$F$5,IF(B183&lt;=0.01,$F$5+($B183-0.005)*SLOPE($E$5:$F$5,$E$4:$F$4),IF($B183&lt;=0.04,$E$5+($B183-0.01)*SLOPE($D$5:$E$5,$D$4:$E$4),IF($B183&lt;=0.1,$D$5+($B183-0.04)*SLOPE($C$5:$D$5,$C$4:$D$4),IF($B183&lt;=1,$C$5+($B183-0.1)*SLOPE($B$5:$C$5,$B$4:$C$4),)))))</f>
        <v>22.915036532846699</v>
      </c>
      <c r="D183" s="1">
        <f t="shared" si="20"/>
        <v>73.704936893273327</v>
      </c>
      <c r="E183" s="1">
        <f t="shared" si="18"/>
        <v>88.365165715140677</v>
      </c>
      <c r="F183" s="1">
        <f t="shared" ref="F183:F246" si="22">IF($B183&lt;=0.005,$F$26,IF($B183&lt;=0.01,$F$26+($B183-0.005)*SLOPE($E$26:$F$26,$E$25:$F$25),IF($B183&lt;=0.04,$E$26+($B183-0.01)*SLOPE($D$26:$E$26,$D$25:$E$25),IF($B183&lt;=0.1,$D$26+($B183-0.04)*SLOPE($C$26:$D$26,$C$25:$D$25),IF($B183&lt;=1,$C$26+($B183-0.1)*SLOPE($B$26:$C$26,$B$25:$C$25),)))))</f>
        <v>4.7284772274444826</v>
      </c>
      <c r="G183" s="1">
        <f t="shared" si="19"/>
        <v>3.5262654669639524</v>
      </c>
      <c r="H183" s="1">
        <f t="shared" ref="H183:H246" si="23">IF($B183&lt;=0.005,$F$40,IF($B183&lt;=0.01,$F$40+($B183-0.005)*SLOPE($E$40:$F$40,$E$39:$F$39),IF($B183&lt;=0.04,$E$40+($B183-0.01)*SLOPE($D$40:$E$40,$D$39:$E$39),IF($B183&lt;=0.1,$D$40+($B183-0.04)*SLOPE($C$40:$D$40,$C$39:$D$39),IF($B183&lt;=1,$C$40+($B183-0.1)*SLOPE($B$40:$C$40,$B$39:$C$39),)))))</f>
        <v>1.3794213211992252</v>
      </c>
      <c r="I183" s="1">
        <f t="shared" ref="I183:I246" si="24">IF($B183&lt;=0.005,$F$47,IF($B183&lt;=0.01,$F$47+($B183-0.005)*SLOPE($E$47:$F$47,$E$46:$F$46),IF($B183&lt;=0.04,$E$47+($B183-0.01)*SLOPE($D$47:$E$47,$D$46:$E$46),IF($B183&lt;=0.1,$D$47+($B183-0.04)*SLOPE($C$47:$D$47,$C$46:$D$46),IF($B183&lt;=1,$C$47+($B183-0.1)*SLOPE($B$47:$C$47,$B$46:$C$46),)))))</f>
        <v>35.60001360157429</v>
      </c>
      <c r="K183" s="112">
        <f>C183/'CGE-Flood Weighted Av Calcs'!$D$3</f>
        <v>3.8625850347094406E-3</v>
      </c>
      <c r="L183" s="112">
        <f>D183/'CGE-Flood Weighted Av Calcs'!$D$4</f>
        <v>3.7859998669097618E-3</v>
      </c>
      <c r="M183" s="112">
        <f>E183/'CGE-Flood Weighted Av Calcs'!$D$5</f>
        <v>3.7854277682073862E-3</v>
      </c>
      <c r="N183" s="112">
        <f>F183/'CGE-Flood Weighted Av Calcs'!$D$6</f>
        <v>1.3070207701079005E-3</v>
      </c>
      <c r="O183" s="112">
        <f>G183/'CGE-Flood Weighted Av Calcs'!$D$7</f>
        <v>5.820937068891782E-3</v>
      </c>
      <c r="P183" s="112">
        <f>H183/'CGE-Flood Weighted Av Calcs'!$D$8</f>
        <v>1.3939321549320682E-2</v>
      </c>
      <c r="R183" s="1">
        <f t="shared" ref="R183:R246" si="25">IF($B183&lt;=0.005,$F$13,IF($B183&lt;=0.01,$F$13+($B183-0.005)*SLOPE($E$13:$F$13,$E$10:$F$10),IF($B183&lt;=0.04,$E$13+($B183-0.01)*SLOPE($D$13:$E$13,$D$10:$E$10),IF($B183&lt;=0.1,$D$13+($B183-0.04)*SLOPE($C$13:$D$13,$C$10:$D$10),IF($B183&lt;=1,$C$13+($B183-0.1)*SLOPE($B$13:$C$13,$B$10:$C$10),)))))</f>
        <v>6.1805579169399827E-2</v>
      </c>
      <c r="S183" s="1">
        <f t="shared" ref="S183:S246" si="26">IF($B183&lt;=0.005,$F$21,IF($B183&lt;=0.01,$F$21+($B183-0.005)*SLOPE($E$21:$F$21,$E$18:$F$18),IF($B183&lt;=0.04,$E$21+($B183-0.01)*SLOPE($D$21:$E$21,$D$18:$E$18),IF($B183&lt;=0.1,$D$21+($B183-0.04)*SLOPE($C$21:$D$21,$C$18:$D$18),IF($B183&lt;=1,$C$21+($B183-0.1)*SLOPE($B$21:$C$21,$B$18:$C$18),)))))</f>
        <v>7.169447183650382E-2</v>
      </c>
      <c r="T183" s="1">
        <f t="shared" ref="T183:T246" si="27">IF($B183&lt;=0.005,$F$14,IF($B183&lt;=0.01,$F$14+($B183-0.005)*SLOPE($E$14:$F$14,$E$10:$F$10),IF($B183&lt;=0.04,$E$14+($B183-0.01)*SLOPE($D$14:$E$14,$D$10:$E$10),IF($B183&lt;=0.1,$D$14+($B183-0.04)*SLOPE($C$14:$D$14,$C$10:$D$10),IF($B183&lt;=1,$C$14+($B183-0.1)*SLOPE($B$14:$C$14,$B$10:$C$10),)))))</f>
        <v>1.7305562167431958</v>
      </c>
    </row>
    <row r="184" spans="1:20">
      <c r="A184">
        <v>131</v>
      </c>
      <c r="B184">
        <v>0.43832076240820184</v>
      </c>
      <c r="C184" s="1">
        <f t="shared" si="21"/>
        <v>57.846720591537526</v>
      </c>
      <c r="D184" s="1">
        <f t="shared" si="20"/>
        <v>186.06075030998136</v>
      </c>
      <c r="E184" s="1">
        <f t="shared" ref="E184:E247" si="28">IF($B184&lt;=0.005,$F$19,IF($B184&lt;=0.01,$F$19+($B184-0.005)*SLOPE($E$19:$F$19,$E$18:$F$18),IF($B184&lt;=0.04,$E$19+($B184-0.01)*SLOPE($D$19:$E$19,$D$18:$E$18),IF($B184&lt;=0.1,$D$19+($B184-0.04)*SLOPE($C$19:$D$19,$C$18:$D$18),IF($B184&lt;=1,$C$19+($B184-0.1)*SLOPE($B$19:$C$19,$B$18:$C$18),)))))</f>
        <v>223.06903346287817</v>
      </c>
      <c r="F184" s="1">
        <f t="shared" si="22"/>
        <v>11.936568401597455</v>
      </c>
      <c r="G184" s="1">
        <f t="shared" ref="G184:G247" si="29">IF($B184&lt;=0.005,$F$33,IF($B184&lt;=0.01,$F$33+($B184-0.005)*SLOPE($E$33:$F$33,$E$32:$F$32),IF($B184&lt;=0.04,$E$33+($B184-0.01)*SLOPE($D$33:$E$33,$D$32:$E$32),IF($B184&lt;=0.1,$D$33+($B184-0.04)*SLOPE($C$33:$D$33,$C$32:$D$32),IF($B184&lt;=1,$C$33+($B184-0.1)*SLOPE($B$33:$C$33,$B$32:$C$32),)))))</f>
        <v>8.9017049092049163</v>
      </c>
      <c r="H184" s="1">
        <f t="shared" si="23"/>
        <v>3.482211325783489</v>
      </c>
      <c r="I184" s="1">
        <f t="shared" si="24"/>
        <v>89.868678014687703</v>
      </c>
      <c r="K184" s="112">
        <f>C184/'CGE-Flood Weighted Av Calcs'!$D$3</f>
        <v>9.7507100607765844E-3</v>
      </c>
      <c r="L184" s="112">
        <f>D184/'CGE-Flood Weighted Av Calcs'!$D$4</f>
        <v>9.5573784552688383E-3</v>
      </c>
      <c r="M184" s="112">
        <f>E184/'CGE-Flood Weighted Av Calcs'!$D$5</f>
        <v>9.5559342492454388E-3</v>
      </c>
      <c r="N184" s="112">
        <f>F184/'CGE-Flood Weighted Av Calcs'!$D$6</f>
        <v>3.2994433671267405E-3</v>
      </c>
      <c r="O184" s="112">
        <f>G184/'CGE-Flood Weighted Av Calcs'!$D$7</f>
        <v>1.4694374138240837E-2</v>
      </c>
      <c r="P184" s="112">
        <f>H184/'CGE-Flood Weighted Av Calcs'!$D$8</f>
        <v>3.5188424759582143E-2</v>
      </c>
      <c r="R184" s="1">
        <f t="shared" si="25"/>
        <v>0.15602201044216613</v>
      </c>
      <c r="S184" s="1">
        <f t="shared" si="26"/>
        <v>0.18098553211291274</v>
      </c>
      <c r="T184" s="1">
        <f t="shared" si="27"/>
        <v>4.3686162923806524</v>
      </c>
    </row>
    <row r="185" spans="1:20">
      <c r="A185">
        <v>132</v>
      </c>
      <c r="B185">
        <v>0.88166931110461555</v>
      </c>
      <c r="C185" s="1">
        <f t="shared" si="21"/>
        <v>12.186746170792446</v>
      </c>
      <c r="D185" s="1">
        <f t="shared" ref="D185:D248" si="30">IF($B185&lt;=0.005,$F$11,IF($B185&lt;=0.01,$F$11+($B185-0.005)*SLOPE($E$11:$F$11,$E$10:$F$10),IF($B185&lt;=0.04,$E$11+($B185-0.01)*SLOPE($D$11:$E$11,$D$10:$E$10),IF($B185&lt;=0.1,$D$11+($B185-0.04)*SLOPE($C$11:$D$11,$C$10:$D$10),IF($B185&lt;=1,$C$11+($B185-0.1)*SLOPE($B$11:$C$11,$B$10:$C$10),)))))</f>
        <v>39.197989327447601</v>
      </c>
      <c r="E185" s="1">
        <f t="shared" si="28"/>
        <v>46.994637925486643</v>
      </c>
      <c r="F185" s="1">
        <f t="shared" si="22"/>
        <v>2.5147135010078756</v>
      </c>
      <c r="G185" s="1">
        <f t="shared" si="29"/>
        <v>1.8753494944300666</v>
      </c>
      <c r="H185" s="1">
        <f t="shared" si="23"/>
        <v>0.73360814764303317</v>
      </c>
      <c r="I185" s="1">
        <f t="shared" si="24"/>
        <v>18.932910223261487</v>
      </c>
      <c r="K185" s="112">
        <f>C185/'CGE-Flood Weighted Av Calcs'!$D$3</f>
        <v>2.0542120154873589E-3</v>
      </c>
      <c r="L185" s="112">
        <f>D185/'CGE-Flood Weighted Av Calcs'!$D$4</f>
        <v>2.0134822527796089E-3</v>
      </c>
      <c r="M185" s="112">
        <f>E185/'CGE-Flood Weighted Av Calcs'!$D$5</f>
        <v>2.0131779974640867E-3</v>
      </c>
      <c r="N185" s="112">
        <f>F185/'CGE-Flood Weighted Av Calcs'!$D$6</f>
        <v>6.9510386083944376E-4</v>
      </c>
      <c r="O185" s="112">
        <f>G185/'CGE-Flood Weighted Av Calcs'!$D$7</f>
        <v>3.0957088998333857E-3</v>
      </c>
      <c r="P185" s="112">
        <f>H185/'CGE-Flood Weighted Av Calcs'!$D$8</f>
        <v>7.4132534447906026E-3</v>
      </c>
      <c r="R185" s="1">
        <f t="shared" si="25"/>
        <v>3.2869635804273434E-2</v>
      </c>
      <c r="S185" s="1">
        <f t="shared" si="26"/>
        <v>3.8128777532957236E-2</v>
      </c>
      <c r="T185" s="1">
        <f t="shared" si="27"/>
        <v>0.9203498025196577</v>
      </c>
    </row>
    <row r="186" spans="1:20">
      <c r="A186">
        <v>133</v>
      </c>
      <c r="B186">
        <v>0.77028979701893274</v>
      </c>
      <c r="C186" s="1">
        <f t="shared" si="21"/>
        <v>23.657598571461264</v>
      </c>
      <c r="D186" s="1">
        <f t="shared" si="30"/>
        <v>76.093346273156953</v>
      </c>
      <c r="E186" s="1">
        <f t="shared" si="28"/>
        <v>91.228639988982366</v>
      </c>
      <c r="F186" s="1">
        <f t="shared" si="22"/>
        <v>4.8817035897293835</v>
      </c>
      <c r="G186" s="1">
        <f t="shared" si="29"/>
        <v>3.6405341424727844</v>
      </c>
      <c r="H186" s="1">
        <f t="shared" si="23"/>
        <v>1.4241214859539202</v>
      </c>
      <c r="I186" s="1">
        <f t="shared" si="24"/>
        <v>36.753632476970736</v>
      </c>
      <c r="K186" s="112">
        <f>C186/'CGE-Flood Weighted Av Calcs'!$D$3</f>
        <v>3.9877521499171609E-3</v>
      </c>
      <c r="L186" s="112">
        <f>D186/'CGE-Flood Weighted Av Calcs'!$D$4</f>
        <v>3.9086852388199129E-3</v>
      </c>
      <c r="M186" s="112">
        <f>E186/'CGE-Flood Weighted Av Calcs'!$D$5</f>
        <v>3.9080946012521019E-3</v>
      </c>
      <c r="N186" s="112">
        <f>F186/'CGE-Flood Weighted Av Calcs'!$D$6</f>
        <v>1.3493747941205486E-3</v>
      </c>
      <c r="O186" s="112">
        <f>G186/'CGE-Flood Weighted Av Calcs'!$D$7</f>
        <v>6.0095646056765291E-3</v>
      </c>
      <c r="P186" s="112">
        <f>H186/'CGE-Flood Weighted Av Calcs'!$D$8</f>
        <v>1.4391025434310374E-2</v>
      </c>
      <c r="R186" s="1">
        <f t="shared" si="25"/>
        <v>6.3808389716963121E-2</v>
      </c>
      <c r="S186" s="1">
        <f t="shared" si="26"/>
        <v>7.4017732071677222E-2</v>
      </c>
      <c r="T186" s="1">
        <f t="shared" si="27"/>
        <v>1.7866349120749678</v>
      </c>
    </row>
    <row r="187" spans="1:20">
      <c r="A187">
        <v>134</v>
      </c>
      <c r="B187">
        <v>0.7814956717237892</v>
      </c>
      <c r="C187" s="1">
        <f t="shared" si="21"/>
        <v>22.503517986579993</v>
      </c>
      <c r="D187" s="1">
        <f t="shared" si="30"/>
        <v>72.38131044216459</v>
      </c>
      <c r="E187" s="1">
        <f t="shared" si="28"/>
        <v>86.778264272344074</v>
      </c>
      <c r="F187" s="1">
        <f t="shared" si="22"/>
        <v>4.6435611038369995</v>
      </c>
      <c r="G187" s="1">
        <f t="shared" si="29"/>
        <v>3.4629392035894462</v>
      </c>
      <c r="H187" s="1">
        <f t="shared" si="23"/>
        <v>1.3546490518652661</v>
      </c>
      <c r="I187" s="1">
        <f t="shared" si="24"/>
        <v>34.960692524193703</v>
      </c>
      <c r="K187" s="112">
        <f>C187/'CGE-Flood Weighted Av Calcs'!$D$3</f>
        <v>3.7932189930696327E-3</v>
      </c>
      <c r="L187" s="112">
        <f>D187/'CGE-Flood Weighted Av Calcs'!$D$4</f>
        <v>3.7180091762048454E-3</v>
      </c>
      <c r="M187" s="112">
        <f>E187/'CGE-Flood Weighted Av Calcs'!$D$5</f>
        <v>3.7174473515086217E-3</v>
      </c>
      <c r="N187" s="112">
        <f>F187/'CGE-Flood Weighted Av Calcs'!$D$6</f>
        <v>1.2835487024773636E-3</v>
      </c>
      <c r="O187" s="112">
        <f>G187/'CGE-Flood Weighted Av Calcs'!$D$7</f>
        <v>5.7164020594421272E-3</v>
      </c>
      <c r="P187" s="112">
        <f>H187/'CGE-Flood Weighted Av Calcs'!$D$8</f>
        <v>1.3688992935107128E-2</v>
      </c>
      <c r="R187" s="1">
        <f t="shared" si="25"/>
        <v>6.0695646743391868E-2</v>
      </c>
      <c r="S187" s="1">
        <f t="shared" si="26"/>
        <v>7.0406950222334591E-2</v>
      </c>
      <c r="T187" s="1">
        <f t="shared" si="27"/>
        <v>1.6994781088149731</v>
      </c>
    </row>
    <row r="188" spans="1:20">
      <c r="A188">
        <v>135</v>
      </c>
      <c r="B188">
        <v>1.2148317031421163E-2</v>
      </c>
      <c r="C188" s="1">
        <f t="shared" si="21"/>
        <v>145.65399220320438</v>
      </c>
      <c r="D188" s="1">
        <f t="shared" si="30"/>
        <v>462.50634109851956</v>
      </c>
      <c r="E188" s="1">
        <f t="shared" si="28"/>
        <v>554.39871649699103</v>
      </c>
      <c r="F188" s="1">
        <f t="shared" si="22"/>
        <v>30.309366503359715</v>
      </c>
      <c r="G188" s="1">
        <f t="shared" si="29"/>
        <v>20.858854833856149</v>
      </c>
      <c r="H188" s="1">
        <f t="shared" si="23"/>
        <v>7.8249004073082089</v>
      </c>
      <c r="I188" s="1">
        <f t="shared" si="24"/>
        <v>323.69827004116462</v>
      </c>
      <c r="K188" s="112">
        <f>C188/'CGE-Flood Weighted Av Calcs'!$D$3</f>
        <v>2.4551605218841505E-2</v>
      </c>
      <c r="L188" s="112">
        <f>D188/'CGE-Flood Weighted Av Calcs'!$D$4</f>
        <v>2.3757553016828175E-2</v>
      </c>
      <c r="M188" s="112">
        <f>E188/'CGE-Flood Weighted Av Calcs'!$D$5</f>
        <v>2.3749588190119349E-2</v>
      </c>
      <c r="N188" s="112">
        <f>F188/'CGE-Flood Weighted Av Calcs'!$D$6</f>
        <v>8.3779554480616237E-3</v>
      </c>
      <c r="O188" s="112">
        <f>G188/'CGE-Flood Weighted Av Calcs'!$D$7</f>
        <v>3.4432484580227719E-2</v>
      </c>
      <c r="P188" s="112">
        <f>H188/'CGE-Flood Weighted Av Calcs'!$D$8</f>
        <v>7.9072145103610686E-2</v>
      </c>
      <c r="R188" s="1">
        <f t="shared" si="25"/>
        <v>0.32713557729143844</v>
      </c>
      <c r="S188" s="1">
        <f t="shared" si="26"/>
        <v>0.38713557729143844</v>
      </c>
      <c r="T188" s="1">
        <f t="shared" si="27"/>
        <v>13.570336593715767</v>
      </c>
    </row>
    <row r="189" spans="1:20">
      <c r="A189">
        <v>136</v>
      </c>
      <c r="B189">
        <v>0.99073067351267252</v>
      </c>
      <c r="C189" s="1">
        <f t="shared" si="21"/>
        <v>0.95463763567822468</v>
      </c>
      <c r="D189" s="1">
        <f t="shared" si="30"/>
        <v>3.0705387090589511</v>
      </c>
      <c r="E189" s="1">
        <f t="shared" si="28"/>
        <v>3.6812820592145954</v>
      </c>
      <c r="F189" s="1">
        <f t="shared" si="22"/>
        <v>0.19698778635135028</v>
      </c>
      <c r="G189" s="1">
        <f t="shared" si="29"/>
        <v>0.14690379058880687</v>
      </c>
      <c r="H189" s="1">
        <f t="shared" si="23"/>
        <v>5.7466524514859785E-2</v>
      </c>
      <c r="I189" s="1">
        <f t="shared" si="24"/>
        <v>1.4830922379723575</v>
      </c>
      <c r="K189" s="112">
        <f>C189/'CGE-Flood Weighted Av Calcs'!$D$3</f>
        <v>1.6091482288739067E-4</v>
      </c>
      <c r="L189" s="112">
        <f>D189/'CGE-Flood Weighted Av Calcs'!$D$4</f>
        <v>1.577242941089801E-4</v>
      </c>
      <c r="M189" s="112">
        <f>E189/'CGE-Flood Weighted Av Calcs'!$D$5</f>
        <v>1.577004605466032E-4</v>
      </c>
      <c r="N189" s="112">
        <f>F189/'CGE-Flood Weighted Av Calcs'!$D$6</f>
        <v>5.4450326359706541E-5</v>
      </c>
      <c r="O189" s="112">
        <f>G189/'CGE-Flood Weighted Av Calcs'!$D$7</f>
        <v>2.4249953051190491E-4</v>
      </c>
      <c r="P189" s="112">
        <f>H189/'CGE-Flood Weighted Av Calcs'!$D$8</f>
        <v>5.8071044083771856E-4</v>
      </c>
      <c r="R189" s="1">
        <f t="shared" si="25"/>
        <v>2.5748129131465125E-3</v>
      </c>
      <c r="S189" s="1">
        <f t="shared" si="26"/>
        <v>2.98678297924998E-3</v>
      </c>
      <c r="T189" s="1">
        <f t="shared" si="27"/>
        <v>7.2094761568103571E-2</v>
      </c>
    </row>
    <row r="190" spans="1:20">
      <c r="A190">
        <v>137</v>
      </c>
      <c r="B190">
        <v>0.22236593610861355</v>
      </c>
      <c r="C190" s="1">
        <f t="shared" si="21"/>
        <v>80.087668202325119</v>
      </c>
      <c r="D190" s="1">
        <f t="shared" si="30"/>
        <v>257.59751778359862</v>
      </c>
      <c r="E190" s="1">
        <f t="shared" si="28"/>
        <v>308.83477153935416</v>
      </c>
      <c r="F190" s="1">
        <f t="shared" si="22"/>
        <v>16.525948573156381</v>
      </c>
      <c r="G190" s="1">
        <f t="shared" si="29"/>
        <v>12.324238641588709</v>
      </c>
      <c r="H190" s="1">
        <f t="shared" si="23"/>
        <v>4.8210543729686348</v>
      </c>
      <c r="I190" s="1">
        <f t="shared" si="24"/>
        <v>124.42145022262183</v>
      </c>
      <c r="K190" s="112">
        <f>C190/'CGE-Flood Weighted Av Calcs'!$D$3</f>
        <v>1.3499669887920821E-2</v>
      </c>
      <c r="L190" s="112">
        <f>D190/'CGE-Flood Weighted Av Calcs'!$D$4</f>
        <v>1.3232006011445302E-2</v>
      </c>
      <c r="M190" s="112">
        <f>E190/'CGE-Flood Weighted Av Calcs'!$D$5</f>
        <v>1.3230006536079456E-2</v>
      </c>
      <c r="N190" s="112">
        <f>F190/'CGE-Flood Weighted Av Calcs'!$D$6</f>
        <v>4.5680156616772069E-3</v>
      </c>
      <c r="O190" s="112">
        <f>G190/'CGE-Flood Weighted Av Calcs'!$D$7</f>
        <v>2.0344077389175638E-2</v>
      </c>
      <c r="P190" s="112">
        <f>H190/'CGE-Flood Weighted Av Calcs'!$D$8</f>
        <v>4.8717694933948757E-2</v>
      </c>
      <c r="R190" s="1">
        <f t="shared" si="25"/>
        <v>0.2160094621920518</v>
      </c>
      <c r="S190" s="1">
        <f t="shared" si="26"/>
        <v>0.25057097614278007</v>
      </c>
      <c r="T190" s="1">
        <f t="shared" si="27"/>
        <v>6.0482649413774503</v>
      </c>
    </row>
    <row r="191" spans="1:20">
      <c r="A191">
        <v>138</v>
      </c>
      <c r="B191">
        <v>0.22400037187773092</v>
      </c>
      <c r="C191" s="1">
        <f t="shared" si="21"/>
        <v>79.919339478503474</v>
      </c>
      <c r="D191" s="1">
        <f t="shared" si="30"/>
        <v>257.05609783216994</v>
      </c>
      <c r="E191" s="1">
        <f t="shared" si="28"/>
        <v>308.18566083190245</v>
      </c>
      <c r="F191" s="1">
        <f t="shared" si="22"/>
        <v>16.491214238948597</v>
      </c>
      <c r="G191" s="1">
        <f t="shared" si="29"/>
        <v>12.298335485595064</v>
      </c>
      <c r="H191" s="1">
        <f t="shared" si="23"/>
        <v>4.8109214530286204</v>
      </c>
      <c r="I191" s="1">
        <f t="shared" si="24"/>
        <v>124.15994049956305</v>
      </c>
      <c r="K191" s="112">
        <f>C191/'CGE-Flood Weighted Av Calcs'!$D$3</f>
        <v>1.3471296203741299E-2</v>
      </c>
      <c r="L191" s="112">
        <f>D191/'CGE-Flood Weighted Av Calcs'!$D$4</f>
        <v>1.3204194904748074E-2</v>
      </c>
      <c r="M191" s="112">
        <f>E191/'CGE-Flood Weighted Av Calcs'!$D$5</f>
        <v>1.3202199631891108E-2</v>
      </c>
      <c r="N191" s="112">
        <f>F191/'CGE-Flood Weighted Av Calcs'!$D$6</f>
        <v>4.5584145799627924E-3</v>
      </c>
      <c r="O191" s="112">
        <f>G191/'CGE-Flood Weighted Av Calcs'!$D$7</f>
        <v>2.0301318089758935E-2</v>
      </c>
      <c r="P191" s="112">
        <f>H191/'CGE-Flood Weighted Av Calcs'!$D$8</f>
        <v>4.8615299801216878E-2</v>
      </c>
      <c r="R191" s="1">
        <f t="shared" si="25"/>
        <v>0.21555545225618586</v>
      </c>
      <c r="S191" s="1">
        <f t="shared" si="26"/>
        <v>0.25004432461717557</v>
      </c>
      <c r="T191" s="1">
        <f t="shared" si="27"/>
        <v>6.0355526631732044</v>
      </c>
    </row>
    <row r="192" spans="1:20">
      <c r="A192">
        <v>139</v>
      </c>
      <c r="B192">
        <v>4.5626283609368712E-2</v>
      </c>
      <c r="C192" s="1">
        <f t="shared" si="21"/>
        <v>106.31061595585314</v>
      </c>
      <c r="D192" s="1">
        <f t="shared" si="30"/>
        <v>339.75302363116356</v>
      </c>
      <c r="E192" s="1">
        <f t="shared" si="28"/>
        <v>407.26043336707119</v>
      </c>
      <c r="F192" s="1">
        <f t="shared" si="22"/>
        <v>25.819142424668346</v>
      </c>
      <c r="G192" s="1">
        <f t="shared" si="29"/>
        <v>16.508227831195189</v>
      </c>
      <c r="H192" s="1">
        <f t="shared" si="23"/>
        <v>6.3049601170697791</v>
      </c>
      <c r="I192" s="1">
        <f t="shared" si="24"/>
        <v>232.8104034380311</v>
      </c>
      <c r="K192" s="112">
        <f>C192/'CGE-Flood Weighted Av Calcs'!$D$3</f>
        <v>1.7919840260049918E-2</v>
      </c>
      <c r="L192" s="112">
        <f>D192/'CGE-Flood Weighted Av Calcs'!$D$4</f>
        <v>1.7452086067346852E-2</v>
      </c>
      <c r="M192" s="112">
        <f>E192/'CGE-Flood Weighted Av Calcs'!$D$5</f>
        <v>1.7446410481814268E-2</v>
      </c>
      <c r="N192" s="112">
        <f>F192/'CGE-Flood Weighted Av Calcs'!$D$6</f>
        <v>7.1367913584420035E-3</v>
      </c>
      <c r="O192" s="112">
        <f>G192/'CGE-Flood Weighted Av Calcs'!$D$7</f>
        <v>2.7250743378390514E-2</v>
      </c>
      <c r="P192" s="112">
        <f>H192/'CGE-Flood Weighted Av Calcs'!$D$8</f>
        <v>6.3712851959597208E-2</v>
      </c>
      <c r="R192" s="1">
        <f t="shared" si="25"/>
        <v>0.28624914426042086</v>
      </c>
      <c r="S192" s="1">
        <f t="shared" si="26"/>
        <v>0.34437371639063125</v>
      </c>
      <c r="T192" s="1">
        <f t="shared" si="27"/>
        <v>7.9062286065105214</v>
      </c>
    </row>
    <row r="193" spans="1:20">
      <c r="A193">
        <v>140</v>
      </c>
      <c r="B193">
        <v>0.48528768720398752</v>
      </c>
      <c r="C193" s="1">
        <f t="shared" si="21"/>
        <v>53.009649192291555</v>
      </c>
      <c r="D193" s="1">
        <f t="shared" si="30"/>
        <v>170.50257994797266</v>
      </c>
      <c r="E193" s="1">
        <f t="shared" si="28"/>
        <v>204.41627612785686</v>
      </c>
      <c r="F193" s="1">
        <f t="shared" si="22"/>
        <v>10.93844728029474</v>
      </c>
      <c r="G193" s="1">
        <f t="shared" si="29"/>
        <v>8.1573553284416178</v>
      </c>
      <c r="H193" s="1">
        <f t="shared" si="23"/>
        <v>3.1910331113949311</v>
      </c>
      <c r="I193" s="1">
        <f t="shared" si="24"/>
        <v>82.353970047361983</v>
      </c>
      <c r="K193" s="112">
        <f>C193/'CGE-Flood Weighted Av Calcs'!$D$3</f>
        <v>8.9353677168197143E-3</v>
      </c>
      <c r="L193" s="112">
        <f>D193/'CGE-Flood Weighted Av Calcs'!$D$4</f>
        <v>8.7582022616141623E-3</v>
      </c>
      <c r="M193" s="112">
        <f>E193/'CGE-Flood Weighted Av Calcs'!$D$5</f>
        <v>8.756878818316445E-3</v>
      </c>
      <c r="N193" s="112">
        <f>F193/'CGE-Flood Weighted Av Calcs'!$D$6</f>
        <v>3.0235479839250978E-3</v>
      </c>
      <c r="O193" s="112">
        <f>G193/'CGE-Flood Weighted Av Calcs'!$D$7</f>
        <v>1.346564870407504E-2</v>
      </c>
      <c r="P193" s="112">
        <f>H193/'CGE-Flood Weighted Av Calcs'!$D$8</f>
        <v>3.224601209990937E-2</v>
      </c>
      <c r="R193" s="1">
        <f t="shared" si="25"/>
        <v>0.14297564244333677</v>
      </c>
      <c r="S193" s="1">
        <f t="shared" si="26"/>
        <v>0.16585174523427068</v>
      </c>
      <c r="T193" s="1">
        <f t="shared" si="27"/>
        <v>4.0033179884134302</v>
      </c>
    </row>
    <row r="194" spans="1:20">
      <c r="A194">
        <v>141</v>
      </c>
      <c r="B194">
        <v>0.45667861939864285</v>
      </c>
      <c r="C194" s="1">
        <f t="shared" si="21"/>
        <v>55.956065297710886</v>
      </c>
      <c r="D194" s="1">
        <f t="shared" si="30"/>
        <v>179.97956301103557</v>
      </c>
      <c r="E194" s="1">
        <f t="shared" si="28"/>
        <v>215.77827186580535</v>
      </c>
      <c r="F194" s="1">
        <f t="shared" si="22"/>
        <v>11.546435028299445</v>
      </c>
      <c r="G194" s="1">
        <f t="shared" si="29"/>
        <v>8.6107626511379483</v>
      </c>
      <c r="H194" s="1">
        <f t="shared" si="23"/>
        <v>3.3683991474959134</v>
      </c>
      <c r="I194" s="1">
        <f t="shared" si="24"/>
        <v>86.931420896217134</v>
      </c>
      <c r="K194" s="112">
        <f>C194/'CGE-Flood Weighted Av Calcs'!$D$3</f>
        <v>9.4320190199283175E-3</v>
      </c>
      <c r="L194" s="112">
        <f>D194/'CGE-Flood Weighted Av Calcs'!$D$4</f>
        <v>9.2450062414807643E-3</v>
      </c>
      <c r="M194" s="112">
        <f>E194/'CGE-Flood Weighted Av Calcs'!$D$5</f>
        <v>9.2436092377142197E-3</v>
      </c>
      <c r="N194" s="112">
        <f>F194/'CGE-Flood Weighted Av Calcs'!$D$6</f>
        <v>3.1916047549297348E-3</v>
      </c>
      <c r="O194" s="112">
        <f>G194/'CGE-Flood Weighted Av Calcs'!$D$7</f>
        <v>1.4214104972247723E-2</v>
      </c>
      <c r="P194" s="112">
        <f>H194/'CGE-Flood Weighted Av Calcs'!$D$8</f>
        <v>3.4038330495416422E-2</v>
      </c>
      <c r="R194" s="1">
        <f t="shared" si="25"/>
        <v>0.15092260572259919</v>
      </c>
      <c r="S194" s="1">
        <f t="shared" si="26"/>
        <v>0.17507022263821506</v>
      </c>
      <c r="T194" s="1">
        <f t="shared" si="27"/>
        <v>4.2258329602327782</v>
      </c>
    </row>
    <row r="195" spans="1:20">
      <c r="A195">
        <v>142</v>
      </c>
      <c r="B195">
        <v>0.23802221714913763</v>
      </c>
      <c r="C195" s="1">
        <f t="shared" si="21"/>
        <v>78.475245213829368</v>
      </c>
      <c r="D195" s="1">
        <f t="shared" si="30"/>
        <v>252.41124917599717</v>
      </c>
      <c r="E195" s="1">
        <f t="shared" si="28"/>
        <v>302.61693180878717</v>
      </c>
      <c r="F195" s="1">
        <f t="shared" si="22"/>
        <v>16.19322794357408</v>
      </c>
      <c r="G195" s="1">
        <f t="shared" si="29"/>
        <v>12.07611198055017</v>
      </c>
      <c r="H195" s="1">
        <f t="shared" si="23"/>
        <v>4.7239910038601192</v>
      </c>
      <c r="I195" s="1">
        <f t="shared" si="24"/>
        <v>121.91644525613798</v>
      </c>
      <c r="K195" s="112">
        <f>C195/'CGE-Flood Weighted Av Calcs'!$D$3</f>
        <v>1.322787800593723E-2</v>
      </c>
      <c r="L195" s="112">
        <f>D195/'CGE-Flood Weighted Av Calcs'!$D$4</f>
        <v>1.2965603066326855E-2</v>
      </c>
      <c r="M195" s="112">
        <f>E195/'CGE-Flood Weighted Av Calcs'!$D$5</f>
        <v>1.2963643846847058E-2</v>
      </c>
      <c r="N195" s="112">
        <f>F195/'CGE-Flood Weighted Av Calcs'!$D$6</f>
        <v>4.4760467777025933E-3</v>
      </c>
      <c r="O195" s="112">
        <f>G195/'CGE-Flood Weighted Av Calcs'!$D$7</f>
        <v>1.9934485515690537E-2</v>
      </c>
      <c r="P195" s="112">
        <f>H195/'CGE-Flood Weighted Av Calcs'!$D$8</f>
        <v>4.7736850653908383E-2</v>
      </c>
      <c r="R195" s="1">
        <f t="shared" si="25"/>
        <v>0.21166049523635067</v>
      </c>
      <c r="S195" s="1">
        <f t="shared" si="26"/>
        <v>0.24552617447416675</v>
      </c>
      <c r="T195" s="1">
        <f t="shared" si="27"/>
        <v>5.9264938666178182</v>
      </c>
    </row>
    <row r="196" spans="1:20">
      <c r="A196">
        <v>143</v>
      </c>
      <c r="B196">
        <v>0.8217244050077166</v>
      </c>
      <c r="C196" s="1">
        <f t="shared" si="21"/>
        <v>18.360405444260849</v>
      </c>
      <c r="D196" s="1">
        <f t="shared" si="30"/>
        <v>59.055220037043739</v>
      </c>
      <c r="E196" s="1">
        <f t="shared" si="28"/>
        <v>70.801557193840097</v>
      </c>
      <c r="F196" s="1">
        <f t="shared" si="22"/>
        <v>3.7886371643087227</v>
      </c>
      <c r="G196" s="1">
        <f t="shared" si="29"/>
        <v>2.8253790293875198</v>
      </c>
      <c r="H196" s="1">
        <f t="shared" si="23"/>
        <v>1.1052452261802896</v>
      </c>
      <c r="I196" s="1">
        <f t="shared" si="24"/>
        <v>28.524095198765323</v>
      </c>
      <c r="K196" s="112">
        <f>C196/'CGE-Flood Weighted Av Calcs'!$D$3</f>
        <v>3.0948511558575981E-3</v>
      </c>
      <c r="L196" s="112">
        <f>D196/'CGE-Flood Weighted Av Calcs'!$D$4</f>
        <v>3.033488184439102E-3</v>
      </c>
      <c r="M196" s="112">
        <f>E196/'CGE-Flood Weighted Av Calcs'!$D$5</f>
        <v>3.0330297970341904E-3</v>
      </c>
      <c r="N196" s="112">
        <f>F196/'CGE-Flood Weighted Av Calcs'!$D$6</f>
        <v>1.0472351300358121E-3</v>
      </c>
      <c r="O196" s="112">
        <f>G196/'CGE-Flood Weighted Av Calcs'!$D$7</f>
        <v>4.6639578556719654E-3</v>
      </c>
      <c r="P196" s="112">
        <f>H196/'CGE-Flood Weighted Av Calcs'!$D$8</f>
        <v>1.1168718622664839E-2</v>
      </c>
      <c r="R196" s="1">
        <f t="shared" si="25"/>
        <v>4.9520998608967609E-2</v>
      </c>
      <c r="S196" s="1">
        <f t="shared" si="26"/>
        <v>5.7444358386402439E-2</v>
      </c>
      <c r="T196" s="1">
        <f t="shared" si="27"/>
        <v>1.3865879610510934</v>
      </c>
    </row>
    <row r="197" spans="1:20">
      <c r="A197">
        <v>144</v>
      </c>
      <c r="B197">
        <v>0.45736816427076377</v>
      </c>
      <c r="C197" s="1">
        <f t="shared" si="21"/>
        <v>55.885049837492119</v>
      </c>
      <c r="D197" s="1">
        <f t="shared" si="30"/>
        <v>179.75114574421741</v>
      </c>
      <c r="E197" s="1">
        <f t="shared" si="28"/>
        <v>215.50442142260084</v>
      </c>
      <c r="F197" s="1">
        <f t="shared" si="22"/>
        <v>11.531781113785296</v>
      </c>
      <c r="G197" s="1">
        <f t="shared" si="29"/>
        <v>8.5998344833110707</v>
      </c>
      <c r="H197" s="1">
        <f t="shared" si="23"/>
        <v>3.3641242147538195</v>
      </c>
      <c r="I197" s="1">
        <f t="shared" si="24"/>
        <v>86.82109371667778</v>
      </c>
      <c r="K197" s="112">
        <f>C197/'CGE-Flood Weighted Av Calcs'!$D$3</f>
        <v>9.420048571900411E-3</v>
      </c>
      <c r="L197" s="112">
        <f>D197/'CGE-Flood Weighted Av Calcs'!$D$4</f>
        <v>9.2332731367767238E-3</v>
      </c>
      <c r="M197" s="112">
        <f>E197/'CGE-Flood Weighted Av Calcs'!$D$5</f>
        <v>9.2318779059880497E-3</v>
      </c>
      <c r="N197" s="112">
        <f>F197/'CGE-Flood Weighted Av Calcs'!$D$6</f>
        <v>3.1875541970625607E-3</v>
      </c>
      <c r="O197" s="112">
        <f>G197/'CGE-Flood Weighted Av Calcs'!$D$7</f>
        <v>1.4196065440682533E-2</v>
      </c>
      <c r="P197" s="112">
        <f>H197/'CGE-Flood Weighted Av Calcs'!$D$8</f>
        <v>3.3995131466100302E-2</v>
      </c>
      <c r="R197" s="1">
        <f t="shared" si="25"/>
        <v>0.15073106548034337</v>
      </c>
      <c r="S197" s="1">
        <f t="shared" si="26"/>
        <v>0.17484803595719833</v>
      </c>
      <c r="T197" s="1">
        <f t="shared" si="27"/>
        <v>4.2204698334496147</v>
      </c>
    </row>
    <row r="198" spans="1:20">
      <c r="A198">
        <v>145</v>
      </c>
      <c r="B198">
        <v>0.92818699348967693</v>
      </c>
      <c r="C198" s="1">
        <f t="shared" si="21"/>
        <v>7.3959417482687257</v>
      </c>
      <c r="D198" s="1">
        <f t="shared" si="30"/>
        <v>23.788634115467971</v>
      </c>
      <c r="E198" s="1">
        <f t="shared" si="28"/>
        <v>28.520295713624364</v>
      </c>
      <c r="F198" s="1">
        <f t="shared" si="22"/>
        <v>1.5261394884562343</v>
      </c>
      <c r="G198" s="1">
        <f t="shared" si="29"/>
        <v>1.1381196772352311</v>
      </c>
      <c r="H198" s="1">
        <f t="shared" si="23"/>
        <v>0.44521507627908452</v>
      </c>
      <c r="I198" s="1">
        <f t="shared" si="24"/>
        <v>11.490081041651678</v>
      </c>
      <c r="K198" s="112">
        <f>C198/'CGE-Flood Weighted Av Calcs'!$D$3</f>
        <v>1.2466684865850687E-3</v>
      </c>
      <c r="L198" s="112">
        <f>D198/'CGE-Flood Weighted Av Calcs'!$D$4</f>
        <v>1.2219502436524902E-3</v>
      </c>
      <c r="M198" s="112">
        <f>E198/'CGE-Flood Weighted Av Calcs'!$D$5</f>
        <v>1.2217655959574736E-3</v>
      </c>
      <c r="N198" s="112">
        <f>F198/'CGE-Flood Weighted Av Calcs'!$D$6</f>
        <v>4.2184743915372162E-4</v>
      </c>
      <c r="O198" s="112">
        <f>G198/'CGE-Flood Weighted Av Calcs'!$D$7</f>
        <v>1.8787363232064432E-3</v>
      </c>
      <c r="P198" s="112">
        <f>H198/'CGE-Flood Weighted Av Calcs'!$D$8</f>
        <v>4.4989851987094105E-3</v>
      </c>
      <c r="R198" s="1">
        <f t="shared" si="25"/>
        <v>1.9948057363978616E-2</v>
      </c>
      <c r="S198" s="1">
        <f t="shared" si="26"/>
        <v>2.3139746542215234E-2</v>
      </c>
      <c r="T198" s="1">
        <f t="shared" si="27"/>
        <v>0.55854560619140248</v>
      </c>
    </row>
    <row r="199" spans="1:20">
      <c r="A199">
        <v>146</v>
      </c>
      <c r="B199">
        <v>0.58705831034262201</v>
      </c>
      <c r="C199" s="1">
        <f t="shared" si="21"/>
        <v>42.528405793713745</v>
      </c>
      <c r="D199" s="1">
        <f t="shared" si="30"/>
        <v>136.79024516081765</v>
      </c>
      <c r="E199" s="1">
        <f t="shared" si="28"/>
        <v>163.9984130147669</v>
      </c>
      <c r="F199" s="1">
        <f t="shared" si="22"/>
        <v>8.7756612574822679</v>
      </c>
      <c r="G199" s="1">
        <f t="shared" si="29"/>
        <v>6.5444560169231565</v>
      </c>
      <c r="H199" s="1">
        <f t="shared" si="23"/>
        <v>2.5600914763705869</v>
      </c>
      <c r="I199" s="1">
        <f t="shared" si="24"/>
        <v>66.07067034518046</v>
      </c>
      <c r="K199" s="112">
        <f>C199/'CGE-Flood Weighted Av Calcs'!$D$3</f>
        <v>7.1686372192068257E-3</v>
      </c>
      <c r="L199" s="112">
        <f>D199/'CGE-Flood Weighted Av Calcs'!$D$4</f>
        <v>7.0265015045508335E-3</v>
      </c>
      <c r="M199" s="112">
        <f>E199/'CGE-Flood Weighted Av Calcs'!$D$5</f>
        <v>7.0254397368449944E-3</v>
      </c>
      <c r="N199" s="112">
        <f>F199/'CGE-Flood Weighted Av Calcs'!$D$6</f>
        <v>2.4257220629905658E-3</v>
      </c>
      <c r="O199" s="112">
        <f>G199/'CGE-Flood Weighted Av Calcs'!$D$7</f>
        <v>1.0803176046027761E-2</v>
      </c>
      <c r="P199" s="112">
        <f>H199/'CGE-Flood Weighted Av Calcs'!$D$8</f>
        <v>2.5870223793395115E-2</v>
      </c>
      <c r="R199" s="1">
        <f t="shared" si="25"/>
        <v>0.1147060249048272</v>
      </c>
      <c r="S199" s="1">
        <f t="shared" si="26"/>
        <v>0.13305898888959955</v>
      </c>
      <c r="T199" s="1">
        <f t="shared" si="27"/>
        <v>3.2117686973351622</v>
      </c>
    </row>
    <row r="200" spans="1:20">
      <c r="A200">
        <v>147</v>
      </c>
      <c r="B200">
        <v>7.5946779187825553E-2</v>
      </c>
      <c r="C200" s="1">
        <f t="shared" si="21"/>
        <v>98.715331813449694</v>
      </c>
      <c r="D200" s="1">
        <f t="shared" si="30"/>
        <v>316.54395085100913</v>
      </c>
      <c r="E200" s="1">
        <f t="shared" si="28"/>
        <v>379.47452754576977</v>
      </c>
      <c r="F200" s="1">
        <f t="shared" si="22"/>
        <v>22.087068327135295</v>
      </c>
      <c r="G200" s="1">
        <f t="shared" si="29"/>
        <v>15.256519393512864</v>
      </c>
      <c r="H200" s="1">
        <f t="shared" si="23"/>
        <v>5.9005208831993894</v>
      </c>
      <c r="I200" s="1">
        <f t="shared" si="24"/>
        <v>183.28692732655159</v>
      </c>
      <c r="K200" s="112">
        <f>C200/'CGE-Flood Weighted Av Calcs'!$D$3</f>
        <v>1.6639570389183213E-2</v>
      </c>
      <c r="L200" s="112">
        <f>D200/'CGE-Flood Weighted Av Calcs'!$D$4</f>
        <v>1.6259906138015916E-2</v>
      </c>
      <c r="M200" s="112">
        <f>E200/'CGE-Flood Weighted Av Calcs'!$D$5</f>
        <v>1.6256105019141126E-2</v>
      </c>
      <c r="N200" s="112">
        <f>F200/'CGE-Flood Weighted Av Calcs'!$D$6</f>
        <v>6.105191093404105E-3</v>
      </c>
      <c r="O200" s="112">
        <f>G200/'CGE-Flood Weighted Av Calcs'!$D$7</f>
        <v>2.5184501879385372E-2</v>
      </c>
      <c r="P200" s="112">
        <f>H200/'CGE-Flood Weighted Av Calcs'!$D$8</f>
        <v>5.9625914603011247E-2</v>
      </c>
      <c r="R200" s="1">
        <f t="shared" si="25"/>
        <v>0.26603548054144965</v>
      </c>
      <c r="S200" s="1">
        <f t="shared" si="26"/>
        <v>0.31405322081217446</v>
      </c>
      <c r="T200" s="1">
        <f t="shared" si="27"/>
        <v>7.4008870135362406</v>
      </c>
    </row>
    <row r="201" spans="1:20">
      <c r="A201">
        <v>148</v>
      </c>
      <c r="B201">
        <v>0.22185050798592587</v>
      </c>
      <c r="C201" s="1">
        <f t="shared" si="21"/>
        <v>80.140751571982818</v>
      </c>
      <c r="D201" s="1">
        <f t="shared" si="30"/>
        <v>257.76825748131171</v>
      </c>
      <c r="E201" s="1">
        <f t="shared" si="28"/>
        <v>309.03947209699004</v>
      </c>
      <c r="F201" s="1">
        <f t="shared" si="22"/>
        <v>16.53690223252422</v>
      </c>
      <c r="G201" s="1">
        <f t="shared" si="29"/>
        <v>12.332407341342938</v>
      </c>
      <c r="H201" s="1">
        <f t="shared" si="23"/>
        <v>4.8242498438465429</v>
      </c>
      <c r="I201" s="1">
        <f t="shared" si="24"/>
        <v>124.50391872225185</v>
      </c>
      <c r="K201" s="112">
        <f>C201/'CGE-Flood Weighted Av Calcs'!$D$3</f>
        <v>1.3508617682044468E-2</v>
      </c>
      <c r="L201" s="112">
        <f>D201/'CGE-Flood Weighted Av Calcs'!$D$4</f>
        <v>1.3240776393729925E-2</v>
      </c>
      <c r="M201" s="112">
        <f>E201/'CGE-Flood Weighted Av Calcs'!$D$5</f>
        <v>1.323877559308027E-2</v>
      </c>
      <c r="N201" s="112">
        <f>F201/'CGE-Flood Weighted Av Calcs'!$D$6</f>
        <v>4.5710434145062482E-3</v>
      </c>
      <c r="O201" s="112">
        <f>G201/'CGE-Flood Weighted Av Calcs'!$D$7</f>
        <v>2.0357561764543716E-2</v>
      </c>
      <c r="P201" s="112">
        <f>H201/'CGE-Flood Weighted Av Calcs'!$D$8</f>
        <v>4.8749985790545007E-2</v>
      </c>
      <c r="R201" s="1">
        <f t="shared" si="25"/>
        <v>0.21615263667057616</v>
      </c>
      <c r="S201" s="1">
        <f t="shared" si="26"/>
        <v>0.25073705853786832</v>
      </c>
      <c r="T201" s="1">
        <f t="shared" si="27"/>
        <v>6.0522738267761325</v>
      </c>
    </row>
    <row r="202" spans="1:20">
      <c r="A202">
        <v>149</v>
      </c>
      <c r="B202">
        <v>0.20065312151973502</v>
      </c>
      <c r="C202" s="1">
        <f t="shared" si="21"/>
        <v>82.323846851484177</v>
      </c>
      <c r="D202" s="1">
        <f t="shared" si="30"/>
        <v>264.79006168297673</v>
      </c>
      <c r="E202" s="1">
        <f t="shared" si="28"/>
        <v>317.4579433426527</v>
      </c>
      <c r="F202" s="1">
        <f t="shared" si="22"/>
        <v>16.987380079228373</v>
      </c>
      <c r="G202" s="1">
        <f t="shared" si="29"/>
        <v>12.668351536071278</v>
      </c>
      <c r="H202" s="1">
        <f t="shared" si="23"/>
        <v>4.9556660940644726</v>
      </c>
      <c r="I202" s="1">
        <f t="shared" si="24"/>
        <v>127.89550055684239</v>
      </c>
      <c r="K202" s="112">
        <f>C202/'CGE-Flood Weighted Av Calcs'!$D$3</f>
        <v>1.3876602744772154E-2</v>
      </c>
      <c r="L202" s="112">
        <f>D202/'CGE-Flood Weighted Av Calcs'!$D$4</f>
        <v>1.3601465255202873E-2</v>
      </c>
      <c r="M202" s="112">
        <f>E202/'CGE-Flood Weighted Av Calcs'!$D$5</f>
        <v>1.3599409951215429E-2</v>
      </c>
      <c r="N202" s="112">
        <f>F202/'CGE-Flood Weighted Av Calcs'!$D$6</f>
        <v>4.6955621282051239E-3</v>
      </c>
      <c r="O202" s="112">
        <f>G202/'CGE-Flood Weighted Av Calcs'!$D$7</f>
        <v>2.0912117294889777E-2</v>
      </c>
      <c r="P202" s="112">
        <f>H202/'CGE-Flood Weighted Av Calcs'!$D$8</f>
        <v>5.0077972635783237E-2</v>
      </c>
      <c r="R202" s="1">
        <f t="shared" si="25"/>
        <v>0.22204079957785139</v>
      </c>
      <c r="S202" s="1">
        <f t="shared" si="26"/>
        <v>0.25756732751030759</v>
      </c>
      <c r="T202" s="1">
        <f t="shared" si="27"/>
        <v>6.2171423881798393</v>
      </c>
    </row>
    <row r="203" spans="1:20">
      <c r="A203">
        <v>150</v>
      </c>
      <c r="B203">
        <v>0.93065927382291447</v>
      </c>
      <c r="C203" s="1">
        <f t="shared" si="21"/>
        <v>7.1413243437267511</v>
      </c>
      <c r="D203" s="1">
        <f t="shared" si="30"/>
        <v>22.969671435360681</v>
      </c>
      <c r="E203" s="1">
        <f t="shared" si="28"/>
        <v>27.538437835542368</v>
      </c>
      <c r="F203" s="1">
        <f t="shared" si="22"/>
        <v>1.4735996377183973</v>
      </c>
      <c r="G203" s="1">
        <f t="shared" si="29"/>
        <v>1.0989380438288254</v>
      </c>
      <c r="H203" s="1">
        <f t="shared" si="23"/>
        <v>0.42988781829849287</v>
      </c>
      <c r="I203" s="1">
        <f t="shared" si="24"/>
        <v>11.094516188333671</v>
      </c>
      <c r="K203" s="112">
        <f>C203/'CGE-Flood Weighted Av Calcs'!$D$3</f>
        <v>1.2037498826827509E-3</v>
      </c>
      <c r="L203" s="112">
        <f>D203/'CGE-Flood Weighted Av Calcs'!$D$4</f>
        <v>1.1798826057359147E-3</v>
      </c>
      <c r="M203" s="112">
        <f>E203/'CGE-Flood Weighted Av Calcs'!$D$5</f>
        <v>1.1797043148401346E-3</v>
      </c>
      <c r="N203" s="112">
        <f>F203/'CGE-Flood Weighted Av Calcs'!$D$6</f>
        <v>4.073246503425265E-4</v>
      </c>
      <c r="O203" s="112">
        <f>G203/'CGE-Flood Weighted Av Calcs'!$D$7</f>
        <v>1.8140577491025363E-3</v>
      </c>
      <c r="P203" s="112">
        <f>H203/'CGE-Flood Weighted Av Calcs'!$D$8</f>
        <v>4.3441002667619208E-3</v>
      </c>
      <c r="R203" s="1">
        <f t="shared" si="25"/>
        <v>1.9261312826968191E-2</v>
      </c>
      <c r="S203" s="1">
        <f t="shared" si="26"/>
        <v>2.2343122879283139E-2</v>
      </c>
      <c r="T203" s="1">
        <f t="shared" si="27"/>
        <v>0.53931675915511068</v>
      </c>
    </row>
    <row r="204" spans="1:20">
      <c r="A204">
        <v>151</v>
      </c>
      <c r="B204">
        <v>0.45040016306497754</v>
      </c>
      <c r="C204" s="1">
        <f t="shared" si="21"/>
        <v>56.602676539452482</v>
      </c>
      <c r="D204" s="1">
        <f t="shared" si="30"/>
        <v>182.05935200455218</v>
      </c>
      <c r="E204" s="1">
        <f t="shared" si="28"/>
        <v>218.27173983160446</v>
      </c>
      <c r="F204" s="1">
        <f t="shared" si="22"/>
        <v>11.679862113488774</v>
      </c>
      <c r="G204" s="1">
        <f t="shared" si="29"/>
        <v>8.7102660007850545</v>
      </c>
      <c r="H204" s="1">
        <f t="shared" si="23"/>
        <v>3.407323341751809</v>
      </c>
      <c r="I204" s="1">
        <f t="shared" si="24"/>
        <v>87.935973909603575</v>
      </c>
      <c r="K204" s="112">
        <f>C204/'CGE-Flood Weighted Av Calcs'!$D$3</f>
        <v>9.5410125579506507E-3</v>
      </c>
      <c r="L204" s="112">
        <f>D204/'CGE-Flood Weighted Av Calcs'!$D$4</f>
        <v>9.3518387168148951E-3</v>
      </c>
      <c r="M204" s="112">
        <f>E204/'CGE-Flood Weighted Av Calcs'!$D$5</f>
        <v>9.350425569698468E-3</v>
      </c>
      <c r="N204" s="112">
        <f>F204/'CGE-Flood Weighted Av Calcs'!$D$6</f>
        <v>3.2284859670513081E-3</v>
      </c>
      <c r="O204" s="112">
        <f>G204/'CGE-Flood Weighted Av Calcs'!$D$7</f>
        <v>1.4378358838516738E-2</v>
      </c>
      <c r="P204" s="112">
        <f>H204/'CGE-Flood Weighted Av Calcs'!$D$8</f>
        <v>3.4431667071734853E-2</v>
      </c>
      <c r="R204" s="1">
        <f t="shared" si="25"/>
        <v>0.15266662137083956</v>
      </c>
      <c r="S204" s="1">
        <f t="shared" si="26"/>
        <v>0.17709328079017389</v>
      </c>
      <c r="T204" s="1">
        <f t="shared" si="27"/>
        <v>4.2746653983835081</v>
      </c>
    </row>
    <row r="205" spans="1:20">
      <c r="A205">
        <v>152</v>
      </c>
      <c r="B205">
        <v>0.1267784332537446</v>
      </c>
      <c r="C205" s="1">
        <f t="shared" si="21"/>
        <v>89.932118913011564</v>
      </c>
      <c r="D205" s="1">
        <f t="shared" si="30"/>
        <v>289.26164440805422</v>
      </c>
      <c r="E205" s="1">
        <f t="shared" si="28"/>
        <v>346.79702908048478</v>
      </c>
      <c r="F205" s="1">
        <f t="shared" si="22"/>
        <v>18.557333551987039</v>
      </c>
      <c r="G205" s="1">
        <f t="shared" si="29"/>
        <v>13.8391455252222</v>
      </c>
      <c r="H205" s="1">
        <f t="shared" si="23"/>
        <v>5.4136628633086143</v>
      </c>
      <c r="I205" s="1">
        <f t="shared" si="24"/>
        <v>139.71545067940087</v>
      </c>
      <c r="K205" s="112">
        <f>C205/'CGE-Flood Weighted Av Calcs'!$D$3</f>
        <v>1.5159061874293028E-2</v>
      </c>
      <c r="L205" s="112">
        <f>D205/'CGE-Flood Weighted Av Calcs'!$D$4</f>
        <v>1.4858496505014175E-2</v>
      </c>
      <c r="M205" s="112">
        <f>E205/'CGE-Flood Weighted Av Calcs'!$D$5</f>
        <v>1.4856251252275509E-2</v>
      </c>
      <c r="N205" s="112">
        <f>F205/'CGE-Flood Weighted Av Calcs'!$D$6</f>
        <v>5.1295203981294966E-3</v>
      </c>
      <c r="O205" s="112">
        <f>G205/'CGE-Flood Weighted Av Calcs'!$D$7</f>
        <v>2.28447903154925E-2</v>
      </c>
      <c r="P205" s="112">
        <f>H205/'CGE-Flood Weighted Av Calcs'!$D$8</f>
        <v>5.4706119335367322E-2</v>
      </c>
      <c r="R205" s="1">
        <f t="shared" si="25"/>
        <v>0.24256154631840426</v>
      </c>
      <c r="S205" s="1">
        <f t="shared" si="26"/>
        <v>0.28137139372934894</v>
      </c>
      <c r="T205" s="1">
        <f t="shared" si="27"/>
        <v>6.7917232969153201</v>
      </c>
    </row>
    <row r="206" spans="1:20">
      <c r="A206">
        <v>153</v>
      </c>
      <c r="B206">
        <v>0.87968996841849911</v>
      </c>
      <c r="C206" s="1">
        <f t="shared" si="21"/>
        <v>12.390596474765928</v>
      </c>
      <c r="D206" s="1">
        <f t="shared" si="30"/>
        <v>39.853662460174405</v>
      </c>
      <c r="E206" s="1">
        <f t="shared" si="28"/>
        <v>47.780727263196354</v>
      </c>
      <c r="F206" s="1">
        <f t="shared" si="22"/>
        <v>2.5567776504044772</v>
      </c>
      <c r="G206" s="1">
        <f t="shared" si="29"/>
        <v>1.9067188656419081</v>
      </c>
      <c r="H206" s="1">
        <f t="shared" si="23"/>
        <v>0.74587936768804131</v>
      </c>
      <c r="I206" s="1">
        <f t="shared" si="24"/>
        <v>19.249605053040113</v>
      </c>
      <c r="K206" s="112">
        <f>C206/'CGE-Flood Weighted Av Calcs'!$D$3</f>
        <v>2.0885732582599939E-3</v>
      </c>
      <c r="L206" s="112">
        <f>D206/'CGE-Flood Weighted Av Calcs'!$D$4</f>
        <v>2.04716220011929E-3</v>
      </c>
      <c r="M206" s="112">
        <f>E206/'CGE-Flood Weighted Av Calcs'!$D$5</f>
        <v>2.0468528554601741E-3</v>
      </c>
      <c r="N206" s="112">
        <f>F206/'CGE-Flood Weighted Av Calcs'!$D$6</f>
        <v>7.0673101146188487E-4</v>
      </c>
      <c r="O206" s="112">
        <f>G206/'CGE-Flood Weighted Av Calcs'!$D$7</f>
        <v>3.1474914832564224E-3</v>
      </c>
      <c r="P206" s="112">
        <f>H206/'CGE-Flood Weighted Av Calcs'!$D$8</f>
        <v>7.5372565172247231E-3</v>
      </c>
      <c r="R206" s="1">
        <f t="shared" si="25"/>
        <v>3.3419453217083561E-2</v>
      </c>
      <c r="S206" s="1">
        <f t="shared" si="26"/>
        <v>3.8766565731816971E-2</v>
      </c>
      <c r="T206" s="1">
        <f t="shared" si="27"/>
        <v>0.93574469007834082</v>
      </c>
    </row>
    <row r="207" spans="1:20">
      <c r="A207">
        <v>154</v>
      </c>
      <c r="B207">
        <v>8.3589628896297952E-2</v>
      </c>
      <c r="C207" s="1">
        <f t="shared" si="21"/>
        <v>96.800797961477357</v>
      </c>
      <c r="D207" s="1">
        <f t="shared" si="30"/>
        <v>310.69366866572216</v>
      </c>
      <c r="E207" s="1">
        <f t="shared" si="28"/>
        <v>372.47056873327386</v>
      </c>
      <c r="F207" s="1">
        <f t="shared" si="22"/>
        <v>21.146329038935981</v>
      </c>
      <c r="G207" s="1">
        <f t="shared" si="29"/>
        <v>14.941002800346423</v>
      </c>
      <c r="H207" s="1">
        <f t="shared" si="23"/>
        <v>5.7985743872167399</v>
      </c>
      <c r="I207" s="1">
        <f t="shared" si="24"/>
        <v>170.80360613604668</v>
      </c>
      <c r="K207" s="112">
        <f>C207/'CGE-Flood Weighted Av Calcs'!$D$3</f>
        <v>1.6316854350983893E-2</v>
      </c>
      <c r="L207" s="112">
        <f>D207/'CGE-Flood Weighted Av Calcs'!$D$4</f>
        <v>1.5959394822105646E-2</v>
      </c>
      <c r="M207" s="112">
        <f>E207/'CGE-Flood Weighted Av Calcs'!$D$5</f>
        <v>1.5956066197716043E-2</v>
      </c>
      <c r="N207" s="112">
        <f>F207/'CGE-Flood Weighted Av Calcs'!$D$6</f>
        <v>5.8451568942762084E-3</v>
      </c>
      <c r="O207" s="112">
        <f>G207/'CGE-Flood Weighted Av Calcs'!$D$7</f>
        <v>2.4663666947863819E-2</v>
      </c>
      <c r="P207" s="112">
        <f>H207/'CGE-Flood Weighted Av Calcs'!$D$8</f>
        <v>5.8595725373303494E-2</v>
      </c>
      <c r="R207" s="1">
        <f t="shared" si="25"/>
        <v>0.26094024740246802</v>
      </c>
      <c r="S207" s="1">
        <f t="shared" si="26"/>
        <v>0.30641037110370206</v>
      </c>
      <c r="T207" s="1">
        <f t="shared" si="27"/>
        <v>7.2735061850617004</v>
      </c>
    </row>
    <row r="208" spans="1:20">
      <c r="A208">
        <v>155</v>
      </c>
      <c r="B208">
        <v>0.98340465496495288</v>
      </c>
      <c r="C208" s="1">
        <f t="shared" si="21"/>
        <v>1.7091361458872569</v>
      </c>
      <c r="D208" s="1">
        <f t="shared" si="30"/>
        <v>5.4973410840546535</v>
      </c>
      <c r="E208" s="1">
        <f t="shared" si="28"/>
        <v>6.5907858599560996</v>
      </c>
      <c r="F208" s="1">
        <f t="shared" si="22"/>
        <v>0.35267721842143729</v>
      </c>
      <c r="G208" s="1">
        <f t="shared" si="29"/>
        <v>0.26300930225195351</v>
      </c>
      <c r="H208" s="1">
        <f t="shared" si="23"/>
        <v>0.10288523158536922</v>
      </c>
      <c r="I208" s="1">
        <f t="shared" si="24"/>
        <v>2.6552552056075172</v>
      </c>
      <c r="K208" s="112">
        <f>C208/'CGE-Flood Weighted Av Calcs'!$D$3</f>
        <v>2.8809396353883851E-4</v>
      </c>
      <c r="L208" s="112">
        <f>D208/'CGE-Flood Weighted Av Calcs'!$D$4</f>
        <v>2.823817981518138E-4</v>
      </c>
      <c r="M208" s="112">
        <f>E208/'CGE-Flood Weighted Av Calcs'!$D$5</f>
        <v>2.8233912771706159E-4</v>
      </c>
      <c r="N208" s="112">
        <f>F208/'CGE-Flood Weighted Av Calcs'!$D$6</f>
        <v>9.7485179149276406E-5</v>
      </c>
      <c r="O208" s="112">
        <f>G208/'CGE-Flood Weighted Av Calcs'!$D$7</f>
        <v>4.3415920079888001E-4</v>
      </c>
      <c r="P208" s="112">
        <f>H208/'CGE-Flood Weighted Av Calcs'!$D$8</f>
        <v>1.0396753361025196E-3</v>
      </c>
      <c r="R208" s="1">
        <f t="shared" si="25"/>
        <v>4.6098180652908438E-3</v>
      </c>
      <c r="S208" s="1">
        <f t="shared" si="26"/>
        <v>5.3473889557373866E-3</v>
      </c>
      <c r="T208" s="1">
        <f t="shared" si="27"/>
        <v>0.12907490582814507</v>
      </c>
    </row>
    <row r="209" spans="1:20">
      <c r="A209">
        <v>156</v>
      </c>
      <c r="B209">
        <v>0.95944727560615028</v>
      </c>
      <c r="C209" s="1">
        <f t="shared" si="21"/>
        <v>4.176480026739938</v>
      </c>
      <c r="D209" s="1">
        <f t="shared" si="30"/>
        <v>13.43341505764738</v>
      </c>
      <c r="E209" s="1">
        <f t="shared" si="28"/>
        <v>16.105379065830448</v>
      </c>
      <c r="F209" s="1">
        <f t="shared" si="22"/>
        <v>0.86180926087588006</v>
      </c>
      <c r="G209" s="1">
        <f t="shared" si="29"/>
        <v>0.64269490780201366</v>
      </c>
      <c r="H209" s="1">
        <f t="shared" si="23"/>
        <v>0.25141245523172984</v>
      </c>
      <c r="I209" s="1">
        <f t="shared" si="24"/>
        <v>6.488435903015926</v>
      </c>
      <c r="K209" s="112">
        <f>C209/'CGE-Flood Weighted Av Calcs'!$D$3</f>
        <v>7.0399229893981384E-4</v>
      </c>
      <c r="L209" s="112">
        <f>D209/'CGE-Flood Weighted Av Calcs'!$D$4</f>
        <v>6.9003393482368217E-4</v>
      </c>
      <c r="M209" s="112">
        <f>E209/'CGE-Flood Weighted Av Calcs'!$D$5</f>
        <v>6.8992966447698866E-4</v>
      </c>
      <c r="N209" s="112">
        <f>F209/'CGE-Flood Weighted Av Calcs'!$D$6</f>
        <v>2.3821677670315871E-4</v>
      </c>
      <c r="O209" s="112">
        <f>G209/'CGE-Flood Weighted Av Calcs'!$D$7</f>
        <v>1.060920298786731E-3</v>
      </c>
      <c r="P209" s="112">
        <f>H209/'CGE-Flood Weighted Av Calcs'!$D$8</f>
        <v>2.540571905857273E-3</v>
      </c>
      <c r="R209" s="1">
        <f t="shared" si="25"/>
        <v>1.1264645664958245E-2</v>
      </c>
      <c r="S209" s="1">
        <f t="shared" si="26"/>
        <v>1.3066988971351556E-2</v>
      </c>
      <c r="T209" s="1">
        <f t="shared" si="27"/>
        <v>0.31541007861883141</v>
      </c>
    </row>
    <row r="210" spans="1:20">
      <c r="A210">
        <v>157</v>
      </c>
      <c r="B210">
        <v>0.70200666285181035</v>
      </c>
      <c r="C210" s="1">
        <f t="shared" si="21"/>
        <v>30.690002689184119</v>
      </c>
      <c r="D210" s="1">
        <f t="shared" si="30"/>
        <v>98.712681876737093</v>
      </c>
      <c r="E210" s="1">
        <f t="shared" si="28"/>
        <v>118.34705868963195</v>
      </c>
      <c r="F210" s="1">
        <f t="shared" si="22"/>
        <v>6.3328277316077859</v>
      </c>
      <c r="G210" s="1">
        <f t="shared" si="29"/>
        <v>4.7227110682880795</v>
      </c>
      <c r="H210" s="1">
        <f t="shared" si="23"/>
        <v>1.8474526102735833</v>
      </c>
      <c r="I210" s="1">
        <f t="shared" si="24"/>
        <v>47.678933943710319</v>
      </c>
      <c r="K210" s="112">
        <f>C210/'CGE-Flood Weighted Av Calcs'!$D$3</f>
        <v>5.1731423134549412E-3</v>
      </c>
      <c r="L210" s="112">
        <f>D210/'CGE-Flood Weighted Av Calcs'!$D$4</f>
        <v>5.0705721516158082E-3</v>
      </c>
      <c r="M210" s="112">
        <f>E210/'CGE-Flood Weighted Av Calcs'!$D$5</f>
        <v>5.0698059424636116E-3</v>
      </c>
      <c r="N210" s="112">
        <f>F210/'CGE-Flood Weighted Av Calcs'!$D$6</f>
        <v>1.7504868862824317E-3</v>
      </c>
      <c r="O210" s="112">
        <f>G210/'CGE-Flood Weighted Av Calcs'!$D$7</f>
        <v>7.7959541562060775E-3</v>
      </c>
      <c r="P210" s="112">
        <f>H210/'CGE-Flood Weighted Av Calcs'!$D$8</f>
        <v>1.8668869029331174E-2</v>
      </c>
      <c r="R210" s="1">
        <f t="shared" si="25"/>
        <v>8.2775926985608234E-2</v>
      </c>
      <c r="S210" s="1">
        <f t="shared" si="26"/>
        <v>9.6020075303305558E-2</v>
      </c>
      <c r="T210" s="1">
        <f t="shared" si="27"/>
        <v>2.3177259555970311</v>
      </c>
    </row>
    <row r="211" spans="1:20">
      <c r="A211">
        <v>158</v>
      </c>
      <c r="B211">
        <v>0.33733602793080508</v>
      </c>
      <c r="C211" s="1">
        <f t="shared" si="21"/>
        <v>68.247026190104094</v>
      </c>
      <c r="D211" s="1">
        <f t="shared" si="30"/>
        <v>219.51275317780653</v>
      </c>
      <c r="E211" s="1">
        <f t="shared" si="28"/>
        <v>263.17478351865918</v>
      </c>
      <c r="F211" s="1">
        <f t="shared" si="22"/>
        <v>14.08265305264279</v>
      </c>
      <c r="G211" s="1">
        <f t="shared" si="29"/>
        <v>10.502149160102263</v>
      </c>
      <c r="H211" s="1">
        <f t="shared" si="23"/>
        <v>4.1082807308697991</v>
      </c>
      <c r="I211" s="1">
        <f t="shared" si="24"/>
        <v>106.02623553107118</v>
      </c>
      <c r="K211" s="112">
        <f>C211/'CGE-Flood Weighted Av Calcs'!$D$3</f>
        <v>1.1503797589301572E-2</v>
      </c>
      <c r="L211" s="112">
        <f>D211/'CGE-Flood Weighted Av Calcs'!$D$4</f>
        <v>1.1275706748376836E-2</v>
      </c>
      <c r="M211" s="112">
        <f>E211/'CGE-Flood Weighted Av Calcs'!$D$5</f>
        <v>1.1274002887461387E-2</v>
      </c>
      <c r="N211" s="112">
        <f>F211/'CGE-Flood Weighted Av Calcs'!$D$6</f>
        <v>3.8926527828442772E-3</v>
      </c>
      <c r="O211" s="112">
        <f>G211/'CGE-Flood Weighted Av Calcs'!$D$7</f>
        <v>1.7336286766209848E-2</v>
      </c>
      <c r="P211" s="112">
        <f>H211/'CGE-Flood Weighted Av Calcs'!$D$8</f>
        <v>4.1514978232094095E-2</v>
      </c>
      <c r="R211" s="1">
        <f t="shared" si="25"/>
        <v>0.18407332557477635</v>
      </c>
      <c r="S211" s="1">
        <f t="shared" si="26"/>
        <v>0.21352505766674057</v>
      </c>
      <c r="T211" s="1">
        <f t="shared" si="27"/>
        <v>5.1540531160937384</v>
      </c>
    </row>
    <row r="212" spans="1:20">
      <c r="A212">
        <v>159</v>
      </c>
      <c r="B212">
        <v>0.85461515581957814</v>
      </c>
      <c r="C212" s="1">
        <f t="shared" si="21"/>
        <v>14.973023563425897</v>
      </c>
      <c r="D212" s="1">
        <f t="shared" si="30"/>
        <v>48.159895152770417</v>
      </c>
      <c r="E212" s="1">
        <f t="shared" si="28"/>
        <v>57.739105348677811</v>
      </c>
      <c r="F212" s="1">
        <f t="shared" si="22"/>
        <v>3.0896569090851749</v>
      </c>
      <c r="G212" s="1">
        <f t="shared" si="29"/>
        <v>2.3041139756449329</v>
      </c>
      <c r="H212" s="1">
        <f t="shared" si="23"/>
        <v>0.90133427963783674</v>
      </c>
      <c r="I212" s="1">
        <f t="shared" si="24"/>
        <v>23.261575068867472</v>
      </c>
      <c r="K212" s="112">
        <f>C212/'CGE-Flood Weighted Av Calcs'!$D$3</f>
        <v>2.5238701521396174E-3</v>
      </c>
      <c r="L212" s="112">
        <f>D212/'CGE-Flood Weighted Av Calcs'!$D$4</f>
        <v>2.4738282715417062E-3</v>
      </c>
      <c r="M212" s="112">
        <f>E212/'CGE-Flood Weighted Av Calcs'!$D$5</f>
        <v>2.4734544537937399E-3</v>
      </c>
      <c r="N212" s="112">
        <f>F212/'CGE-Flood Weighted Av Calcs'!$D$6</f>
        <v>8.5402668944737227E-4</v>
      </c>
      <c r="O212" s="112">
        <f>G212/'CGE-Flood Weighted Av Calcs'!$D$7</f>
        <v>3.8034863164544365E-3</v>
      </c>
      <c r="P212" s="112">
        <f>H212/'CGE-Flood Weighted Av Calcs'!$D$8</f>
        <v>9.1081587287445993E-3</v>
      </c>
      <c r="R212" s="1">
        <f t="shared" si="25"/>
        <v>4.0384678939006047E-2</v>
      </c>
      <c r="S212" s="1">
        <f t="shared" si="26"/>
        <v>4.6846227569247029E-2</v>
      </c>
      <c r="T212" s="1">
        <f t="shared" si="27"/>
        <v>1.1307710102921709</v>
      </c>
    </row>
    <row r="213" spans="1:20">
      <c r="A213">
        <v>160</v>
      </c>
      <c r="B213">
        <v>0.60809857361533848</v>
      </c>
      <c r="C213" s="1">
        <f t="shared" si="21"/>
        <v>40.361492457326982</v>
      </c>
      <c r="D213" s="1">
        <f t="shared" si="30"/>
        <v>129.82048927661273</v>
      </c>
      <c r="E213" s="1">
        <f t="shared" si="28"/>
        <v>155.64234272067441</v>
      </c>
      <c r="F213" s="1">
        <f t="shared" si="22"/>
        <v>8.3285225260967177</v>
      </c>
      <c r="G213" s="1">
        <f t="shared" si="29"/>
        <v>6.211001969967942</v>
      </c>
      <c r="H213" s="1">
        <f t="shared" si="23"/>
        <v>2.429649334019286</v>
      </c>
      <c r="I213" s="1">
        <f t="shared" si="24"/>
        <v>62.704228221545819</v>
      </c>
      <c r="K213" s="112">
        <f>C213/'CGE-Flood Weighted Av Calcs'!$D$3</f>
        <v>6.8033798035076485E-3</v>
      </c>
      <c r="L213" s="112">
        <f>D213/'CGE-Flood Weighted Av Calcs'!$D$4</f>
        <v>6.6684862078522809E-3</v>
      </c>
      <c r="M213" s="112">
        <f>E213/'CGE-Flood Weighted Av Calcs'!$D$5</f>
        <v>6.6674785394844963E-3</v>
      </c>
      <c r="N213" s="112">
        <f>F213/'CGE-Flood Weighted Av Calcs'!$D$6</f>
        <v>2.3021263299607881E-3</v>
      </c>
      <c r="O213" s="112">
        <f>G213/'CGE-Flood Weighted Av Calcs'!$D$7</f>
        <v>1.0252731094880969E-2</v>
      </c>
      <c r="P213" s="112">
        <f>H213/'CGE-Flood Weighted Av Calcs'!$D$8</f>
        <v>2.4552080498178905E-2</v>
      </c>
      <c r="R213" s="1">
        <f t="shared" si="25"/>
        <v>0.10886150732907263</v>
      </c>
      <c r="S213" s="1">
        <f t="shared" si="26"/>
        <v>0.12627934850172426</v>
      </c>
      <c r="T213" s="1">
        <f t="shared" si="27"/>
        <v>3.0481222052140344</v>
      </c>
    </row>
    <row r="214" spans="1:20">
      <c r="A214">
        <v>161</v>
      </c>
      <c r="B214">
        <v>0.39768762820531323</v>
      </c>
      <c r="C214" s="1">
        <f t="shared" si="21"/>
        <v>62.031481935166127</v>
      </c>
      <c r="D214" s="1">
        <f t="shared" si="30"/>
        <v>199.52080176150042</v>
      </c>
      <c r="E214" s="1">
        <f t="shared" si="28"/>
        <v>239.20634701583714</v>
      </c>
      <c r="F214" s="1">
        <f t="shared" si="22"/>
        <v>12.800086497554847</v>
      </c>
      <c r="G214" s="1">
        <f t="shared" si="29"/>
        <v>9.5456741820607967</v>
      </c>
      <c r="H214" s="1">
        <f t="shared" si="23"/>
        <v>3.7341222932068741</v>
      </c>
      <c r="I214" s="1">
        <f t="shared" si="24"/>
        <v>96.369979487149863</v>
      </c>
      <c r="K214" s="112">
        <f>C214/'CGE-Flood Weighted Av Calcs'!$D$3</f>
        <v>1.0456098268059637E-2</v>
      </c>
      <c r="L214" s="112">
        <f>D214/'CGE-Flood Weighted Av Calcs'!$D$4</f>
        <v>1.0248780621148727E-2</v>
      </c>
      <c r="M214" s="112">
        <f>E214/'CGE-Flood Weighted Av Calcs'!$D$5</f>
        <v>1.0247231938026591E-2</v>
      </c>
      <c r="N214" s="112">
        <f>F214/'CGE-Flood Weighted Av Calcs'!$D$6</f>
        <v>3.5381324910226195E-3</v>
      </c>
      <c r="O214" s="112">
        <f>G214/'CGE-Flood Weighted Av Calcs'!$D$7</f>
        <v>1.5757398078642428E-2</v>
      </c>
      <c r="P214" s="112">
        <f>H214/'CGE-Flood Weighted Av Calcs'!$D$8</f>
        <v>3.7734034228386247E-2</v>
      </c>
      <c r="R214" s="1">
        <f t="shared" si="25"/>
        <v>0.16730899216519077</v>
      </c>
      <c r="S214" s="1">
        <f t="shared" si="26"/>
        <v>0.19407843091162127</v>
      </c>
      <c r="T214" s="1">
        <f t="shared" si="27"/>
        <v>4.6846517806253418</v>
      </c>
    </row>
    <row r="215" spans="1:20">
      <c r="A215">
        <v>162</v>
      </c>
      <c r="B215">
        <v>0.19981549143702915</v>
      </c>
      <c r="C215" s="1">
        <f t="shared" si="21"/>
        <v>82.410113443001961</v>
      </c>
      <c r="D215" s="1">
        <f t="shared" si="30"/>
        <v>265.06753336296742</v>
      </c>
      <c r="E215" s="1">
        <f t="shared" si="28"/>
        <v>317.79060533270552</v>
      </c>
      <c r="F215" s="1">
        <f t="shared" si="22"/>
        <v>17.005181037690576</v>
      </c>
      <c r="G215" s="1">
        <f t="shared" si="29"/>
        <v>12.681626614301496</v>
      </c>
      <c r="H215" s="1">
        <f t="shared" si="23"/>
        <v>4.9608591023966317</v>
      </c>
      <c r="I215" s="1">
        <f t="shared" si="24"/>
        <v>128.02952137007534</v>
      </c>
      <c r="K215" s="112">
        <f>C215/'CGE-Flood Weighted Av Calcs'!$D$3</f>
        <v>1.3891143941113444E-2</v>
      </c>
      <c r="L215" s="112">
        <f>D215/'CGE-Flood Weighted Av Calcs'!$D$4</f>
        <v>1.3615718136865835E-2</v>
      </c>
      <c r="M215" s="112">
        <f>E215/'CGE-Flood Weighted Av Calcs'!$D$5</f>
        <v>1.3613660679139515E-2</v>
      </c>
      <c r="N215" s="112">
        <f>F215/'CGE-Flood Weighted Av Calcs'!$D$6</f>
        <v>4.7004825753847969E-3</v>
      </c>
      <c r="O215" s="112">
        <f>G215/'CGE-Flood Weighted Av Calcs'!$D$7</f>
        <v>2.0934030958420405E-2</v>
      </c>
      <c r="P215" s="112">
        <f>H215/'CGE-Flood Weighted Av Calcs'!$D$8</f>
        <v>5.0130448998035877E-2</v>
      </c>
      <c r="R215" s="1">
        <f t="shared" si="25"/>
        <v>0.22227347460082525</v>
      </c>
      <c r="S215" s="1">
        <f t="shared" si="26"/>
        <v>0.25783723053695728</v>
      </c>
      <c r="T215" s="1">
        <f t="shared" si="27"/>
        <v>6.223657288823107</v>
      </c>
    </row>
    <row r="216" spans="1:20">
      <c r="A216">
        <v>163</v>
      </c>
      <c r="B216">
        <v>0.49512915748223529</v>
      </c>
      <c r="C216" s="1">
        <f t="shared" si="21"/>
        <v>51.996087103301797</v>
      </c>
      <c r="D216" s="1">
        <f t="shared" si="30"/>
        <v>167.24251402142167</v>
      </c>
      <c r="E216" s="1">
        <f t="shared" si="28"/>
        <v>200.50776907277174</v>
      </c>
      <c r="F216" s="1">
        <f t="shared" si="22"/>
        <v>10.729300537302672</v>
      </c>
      <c r="G216" s="1">
        <f t="shared" si="29"/>
        <v>8.0013839867461645</v>
      </c>
      <c r="H216" s="1">
        <f t="shared" si="23"/>
        <v>3.1300194990488364</v>
      </c>
      <c r="I216" s="1">
        <f t="shared" si="24"/>
        <v>80.779334802842328</v>
      </c>
      <c r="K216" s="112">
        <f>C216/'CGE-Flood Weighted Av Calcs'!$D$3</f>
        <v>8.7645205199990191E-3</v>
      </c>
      <c r="L216" s="112">
        <f>D216/'CGE-Flood Weighted Av Calcs'!$D$4</f>
        <v>8.5907425271066675E-3</v>
      </c>
      <c r="M216" s="112">
        <f>E216/'CGE-Flood Weighted Av Calcs'!$D$5</f>
        <v>8.589444388484118E-3</v>
      </c>
      <c r="N216" s="112">
        <f>F216/'CGE-Flood Weighted Av Calcs'!$D$6</f>
        <v>2.9657367428125359E-3</v>
      </c>
      <c r="O216" s="112">
        <f>G216/'CGE-Flood Weighted Av Calcs'!$D$7</f>
        <v>1.3208181030961497E-2</v>
      </c>
      <c r="P216" s="112">
        <f>H216/'CGE-Flood Weighted Av Calcs'!$D$8</f>
        <v>3.1629457644568322E-2</v>
      </c>
      <c r="R216" s="1">
        <f t="shared" si="25"/>
        <v>0.14024190069937909</v>
      </c>
      <c r="S216" s="1">
        <f t="shared" si="26"/>
        <v>0.16268060481127972</v>
      </c>
      <c r="T216" s="1">
        <f t="shared" si="27"/>
        <v>3.9267732195826146</v>
      </c>
    </row>
    <row r="217" spans="1:20">
      <c r="A217">
        <v>164</v>
      </c>
      <c r="B217">
        <v>0.69812085648258271</v>
      </c>
      <c r="C217" s="1">
        <f t="shared" si="21"/>
        <v>31.090197569588241</v>
      </c>
      <c r="D217" s="1">
        <f t="shared" si="30"/>
        <v>99.99988638819039</v>
      </c>
      <c r="E217" s="1">
        <f t="shared" si="28"/>
        <v>119.89029371238965</v>
      </c>
      <c r="F217" s="1">
        <f t="shared" si="22"/>
        <v>6.4154072368081501</v>
      </c>
      <c r="G217" s="1">
        <f t="shared" si="29"/>
        <v>4.7842947967190614</v>
      </c>
      <c r="H217" s="1">
        <f t="shared" si="23"/>
        <v>1.871543226488527</v>
      </c>
      <c r="I217" s="1">
        <f t="shared" si="24"/>
        <v>48.300662962786745</v>
      </c>
      <c r="K217" s="112">
        <f>C217/'CGE-Flood Weighted Av Calcs'!$D$3</f>
        <v>5.2405996248932425E-3</v>
      </c>
      <c r="L217" s="112">
        <f>D217/'CGE-Flood Weighted Av Calcs'!$D$4</f>
        <v>5.1366919573501858E-3</v>
      </c>
      <c r="M217" s="112">
        <f>E217/'CGE-Flood Weighted Av Calcs'!$D$5</f>
        <v>5.1359157568994177E-3</v>
      </c>
      <c r="N217" s="112">
        <f>F217/'CGE-Flood Weighted Av Calcs'!$D$6</f>
        <v>1.7733130781599469E-3</v>
      </c>
      <c r="O217" s="112">
        <f>G217/'CGE-Flood Weighted Av Calcs'!$D$7</f>
        <v>7.8976126986564019E-3</v>
      </c>
      <c r="P217" s="112">
        <f>H217/'CGE-Flood Weighted Av Calcs'!$D$8</f>
        <v>1.8912309405799646E-2</v>
      </c>
      <c r="R217" s="1">
        <f t="shared" si="25"/>
        <v>8.3855317643727001E-2</v>
      </c>
      <c r="S217" s="1">
        <f t="shared" si="26"/>
        <v>9.7272168466723347E-2</v>
      </c>
      <c r="T217" s="1">
        <f t="shared" si="27"/>
        <v>2.3479488940243574</v>
      </c>
    </row>
    <row r="218" spans="1:20">
      <c r="A218">
        <v>165</v>
      </c>
      <c r="B218">
        <v>8.761326478923992E-2</v>
      </c>
      <c r="C218" s="1">
        <f t="shared" si="21"/>
        <v>95.792877170295398</v>
      </c>
      <c r="D218" s="1">
        <f t="shared" si="30"/>
        <v>307.61374346995842</v>
      </c>
      <c r="E218" s="1">
        <f t="shared" si="28"/>
        <v>368.78328177283481</v>
      </c>
      <c r="F218" s="1">
        <f t="shared" si="22"/>
        <v>20.651069742955926</v>
      </c>
      <c r="G218" s="1">
        <f t="shared" si="29"/>
        <v>14.774896709358407</v>
      </c>
      <c r="H218" s="1">
        <f t="shared" si="23"/>
        <v>5.744903885238827</v>
      </c>
      <c r="I218" s="1">
        <f t="shared" si="24"/>
        <v>164.23166751090815</v>
      </c>
      <c r="K218" s="112">
        <f>C218/'CGE-Flood Weighted Av Calcs'!$D$3</f>
        <v>1.6146958057839809E-2</v>
      </c>
      <c r="L218" s="112">
        <f>D218/'CGE-Flood Weighted Av Calcs'!$D$4</f>
        <v>1.5801188372541238E-2</v>
      </c>
      <c r="M218" s="112">
        <f>E218/'CGE-Flood Weighted Av Calcs'!$D$5</f>
        <v>1.579810849643825E-2</v>
      </c>
      <c r="N218" s="112">
        <f>F218/'CGE-Flood Weighted Av Calcs'!$D$6</f>
        <v>5.7082599282343958E-3</v>
      </c>
      <c r="O218" s="112">
        <f>G218/'CGE-Flood Weighted Av Calcs'!$D$7</f>
        <v>2.4389469468559084E-2</v>
      </c>
      <c r="P218" s="112">
        <f>H218/'CGE-Flood Weighted Av Calcs'!$D$8</f>
        <v>5.8053374480732702E-2</v>
      </c>
      <c r="R218" s="1">
        <f t="shared" si="25"/>
        <v>0.25825782347384008</v>
      </c>
      <c r="S218" s="1">
        <f t="shared" si="26"/>
        <v>0.30238673521076009</v>
      </c>
      <c r="T218" s="1">
        <f t="shared" si="27"/>
        <v>7.2064455868460016</v>
      </c>
    </row>
    <row r="219" spans="1:20">
      <c r="A219">
        <v>166</v>
      </c>
      <c r="B219">
        <v>0.36298251509481128</v>
      </c>
      <c r="C219" s="1">
        <f t="shared" si="21"/>
        <v>65.605722973179937</v>
      </c>
      <c r="D219" s="1">
        <f t="shared" si="30"/>
        <v>211.01714870253798</v>
      </c>
      <c r="E219" s="1">
        <f t="shared" si="28"/>
        <v>252.98936678878053</v>
      </c>
      <c r="F219" s="1">
        <f t="shared" si="22"/>
        <v>13.537624809109364</v>
      </c>
      <c r="G219" s="1">
        <f t="shared" si="29"/>
        <v>10.095693935461021</v>
      </c>
      <c r="H219" s="1">
        <f t="shared" si="23"/>
        <v>3.9492816401219106</v>
      </c>
      <c r="I219" s="1">
        <f t="shared" si="24"/>
        <v>101.92279758483019</v>
      </c>
      <c r="K219" s="112">
        <f>C219/'CGE-Flood Weighted Av Calcs'!$D$3</f>
        <v>1.105857646721446E-2</v>
      </c>
      <c r="L219" s="112">
        <f>D219/'CGE-Flood Weighted Av Calcs'!$D$4</f>
        <v>1.0839313220772849E-2</v>
      </c>
      <c r="M219" s="112">
        <f>E219/'CGE-Flood Weighted Av Calcs'!$D$5</f>
        <v>1.0837675302852554E-2</v>
      </c>
      <c r="N219" s="112">
        <f>F219/'CGE-Flood Weighted Av Calcs'!$D$6</f>
        <v>3.7419989464550483E-3</v>
      </c>
      <c r="O219" s="112">
        <f>G219/'CGE-Flood Weighted Av Calcs'!$D$7</f>
        <v>1.6665336066064185E-2</v>
      </c>
      <c r="P219" s="112">
        <f>H219/'CGE-Flood Weighted Av Calcs'!$D$8</f>
        <v>3.9908261402418287E-2</v>
      </c>
      <c r="R219" s="1">
        <f t="shared" si="25"/>
        <v>0.17694930136255241</v>
      </c>
      <c r="S219" s="1">
        <f t="shared" si="26"/>
        <v>0.20526118958056078</v>
      </c>
      <c r="T219" s="1">
        <f t="shared" si="27"/>
        <v>4.954580438151468</v>
      </c>
    </row>
    <row r="220" spans="1:20">
      <c r="A220">
        <v>167</v>
      </c>
      <c r="B220">
        <v>0.70769791155210904</v>
      </c>
      <c r="C220" s="1">
        <f t="shared" si="21"/>
        <v>30.103867309150026</v>
      </c>
      <c r="D220" s="1">
        <f t="shared" si="30"/>
        <v>96.827410119286355</v>
      </c>
      <c r="E220" s="1">
        <f t="shared" si="28"/>
        <v>116.08679827442475</v>
      </c>
      <c r="F220" s="1">
        <f t="shared" si="22"/>
        <v>6.2118797334355804</v>
      </c>
      <c r="G220" s="1">
        <f t="shared" si="29"/>
        <v>4.6325140072178375</v>
      </c>
      <c r="H220" s="1">
        <f t="shared" si="23"/>
        <v>1.8121688943096448</v>
      </c>
      <c r="I220" s="1">
        <f t="shared" si="24"/>
        <v>46.768334151662529</v>
      </c>
      <c r="K220" s="112">
        <f>C220/'CGE-Flood Weighted Av Calcs'!$D$3</f>
        <v>5.0743426565576814E-3</v>
      </c>
      <c r="L220" s="112">
        <f>D220/'CGE-Flood Weighted Av Calcs'!$D$4</f>
        <v>4.9737314388541556E-3</v>
      </c>
      <c r="M220" s="112">
        <f>E220/'CGE-Flood Weighted Av Calcs'!$D$5</f>
        <v>4.9729798632064635E-3</v>
      </c>
      <c r="N220" s="112">
        <f>F220/'CGE-Flood Weighted Av Calcs'!$D$6</f>
        <v>1.7170550776662186E-3</v>
      </c>
      <c r="O220" s="112">
        <f>G220/'CGE-Flood Weighted Av Calcs'!$D$7</f>
        <v>7.6470625253269907E-3</v>
      </c>
      <c r="P220" s="112">
        <f>H220/'CGE-Flood Weighted Av Calcs'!$D$8</f>
        <v>1.8312320196340354E-2</v>
      </c>
      <c r="R220" s="1">
        <f t="shared" si="25"/>
        <v>8.1195024568858576E-2</v>
      </c>
      <c r="S220" s="1">
        <f t="shared" si="26"/>
        <v>9.4186228499875957E-2</v>
      </c>
      <c r="T220" s="1">
        <f t="shared" si="27"/>
        <v>2.2734606879280417</v>
      </c>
    </row>
    <row r="221" spans="1:20">
      <c r="A221">
        <v>168</v>
      </c>
      <c r="B221">
        <v>0.84746919948777011</v>
      </c>
      <c r="C221" s="1">
        <f t="shared" si="21"/>
        <v>15.708977666087335</v>
      </c>
      <c r="D221" s="1">
        <f t="shared" si="30"/>
        <v>50.527050475226616</v>
      </c>
      <c r="E221" s="1">
        <f t="shared" si="28"/>
        <v>60.57709804169383</v>
      </c>
      <c r="F221" s="1">
        <f t="shared" si="22"/>
        <v>3.2415197354826244</v>
      </c>
      <c r="G221" s="1">
        <f t="shared" si="29"/>
        <v>2.4173657932349037</v>
      </c>
      <c r="H221" s="1">
        <f t="shared" si="23"/>
        <v>0.94563666506846999</v>
      </c>
      <c r="I221" s="1">
        <f t="shared" si="24"/>
        <v>24.404928081956754</v>
      </c>
      <c r="K221" s="112">
        <f>C221/'CGE-Flood Weighted Av Calcs'!$D$3</f>
        <v>2.6479234260280682E-3</v>
      </c>
      <c r="L221" s="112">
        <f>D221/'CGE-Flood Weighted Av Calcs'!$D$4</f>
        <v>2.5954218867530071E-3</v>
      </c>
      <c r="M221" s="112">
        <f>E221/'CGE-Flood Weighted Av Calcs'!$D$5</f>
        <v>2.5950296951138814E-3</v>
      </c>
      <c r="N221" s="112">
        <f>F221/'CGE-Flood Weighted Av Calcs'!$D$6</f>
        <v>8.9600381205181591E-4</v>
      </c>
      <c r="O221" s="112">
        <f>G221/'CGE-Flood Weighted Av Calcs'!$D$7</f>
        <v>3.9904352881937697E-3</v>
      </c>
      <c r="P221" s="112">
        <f>H221/'CGE-Flood Weighted Av Calcs'!$D$8</f>
        <v>9.5558429760655428E-3</v>
      </c>
      <c r="R221" s="1">
        <f t="shared" si="25"/>
        <v>4.2369666808952738E-2</v>
      </c>
      <c r="S221" s="1">
        <f t="shared" si="26"/>
        <v>4.914881349838518E-2</v>
      </c>
      <c r="T221" s="1">
        <f t="shared" si="27"/>
        <v>1.1863506706506772</v>
      </c>
    </row>
    <row r="222" spans="1:20">
      <c r="A222">
        <v>169</v>
      </c>
      <c r="B222">
        <v>0.80315253236559692</v>
      </c>
      <c r="C222" s="1">
        <f t="shared" si="21"/>
        <v>20.273101972258701</v>
      </c>
      <c r="D222" s="1">
        <f t="shared" si="30"/>
        <v>65.207301736324013</v>
      </c>
      <c r="E222" s="1">
        <f t="shared" si="28"/>
        <v>78.177314392264634</v>
      </c>
      <c r="F222" s="1">
        <f t="shared" si="22"/>
        <v>4.1833187072635418</v>
      </c>
      <c r="G222" s="1">
        <f t="shared" si="29"/>
        <v>3.1197130884143434</v>
      </c>
      <c r="H222" s="1">
        <f t="shared" si="23"/>
        <v>1.2203842253227108</v>
      </c>
      <c r="I222" s="1">
        <f t="shared" si="24"/>
        <v>31.495594821504469</v>
      </c>
      <c r="K222" s="112">
        <f>C222/'CGE-Flood Weighted Av Calcs'!$D$3</f>
        <v>3.4172574926048787E-3</v>
      </c>
      <c r="L222" s="112">
        <f>D222/'CGE-Flood Weighted Av Calcs'!$D$4</f>
        <v>3.3495020293246923E-3</v>
      </c>
      <c r="M222" s="112">
        <f>E222/'CGE-Flood Weighted Av Calcs'!$D$5</f>
        <v>3.3489958893796476E-3</v>
      </c>
      <c r="N222" s="112">
        <f>F222/'CGE-Flood Weighted Av Calcs'!$D$6</f>
        <v>1.1563309233339387E-3</v>
      </c>
      <c r="O222" s="112">
        <f>G222/'CGE-Flood Weighted Av Calcs'!$D$7</f>
        <v>5.1498259931896263E-3</v>
      </c>
      <c r="P222" s="112">
        <f>H222/'CGE-Flood Weighted Av Calcs'!$D$8</f>
        <v>1.2332220670406036E-2</v>
      </c>
      <c r="R222" s="1">
        <f t="shared" si="25"/>
        <v>5.4679852120667505E-2</v>
      </c>
      <c r="S222" s="1">
        <f t="shared" si="26"/>
        <v>6.3428628459974323E-2</v>
      </c>
      <c r="T222" s="1">
        <f t="shared" si="27"/>
        <v>1.531035859378691</v>
      </c>
    </row>
    <row r="223" spans="1:20">
      <c r="A223">
        <v>170</v>
      </c>
      <c r="B223">
        <v>0.28538859677384931</v>
      </c>
      <c r="C223" s="1">
        <f t="shared" si="21"/>
        <v>73.597034405591018</v>
      </c>
      <c r="D223" s="1">
        <f t="shared" si="30"/>
        <v>236.72075619956613</v>
      </c>
      <c r="E223" s="1">
        <f t="shared" si="28"/>
        <v>283.80553232245069</v>
      </c>
      <c r="F223" s="1">
        <f t="shared" si="22"/>
        <v>15.186617778045223</v>
      </c>
      <c r="G223" s="1">
        <f t="shared" si="29"/>
        <v>11.325431688637744</v>
      </c>
      <c r="H223" s="1">
        <f t="shared" si="23"/>
        <v>4.430336311730656</v>
      </c>
      <c r="I223" s="1">
        <f t="shared" si="24"/>
        <v>114.3378245161841</v>
      </c>
      <c r="K223" s="112">
        <f>C223/'CGE-Flood Weighted Av Calcs'!$D$3</f>
        <v>1.2405601155666874E-2</v>
      </c>
      <c r="L223" s="112">
        <f>D223/'CGE-Flood Weighted Av Calcs'!$D$4</f>
        <v>1.215962985985718E-2</v>
      </c>
      <c r="M223" s="112">
        <f>E223/'CGE-Flood Weighted Av Calcs'!$D$5</f>
        <v>1.2157792430192958E-2</v>
      </c>
      <c r="N223" s="112">
        <f>F223/'CGE-Flood Weighted Av Calcs'!$D$6</f>
        <v>4.1978048976081383E-3</v>
      </c>
      <c r="O223" s="112">
        <f>G223/'CGE-Flood Weighted Av Calcs'!$D$7</f>
        <v>1.8695309742052104E-2</v>
      </c>
      <c r="P223" s="112">
        <f>H223/'CGE-Flood Weighted Av Calcs'!$D$8</f>
        <v>4.4769412703550525E-2</v>
      </c>
      <c r="R223" s="1">
        <f t="shared" si="25"/>
        <v>0.19850316756281963</v>
      </c>
      <c r="S223" s="1">
        <f t="shared" si="26"/>
        <v>0.23026367437287076</v>
      </c>
      <c r="T223" s="1">
        <f t="shared" si="27"/>
        <v>5.5580886917589503</v>
      </c>
    </row>
    <row r="224" spans="1:20">
      <c r="A224">
        <v>171</v>
      </c>
      <c r="B224">
        <v>0.39020701066055641</v>
      </c>
      <c r="C224" s="1">
        <f t="shared" si="21"/>
        <v>62.801902424303364</v>
      </c>
      <c r="D224" s="1">
        <f t="shared" si="30"/>
        <v>201.99881629365052</v>
      </c>
      <c r="E224" s="1">
        <f t="shared" si="28"/>
        <v>242.17724929196342</v>
      </c>
      <c r="F224" s="1">
        <f t="shared" si="22"/>
        <v>12.959061401793829</v>
      </c>
      <c r="G224" s="1">
        <f t="shared" si="29"/>
        <v>9.6642298370776203</v>
      </c>
      <c r="H224" s="1">
        <f t="shared" si="23"/>
        <v>3.7804994590246679</v>
      </c>
      <c r="I224" s="1">
        <f t="shared" si="24"/>
        <v>97.566878294310953</v>
      </c>
      <c r="K224" s="112">
        <f>C224/'CGE-Flood Weighted Av Calcs'!$D$3</f>
        <v>1.0585961235875964E-2</v>
      </c>
      <c r="L224" s="112">
        <f>D224/'CGE-Flood Weighted Av Calcs'!$D$4</f>
        <v>1.0376068738937984E-2</v>
      </c>
      <c r="M224" s="112">
        <f>E224/'CGE-Flood Weighted Av Calcs'!$D$5</f>
        <v>1.0374500821434027E-2</v>
      </c>
      <c r="N224" s="112">
        <f>F224/'CGE-Flood Weighted Av Calcs'!$D$6</f>
        <v>3.5820754967243853E-3</v>
      </c>
      <c r="O224" s="112">
        <f>G224/'CGE-Flood Weighted Av Calcs'!$D$7</f>
        <v>1.5953102291351162E-2</v>
      </c>
      <c r="P224" s="112">
        <f>H224/'CGE-Flood Weighted Av Calcs'!$D$8</f>
        <v>3.8202684536269245E-2</v>
      </c>
      <c r="R224" s="1">
        <f t="shared" si="25"/>
        <v>0.16938694148317876</v>
      </c>
      <c r="S224" s="1">
        <f t="shared" si="26"/>
        <v>0.19648885212048736</v>
      </c>
      <c r="T224" s="1">
        <f t="shared" si="27"/>
        <v>4.7428343615290061</v>
      </c>
    </row>
    <row r="225" spans="1:20">
      <c r="A225">
        <v>172</v>
      </c>
      <c r="B225">
        <v>0.30712349700081065</v>
      </c>
      <c r="C225" s="1">
        <f t="shared" si="21"/>
        <v>71.358581181105407</v>
      </c>
      <c r="D225" s="1">
        <f t="shared" si="30"/>
        <v>229.52089625551741</v>
      </c>
      <c r="E225" s="1">
        <f t="shared" si="28"/>
        <v>275.17358928174332</v>
      </c>
      <c r="F225" s="1">
        <f t="shared" si="22"/>
        <v>14.724716917380743</v>
      </c>
      <c r="G225" s="1">
        <f t="shared" si="29"/>
        <v>10.980968772613009</v>
      </c>
      <c r="H225" s="1">
        <f t="shared" si="23"/>
        <v>4.2955876675407785</v>
      </c>
      <c r="I225" s="1">
        <f t="shared" si="24"/>
        <v>110.8602404798703</v>
      </c>
      <c r="K225" s="112">
        <f>C225/'CGE-Flood Weighted Av Calcs'!$D$3</f>
        <v>1.2028284893770386E-2</v>
      </c>
      <c r="L225" s="112">
        <f>D225/'CGE-Flood Weighted Av Calcs'!$D$4</f>
        <v>1.1789794812994464E-2</v>
      </c>
      <c r="M225" s="112">
        <f>E225/'CGE-Flood Weighted Av Calcs'!$D$5</f>
        <v>1.1788013268739076E-2</v>
      </c>
      <c r="N225" s="112">
        <f>F225/'CGE-Flood Weighted Av Calcs'!$D$6</f>
        <v>4.0701286945558782E-3</v>
      </c>
      <c r="O225" s="112">
        <f>G225/'CGE-Flood Weighted Av Calcs'!$D$7</f>
        <v>1.8126692042808579E-2</v>
      </c>
      <c r="P225" s="112">
        <f>H225/'CGE-Flood Weighted Av Calcs'!$D$8</f>
        <v>4.3407751367139716E-2</v>
      </c>
      <c r="R225" s="1">
        <f t="shared" si="25"/>
        <v>0.19246569527755258</v>
      </c>
      <c r="S225" s="1">
        <f t="shared" si="26"/>
        <v>0.22326020652196099</v>
      </c>
      <c r="T225" s="1">
        <f t="shared" si="27"/>
        <v>5.3890394677714735</v>
      </c>
    </row>
    <row r="226" spans="1:20">
      <c r="A226">
        <v>173</v>
      </c>
      <c r="B226">
        <v>0.97098275938515533</v>
      </c>
      <c r="C226" s="1">
        <f t="shared" si="21"/>
        <v>2.988453369544402</v>
      </c>
      <c r="D226" s="1">
        <f t="shared" si="30"/>
        <v>9.6121935784405537</v>
      </c>
      <c r="E226" s="1">
        <f t="shared" si="28"/>
        <v>11.524100206134619</v>
      </c>
      <c r="F226" s="1">
        <f t="shared" si="22"/>
        <v>0.61666206304821003</v>
      </c>
      <c r="G226" s="1">
        <f t="shared" si="29"/>
        <v>0.45987619969756821</v>
      </c>
      <c r="H226" s="1">
        <f t="shared" si="23"/>
        <v>0.17989656221800931</v>
      </c>
      <c r="I226" s="1">
        <f t="shared" si="24"/>
        <v>4.642758498375116</v>
      </c>
      <c r="K226" s="112">
        <f>C226/'CGE-Flood Weighted Av Calcs'!$D$3</f>
        <v>5.0373715292066439E-4</v>
      </c>
      <c r="L226" s="112">
        <f>D226/'CGE-Flood Weighted Av Calcs'!$D$4</f>
        <v>4.9374933542624183E-4</v>
      </c>
      <c r="M226" s="112">
        <f>E226/'CGE-Flood Weighted Av Calcs'!$D$5</f>
        <v>4.9367472545159142E-4</v>
      </c>
      <c r="N226" s="112">
        <f>F226/'CGE-Flood Weighted Av Calcs'!$D$6</f>
        <v>1.7045447948095492E-4</v>
      </c>
      <c r="O226" s="112">
        <f>G226/'CGE-Flood Weighted Av Calcs'!$D$7</f>
        <v>7.5913468313700829E-4</v>
      </c>
      <c r="P226" s="112">
        <f>H226/'CGE-Flood Weighted Av Calcs'!$D$8</f>
        <v>1.8178898555766463E-3</v>
      </c>
      <c r="R226" s="1">
        <f t="shared" si="25"/>
        <v>8.0603446152346103E-3</v>
      </c>
      <c r="S226" s="1">
        <f t="shared" si="26"/>
        <v>9.3499997536721779E-3</v>
      </c>
      <c r="T226" s="1">
        <f t="shared" si="27"/>
        <v>0.22568964922657031</v>
      </c>
    </row>
    <row r="227" spans="1:20">
      <c r="A227">
        <v>174</v>
      </c>
      <c r="B227">
        <v>0.28310324226447314</v>
      </c>
      <c r="C227" s="1">
        <f t="shared" si="21"/>
        <v>73.83240052722887</v>
      </c>
      <c r="D227" s="1">
        <f t="shared" si="30"/>
        <v>237.4777982019765</v>
      </c>
      <c r="E227" s="1">
        <f t="shared" si="28"/>
        <v>284.71315323383118</v>
      </c>
      <c r="F227" s="1">
        <f t="shared" si="22"/>
        <v>15.235185160631818</v>
      </c>
      <c r="G227" s="1">
        <f t="shared" si="29"/>
        <v>11.361650850917288</v>
      </c>
      <c r="H227" s="1">
        <f t="shared" si="23"/>
        <v>4.4445046961453984</v>
      </c>
      <c r="I227" s="1">
        <f t="shared" si="24"/>
        <v>114.70348123768429</v>
      </c>
      <c r="K227" s="112">
        <f>C227/'CGE-Flood Weighted Av Calcs'!$D$3</f>
        <v>1.2445274741079353E-2</v>
      </c>
      <c r="L227" s="112">
        <f>D227/'CGE-Flood Weighted Av Calcs'!$D$4</f>
        <v>1.2198516819688936E-2</v>
      </c>
      <c r="M227" s="112">
        <f>E227/'CGE-Flood Weighted Av Calcs'!$D$5</f>
        <v>1.2196673513854603E-2</v>
      </c>
      <c r="N227" s="112">
        <f>F227/'CGE-Flood Weighted Av Calcs'!$D$6</f>
        <v>4.2112296376961358E-3</v>
      </c>
      <c r="O227" s="112">
        <f>G227/'CGE-Flood Weighted Av Calcs'!$D$7</f>
        <v>1.8755098055295214E-2</v>
      </c>
      <c r="P227" s="112">
        <f>H227/'CGE-Flood Weighted Av Calcs'!$D$8</f>
        <v>4.4912586992041141E-2</v>
      </c>
      <c r="R227" s="1">
        <f t="shared" si="25"/>
        <v>0.19913798825986856</v>
      </c>
      <c r="S227" s="1">
        <f t="shared" si="26"/>
        <v>0.23100006638144754</v>
      </c>
      <c r="T227" s="1">
        <f t="shared" si="27"/>
        <v>5.5758636712763199</v>
      </c>
    </row>
    <row r="228" spans="1:20">
      <c r="A228">
        <v>175</v>
      </c>
      <c r="B228">
        <v>0.63330339929431367</v>
      </c>
      <c r="C228" s="1">
        <f t="shared" si="21"/>
        <v>37.765675466011189</v>
      </c>
      <c r="D228" s="1">
        <f t="shared" si="30"/>
        <v>121.47118870896276</v>
      </c>
      <c r="E228" s="1">
        <f t="shared" si="28"/>
        <v>145.63233037463243</v>
      </c>
      <c r="F228" s="1">
        <f t="shared" si="22"/>
        <v>7.792880284703994</v>
      </c>
      <c r="G228" s="1">
        <f t="shared" si="29"/>
        <v>5.811546363518687</v>
      </c>
      <c r="H228" s="1">
        <f t="shared" si="23"/>
        <v>2.2733883872553751</v>
      </c>
      <c r="I228" s="1">
        <f t="shared" si="24"/>
        <v>58.671456112909794</v>
      </c>
      <c r="K228" s="112">
        <f>C228/'CGE-Flood Weighted Av Calcs'!$D$3</f>
        <v>6.3658258921652569E-3</v>
      </c>
      <c r="L228" s="112">
        <f>D228/'CGE-Flood Weighted Av Calcs'!$D$4</f>
        <v>6.2396078698423703E-3</v>
      </c>
      <c r="M228" s="112">
        <f>E228/'CGE-Flood Weighted Av Calcs'!$D$5</f>
        <v>6.2386650088568554E-3</v>
      </c>
      <c r="N228" s="112">
        <f>F228/'CGE-Flood Weighted Av Calcs'!$D$6</f>
        <v>2.1540669228467969E-3</v>
      </c>
      <c r="O228" s="112">
        <f>G228/'CGE-Flood Weighted Av Calcs'!$D$7</f>
        <v>9.5933349238493323E-3</v>
      </c>
      <c r="P228" s="112">
        <f>H228/'CGE-Flood Weighted Av Calcs'!$D$8</f>
        <v>2.2973033147620482E-2</v>
      </c>
      <c r="R228" s="1">
        <f t="shared" si="25"/>
        <v>0.10186016686269064</v>
      </c>
      <c r="S228" s="1">
        <f t="shared" si="26"/>
        <v>0.11815779356072115</v>
      </c>
      <c r="T228" s="1">
        <f t="shared" si="27"/>
        <v>2.8520846721553381</v>
      </c>
    </row>
    <row r="229" spans="1:20">
      <c r="A229">
        <v>176</v>
      </c>
      <c r="B229">
        <v>0.89270972189573605</v>
      </c>
      <c r="C229" s="1">
        <f t="shared" si="21"/>
        <v>11.049706530538046</v>
      </c>
      <c r="D229" s="1">
        <f t="shared" si="30"/>
        <v>35.540764744367721</v>
      </c>
      <c r="E229" s="1">
        <f t="shared" si="28"/>
        <v>42.609975649616274</v>
      </c>
      <c r="F229" s="1">
        <f t="shared" si="22"/>
        <v>2.2800873838756637</v>
      </c>
      <c r="G229" s="1">
        <f t="shared" si="29"/>
        <v>1.7003768902079024</v>
      </c>
      <c r="H229" s="1">
        <f t="shared" si="23"/>
        <v>0.66516153091748809</v>
      </c>
      <c r="I229" s="1">
        <f t="shared" si="24"/>
        <v>17.166444496682203</v>
      </c>
      <c r="K229" s="112">
        <f>C229/'CGE-Flood Weighted Av Calcs'!$D$3</f>
        <v>1.8625512999557634E-3</v>
      </c>
      <c r="L229" s="112">
        <f>D229/'CGE-Flood Weighted Av Calcs'!$D$4</f>
        <v>1.8256216783265125E-3</v>
      </c>
      <c r="M229" s="112">
        <f>E229/'CGE-Flood Weighted Av Calcs'!$D$5</f>
        <v>1.8253458104369403E-3</v>
      </c>
      <c r="N229" s="112">
        <f>F229/'CGE-Flood Weighted Av Calcs'!$D$6</f>
        <v>6.3024974532807307E-4</v>
      </c>
      <c r="O229" s="112">
        <f>G229/'CGE-Flood Weighted Av Calcs'!$D$7</f>
        <v>2.8068751385924204E-3</v>
      </c>
      <c r="P229" s="112">
        <f>H229/'CGE-Flood Weighted Av Calcs'!$D$8</f>
        <v>6.7215870301588349E-3</v>
      </c>
      <c r="R229" s="1">
        <f t="shared" si="25"/>
        <v>2.9802855028962183E-2</v>
      </c>
      <c r="S229" s="1">
        <f t="shared" si="26"/>
        <v>3.4571311833596186E-2</v>
      </c>
      <c r="T229" s="1">
        <f t="shared" si="27"/>
        <v>0.83447994081094201</v>
      </c>
    </row>
    <row r="230" spans="1:20">
      <c r="A230">
        <v>177</v>
      </c>
      <c r="B230">
        <v>0.35006674883287758</v>
      </c>
      <c r="C230" s="1">
        <f t="shared" si="21"/>
        <v>66.935903389645091</v>
      </c>
      <c r="D230" s="1">
        <f t="shared" si="30"/>
        <v>215.29559981963303</v>
      </c>
      <c r="E230" s="1">
        <f t="shared" si="28"/>
        <v>258.11882022707169</v>
      </c>
      <c r="F230" s="1">
        <f t="shared" si="22"/>
        <v>13.812105183540901</v>
      </c>
      <c r="G230" s="1">
        <f t="shared" si="29"/>
        <v>10.300387882192865</v>
      </c>
      <c r="H230" s="1">
        <f t="shared" si="23"/>
        <v>4.0293547931750844</v>
      </c>
      <c r="I230" s="1">
        <f t="shared" si="24"/>
        <v>103.98932018673958</v>
      </c>
      <c r="K230" s="112">
        <f>C230/'CGE-Flood Weighted Av Calcs'!$D$3</f>
        <v>1.1282793215144891E-2</v>
      </c>
      <c r="L230" s="112">
        <f>D230/'CGE-Flood Weighted Av Calcs'!$D$4</f>
        <v>1.1059084324889759E-2</v>
      </c>
      <c r="M230" s="112">
        <f>E230/'CGE-Flood Weighted Av Calcs'!$D$5</f>
        <v>1.1057413197574877E-2</v>
      </c>
      <c r="N230" s="112">
        <f>F230/'CGE-Flood Weighted Av Calcs'!$D$6</f>
        <v>3.8178693658549316E-3</v>
      </c>
      <c r="O230" s="112">
        <f>G230/'CGE-Flood Weighted Av Calcs'!$D$7</f>
        <v>1.7003231948683317E-2</v>
      </c>
      <c r="P230" s="112">
        <f>H230/'CGE-Flood Weighted Av Calcs'!$D$8</f>
        <v>4.0717416234754646E-2</v>
      </c>
      <c r="R230" s="1">
        <f t="shared" si="25"/>
        <v>0.18053701421308954</v>
      </c>
      <c r="S230" s="1">
        <f t="shared" si="26"/>
        <v>0.20942293648718385</v>
      </c>
      <c r="T230" s="1">
        <f t="shared" si="27"/>
        <v>5.0550363979665081</v>
      </c>
    </row>
    <row r="231" spans="1:20">
      <c r="A231">
        <v>178</v>
      </c>
      <c r="B231">
        <v>0.80728190782213349</v>
      </c>
      <c r="C231" s="1">
        <f t="shared" si="21"/>
        <v>19.847822182184956</v>
      </c>
      <c r="D231" s="1">
        <f t="shared" si="30"/>
        <v>63.83941301206039</v>
      </c>
      <c r="E231" s="1">
        <f t="shared" si="28"/>
        <v>76.537346719889342</v>
      </c>
      <c r="F231" s="1">
        <f t="shared" si="22"/>
        <v>4.0955629753547758</v>
      </c>
      <c r="G231" s="1">
        <f t="shared" si="29"/>
        <v>3.0542691850024877</v>
      </c>
      <c r="H231" s="1">
        <f t="shared" si="23"/>
        <v>1.1947835674724834</v>
      </c>
      <c r="I231" s="1">
        <f t="shared" si="24"/>
        <v>30.834894748458623</v>
      </c>
      <c r="K231" s="112">
        <f>C231/'CGE-Flood Weighted Av Calcs'!$D$3</f>
        <v>3.3455718398087949E-3</v>
      </c>
      <c r="L231" s="112">
        <f>D231/'CGE-Flood Weighted Av Calcs'!$D$4</f>
        <v>3.2792377194113885E-3</v>
      </c>
      <c r="M231" s="112">
        <f>E231/'CGE-Flood Weighted Av Calcs'!$D$5</f>
        <v>3.2787421970368494E-3</v>
      </c>
      <c r="N231" s="112">
        <f>F231/'CGE-Flood Weighted Av Calcs'!$D$6</f>
        <v>1.132073946133106E-3</v>
      </c>
      <c r="O231" s="112">
        <f>G231/'CGE-Flood Weighted Av Calcs'!$D$7</f>
        <v>5.0417953168630843E-3</v>
      </c>
      <c r="P231" s="112">
        <f>H231/'CGE-Flood Weighted Av Calcs'!$D$8</f>
        <v>1.2073521028632904E-2</v>
      </c>
      <c r="R231" s="1">
        <f t="shared" si="25"/>
        <v>5.353280338274069E-2</v>
      </c>
      <c r="S231" s="1">
        <f t="shared" si="26"/>
        <v>6.2098051923979214E-2</v>
      </c>
      <c r="T231" s="1">
        <f t="shared" si="27"/>
        <v>1.4989184947167402</v>
      </c>
    </row>
    <row r="232" spans="1:20">
      <c r="A232">
        <v>179</v>
      </c>
      <c r="B232">
        <v>0.84690979160660862</v>
      </c>
      <c r="C232" s="1">
        <f t="shared" si="21"/>
        <v>15.766590462203837</v>
      </c>
      <c r="D232" s="1">
        <f t="shared" si="30"/>
        <v>50.712358820510104</v>
      </c>
      <c r="E232" s="1">
        <f t="shared" si="28"/>
        <v>60.799265013535717</v>
      </c>
      <c r="F232" s="1">
        <f t="shared" si="22"/>
        <v>3.2534080339828613</v>
      </c>
      <c r="G232" s="1">
        <f t="shared" si="29"/>
        <v>2.4262315008286777</v>
      </c>
      <c r="H232" s="1">
        <f t="shared" si="23"/>
        <v>0.94910479479294629</v>
      </c>
      <c r="I232" s="1">
        <f t="shared" si="24"/>
        <v>24.4944333429426</v>
      </c>
      <c r="K232" s="112">
        <f>C232/'CGE-Flood Weighted Av Calcs'!$D$3</f>
        <v>2.657634705509049E-3</v>
      </c>
      <c r="L232" s="112">
        <f>D232/'CGE-Flood Weighted Av Calcs'!$D$4</f>
        <v>2.6049406164358837E-3</v>
      </c>
      <c r="M232" s="112">
        <f>E232/'CGE-Flood Weighted Av Calcs'!$D$5</f>
        <v>2.6045469864309136E-3</v>
      </c>
      <c r="N232" s="112">
        <f>F232/'CGE-Flood Weighted Av Calcs'!$D$6</f>
        <v>8.992899129070483E-4</v>
      </c>
      <c r="O232" s="112">
        <f>G232/'CGE-Flood Weighted Av Calcs'!$D$7</f>
        <v>4.0050702402295805E-3</v>
      </c>
      <c r="P232" s="112">
        <f>H232/'CGE-Flood Weighted Av Calcs'!$D$8</f>
        <v>9.5908891034968656E-3</v>
      </c>
      <c r="R232" s="1">
        <f t="shared" si="25"/>
        <v>4.2525057887053158E-2</v>
      </c>
      <c r="S232" s="1">
        <f t="shared" si="26"/>
        <v>4.9329067148981665E-2</v>
      </c>
      <c r="T232" s="1">
        <f t="shared" si="27"/>
        <v>1.1907016208374888</v>
      </c>
    </row>
    <row r="233" spans="1:20">
      <c r="A233">
        <v>180</v>
      </c>
      <c r="B233">
        <v>0.46692663172446924</v>
      </c>
      <c r="C233" s="1">
        <f t="shared" si="21"/>
        <v>54.900633894954389</v>
      </c>
      <c r="D233" s="1">
        <f t="shared" si="30"/>
        <v>176.58482677206686</v>
      </c>
      <c r="E233" s="1">
        <f t="shared" si="28"/>
        <v>211.70830799418522</v>
      </c>
      <c r="F233" s="1">
        <f t="shared" si="22"/>
        <v>11.328648626523023</v>
      </c>
      <c r="G233" s="1">
        <f t="shared" si="29"/>
        <v>8.4483482773727232</v>
      </c>
      <c r="H233" s="1">
        <f t="shared" si="23"/>
        <v>3.3048651191761835</v>
      </c>
      <c r="I233" s="1">
        <f t="shared" si="24"/>
        <v>85.29173892408491</v>
      </c>
      <c r="K233" s="112">
        <f>C233/'CGE-Flood Weighted Av Calcs'!$D$3</f>
        <v>9.2541142832020182E-3</v>
      </c>
      <c r="L233" s="112">
        <f>D233/'CGE-Flood Weighted Av Calcs'!$D$4</f>
        <v>9.0706289000071529E-3</v>
      </c>
      <c r="M233" s="112">
        <f>E233/'CGE-Flood Weighted Av Calcs'!$D$5</f>
        <v>9.0692582462285343E-3</v>
      </c>
      <c r="N233" s="112">
        <f>F233/'CGE-Flood Weighted Av Calcs'!$D$6</f>
        <v>3.1314053848414732E-3</v>
      </c>
      <c r="O233" s="112">
        <f>G233/'CGE-Flood Weighted Av Calcs'!$D$7</f>
        <v>1.3946001547355889E-2</v>
      </c>
      <c r="P233" s="112">
        <f>H233/'CGE-Flood Weighted Av Calcs'!$D$8</f>
        <v>3.3396306744977053E-2</v>
      </c>
      <c r="R233" s="1">
        <f t="shared" si="25"/>
        <v>0.14807593563209187</v>
      </c>
      <c r="S233" s="1">
        <f t="shared" si="26"/>
        <v>0.17176808533322657</v>
      </c>
      <c r="T233" s="1">
        <f t="shared" si="27"/>
        <v>4.1461261976985728</v>
      </c>
    </row>
    <row r="234" spans="1:20">
      <c r="A234">
        <v>181</v>
      </c>
      <c r="B234">
        <v>0.94773456501107423</v>
      </c>
      <c r="C234" s="1">
        <f t="shared" si="21"/>
        <v>5.3827590768039357</v>
      </c>
      <c r="D234" s="1">
        <f t="shared" si="30"/>
        <v>17.31334434046579</v>
      </c>
      <c r="E234" s="1">
        <f t="shared" si="28"/>
        <v>20.757042963673939</v>
      </c>
      <c r="F234" s="1">
        <f t="shared" si="22"/>
        <v>1.1107228076640361</v>
      </c>
      <c r="G234" s="1">
        <f t="shared" si="29"/>
        <v>0.82832237349099636</v>
      </c>
      <c r="H234" s="1">
        <f t="shared" si="23"/>
        <v>0.32402709141566355</v>
      </c>
      <c r="I234" s="1">
        <f t="shared" si="24"/>
        <v>8.3624695982281025</v>
      </c>
      <c r="K234" s="112">
        <f>C234/'CGE-Flood Weighted Av Calcs'!$D$3</f>
        <v>9.0732408939024319E-4</v>
      </c>
      <c r="L234" s="112">
        <f>D234/'CGE-Flood Weighted Av Calcs'!$D$4</f>
        <v>8.8933417667370147E-4</v>
      </c>
      <c r="M234" s="112">
        <f>E234/'CGE-Flood Weighted Av Calcs'!$D$5</f>
        <v>8.8919979026420794E-4</v>
      </c>
      <c r="N234" s="112">
        <f>F234/'CGE-Flood Weighted Av Calcs'!$D$6</f>
        <v>3.070201482674906E-4</v>
      </c>
      <c r="O234" s="112">
        <f>G234/'CGE-Flood Weighted Av Calcs'!$D$7</f>
        <v>1.3673424346572185E-3</v>
      </c>
      <c r="P234" s="112">
        <f>H234/'CGE-Flood Weighted Av Calcs'!$D$8</f>
        <v>3.2743569702165906E-3</v>
      </c>
      <c r="R234" s="1">
        <f t="shared" si="25"/>
        <v>1.4518176385812709E-2</v>
      </c>
      <c r="S234" s="1">
        <f t="shared" si="26"/>
        <v>1.6841084607542745E-2</v>
      </c>
      <c r="T234" s="1">
        <f t="shared" si="27"/>
        <v>0.40650893880275696</v>
      </c>
    </row>
    <row r="235" spans="1:20">
      <c r="A235">
        <v>182</v>
      </c>
      <c r="B235">
        <v>0.68883585268775693</v>
      </c>
      <c r="C235" s="1">
        <f t="shared" si="21"/>
        <v>32.046449793746461</v>
      </c>
      <c r="D235" s="1">
        <f t="shared" si="30"/>
        <v>103.07561833103964</v>
      </c>
      <c r="E235" s="1">
        <f t="shared" si="28"/>
        <v>123.57780196192223</v>
      </c>
      <c r="F235" s="1">
        <f t="shared" si="22"/>
        <v>6.612728190634428</v>
      </c>
      <c r="G235" s="1">
        <f t="shared" si="29"/>
        <v>4.9314470472041592</v>
      </c>
      <c r="H235" s="1">
        <f t="shared" si="23"/>
        <v>1.9291069447290479</v>
      </c>
      <c r="I235" s="1">
        <f t="shared" si="24"/>
        <v>49.786263569958876</v>
      </c>
      <c r="K235" s="112">
        <f>C235/'CGE-Flood Weighted Av Calcs'!$D$3</f>
        <v>5.4017866046803661E-3</v>
      </c>
      <c r="L235" s="112">
        <f>D235/'CGE-Flood Weighted Av Calcs'!$D$4</f>
        <v>5.2946830121846705E-3</v>
      </c>
      <c r="M235" s="112">
        <f>E235/'CGE-Flood Weighted Av Calcs'!$D$5</f>
        <v>5.2938829378615729E-3</v>
      </c>
      <c r="N235" s="112">
        <f>F235/'CGE-Flood Weighted Av Calcs'!$D$6</f>
        <v>1.8278554969182648E-3</v>
      </c>
      <c r="O235" s="112">
        <f>G235/'CGE-Flood Weighted Av Calcs'!$D$7</f>
        <v>8.1405223711255702E-3</v>
      </c>
      <c r="P235" s="112">
        <f>H235/'CGE-Flood Weighted Av Calcs'!$D$8</f>
        <v>1.9494002008195798E-2</v>
      </c>
      <c r="R235" s="1">
        <f t="shared" si="25"/>
        <v>8.6434485364511954E-2</v>
      </c>
      <c r="S235" s="1">
        <f t="shared" si="26"/>
        <v>0.10026400302283386</v>
      </c>
      <c r="T235" s="1">
        <f t="shared" si="27"/>
        <v>2.4201655902063353</v>
      </c>
    </row>
    <row r="236" spans="1:20">
      <c r="A236">
        <v>183</v>
      </c>
      <c r="B236">
        <v>0.23946386701971756</v>
      </c>
      <c r="C236" s="1">
        <f t="shared" si="21"/>
        <v>78.32677129549154</v>
      </c>
      <c r="D236" s="1">
        <f t="shared" si="30"/>
        <v>251.93369109898077</v>
      </c>
      <c r="E236" s="1">
        <f t="shared" si="28"/>
        <v>302.04438537712457</v>
      </c>
      <c r="F236" s="1">
        <f t="shared" si="22"/>
        <v>16.162590613333585</v>
      </c>
      <c r="G236" s="1">
        <f t="shared" si="29"/>
        <v>12.053264168362348</v>
      </c>
      <c r="H236" s="1">
        <f t="shared" si="23"/>
        <v>4.7150532878628688</v>
      </c>
      <c r="I236" s="1">
        <f t="shared" si="24"/>
        <v>121.68578127684519</v>
      </c>
      <c r="K236" s="112">
        <f>C236/'CGE-Flood Weighted Av Calcs'!$D$3</f>
        <v>1.3202851070710907E-2</v>
      </c>
      <c r="L236" s="112">
        <f>D236/'CGE-Flood Weighted Av Calcs'!$D$4</f>
        <v>1.2941072351123288E-2</v>
      </c>
      <c r="M236" s="112">
        <f>E236/'CGE-Flood Weighted Av Calcs'!$D$5</f>
        <v>1.2939116838455647E-2</v>
      </c>
      <c r="N236" s="112">
        <f>F236/'CGE-Flood Weighted Av Calcs'!$D$6</f>
        <v>4.4675781682457123E-3</v>
      </c>
      <c r="O236" s="112">
        <f>G236/'CGE-Flood Weighted Av Calcs'!$D$7</f>
        <v>1.9896769785507105E-2</v>
      </c>
      <c r="P236" s="112">
        <f>H236/'CGE-Flood Weighted Av Calcs'!$D$8</f>
        <v>4.7646533290179462E-2</v>
      </c>
      <c r="R236" s="1">
        <f t="shared" si="25"/>
        <v>0.21126003693896733</v>
      </c>
      <c r="S236" s="1">
        <f t="shared" si="26"/>
        <v>0.24506164284920212</v>
      </c>
      <c r="T236" s="1">
        <f t="shared" si="27"/>
        <v>5.9152810342910858</v>
      </c>
    </row>
    <row r="237" spans="1:20">
      <c r="A237">
        <v>184</v>
      </c>
      <c r="B237">
        <v>0.35704131817417784</v>
      </c>
      <c r="C237" s="1">
        <f t="shared" si="21"/>
        <v>66.217600242706055</v>
      </c>
      <c r="D237" s="1">
        <f t="shared" si="30"/>
        <v>212.98521781175396</v>
      </c>
      <c r="E237" s="1">
        <f t="shared" si="28"/>
        <v>255.34889330498316</v>
      </c>
      <c r="F237" s="1">
        <f t="shared" si="22"/>
        <v>13.663884600613427</v>
      </c>
      <c r="G237" s="1">
        <f t="shared" si="29"/>
        <v>10.189852270424065</v>
      </c>
      <c r="H237" s="1">
        <f t="shared" si="23"/>
        <v>3.9861149460750411</v>
      </c>
      <c r="I237" s="1">
        <f t="shared" si="24"/>
        <v>102.87338909213153</v>
      </c>
      <c r="K237" s="112">
        <f>C237/'CGE-Flood Weighted Av Calcs'!$D$3</f>
        <v>1.1161715206747462E-2</v>
      </c>
      <c r="L237" s="112">
        <f>D237/'CGE-Flood Weighted Av Calcs'!$D$4</f>
        <v>1.0940406983275494E-2</v>
      </c>
      <c r="M237" s="112">
        <f>E237/'CGE-Flood Weighted Av Calcs'!$D$5</f>
        <v>1.0938753789176544E-2</v>
      </c>
      <c r="N237" s="112">
        <f>F237/'CGE-Flood Weighted Av Calcs'!$D$6</f>
        <v>3.7768990130065986E-3</v>
      </c>
      <c r="O237" s="112">
        <f>G237/'CGE-Flood Weighted Av Calcs'!$D$7</f>
        <v>1.6820766718539538E-2</v>
      </c>
      <c r="P237" s="112">
        <f>H237/'CGE-Flood Weighted Av Calcs'!$D$8</f>
        <v>4.0280469144545132E-2</v>
      </c>
      <c r="R237" s="1">
        <f t="shared" si="25"/>
        <v>0.17859963384050614</v>
      </c>
      <c r="S237" s="1">
        <f t="shared" si="26"/>
        <v>0.20717557525498714</v>
      </c>
      <c r="T237" s="1">
        <f t="shared" si="27"/>
        <v>5.0007897475341725</v>
      </c>
    </row>
    <row r="238" spans="1:20">
      <c r="A238">
        <v>185</v>
      </c>
      <c r="B238">
        <v>6.0859978749935872E-2</v>
      </c>
      <c r="C238" s="1">
        <f t="shared" si="21"/>
        <v>102.49457532314106</v>
      </c>
      <c r="D238" s="1">
        <f t="shared" si="30"/>
        <v>328.09226636176993</v>
      </c>
      <c r="E238" s="1">
        <f t="shared" si="28"/>
        <v>393.3001728102825</v>
      </c>
      <c r="F238" s="1">
        <f t="shared" si="22"/>
        <v>23.944064924806472</v>
      </c>
      <c r="G238" s="1">
        <f t="shared" si="29"/>
        <v>15.879341515825187</v>
      </c>
      <c r="H238" s="1">
        <f t="shared" si="23"/>
        <v>6.1017608001020314</v>
      </c>
      <c r="I238" s="1">
        <f t="shared" si="24"/>
        <v>207.92870137510474</v>
      </c>
      <c r="K238" s="112">
        <f>C238/'CGE-Flood Weighted Av Calcs'!$D$3</f>
        <v>1.727660404183012E-2</v>
      </c>
      <c r="L238" s="112">
        <f>D238/'CGE-Flood Weighted Av Calcs'!$D$4</f>
        <v>1.6853108206014194E-2</v>
      </c>
      <c r="M238" s="112">
        <f>E238/'CGE-Flood Weighted Av Calcs'!$D$5</f>
        <v>1.6848374394455655E-2</v>
      </c>
      <c r="N238" s="112">
        <f>F238/'CGE-Flood Weighted Av Calcs'!$D$6</f>
        <v>6.6184923120477411E-3</v>
      </c>
      <c r="O238" s="112">
        <f>G238/'CGE-Flood Weighted Av Calcs'!$D$7</f>
        <v>2.6212617434796196E-2</v>
      </c>
      <c r="P238" s="112">
        <f>H238/'CGE-Flood Weighted Av Calcs'!$D$8</f>
        <v>6.1659483221354623E-2</v>
      </c>
      <c r="R238" s="1">
        <f t="shared" si="25"/>
        <v>0.27609334750004272</v>
      </c>
      <c r="S238" s="1">
        <f t="shared" si="26"/>
        <v>0.32914002125006409</v>
      </c>
      <c r="T238" s="1">
        <f t="shared" si="27"/>
        <v>7.652333687501069</v>
      </c>
    </row>
    <row r="239" spans="1:20">
      <c r="A239">
        <v>186</v>
      </c>
      <c r="B239">
        <v>0.88425378482779193</v>
      </c>
      <c r="C239" s="1">
        <f t="shared" si="21"/>
        <v>11.920574093679974</v>
      </c>
      <c r="D239" s="1">
        <f t="shared" si="30"/>
        <v>38.341861687493633</v>
      </c>
      <c r="E239" s="1">
        <f t="shared" si="28"/>
        <v>45.968222817264063</v>
      </c>
      <c r="F239" s="1">
        <f t="shared" si="22"/>
        <v>2.4597893640376434</v>
      </c>
      <c r="G239" s="1">
        <f t="shared" si="29"/>
        <v>1.8343897777633984</v>
      </c>
      <c r="H239" s="1">
        <f t="shared" si="23"/>
        <v>0.71758533058356555</v>
      </c>
      <c r="I239" s="1">
        <f t="shared" si="24"/>
        <v>18.519394427553266</v>
      </c>
      <c r="K239" s="112">
        <f>C239/'CGE-Flood Weighted Av Calcs'!$D$3</f>
        <v>2.0093457426259365E-3</v>
      </c>
      <c r="L239" s="112">
        <f>D239/'CGE-Flood Weighted Av Calcs'!$D$4</f>
        <v>1.9695055631907283E-3</v>
      </c>
      <c r="M239" s="112">
        <f>E239/'CGE-Flood Weighted Av Calcs'!$D$5</f>
        <v>1.9692079531493552E-3</v>
      </c>
      <c r="N239" s="112">
        <f>F239/'CGE-Flood Weighted Av Calcs'!$D$6</f>
        <v>6.7992202018603276E-4</v>
      </c>
      <c r="O239" s="112">
        <f>G239/'CGE-Flood Weighted Av Calcs'!$D$7</f>
        <v>3.028095177806498E-3</v>
      </c>
      <c r="P239" s="112">
        <f>H239/'CGE-Flood Weighted Av Calcs'!$D$8</f>
        <v>7.2513397526608554E-3</v>
      </c>
      <c r="R239" s="1">
        <f t="shared" si="25"/>
        <v>3.2151726436724454E-2</v>
      </c>
      <c r="S239" s="1">
        <f t="shared" si="26"/>
        <v>3.7296002666600381E-2</v>
      </c>
      <c r="T239" s="1">
        <f t="shared" si="27"/>
        <v>0.90024834022828593</v>
      </c>
    </row>
    <row r="240" spans="1:20">
      <c r="A240">
        <v>187</v>
      </c>
      <c r="B240">
        <v>0.67445764485328175</v>
      </c>
      <c r="C240" s="1">
        <f t="shared" si="21"/>
        <v>33.52724544283258</v>
      </c>
      <c r="D240" s="1">
        <f t="shared" si="30"/>
        <v>107.83851494310832</v>
      </c>
      <c r="E240" s="1">
        <f t="shared" si="28"/>
        <v>129.28805918687542</v>
      </c>
      <c r="F240" s="1">
        <f t="shared" si="22"/>
        <v>6.9182877517185197</v>
      </c>
      <c r="G240" s="1">
        <f t="shared" si="29"/>
        <v>5.1593183208771478</v>
      </c>
      <c r="H240" s="1">
        <f t="shared" si="23"/>
        <v>2.0182467149301773</v>
      </c>
      <c r="I240" s="1">
        <f t="shared" si="24"/>
        <v>52.086776823474906</v>
      </c>
      <c r="K240" s="112">
        <f>C240/'CGE-Flood Weighted Av Calcs'!$D$3</f>
        <v>5.6513912302468237E-3</v>
      </c>
      <c r="L240" s="112">
        <f>D240/'CGE-Flood Weighted Av Calcs'!$D$4</f>
        <v>5.5393386173513675E-3</v>
      </c>
      <c r="M240" s="112">
        <f>E240/'CGE-Flood Weighted Av Calcs'!$D$5</f>
        <v>5.5385015733612954E-3</v>
      </c>
      <c r="N240" s="112">
        <f>F240/'CGE-Flood Weighted Av Calcs'!$D$6</f>
        <v>1.9123166613971734E-3</v>
      </c>
      <c r="O240" s="112">
        <f>G240/'CGE-Flood Weighted Av Calcs'!$D$7</f>
        <v>8.5166779261413167E-3</v>
      </c>
      <c r="P240" s="112">
        <f>H240/'CGE-Flood Weighted Av Calcs'!$D$8</f>
        <v>2.0394776775535094E-2</v>
      </c>
      <c r="R240" s="1">
        <f t="shared" si="25"/>
        <v>9.0428431985199509E-2</v>
      </c>
      <c r="S240" s="1">
        <f t="shared" si="26"/>
        <v>0.10489698110283144</v>
      </c>
      <c r="T240" s="1">
        <f t="shared" si="27"/>
        <v>2.5319960955855869</v>
      </c>
    </row>
    <row r="241" spans="1:20">
      <c r="A241">
        <v>188</v>
      </c>
      <c r="B241">
        <v>0.87457158568591709</v>
      </c>
      <c r="C241" s="1">
        <f t="shared" si="21"/>
        <v>12.917733025302624</v>
      </c>
      <c r="D241" s="1">
        <f t="shared" si="30"/>
        <v>41.549167773279748</v>
      </c>
      <c r="E241" s="1">
        <f t="shared" si="28"/>
        <v>49.81347587242999</v>
      </c>
      <c r="F241" s="1">
        <f t="shared" si="22"/>
        <v>2.6655513445416652</v>
      </c>
      <c r="G241" s="1">
        <f t="shared" si="29"/>
        <v>1.9878369302746037</v>
      </c>
      <c r="H241" s="1">
        <f t="shared" si="23"/>
        <v>0.77761151858168898</v>
      </c>
      <c r="I241" s="1">
        <f t="shared" si="24"/>
        <v>20.068546290253238</v>
      </c>
      <c r="K241" s="112">
        <f>C241/'CGE-Flood Weighted Av Calcs'!$D$3</f>
        <v>2.1774280042881232E-3</v>
      </c>
      <c r="L241" s="112">
        <f>D241/'CGE-Flood Weighted Av Calcs'!$D$4</f>
        <v>2.1342551841219324E-3</v>
      </c>
      <c r="M241" s="112">
        <f>E241/'CGE-Flood Weighted Av Calcs'!$D$5</f>
        <v>2.133932678927981E-3</v>
      </c>
      <c r="N241" s="112">
        <f>F241/'CGE-Flood Weighted Av Calcs'!$D$6</f>
        <v>7.3679766307934542E-4</v>
      </c>
      <c r="O241" s="112">
        <f>G241/'CGE-Flood Weighted Av Calcs'!$D$7</f>
        <v>3.2813960783020582E-3</v>
      </c>
      <c r="P241" s="112">
        <f>H241/'CGE-Flood Weighted Av Calcs'!$D$8</f>
        <v>7.8579160923381297E-3</v>
      </c>
      <c r="R241" s="1">
        <f t="shared" si="25"/>
        <v>3.4841226198356362E-2</v>
      </c>
      <c r="S241" s="1">
        <f t="shared" si="26"/>
        <v>4.0415822390093392E-2</v>
      </c>
      <c r="T241" s="1">
        <f t="shared" si="27"/>
        <v>0.97555433355397891</v>
      </c>
    </row>
    <row r="242" spans="1:20">
      <c r="A242">
        <v>189</v>
      </c>
      <c r="B242">
        <v>0.10334788931791572</v>
      </c>
      <c r="C242" s="1">
        <f t="shared" si="21"/>
        <v>92.345204599024882</v>
      </c>
      <c r="D242" s="1">
        <f t="shared" si="30"/>
        <v>297.02319992426436</v>
      </c>
      <c r="E242" s="1">
        <f t="shared" si="28"/>
        <v>356.10239135750976</v>
      </c>
      <c r="F242" s="1">
        <f t="shared" si="22"/>
        <v>19.05526951197692</v>
      </c>
      <c r="G242" s="1">
        <f t="shared" si="29"/>
        <v>14.210481643810384</v>
      </c>
      <c r="H242" s="1">
        <f t="shared" si="23"/>
        <v>5.5589238948760782</v>
      </c>
      <c r="I242" s="1">
        <f t="shared" si="24"/>
        <v>143.46433770913347</v>
      </c>
      <c r="K242" s="112">
        <f>C242/'CGE-Flood Weighted Av Calcs'!$D$3</f>
        <v>1.5565814385680306E-2</v>
      </c>
      <c r="L242" s="112">
        <f>D242/'CGE-Flood Weighted Av Calcs'!$D$4</f>
        <v>1.5257184155936866E-2</v>
      </c>
      <c r="M242" s="112">
        <f>E242/'CGE-Flood Weighted Av Calcs'!$D$5</f>
        <v>1.525487865790085E-2</v>
      </c>
      <c r="N242" s="112">
        <f>F242/'CGE-Flood Weighted Av Calcs'!$D$6</f>
        <v>5.2671572335387948E-3</v>
      </c>
      <c r="O242" s="112">
        <f>G242/'CGE-Flood Weighted Av Calcs'!$D$7</f>
        <v>2.3457768605969702E-2</v>
      </c>
      <c r="P242" s="112">
        <f>H242/'CGE-Flood Weighted Av Calcs'!$D$8</f>
        <v>5.617401039699349E-2</v>
      </c>
      <c r="R242" s="1">
        <f t="shared" si="25"/>
        <v>0.2490700307450234</v>
      </c>
      <c r="S242" s="1">
        <f t="shared" si="26"/>
        <v>0.28892123566422712</v>
      </c>
      <c r="T242" s="1">
        <f t="shared" si="27"/>
        <v>6.9739608608606556</v>
      </c>
    </row>
    <row r="243" spans="1:20">
      <c r="A243">
        <v>190</v>
      </c>
      <c r="B243">
        <v>0.66761162122840878</v>
      </c>
      <c r="C243" s="1">
        <f t="shared" si="21"/>
        <v>34.232309809265331</v>
      </c>
      <c r="D243" s="1">
        <f t="shared" si="30"/>
        <v>110.1063151518984</v>
      </c>
      <c r="E243" s="1">
        <f t="shared" si="28"/>
        <v>132.00693460696758</v>
      </c>
      <c r="F243" s="1">
        <f t="shared" si="22"/>
        <v>7.0637765357220275</v>
      </c>
      <c r="G243" s="1">
        <f t="shared" si="29"/>
        <v>5.2678166915332358</v>
      </c>
      <c r="H243" s="1">
        <f t="shared" si="23"/>
        <v>2.060689624348238</v>
      </c>
      <c r="I243" s="1">
        <f t="shared" si="24"/>
        <v>53.18214060345457</v>
      </c>
      <c r="K243" s="112">
        <f>C243/'CGE-Flood Weighted Av Calcs'!$D$3</f>
        <v>5.7702376945056224E-3</v>
      </c>
      <c r="L243" s="112">
        <f>D243/'CGE-Flood Weighted Av Calcs'!$D$4</f>
        <v>5.6558286606315043E-3</v>
      </c>
      <c r="M243" s="112">
        <f>E243/'CGE-Flood Weighted Av Calcs'!$D$5</f>
        <v>5.6549740139459903E-3</v>
      </c>
      <c r="N243" s="112">
        <f>F243/'CGE-Flood Weighted Av Calcs'!$D$6</f>
        <v>1.9525319047754516E-3</v>
      </c>
      <c r="O243" s="112">
        <f>G243/'CGE-Flood Weighted Av Calcs'!$D$7</f>
        <v>8.6957802068922171E-3</v>
      </c>
      <c r="P243" s="112">
        <f>H243/'CGE-Flood Weighted Av Calcs'!$D$8</f>
        <v>2.0823670655000941E-2</v>
      </c>
      <c r="R243" s="1">
        <f t="shared" si="25"/>
        <v>9.2330105214330882E-2</v>
      </c>
      <c r="S243" s="1">
        <f t="shared" si="26"/>
        <v>0.10710292204862382</v>
      </c>
      <c r="T243" s="1">
        <f t="shared" si="27"/>
        <v>2.5852429460012658</v>
      </c>
    </row>
    <row r="244" spans="1:20">
      <c r="A244">
        <v>191</v>
      </c>
      <c r="B244">
        <v>0.53397902042259859</v>
      </c>
      <c r="C244" s="1">
        <f t="shared" si="21"/>
        <v>47.994982885588158</v>
      </c>
      <c r="D244" s="1">
        <f t="shared" si="30"/>
        <v>154.37318547170372</v>
      </c>
      <c r="E244" s="1">
        <f t="shared" si="28"/>
        <v>185.07867574643035</v>
      </c>
      <c r="F244" s="1">
        <f t="shared" si="22"/>
        <v>9.9036797641927485</v>
      </c>
      <c r="G244" s="1">
        <f t="shared" si="29"/>
        <v>7.3856766710531057</v>
      </c>
      <c r="H244" s="1">
        <f t="shared" si="23"/>
        <v>2.8891641786419484</v>
      </c>
      <c r="I244" s="1">
        <f t="shared" si="24"/>
        <v>74.563356732384207</v>
      </c>
      <c r="K244" s="112">
        <f>C244/'CGE-Flood Weighted Av Calcs'!$D$3</f>
        <v>8.0900897700632423E-3</v>
      </c>
      <c r="L244" s="112">
        <f>D244/'CGE-Flood Weighted Av Calcs'!$D$4</f>
        <v>7.9296840114877927E-3</v>
      </c>
      <c r="M244" s="112">
        <f>E244/'CGE-Flood Weighted Av Calcs'!$D$5</f>
        <v>7.9284857647649466E-3</v>
      </c>
      <c r="N244" s="112">
        <f>F244/'CGE-Flood Weighted Av Calcs'!$D$6</f>
        <v>2.7375229972912496E-3</v>
      </c>
      <c r="O244" s="112">
        <f>G244/'CGE-Flood Weighted Av Calcs'!$D$7</f>
        <v>1.2191810150469809E-2</v>
      </c>
      <c r="P244" s="112">
        <f>H244/'CGE-Flood Weighted Av Calcs'!$D$8</f>
        <v>2.919556764561029E-2</v>
      </c>
      <c r="R244" s="1">
        <f t="shared" si="25"/>
        <v>0.12945027210483373</v>
      </c>
      <c r="S244" s="1">
        <f t="shared" si="26"/>
        <v>0.15016231564160712</v>
      </c>
      <c r="T244" s="1">
        <f t="shared" si="27"/>
        <v>3.6246076189353444</v>
      </c>
    </row>
    <row r="245" spans="1:20">
      <c r="A245">
        <v>192</v>
      </c>
      <c r="B245">
        <v>0.88782965627815957</v>
      </c>
      <c r="C245" s="1">
        <f t="shared" si="21"/>
        <v>11.552299066197108</v>
      </c>
      <c r="D245" s="1">
        <f t="shared" si="30"/>
        <v>37.157325602592095</v>
      </c>
      <c r="E245" s="1">
        <f t="shared" si="28"/>
        <v>44.548077412493512</v>
      </c>
      <c r="F245" s="1">
        <f t="shared" si="22"/>
        <v>2.3837964639873626</v>
      </c>
      <c r="G245" s="1">
        <f t="shared" si="29"/>
        <v>1.7777180151023799</v>
      </c>
      <c r="H245" s="1">
        <f t="shared" si="23"/>
        <v>0.69541620053452924</v>
      </c>
      <c r="I245" s="1">
        <f t="shared" si="24"/>
        <v>17.947254995494447</v>
      </c>
      <c r="K245" s="112">
        <f>C245/'CGE-Flood Weighted Av Calcs'!$D$3</f>
        <v>1.9472688784772146E-3</v>
      </c>
      <c r="L245" s="112">
        <f>D245/'CGE-Flood Weighted Av Calcs'!$D$4</f>
        <v>1.9086595242573945E-3</v>
      </c>
      <c r="M245" s="112">
        <f>E245/'CGE-Flood Weighted Av Calcs'!$D$5</f>
        <v>1.9083711086008992E-3</v>
      </c>
      <c r="N245" s="112">
        <f>F245/'CGE-Flood Weighted Av Calcs'!$D$6</f>
        <v>6.5891646301215775E-4</v>
      </c>
      <c r="O245" s="112">
        <f>G245/'CGE-Flood Weighted Av Calcs'!$D$7</f>
        <v>2.9345449992610969E-3</v>
      </c>
      <c r="P245" s="112">
        <f>H245/'CGE-Flood Weighted Av Calcs'!$D$8</f>
        <v>7.0273163687439169E-3</v>
      </c>
      <c r="R245" s="1">
        <f t="shared" si="25"/>
        <v>3.1158428811622313E-2</v>
      </c>
      <c r="S245" s="1">
        <f t="shared" si="26"/>
        <v>3.6143777421481893E-2</v>
      </c>
      <c r="T245" s="1">
        <f t="shared" si="27"/>
        <v>0.87243600672542598</v>
      </c>
    </row>
    <row r="246" spans="1:20">
      <c r="A246">
        <v>193</v>
      </c>
      <c r="B246">
        <v>0.72658867419030182</v>
      </c>
      <c r="C246" s="1">
        <f t="shared" si="21"/>
        <v>28.158328654778813</v>
      </c>
      <c r="D246" s="1">
        <f t="shared" si="30"/>
        <v>90.569693552336588</v>
      </c>
      <c r="E246" s="1">
        <f t="shared" si="28"/>
        <v>108.58439497900366</v>
      </c>
      <c r="F246" s="1">
        <f t="shared" si="22"/>
        <v>5.8104212758363243</v>
      </c>
      <c r="G246" s="1">
        <f t="shared" si="29"/>
        <v>4.3331260589717679</v>
      </c>
      <c r="H246" s="1">
        <f t="shared" si="23"/>
        <v>1.6950528907104347</v>
      </c>
      <c r="I246" s="1">
        <f t="shared" si="24"/>
        <v>43.74581212955168</v>
      </c>
      <c r="K246" s="112">
        <f>C246/'CGE-Flood Weighted Av Calcs'!$D$3</f>
        <v>4.7464004130421122E-3</v>
      </c>
      <c r="L246" s="112">
        <f>D246/'CGE-Flood Weighted Av Calcs'!$D$4</f>
        <v>4.6522914500520878E-3</v>
      </c>
      <c r="M246" s="112">
        <f>E246/'CGE-Flood Weighted Av Calcs'!$D$5</f>
        <v>4.6515884468837808E-3</v>
      </c>
      <c r="N246" s="112">
        <f>F246/'CGE-Flood Weighted Av Calcs'!$D$6</f>
        <v>1.6060860453163911E-3</v>
      </c>
      <c r="O246" s="112">
        <f>G246/'CGE-Flood Weighted Av Calcs'!$D$7</f>
        <v>7.1528517456078316E-3</v>
      </c>
      <c r="P246" s="112">
        <f>H246/'CGE-Flood Weighted Av Calcs'!$D$8</f>
        <v>1.7128840132887711E-2</v>
      </c>
      <c r="R246" s="1">
        <f t="shared" si="25"/>
        <v>7.5947590502693924E-2</v>
      </c>
      <c r="S246" s="1">
        <f t="shared" si="26"/>
        <v>8.8099204983124957E-2</v>
      </c>
      <c r="T246" s="1">
        <f t="shared" si="27"/>
        <v>2.1265325340754311</v>
      </c>
    </row>
    <row r="247" spans="1:20">
      <c r="A247">
        <v>194</v>
      </c>
      <c r="B247">
        <v>0.54555817178050015</v>
      </c>
      <c r="C247" s="1">
        <f t="shared" ref="C247:C310" si="31">IF($B247&lt;=0.005,$F$5,IF(B247&lt;=0.01,$F$5+($B247-0.005)*SLOPE($E$5:$F$5,$E$4:$F$4),IF($B247&lt;=0.04,$E$5+($B247-0.01)*SLOPE($D$5:$E$5,$D$4:$E$4),IF($B247&lt;=0.1,$D$5+($B247-0.04)*SLOPE($C$5:$D$5,$C$4:$D$4),IF($B247&lt;=1,$C$5+($B247-0.1)*SLOPE($B$5:$C$5,$B$4:$C$4),)))))</f>
        <v>46.802458952961608</v>
      </c>
      <c r="D247" s="1">
        <f t="shared" si="30"/>
        <v>150.53749875691415</v>
      </c>
      <c r="E247" s="1">
        <f t="shared" si="28"/>
        <v>180.48005445360513</v>
      </c>
      <c r="F247" s="1">
        <f t="shared" ref="F247:F310" si="32">IF($B247&lt;=0.005,$F$26,IF($B247&lt;=0.01,$F$26+($B247-0.005)*SLOPE($E$26:$F$26,$E$25:$F$25),IF($B247&lt;=0.04,$E$26+($B247-0.01)*SLOPE($D$26:$E$26,$D$25:$E$25),IF($B247&lt;=0.1,$D$26+($B247-0.04)*SLOPE($C$26:$D$26,$C$25:$D$25),IF($B247&lt;=1,$C$26+($B247-0.1)*SLOPE($B$26:$C$26,$B$25:$C$25),)))))</f>
        <v>9.6576045615403583</v>
      </c>
      <c r="G247" s="1">
        <f t="shared" si="29"/>
        <v>7.2021659026490781</v>
      </c>
      <c r="H247" s="1">
        <f t="shared" ref="H247:H310" si="33">IF($B247&lt;=0.005,$F$40,IF($B247&lt;=0.01,$F$40+($B247-0.005)*SLOPE($E$40:$F$40,$E$39:$F$39),IF($B247&lt;=0.04,$E$40+($B247-0.01)*SLOPE($D$40:$E$40,$D$39:$E$39),IF($B247&lt;=0.1,$D$40+($B247-0.04)*SLOPE($C$40:$D$40,$C$39:$D$39),IF($B247&lt;=1,$C$40+($B247-0.1)*SLOPE($B$40:$C$40,$B$39:$C$39),)))))</f>
        <v>2.8173775621839092</v>
      </c>
      <c r="I247" s="1">
        <f t="shared" ref="I247:I310" si="34">IF($B247&lt;=0.005,$F$47,IF($B247&lt;=0.01,$F$47+($B247-0.005)*SLOPE($E$47:$F$47,$E$46:$F$46),IF($B247&lt;=0.04,$E$47+($B247-0.01)*SLOPE($D$47:$E$47,$D$46:$E$46),IF($B247&lt;=0.1,$D$47+($B247-0.04)*SLOPE($C$47:$D$47,$C$46:$D$46),IF($B247&lt;=1,$C$47+($B247-0.1)*SLOPE($B$47:$C$47,$B$46:$C$46),)))))</f>
        <v>72.710692515119959</v>
      </c>
      <c r="K247" s="112">
        <f>C247/'CGE-Flood Weighted Av Calcs'!$D$3</f>
        <v>7.8890765581011504E-3</v>
      </c>
      <c r="L247" s="112">
        <f>D247/'CGE-Flood Weighted Av Calcs'!$D$4</f>
        <v>7.7326563766533856E-3</v>
      </c>
      <c r="M247" s="112">
        <f>E247/'CGE-Flood Weighted Av Calcs'!$D$5</f>
        <v>7.7314879025819341E-3</v>
      </c>
      <c r="N247" s="112">
        <f>F247/'CGE-Flood Weighted Av Calcs'!$D$6</f>
        <v>2.6695041858632398E-3</v>
      </c>
      <c r="O247" s="112">
        <f>G247/'CGE-Flood Weighted Av Calcs'!$D$7</f>
        <v>1.18888821252399E-2</v>
      </c>
      <c r="P247" s="112">
        <f>H247/'CGE-Flood Weighted Av Calcs'!$D$8</f>
        <v>2.847014988211188E-2</v>
      </c>
      <c r="R247" s="1">
        <f t="shared" ref="R247:R310" si="35">IF($B247&lt;=0.005,$F$13,IF($B247&lt;=0.01,$F$13+($B247-0.005)*SLOPE($E$13:$F$13,$E$10:$F$10),IF($B247&lt;=0.04,$E$13+($B247-0.01)*SLOPE($D$13:$E$13,$D$10:$E$10),IF($B247&lt;=0.1,$D$13+($B247-0.04)*SLOPE($C$13:$D$13,$C$10:$D$10),IF($B247&lt;=1,$C$13+($B247-0.1)*SLOPE($B$13:$C$13,$B$10:$C$10),)))))</f>
        <v>0.12623384117208328</v>
      </c>
      <c r="S247" s="1">
        <f t="shared" ref="S247:S310" si="36">IF($B247&lt;=0.005,$F$21,IF($B247&lt;=0.01,$F$21+($B247-0.005)*SLOPE($E$21:$F$21,$E$18:$F$18),IF($B247&lt;=0.04,$E$21+($B247-0.01)*SLOPE($D$21:$E$21,$D$18:$E$18),IF($B247&lt;=0.1,$D$21+($B247-0.04)*SLOPE($C$21:$D$21,$C$18:$D$18),IF($B247&lt;=1,$C$21+($B247-0.1)*SLOPE($B$21:$C$21,$B$18:$C$18),)))))</f>
        <v>0.1464312557596166</v>
      </c>
      <c r="T247" s="1">
        <f t="shared" ref="T247:T310" si="37">IF($B247&lt;=0.005,$F$14,IF($B247&lt;=0.01,$F$14+($B247-0.005)*SLOPE($E$14:$F$14,$E$10:$F$10),IF($B247&lt;=0.04,$E$14+($B247-0.01)*SLOPE($D$14:$E$14,$D$10:$E$10),IF($B247&lt;=0.1,$D$14+($B247-0.04)*SLOPE($C$14:$D$14,$C$10:$D$10),IF($B247&lt;=1,$C$14+($B247-0.1)*SLOPE($B$14:$C$14,$B$10:$C$10),)))))</f>
        <v>3.5345475528183323</v>
      </c>
    </row>
    <row r="248" spans="1:20">
      <c r="A248">
        <v>195</v>
      </c>
      <c r="B248">
        <v>0.10668198554461683</v>
      </c>
      <c r="C248" s="1">
        <f t="shared" si="31"/>
        <v>92.001829733188288</v>
      </c>
      <c r="D248" s="1">
        <f t="shared" si="30"/>
        <v>295.91875382046067</v>
      </c>
      <c r="E248" s="1">
        <f t="shared" ref="E248:E311" si="38">IF($B248&lt;=0.005,$F$19,IF($B248&lt;=0.01,$F$19+($B248-0.005)*SLOPE($E$19:$F$19,$E$18:$F$18),IF($B248&lt;=0.04,$E$19+($B248-0.01)*SLOPE($D$19:$E$19,$D$18:$E$18),IF($B248&lt;=0.1,$D$19+($B248-0.04)*SLOPE($C$19:$D$19,$C$18:$D$18),IF($B248&lt;=1,$C$19+($B248-0.1)*SLOPE($B$19:$C$19,$B$18:$C$18),)))))</f>
        <v>354.77826617540188</v>
      </c>
      <c r="F248" s="1">
        <f t="shared" si="32"/>
        <v>18.984414716207436</v>
      </c>
      <c r="G248" s="1">
        <f t="shared" ref="G248:G311" si="39">IF($B248&lt;=0.005,$F$33,IF($B248&lt;=0.01,$F$33+($B248-0.005)*SLOPE($E$33:$F$33,$E$32:$F$32),IF($B248&lt;=0.04,$E$33+($B248-0.01)*SLOPE($D$33:$E$33,$D$32:$E$32),IF($B248&lt;=0.1,$D$33+($B248-0.04)*SLOPE($C$33:$D$33,$C$32:$D$32),IF($B248&lt;=1,$C$33+($B248-0.1)*SLOPE($B$33:$C$33,$B$32:$C$32),)))))</f>
        <v>14.157641626301038</v>
      </c>
      <c r="H248" s="1">
        <f t="shared" si="33"/>
        <v>5.5382536851463238</v>
      </c>
      <c r="I248" s="1">
        <f t="shared" si="34"/>
        <v>142.93088231286131</v>
      </c>
      <c r="K248" s="112">
        <f>C248/'CGE-Flood Weighted Av Calcs'!$D$3</f>
        <v>1.5507934721549087E-2</v>
      </c>
      <c r="L248" s="112">
        <f>D248/'CGE-Flood Weighted Av Calcs'!$D$4</f>
        <v>1.5200452097295196E-2</v>
      </c>
      <c r="M248" s="112">
        <f>E248/'CGE-Flood Weighted Av Calcs'!$D$5</f>
        <v>1.5198155171984555E-2</v>
      </c>
      <c r="N248" s="112">
        <f>F248/'CGE-Flood Weighted Av Calcs'!$D$6</f>
        <v>5.2475719240875915E-3</v>
      </c>
      <c r="O248" s="112">
        <f>G248/'CGE-Flood Weighted Av Calcs'!$D$7</f>
        <v>2.3370543631128012E-2</v>
      </c>
      <c r="P248" s="112">
        <f>H248/'CGE-Flood Weighted Av Calcs'!$D$8</f>
        <v>5.5965133895313456E-2</v>
      </c>
      <c r="R248" s="1">
        <f t="shared" si="35"/>
        <v>0.24814389290427311</v>
      </c>
      <c r="S248" s="1">
        <f t="shared" si="36"/>
        <v>0.28784691576895677</v>
      </c>
      <c r="T248" s="1">
        <f t="shared" si="37"/>
        <v>6.9480290013196466</v>
      </c>
    </row>
    <row r="249" spans="1:20">
      <c r="A249">
        <v>196</v>
      </c>
      <c r="B249">
        <v>0.77206554564779861</v>
      </c>
      <c r="C249" s="1">
        <f t="shared" si="31"/>
        <v>23.474716193228403</v>
      </c>
      <c r="D249" s="1">
        <f t="shared" ref="D249:D312" si="40">IF($B249&lt;=0.005,$F$11,IF($B249&lt;=0.01,$F$11+($B249-0.005)*SLOPE($E$11:$F$11,$E$10:$F$10),IF($B249&lt;=0.04,$E$11+($B249-0.01)*SLOPE($D$11:$E$11,$D$10:$E$10),IF($B249&lt;=0.1,$D$11+($B249-0.04)*SLOPE($C$11:$D$11,$C$10:$D$10),IF($B249&lt;=1,$C$11+($B249-0.1)*SLOPE($B$11:$C$11,$B$10:$C$10),)))))</f>
        <v>75.50511530406277</v>
      </c>
      <c r="E249" s="1">
        <f t="shared" si="38"/>
        <v>90.523407351200547</v>
      </c>
      <c r="F249" s="1">
        <f t="shared" si="32"/>
        <v>4.8439661346947638</v>
      </c>
      <c r="G249" s="1">
        <f t="shared" si="39"/>
        <v>3.6123914068522502</v>
      </c>
      <c r="H249" s="1">
        <f t="shared" si="33"/>
        <v>1.4131124765881955</v>
      </c>
      <c r="I249" s="1">
        <f t="shared" si="34"/>
        <v>36.469512696352197</v>
      </c>
      <c r="K249" s="112">
        <f>C249/'CGE-Flood Weighted Av Calcs'!$D$3</f>
        <v>3.956925284934347E-3</v>
      </c>
      <c r="L249" s="112">
        <f>D249/'CGE-Flood Weighted Av Calcs'!$D$4</f>
        <v>3.878469591611265E-3</v>
      </c>
      <c r="M249" s="112">
        <f>E249/'CGE-Flood Weighted Av Calcs'!$D$5</f>
        <v>3.8778835199000752E-3</v>
      </c>
      <c r="N249" s="112">
        <f>F249/'CGE-Flood Weighted Av Calcs'!$D$6</f>
        <v>1.3389436055647526E-3</v>
      </c>
      <c r="O249" s="112">
        <f>G249/'CGE-Flood Weighted Av Calcs'!$D$7</f>
        <v>5.9631083491841243E-3</v>
      </c>
      <c r="P249" s="112">
        <f>H249/'CGE-Flood Weighted Av Calcs'!$D$8</f>
        <v>1.4279777247023472E-2</v>
      </c>
      <c r="R249" s="1">
        <f t="shared" si="35"/>
        <v>6.3315126208944805E-2</v>
      </c>
      <c r="S249" s="1">
        <f t="shared" si="36"/>
        <v>7.3445546402375994E-2</v>
      </c>
      <c r="T249" s="1">
        <f t="shared" si="37"/>
        <v>1.7728235338504561</v>
      </c>
    </row>
    <row r="250" spans="1:20">
      <c r="A250">
        <v>197</v>
      </c>
      <c r="B250">
        <v>0.65735795933359775</v>
      </c>
      <c r="C250" s="1">
        <f t="shared" si="31"/>
        <v>35.28832305485426</v>
      </c>
      <c r="D250" s="1">
        <f t="shared" si="40"/>
        <v>113.50292285588461</v>
      </c>
      <c r="E250" s="1">
        <f t="shared" si="38"/>
        <v>136.07914218604304</v>
      </c>
      <c r="F250" s="1">
        <f t="shared" si="32"/>
        <v>7.2816829997370203</v>
      </c>
      <c r="G250" s="1">
        <f t="shared" si="39"/>
        <v>5.4303206018036398</v>
      </c>
      <c r="H250" s="1">
        <f t="shared" si="33"/>
        <v>2.1242586779845314</v>
      </c>
      <c r="I250" s="1">
        <f t="shared" si="34"/>
        <v>54.822726506624335</v>
      </c>
      <c r="K250" s="112">
        <f>C250/'CGE-Flood Weighted Av Calcs'!$D$3</f>
        <v>5.9482405073320362E-3</v>
      </c>
      <c r="L250" s="112">
        <f>D250/'CGE-Flood Weighted Av Calcs'!$D$4</f>
        <v>5.8303021336073707E-3</v>
      </c>
      <c r="M250" s="112">
        <f>E250/'CGE-Flood Weighted Av Calcs'!$D$5</f>
        <v>5.8294211224075949E-3</v>
      </c>
      <c r="N250" s="112">
        <f>F250/'CGE-Flood Weighted Av Calcs'!$D$6</f>
        <v>2.0127644618353258E-3</v>
      </c>
      <c r="O250" s="112">
        <f>G250/'CGE-Flood Weighted Av Calcs'!$D$7</f>
        <v>8.964031433010845E-3</v>
      </c>
      <c r="P250" s="112">
        <f>H250/'CGE-Flood Weighted Av Calcs'!$D$8</f>
        <v>2.1466048343096955E-2</v>
      </c>
      <c r="R250" s="1">
        <f t="shared" si="35"/>
        <v>9.5178344629556155E-2</v>
      </c>
      <c r="S250" s="1">
        <f t="shared" si="36"/>
        <v>0.11040687977028515</v>
      </c>
      <c r="T250" s="1">
        <f t="shared" si="37"/>
        <v>2.664993649627573</v>
      </c>
    </row>
    <row r="251" spans="1:20">
      <c r="A251">
        <v>198</v>
      </c>
      <c r="B251">
        <v>0.22613296681639905</v>
      </c>
      <c r="C251" s="1">
        <f t="shared" si="31"/>
        <v>79.699705895319966</v>
      </c>
      <c r="D251" s="1">
        <f t="shared" si="40"/>
        <v>256.34965866219613</v>
      </c>
      <c r="E251" s="1">
        <f t="shared" si="38"/>
        <v>307.33870787388292</v>
      </c>
      <c r="F251" s="1">
        <f t="shared" si="32"/>
        <v>16.445893237824443</v>
      </c>
      <c r="G251" s="1">
        <f t="shared" si="39"/>
        <v>12.264537314745308</v>
      </c>
      <c r="H251" s="1">
        <f t="shared" si="33"/>
        <v>4.7977001235727226</v>
      </c>
      <c r="I251" s="1">
        <f t="shared" si="34"/>
        <v>123.81872530937615</v>
      </c>
      <c r="K251" s="112">
        <f>C251/'CGE-Flood Weighted Av Calcs'!$D$3</f>
        <v>1.3434274513188538E-2</v>
      </c>
      <c r="L251" s="112">
        <f>D251/'CGE-Flood Weighted Av Calcs'!$D$4</f>
        <v>1.3167907259493409E-2</v>
      </c>
      <c r="M251" s="112">
        <f>E251/'CGE-Flood Weighted Av Calcs'!$D$5</f>
        <v>1.3165917470026694E-2</v>
      </c>
      <c r="N251" s="112">
        <f>F251/'CGE-Flood Weighted Av Calcs'!$D$6</f>
        <v>4.5458871875398059E-3</v>
      </c>
      <c r="O251" s="112">
        <f>G251/'CGE-Flood Weighted Av Calcs'!$D$7</f>
        <v>2.0245526196776619E-2</v>
      </c>
      <c r="P251" s="112">
        <f>H251/'CGE-Flood Weighted Av Calcs'!$D$8</f>
        <v>4.8481695687837618E-2</v>
      </c>
      <c r="R251" s="1">
        <f t="shared" si="35"/>
        <v>0.2149630647732225</v>
      </c>
      <c r="S251" s="1">
        <f t="shared" si="36"/>
        <v>0.24935715513693807</v>
      </c>
      <c r="T251" s="1">
        <f t="shared" si="37"/>
        <v>6.0189658136502295</v>
      </c>
    </row>
    <row r="252" spans="1:20">
      <c r="A252">
        <v>199</v>
      </c>
      <c r="B252">
        <v>0.68144895855032306</v>
      </c>
      <c r="C252" s="1">
        <f t="shared" si="31"/>
        <v>32.807217813300625</v>
      </c>
      <c r="D252" s="1">
        <f t="shared" si="40"/>
        <v>105.52258623315427</v>
      </c>
      <c r="E252" s="1">
        <f t="shared" si="38"/>
        <v>126.51148229982269</v>
      </c>
      <c r="F252" s="1">
        <f t="shared" si="32"/>
        <v>6.7697113248604417</v>
      </c>
      <c r="G252" s="1">
        <f t="shared" si="39"/>
        <v>5.0485173382280912</v>
      </c>
      <c r="H252" s="1">
        <f t="shared" si="33"/>
        <v>1.974903058785217</v>
      </c>
      <c r="I252" s="1">
        <f t="shared" si="34"/>
        <v>50.968166631948293</v>
      </c>
      <c r="K252" s="112">
        <f>C252/'CGE-Flood Weighted Av Calcs'!$D$3</f>
        <v>5.5300225410710117E-3</v>
      </c>
      <c r="L252" s="112">
        <f>D252/'CGE-Flood Weighted Av Calcs'!$D$4</f>
        <v>5.4203763584140183E-3</v>
      </c>
      <c r="M252" s="112">
        <f>E252/'CGE-Flood Weighted Av Calcs'!$D$5</f>
        <v>5.4195572906934556E-3</v>
      </c>
      <c r="N252" s="112">
        <f>F252/'CGE-Flood Weighted Av Calcs'!$D$6</f>
        <v>1.8712479480437886E-3</v>
      </c>
      <c r="O252" s="112">
        <f>G252/'CGE-Flood Weighted Av Calcs'!$D$7</f>
        <v>8.3337746384524198E-3</v>
      </c>
      <c r="P252" s="112">
        <f>H252/'CGE-Flood Weighted Av Calcs'!$D$8</f>
        <v>1.9956780674675545E-2</v>
      </c>
      <c r="R252" s="1">
        <f t="shared" si="35"/>
        <v>8.8486400402688015E-2</v>
      </c>
      <c r="S252" s="1">
        <f t="shared" si="36"/>
        <v>0.10264422446711813</v>
      </c>
      <c r="T252" s="1">
        <f t="shared" si="37"/>
        <v>2.4776192112752655</v>
      </c>
    </row>
    <row r="253" spans="1:20">
      <c r="A253">
        <v>200</v>
      </c>
      <c r="B253">
        <v>0.27322117045548788</v>
      </c>
      <c r="C253" s="1">
        <f t="shared" si="31"/>
        <v>74.850144122756475</v>
      </c>
      <c r="D253" s="1">
        <f t="shared" si="40"/>
        <v>240.75131371107773</v>
      </c>
      <c r="E253" s="1">
        <f t="shared" si="38"/>
        <v>288.63778505125856</v>
      </c>
      <c r="F253" s="1">
        <f t="shared" si="32"/>
        <v>15.44519475009643</v>
      </c>
      <c r="G253" s="1">
        <f t="shared" si="39"/>
        <v>11.51826566102193</v>
      </c>
      <c r="H253" s="1">
        <f t="shared" si="33"/>
        <v>4.5057700235286813</v>
      </c>
      <c r="I253" s="1">
        <f t="shared" si="34"/>
        <v>116.28461272712194</v>
      </c>
      <c r="K253" s="112">
        <f>C253/'CGE-Flood Weighted Av Calcs'!$D$3</f>
        <v>1.2616826777473509E-2</v>
      </c>
      <c r="L253" s="112">
        <f>D253/'CGE-Flood Weighted Av Calcs'!$D$4</f>
        <v>1.2366667418606488E-2</v>
      </c>
      <c r="M253" s="112">
        <f>E253/'CGE-Flood Weighted Av Calcs'!$D$5</f>
        <v>1.2364798703701153E-2</v>
      </c>
      <c r="N253" s="112">
        <f>F253/'CGE-Flood Weighted Av Calcs'!$D$6</f>
        <v>4.2692793822859875E-3</v>
      </c>
      <c r="O253" s="112">
        <f>G253/'CGE-Flood Weighted Av Calcs'!$D$7</f>
        <v>1.9013627925554947E-2</v>
      </c>
      <c r="P253" s="112">
        <f>H253/'CGE-Flood Weighted Av Calcs'!$D$8</f>
        <v>4.5531685076937736E-2</v>
      </c>
      <c r="R253" s="1">
        <f t="shared" si="35"/>
        <v>0.20188300820680893</v>
      </c>
      <c r="S253" s="1">
        <f t="shared" si="36"/>
        <v>0.23418428951989834</v>
      </c>
      <c r="T253" s="1">
        <f t="shared" si="37"/>
        <v>5.6527242297906497</v>
      </c>
    </row>
    <row r="254" spans="1:20">
      <c r="A254">
        <v>201</v>
      </c>
      <c r="B254">
        <v>0.87258349713676719</v>
      </c>
      <c r="C254" s="1">
        <f t="shared" si="31"/>
        <v>13.122484055992288</v>
      </c>
      <c r="D254" s="1">
        <f t="shared" si="40"/>
        <v>42.207738043250004</v>
      </c>
      <c r="E254" s="1">
        <f t="shared" si="38"/>
        <v>50.603038600436321</v>
      </c>
      <c r="F254" s="1">
        <f t="shared" si="32"/>
        <v>2.7078013573018076</v>
      </c>
      <c r="G254" s="1">
        <f t="shared" si="39"/>
        <v>2.0193449092303144</v>
      </c>
      <c r="H254" s="1">
        <f t="shared" si="33"/>
        <v>0.78993695986414103</v>
      </c>
      <c r="I254" s="1">
        <f t="shared" si="34"/>
        <v>20.386640458117228</v>
      </c>
      <c r="K254" s="112">
        <f>C254/'CGE-Flood Weighted Av Calcs'!$D$3</f>
        <v>2.2119410745967648E-3</v>
      </c>
      <c r="L254" s="112">
        <f>D254/'CGE-Flood Weighted Av Calcs'!$D$4</f>
        <v>2.1680839486464655E-3</v>
      </c>
      <c r="M254" s="112">
        <f>E254/'CGE-Flood Weighted Av Calcs'!$D$5</f>
        <v>2.1677563316213028E-3</v>
      </c>
      <c r="N254" s="112">
        <f>F254/'CGE-Flood Weighted Av Calcs'!$D$6</f>
        <v>7.484761890737858E-4</v>
      </c>
      <c r="O254" s="112">
        <f>G254/'CGE-Flood Weighted Av Calcs'!$D$7</f>
        <v>3.3334074666638842E-3</v>
      </c>
      <c r="P254" s="112">
        <f>H254/'CGE-Flood Weighted Av Calcs'!$D$8</f>
        <v>7.9824670809541445E-3</v>
      </c>
      <c r="R254" s="1">
        <f t="shared" si="35"/>
        <v>3.5393473017564653E-2</v>
      </c>
      <c r="S254" s="1">
        <f t="shared" si="36"/>
        <v>4.1056428700375014E-2</v>
      </c>
      <c r="T254" s="1">
        <f t="shared" si="37"/>
        <v>0.99101724449181106</v>
      </c>
    </row>
    <row r="255" spans="1:20">
      <c r="A255">
        <v>202</v>
      </c>
      <c r="B255">
        <v>0.22874008886609998</v>
      </c>
      <c r="C255" s="1">
        <f t="shared" si="31"/>
        <v>79.431201292223548</v>
      </c>
      <c r="D255" s="1">
        <f t="shared" si="40"/>
        <v>255.48602858251428</v>
      </c>
      <c r="E255" s="1">
        <f t="shared" si="38"/>
        <v>306.30329805841598</v>
      </c>
      <c r="F255" s="1">
        <f t="shared" si="32"/>
        <v>16.390487788246144</v>
      </c>
      <c r="G255" s="1">
        <f t="shared" si="39"/>
        <v>12.223218658837316</v>
      </c>
      <c r="H255" s="1">
        <f t="shared" si="33"/>
        <v>4.7815368949511825</v>
      </c>
      <c r="I255" s="1">
        <f t="shared" si="34"/>
        <v>123.401585781424</v>
      </c>
      <c r="K255" s="112">
        <f>C255/'CGE-Flood Weighted Av Calcs'!$D$3</f>
        <v>1.3389015067052191E-2</v>
      </c>
      <c r="L255" s="112">
        <f>D255/'CGE-Flood Weighted Av Calcs'!$D$4</f>
        <v>1.3123545192248587E-2</v>
      </c>
      <c r="M255" s="112">
        <f>E255/'CGE-Flood Weighted Av Calcs'!$D$5</f>
        <v>1.3121562106290058E-2</v>
      </c>
      <c r="N255" s="112">
        <f>F255/'CGE-Flood Weighted Av Calcs'!$D$6</f>
        <v>4.5305723049903681E-3</v>
      </c>
      <c r="O255" s="112">
        <f>G255/'CGE-Flood Weighted Av Calcs'!$D$7</f>
        <v>2.0177319960443911E-2</v>
      </c>
      <c r="P255" s="112">
        <f>H255/'CGE-Flood Weighted Av Calcs'!$D$8</f>
        <v>4.8318363109481531E-2</v>
      </c>
      <c r="R255" s="1">
        <f t="shared" si="35"/>
        <v>0.21423886420386112</v>
      </c>
      <c r="S255" s="1">
        <f t="shared" si="36"/>
        <v>0.24851708247647888</v>
      </c>
      <c r="T255" s="1">
        <f t="shared" si="37"/>
        <v>5.9986881977081117</v>
      </c>
    </row>
    <row r="256" spans="1:20">
      <c r="A256">
        <v>203</v>
      </c>
      <c r="B256">
        <v>0.74482167574000435</v>
      </c>
      <c r="C256" s="1">
        <f t="shared" si="31"/>
        <v>26.280532084065555</v>
      </c>
      <c r="D256" s="1">
        <f t="shared" si="40"/>
        <v>84.529865619073774</v>
      </c>
      <c r="E256" s="1">
        <f t="shared" si="38"/>
        <v>101.34321930326121</v>
      </c>
      <c r="F256" s="1">
        <f t="shared" si="32"/>
        <v>5.4229412772919829</v>
      </c>
      <c r="G256" s="1">
        <f t="shared" si="39"/>
        <v>4.0441625571332267</v>
      </c>
      <c r="H256" s="1">
        <f t="shared" si="33"/>
        <v>1.5820147717092401</v>
      </c>
      <c r="I256" s="1">
        <f t="shared" si="34"/>
        <v>40.828531881599275</v>
      </c>
      <c r="K256" s="112">
        <f>C256/'CGE-Flood Weighted Av Calcs'!$D$3</f>
        <v>4.4298768534191983E-3</v>
      </c>
      <c r="L256" s="112">
        <f>D256/'CGE-Flood Weighted Av Calcs'!$D$4</f>
        <v>4.3420437418883514E-3</v>
      </c>
      <c r="M256" s="112">
        <f>E256/'CGE-Flood Weighted Av Calcs'!$D$5</f>
        <v>4.3413876199449508E-3</v>
      </c>
      <c r="N256" s="112">
        <f>F256/'CGE-Flood Weighted Av Calcs'!$D$6</f>
        <v>1.4989808649933504E-3</v>
      </c>
      <c r="O256" s="112">
        <f>G256/'CGE-Flood Weighted Av Calcs'!$D$7</f>
        <v>6.6758489858420025E-3</v>
      </c>
      <c r="P256" s="112">
        <f>H256/'CGE-Flood Weighted Av Calcs'!$D$8</f>
        <v>1.5986567888814966E-2</v>
      </c>
      <c r="R256" s="1">
        <f t="shared" si="35"/>
        <v>7.0882867849998782E-2</v>
      </c>
      <c r="S256" s="1">
        <f t="shared" si="36"/>
        <v>8.2224126705998601E-2</v>
      </c>
      <c r="T256" s="1">
        <f t="shared" si="37"/>
        <v>1.9847202997999664</v>
      </c>
    </row>
    <row r="257" spans="1:20">
      <c r="A257">
        <v>204</v>
      </c>
      <c r="B257">
        <v>0.9533217694963485</v>
      </c>
      <c r="C257" s="1">
        <f t="shared" si="31"/>
        <v>4.8073390948705281</v>
      </c>
      <c r="D257" s="1">
        <f t="shared" si="40"/>
        <v>15.462538063341242</v>
      </c>
      <c r="E257" s="1">
        <f t="shared" si="38"/>
        <v>18.538103361004517</v>
      </c>
      <c r="F257" s="1">
        <f t="shared" si="32"/>
        <v>0.99198591292295291</v>
      </c>
      <c r="G257" s="1">
        <f t="shared" si="39"/>
        <v>0.73977424447604534</v>
      </c>
      <c r="H257" s="1">
        <f t="shared" si="33"/>
        <v>0.28938841254708514</v>
      </c>
      <c r="I257" s="1">
        <f t="shared" si="34"/>
        <v>7.4685168805842181</v>
      </c>
      <c r="K257" s="112">
        <f>C257/'CGE-Flood Weighted Av Calcs'!$D$3</f>
        <v>8.1033063237773335E-4</v>
      </c>
      <c r="L257" s="112">
        <f>D257/'CGE-Flood Weighted Av Calcs'!$D$4</f>
        <v>7.9426385147939548E-4</v>
      </c>
      <c r="M257" s="112">
        <f>E257/'CGE-Flood Weighted Av Calcs'!$D$5</f>
        <v>7.9414383105288848E-4</v>
      </c>
      <c r="N257" s="112">
        <f>F257/'CGE-Flood Weighted Av Calcs'!$D$6</f>
        <v>2.741995212157273E-4</v>
      </c>
      <c r="O257" s="112">
        <f>G257/'CGE-Flood Weighted Av Calcs'!$D$7</f>
        <v>1.221172757021485E-3</v>
      </c>
      <c r="P257" s="112">
        <f>H257/'CGE-Flood Weighted Av Calcs'!$D$8</f>
        <v>2.9243263629087318E-3</v>
      </c>
      <c r="R257" s="1">
        <f t="shared" si="35"/>
        <v>1.2966175139903169E-2</v>
      </c>
      <c r="S257" s="1">
        <f t="shared" si="36"/>
        <v>1.5040763162287696E-2</v>
      </c>
      <c r="T257" s="1">
        <f t="shared" si="37"/>
        <v>0.36305290391729006</v>
      </c>
    </row>
    <row r="258" spans="1:20">
      <c r="A258">
        <v>205</v>
      </c>
      <c r="B258">
        <v>0.34661815249929051</v>
      </c>
      <c r="C258" s="1">
        <f t="shared" si="31"/>
        <v>67.291070494267515</v>
      </c>
      <c r="D258" s="1">
        <f t="shared" si="40"/>
        <v>216.43797500176464</v>
      </c>
      <c r="E258" s="1">
        <f t="shared" si="38"/>
        <v>259.48841874425239</v>
      </c>
      <c r="F258" s="1">
        <f t="shared" si="32"/>
        <v>13.885393286910812</v>
      </c>
      <c r="G258" s="1">
        <f t="shared" si="39"/>
        <v>10.355042540684744</v>
      </c>
      <c r="H258" s="1">
        <f t="shared" si="33"/>
        <v>4.0507348628076381</v>
      </c>
      <c r="I258" s="1">
        <f t="shared" si="34"/>
        <v>104.54109560011352</v>
      </c>
      <c r="K258" s="112">
        <f>C258/'CGE-Flood Weighted Av Calcs'!$D$3</f>
        <v>1.1342660592670962E-2</v>
      </c>
      <c r="L258" s="112">
        <f>D258/'CGE-Flood Weighted Av Calcs'!$D$4</f>
        <v>1.1117764685660898E-2</v>
      </c>
      <c r="M258" s="112">
        <f>E258/'CGE-Flood Weighted Av Calcs'!$D$5</f>
        <v>1.1116084691214627E-2</v>
      </c>
      <c r="N258" s="112">
        <f>F258/'CGE-Flood Weighted Av Calcs'!$D$6</f>
        <v>3.8381272773767047E-3</v>
      </c>
      <c r="O258" s="112">
        <f>G258/'CGE-Flood Weighted Av Calcs'!$D$7</f>
        <v>1.709345241863475E-2</v>
      </c>
      <c r="P258" s="112">
        <f>H258/'CGE-Flood Weighted Av Calcs'!$D$8</f>
        <v>4.0933466009232498E-2</v>
      </c>
      <c r="R258" s="1">
        <f t="shared" si="35"/>
        <v>0.18149495763908596</v>
      </c>
      <c r="S258" s="1">
        <f t="shared" si="36"/>
        <v>0.2105341508613397</v>
      </c>
      <c r="T258" s="1">
        <f t="shared" si="37"/>
        <v>5.0818588138944074</v>
      </c>
    </row>
    <row r="259" spans="1:20">
      <c r="A259">
        <v>206</v>
      </c>
      <c r="B259">
        <v>0.32379755324477011</v>
      </c>
      <c r="C259" s="1">
        <f t="shared" si="31"/>
        <v>69.64133865526918</v>
      </c>
      <c r="D259" s="1">
        <f t="shared" si="40"/>
        <v>223.99748145250027</v>
      </c>
      <c r="E259" s="1">
        <f t="shared" si="38"/>
        <v>268.5515435280264</v>
      </c>
      <c r="F259" s="1">
        <f t="shared" si="32"/>
        <v>14.370366961805651</v>
      </c>
      <c r="G259" s="1">
        <f t="shared" si="39"/>
        <v>10.716712025364178</v>
      </c>
      <c r="H259" s="1">
        <f t="shared" si="33"/>
        <v>4.1922144544798678</v>
      </c>
      <c r="I259" s="1">
        <f t="shared" si="34"/>
        <v>108.19239148083678</v>
      </c>
      <c r="K259" s="112">
        <f>C259/'CGE-Flood Weighted Av Calcs'!$D$3</f>
        <v>1.1738824509460989E-2</v>
      </c>
      <c r="L259" s="112">
        <f>D259/'CGE-Flood Weighted Av Calcs'!$D$4</f>
        <v>1.1506073686696086E-2</v>
      </c>
      <c r="M259" s="112">
        <f>E259/'CGE-Flood Weighted Av Calcs'!$D$5</f>
        <v>1.1504335015260004E-2</v>
      </c>
      <c r="N259" s="112">
        <f>F259/'CGE-Flood Weighted Av Calcs'!$D$6</f>
        <v>3.9721811462129705E-3</v>
      </c>
      <c r="O259" s="112">
        <f>G259/'CGE-Flood Weighted Av Calcs'!$D$7</f>
        <v>1.7690473638330408E-2</v>
      </c>
      <c r="P259" s="112">
        <f>H259/'CGE-Flood Weighted Av Calcs'!$D$8</f>
        <v>4.2363144883031036E-2</v>
      </c>
      <c r="R259" s="1">
        <f t="shared" si="35"/>
        <v>0.18783401298756386</v>
      </c>
      <c r="S259" s="1">
        <f t="shared" si="36"/>
        <v>0.21788745506557405</v>
      </c>
      <c r="T259" s="1">
        <f t="shared" si="37"/>
        <v>5.2593523636517885</v>
      </c>
    </row>
    <row r="260" spans="1:20">
      <c r="A260">
        <v>207</v>
      </c>
      <c r="B260">
        <v>0.14205838228834167</v>
      </c>
      <c r="C260" s="1">
        <f t="shared" si="31"/>
        <v>88.358453939659569</v>
      </c>
      <c r="D260" s="1">
        <f t="shared" si="40"/>
        <v>284.20003879438627</v>
      </c>
      <c r="E260" s="1">
        <f t="shared" si="38"/>
        <v>340.72864834929828</v>
      </c>
      <c r="F260" s="1">
        <f t="shared" si="32"/>
        <v>18.23261057022544</v>
      </c>
      <c r="G260" s="1">
        <f t="shared" si="39"/>
        <v>13.596983116091947</v>
      </c>
      <c r="H260" s="1">
        <f t="shared" si="33"/>
        <v>5.3189326186697024</v>
      </c>
      <c r="I260" s="1">
        <f t="shared" si="34"/>
        <v>137.27065883386533</v>
      </c>
      <c r="K260" s="112">
        <f>C260/'CGE-Flood Weighted Av Calcs'!$D$3</f>
        <v>1.4893803088124262E-2</v>
      </c>
      <c r="L260" s="112">
        <f>D260/'CGE-Flood Weighted Av Calcs'!$D$4</f>
        <v>1.4598497121154103E-2</v>
      </c>
      <c r="M260" s="112">
        <f>E260/'CGE-Flood Weighted Av Calcs'!$D$5</f>
        <v>1.459629115666566E-2</v>
      </c>
      <c r="N260" s="112">
        <f>F260/'CGE-Flood Weighted Av Calcs'!$D$6</f>
        <v>5.0397621818415103E-3</v>
      </c>
      <c r="O260" s="112">
        <f>G260/'CGE-Flood Weighted Av Calcs'!$D$7</f>
        <v>2.2445043853632361E-2</v>
      </c>
      <c r="P260" s="112">
        <f>H260/'CGE-Flood Weighted Av Calcs'!$D$8</f>
        <v>5.3748851733240059E-2</v>
      </c>
      <c r="R260" s="1">
        <f t="shared" si="35"/>
        <v>0.23831711603101621</v>
      </c>
      <c r="S260" s="1">
        <f t="shared" si="36"/>
        <v>0.27644785459597876</v>
      </c>
      <c r="T260" s="1">
        <f t="shared" si="37"/>
        <v>6.6728792488684538</v>
      </c>
    </row>
    <row r="261" spans="1:20">
      <c r="A261">
        <v>208</v>
      </c>
      <c r="B261">
        <v>0.58880348411446393</v>
      </c>
      <c r="C261" s="1">
        <f t="shared" si="31"/>
        <v>42.348672286033718</v>
      </c>
      <c r="D261" s="1">
        <f t="shared" si="40"/>
        <v>136.2121423582245</v>
      </c>
      <c r="E261" s="1">
        <f t="shared" si="38"/>
        <v>163.30532307934641</v>
      </c>
      <c r="F261" s="1">
        <f t="shared" si="32"/>
        <v>8.7385735663125175</v>
      </c>
      <c r="G261" s="1">
        <f t="shared" si="39"/>
        <v>6.5167978431960529</v>
      </c>
      <c r="H261" s="1">
        <f t="shared" si="33"/>
        <v>2.5492720202343344</v>
      </c>
      <c r="I261" s="1">
        <f t="shared" si="34"/>
        <v>65.791442541685754</v>
      </c>
      <c r="K261" s="112">
        <f>C261/'CGE-Flood Weighted Av Calcs'!$D$3</f>
        <v>7.1383411314826983E-3</v>
      </c>
      <c r="L261" s="112">
        <f>D261/'CGE-Flood Weighted Av Calcs'!$D$4</f>
        <v>6.9968061106473406E-3</v>
      </c>
      <c r="M261" s="112">
        <f>E261/'CGE-Flood Weighted Av Calcs'!$D$5</f>
        <v>6.9957488301831596E-3</v>
      </c>
      <c r="N261" s="112">
        <f>F261/'CGE-Flood Weighted Av Calcs'!$D$6</f>
        <v>2.4154704787399612E-3</v>
      </c>
      <c r="O261" s="112">
        <f>G261/'CGE-Flood Weighted Av Calcs'!$D$7</f>
        <v>1.0757519673807843E-2</v>
      </c>
      <c r="P261" s="112">
        <f>H261/'CGE-Flood Weighted Av Calcs'!$D$8</f>
        <v>2.5760891078470221E-2</v>
      </c>
      <c r="R261" s="1">
        <f t="shared" si="35"/>
        <v>0.11422125441264891</v>
      </c>
      <c r="S261" s="1">
        <f t="shared" si="36"/>
        <v>0.13249665511867273</v>
      </c>
      <c r="T261" s="1">
        <f t="shared" si="37"/>
        <v>3.1981951235541697</v>
      </c>
    </row>
    <row r="262" spans="1:20">
      <c r="A262">
        <v>209</v>
      </c>
      <c r="B262">
        <v>0.58118434437962629</v>
      </c>
      <c r="C262" s="1">
        <f t="shared" si="31"/>
        <v>43.133359021613828</v>
      </c>
      <c r="D262" s="1">
        <f t="shared" si="40"/>
        <v>138.73604347634048</v>
      </c>
      <c r="E262" s="1">
        <f t="shared" si="38"/>
        <v>166.33123898066376</v>
      </c>
      <c r="F262" s="1">
        <f t="shared" si="32"/>
        <v>8.9004922852528008</v>
      </c>
      <c r="G262" s="1">
        <f t="shared" si="39"/>
        <v>6.6375488502518154</v>
      </c>
      <c r="H262" s="1">
        <f t="shared" si="33"/>
        <v>2.5965079743193251</v>
      </c>
      <c r="I262" s="1">
        <f t="shared" si="34"/>
        <v>67.010504899259772</v>
      </c>
      <c r="K262" s="112">
        <f>C262/'CGE-Flood Weighted Av Calcs'!$D$3</f>
        <v>7.2706088342830918E-3</v>
      </c>
      <c r="L262" s="112">
        <f>D262/'CGE-Flood Weighted Av Calcs'!$D$4</f>
        <v>7.1264512836853033E-3</v>
      </c>
      <c r="M262" s="112">
        <f>E262/'CGE-Flood Weighted Av Calcs'!$D$5</f>
        <v>7.1253744126670085E-3</v>
      </c>
      <c r="N262" s="112">
        <f>F262/'CGE-Flood Weighted Av Calcs'!$D$6</f>
        <v>2.4602271981962569E-3</v>
      </c>
      <c r="O262" s="112">
        <f>G262/'CGE-Flood Weighted Av Calcs'!$D$7</f>
        <v>1.0956847835474036E-2</v>
      </c>
      <c r="P262" s="112">
        <f>H262/'CGE-Flood Weighted Av Calcs'!$D$8</f>
        <v>2.6238219609326343E-2</v>
      </c>
      <c r="R262" s="1">
        <f t="shared" si="35"/>
        <v>0.11633768211677045</v>
      </c>
      <c r="S262" s="1">
        <f t="shared" si="36"/>
        <v>0.13495171125545374</v>
      </c>
      <c r="T262" s="1">
        <f t="shared" si="37"/>
        <v>3.2574550992695737</v>
      </c>
    </row>
    <row r="263" spans="1:20">
      <c r="A263">
        <v>210</v>
      </c>
      <c r="B263">
        <v>0.12375256654630351</v>
      </c>
      <c r="C263" s="1">
        <f t="shared" si="31"/>
        <v>90.243749563136802</v>
      </c>
      <c r="D263" s="1">
        <f t="shared" si="40"/>
        <v>290.26398701259546</v>
      </c>
      <c r="E263" s="1">
        <f t="shared" si="38"/>
        <v>347.99874193836138</v>
      </c>
      <c r="F263" s="1">
        <f t="shared" si="32"/>
        <v>18.621637985033818</v>
      </c>
      <c r="G263" s="1">
        <f t="shared" si="39"/>
        <v>13.887100604779196</v>
      </c>
      <c r="H263" s="1">
        <f t="shared" si="33"/>
        <v>5.4324221597428899</v>
      </c>
      <c r="I263" s="1">
        <f t="shared" si="34"/>
        <v>140.19958935259143</v>
      </c>
      <c r="K263" s="112">
        <f>C263/'CGE-Flood Weighted Av Calcs'!$D$3</f>
        <v>1.5211590696745705E-2</v>
      </c>
      <c r="L263" s="112">
        <f>D263/'CGE-Flood Weighted Av Calcs'!$D$4</f>
        <v>1.4909983815462404E-2</v>
      </c>
      <c r="M263" s="112">
        <f>E263/'CGE-Flood Weighted Av Calcs'!$D$5</f>
        <v>1.4907730782527082E-2</v>
      </c>
      <c r="N263" s="112">
        <f>F263/'CGE-Flood Weighted Av Calcs'!$D$6</f>
        <v>5.1472950908179457E-3</v>
      </c>
      <c r="O263" s="112">
        <f>G263/'CGE-Flood Weighted Av Calcs'!$D$7</f>
        <v>2.2923951542249289E-2</v>
      </c>
      <c r="P263" s="112">
        <f>H263/'CGE-Flood Weighted Av Calcs'!$D$8</f>
        <v>5.4895685685414065E-2</v>
      </c>
      <c r="R263" s="1">
        <f t="shared" si="35"/>
        <v>0.24340206484824903</v>
      </c>
      <c r="S263" s="1">
        <f t="shared" si="36"/>
        <v>0.28234639522396887</v>
      </c>
      <c r="T263" s="1">
        <f t="shared" si="37"/>
        <v>6.8152578157509724</v>
      </c>
    </row>
    <row r="264" spans="1:20">
      <c r="A264">
        <v>211</v>
      </c>
      <c r="B264">
        <v>0.63586040357569806</v>
      </c>
      <c r="C264" s="1">
        <f t="shared" si="31"/>
        <v>37.502332436187281</v>
      </c>
      <c r="D264" s="1">
        <f t="shared" si="40"/>
        <v>120.62416054181875</v>
      </c>
      <c r="E264" s="1">
        <f t="shared" si="38"/>
        <v>144.61682466348242</v>
      </c>
      <c r="F264" s="1">
        <f t="shared" si="32"/>
        <v>7.73853991663416</v>
      </c>
      <c r="G264" s="1">
        <f t="shared" si="39"/>
        <v>5.7710219929508018</v>
      </c>
      <c r="H264" s="1">
        <f t="shared" si="33"/>
        <v>2.2575358709564113</v>
      </c>
      <c r="I264" s="1">
        <f t="shared" si="34"/>
        <v>58.262335427888289</v>
      </c>
      <c r="K264" s="112">
        <f>C264/'CGE-Flood Weighted Av Calcs'!$D$3</f>
        <v>6.3214364867835628E-3</v>
      </c>
      <c r="L264" s="112">
        <f>D264/'CGE-Flood Weighted Av Calcs'!$D$4</f>
        <v>6.1960985926725167E-3</v>
      </c>
      <c r="M264" s="112">
        <f>E264/'CGE-Flood Weighted Av Calcs'!$D$5</f>
        <v>6.195162306330923E-3</v>
      </c>
      <c r="N264" s="112">
        <f>F264/'CGE-Flood Weighted Av Calcs'!$D$6</f>
        <v>2.1390464445180967E-3</v>
      </c>
      <c r="O264" s="112">
        <f>G264/'CGE-Flood Weighted Av Calcs'!$D$7</f>
        <v>9.526439843759062E-3</v>
      </c>
      <c r="P264" s="112">
        <f>H264/'CGE-Flood Weighted Av Calcs'!$D$8</f>
        <v>2.2812840377898033E-2</v>
      </c>
      <c r="R264" s="1">
        <f t="shared" si="35"/>
        <v>0.10114988789563942</v>
      </c>
      <c r="S264" s="1">
        <f t="shared" si="36"/>
        <v>0.11733386995894174</v>
      </c>
      <c r="T264" s="1">
        <f t="shared" si="37"/>
        <v>2.8321968610779047</v>
      </c>
    </row>
    <row r="265" spans="1:20">
      <c r="A265">
        <v>212</v>
      </c>
      <c r="B265">
        <v>0.97713351265471537</v>
      </c>
      <c r="C265" s="1">
        <f t="shared" si="31"/>
        <v>2.3549941244827153</v>
      </c>
      <c r="D265" s="1">
        <f t="shared" si="40"/>
        <v>7.5747072486759066</v>
      </c>
      <c r="E265" s="1">
        <f t="shared" si="38"/>
        <v>9.0813490857762531</v>
      </c>
      <c r="F265" s="1">
        <f t="shared" si="32"/>
        <v>0.4859488690938889</v>
      </c>
      <c r="G265" s="1">
        <f t="shared" si="39"/>
        <v>0.36239673649059334</v>
      </c>
      <c r="H265" s="1">
        <f t="shared" si="33"/>
        <v>0.14176408149966768</v>
      </c>
      <c r="I265" s="1">
        <f t="shared" si="34"/>
        <v>3.6586379752455116</v>
      </c>
      <c r="K265" s="112">
        <f>C265/'CGE-Flood Weighted Av Calcs'!$D$3</f>
        <v>3.9696053065491532E-4</v>
      </c>
      <c r="L265" s="112">
        <f>D265/'CGE-Flood Weighted Av Calcs'!$D$4</f>
        <v>3.8908982008754249E-4</v>
      </c>
      <c r="M265" s="112">
        <f>E265/'CGE-Flood Weighted Av Calcs'!$D$5</f>
        <v>3.8903102510893606E-4</v>
      </c>
      <c r="N265" s="112">
        <f>F265/'CGE-Flood Weighted Av Calcs'!$D$6</f>
        <v>1.3432342688037517E-4</v>
      </c>
      <c r="O265" s="112">
        <f>G265/'CGE-Flood Weighted Av Calcs'!$D$7</f>
        <v>5.982217212079984E-4</v>
      </c>
      <c r="P265" s="112">
        <f>H265/'CGE-Flood Weighted Av Calcs'!$D$8</f>
        <v>1.4325536990033012E-3</v>
      </c>
      <c r="R265" s="1">
        <f t="shared" si="35"/>
        <v>6.3518020403568187E-3</v>
      </c>
      <c r="S265" s="1">
        <f t="shared" si="36"/>
        <v>7.3680903668139619E-3</v>
      </c>
      <c r="T265" s="1">
        <f t="shared" si="37"/>
        <v>0.17785045712999192</v>
      </c>
    </row>
    <row r="266" spans="1:20">
      <c r="A266">
        <v>213</v>
      </c>
      <c r="B266">
        <v>0.57872841542135034</v>
      </c>
      <c r="C266" s="1">
        <f t="shared" si="31"/>
        <v>43.386292416216712</v>
      </c>
      <c r="D266" s="1">
        <f t="shared" si="40"/>
        <v>139.54958963240639</v>
      </c>
      <c r="E266" s="1">
        <f t="shared" si="38"/>
        <v>167.3066029647857</v>
      </c>
      <c r="F266" s="1">
        <f t="shared" si="32"/>
        <v>8.9526846435205094</v>
      </c>
      <c r="G266" s="1">
        <f t="shared" si="39"/>
        <v>6.6764713408859304</v>
      </c>
      <c r="H266" s="1">
        <f t="shared" si="33"/>
        <v>2.6117338595959381</v>
      </c>
      <c r="I266" s="1">
        <f t="shared" si="34"/>
        <v>67.403453532583924</v>
      </c>
      <c r="K266" s="112">
        <f>C266/'CGE-Flood Weighted Av Calcs'!$D$3</f>
        <v>7.3132435795243205E-3</v>
      </c>
      <c r="L266" s="112">
        <f>D266/'CGE-Flood Weighted Av Calcs'!$D$4</f>
        <v>7.1682406911309747E-3</v>
      </c>
      <c r="M266" s="112">
        <f>E266/'CGE-Flood Weighted Av Calcs'!$D$5</f>
        <v>7.1671575053565747E-3</v>
      </c>
      <c r="N266" s="112">
        <f>F266/'CGE-Flood Weighted Av Calcs'!$D$6</f>
        <v>2.4746539349691176E-3</v>
      </c>
      <c r="O266" s="112">
        <f>G266/'CGE-Flood Weighted Av Calcs'!$D$7</f>
        <v>1.102109863300142E-2</v>
      </c>
      <c r="P266" s="112">
        <f>H266/'CGE-Flood Weighted Av Calcs'!$D$8</f>
        <v>2.6392080150324258E-2</v>
      </c>
      <c r="R266" s="1">
        <f t="shared" si="35"/>
        <v>0.11701988460518045</v>
      </c>
      <c r="S266" s="1">
        <f t="shared" si="36"/>
        <v>0.13574306614200932</v>
      </c>
      <c r="T266" s="1">
        <f t="shared" si="37"/>
        <v>3.2765567689450532</v>
      </c>
    </row>
    <row r="267" spans="1:20">
      <c r="A267">
        <v>214</v>
      </c>
      <c r="B267">
        <v>0.88981276154553768</v>
      </c>
      <c r="C267" s="1">
        <f t="shared" si="31"/>
        <v>11.348061258160143</v>
      </c>
      <c r="D267" s="1">
        <f t="shared" si="40"/>
        <v>36.500406084658664</v>
      </c>
      <c r="E267" s="1">
        <f t="shared" si="38"/>
        <v>43.760493778201067</v>
      </c>
      <c r="F267" s="1">
        <f t="shared" si="32"/>
        <v>2.3416523538131671</v>
      </c>
      <c r="G267" s="1">
        <f t="shared" si="39"/>
        <v>1.7462890130801991</v>
      </c>
      <c r="H267" s="1">
        <f t="shared" si="33"/>
        <v>0.6831216538251077</v>
      </c>
      <c r="I267" s="1">
        <f t="shared" si="34"/>
        <v>17.62995815271394</v>
      </c>
      <c r="K267" s="112">
        <f>C267/'CGE-Flood Weighted Av Calcs'!$D$3</f>
        <v>1.9128423175719051E-3</v>
      </c>
      <c r="L267" s="112">
        <f>D267/'CGE-Flood Weighted Av Calcs'!$D$4</f>
        <v>1.874915553876309E-3</v>
      </c>
      <c r="M267" s="112">
        <f>E267/'CGE-Flood Weighted Av Calcs'!$D$5</f>
        <v>1.8746322372378652E-3</v>
      </c>
      <c r="N267" s="112">
        <f>F267/'CGE-Flood Weighted Av Calcs'!$D$6</f>
        <v>6.4726721005273116E-4</v>
      </c>
      <c r="O267" s="112">
        <f>G267/'CGE-Flood Weighted Av Calcs'!$D$7</f>
        <v>2.8826639810498674E-3</v>
      </c>
      <c r="P267" s="112">
        <f>H267/'CGE-Flood Weighted Av Calcs'!$D$8</f>
        <v>6.9030775758153152E-3</v>
      </c>
      <c r="R267" s="1">
        <f t="shared" si="35"/>
        <v>3.0607566237350642E-2</v>
      </c>
      <c r="S267" s="1">
        <f t="shared" si="36"/>
        <v>3.5504776835326768E-2</v>
      </c>
      <c r="T267" s="1">
        <f t="shared" si="37"/>
        <v>0.85701185464581897</v>
      </c>
    </row>
    <row r="268" spans="1:20">
      <c r="A268">
        <v>215</v>
      </c>
      <c r="B268">
        <v>0.96650577747330768</v>
      </c>
      <c r="C268" s="1">
        <f t="shared" si="31"/>
        <v>3.4495327622212528</v>
      </c>
      <c r="D268" s="1">
        <f t="shared" si="40"/>
        <v>11.09522972770975</v>
      </c>
      <c r="E268" s="1">
        <f t="shared" si="38"/>
        <v>13.302118621393276</v>
      </c>
      <c r="F268" s="1">
        <f t="shared" si="32"/>
        <v>0.71180497958649624</v>
      </c>
      <c r="G268" s="1">
        <f t="shared" si="39"/>
        <v>0.53082910163139196</v>
      </c>
      <c r="H268" s="1">
        <f t="shared" si="33"/>
        <v>0.20765225634977913</v>
      </c>
      <c r="I268" s="1">
        <f t="shared" si="34"/>
        <v>5.3590756042707426</v>
      </c>
      <c r="K268" s="112">
        <f>C268/'CGE-Flood Weighted Av Calcs'!$D$3</f>
        <v>5.8145722809548126E-4</v>
      </c>
      <c r="L268" s="112">
        <f>D268/'CGE-Flood Weighted Av Calcs'!$D$4</f>
        <v>5.6992842057878581E-4</v>
      </c>
      <c r="M268" s="112">
        <f>E268/'CGE-Flood Weighted Av Calcs'!$D$5</f>
        <v>5.6984229925778173E-4</v>
      </c>
      <c r="N268" s="112">
        <f>F268/'CGE-Flood Weighted Av Calcs'!$D$6</f>
        <v>1.9675338334844587E-4</v>
      </c>
      <c r="O268" s="112">
        <f>G268/'CGE-Flood Weighted Av Calcs'!$D$7</f>
        <v>8.7625926745471528E-4</v>
      </c>
      <c r="P268" s="112">
        <f>H268/'CGE-Flood Weighted Av Calcs'!$D$8</f>
        <v>2.0983665593809473E-3</v>
      </c>
      <c r="R268" s="1">
        <f t="shared" si="35"/>
        <v>9.3039507018589651E-3</v>
      </c>
      <c r="S268" s="1">
        <f t="shared" si="36"/>
        <v>1.0792582814156404E-2</v>
      </c>
      <c r="T268" s="1">
        <f t="shared" si="37"/>
        <v>0.26051061965205236</v>
      </c>
    </row>
    <row r="269" spans="1:20">
      <c r="A269">
        <v>216</v>
      </c>
      <c r="B269">
        <v>0.40987015452315345</v>
      </c>
      <c r="C269" s="1">
        <f t="shared" si="31"/>
        <v>60.776817085832121</v>
      </c>
      <c r="D269" s="1">
        <f t="shared" si="40"/>
        <v>195.48524225410813</v>
      </c>
      <c r="E269" s="1">
        <f t="shared" si="38"/>
        <v>234.36809737266324</v>
      </c>
      <c r="F269" s="1">
        <f t="shared" si="32"/>
        <v>12.541188626733344</v>
      </c>
      <c r="G269" s="1">
        <f t="shared" si="39"/>
        <v>9.3526008991760747</v>
      </c>
      <c r="H269" s="1">
        <f t="shared" si="33"/>
        <v>3.6585949667873972</v>
      </c>
      <c r="I269" s="1">
        <f t="shared" si="34"/>
        <v>94.420775276295444</v>
      </c>
      <c r="K269" s="112">
        <f>C269/'CGE-Flood Weighted Av Calcs'!$D$3</f>
        <v>1.0244610511377825E-2</v>
      </c>
      <c r="L269" s="112">
        <f>D269/'CGE-Flood Weighted Av Calcs'!$D$4</f>
        <v>1.0041486124987398E-2</v>
      </c>
      <c r="M269" s="112">
        <f>E269/'CGE-Flood Weighted Av Calcs'!$D$5</f>
        <v>1.0039968765931936E-2</v>
      </c>
      <c r="N269" s="112">
        <f>F269/'CGE-Flood Weighted Av Calcs'!$D$6</f>
        <v>3.4665693051968735E-3</v>
      </c>
      <c r="O269" s="112">
        <f>G269/'CGE-Flood Weighted Av Calcs'!$D$7</f>
        <v>1.543868485642892E-2</v>
      </c>
      <c r="P269" s="112">
        <f>H269/'CGE-Flood Weighted Av Calcs'!$D$8</f>
        <v>3.6970815860986848E-2</v>
      </c>
      <c r="R269" s="1">
        <f t="shared" si="35"/>
        <v>0.1639249570769018</v>
      </c>
      <c r="S269" s="1">
        <f t="shared" si="36"/>
        <v>0.19015295020920608</v>
      </c>
      <c r="T269" s="1">
        <f t="shared" si="37"/>
        <v>4.5898987981532509</v>
      </c>
    </row>
    <row r="270" spans="1:20">
      <c r="A270">
        <v>217</v>
      </c>
      <c r="B270">
        <v>0.41126613968292425</v>
      </c>
      <c r="C270" s="1">
        <f t="shared" si="31"/>
        <v>60.633046125321947</v>
      </c>
      <c r="D270" s="1">
        <f t="shared" si="40"/>
        <v>195.02281097863107</v>
      </c>
      <c r="E270" s="1">
        <f t="shared" si="38"/>
        <v>233.81368652839967</v>
      </c>
      <c r="F270" s="1">
        <f t="shared" si="32"/>
        <v>12.511521743516044</v>
      </c>
      <c r="G270" s="1">
        <f t="shared" si="39"/>
        <v>9.3304767985894337</v>
      </c>
      <c r="H270" s="1">
        <f t="shared" si="33"/>
        <v>3.6499403557413816</v>
      </c>
      <c r="I270" s="1">
        <f t="shared" si="34"/>
        <v>94.197417650732106</v>
      </c>
      <c r="K270" s="112">
        <f>C270/'CGE-Flood Weighted Av Calcs'!$D$3</f>
        <v>1.0220376312156873E-2</v>
      </c>
      <c r="L270" s="112">
        <f>D270/'CGE-Flood Weighted Av Calcs'!$D$4</f>
        <v>1.0017732427864691E-2</v>
      </c>
      <c r="M270" s="112">
        <f>E270/'CGE-Flood Weighted Av Calcs'!$D$5</f>
        <v>1.0016218658206953E-2</v>
      </c>
      <c r="N270" s="112">
        <f>F270/'CGE-Flood Weighted Av Calcs'!$D$6</f>
        <v>3.458368941594756E-3</v>
      </c>
      <c r="O270" s="112">
        <f>G270/'CGE-Flood Weighted Av Calcs'!$D$7</f>
        <v>1.5402163783802034E-2</v>
      </c>
      <c r="P270" s="112">
        <f>H270/'CGE-Flood Weighted Av Calcs'!$D$8</f>
        <v>3.6883359328018492E-2</v>
      </c>
      <c r="R270" s="1">
        <f t="shared" si="35"/>
        <v>0.16353718342140994</v>
      </c>
      <c r="S270" s="1">
        <f t="shared" si="36"/>
        <v>0.18970313276883549</v>
      </c>
      <c r="T270" s="1">
        <f t="shared" si="37"/>
        <v>4.5790411357994785</v>
      </c>
    </row>
    <row r="271" spans="1:20">
      <c r="A271">
        <v>218</v>
      </c>
      <c r="B271">
        <v>0.16465161915009197</v>
      </c>
      <c r="C271" s="1">
        <f t="shared" si="31"/>
        <v>86.031601578864411</v>
      </c>
      <c r="D271" s="1">
        <f t="shared" si="40"/>
        <v>276.7158479589695</v>
      </c>
      <c r="E271" s="1">
        <f t="shared" si="38"/>
        <v>331.7558197805285</v>
      </c>
      <c r="F271" s="1">
        <f t="shared" si="32"/>
        <v>17.752468704255719</v>
      </c>
      <c r="G271" s="1">
        <f t="shared" si="39"/>
        <v>13.238916956571135</v>
      </c>
      <c r="H271" s="1">
        <f t="shared" si="33"/>
        <v>5.1788625928958947</v>
      </c>
      <c r="I271" s="1">
        <f t="shared" si="34"/>
        <v>133.65574093598528</v>
      </c>
      <c r="K271" s="112">
        <f>C271/'CGE-Flood Weighted Av Calcs'!$D$3</f>
        <v>1.4501586165672374E-2</v>
      </c>
      <c r="L271" s="112">
        <f>D271/'CGE-Flood Weighted Av Calcs'!$D$4</f>
        <v>1.4214056855668969E-2</v>
      </c>
      <c r="M271" s="112">
        <f>E271/'CGE-Flood Weighted Av Calcs'!$D$5</f>
        <v>1.4211908983569528E-2</v>
      </c>
      <c r="N271" s="112">
        <f>F271/'CGE-Flood Weighted Av Calcs'!$D$6</f>
        <v>4.9070438961789711E-3</v>
      </c>
      <c r="O271" s="112">
        <f>G271/'CGE-Flood Weighted Av Calcs'!$D$7</f>
        <v>2.1853970776293988E-2</v>
      </c>
      <c r="P271" s="112">
        <f>H271/'CGE-Flood Weighted Av Calcs'!$D$8</f>
        <v>5.23334167978243E-2</v>
      </c>
      <c r="R271" s="1">
        <f t="shared" si="35"/>
        <v>0.23204121690275223</v>
      </c>
      <c r="S271" s="1">
        <f t="shared" si="36"/>
        <v>0.26916781160719255</v>
      </c>
      <c r="T271" s="1">
        <f t="shared" si="37"/>
        <v>6.4971540732770627</v>
      </c>
    </row>
    <row r="272" spans="1:20">
      <c r="A272">
        <v>219</v>
      </c>
      <c r="B272">
        <v>0.20881559908834002</v>
      </c>
      <c r="C272" s="1">
        <f t="shared" si="31"/>
        <v>81.483202356113068</v>
      </c>
      <c r="D272" s="1">
        <f t="shared" si="40"/>
        <v>262.08617555160657</v>
      </c>
      <c r="E272" s="1">
        <f t="shared" si="38"/>
        <v>314.21624263514963</v>
      </c>
      <c r="F272" s="1">
        <f t="shared" si="32"/>
        <v>16.813914575604102</v>
      </c>
      <c r="G272" s="1">
        <f t="shared" si="39"/>
        <v>12.538989505608383</v>
      </c>
      <c r="H272" s="1">
        <f t="shared" si="33"/>
        <v>4.9050616388282133</v>
      </c>
      <c r="I272" s="1">
        <f t="shared" si="34"/>
        <v>126.58950414586559</v>
      </c>
      <c r="K272" s="112">
        <f>C272/'CGE-Flood Weighted Av Calcs'!$D$3</f>
        <v>1.3734902737326084E-2</v>
      </c>
      <c r="L272" s="112">
        <f>D272/'CGE-Flood Weighted Av Calcs'!$D$4</f>
        <v>1.346257479596091E-2</v>
      </c>
      <c r="M272" s="112">
        <f>E272/'CGE-Flood Weighted Av Calcs'!$D$5</f>
        <v>1.3460540479573653E-2</v>
      </c>
      <c r="N272" s="112">
        <f>F272/'CGE-Flood Weighted Av Calcs'!$D$6</f>
        <v>4.6476137073439144E-3</v>
      </c>
      <c r="O272" s="112">
        <f>G272/'CGE-Flood Weighted Av Calcs'!$D$7</f>
        <v>2.0698574597811756E-2</v>
      </c>
      <c r="P272" s="112">
        <f>H272/'CGE-Flood Weighted Av Calcs'!$D$8</f>
        <v>4.9566604743663679E-2</v>
      </c>
      <c r="R272" s="1">
        <f t="shared" si="35"/>
        <v>0.21977344469768334</v>
      </c>
      <c r="S272" s="1">
        <f t="shared" si="36"/>
        <v>0.25493719584931263</v>
      </c>
      <c r="T272" s="1">
        <f t="shared" si="37"/>
        <v>6.1536564515351335</v>
      </c>
    </row>
    <row r="273" spans="1:20">
      <c r="A273">
        <v>220</v>
      </c>
      <c r="B273">
        <v>0.70149251130040124</v>
      </c>
      <c r="C273" s="1">
        <f t="shared" si="31"/>
        <v>30.74295458618424</v>
      </c>
      <c r="D273" s="1">
        <f t="shared" si="40"/>
        <v>98.882998699980163</v>
      </c>
      <c r="E273" s="1">
        <f t="shared" si="38"/>
        <v>118.55125226124767</v>
      </c>
      <c r="F273" s="1">
        <f t="shared" si="32"/>
        <v>6.3437542618254508</v>
      </c>
      <c r="G273" s="1">
        <f t="shared" si="39"/>
        <v>4.7308595364580572</v>
      </c>
      <c r="H273" s="1">
        <f t="shared" si="33"/>
        <v>1.8506401668639998</v>
      </c>
      <c r="I273" s="1">
        <f t="shared" si="34"/>
        <v>47.761198191935776</v>
      </c>
      <c r="K273" s="112">
        <f>C273/'CGE-Flood Weighted Av Calcs'!$D$3</f>
        <v>5.1820679463955195E-3</v>
      </c>
      <c r="L273" s="112">
        <f>D273/'CGE-Flood Weighted Av Calcs'!$D$4</f>
        <v>5.0793208121168608E-3</v>
      </c>
      <c r="M273" s="112">
        <f>E273/'CGE-Flood Weighted Av Calcs'!$D$5</f>
        <v>5.0785532809632123E-3</v>
      </c>
      <c r="N273" s="112">
        <f>F273/'CGE-Flood Weighted Av Calcs'!$D$6</f>
        <v>1.7535071402146722E-3</v>
      </c>
      <c r="O273" s="112">
        <f>G273/'CGE-Flood Weighted Av Calcs'!$D$7</f>
        <v>7.8094051345483709E-3</v>
      </c>
      <c r="P273" s="112">
        <f>H273/'CGE-Flood Weighted Av Calcs'!$D$8</f>
        <v>1.8701079910508393E-2</v>
      </c>
      <c r="R273" s="1">
        <f t="shared" si="35"/>
        <v>8.2918746860999648E-2</v>
      </c>
      <c r="S273" s="1">
        <f t="shared" si="36"/>
        <v>9.6185746358759594E-2</v>
      </c>
      <c r="T273" s="1">
        <f t="shared" si="37"/>
        <v>2.3217249121079906</v>
      </c>
    </row>
    <row r="274" spans="1:20">
      <c r="A274">
        <v>221</v>
      </c>
      <c r="B274">
        <v>0.17302923582536289</v>
      </c>
      <c r="C274" s="1">
        <f t="shared" si="31"/>
        <v>85.168800145941233</v>
      </c>
      <c r="D274" s="1">
        <f t="shared" si="40"/>
        <v>273.94069527379384</v>
      </c>
      <c r="E274" s="1">
        <f t="shared" si="38"/>
        <v>328.42867729527728</v>
      </c>
      <c r="F274" s="1">
        <f t="shared" si="32"/>
        <v>17.574431155786801</v>
      </c>
      <c r="G274" s="1">
        <f t="shared" si="39"/>
        <v>13.106145320209007</v>
      </c>
      <c r="H274" s="1">
        <f t="shared" si="33"/>
        <v>5.1269243517837992</v>
      </c>
      <c r="I274" s="1">
        <f t="shared" si="34"/>
        <v>132.31532226794192</v>
      </c>
      <c r="K274" s="112">
        <f>C274/'CGE-Flood Weighted Av Calcs'!$D$3</f>
        <v>1.4356151359231727E-2</v>
      </c>
      <c r="L274" s="112">
        <f>D274/'CGE-Flood Weighted Av Calcs'!$D$4</f>
        <v>1.4071505648930355E-2</v>
      </c>
      <c r="M274" s="112">
        <f>E274/'CGE-Flood Weighted Av Calcs'!$D$5</f>
        <v>1.4069379317603038E-2</v>
      </c>
      <c r="N274" s="112">
        <f>F274/'CGE-Flood Weighted Av Calcs'!$D$6</f>
        <v>4.8578316947629711E-3</v>
      </c>
      <c r="O274" s="112">
        <f>G274/'CGE-Flood Weighted Av Calcs'!$D$7</f>
        <v>2.1634799716418244E-2</v>
      </c>
      <c r="P274" s="112">
        <f>H274/'CGE-Flood Weighted Av Calcs'!$D$8</f>
        <v>5.1808570739233416E-2</v>
      </c>
      <c r="R274" s="1">
        <f t="shared" si="35"/>
        <v>0.22971410115962143</v>
      </c>
      <c r="S274" s="1">
        <f t="shared" si="36"/>
        <v>0.26646835734516083</v>
      </c>
      <c r="T274" s="1">
        <f t="shared" si="37"/>
        <v>6.4319948324693996</v>
      </c>
    </row>
    <row r="275" spans="1:20">
      <c r="A275">
        <v>222</v>
      </c>
      <c r="B275">
        <v>0.35141679828319972</v>
      </c>
      <c r="C275" s="1">
        <f t="shared" si="31"/>
        <v>66.796863296811352</v>
      </c>
      <c r="D275" s="1">
        <f t="shared" si="40"/>
        <v>214.84838511616721</v>
      </c>
      <c r="E275" s="1">
        <f t="shared" si="38"/>
        <v>257.58265259641178</v>
      </c>
      <c r="F275" s="1">
        <f t="shared" si="32"/>
        <v>13.783414506494687</v>
      </c>
      <c r="G275" s="1">
        <f t="shared" si="39"/>
        <v>10.278991788096299</v>
      </c>
      <c r="H275" s="1">
        <f t="shared" si="33"/>
        <v>4.0209849671753979</v>
      </c>
      <c r="I275" s="1">
        <f t="shared" si="34"/>
        <v>103.77331227468804</v>
      </c>
      <c r="K275" s="112">
        <f>C275/'CGE-Flood Weighted Av Calcs'!$D$3</f>
        <v>1.1259356456445668E-2</v>
      </c>
      <c r="L275" s="112">
        <f>D275/'CGE-Flood Weighted Av Calcs'!$D$4</f>
        <v>1.1036112257085761E-2</v>
      </c>
      <c r="M275" s="112">
        <f>E275/'CGE-Flood Weighted Av Calcs'!$D$5</f>
        <v>1.1034444601057366E-2</v>
      </c>
      <c r="N275" s="112">
        <f>F275/'CGE-Flood Weighted Av Calcs'!$D$6</f>
        <v>3.8099388400209041E-3</v>
      </c>
      <c r="O275" s="112">
        <f>G275/'CGE-Flood Weighted Av Calcs'!$D$7</f>
        <v>1.6967912623345217E-2</v>
      </c>
      <c r="P275" s="112">
        <f>H275/'CGE-Flood Weighted Av Calcs'!$D$8</f>
        <v>4.0632837510235532E-2</v>
      </c>
      <c r="R275" s="1">
        <f t="shared" si="35"/>
        <v>0.18016200047688896</v>
      </c>
      <c r="S275" s="1">
        <f t="shared" si="36"/>
        <v>0.20898792055319118</v>
      </c>
      <c r="T275" s="1">
        <f t="shared" si="37"/>
        <v>5.0445360133528911</v>
      </c>
    </row>
    <row r="276" spans="1:20">
      <c r="A276">
        <v>223</v>
      </c>
      <c r="B276">
        <v>0.32179884121261748</v>
      </c>
      <c r="C276" s="1">
        <f t="shared" si="31"/>
        <v>69.847183786669433</v>
      </c>
      <c r="D276" s="1">
        <f t="shared" si="40"/>
        <v>224.65957083638125</v>
      </c>
      <c r="E276" s="1">
        <f t="shared" si="38"/>
        <v>269.34532533682977</v>
      </c>
      <c r="F276" s="1">
        <f t="shared" si="32"/>
        <v>14.412842740310793</v>
      </c>
      <c r="G276" s="1">
        <f t="shared" si="39"/>
        <v>10.748388369294894</v>
      </c>
      <c r="H276" s="1">
        <f t="shared" si="33"/>
        <v>4.2046057575751767</v>
      </c>
      <c r="I276" s="1">
        <f t="shared" si="34"/>
        <v>108.5121854059812</v>
      </c>
      <c r="K276" s="112">
        <f>C276/'CGE-Flood Weighted Av Calcs'!$D$3</f>
        <v>1.1773522002649564E-2</v>
      </c>
      <c r="L276" s="112">
        <f>D276/'CGE-Flood Weighted Av Calcs'!$D$4</f>
        <v>1.1540083217467214E-2</v>
      </c>
      <c r="M276" s="112">
        <f>E276/'CGE-Flood Weighted Av Calcs'!$D$5</f>
        <v>1.1538339406884512E-2</v>
      </c>
      <c r="N276" s="112">
        <f>F276/'CGE-Flood Weighted Av Calcs'!$D$6</f>
        <v>3.9839220771855253E-3</v>
      </c>
      <c r="O276" s="112">
        <f>G276/'CGE-Flood Weighted Av Calcs'!$D$7</f>
        <v>1.7742762952995088E-2</v>
      </c>
      <c r="P276" s="112">
        <f>H276/'CGE-Flood Weighted Av Calcs'!$D$8</f>
        <v>4.2488361418114344E-2</v>
      </c>
      <c r="R276" s="1">
        <f t="shared" si="35"/>
        <v>0.18838921077427292</v>
      </c>
      <c r="S276" s="1">
        <f t="shared" si="36"/>
        <v>0.21853148449815657</v>
      </c>
      <c r="T276" s="1">
        <f t="shared" si="37"/>
        <v>5.2748979016796422</v>
      </c>
    </row>
    <row r="277" spans="1:20">
      <c r="A277">
        <v>224</v>
      </c>
      <c r="B277">
        <v>0.90025515163260428</v>
      </c>
      <c r="C277" s="1">
        <f t="shared" si="31"/>
        <v>10.272611105748808</v>
      </c>
      <c r="D277" s="1">
        <f t="shared" si="40"/>
        <v>33.041280653995784</v>
      </c>
      <c r="E277" s="1">
        <f t="shared" si="38"/>
        <v>39.613333427835471</v>
      </c>
      <c r="F277" s="1">
        <f t="shared" si="32"/>
        <v>2.1197351184799622</v>
      </c>
      <c r="G277" s="1">
        <f t="shared" si="39"/>
        <v>1.580794067067206</v>
      </c>
      <c r="H277" s="1">
        <f t="shared" si="33"/>
        <v>0.61838255258053021</v>
      </c>
      <c r="I277" s="1">
        <f t="shared" si="34"/>
        <v>15.959175738783301</v>
      </c>
      <c r="K277" s="112">
        <f>C277/'CGE-Flood Weighted Av Calcs'!$D$3</f>
        <v>1.7315631972735111E-3</v>
      </c>
      <c r="L277" s="112">
        <f>D277/'CGE-Flood Weighted Av Calcs'!$D$4</f>
        <v>1.6972307342138547E-3</v>
      </c>
      <c r="M277" s="112">
        <f>E277/'CGE-Flood Weighted Av Calcs'!$D$5</f>
        <v>1.6969742673531016E-3</v>
      </c>
      <c r="N277" s="112">
        <f>F277/'CGE-Flood Weighted Av Calcs'!$D$6</f>
        <v>5.859260167099898E-4</v>
      </c>
      <c r="O277" s="112">
        <f>G277/'CGE-Flood Weighted Av Calcs'!$D$7</f>
        <v>2.6094753414008256E-3</v>
      </c>
      <c r="P277" s="112">
        <f>H277/'CGE-Flood Weighted Av Calcs'!$D$8</f>
        <v>6.2488763283837781E-3</v>
      </c>
      <c r="R277" s="1">
        <f t="shared" si="35"/>
        <v>2.7706902324276583E-2</v>
      </c>
      <c r="S277" s="1">
        <f t="shared" si="36"/>
        <v>3.214000669616085E-2</v>
      </c>
      <c r="T277" s="1">
        <f t="shared" si="37"/>
        <v>0.775793265079745</v>
      </c>
    </row>
    <row r="278" spans="1:20">
      <c r="A278">
        <v>225</v>
      </c>
      <c r="B278">
        <v>0.34453402102036046</v>
      </c>
      <c r="C278" s="1">
        <f t="shared" si="31"/>
        <v>67.505712879580884</v>
      </c>
      <c r="D278" s="1">
        <f t="shared" si="40"/>
        <v>217.1283602621794</v>
      </c>
      <c r="E278" s="1">
        <f t="shared" si="38"/>
        <v>260.31612460108227</v>
      </c>
      <c r="F278" s="1">
        <f t="shared" si="32"/>
        <v>13.92968436318921</v>
      </c>
      <c r="G278" s="1">
        <f t="shared" si="39"/>
        <v>10.388072644302181</v>
      </c>
      <c r="H278" s="1">
        <f t="shared" si="33"/>
        <v>4.0636557360652432</v>
      </c>
      <c r="I278" s="1">
        <f t="shared" si="34"/>
        <v>104.87455663674231</v>
      </c>
      <c r="K278" s="112">
        <f>C278/'CGE-Flood Weighted Av Calcs'!$D$3</f>
        <v>1.1378840961143749E-2</v>
      </c>
      <c r="L278" s="112">
        <f>D278/'CGE-Flood Weighted Av Calcs'!$D$4</f>
        <v>1.1153227690097516E-2</v>
      </c>
      <c r="M278" s="112">
        <f>E278/'CGE-Flood Weighted Av Calcs'!$D$5</f>
        <v>1.1151542336871652E-2</v>
      </c>
      <c r="N278" s="112">
        <f>F278/'CGE-Flood Weighted Av Calcs'!$D$6</f>
        <v>3.8503699833984883E-3</v>
      </c>
      <c r="O278" s="112">
        <f>G278/'CGE-Flood Weighted Av Calcs'!$D$7</f>
        <v>1.7147976434576637E-2</v>
      </c>
      <c r="P278" s="112">
        <f>H278/'CGE-Flood Weighted Av Calcs'!$D$8</f>
        <v>4.1064033954114773E-2</v>
      </c>
      <c r="R278" s="1">
        <f t="shared" si="35"/>
        <v>0.18207388304989985</v>
      </c>
      <c r="S278" s="1">
        <f t="shared" si="36"/>
        <v>0.21120570433788383</v>
      </c>
      <c r="T278" s="1">
        <f t="shared" si="37"/>
        <v>5.098068725397197</v>
      </c>
    </row>
    <row r="279" spans="1:20">
      <c r="A279">
        <v>226</v>
      </c>
      <c r="B279">
        <v>0.93110151010600573</v>
      </c>
      <c r="C279" s="1">
        <f t="shared" si="31"/>
        <v>7.0957789203048236</v>
      </c>
      <c r="D279" s="1">
        <f t="shared" si="40"/>
        <v>22.823177121276672</v>
      </c>
      <c r="E279" s="1">
        <f t="shared" si="38"/>
        <v>27.362805172575634</v>
      </c>
      <c r="F279" s="1">
        <f t="shared" si="32"/>
        <v>1.4642014202136551</v>
      </c>
      <c r="G279" s="1">
        <f t="shared" si="39"/>
        <v>1.0919293160198702</v>
      </c>
      <c r="H279" s="1">
        <f t="shared" si="33"/>
        <v>0.42714611077115894</v>
      </c>
      <c r="I279" s="1">
        <f t="shared" si="34"/>
        <v>11.023758383039052</v>
      </c>
      <c r="K279" s="112">
        <f>C279/'CGE-Flood Weighted Av Calcs'!$D$3</f>
        <v>1.1960726934861781E-3</v>
      </c>
      <c r="L279" s="112">
        <f>D279/'CGE-Flood Weighted Av Calcs'!$D$4</f>
        <v>1.1723576355371313E-3</v>
      </c>
      <c r="M279" s="112">
        <f>E279/'CGE-Flood Weighted Av Calcs'!$D$5</f>
        <v>1.1721804817321686E-3</v>
      </c>
      <c r="N279" s="112">
        <f>F279/'CGE-Flood Weighted Av Calcs'!$D$6</f>
        <v>4.0472684456070008E-4</v>
      </c>
      <c r="O279" s="112">
        <f>G279/'CGE-Flood Weighted Av Calcs'!$D$7</f>
        <v>1.8024881824062304E-3</v>
      </c>
      <c r="P279" s="112">
        <f>H279/'CGE-Flood Weighted Av Calcs'!$D$8</f>
        <v>4.3163947773437383E-3</v>
      </c>
      <c r="R279" s="1">
        <f t="shared" si="35"/>
        <v>1.9138469414998388E-2</v>
      </c>
      <c r="S279" s="1">
        <f t="shared" si="36"/>
        <v>2.2200624521398149E-2</v>
      </c>
      <c r="T279" s="1">
        <f t="shared" si="37"/>
        <v>0.53587714361995609</v>
      </c>
    </row>
    <row r="280" spans="1:20">
      <c r="A280">
        <v>227</v>
      </c>
      <c r="B280">
        <v>0.40634181296019956</v>
      </c>
      <c r="C280" s="1">
        <f t="shared" si="31"/>
        <v>61.140197063021233</v>
      </c>
      <c r="D280" s="1">
        <f t="shared" si="40"/>
        <v>196.65403368276725</v>
      </c>
      <c r="E280" s="1">
        <f t="shared" si="38"/>
        <v>235.76936644137507</v>
      </c>
      <c r="F280" s="1">
        <f t="shared" si="32"/>
        <v>12.61617144182007</v>
      </c>
      <c r="G280" s="1">
        <f t="shared" si="39"/>
        <v>9.4085193902119215</v>
      </c>
      <c r="H280" s="1">
        <f t="shared" si="33"/>
        <v>3.6804694284542174</v>
      </c>
      <c r="I280" s="1">
        <f t="shared" si="34"/>
        <v>94.98530992636806</v>
      </c>
      <c r="K280" s="112">
        <f>C280/'CGE-Flood Weighted Av Calcs'!$D$3</f>
        <v>1.0305862260193142E-2</v>
      </c>
      <c r="L280" s="112">
        <f>D280/'CGE-Flood Weighted Av Calcs'!$D$4</f>
        <v>1.0101523408510974E-2</v>
      </c>
      <c r="M280" s="112">
        <f>E280/'CGE-Flood Weighted Av Calcs'!$D$5</f>
        <v>1.0099996977280869E-2</v>
      </c>
      <c r="N280" s="112">
        <f>F280/'CGE-Flood Weighted Av Calcs'!$D$6</f>
        <v>3.4872956600052857E-3</v>
      </c>
      <c r="O280" s="112">
        <f>G280/'CGE-Flood Weighted Av Calcs'!$D$7</f>
        <v>1.5530991581590851E-2</v>
      </c>
      <c r="P280" s="112">
        <f>H280/'CGE-Flood Weighted Av Calcs'!$D$8</f>
        <v>3.7191861563417354E-2</v>
      </c>
      <c r="R280" s="1">
        <f t="shared" si="35"/>
        <v>0.16490505195550012</v>
      </c>
      <c r="S280" s="1">
        <f t="shared" si="36"/>
        <v>0.19128986026838013</v>
      </c>
      <c r="T280" s="1">
        <f t="shared" si="37"/>
        <v>4.617341454754003</v>
      </c>
    </row>
    <row r="281" spans="1:20">
      <c r="A281">
        <v>228</v>
      </c>
      <c r="B281">
        <v>0.21324720847999301</v>
      </c>
      <c r="C281" s="1">
        <f t="shared" si="31"/>
        <v>81.026795828877169</v>
      </c>
      <c r="D281" s="1">
        <f t="shared" si="40"/>
        <v>260.61816941339328</v>
      </c>
      <c r="E281" s="1">
        <f t="shared" si="38"/>
        <v>312.45624376476326</v>
      </c>
      <c r="F281" s="1">
        <f t="shared" si="32"/>
        <v>16.719735896578278</v>
      </c>
      <c r="G281" s="1">
        <f t="shared" si="39"/>
        <v>12.468755684528412</v>
      </c>
      <c r="H281" s="1">
        <f t="shared" si="33"/>
        <v>4.877587238169883</v>
      </c>
      <c r="I281" s="1">
        <f t="shared" si="34"/>
        <v>125.88044664320111</v>
      </c>
      <c r="K281" s="112">
        <f>C281/'CGE-Flood Weighted Av Calcs'!$D$3</f>
        <v>1.3657970325749166E-2</v>
      </c>
      <c r="L281" s="112">
        <f>D281/'CGE-Flood Weighted Av Calcs'!$D$4</f>
        <v>1.33871677570546E-2</v>
      </c>
      <c r="M281" s="112">
        <f>E281/'CGE-Flood Weighted Av Calcs'!$D$5</f>
        <v>1.3385144835350551E-2</v>
      </c>
      <c r="N281" s="112">
        <f>F281/'CGE-Flood Weighted Av Calcs'!$D$6</f>
        <v>4.6215813329309368E-3</v>
      </c>
      <c r="O281" s="112">
        <f>G281/'CGE-Flood Weighted Av Calcs'!$D$7</f>
        <v>2.0582637026904396E-2</v>
      </c>
      <c r="P281" s="112">
        <f>H281/'CGE-Flood Weighted Av Calcs'!$D$8</f>
        <v>4.928897056528344E-2</v>
      </c>
      <c r="R281" s="1">
        <f t="shared" si="35"/>
        <v>0.21854244208889084</v>
      </c>
      <c r="S281" s="1">
        <f t="shared" si="36"/>
        <v>0.25350923282311333</v>
      </c>
      <c r="T281" s="1">
        <f t="shared" si="37"/>
        <v>6.1191883784889436</v>
      </c>
    </row>
    <row r="282" spans="1:20">
      <c r="A282">
        <v>229</v>
      </c>
      <c r="B282">
        <v>0.40933529865942175</v>
      </c>
      <c r="C282" s="1">
        <f t="shared" si="31"/>
        <v>60.831901296953561</v>
      </c>
      <c r="D282" s="1">
        <f t="shared" si="40"/>
        <v>195.66241754678992</v>
      </c>
      <c r="E282" s="1">
        <f t="shared" si="38"/>
        <v>234.58051359277516</v>
      </c>
      <c r="F282" s="1">
        <f t="shared" si="32"/>
        <v>12.552555156195609</v>
      </c>
      <c r="G282" s="1">
        <f t="shared" si="39"/>
        <v>9.3610774971153372</v>
      </c>
      <c r="H282" s="1">
        <f t="shared" si="33"/>
        <v>3.6619108827438662</v>
      </c>
      <c r="I282" s="1">
        <f t="shared" si="34"/>
        <v>94.506352214492509</v>
      </c>
      <c r="K282" s="112">
        <f>C282/'CGE-Flood Weighted Av Calcs'!$D$3</f>
        <v>1.0253895569650435E-2</v>
      </c>
      <c r="L282" s="112">
        <f>D282/'CGE-Flood Weighted Av Calcs'!$D$4</f>
        <v>1.005058708433676E-2</v>
      </c>
      <c r="M282" s="112">
        <f>E282/'CGE-Flood Weighted Av Calcs'!$D$5</f>
        <v>1.0049068350044316E-2</v>
      </c>
      <c r="N282" s="112">
        <f>F282/'CGE-Flood Weighted Av Calcs'!$D$6</f>
        <v>3.4697111814028106E-3</v>
      </c>
      <c r="O282" s="112">
        <f>G282/'CGE-Flood Weighted Av Calcs'!$D$7</f>
        <v>1.5452677490739922E-2</v>
      </c>
      <c r="P282" s="112">
        <f>H282/'CGE-Flood Weighted Av Calcs'!$D$8</f>
        <v>3.7004323838598474E-2</v>
      </c>
      <c r="R282" s="1">
        <f t="shared" si="35"/>
        <v>0.16407352815016063</v>
      </c>
      <c r="S282" s="1">
        <f t="shared" si="36"/>
        <v>0.1903252926541863</v>
      </c>
      <c r="T282" s="1">
        <f t="shared" si="37"/>
        <v>4.5940587882044976</v>
      </c>
    </row>
    <row r="283" spans="1:20">
      <c r="A283">
        <v>230</v>
      </c>
      <c r="B283">
        <v>0.11816088538992509</v>
      </c>
      <c r="C283" s="1">
        <f t="shared" si="31"/>
        <v>90.819630592453166</v>
      </c>
      <c r="D283" s="1">
        <f t="shared" si="40"/>
        <v>292.11627622291172</v>
      </c>
      <c r="E283" s="1">
        <f t="shared" si="38"/>
        <v>350.2194594360098</v>
      </c>
      <c r="F283" s="1">
        <f t="shared" si="32"/>
        <v>18.740470016086284</v>
      </c>
      <c r="G283" s="1">
        <f t="shared" si="39"/>
        <v>13.975719681770283</v>
      </c>
      <c r="H283" s="1">
        <f t="shared" si="33"/>
        <v>5.4670885923787038</v>
      </c>
      <c r="I283" s="1">
        <f t="shared" si="34"/>
        <v>141.09425833761199</v>
      </c>
      <c r="K283" s="112">
        <f>C283/'CGE-Flood Weighted Av Calcs'!$D$3</f>
        <v>1.5308661868437795E-2</v>
      </c>
      <c r="L283" s="112">
        <f>D283/'CGE-Flood Weighted Av Calcs'!$D$4</f>
        <v>1.5005130314453245E-2</v>
      </c>
      <c r="M283" s="112">
        <f>E283/'CGE-Flood Weighted Av Calcs'!$D$5</f>
        <v>1.5002862904024389E-2</v>
      </c>
      <c r="N283" s="112">
        <f>F283/'CGE-Flood Weighted Av Calcs'!$D$6</f>
        <v>5.1801420149478142E-3</v>
      </c>
      <c r="O283" s="112">
        <f>G283/'CGE-Flood Weighted Av Calcs'!$D$7</f>
        <v>2.3070238336338141E-2</v>
      </c>
      <c r="P283" s="112">
        <f>H283/'CGE-Flood Weighted Av Calcs'!$D$8</f>
        <v>5.5245996749954063E-2</v>
      </c>
      <c r="R283" s="1">
        <f t="shared" si="35"/>
        <v>0.24495530961390971</v>
      </c>
      <c r="S283" s="1">
        <f t="shared" si="36"/>
        <v>0.2841481591521352</v>
      </c>
      <c r="T283" s="1">
        <f t="shared" si="37"/>
        <v>6.8587486691894712</v>
      </c>
    </row>
    <row r="284" spans="1:20">
      <c r="A284">
        <v>231</v>
      </c>
      <c r="B284">
        <v>0.21343271141530162</v>
      </c>
      <c r="C284" s="1">
        <f t="shared" si="31"/>
        <v>81.007691087684108</v>
      </c>
      <c r="D284" s="1">
        <f t="shared" si="40"/>
        <v>260.55672007893645</v>
      </c>
      <c r="E284" s="1">
        <f t="shared" si="38"/>
        <v>312.38257189349872</v>
      </c>
      <c r="F284" s="1">
        <f t="shared" si="32"/>
        <v>16.715793667049727</v>
      </c>
      <c r="G284" s="1">
        <f t="shared" si="39"/>
        <v>12.465815763877281</v>
      </c>
      <c r="H284" s="1">
        <f t="shared" si="33"/>
        <v>4.8764371860065392</v>
      </c>
      <c r="I284" s="1">
        <f t="shared" si="34"/>
        <v>125.85076617355173</v>
      </c>
      <c r="K284" s="112">
        <f>C284/'CGE-Flood Weighted Av Calcs'!$D$3</f>
        <v>1.3654750008499462E-2</v>
      </c>
      <c r="L284" s="112">
        <f>D284/'CGE-Flood Weighted Av Calcs'!$D$4</f>
        <v>1.3384011290447591E-2</v>
      </c>
      <c r="M284" s="112">
        <f>E284/'CGE-Flood Weighted Av Calcs'!$D$5</f>
        <v>1.3381988845714097E-2</v>
      </c>
      <c r="N284" s="112">
        <f>F284/'CGE-Flood Weighted Av Calcs'!$D$6</f>
        <v>4.6204916426085549E-3</v>
      </c>
      <c r="O284" s="112">
        <f>G284/'CGE-Flood Weighted Av Calcs'!$D$7</f>
        <v>2.0577783990949474E-2</v>
      </c>
      <c r="P284" s="112">
        <f>H284/'CGE-Flood Weighted Av Calcs'!$D$8</f>
        <v>4.927734906381976E-2</v>
      </c>
      <c r="R284" s="1">
        <f t="shared" si="35"/>
        <v>0.21849091349574956</v>
      </c>
      <c r="S284" s="1">
        <f t="shared" si="36"/>
        <v>0.25344945965506949</v>
      </c>
      <c r="T284" s="1">
        <f t="shared" si="37"/>
        <v>6.1177455778809877</v>
      </c>
    </row>
    <row r="285" spans="1:20">
      <c r="A285">
        <v>232</v>
      </c>
      <c r="B285">
        <v>3.1822697131380195E-2</v>
      </c>
      <c r="C285" s="1">
        <f t="shared" si="31"/>
        <v>118.85748650706017</v>
      </c>
      <c r="D285" s="1">
        <f t="shared" si="40"/>
        <v>378.83584729467589</v>
      </c>
      <c r="E285" s="1">
        <f t="shared" si="38"/>
        <v>454.10265484242768</v>
      </c>
      <c r="F285" s="1">
        <f t="shared" si="32"/>
        <v>27.626678663980048</v>
      </c>
      <c r="G285" s="1">
        <f t="shared" si="39"/>
        <v>17.949652911940028</v>
      </c>
      <c r="H285" s="1">
        <f t="shared" si="33"/>
        <v>6.8042309591295398</v>
      </c>
      <c r="I285" s="1">
        <f t="shared" si="34"/>
        <v>265.9867550812848</v>
      </c>
      <c r="K285" s="112">
        <f>C285/'CGE-Flood Weighted Av Calcs'!$D$3</f>
        <v>2.0034755257198666E-2</v>
      </c>
      <c r="L285" s="112">
        <f>D285/'CGE-Flood Weighted Av Calcs'!$D$4</f>
        <v>1.9459652608008519E-2</v>
      </c>
      <c r="M285" s="112">
        <f>E285/'CGE-Flood Weighted Av Calcs'!$D$5</f>
        <v>1.9453059193015099E-2</v>
      </c>
      <c r="N285" s="112">
        <f>F285/'CGE-Flood Weighted Av Calcs'!$D$6</f>
        <v>7.6364210053378465E-3</v>
      </c>
      <c r="O285" s="112">
        <f>G285/'CGE-Flood Weighted Av Calcs'!$D$7</f>
        <v>2.9630157169877398E-2</v>
      </c>
      <c r="P285" s="112">
        <f>H285/'CGE-Flood Weighted Av Calcs'!$D$8</f>
        <v>6.8758081216761899E-2</v>
      </c>
      <c r="R285" s="1">
        <f t="shared" si="35"/>
        <v>0.30090307049149306</v>
      </c>
      <c r="S285" s="1">
        <f t="shared" si="36"/>
        <v>0.36090307049149306</v>
      </c>
      <c r="T285" s="1">
        <f t="shared" si="37"/>
        <v>9.6354605737239609</v>
      </c>
    </row>
    <row r="286" spans="1:20">
      <c r="A286">
        <v>233</v>
      </c>
      <c r="B286">
        <v>0.71928438974026543</v>
      </c>
      <c r="C286" s="1">
        <f t="shared" si="31"/>
        <v>28.910588794416448</v>
      </c>
      <c r="D286" s="1">
        <f t="shared" si="40"/>
        <v>92.989296333237291</v>
      </c>
      <c r="E286" s="1">
        <f t="shared" si="38"/>
        <v>111.48526715543204</v>
      </c>
      <c r="F286" s="1">
        <f t="shared" si="32"/>
        <v>5.9656488241010663</v>
      </c>
      <c r="G286" s="1">
        <f t="shared" si="39"/>
        <v>4.4488871204379059</v>
      </c>
      <c r="H286" s="1">
        <f t="shared" si="33"/>
        <v>1.7403368541122402</v>
      </c>
      <c r="I286" s="1">
        <f t="shared" si="34"/>
        <v>44.914497641557517</v>
      </c>
      <c r="K286" s="112">
        <f>C286/'CGE-Flood Weighted Av Calcs'!$D$3</f>
        <v>4.8732022513637632E-3</v>
      </c>
      <c r="L286" s="112">
        <f>D286/'CGE-Flood Weighted Av Calcs'!$D$4</f>
        <v>4.7765791327039212E-3</v>
      </c>
      <c r="M286" s="112">
        <f>E286/'CGE-Flood Weighted Av Calcs'!$D$5</f>
        <v>4.7758573485465845E-3</v>
      </c>
      <c r="N286" s="112">
        <f>F286/'CGE-Flood Weighted Av Calcs'!$D$6</f>
        <v>1.6489932266172502E-3</v>
      </c>
      <c r="O286" s="112">
        <f>G286/'CGE-Flood Weighted Av Calcs'!$D$7</f>
        <v>7.3439428191913137E-3</v>
      </c>
      <c r="P286" s="112">
        <f>H286/'CGE-Flood Weighted Av Calcs'!$D$8</f>
        <v>1.7586443417094356E-2</v>
      </c>
      <c r="R286" s="1">
        <f t="shared" si="35"/>
        <v>7.7976558405481816E-2</v>
      </c>
      <c r="S286" s="1">
        <f t="shared" si="36"/>
        <v>9.045280775035891E-2</v>
      </c>
      <c r="T286" s="1">
        <f t="shared" si="37"/>
        <v>2.1833436353534914</v>
      </c>
    </row>
    <row r="287" spans="1:20">
      <c r="A287">
        <v>234</v>
      </c>
      <c r="B287">
        <v>0.46566433211008862</v>
      </c>
      <c r="C287" s="1">
        <f t="shared" si="31"/>
        <v>55.030636729684325</v>
      </c>
      <c r="D287" s="1">
        <f t="shared" si="40"/>
        <v>177.0029736389061</v>
      </c>
      <c r="E287" s="1">
        <f t="shared" si="38"/>
        <v>212.20962607054449</v>
      </c>
      <c r="F287" s="1">
        <f t="shared" si="32"/>
        <v>11.355474481356055</v>
      </c>
      <c r="G287" s="1">
        <f t="shared" si="39"/>
        <v>8.4683536788940543</v>
      </c>
      <c r="H287" s="1">
        <f t="shared" si="33"/>
        <v>3.3126909274303298</v>
      </c>
      <c r="I287" s="1">
        <f t="shared" si="34"/>
        <v>85.493706862385807</v>
      </c>
      <c r="K287" s="112">
        <f>C287/'CGE-Flood Weighted Av Calcs'!$D$3</f>
        <v>9.2760277112333405E-3</v>
      </c>
      <c r="L287" s="112">
        <f>D287/'CGE-Flood Weighted Av Calcs'!$D$4</f>
        <v>9.0921078408886091E-3</v>
      </c>
      <c r="M287" s="112">
        <f>E287/'CGE-Flood Weighted Av Calcs'!$D$5</f>
        <v>9.0907339414484385E-3</v>
      </c>
      <c r="N287" s="112">
        <f>F287/'CGE-Flood Weighted Av Calcs'!$D$6</f>
        <v>3.1388204463414352E-3</v>
      </c>
      <c r="O287" s="112">
        <f>G287/'CGE-Flood Weighted Av Calcs'!$D$7</f>
        <v>1.3979025204929191E-2</v>
      </c>
      <c r="P287" s="112">
        <f>H287/'CGE-Flood Weighted Av Calcs'!$D$8</f>
        <v>3.3475388064050066E-2</v>
      </c>
      <c r="R287" s="1">
        <f t="shared" si="35"/>
        <v>0.14842657441386425</v>
      </c>
      <c r="S287" s="1">
        <f t="shared" si="36"/>
        <v>0.17217482632008255</v>
      </c>
      <c r="T287" s="1">
        <f t="shared" si="37"/>
        <v>4.1559440835881993</v>
      </c>
    </row>
    <row r="288" spans="1:20">
      <c r="A288">
        <v>235</v>
      </c>
      <c r="B288">
        <v>0.63910173179339613</v>
      </c>
      <c r="C288" s="1">
        <f t="shared" si="31"/>
        <v>37.168511644522354</v>
      </c>
      <c r="D288" s="1">
        <f t="shared" si="40"/>
        <v>119.55044458469786</v>
      </c>
      <c r="E288" s="1">
        <f t="shared" si="38"/>
        <v>143.32954198634823</v>
      </c>
      <c r="F288" s="1">
        <f t="shared" si="32"/>
        <v>7.6696565871586646</v>
      </c>
      <c r="G288" s="1">
        <f t="shared" si="39"/>
        <v>5.7196521979205706</v>
      </c>
      <c r="H288" s="1">
        <f t="shared" si="33"/>
        <v>2.2374407898588031</v>
      </c>
      <c r="I288" s="1">
        <f t="shared" si="34"/>
        <v>57.743722913056601</v>
      </c>
      <c r="K288" s="112">
        <f>C288/'CGE-Flood Weighted Av Calcs'!$D$3</f>
        <v>6.2651672684337885E-3</v>
      </c>
      <c r="L288" s="112">
        <f>D288/'CGE-Flood Weighted Av Calcs'!$D$4</f>
        <v>6.1409450487973629E-3</v>
      </c>
      <c r="M288" s="112">
        <f>E288/'CGE-Flood Weighted Av Calcs'!$D$5</f>
        <v>6.1400170966533366E-3</v>
      </c>
      <c r="N288" s="112">
        <f>F288/'CGE-Flood Weighted Av Calcs'!$D$6</f>
        <v>2.1200060773960759E-3</v>
      </c>
      <c r="O288" s="112">
        <f>G288/'CGE-Flood Weighted Av Calcs'!$D$7</f>
        <v>9.4416418196414127E-3</v>
      </c>
      <c r="P288" s="112">
        <f>H288/'CGE-Flood Weighted Av Calcs'!$D$8</f>
        <v>2.2609775663242387E-2</v>
      </c>
      <c r="R288" s="1">
        <f t="shared" si="35"/>
        <v>0.10024951894627884</v>
      </c>
      <c r="S288" s="1">
        <f t="shared" si="36"/>
        <v>0.11628944197768346</v>
      </c>
      <c r="T288" s="1">
        <f t="shared" si="37"/>
        <v>2.8069865304958084</v>
      </c>
    </row>
    <row r="289" spans="1:20">
      <c r="A289">
        <v>236</v>
      </c>
      <c r="B289">
        <v>2.6515523059168711E-2</v>
      </c>
      <c r="C289" s="1">
        <f t="shared" si="31"/>
        <v>126.08585759341223</v>
      </c>
      <c r="D289" s="1">
        <f t="shared" si="40"/>
        <v>401.40600569706521</v>
      </c>
      <c r="E289" s="1">
        <f t="shared" si="38"/>
        <v>481.1575686569235</v>
      </c>
      <c r="F289" s="1">
        <f t="shared" si="32"/>
        <v>28.350335077684409</v>
      </c>
      <c r="G289" s="1">
        <f t="shared" si="39"/>
        <v>18.73441161500347</v>
      </c>
      <c r="H289" s="1">
        <f t="shared" si="33"/>
        <v>7.0795570636446961</v>
      </c>
      <c r="I289" s="1">
        <f t="shared" si="34"/>
        <v>281.55446569310516</v>
      </c>
      <c r="K289" s="112">
        <f>C289/'CGE-Flood Weighted Av Calcs'!$D$3</f>
        <v>2.1253177839394802E-2</v>
      </c>
      <c r="L289" s="112">
        <f>D289/'CGE-Flood Weighted Av Calcs'!$D$4</f>
        <v>2.0619013436596067E-2</v>
      </c>
      <c r="M289" s="112">
        <f>E289/'CGE-Flood Weighted Av Calcs'!$D$5</f>
        <v>2.0612050082592554E-2</v>
      </c>
      <c r="N289" s="112">
        <f>F289/'CGE-Flood Weighted Av Calcs'!$D$6</f>
        <v>7.8364502996831151E-3</v>
      </c>
      <c r="O289" s="112">
        <f>G289/'CGE-Flood Weighted Av Calcs'!$D$7</f>
        <v>3.0925587439547486E-2</v>
      </c>
      <c r="P289" s="112">
        <f>H289/'CGE-Flood Weighted Av Calcs'!$D$8</f>
        <v>7.1540305213721817E-2</v>
      </c>
      <c r="R289" s="1">
        <f t="shared" si="35"/>
        <v>0.30797930258777506</v>
      </c>
      <c r="S289" s="1">
        <f t="shared" si="36"/>
        <v>0.36797930258777506</v>
      </c>
      <c r="T289" s="1">
        <f t="shared" si="37"/>
        <v>10.696895388166258</v>
      </c>
    </row>
    <row r="290" spans="1:20">
      <c r="A290">
        <v>237</v>
      </c>
      <c r="B290">
        <v>0.34302335938070128</v>
      </c>
      <c r="C290" s="1">
        <f t="shared" si="31"/>
        <v>67.661294243336442</v>
      </c>
      <c r="D290" s="1">
        <f t="shared" si="40"/>
        <v>217.62877904095532</v>
      </c>
      <c r="E290" s="1">
        <f t="shared" si="38"/>
        <v>260.91607882636754</v>
      </c>
      <c r="F290" s="1">
        <f t="shared" si="32"/>
        <v>13.961788302211016</v>
      </c>
      <c r="G290" s="1">
        <f t="shared" si="39"/>
        <v>10.412014181097376</v>
      </c>
      <c r="H290" s="1">
        <f t="shared" si="33"/>
        <v>4.0730213004638882</v>
      </c>
      <c r="I290" s="1">
        <f t="shared" si="34"/>
        <v>105.11626249908778</v>
      </c>
      <c r="K290" s="112">
        <f>C290/'CGE-Flood Weighted Av Calcs'!$D$3</f>
        <v>1.1405065935581844E-2</v>
      </c>
      <c r="L290" s="112">
        <f>D290/'CGE-Flood Weighted Av Calcs'!$D$4</f>
        <v>1.1178932690463885E-2</v>
      </c>
      <c r="M290" s="112">
        <f>E290/'CGE-Flood Weighted Av Calcs'!$D$5</f>
        <v>1.1177243452980793E-2</v>
      </c>
      <c r="N290" s="112">
        <f>F290/'CGE-Flood Weighted Av Calcs'!$D$6</f>
        <v>3.8592439851300045E-3</v>
      </c>
      <c r="O290" s="112">
        <f>G290/'CGE-Flood Weighted Av Calcs'!$D$7</f>
        <v>1.7187497616496437E-2</v>
      </c>
      <c r="P290" s="112">
        <f>H290/'CGE-Flood Weighted Av Calcs'!$D$8</f>
        <v>4.1158674809404792E-2</v>
      </c>
      <c r="R290" s="1">
        <f t="shared" si="35"/>
        <v>0.18249351128313854</v>
      </c>
      <c r="S290" s="1">
        <f t="shared" si="36"/>
        <v>0.21169247308844069</v>
      </c>
      <c r="T290" s="1">
        <f t="shared" si="37"/>
        <v>5.1098183159278792</v>
      </c>
    </row>
    <row r="291" spans="1:20">
      <c r="A291">
        <v>238</v>
      </c>
      <c r="B291">
        <v>0.77179579489094119</v>
      </c>
      <c r="C291" s="1">
        <f t="shared" si="31"/>
        <v>23.502497523954077</v>
      </c>
      <c r="D291" s="1">
        <f t="shared" si="40"/>
        <v>75.594472404803696</v>
      </c>
      <c r="E291" s="1">
        <f t="shared" si="38"/>
        <v>90.630537963444738</v>
      </c>
      <c r="F291" s="1">
        <f t="shared" si="32"/>
        <v>4.8496987631152422</v>
      </c>
      <c r="G291" s="1">
        <f t="shared" si="39"/>
        <v>3.6166665188305291</v>
      </c>
      <c r="H291" s="1">
        <f t="shared" si="33"/>
        <v>1.4147848352544958</v>
      </c>
      <c r="I291" s="1">
        <f t="shared" si="34"/>
        <v>36.512672817449385</v>
      </c>
      <c r="K291" s="112">
        <f>C291/'CGE-Flood Weighted Av Calcs'!$D$3</f>
        <v>3.9616081381408643E-3</v>
      </c>
      <c r="L291" s="112">
        <f>D291/'CGE-Flood Weighted Av Calcs'!$D$4</f>
        <v>3.8830595958331323E-3</v>
      </c>
      <c r="M291" s="112">
        <f>E291/'CGE-Flood Weighted Av Calcs'!$D$5</f>
        <v>3.8824728305309354E-3</v>
      </c>
      <c r="N291" s="112">
        <f>F291/'CGE-Flood Weighted Av Calcs'!$D$6</f>
        <v>1.3405281885187294E-3</v>
      </c>
      <c r="O291" s="112">
        <f>G291/'CGE-Flood Weighted Av Calcs'!$D$7</f>
        <v>5.9701654349370728E-3</v>
      </c>
      <c r="P291" s="112">
        <f>H291/'CGE-Flood Weighted Av Calcs'!$D$8</f>
        <v>1.4296676757591487E-2</v>
      </c>
      <c r="R291" s="1">
        <f t="shared" si="35"/>
        <v>6.339005697473854E-2</v>
      </c>
      <c r="S291" s="1">
        <f t="shared" si="36"/>
        <v>7.3532466090696719E-2</v>
      </c>
      <c r="T291" s="1">
        <f t="shared" si="37"/>
        <v>1.77492159529268</v>
      </c>
    </row>
    <row r="292" spans="1:20">
      <c r="A292">
        <v>239</v>
      </c>
      <c r="B292">
        <v>0.28950583091755433</v>
      </c>
      <c r="C292" s="1">
        <f t="shared" si="31"/>
        <v>73.17300503583543</v>
      </c>
      <c r="D292" s="1">
        <f t="shared" si="40"/>
        <v>235.35688938251215</v>
      </c>
      <c r="E292" s="1">
        <f t="shared" si="38"/>
        <v>282.17038653192014</v>
      </c>
      <c r="F292" s="1">
        <f t="shared" si="32"/>
        <v>15.099120068155784</v>
      </c>
      <c r="G292" s="1">
        <f t="shared" si="39"/>
        <v>11.260180205341863</v>
      </c>
      <c r="H292" s="1">
        <f t="shared" si="33"/>
        <v>4.4048109256979044</v>
      </c>
      <c r="I292" s="1">
        <f t="shared" si="34"/>
        <v>113.6790670531913</v>
      </c>
      <c r="K292" s="112">
        <f>C292/'CGE-Flood Weighted Av Calcs'!$D$3</f>
        <v>1.2334126275164394E-2</v>
      </c>
      <c r="L292" s="112">
        <f>D292/'CGE-Flood Weighted Av Calcs'!$D$4</f>
        <v>1.2089572143162761E-2</v>
      </c>
      <c r="M292" s="112">
        <f>E292/'CGE-Flood Weighted Av Calcs'!$D$5</f>
        <v>1.208774529985095E-2</v>
      </c>
      <c r="N292" s="112">
        <f>F292/'CGE-Flood Weighted Av Calcs'!$D$6</f>
        <v>4.1736192414948744E-3</v>
      </c>
      <c r="O292" s="112">
        <f>G292/'CGE-Flood Weighted Av Calcs'!$D$7</f>
        <v>1.8587596700740956E-2</v>
      </c>
      <c r="P292" s="112">
        <f>H292/'CGE-Flood Weighted Av Calcs'!$D$8</f>
        <v>4.4511473698177074E-2</v>
      </c>
      <c r="R292" s="1">
        <f t="shared" si="35"/>
        <v>0.19735949141179046</v>
      </c>
      <c r="S292" s="1">
        <f t="shared" si="36"/>
        <v>0.22893701003767691</v>
      </c>
      <c r="T292" s="1">
        <f t="shared" si="37"/>
        <v>5.526065759530133</v>
      </c>
    </row>
    <row r="293" spans="1:20">
      <c r="A293">
        <v>240</v>
      </c>
      <c r="B293">
        <v>0.46061138295860593</v>
      </c>
      <c r="C293" s="1">
        <f t="shared" si="31"/>
        <v>55.551034348407576</v>
      </c>
      <c r="D293" s="1">
        <f t="shared" si="40"/>
        <v>178.67680355370581</v>
      </c>
      <c r="E293" s="1">
        <f t="shared" si="38"/>
        <v>214.21638795156221</v>
      </c>
      <c r="F293" s="1">
        <f t="shared" si="32"/>
        <v>11.46285760884189</v>
      </c>
      <c r="G293" s="1">
        <f t="shared" si="39"/>
        <v>8.5484347273952732</v>
      </c>
      <c r="H293" s="1">
        <f t="shared" si="33"/>
        <v>3.3440174134142904</v>
      </c>
      <c r="I293" s="1">
        <f t="shared" si="34"/>
        <v>86.30217872662304</v>
      </c>
      <c r="K293" s="112">
        <f>C293/'CGE-Flood Weighted Av Calcs'!$D$3</f>
        <v>9.3637465351286281E-3</v>
      </c>
      <c r="L293" s="112">
        <f>D293/'CGE-Flood Weighted Av Calcs'!$D$4</f>
        <v>9.1780874251848089E-3</v>
      </c>
      <c r="M293" s="112">
        <f>E293/'CGE-Flood Weighted Av Calcs'!$D$5</f>
        <v>9.1767005334545335E-3</v>
      </c>
      <c r="N293" s="112">
        <f>F293/'CGE-Flood Weighted Av Calcs'!$D$6</f>
        <v>3.1685027248493061E-3</v>
      </c>
      <c r="O293" s="112">
        <f>G293/'CGE-Flood Weighted Av Calcs'!$D$7</f>
        <v>1.4111217959020905E-2</v>
      </c>
      <c r="P293" s="112">
        <f>H293/'CGE-Flood Weighted Av Calcs'!$D$8</f>
        <v>3.3791948316113651E-2</v>
      </c>
      <c r="R293" s="1">
        <f t="shared" si="35"/>
        <v>0.14983017140038724</v>
      </c>
      <c r="S293" s="1">
        <f t="shared" si="36"/>
        <v>0.17380299882444919</v>
      </c>
      <c r="T293" s="1">
        <f t="shared" si="37"/>
        <v>4.195244799210843</v>
      </c>
    </row>
    <row r="294" spans="1:20">
      <c r="A294">
        <v>241</v>
      </c>
      <c r="B294">
        <v>0.74119804235445363</v>
      </c>
      <c r="C294" s="1">
        <f t="shared" si="31"/>
        <v>26.653726060184113</v>
      </c>
      <c r="D294" s="1">
        <f t="shared" si="40"/>
        <v>85.73022322790149</v>
      </c>
      <c r="E294" s="1">
        <f t="shared" si="38"/>
        <v>102.78233320108711</v>
      </c>
      <c r="F294" s="1">
        <f t="shared" si="32"/>
        <v>5.4999491936863798</v>
      </c>
      <c r="G294" s="1">
        <f t="shared" si="39"/>
        <v>4.1015912690001901</v>
      </c>
      <c r="H294" s="1">
        <f t="shared" si="33"/>
        <v>1.6044800087540572</v>
      </c>
      <c r="I294" s="1">
        <f t="shared" si="34"/>
        <v>41.408313223287394</v>
      </c>
      <c r="K294" s="112">
        <f>C294/'CGE-Flood Weighted Av Calcs'!$D$3</f>
        <v>4.4927828612334559E-3</v>
      </c>
      <c r="L294" s="112">
        <f>D294/'CGE-Flood Weighted Av Calcs'!$D$4</f>
        <v>4.4037024846920597E-3</v>
      </c>
      <c r="M294" s="112">
        <f>E294/'CGE-Flood Weighted Av Calcs'!$D$5</f>
        <v>4.4030370455569031E-3</v>
      </c>
      <c r="N294" s="112">
        <f>F294/'CGE-Flood Weighted Av Calcs'!$D$6</f>
        <v>1.5202669876389291E-3</v>
      </c>
      <c r="O294" s="112">
        <f>G294/'CGE-Flood Weighted Av Calcs'!$D$7</f>
        <v>6.7706486884897251E-3</v>
      </c>
      <c r="P294" s="112">
        <f>H294/'CGE-Flood Weighted Av Calcs'!$D$8</f>
        <v>1.6213583491689058E-2</v>
      </c>
      <c r="R294" s="1">
        <f t="shared" si="35"/>
        <v>7.188943267931841E-2</v>
      </c>
      <c r="S294" s="1">
        <f t="shared" si="36"/>
        <v>8.3391741908009381E-2</v>
      </c>
      <c r="T294" s="1">
        <f t="shared" si="37"/>
        <v>2.012904115020917</v>
      </c>
    </row>
    <row r="295" spans="1:20">
      <c r="A295">
        <v>242</v>
      </c>
      <c r="B295">
        <v>0.61106967108107157</v>
      </c>
      <c r="C295" s="1">
        <f t="shared" si="31"/>
        <v>40.055502430550533</v>
      </c>
      <c r="D295" s="1">
        <f t="shared" si="40"/>
        <v>128.83628942246014</v>
      </c>
      <c r="E295" s="1">
        <f t="shared" si="38"/>
        <v>154.4623812842384</v>
      </c>
      <c r="F295" s="1">
        <f t="shared" si="32"/>
        <v>8.2653820256936932</v>
      </c>
      <c r="G295" s="1">
        <f t="shared" si="39"/>
        <v>6.1639148940599249</v>
      </c>
      <c r="H295" s="1">
        <f t="shared" si="33"/>
        <v>2.4112295873867757</v>
      </c>
      <c r="I295" s="1">
        <f t="shared" si="34"/>
        <v>62.22885262702853</v>
      </c>
      <c r="K295" s="112">
        <f>C295/'CGE-Flood Weighted Av Calcs'!$D$3</f>
        <v>6.7518017710439917E-3</v>
      </c>
      <c r="L295" s="112">
        <f>D295/'CGE-Flood Weighted Av Calcs'!$D$4</f>
        <v>6.6179308356628993E-3</v>
      </c>
      <c r="M295" s="112">
        <f>E295/'CGE-Flood Weighted Av Calcs'!$D$5</f>
        <v>6.6169308066674976E-3</v>
      </c>
      <c r="N295" s="112">
        <f>F295/'CGE-Flood Weighted Av Calcs'!$D$6</f>
        <v>2.2846733654032403E-3</v>
      </c>
      <c r="O295" s="112">
        <f>G295/'CGE-Flood Weighted Av Calcs'!$D$7</f>
        <v>1.0175002713910638E-2</v>
      </c>
      <c r="P295" s="112">
        <f>H295/'CGE-Flood Weighted Av Calcs'!$D$8</f>
        <v>2.4365945365118644E-2</v>
      </c>
      <c r="R295" s="1">
        <f t="shared" si="35"/>
        <v>0.10803620247748011</v>
      </c>
      <c r="S295" s="1">
        <f t="shared" si="36"/>
        <v>0.12532199487387694</v>
      </c>
      <c r="T295" s="1">
        <f t="shared" si="37"/>
        <v>3.0250136693694438</v>
      </c>
    </row>
    <row r="296" spans="1:20">
      <c r="A296">
        <v>243</v>
      </c>
      <c r="B296">
        <v>0.91378904587116183</v>
      </c>
      <c r="C296" s="1">
        <f t="shared" si="31"/>
        <v>8.8787703757800216</v>
      </c>
      <c r="D296" s="1">
        <f t="shared" si="40"/>
        <v>28.558069689249351</v>
      </c>
      <c r="E296" s="1">
        <f t="shared" si="38"/>
        <v>34.238392527887299</v>
      </c>
      <c r="F296" s="1">
        <f t="shared" si="32"/>
        <v>1.8321185510398585</v>
      </c>
      <c r="G296" s="1">
        <f t="shared" si="39"/>
        <v>1.3663037944686263</v>
      </c>
      <c r="H296" s="1">
        <f t="shared" si="33"/>
        <v>0.53447722611426762</v>
      </c>
      <c r="I296" s="1">
        <f t="shared" si="34"/>
        <v>13.793752660614075</v>
      </c>
      <c r="K296" s="112">
        <f>C296/'CGE-Flood Weighted Av Calcs'!$D$3</f>
        <v>1.4966157933438394E-3</v>
      </c>
      <c r="L296" s="112">
        <f>D296/'CGE-Flood Weighted Av Calcs'!$D$4</f>
        <v>1.4669417355211844E-3</v>
      </c>
      <c r="M296" s="112">
        <f>E296/'CGE-Flood Weighted Av Calcs'!$D$5</f>
        <v>1.4667200674036843E-3</v>
      </c>
      <c r="N296" s="112">
        <f>F296/'CGE-Flood Weighted Av Calcs'!$D$6</f>
        <v>5.0642456002759765E-4</v>
      </c>
      <c r="O296" s="112">
        <f>G296/'CGE-Flood Weighted Av Calcs'!$D$7</f>
        <v>2.2554083006794869E-3</v>
      </c>
      <c r="P296" s="112">
        <f>H296/'CGE-Flood Weighted Av Calcs'!$D$8</f>
        <v>5.4009966361247353E-3</v>
      </c>
      <c r="R296" s="1">
        <f t="shared" si="35"/>
        <v>2.3947487258010575E-2</v>
      </c>
      <c r="S296" s="1">
        <f t="shared" si="36"/>
        <v>2.7779085219292288E-2</v>
      </c>
      <c r="T296" s="1">
        <f t="shared" si="37"/>
        <v>0.67052964322429709</v>
      </c>
    </row>
    <row r="297" spans="1:20">
      <c r="A297">
        <v>244</v>
      </c>
      <c r="B297">
        <v>0.6354938116301202</v>
      </c>
      <c r="C297" s="1">
        <f t="shared" si="31"/>
        <v>37.540087333337965</v>
      </c>
      <c r="D297" s="1">
        <f t="shared" si="40"/>
        <v>120.74559706267763</v>
      </c>
      <c r="E297" s="1">
        <f t="shared" si="38"/>
        <v>144.76241543042255</v>
      </c>
      <c r="F297" s="1">
        <f t="shared" si="32"/>
        <v>7.7463305728325729</v>
      </c>
      <c r="G297" s="1">
        <f t="shared" si="39"/>
        <v>5.7768318807002874</v>
      </c>
      <c r="H297" s="1">
        <f t="shared" si="33"/>
        <v>2.2598086105191295</v>
      </c>
      <c r="I297" s="1">
        <f t="shared" si="34"/>
        <v>58.320990139180751</v>
      </c>
      <c r="K297" s="112">
        <f>C297/'CGE-Flood Weighted Av Calcs'!$D$3</f>
        <v>6.3278004958704425E-3</v>
      </c>
      <c r="L297" s="112">
        <f>D297/'CGE-Flood Weighted Av Calcs'!$D$4</f>
        <v>6.202336419759669E-3</v>
      </c>
      <c r="M297" s="112">
        <f>E297/'CGE-Flood Weighted Av Calcs'!$D$5</f>
        <v>6.2013991908261828E-3</v>
      </c>
      <c r="N297" s="112">
        <f>F297/'CGE-Flood Weighted Av Calcs'!$D$6</f>
        <v>2.1411998966707254E-3</v>
      </c>
      <c r="O297" s="112">
        <f>G297/'CGE-Flood Weighted Av Calcs'!$D$7</f>
        <v>9.5360304407472677E-3</v>
      </c>
      <c r="P297" s="112">
        <f>H297/'CGE-Flood Weighted Av Calcs'!$D$8</f>
        <v>2.2835806854547135E-2</v>
      </c>
      <c r="R297" s="1">
        <f t="shared" si="35"/>
        <v>0.10125171899163327</v>
      </c>
      <c r="S297" s="1">
        <f t="shared" si="36"/>
        <v>0.1174519940302946</v>
      </c>
      <c r="T297" s="1">
        <f t="shared" si="37"/>
        <v>2.8350481317657321</v>
      </c>
    </row>
    <row r="298" spans="1:20">
      <c r="A298">
        <v>245</v>
      </c>
      <c r="B298">
        <v>0.72066502110179853</v>
      </c>
      <c r="C298" s="1">
        <f t="shared" si="31"/>
        <v>28.768399104527006</v>
      </c>
      <c r="D298" s="1">
        <f t="shared" si="40"/>
        <v>92.531951126514457</v>
      </c>
      <c r="E298" s="1">
        <f t="shared" si="38"/>
        <v>110.93695402086402</v>
      </c>
      <c r="F298" s="1">
        <f t="shared" si="32"/>
        <v>5.9363082332773978</v>
      </c>
      <c r="G298" s="1">
        <f t="shared" si="39"/>
        <v>4.4270063526504853</v>
      </c>
      <c r="H298" s="1">
        <f t="shared" si="33"/>
        <v>1.7317774311496339</v>
      </c>
      <c r="I298" s="1">
        <f t="shared" si="34"/>
        <v>44.69359662371221</v>
      </c>
      <c r="K298" s="112">
        <f>C298/'CGE-Flood Weighted Av Calcs'!$D$3</f>
        <v>4.84923459294569E-3</v>
      </c>
      <c r="L298" s="112">
        <f>D298/'CGE-Flood Weighted Av Calcs'!$D$4</f>
        <v>4.7530866915626753E-3</v>
      </c>
      <c r="M298" s="112">
        <f>E298/'CGE-Flood Weighted Av Calcs'!$D$5</f>
        <v>4.7523684573249278E-3</v>
      </c>
      <c r="N298" s="112">
        <f>F298/'CGE-Flood Weighted Av Calcs'!$D$6</f>
        <v>1.6408830550399837E-3</v>
      </c>
      <c r="O298" s="112">
        <f>G298/'CGE-Flood Weighted Av Calcs'!$D$7</f>
        <v>7.3078234250325783E-3</v>
      </c>
      <c r="P298" s="112">
        <f>H298/'CGE-Flood Weighted Av Calcs'!$D$8</f>
        <v>1.7499948778278217E-2</v>
      </c>
      <c r="R298" s="1">
        <f t="shared" si="35"/>
        <v>7.7593049693944843E-2</v>
      </c>
      <c r="S298" s="1">
        <f t="shared" si="36"/>
        <v>9.0007937644976027E-2</v>
      </c>
      <c r="T298" s="1">
        <f t="shared" si="37"/>
        <v>2.1726053914304559</v>
      </c>
    </row>
    <row r="299" spans="1:20">
      <c r="A299">
        <v>246</v>
      </c>
      <c r="B299">
        <v>0.17739658846113127</v>
      </c>
      <c r="C299" s="1">
        <f t="shared" si="31"/>
        <v>84.719011350597498</v>
      </c>
      <c r="D299" s="1">
        <f t="shared" si="40"/>
        <v>272.49397470109949</v>
      </c>
      <c r="E299" s="1">
        <f t="shared" si="38"/>
        <v>326.69419778090287</v>
      </c>
      <c r="F299" s="1">
        <f t="shared" si="32"/>
        <v>17.481618034023107</v>
      </c>
      <c r="G299" s="1">
        <f t="shared" si="39"/>
        <v>13.036929864489593</v>
      </c>
      <c r="H299" s="1">
        <f t="shared" si="33"/>
        <v>5.0998483201377525</v>
      </c>
      <c r="I299" s="1">
        <f t="shared" si="34"/>
        <v>131.616545846219</v>
      </c>
      <c r="K299" s="112">
        <f>C299/'CGE-Flood Weighted Av Calcs'!$D$3</f>
        <v>1.4280334440188881E-2</v>
      </c>
      <c r="L299" s="112">
        <f>D299/'CGE-Flood Weighted Av Calcs'!$D$4</f>
        <v>1.3997191985198337E-2</v>
      </c>
      <c r="M299" s="112">
        <f>E299/'CGE-Flood Weighted Av Calcs'!$D$5</f>
        <v>1.3995076883335383E-2</v>
      </c>
      <c r="N299" s="112">
        <f>F299/'CGE-Flood Weighted Av Calcs'!$D$6</f>
        <v>4.8321767804959392E-3</v>
      </c>
      <c r="O299" s="112">
        <f>G299/'CGE-Flood Weighted Av Calcs'!$D$7</f>
        <v>2.1520543198946161E-2</v>
      </c>
      <c r="P299" s="112">
        <f>H299/'CGE-Flood Weighted Av Calcs'!$D$8</f>
        <v>5.1534962157436442E-2</v>
      </c>
      <c r="R299" s="1">
        <f t="shared" si="35"/>
        <v>0.22850094764968576</v>
      </c>
      <c r="S299" s="1">
        <f t="shared" si="36"/>
        <v>0.26506109927363547</v>
      </c>
      <c r="T299" s="1">
        <f t="shared" si="37"/>
        <v>6.3980265341912013</v>
      </c>
    </row>
    <row r="300" spans="1:20">
      <c r="A300">
        <v>247</v>
      </c>
      <c r="B300">
        <v>0.9714235853835419</v>
      </c>
      <c r="C300" s="1">
        <f t="shared" si="31"/>
        <v>2.9430531897772454</v>
      </c>
      <c r="D300" s="1">
        <f t="shared" si="40"/>
        <v>9.4661664324709136</v>
      </c>
      <c r="E300" s="1">
        <f t="shared" si="38"/>
        <v>11.349027633028641</v>
      </c>
      <c r="F300" s="1">
        <f t="shared" si="32"/>
        <v>0.6072938163145345</v>
      </c>
      <c r="G300" s="1">
        <f t="shared" si="39"/>
        <v>0.45288982261379296</v>
      </c>
      <c r="H300" s="1">
        <f t="shared" si="33"/>
        <v>0.17716359795380932</v>
      </c>
      <c r="I300" s="1">
        <f t="shared" si="34"/>
        <v>4.5722263386332713</v>
      </c>
      <c r="K300" s="112">
        <f>C300/'CGE-Flood Weighted Av Calcs'!$D$3</f>
        <v>4.9608444616235873E-4</v>
      </c>
      <c r="L300" s="112">
        <f>D300/'CGE-Flood Weighted Av Calcs'!$D$4</f>
        <v>4.8624836224168001E-4</v>
      </c>
      <c r="M300" s="112">
        <f>E300/'CGE-Flood Weighted Av Calcs'!$D$5</f>
        <v>4.8617488573168084E-4</v>
      </c>
      <c r="N300" s="112">
        <f>F300/'CGE-Flood Weighted Av Calcs'!$D$6</f>
        <v>1.6786495806180937E-4</v>
      </c>
      <c r="O300" s="112">
        <f>G300/'CGE-Flood Weighted Av Calcs'!$D$7</f>
        <v>7.4760201161094266E-4</v>
      </c>
      <c r="P300" s="112">
        <f>H300/'CGE-Flood Weighted Av Calcs'!$D$8</f>
        <v>1.7902727185380746E-3</v>
      </c>
      <c r="R300" s="1">
        <f t="shared" si="35"/>
        <v>7.9378929490161176E-3</v>
      </c>
      <c r="S300" s="1">
        <f t="shared" si="36"/>
        <v>9.2079558208587042E-3</v>
      </c>
      <c r="T300" s="1">
        <f t="shared" si="37"/>
        <v>0.22226100257245296</v>
      </c>
    </row>
    <row r="301" spans="1:20">
      <c r="A301">
        <v>248</v>
      </c>
      <c r="B301">
        <v>0.83348316433059844</v>
      </c>
      <c r="C301" s="1">
        <f t="shared" si="31"/>
        <v>17.149383886885374</v>
      </c>
      <c r="D301" s="1">
        <f t="shared" si="40"/>
        <v>55.160036743977258</v>
      </c>
      <c r="E301" s="1">
        <f t="shared" si="38"/>
        <v>66.13160519752978</v>
      </c>
      <c r="F301" s="1">
        <f t="shared" si="32"/>
        <v>3.5387450095313948</v>
      </c>
      <c r="G301" s="1">
        <f t="shared" si="39"/>
        <v>2.6390217660508117</v>
      </c>
      <c r="H301" s="1">
        <f t="shared" si="33"/>
        <v>1.0323451042764438</v>
      </c>
      <c r="I301" s="1">
        <f t="shared" si="34"/>
        <v>26.642693707104229</v>
      </c>
      <c r="K301" s="112">
        <f>C301/'CGE-Flood Weighted Av Calcs'!$D$3</f>
        <v>2.8907199628951082E-3</v>
      </c>
      <c r="L301" s="112">
        <f>D301/'CGE-Flood Weighted Av Calcs'!$D$4</f>
        <v>2.8334043901812886E-3</v>
      </c>
      <c r="M301" s="112">
        <f>E301/'CGE-Flood Weighted Av Calcs'!$D$5</f>
        <v>2.8329762372410056E-3</v>
      </c>
      <c r="N301" s="112">
        <f>F301/'CGE-Flood Weighted Av Calcs'!$D$6</f>
        <v>9.7816125680548569E-4</v>
      </c>
      <c r="O301" s="112">
        <f>G301/'CGE-Flood Weighted Av Calcs'!$D$7</f>
        <v>4.3563310157823864E-3</v>
      </c>
      <c r="P301" s="112">
        <f>H301/'CGE-Flood Weighted Av Calcs'!$D$8</f>
        <v>1.0432048669413028E-2</v>
      </c>
      <c r="R301" s="1">
        <f t="shared" si="35"/>
        <v>4.6254676574833758E-2</v>
      </c>
      <c r="S301" s="1">
        <f t="shared" si="36"/>
        <v>5.3655424826807158E-2</v>
      </c>
      <c r="T301" s="1">
        <f t="shared" si="37"/>
        <v>1.2951309440953462</v>
      </c>
    </row>
    <row r="302" spans="1:20">
      <c r="A302">
        <v>249</v>
      </c>
      <c r="B302">
        <v>0.96527838202279415</v>
      </c>
      <c r="C302" s="1">
        <f t="shared" si="31"/>
        <v>3.575940855896917</v>
      </c>
      <c r="D302" s="1">
        <f t="shared" si="40"/>
        <v>11.501814310449049</v>
      </c>
      <c r="E302" s="1">
        <f t="shared" si="38"/>
        <v>13.789574625636305</v>
      </c>
      <c r="F302" s="1">
        <f t="shared" si="32"/>
        <v>0.73788906596590209</v>
      </c>
      <c r="G302" s="1">
        <f t="shared" si="39"/>
        <v>0.55028132876767799</v>
      </c>
      <c r="H302" s="1">
        <f t="shared" si="33"/>
        <v>0.21526167121317741</v>
      </c>
      <c r="I302" s="1">
        <f t="shared" si="34"/>
        <v>5.5554588763529011</v>
      </c>
      <c r="K302" s="112">
        <f>C302/'CGE-Flood Weighted Av Calcs'!$D$3</f>
        <v>6.027647224212219E-4</v>
      </c>
      <c r="L302" s="112">
        <f>D302/'CGE-Flood Weighted Av Calcs'!$D$4</f>
        <v>5.9081344186803178E-4</v>
      </c>
      <c r="M302" s="112">
        <f>E302/'CGE-Flood Weighted Av Calcs'!$D$5</f>
        <v>5.9072416463207831E-4</v>
      </c>
      <c r="N302" s="112">
        <f>F302/'CGE-Flood Weighted Av Calcs'!$D$6</f>
        <v>2.0396340911938468E-4</v>
      </c>
      <c r="O302" s="112">
        <f>G302/'CGE-Flood Weighted Av Calcs'!$D$7</f>
        <v>9.083697795732482E-4</v>
      </c>
      <c r="P302" s="112">
        <f>H302/'CGE-Flood Weighted Av Calcs'!$D$8</f>
        <v>2.1752611810262577E-3</v>
      </c>
      <c r="R302" s="1">
        <f t="shared" si="35"/>
        <v>9.644893882557154E-3</v>
      </c>
      <c r="S302" s="1">
        <f t="shared" si="36"/>
        <v>1.1188076903766331E-2</v>
      </c>
      <c r="T302" s="1">
        <f t="shared" si="37"/>
        <v>0.27005702871160153</v>
      </c>
    </row>
    <row r="303" spans="1:20">
      <c r="A303">
        <v>250</v>
      </c>
      <c r="B303">
        <v>0.6222207916172946</v>
      </c>
      <c r="C303" s="1">
        <f t="shared" si="31"/>
        <v>38.907060916658857</v>
      </c>
      <c r="D303" s="1">
        <f t="shared" si="40"/>
        <v>125.1423913487796</v>
      </c>
      <c r="E303" s="1">
        <f t="shared" si="38"/>
        <v>150.03375100281949</v>
      </c>
      <c r="F303" s="1">
        <f t="shared" si="32"/>
        <v>8.0284031521184875</v>
      </c>
      <c r="G303" s="1">
        <f t="shared" si="39"/>
        <v>5.9871877199417813</v>
      </c>
      <c r="H303" s="1">
        <f t="shared" si="33"/>
        <v>2.3420966096521902</v>
      </c>
      <c r="I303" s="1">
        <f t="shared" si="34"/>
        <v>60.444673341232843</v>
      </c>
      <c r="K303" s="112">
        <f>C303/'CGE-Flood Weighted Av Calcs'!$D$3</f>
        <v>6.558219142518024E-3</v>
      </c>
      <c r="L303" s="112">
        <f>D303/'CGE-Flood Weighted Av Calcs'!$D$4</f>
        <v>6.4281864548274134E-3</v>
      </c>
      <c r="M303" s="112">
        <f>E303/'CGE-Flood Weighted Av Calcs'!$D$5</f>
        <v>6.4272150979180842E-3</v>
      </c>
      <c r="N303" s="112">
        <f>F303/'CGE-Flood Weighted Av Calcs'!$D$6</f>
        <v>2.2191689133479716E-3</v>
      </c>
      <c r="O303" s="112">
        <f>G303/'CGE-Flood Weighted Av Calcs'!$D$7</f>
        <v>9.8832726191283807E-3</v>
      </c>
      <c r="P303" s="112">
        <f>H303/'CGE-Flood Weighted Av Calcs'!$D$8</f>
        <v>2.3667343138594674E-2</v>
      </c>
      <c r="R303" s="1">
        <f t="shared" si="35"/>
        <v>0.10493866899519594</v>
      </c>
      <c r="S303" s="1">
        <f t="shared" si="36"/>
        <v>0.12172885603442729</v>
      </c>
      <c r="T303" s="1">
        <f t="shared" si="37"/>
        <v>2.9382827318654865</v>
      </c>
    </row>
    <row r="304" spans="1:20">
      <c r="A304">
        <v>251</v>
      </c>
      <c r="B304">
        <v>0.74802097813442081</v>
      </c>
      <c r="C304" s="1">
        <f t="shared" si="31"/>
        <v>25.951039485245047</v>
      </c>
      <c r="D304" s="1">
        <f t="shared" si="40"/>
        <v>83.470071052826597</v>
      </c>
      <c r="E304" s="1">
        <f t="shared" si="38"/>
        <v>100.07262704149662</v>
      </c>
      <c r="F304" s="1">
        <f t="shared" si="32"/>
        <v>5.3549510627487482</v>
      </c>
      <c r="G304" s="1">
        <f t="shared" si="39"/>
        <v>3.993458803238898</v>
      </c>
      <c r="H304" s="1">
        <f t="shared" si="33"/>
        <v>1.5621802357555721</v>
      </c>
      <c r="I304" s="1">
        <f t="shared" si="34"/>
        <v>40.316643498492652</v>
      </c>
      <c r="K304" s="112">
        <f>C304/'CGE-Flood Weighted Av Calcs'!$D$3</f>
        <v>4.3743372002562056E-3</v>
      </c>
      <c r="L304" s="112">
        <f>D304/'CGE-Flood Weighted Av Calcs'!$D$4</f>
        <v>4.2876052977909975E-3</v>
      </c>
      <c r="M304" s="112">
        <f>E304/'CGE-Flood Weighted Av Calcs'!$D$5</f>
        <v>4.2869574019871407E-3</v>
      </c>
      <c r="N304" s="112">
        <f>F304/'CGE-Flood Weighted Av Calcs'!$D$6</f>
        <v>1.4801873679968285E-3</v>
      </c>
      <c r="O304" s="112">
        <f>G304/'CGE-Flood Weighted Av Calcs'!$D$7</f>
        <v>6.592150420506938E-3</v>
      </c>
      <c r="P304" s="112">
        <f>H304/'CGE-Flood Weighted Av Calcs'!$D$8</f>
        <v>1.5786136033666187E-2</v>
      </c>
      <c r="R304" s="1">
        <f t="shared" si="35"/>
        <v>6.9994172740438648E-2</v>
      </c>
      <c r="S304" s="1">
        <f t="shared" si="36"/>
        <v>8.1193240378908849E-2</v>
      </c>
      <c r="T304" s="1">
        <f t="shared" si="37"/>
        <v>1.9598368367322827</v>
      </c>
    </row>
    <row r="305" spans="1:20">
      <c r="A305">
        <v>252</v>
      </c>
      <c r="B305">
        <v>0.18825440469813481</v>
      </c>
      <c r="C305" s="1">
        <f t="shared" si="31"/>
        <v>83.600776920588757</v>
      </c>
      <c r="D305" s="1">
        <f t="shared" si="40"/>
        <v>268.89723602789081</v>
      </c>
      <c r="E305" s="1">
        <f t="shared" si="38"/>
        <v>322.38205232241944</v>
      </c>
      <c r="F305" s="1">
        <f t="shared" si="32"/>
        <v>17.250872338738642</v>
      </c>
      <c r="G305" s="1">
        <f t="shared" si="39"/>
        <v>12.864851087793879</v>
      </c>
      <c r="H305" s="1">
        <f t="shared" si="33"/>
        <v>5.0325337246474922</v>
      </c>
      <c r="I305" s="1">
        <f t="shared" si="34"/>
        <v>129.87929524829843</v>
      </c>
      <c r="K305" s="112">
        <f>C305/'CGE-Flood Weighted Av Calcs'!$D$3</f>
        <v>1.4091843552624408E-2</v>
      </c>
      <c r="L305" s="112">
        <f>D305/'CGE-Flood Weighted Av Calcs'!$D$4</f>
        <v>1.3812438389142818E-2</v>
      </c>
      <c r="M305" s="112">
        <f>E305/'CGE-Flood Weighted Av Calcs'!$D$5</f>
        <v>1.3810351205213379E-2</v>
      </c>
      <c r="N305" s="112">
        <f>F305/'CGE-Flood Weighted Av Calcs'!$D$6</f>
        <v>4.7683952707533658E-3</v>
      </c>
      <c r="O305" s="112">
        <f>G305/'CGE-Flood Weighted Av Calcs'!$D$7</f>
        <v>2.1236486386031265E-2</v>
      </c>
      <c r="P305" s="112">
        <f>H305/'CGE-Flood Weighted Av Calcs'!$D$8</f>
        <v>5.0854735038222826E-2</v>
      </c>
      <c r="R305" s="1">
        <f t="shared" si="35"/>
        <v>0.22548488758385143</v>
      </c>
      <c r="S305" s="1">
        <f t="shared" si="36"/>
        <v>0.26156246959726764</v>
      </c>
      <c r="T305" s="1">
        <f t="shared" si="37"/>
        <v>6.3135768523478406</v>
      </c>
    </row>
    <row r="306" spans="1:20">
      <c r="A306">
        <v>253</v>
      </c>
      <c r="B306">
        <v>0.8207269421897474</v>
      </c>
      <c r="C306" s="1">
        <f t="shared" si="31"/>
        <v>18.463133031591468</v>
      </c>
      <c r="D306" s="1">
        <f t="shared" si="40"/>
        <v>59.385637591933914</v>
      </c>
      <c r="E306" s="1">
        <f t="shared" si="38"/>
        <v>71.197696220935939</v>
      </c>
      <c r="F306" s="1">
        <f t="shared" si="32"/>
        <v>3.8098348201198711</v>
      </c>
      <c r="G306" s="1">
        <f t="shared" si="39"/>
        <v>2.8411871972335216</v>
      </c>
      <c r="H306" s="1">
        <f t="shared" si="33"/>
        <v>1.1114291405736223</v>
      </c>
      <c r="I306" s="1">
        <f t="shared" si="34"/>
        <v>28.683689249640395</v>
      </c>
      <c r="K306" s="112">
        <f>C306/'CGE-Flood Weighted Av Calcs'!$D$3</f>
        <v>3.1121670366726379E-3</v>
      </c>
      <c r="L306" s="112">
        <f>D306/'CGE-Flood Weighted Av Calcs'!$D$4</f>
        <v>3.0504607356896412E-3</v>
      </c>
      <c r="M306" s="112">
        <f>E306/'CGE-Flood Weighted Av Calcs'!$D$5</f>
        <v>3.0499997835792656E-3</v>
      </c>
      <c r="N306" s="112">
        <f>F306/'CGE-Flood Weighted Av Calcs'!$D$6</f>
        <v>1.053094474406123E-3</v>
      </c>
      <c r="O306" s="112">
        <f>G306/'CGE-Flood Weighted Av Calcs'!$D$7</f>
        <v>4.6900529840927085E-3</v>
      </c>
      <c r="P306" s="112">
        <f>H306/'CGE-Flood Weighted Av Calcs'!$D$8</f>
        <v>1.1231208283972376E-2</v>
      </c>
      <c r="R306" s="1">
        <f t="shared" si="35"/>
        <v>4.979807161395905E-2</v>
      </c>
      <c r="S306" s="1">
        <f t="shared" si="36"/>
        <v>5.77657630721925E-2</v>
      </c>
      <c r="T306" s="1">
        <f t="shared" si="37"/>
        <v>1.3943460051908545</v>
      </c>
    </row>
    <row r="307" spans="1:20">
      <c r="A307">
        <v>254</v>
      </c>
      <c r="B307">
        <v>5.8469579288411344E-2</v>
      </c>
      <c r="C307" s="1">
        <f t="shared" si="31"/>
        <v>103.09337038825296</v>
      </c>
      <c r="D307" s="1">
        <f t="shared" si="40"/>
        <v>329.92201729485106</v>
      </c>
      <c r="E307" s="1">
        <f t="shared" si="38"/>
        <v>395.49075093395948</v>
      </c>
      <c r="F307" s="1">
        <f t="shared" si="32"/>
        <v>24.23829322625453</v>
      </c>
      <c r="G307" s="1">
        <f t="shared" si="39"/>
        <v>15.97802338491533</v>
      </c>
      <c r="H307" s="1">
        <f t="shared" si="33"/>
        <v>6.1336458767941835</v>
      </c>
      <c r="I307" s="1">
        <f t="shared" si="34"/>
        <v>211.83302049559481</v>
      </c>
      <c r="K307" s="112">
        <f>C307/'CGE-Flood Weighted Av Calcs'!$D$3</f>
        <v>1.7377537629871483E-2</v>
      </c>
      <c r="L307" s="112">
        <f>D307/'CGE-Flood Weighted Av Calcs'!$D$4</f>
        <v>1.6947096981815662E-2</v>
      </c>
      <c r="M307" s="112">
        <f>E307/'CGE-Flood Weighted Av Calcs'!$D$5</f>
        <v>1.6942215391535047E-2</v>
      </c>
      <c r="N307" s="112">
        <f>F307/'CGE-Flood Weighted Av Calcs'!$D$6</f>
        <v>6.6998213494203112E-3</v>
      </c>
      <c r="O307" s="112">
        <f>G307/'CGE-Flood Weighted Av Calcs'!$D$7</f>
        <v>2.6375515252670612E-2</v>
      </c>
      <c r="P307" s="112">
        <f>H307/'CGE-Flood Weighted Av Calcs'!$D$8</f>
        <v>6.1981688141494802E-2</v>
      </c>
      <c r="R307" s="1">
        <f t="shared" si="35"/>
        <v>0.27768694714105907</v>
      </c>
      <c r="S307" s="1">
        <f t="shared" si="36"/>
        <v>0.33153042071158861</v>
      </c>
      <c r="T307" s="1">
        <f t="shared" si="37"/>
        <v>7.692173678526478</v>
      </c>
    </row>
    <row r="308" spans="1:20">
      <c r="A308">
        <v>255</v>
      </c>
      <c r="B308">
        <v>0.95250139389408672</v>
      </c>
      <c r="C308" s="1">
        <f t="shared" si="31"/>
        <v>4.8918286666190198</v>
      </c>
      <c r="D308" s="1">
        <f t="shared" si="40"/>
        <v>15.734294058359467</v>
      </c>
      <c r="E308" s="1">
        <f t="shared" si="38"/>
        <v>18.863912791770872</v>
      </c>
      <c r="F308" s="1">
        <f t="shared" si="32"/>
        <v>1.009420186501206</v>
      </c>
      <c r="G308" s="1">
        <f t="shared" si="39"/>
        <v>0.75277586717685274</v>
      </c>
      <c r="H308" s="1">
        <f t="shared" si="33"/>
        <v>0.29447444924276311</v>
      </c>
      <c r="I308" s="1">
        <f t="shared" si="34"/>
        <v>7.5997769769460888</v>
      </c>
      <c r="K308" s="112">
        <f>C308/'CGE-Flood Weighted Av Calcs'!$D$3</f>
        <v>8.2457229221348982E-4</v>
      </c>
      <c r="L308" s="112">
        <f>D308/'CGE-Flood Weighted Av Calcs'!$D$4</f>
        <v>8.0822313567850907E-4</v>
      </c>
      <c r="M308" s="112">
        <f>E308/'CGE-Flood Weighted Av Calcs'!$D$5</f>
        <v>8.0810100587834673E-4</v>
      </c>
      <c r="N308" s="112">
        <f>F308/'CGE-Flood Weighted Av Calcs'!$D$6</f>
        <v>2.7901861129112467E-4</v>
      </c>
      <c r="O308" s="112">
        <f>G308/'CGE-Flood Weighted Av Calcs'!$D$7</f>
        <v>1.2426350173770659E-3</v>
      </c>
      <c r="P308" s="112">
        <f>H308/'CGE-Flood Weighted Av Calcs'!$D$8</f>
        <v>2.9757217559066192E-3</v>
      </c>
      <c r="R308" s="1">
        <f t="shared" si="35"/>
        <v>1.3194057251642549E-2</v>
      </c>
      <c r="S308" s="1">
        <f t="shared" si="36"/>
        <v>1.5305106411905411E-2</v>
      </c>
      <c r="T308" s="1">
        <f t="shared" si="37"/>
        <v>0.3694336030459926</v>
      </c>
    </row>
    <row r="309" spans="1:20">
      <c r="A309">
        <v>256</v>
      </c>
      <c r="B309">
        <v>0.18254299883270275</v>
      </c>
      <c r="C309" s="1">
        <f t="shared" si="31"/>
        <v>84.188988264663095</v>
      </c>
      <c r="D309" s="1">
        <f t="shared" si="40"/>
        <v>270.78918500788751</v>
      </c>
      <c r="E309" s="1">
        <f t="shared" si="38"/>
        <v>324.65031808844378</v>
      </c>
      <c r="F309" s="1">
        <f t="shared" si="32"/>
        <v>17.372248708415956</v>
      </c>
      <c r="G309" s="1">
        <f t="shared" si="39"/>
        <v>12.955367607237894</v>
      </c>
      <c r="H309" s="1">
        <f t="shared" si="33"/>
        <v>5.0679424078596842</v>
      </c>
      <c r="I309" s="1">
        <f t="shared" si="34"/>
        <v>130.79312018676757</v>
      </c>
      <c r="K309" s="112">
        <f>C309/'CGE-Flood Weighted Av Calcs'!$D$3</f>
        <v>1.4190993136418922E-2</v>
      </c>
      <c r="L309" s="112">
        <f>D309/'CGE-Flood Weighted Av Calcs'!$D$4</f>
        <v>1.390962209064764E-2</v>
      </c>
      <c r="M309" s="112">
        <f>E309/'CGE-Flood Weighted Av Calcs'!$D$5</f>
        <v>1.3907520221385004E-2</v>
      </c>
      <c r="N309" s="112">
        <f>F309/'CGE-Flood Weighted Av Calcs'!$D$6</f>
        <v>4.8019454875647691E-3</v>
      </c>
      <c r="O309" s="112">
        <f>G309/'CGE-Flood Weighted Av Calcs'!$D$7</f>
        <v>2.1385905358685179E-2</v>
      </c>
      <c r="P309" s="112">
        <f>H309/'CGE-Flood Weighted Av Calcs'!$D$8</f>
        <v>5.1212546689635957E-2</v>
      </c>
      <c r="R309" s="1">
        <f t="shared" si="35"/>
        <v>0.22707138921313813</v>
      </c>
      <c r="S309" s="1">
        <f t="shared" si="36"/>
        <v>0.26340281148724021</v>
      </c>
      <c r="T309" s="1">
        <f t="shared" si="37"/>
        <v>6.3579988979678674</v>
      </c>
    </row>
    <row r="310" spans="1:20">
      <c r="A310">
        <v>257</v>
      </c>
      <c r="B310">
        <v>0.27142654995974036</v>
      </c>
      <c r="C310" s="1">
        <f t="shared" si="31"/>
        <v>75.034970093590744</v>
      </c>
      <c r="D310" s="1">
        <f t="shared" si="40"/>
        <v>241.34579613736804</v>
      </c>
      <c r="E310" s="1">
        <f t="shared" si="38"/>
        <v>289.35051258794914</v>
      </c>
      <c r="F310" s="1">
        <f t="shared" si="32"/>
        <v>15.483333262024065</v>
      </c>
      <c r="G310" s="1">
        <f t="shared" si="39"/>
        <v>11.546707485123617</v>
      </c>
      <c r="H310" s="1">
        <f t="shared" si="33"/>
        <v>4.5168960317510409</v>
      </c>
      <c r="I310" s="1">
        <f t="shared" si="34"/>
        <v>116.57175200644154</v>
      </c>
      <c r="K310" s="112">
        <f>C310/'CGE-Flood Weighted Av Calcs'!$D$3</f>
        <v>1.2647981256670902E-2</v>
      </c>
      <c r="L310" s="112">
        <f>D310/'CGE-Flood Weighted Av Calcs'!$D$4</f>
        <v>1.2397204184278974E-2</v>
      </c>
      <c r="M310" s="112">
        <f>E310/'CGE-Flood Weighted Av Calcs'!$D$5</f>
        <v>1.2395330854993121E-2</v>
      </c>
      <c r="N310" s="112">
        <f>F310/'CGE-Flood Weighted Av Calcs'!$D$6</f>
        <v>4.2798214288757661E-3</v>
      </c>
      <c r="O310" s="112">
        <f>G310/'CGE-Flood Weighted Av Calcs'!$D$7</f>
        <v>1.9060577898485642E-2</v>
      </c>
      <c r="P310" s="112">
        <f>H310/'CGE-Flood Weighted Av Calcs'!$D$8</f>
        <v>4.564411556049517E-2</v>
      </c>
      <c r="R310" s="1">
        <f t="shared" si="35"/>
        <v>0.20238151390007211</v>
      </c>
      <c r="S310" s="1">
        <f t="shared" si="36"/>
        <v>0.23476255612408364</v>
      </c>
      <c r="T310" s="1">
        <f t="shared" si="37"/>
        <v>5.6666823892020197</v>
      </c>
    </row>
    <row r="311" spans="1:20">
      <c r="A311">
        <v>258</v>
      </c>
      <c r="B311">
        <v>0.62978278391468678</v>
      </c>
      <c r="C311" s="1">
        <f t="shared" ref="C311:C374" si="41">IF($B311&lt;=0.005,$F$5,IF(B311&lt;=0.01,$F$5+($B311-0.005)*SLOPE($E$5:$F$5,$E$4:$F$4),IF($B311&lt;=0.04,$E$5+($B311-0.01)*SLOPE($D$5:$E$5,$D$4:$E$4),IF($B311&lt;=0.1,$D$5+($B311-0.04)*SLOPE($C$5:$D$5,$C$4:$D$4),IF($B311&lt;=1,$C$5+($B311-0.1)*SLOPE($B$5:$C$5,$B$4:$C$4),)))))</f>
        <v>38.128259732164096</v>
      </c>
      <c r="D311" s="1">
        <f t="shared" si="40"/>
        <v>122.63742077745573</v>
      </c>
      <c r="E311" s="1">
        <f t="shared" si="38"/>
        <v>147.03053101543779</v>
      </c>
      <c r="F311" s="1">
        <f t="shared" ref="F311:F374" si="42">IF($B311&lt;=0.005,$F$26,IF($B311&lt;=0.01,$F$26+($B311-0.005)*SLOPE($E$26:$F$26,$E$25:$F$25),IF($B311&lt;=0.04,$E$26+($B311-0.01)*SLOPE($D$26:$E$26,$D$25:$E$25),IF($B311&lt;=0.1,$D$26+($B311-0.04)*SLOPE($C$26:$D$26,$C$25:$D$25),IF($B311&lt;=1,$C$26+($B311-0.1)*SLOPE($B$26:$C$26,$B$25:$C$25),)))))</f>
        <v>7.8676989062268596</v>
      </c>
      <c r="G311" s="1">
        <f t="shared" si="39"/>
        <v>5.8673424070801605</v>
      </c>
      <c r="H311" s="1">
        <f t="shared" ref="H311:H374" si="43">IF($B311&lt;=0.005,$F$40,IF($B311&lt;=0.01,$F$40+($B311-0.005)*SLOPE($E$40:$F$40,$E$39:$F$39),IF($B311&lt;=0.04,$E$40+($B311-0.01)*SLOPE($D$40:$E$40,$D$39:$E$39),IF($B311&lt;=0.1,$D$40+($B311-0.04)*SLOPE($C$40:$D$40,$C$39:$D$39),IF($B311&lt;=1,$C$40+($B311-0.1)*SLOPE($B$40:$C$40,$B$39:$C$39),)))))</f>
        <v>2.2952149493359446</v>
      </c>
      <c r="I311" s="1">
        <f t="shared" ref="I311:I374" si="44">IF($B311&lt;=0.005,$F$47,IF($B311&lt;=0.01,$F$47+($B311-0.005)*SLOPE($E$47:$F$47,$E$46:$F$46),IF($B311&lt;=0.04,$E$47+($B311-0.01)*SLOPE($D$47:$E$47,$D$46:$E$46),IF($B311&lt;=0.1,$D$47+($B311-0.04)*SLOPE($C$47:$D$47,$C$46:$D$46),IF($B311&lt;=1,$C$47+($B311-0.1)*SLOPE($B$47:$C$47,$B$46:$C$46),)))))</f>
        <v>59.234754573650093</v>
      </c>
      <c r="K311" s="112">
        <f>C311/'CGE-Flood Weighted Av Calcs'!$D$3</f>
        <v>6.4269435150089219E-3</v>
      </c>
      <c r="L311" s="112">
        <f>D311/'CGE-Flood Weighted Av Calcs'!$D$4</f>
        <v>6.2995136867687708E-3</v>
      </c>
      <c r="M311" s="112">
        <f>E311/'CGE-Flood Weighted Av Calcs'!$D$5</f>
        <v>6.2985617734743985E-3</v>
      </c>
      <c r="N311" s="112">
        <f>F311/'CGE-Flood Weighted Av Calcs'!$D$6</f>
        <v>2.1747478921351013E-3</v>
      </c>
      <c r="O311" s="112">
        <f>G311/'CGE-Flood Weighted Av Calcs'!$D$7</f>
        <v>9.6854395204281369E-3</v>
      </c>
      <c r="P311" s="112">
        <f>H311/'CGE-Flood Weighted Av Calcs'!$D$8</f>
        <v>2.3193594815387634E-2</v>
      </c>
      <c r="R311" s="1">
        <f t="shared" ref="R311:R374" si="45">IF($B311&lt;=0.005,$F$13,IF($B311&lt;=0.01,$F$13+($B311-0.005)*SLOPE($E$13:$F$13,$E$10:$F$10),IF($B311&lt;=0.04,$E$13+($B311-0.01)*SLOPE($D$13:$E$13,$D$10:$E$10),IF($B311&lt;=0.1,$D$13+($B311-0.04)*SLOPE($C$13:$D$13,$C$10:$D$10),IF($B311&lt;=1,$C$13+($B311-0.1)*SLOPE($B$13:$C$13,$B$10:$C$10),)))))</f>
        <v>0.10283811557925365</v>
      </c>
      <c r="S311" s="1">
        <f t="shared" ref="S311:S374" si="46">IF($B311&lt;=0.005,$F$21,IF($B311&lt;=0.01,$F$21+($B311-0.005)*SLOPE($E$21:$F$21,$E$18:$F$18),IF($B311&lt;=0.04,$E$21+($B311-0.01)*SLOPE($D$21:$E$21,$D$18:$E$18),IF($B311&lt;=0.1,$D$21+($B311-0.04)*SLOPE($C$21:$D$21,$C$18:$D$18),IF($B311&lt;=1,$C$21+($B311-0.1)*SLOPE($B$21:$C$21,$B$18:$C$18),)))))</f>
        <v>0.11929221407193424</v>
      </c>
      <c r="T311" s="1">
        <f t="shared" ref="T311:T374" si="47">IF($B311&lt;=0.005,$F$14,IF($B311&lt;=0.01,$F$14+($B311-0.005)*SLOPE($E$14:$F$14,$E$10:$F$10),IF($B311&lt;=0.04,$E$14+($B311-0.01)*SLOPE($D$14:$E$14,$D$10:$E$10),IF($B311&lt;=0.1,$D$14+($B311-0.04)*SLOPE($C$14:$D$14,$C$10:$D$10),IF($B311&lt;=1,$C$14+($B311-0.1)*SLOPE($B$14:$C$14,$B$10:$C$10),)))))</f>
        <v>2.8794672362191029</v>
      </c>
    </row>
    <row r="312" spans="1:20">
      <c r="A312">
        <v>259</v>
      </c>
      <c r="B312">
        <v>0.8700541401857691</v>
      </c>
      <c r="C312" s="1">
        <f t="shared" si="41"/>
        <v>13.382979717978969</v>
      </c>
      <c r="D312" s="1">
        <f t="shared" si="40"/>
        <v>43.045607810561023</v>
      </c>
      <c r="E312" s="1">
        <f t="shared" ref="E312:E375" si="48">IF($B312&lt;=0.005,$F$19,IF($B312&lt;=0.01,$F$19+($B312-0.005)*SLOPE($E$19:$F$19,$E$18:$F$18),IF($B312&lt;=0.04,$E$19+($B312-0.01)*SLOPE($D$19:$E$19,$D$18:$E$18),IF($B312&lt;=0.1,$D$19+($B312-0.04)*SLOPE($C$19:$D$19,$C$18:$D$18),IF($B312&lt;=1,$C$19+($B312-0.1)*SLOPE($B$19:$C$19,$B$18:$C$18),)))))</f>
        <v>51.607564266652616</v>
      </c>
      <c r="F312" s="1">
        <f t="shared" si="42"/>
        <v>2.761554176058457</v>
      </c>
      <c r="G312" s="1">
        <f t="shared" ref="G312:G375" si="49">IF($B312&lt;=0.005,$F$33,IF($B312&lt;=0.01,$F$33+($B312-0.005)*SLOPE($E$33:$F$33,$E$32:$F$32),IF($B312&lt;=0.04,$E$33+($B312-0.01)*SLOPE($D$33:$E$33,$D$32:$E$32),IF($B312&lt;=0.1,$D$33+($B312-0.04)*SLOPE($C$33:$D$33,$C$32:$D$32),IF($B312&lt;=1,$C$33+($B312-0.1)*SLOPE($B$33:$C$33,$B$32:$C$32),)))))</f>
        <v>2.0594311144537212</v>
      </c>
      <c r="H312" s="1">
        <f t="shared" si="43"/>
        <v>0.80561807255664153</v>
      </c>
      <c r="I312" s="1">
        <f t="shared" si="44"/>
        <v>20.791337570276923</v>
      </c>
      <c r="K312" s="112">
        <f>C312/'CGE-Flood Weighted Av Calcs'!$D$3</f>
        <v>2.2558505243658804E-3</v>
      </c>
      <c r="L312" s="112">
        <f>D312/'CGE-Flood Weighted Av Calcs'!$D$4</f>
        <v>2.2111227864942021E-3</v>
      </c>
      <c r="M312" s="112">
        <f>E312/'CGE-Flood Weighted Av Calcs'!$D$5</f>
        <v>2.2107886659127403E-3</v>
      </c>
      <c r="N312" s="112">
        <f>F312/'CGE-Flood Weighted Av Calcs'!$D$6</f>
        <v>7.6333426011598393E-4</v>
      </c>
      <c r="O312" s="112">
        <f>G312/'CGE-Flood Weighted Av Calcs'!$D$7</f>
        <v>3.3995792509842046E-3</v>
      </c>
      <c r="P312" s="112">
        <f>H312/'CGE-Flood Weighted Av Calcs'!$D$8</f>
        <v>8.1409277837957289E-3</v>
      </c>
      <c r="R312" s="1">
        <f t="shared" si="45"/>
        <v>3.6096072170619692E-2</v>
      </c>
      <c r="S312" s="1">
        <f t="shared" si="46"/>
        <v>4.1871443717918844E-2</v>
      </c>
      <c r="T312" s="1">
        <f t="shared" si="47"/>
        <v>1.0106900207773517</v>
      </c>
    </row>
    <row r="313" spans="1:20">
      <c r="A313">
        <v>260</v>
      </c>
      <c r="B313">
        <v>0.61896435160640884</v>
      </c>
      <c r="C313" s="1">
        <f t="shared" si="41"/>
        <v>39.242438055113304</v>
      </c>
      <c r="D313" s="1">
        <f t="shared" ref="D313:D376" si="50">IF($B313&lt;=0.005,$F$11,IF($B313&lt;=0.01,$F$11+($B313-0.005)*SLOPE($E$11:$F$11,$E$10:$F$10),IF($B313&lt;=0.04,$E$11+($B313-0.01)*SLOPE($D$11:$E$11,$D$10:$E$10),IF($B313&lt;=0.1,$D$11+($B313-0.04)*SLOPE($C$11:$D$11,$C$10:$D$10),IF($B313&lt;=1,$C$11+($B313-0.1)*SLOPE($B$11:$C$11,$B$10:$C$10),)))))</f>
        <v>126.22111320854182</v>
      </c>
      <c r="E313" s="1">
        <f t="shared" si="48"/>
        <v>151.32703527815184</v>
      </c>
      <c r="F313" s="1">
        <f t="shared" si="42"/>
        <v>8.0976076309991658</v>
      </c>
      <c r="G313" s="1">
        <f t="shared" si="49"/>
        <v>6.0387970123837071</v>
      </c>
      <c r="H313" s="1">
        <f t="shared" si="43"/>
        <v>2.3622853784880466</v>
      </c>
      <c r="I313" s="1">
        <f t="shared" si="44"/>
        <v>60.965703742974569</v>
      </c>
      <c r="K313" s="112">
        <f>C313/'CGE-Flood Weighted Av Calcs'!$D$3</f>
        <v>6.6147507004808903E-3</v>
      </c>
      <c r="L313" s="112">
        <f>D313/'CGE-Flood Weighted Av Calcs'!$D$4</f>
        <v>6.4835971367930758E-3</v>
      </c>
      <c r="M313" s="112">
        <f>E313/'CGE-Flood Weighted Av Calcs'!$D$5</f>
        <v>6.4826174068302973E-3</v>
      </c>
      <c r="N313" s="112">
        <f>F313/'CGE-Flood Weighted Av Calcs'!$D$6</f>
        <v>2.2382980508970649E-3</v>
      </c>
      <c r="O313" s="112">
        <f>G313/'CGE-Flood Weighted Av Calcs'!$D$7</f>
        <v>9.968465990497874E-3</v>
      </c>
      <c r="P313" s="112">
        <f>H313/'CGE-Flood Weighted Av Calcs'!$D$8</f>
        <v>2.3871354586121999E-2</v>
      </c>
      <c r="R313" s="1">
        <f t="shared" si="45"/>
        <v>0.10584323566488643</v>
      </c>
      <c r="S313" s="1">
        <f t="shared" si="46"/>
        <v>0.12277815337126827</v>
      </c>
      <c r="T313" s="1">
        <f t="shared" si="47"/>
        <v>2.9636105986168202</v>
      </c>
    </row>
    <row r="314" spans="1:20">
      <c r="A314">
        <v>261</v>
      </c>
      <c r="B314">
        <v>0.86960964291981313</v>
      </c>
      <c r="C314" s="1">
        <f t="shared" si="41"/>
        <v>13.428757997513927</v>
      </c>
      <c r="D314" s="1">
        <f t="shared" si="50"/>
        <v>43.192851093344785</v>
      </c>
      <c r="E314" s="1">
        <f t="shared" si="48"/>
        <v>51.784094871413458</v>
      </c>
      <c r="F314" s="1">
        <f t="shared" si="42"/>
        <v>2.7710004430099566</v>
      </c>
      <c r="G314" s="1">
        <f t="shared" si="49"/>
        <v>2.0664756751739155</v>
      </c>
      <c r="H314" s="1">
        <f t="shared" si="43"/>
        <v>0.80837379737286952</v>
      </c>
      <c r="I314" s="1">
        <f t="shared" si="44"/>
        <v>20.862457132829874</v>
      </c>
      <c r="K314" s="112">
        <f>C314/'CGE-Flood Weighted Av Calcs'!$D$3</f>
        <v>2.2635669640579145E-3</v>
      </c>
      <c r="L314" s="112">
        <f>D314/'CGE-Flood Weighted Av Calcs'!$D$4</f>
        <v>2.2186862289516576E-3</v>
      </c>
      <c r="M314" s="112">
        <f>E314/'CGE-Flood Weighted Av Calcs'!$D$5</f>
        <v>2.2183509654658731E-3</v>
      </c>
      <c r="N314" s="112">
        <f>F314/'CGE-Flood Weighted Av Calcs'!$D$6</f>
        <v>7.6594534747280441E-4</v>
      </c>
      <c r="O314" s="112">
        <f>G314/'CGE-Flood Weighted Av Calcs'!$D$7</f>
        <v>3.411207968394849E-3</v>
      </c>
      <c r="P314" s="112">
        <f>H314/'CGE-Flood Weighted Av Calcs'!$D$8</f>
        <v>8.1687749206526914E-3</v>
      </c>
      <c r="R314" s="1">
        <f t="shared" si="45"/>
        <v>3.6219543633385226E-2</v>
      </c>
      <c r="S314" s="1">
        <f t="shared" si="46"/>
        <v>4.2014670614726884E-2</v>
      </c>
      <c r="T314" s="1">
        <f t="shared" si="47"/>
        <v>1.0141472217347873</v>
      </c>
    </row>
    <row r="315" spans="1:20">
      <c r="A315">
        <v>262</v>
      </c>
      <c r="B315">
        <v>5.0081276153336685E-2</v>
      </c>
      <c r="C315" s="1">
        <f t="shared" si="41"/>
        <v>105.19464032358916</v>
      </c>
      <c r="D315" s="1">
        <f t="shared" si="50"/>
        <v>336.34291293820172</v>
      </c>
      <c r="E315" s="1">
        <f t="shared" si="48"/>
        <v>403.17784827406086</v>
      </c>
      <c r="F315" s="1">
        <f t="shared" si="42"/>
        <v>25.270788515510642</v>
      </c>
      <c r="G315" s="1">
        <f t="shared" si="49"/>
        <v>16.32431422257137</v>
      </c>
      <c r="H315" s="1">
        <f t="shared" si="43"/>
        <v>6.2455358320438812</v>
      </c>
      <c r="I315" s="1">
        <f t="shared" si="44"/>
        <v>225.53391561621675</v>
      </c>
      <c r="K315" s="112">
        <f>C315/'CGE-Flood Weighted Av Calcs'!$D$3</f>
        <v>1.7731730118043187E-2</v>
      </c>
      <c r="L315" s="112">
        <f>D315/'CGE-Flood Weighted Av Calcs'!$D$4</f>
        <v>1.7276918986634252E-2</v>
      </c>
      <c r="M315" s="112">
        <f>E315/'CGE-Flood Weighted Av Calcs'!$D$5</f>
        <v>1.7271518816619296E-2</v>
      </c>
      <c r="N315" s="112">
        <f>F315/'CGE-Flood Weighted Av Calcs'!$D$6</f>
        <v>6.9852182590773425E-3</v>
      </c>
      <c r="O315" s="112">
        <f>G315/'CGE-Flood Weighted Av Calcs'!$D$7</f>
        <v>2.6947150369882916E-2</v>
      </c>
      <c r="P315" s="112">
        <f>H315/'CGE-Flood Weighted Av Calcs'!$D$8</f>
        <v>6.3112357966873978E-2</v>
      </c>
      <c r="R315" s="1">
        <f t="shared" si="45"/>
        <v>0.28327914923110886</v>
      </c>
      <c r="S315" s="1">
        <f t="shared" si="46"/>
        <v>0.33991872384666327</v>
      </c>
      <c r="T315" s="1">
        <f t="shared" si="47"/>
        <v>7.8319787307777222</v>
      </c>
    </row>
    <row r="316" spans="1:20">
      <c r="A316">
        <v>263</v>
      </c>
      <c r="B316">
        <v>0.74615097514227435</v>
      </c>
      <c r="C316" s="1">
        <f t="shared" si="41"/>
        <v>26.143629015625109</v>
      </c>
      <c r="D316" s="1">
        <f t="shared" si="50"/>
        <v>84.089524535373783</v>
      </c>
      <c r="E316" s="1">
        <f t="shared" si="48"/>
        <v>100.81529248488971</v>
      </c>
      <c r="F316" s="1">
        <f t="shared" si="42"/>
        <v>5.3946915714466517</v>
      </c>
      <c r="G316" s="1">
        <f t="shared" si="49"/>
        <v>4.0230953176430777</v>
      </c>
      <c r="H316" s="1">
        <f t="shared" si="43"/>
        <v>1.573773588620849</v>
      </c>
      <c r="I316" s="1">
        <f t="shared" si="44"/>
        <v>40.615843977236082</v>
      </c>
      <c r="K316" s="112">
        <f>C316/'CGE-Flood Weighted Av Calcs'!$D$3</f>
        <v>4.4068003140208924E-3</v>
      </c>
      <c r="L316" s="112">
        <f>D316/'CGE-Flood Weighted Av Calcs'!$D$4</f>
        <v>4.3194247511591814E-3</v>
      </c>
      <c r="M316" s="112">
        <f>E316/'CGE-Flood Weighted Av Calcs'!$D$5</f>
        <v>4.3187720471491381E-3</v>
      </c>
      <c r="N316" s="112">
        <f>F316/'CGE-Flood Weighted Av Calcs'!$D$6</f>
        <v>1.4911722300960555E-3</v>
      </c>
      <c r="O316" s="112">
        <f>G316/'CGE-Flood Weighted Av Calcs'!$D$7</f>
        <v>6.6410725129881281E-3</v>
      </c>
      <c r="P316" s="112">
        <f>H316/'CGE-Flood Weighted Av Calcs'!$D$8</f>
        <v>1.5903289126010259E-2</v>
      </c>
      <c r="R316" s="1">
        <f t="shared" si="45"/>
        <v>7.0513618016034896E-2</v>
      </c>
      <c r="S316" s="1">
        <f t="shared" si="46"/>
        <v>8.1795796898600476E-2</v>
      </c>
      <c r="T316" s="1">
        <f t="shared" si="47"/>
        <v>1.9743813044489773</v>
      </c>
    </row>
    <row r="317" spans="1:20">
      <c r="A317">
        <v>264</v>
      </c>
      <c r="B317">
        <v>0.73718449743747672</v>
      </c>
      <c r="C317" s="1">
        <f t="shared" si="41"/>
        <v>27.067076591689215</v>
      </c>
      <c r="D317" s="1">
        <f t="shared" si="50"/>
        <v>87.059742157348268</v>
      </c>
      <c r="E317" s="1">
        <f t="shared" si="48"/>
        <v>104.37629916149623</v>
      </c>
      <c r="F317" s="1">
        <f t="shared" si="42"/>
        <v>5.5852433442050717</v>
      </c>
      <c r="G317" s="1">
        <f t="shared" si="49"/>
        <v>4.1651994462295097</v>
      </c>
      <c r="H317" s="1">
        <f t="shared" si="43"/>
        <v>1.6293625584925162</v>
      </c>
      <c r="I317" s="1">
        <f t="shared" si="44"/>
        <v>42.050480410003701</v>
      </c>
      <c r="K317" s="112">
        <f>C317/'CGE-Flood Weighted Av Calcs'!$D$3</f>
        <v>4.5624577044217794E-3</v>
      </c>
      <c r="L317" s="112">
        <f>D317/'CGE-Flood Weighted Av Calcs'!$D$4</f>
        <v>4.4719958542017331E-3</v>
      </c>
      <c r="M317" s="112">
        <f>E317/'CGE-Flood Weighted Av Calcs'!$D$5</f>
        <v>4.4713200953229284E-3</v>
      </c>
      <c r="N317" s="112">
        <f>F317/'CGE-Flood Weighted Av Calcs'!$D$6</f>
        <v>1.5438435474771776E-3</v>
      </c>
      <c r="O317" s="112">
        <f>G317/'CGE-Flood Weighted Av Calcs'!$D$7</f>
        <v>6.8756490635855823E-3</v>
      </c>
      <c r="P317" s="112">
        <f>H317/'CGE-Flood Weighted Av Calcs'!$D$8</f>
        <v>1.6465026510903671E-2</v>
      </c>
      <c r="R317" s="1">
        <f t="shared" si="45"/>
        <v>7.3004306267367564E-2</v>
      </c>
      <c r="S317" s="1">
        <f t="shared" si="46"/>
        <v>8.468499527014639E-2</v>
      </c>
      <c r="T317" s="1">
        <f t="shared" si="47"/>
        <v>2.0441205754862928</v>
      </c>
    </row>
    <row r="318" spans="1:20">
      <c r="A318">
        <v>265</v>
      </c>
      <c r="B318">
        <v>0.54797535464079172</v>
      </c>
      <c r="C318" s="1">
        <f t="shared" si="41"/>
        <v>46.553515975938915</v>
      </c>
      <c r="D318" s="1">
        <f t="shared" si="50"/>
        <v>149.73678755642442</v>
      </c>
      <c r="E318" s="1">
        <f t="shared" si="48"/>
        <v>179.52007835290379</v>
      </c>
      <c r="F318" s="1">
        <f t="shared" si="42"/>
        <v>9.6062356188770224</v>
      </c>
      <c r="G318" s="1">
        <f t="shared" si="49"/>
        <v>7.1638574748244039</v>
      </c>
      <c r="H318" s="1">
        <f t="shared" si="43"/>
        <v>2.8023918889219144</v>
      </c>
      <c r="I318" s="1">
        <f t="shared" si="44"/>
        <v>72.323943257473303</v>
      </c>
      <c r="K318" s="112">
        <f>C318/'CGE-Flood Weighted Av Calcs'!$D$3</f>
        <v>7.8471144422578906E-3</v>
      </c>
      <c r="L318" s="112">
        <f>D318/'CGE-Flood Weighted Av Calcs'!$D$4</f>
        <v>7.6915262620875597E-3</v>
      </c>
      <c r="M318" s="112">
        <f>E318/'CGE-Flood Weighted Av Calcs'!$D$5</f>
        <v>7.6903640031471179E-3</v>
      </c>
      <c r="N318" s="112">
        <f>F318/'CGE-Flood Weighted Av Calcs'!$D$6</f>
        <v>2.6553050532947724E-3</v>
      </c>
      <c r="O318" s="112">
        <f>G318/'CGE-Flood Weighted Av Calcs'!$D$7</f>
        <v>1.1825644983945598E-2</v>
      </c>
      <c r="P318" s="112">
        <f>H318/'CGE-Flood Weighted Av Calcs'!$D$8</f>
        <v>2.8318716730382429E-2</v>
      </c>
      <c r="R318" s="1">
        <f t="shared" si="45"/>
        <v>0.12556240148866896</v>
      </c>
      <c r="S318" s="1">
        <f t="shared" si="46"/>
        <v>0.14565238572685599</v>
      </c>
      <c r="T318" s="1">
        <f t="shared" si="47"/>
        <v>3.5157472416827313</v>
      </c>
    </row>
    <row r="319" spans="1:20">
      <c r="A319">
        <v>266</v>
      </c>
      <c r="B319">
        <v>8.0226863796198922E-3</v>
      </c>
      <c r="C319" s="1">
        <f t="shared" si="41"/>
        <v>150.82622827275182</v>
      </c>
      <c r="D319" s="1">
        <f t="shared" si="50"/>
        <v>479.13038227409589</v>
      </c>
      <c r="E319" s="1">
        <f t="shared" si="48"/>
        <v>574.33568165471377</v>
      </c>
      <c r="F319" s="1">
        <f t="shared" si="42"/>
        <v>31.094298213148068</v>
      </c>
      <c r="G319" s="1">
        <f t="shared" si="49"/>
        <v>21.511781331921867</v>
      </c>
      <c r="H319" s="1">
        <f t="shared" si="43"/>
        <v>8.0593719538695616</v>
      </c>
      <c r="I319" s="1">
        <f t="shared" si="44"/>
        <v>413.04717205596455</v>
      </c>
      <c r="K319" s="112">
        <f>C319/'CGE-Flood Weighted Av Calcs'!$D$3</f>
        <v>2.5423443306883883E-2</v>
      </c>
      <c r="L319" s="112">
        <f>D319/'CGE-Flood Weighted Av Calcs'!$D$4</f>
        <v>2.4611479773042226E-2</v>
      </c>
      <c r="M319" s="112">
        <f>E319/'CGE-Flood Weighted Av Calcs'!$D$5</f>
        <v>2.4603657108692039E-2</v>
      </c>
      <c r="N319" s="112">
        <f>F319/'CGE-Flood Weighted Av Calcs'!$D$6</f>
        <v>8.5949221370106871E-3</v>
      </c>
      <c r="O319" s="112">
        <f>G319/'CGE-Flood Weighted Av Calcs'!$D$7</f>
        <v>3.5510294544185063E-2</v>
      </c>
      <c r="P319" s="112">
        <f>H319/'CGE-Flood Weighted Av Calcs'!$D$8</f>
        <v>8.1441525822507937E-2</v>
      </c>
      <c r="R319" s="1">
        <f t="shared" si="45"/>
        <v>0.33395462724076025</v>
      </c>
      <c r="S319" s="1">
        <f t="shared" si="46"/>
        <v>0.39395462724076025</v>
      </c>
      <c r="T319" s="1">
        <f t="shared" si="47"/>
        <v>16.76823906853215</v>
      </c>
    </row>
    <row r="320" spans="1:20">
      <c r="A320">
        <v>267</v>
      </c>
      <c r="B320">
        <v>0.74967850691813209</v>
      </c>
      <c r="C320" s="1">
        <f t="shared" si="41"/>
        <v>25.780332437509273</v>
      </c>
      <c r="D320" s="1">
        <f t="shared" si="50"/>
        <v>82.921001355182113</v>
      </c>
      <c r="E320" s="1">
        <f t="shared" si="48"/>
        <v>99.414345020418807</v>
      </c>
      <c r="F320" s="1">
        <f t="shared" si="42"/>
        <v>5.3197259656110738</v>
      </c>
      <c r="G320" s="1">
        <f t="shared" si="49"/>
        <v>3.9671896604192849</v>
      </c>
      <c r="H320" s="1">
        <f t="shared" si="43"/>
        <v>1.5519041473457555</v>
      </c>
      <c r="I320" s="1">
        <f t="shared" si="44"/>
        <v>40.051438893098847</v>
      </c>
      <c r="K320" s="112">
        <f>C320/'CGE-Flood Weighted Av Calcs'!$D$3</f>
        <v>4.3455626230497289E-3</v>
      </c>
      <c r="L320" s="112">
        <f>D320/'CGE-Flood Weighted Av Calcs'!$D$4</f>
        <v>4.2594012467487129E-3</v>
      </c>
      <c r="M320" s="112">
        <f>E320/'CGE-Flood Weighted Av Calcs'!$D$5</f>
        <v>4.2587576128311679E-3</v>
      </c>
      <c r="N320" s="112">
        <f>F320/'CGE-Flood Weighted Av Calcs'!$D$6</f>
        <v>1.470450632178204E-3</v>
      </c>
      <c r="O320" s="112">
        <f>G320/'CGE-Flood Weighted Av Calcs'!$D$7</f>
        <v>6.5487869730752983E-3</v>
      </c>
      <c r="P320" s="112">
        <f>H320/'CGE-Flood Weighted Av Calcs'!$D$8</f>
        <v>1.5682294155617536E-2</v>
      </c>
      <c r="R320" s="1">
        <f t="shared" si="45"/>
        <v>6.9533748078296626E-2</v>
      </c>
      <c r="S320" s="1">
        <f t="shared" si="46"/>
        <v>8.0659147770824086E-2</v>
      </c>
      <c r="T320" s="1">
        <f t="shared" si="47"/>
        <v>1.9469449461923061</v>
      </c>
    </row>
    <row r="321" spans="1:20">
      <c r="A321">
        <v>268</v>
      </c>
      <c r="B321">
        <v>0.73471527199495135</v>
      </c>
      <c r="C321" s="1">
        <f t="shared" si="41"/>
        <v>27.321379376431082</v>
      </c>
      <c r="D321" s="1">
        <f t="shared" si="50"/>
        <v>87.87769288041676</v>
      </c>
      <c r="E321" s="1">
        <f t="shared" si="48"/>
        <v>105.35694379993379</v>
      </c>
      <c r="F321" s="1">
        <f t="shared" si="42"/>
        <v>5.6377182737040492</v>
      </c>
      <c r="G321" s="1">
        <f t="shared" si="49"/>
        <v>4.2043326645729593</v>
      </c>
      <c r="H321" s="1">
        <f t="shared" si="43"/>
        <v>1.6446708772381764</v>
      </c>
      <c r="I321" s="1">
        <f t="shared" si="44"/>
        <v>42.445556480807767</v>
      </c>
      <c r="K321" s="112">
        <f>C321/'CGE-Flood Weighted Av Calcs'!$D$3</f>
        <v>4.60532327564707E-3</v>
      </c>
      <c r="L321" s="112">
        <f>D321/'CGE-Flood Weighted Av Calcs'!$D$4</f>
        <v>4.5140115109434283E-3</v>
      </c>
      <c r="M321" s="112">
        <f>E321/'CGE-Flood Weighted Av Calcs'!$D$5</f>
        <v>4.5133294031202108E-3</v>
      </c>
      <c r="N321" s="112">
        <f>F321/'CGE-Flood Weighted Av Calcs'!$D$6</f>
        <v>1.5583483911014702E-3</v>
      </c>
      <c r="O321" s="112">
        <f>G321/'CGE-Flood Weighted Av Calcs'!$D$7</f>
        <v>6.9402477171510912E-3</v>
      </c>
      <c r="P321" s="112">
        <f>H321/'CGE-Flood Weighted Av Calcs'!$D$8</f>
        <v>1.6619720058187498E-2</v>
      </c>
      <c r="R321" s="1">
        <f t="shared" si="45"/>
        <v>7.3690202223624601E-2</v>
      </c>
      <c r="S321" s="1">
        <f t="shared" si="46"/>
        <v>8.5480634579404552E-2</v>
      </c>
      <c r="T321" s="1">
        <f t="shared" si="47"/>
        <v>2.0633256622614899</v>
      </c>
    </row>
    <row r="322" spans="1:20">
      <c r="A322">
        <v>269</v>
      </c>
      <c r="B322">
        <v>0.97930300124848491</v>
      </c>
      <c r="C322" s="1">
        <f t="shared" si="41"/>
        <v>2.1315609047532718</v>
      </c>
      <c r="D322" s="1">
        <f t="shared" si="50"/>
        <v>6.8560467596815329</v>
      </c>
      <c r="E322" s="1">
        <f t="shared" si="48"/>
        <v>8.2197439358408246</v>
      </c>
      <c r="F322" s="1">
        <f t="shared" si="42"/>
        <v>0.43984381969408304</v>
      </c>
      <c r="G322" s="1">
        <f t="shared" si="49"/>
        <v>0.3280138610465535</v>
      </c>
      <c r="H322" s="1">
        <f t="shared" si="43"/>
        <v>0.12831402451559093</v>
      </c>
      <c r="I322" s="1">
        <f t="shared" si="44"/>
        <v>3.3115198002423938</v>
      </c>
      <c r="K322" s="112">
        <f>C322/'CGE-Flood Weighted Av Calcs'!$D$3</f>
        <v>3.5929836897575693E-4</v>
      </c>
      <c r="L322" s="112">
        <f>D322/'CGE-Flood Weighted Av Calcs'!$D$4</f>
        <v>3.5217440260844113E-4</v>
      </c>
      <c r="M322" s="112">
        <f>E322/'CGE-Flood Weighted Av Calcs'!$D$5</f>
        <v>3.5212118588212837E-4</v>
      </c>
      <c r="N322" s="112">
        <f>F322/'CGE-Flood Weighted Av Calcs'!$D$6</f>
        <v>1.215793119626504E-4</v>
      </c>
      <c r="O322" s="112">
        <f>G322/'CGE-Flood Weighted Av Calcs'!$D$7</f>
        <v>5.414646346862007E-4</v>
      </c>
      <c r="P322" s="112">
        <f>H322/'CGE-Flood Weighted Av Calcs'!$D$8</f>
        <v>1.2966382493314499E-3</v>
      </c>
      <c r="R322" s="1">
        <f t="shared" si="45"/>
        <v>5.7491663198652732E-3</v>
      </c>
      <c r="S322" s="1">
        <f t="shared" si="46"/>
        <v>6.6690329310437613E-3</v>
      </c>
      <c r="T322" s="1">
        <f t="shared" si="47"/>
        <v>0.16097665695622965</v>
      </c>
    </row>
    <row r="323" spans="1:20">
      <c r="A323">
        <v>270</v>
      </c>
      <c r="B323">
        <v>0.48821430107579655</v>
      </c>
      <c r="C323" s="1">
        <f t="shared" si="41"/>
        <v>52.708240481427133</v>
      </c>
      <c r="D323" s="1">
        <f t="shared" si="50"/>
        <v>169.53311564092252</v>
      </c>
      <c r="E323" s="1">
        <f t="shared" si="48"/>
        <v>203.25398120219333</v>
      </c>
      <c r="F323" s="1">
        <f t="shared" si="42"/>
        <v>10.876252126320933</v>
      </c>
      <c r="G323" s="1">
        <f t="shared" si="49"/>
        <v>8.1109732453478465</v>
      </c>
      <c r="H323" s="1">
        <f t="shared" si="43"/>
        <v>3.1728891472094243</v>
      </c>
      <c r="I323" s="1">
        <f t="shared" si="44"/>
        <v>81.885711827872541</v>
      </c>
      <c r="K323" s="112">
        <f>C323/'CGE-Flood Weighted Av Calcs'!$D$3</f>
        <v>8.8845619162595795E-3</v>
      </c>
      <c r="L323" s="112">
        <f>D323/'CGE-Flood Weighted Av Calcs'!$D$4</f>
        <v>8.7084038099476142E-3</v>
      </c>
      <c r="M323" s="112">
        <f>E323/'CGE-Flood Weighted Av Calcs'!$D$5</f>
        <v>8.7070878916447672E-3</v>
      </c>
      <c r="N323" s="112">
        <f>F323/'CGE-Flood Weighted Av Calcs'!$D$6</f>
        <v>3.0063563270483324E-3</v>
      </c>
      <c r="O323" s="112">
        <f>G323/'CGE-Flood Weighted Av Calcs'!$D$7</f>
        <v>1.3389084080866054E-2</v>
      </c>
      <c r="P323" s="112">
        <f>H323/'CGE-Flood Weighted Av Calcs'!$D$8</f>
        <v>3.2062663802275938E-2</v>
      </c>
      <c r="R323" s="1">
        <f t="shared" si="45"/>
        <v>0.14216269414561206</v>
      </c>
      <c r="S323" s="1">
        <f t="shared" si="46"/>
        <v>0.16490872520890998</v>
      </c>
      <c r="T323" s="1">
        <f t="shared" si="47"/>
        <v>3.9805554360771382</v>
      </c>
    </row>
    <row r="324" spans="1:20">
      <c r="A324">
        <v>271</v>
      </c>
      <c r="B324">
        <v>0.6170878870593991</v>
      </c>
      <c r="C324" s="1">
        <f t="shared" si="41"/>
        <v>39.435693053849228</v>
      </c>
      <c r="D324" s="1">
        <f t="shared" si="50"/>
        <v>126.8427071329383</v>
      </c>
      <c r="E324" s="1">
        <f t="shared" si="48"/>
        <v>152.07226690648031</v>
      </c>
      <c r="F324" s="1">
        <f t="shared" si="42"/>
        <v>8.1374854579143783</v>
      </c>
      <c r="G324" s="1">
        <f t="shared" si="49"/>
        <v>6.0685359319522547</v>
      </c>
      <c r="H324" s="1">
        <f t="shared" si="43"/>
        <v>2.3739187906932835</v>
      </c>
      <c r="I324" s="1">
        <f t="shared" si="44"/>
        <v>61.265938070496119</v>
      </c>
      <c r="K324" s="112">
        <f>C324/'CGE-Flood Weighted Av Calcs'!$D$3</f>
        <v>6.6473259863605427E-3</v>
      </c>
      <c r="L324" s="112">
        <f>D324/'CGE-Flood Weighted Av Calcs'!$D$4</f>
        <v>6.515526538190498E-3</v>
      </c>
      <c r="M324" s="112">
        <f>E324/'CGE-Flood Weighted Av Calcs'!$D$5</f>
        <v>6.514541983407395E-3</v>
      </c>
      <c r="N324" s="112">
        <f>F324/'CGE-Flood Weighted Av Calcs'!$D$6</f>
        <v>2.2493208697746594E-3</v>
      </c>
      <c r="O324" s="112">
        <f>G324/'CGE-Flood Weighted Av Calcs'!$D$7</f>
        <v>1.0017557126978417E-2</v>
      </c>
      <c r="P324" s="112">
        <f>H324/'CGE-Flood Weighted Av Calcs'!$D$8</f>
        <v>2.3988912485911174E-2</v>
      </c>
      <c r="R324" s="1">
        <f t="shared" si="45"/>
        <v>0.10636447581683356</v>
      </c>
      <c r="S324" s="1">
        <f t="shared" si="46"/>
        <v>0.12338279194752694</v>
      </c>
      <c r="T324" s="1">
        <f t="shared" si="47"/>
        <v>2.9782053228713403</v>
      </c>
    </row>
    <row r="325" spans="1:20">
      <c r="A325">
        <v>272</v>
      </c>
      <c r="B325">
        <v>0.1786034756402185</v>
      </c>
      <c r="C325" s="1">
        <f t="shared" si="41"/>
        <v>84.594715381009053</v>
      </c>
      <c r="D325" s="1">
        <f t="shared" si="50"/>
        <v>272.09418364768038</v>
      </c>
      <c r="E325" s="1">
        <f t="shared" si="48"/>
        <v>326.21488656816871</v>
      </c>
      <c r="F325" s="1">
        <f t="shared" si="42"/>
        <v>17.4559697807105</v>
      </c>
      <c r="G325" s="1">
        <f t="shared" si="49"/>
        <v>13.017802660192352</v>
      </c>
      <c r="H325" s="1">
        <f t="shared" si="43"/>
        <v>5.0923660492566363</v>
      </c>
      <c r="I325" s="1">
        <f t="shared" si="44"/>
        <v>131.42344389756505</v>
      </c>
      <c r="K325" s="112">
        <f>C325/'CGE-Flood Weighted Av Calcs'!$D$3</f>
        <v>1.4259382967939695E-2</v>
      </c>
      <c r="L325" s="112">
        <f>D325/'CGE-Flood Weighted Av Calcs'!$D$4</f>
        <v>1.3976655926979765E-2</v>
      </c>
      <c r="M325" s="112">
        <f>E325/'CGE-Flood Weighted Av Calcs'!$D$5</f>
        <v>1.3974543928300295E-2</v>
      </c>
      <c r="N325" s="112">
        <f>F325/'CGE-Flood Weighted Av Calcs'!$D$6</f>
        <v>4.8250872254057726E-3</v>
      </c>
      <c r="O325" s="112">
        <f>G325/'CGE-Flood Weighted Av Calcs'!$D$7</f>
        <v>2.1488969214071466E-2</v>
      </c>
      <c r="P325" s="112">
        <f>H325/'CGE-Flood Weighted Av Calcs'!$D$8</f>
        <v>5.1459352350535441E-2</v>
      </c>
      <c r="R325" s="1">
        <f t="shared" si="45"/>
        <v>0.22816570121105043</v>
      </c>
      <c r="S325" s="1">
        <f t="shared" si="46"/>
        <v>0.26467221340481845</v>
      </c>
      <c r="T325" s="1">
        <f t="shared" si="47"/>
        <v>6.3886396339094116</v>
      </c>
    </row>
    <row r="326" spans="1:20">
      <c r="A326">
        <v>273</v>
      </c>
      <c r="B326">
        <v>0.92297566648196916</v>
      </c>
      <c r="C326" s="1">
        <f t="shared" si="41"/>
        <v>7.9326505264292138</v>
      </c>
      <c r="D326" s="1">
        <f t="shared" si="50"/>
        <v>25.514927964822334</v>
      </c>
      <c r="E326" s="1">
        <f t="shared" si="48"/>
        <v>30.589956831333666</v>
      </c>
      <c r="F326" s="1">
        <f t="shared" si="42"/>
        <v>1.6368883948201258</v>
      </c>
      <c r="G326" s="1">
        <f t="shared" si="49"/>
        <v>1.2207107578791945</v>
      </c>
      <c r="H326" s="1">
        <f t="shared" si="43"/>
        <v>0.47752344859209117</v>
      </c>
      <c r="I326" s="1">
        <f t="shared" si="44"/>
        <v>12.323893362884917</v>
      </c>
      <c r="K326" s="112">
        <f>C326/'CGE-Flood Weighted Av Calcs'!$D$3</f>
        <v>1.3371367383615085E-3</v>
      </c>
      <c r="L326" s="112">
        <f>D326/'CGE-Flood Weighted Av Calcs'!$D$4</f>
        <v>1.3106247417172085E-3</v>
      </c>
      <c r="M326" s="112">
        <f>E326/'CGE-Flood Weighted Av Calcs'!$D$5</f>
        <v>1.3104266945063278E-3</v>
      </c>
      <c r="N326" s="112">
        <f>F326/'CGE-Flood Weighted Av Calcs'!$D$6</f>
        <v>4.5246006853135584E-4</v>
      </c>
      <c r="O326" s="112">
        <f>G326/'CGE-Flood Weighted Av Calcs'!$D$7</f>
        <v>2.015072480363153E-3</v>
      </c>
      <c r="P326" s="112">
        <f>H326/'CGE-Flood Weighted Av Calcs'!$D$8</f>
        <v>4.8254676036751706E-3</v>
      </c>
      <c r="R326" s="1">
        <f t="shared" si="45"/>
        <v>2.1395648199452999E-2</v>
      </c>
      <c r="S326" s="1">
        <f t="shared" si="46"/>
        <v>2.4818951911365517E-2</v>
      </c>
      <c r="T326" s="1">
        <f t="shared" si="47"/>
        <v>0.59907814958468464</v>
      </c>
    </row>
    <row r="327" spans="1:20">
      <c r="A327">
        <v>274</v>
      </c>
      <c r="B327">
        <v>0.52799231368892086</v>
      </c>
      <c r="C327" s="1">
        <f t="shared" si="41"/>
        <v>48.611547160193254</v>
      </c>
      <c r="D327" s="1">
        <f t="shared" si="50"/>
        <v>156.35633007133271</v>
      </c>
      <c r="E327" s="1">
        <f t="shared" si="48"/>
        <v>187.45627633290198</v>
      </c>
      <c r="F327" s="1">
        <f t="shared" si="42"/>
        <v>10.030906710898552</v>
      </c>
      <c r="G327" s="1">
        <f t="shared" si="49"/>
        <v>7.4805562627389905</v>
      </c>
      <c r="H327" s="1">
        <f t="shared" si="43"/>
        <v>2.9262796292353124</v>
      </c>
      <c r="I327" s="1">
        <f t="shared" si="44"/>
        <v>75.521229809772649</v>
      </c>
      <c r="K327" s="112">
        <f>C327/'CGE-Flood Weighted Av Calcs'!$D$3</f>
        <v>8.1940185565878634E-3</v>
      </c>
      <c r="L327" s="112">
        <f>D327/'CGE-Flood Weighted Av Calcs'!$D$4</f>
        <v>8.0315521563738019E-3</v>
      </c>
      <c r="M327" s="112">
        <f>E327/'CGE-Flood Weighted Av Calcs'!$D$5</f>
        <v>8.0303385164561449E-3</v>
      </c>
      <c r="N327" s="112">
        <f>F327/'CGE-Flood Weighted Av Calcs'!$D$6</f>
        <v>2.772690399789615E-3</v>
      </c>
      <c r="O327" s="112">
        <f>G327/'CGE-Flood Weighted Av Calcs'!$D$7</f>
        <v>1.2348431408143071E-2</v>
      </c>
      <c r="P327" s="112">
        <f>H327/'CGE-Flood Weighted Av Calcs'!$D$8</f>
        <v>2.9570626514367693E-2</v>
      </c>
      <c r="R327" s="1">
        <f t="shared" si="45"/>
        <v>0.13111324619752196</v>
      </c>
      <c r="S327" s="1">
        <f t="shared" si="46"/>
        <v>0.15209136558912548</v>
      </c>
      <c r="T327" s="1">
        <f t="shared" si="47"/>
        <v>3.6711708935306158</v>
      </c>
    </row>
    <row r="328" spans="1:20">
      <c r="A328">
        <v>275</v>
      </c>
      <c r="B328">
        <v>0.26538302489779642</v>
      </c>
      <c r="C328" s="1">
        <f t="shared" si="41"/>
        <v>75.657386024692499</v>
      </c>
      <c r="D328" s="1">
        <f t="shared" si="50"/>
        <v>243.34776226373509</v>
      </c>
      <c r="E328" s="1">
        <f t="shared" si="48"/>
        <v>291.75067838374503</v>
      </c>
      <c r="F328" s="1">
        <f t="shared" si="42"/>
        <v>15.611767687690142</v>
      </c>
      <c r="G328" s="1">
        <f t="shared" si="49"/>
        <v>11.642487555156945</v>
      </c>
      <c r="H328" s="1">
        <f t="shared" si="43"/>
        <v>4.5543637357533955</v>
      </c>
      <c r="I328" s="1">
        <f t="shared" si="44"/>
        <v>117.53871601635257</v>
      </c>
      <c r="K328" s="112">
        <f>C328/'CGE-Flood Weighted Av Calcs'!$D$3</f>
        <v>1.2752896405175783E-2</v>
      </c>
      <c r="L328" s="112">
        <f>D328/'CGE-Flood Weighted Av Calcs'!$D$4</f>
        <v>1.2500039134113594E-2</v>
      </c>
      <c r="M328" s="112">
        <f>E328/'CGE-Flood Weighted Av Calcs'!$D$5</f>
        <v>1.2498150265539992E-2</v>
      </c>
      <c r="N328" s="112">
        <f>F328/'CGE-Flood Weighted Av Calcs'!$D$6</f>
        <v>4.3153225963484844E-3</v>
      </c>
      <c r="O328" s="112">
        <f>G328/'CGE-Flood Weighted Av Calcs'!$D$7</f>
        <v>1.9218685609133437E-2</v>
      </c>
      <c r="P328" s="112">
        <f>H328/'CGE-Flood Weighted Av Calcs'!$D$8</f>
        <v>4.6022734018668299E-2</v>
      </c>
      <c r="R328" s="1">
        <f t="shared" si="45"/>
        <v>0.20406027086172321</v>
      </c>
      <c r="S328" s="1">
        <f t="shared" si="46"/>
        <v>0.23670991419959891</v>
      </c>
      <c r="T328" s="1">
        <f t="shared" si="47"/>
        <v>5.71368758412825</v>
      </c>
    </row>
    <row r="329" spans="1:20">
      <c r="A329">
        <v>276</v>
      </c>
      <c r="B329">
        <v>0.35422413767714278</v>
      </c>
      <c r="C329" s="1">
        <f t="shared" si="41"/>
        <v>66.507738531895157</v>
      </c>
      <c r="D329" s="1">
        <f t="shared" si="50"/>
        <v>213.91843143610717</v>
      </c>
      <c r="E329" s="1">
        <f t="shared" si="48"/>
        <v>256.46772713131162</v>
      </c>
      <c r="F329" s="1">
        <f t="shared" si="42"/>
        <v>13.723754123023909</v>
      </c>
      <c r="G329" s="1">
        <f t="shared" si="49"/>
        <v>10.234500012021376</v>
      </c>
      <c r="H329" s="1">
        <f t="shared" si="43"/>
        <v>4.003580462293181</v>
      </c>
      <c r="I329" s="1">
        <f t="shared" si="44"/>
        <v>103.32413797165714</v>
      </c>
      <c r="K329" s="112">
        <f>C329/'CGE-Flood Weighted Av Calcs'!$D$3</f>
        <v>1.1210621252007813E-2</v>
      </c>
      <c r="L329" s="112">
        <f>D329/'CGE-Flood Weighted Av Calcs'!$D$4</f>
        <v>1.0988343346923911E-2</v>
      </c>
      <c r="M329" s="112">
        <f>E329/'CGE-Flood Weighted Av Calcs'!$D$5</f>
        <v>1.0986682909208375E-2</v>
      </c>
      <c r="N329" s="112">
        <f>F329/'CGE-Flood Weighted Av Calcs'!$D$6</f>
        <v>3.7934478310558358E-3</v>
      </c>
      <c r="O329" s="112">
        <f>G329/'CGE-Flood Weighted Av Calcs'!$D$7</f>
        <v>1.6894468399975861E-2</v>
      </c>
      <c r="P329" s="112">
        <f>H329/'CGE-Flood Weighted Av Calcs'!$D$8</f>
        <v>4.0456961593116153E-2</v>
      </c>
      <c r="R329" s="1">
        <f t="shared" si="45"/>
        <v>0.17938218397857145</v>
      </c>
      <c r="S329" s="1">
        <f t="shared" si="46"/>
        <v>0.20808333341514285</v>
      </c>
      <c r="T329" s="1">
        <f t="shared" si="47"/>
        <v>5.0227011514000006</v>
      </c>
    </row>
    <row r="330" spans="1:20">
      <c r="A330">
        <v>277</v>
      </c>
      <c r="B330">
        <v>0.65480276261789072</v>
      </c>
      <c r="C330" s="1">
        <f t="shared" si="41"/>
        <v>35.55147992549746</v>
      </c>
      <c r="D330" s="1">
        <f t="shared" si="50"/>
        <v>114.34935225240713</v>
      </c>
      <c r="E330" s="1">
        <f t="shared" si="48"/>
        <v>137.0939300285207</v>
      </c>
      <c r="F330" s="1">
        <f t="shared" si="42"/>
        <v>7.3359849541894295</v>
      </c>
      <c r="G330" s="1">
        <f t="shared" si="49"/>
        <v>5.4708163253872915</v>
      </c>
      <c r="H330" s="1">
        <f t="shared" si="43"/>
        <v>2.1400999880197551</v>
      </c>
      <c r="I330" s="1">
        <f t="shared" si="44"/>
        <v>55.23155798113747</v>
      </c>
      <c r="K330" s="112">
        <f>C330/'CGE-Flood Weighted Av Calcs'!$D$3</f>
        <v>5.9925985335071361E-3</v>
      </c>
      <c r="L330" s="112">
        <f>D330/'CGE-Flood Weighted Av Calcs'!$D$4</f>
        <v>5.8737806537399236E-3</v>
      </c>
      <c r="M330" s="112">
        <f>E330/'CGE-Flood Weighted Av Calcs'!$D$5</f>
        <v>5.8728930725438916E-3</v>
      </c>
      <c r="N330" s="112">
        <f>F330/'CGE-Flood Weighted Av Calcs'!$D$6</f>
        <v>2.0277743220742236E-3</v>
      </c>
      <c r="O330" s="112">
        <f>G330/'CGE-Flood Weighted Av Calcs'!$D$7</f>
        <v>9.0308792244627543E-3</v>
      </c>
      <c r="P330" s="112">
        <f>H330/'CGE-Flood Weighted Av Calcs'!$D$8</f>
        <v>2.1626127871338184E-2</v>
      </c>
      <c r="R330" s="1">
        <f t="shared" si="45"/>
        <v>9.5888121495030343E-2</v>
      </c>
      <c r="S330" s="1">
        <f t="shared" si="46"/>
        <v>0.11123022093423521</v>
      </c>
      <c r="T330" s="1">
        <f t="shared" si="47"/>
        <v>2.68486740186085</v>
      </c>
    </row>
    <row r="331" spans="1:20">
      <c r="A331">
        <v>278</v>
      </c>
      <c r="B331">
        <v>0.79264819173439816</v>
      </c>
      <c r="C331" s="1">
        <f t="shared" si="41"/>
        <v>21.354932342376273</v>
      </c>
      <c r="D331" s="1">
        <f t="shared" si="50"/>
        <v>68.686948781374412</v>
      </c>
      <c r="E331" s="1">
        <f t="shared" si="48"/>
        <v>82.349078194346362</v>
      </c>
      <c r="F331" s="1">
        <f t="shared" si="42"/>
        <v>4.4065524892270265</v>
      </c>
      <c r="G331" s="1">
        <f t="shared" si="49"/>
        <v>3.2861898500721392</v>
      </c>
      <c r="H331" s="1">
        <f t="shared" si="43"/>
        <v>1.2855073978876739</v>
      </c>
      <c r="I331" s="1">
        <f t="shared" si="44"/>
        <v>33.176289322496274</v>
      </c>
      <c r="K331" s="112">
        <f>C331/'CGE-Flood Weighted Av Calcs'!$D$3</f>
        <v>3.5996120697717343E-3</v>
      </c>
      <c r="L331" s="112">
        <f>D331/'CGE-Flood Weighted Av Calcs'!$D$4</f>
        <v>3.5282409823005284E-3</v>
      </c>
      <c r="M331" s="112">
        <f>E331/'CGE-Flood Weighted Av Calcs'!$D$5</f>
        <v>3.5277078332887481E-3</v>
      </c>
      <c r="N331" s="112">
        <f>F331/'CGE-Flood Weighted Av Calcs'!$D$6</f>
        <v>1.2180360295619118E-3</v>
      </c>
      <c r="O331" s="112">
        <f>G331/'CGE-Flood Weighted Av Calcs'!$D$7</f>
        <v>5.4246353523038334E-3</v>
      </c>
      <c r="P331" s="112">
        <f>H331/'CGE-Flood Weighted Av Calcs'!$D$8</f>
        <v>1.2990303033455006E-2</v>
      </c>
      <c r="R331" s="1">
        <f t="shared" si="45"/>
        <v>5.7597724518222732E-2</v>
      </c>
      <c r="S331" s="1">
        <f t="shared" si="46"/>
        <v>6.6813360441138364E-2</v>
      </c>
      <c r="T331" s="1">
        <f t="shared" si="47"/>
        <v>1.6127362865102368</v>
      </c>
    </row>
    <row r="332" spans="1:20">
      <c r="A332">
        <v>279</v>
      </c>
      <c r="B332">
        <v>0.37577961217841449</v>
      </c>
      <c r="C332" s="1">
        <f t="shared" si="41"/>
        <v>64.287764163536394</v>
      </c>
      <c r="D332" s="1">
        <f t="shared" si="50"/>
        <v>206.77800770210933</v>
      </c>
      <c r="E332" s="1">
        <f t="shared" si="48"/>
        <v>247.90704241836363</v>
      </c>
      <c r="F332" s="1">
        <f t="shared" si="42"/>
        <v>13.265666341612427</v>
      </c>
      <c r="G332" s="1">
        <f t="shared" si="49"/>
        <v>9.8928807027321461</v>
      </c>
      <c r="H332" s="1">
        <f t="shared" si="43"/>
        <v>3.8699441937303818</v>
      </c>
      <c r="I332" s="1">
        <f t="shared" si="44"/>
        <v>99.87526205145366</v>
      </c>
      <c r="K332" s="112">
        <f>C332/'CGE-Flood Weighted Av Calcs'!$D$3</f>
        <v>1.0836419807451101E-2</v>
      </c>
      <c r="L332" s="112">
        <f>D332/'CGE-Flood Weighted Av Calcs'!$D$4</f>
        <v>1.0621561358551267E-2</v>
      </c>
      <c r="M332" s="112">
        <f>E332/'CGE-Flood Weighted Av Calcs'!$D$5</f>
        <v>1.0619956344899909E-2</v>
      </c>
      <c r="N332" s="112">
        <f>F332/'CGE-Flood Weighted Av Calcs'!$D$6</f>
        <v>3.6668256192870291E-3</v>
      </c>
      <c r="O332" s="112">
        <f>G332/'CGE-Flood Weighted Av Calcs'!$D$7</f>
        <v>1.6330544747737909E-2</v>
      </c>
      <c r="P332" s="112">
        <f>H332/'CGE-Flood Weighted Av Calcs'!$D$8</f>
        <v>3.9106541029420086E-2</v>
      </c>
      <c r="R332" s="1">
        <f t="shared" si="45"/>
        <v>0.17339455217266264</v>
      </c>
      <c r="S332" s="1">
        <f t="shared" si="46"/>
        <v>0.20113768052028863</v>
      </c>
      <c r="T332" s="1">
        <f t="shared" si="47"/>
        <v>4.8550474608345535</v>
      </c>
    </row>
    <row r="333" spans="1:20">
      <c r="A333">
        <v>280</v>
      </c>
      <c r="B333">
        <v>0.60114856898560443</v>
      </c>
      <c r="C333" s="1">
        <f t="shared" si="41"/>
        <v>41.077265711915928</v>
      </c>
      <c r="D333" s="1">
        <f t="shared" si="50"/>
        <v>132.12273402685565</v>
      </c>
      <c r="E333" s="1">
        <f t="shared" si="48"/>
        <v>158.40251384959907</v>
      </c>
      <c r="F333" s="1">
        <f t="shared" si="42"/>
        <v>8.4762210702158267</v>
      </c>
      <c r="G333" s="1">
        <f t="shared" si="49"/>
        <v>6.3211482709007578</v>
      </c>
      <c r="H333" s="1">
        <f t="shared" si="43"/>
        <v>2.4727368886521952</v>
      </c>
      <c r="I333" s="1">
        <f t="shared" si="44"/>
        <v>63.816228962303271</v>
      </c>
      <c r="K333" s="112">
        <f>C333/'CGE-Flood Weighted Av Calcs'!$D$3</f>
        <v>6.9240313703274317E-3</v>
      </c>
      <c r="L333" s="112">
        <f>D333/'CGE-Flood Weighted Av Calcs'!$D$4</f>
        <v>6.7867455631331194E-3</v>
      </c>
      <c r="M333" s="112">
        <f>E333/'CGE-Flood Weighted Av Calcs'!$D$5</f>
        <v>6.7857200247109029E-3</v>
      </c>
      <c r="N333" s="112">
        <f>F333/'CGE-Flood Weighted Av Calcs'!$D$6</f>
        <v>2.3429523835913151E-3</v>
      </c>
      <c r="O333" s="112">
        <f>G333/'CGE-Flood Weighted Av Calcs'!$D$7</f>
        <v>1.0434553675202228E-2</v>
      </c>
      <c r="P333" s="112">
        <f>H333/'CGE-Flood Weighted Av Calcs'!$D$8</f>
        <v>2.4987488643298694E-2</v>
      </c>
      <c r="R333" s="1">
        <f t="shared" si="45"/>
        <v>0.11079206417066542</v>
      </c>
      <c r="S333" s="1">
        <f t="shared" si="46"/>
        <v>0.1285187944379719</v>
      </c>
      <c r="T333" s="1">
        <f t="shared" si="47"/>
        <v>3.1021777967786326</v>
      </c>
    </row>
    <row r="334" spans="1:20">
      <c r="A334">
        <v>281</v>
      </c>
      <c r="B334">
        <v>0.10865650919845293</v>
      </c>
      <c r="C334" s="1">
        <f t="shared" si="41"/>
        <v>91.798475735994884</v>
      </c>
      <c r="D334" s="1">
        <f t="shared" si="50"/>
        <v>295.26467703080988</v>
      </c>
      <c r="E334" s="1">
        <f t="shared" si="48"/>
        <v>353.994090700269</v>
      </c>
      <c r="F334" s="1">
        <f t="shared" si="42"/>
        <v>18.942452978836407</v>
      </c>
      <c r="G334" s="1">
        <f t="shared" si="49"/>
        <v>14.126348628934688</v>
      </c>
      <c r="H334" s="1">
        <f t="shared" si="43"/>
        <v>5.526012341385969</v>
      </c>
      <c r="I334" s="1">
        <f t="shared" si="44"/>
        <v>142.61495852824754</v>
      </c>
      <c r="K334" s="112">
        <f>C334/'CGE-Flood Weighted Av Calcs'!$D$3</f>
        <v>1.5473657136820749E-2</v>
      </c>
      <c r="L334" s="112">
        <f>D334/'CGE-Flood Weighted Av Calcs'!$D$4</f>
        <v>1.5166854149275074E-2</v>
      </c>
      <c r="M334" s="112">
        <f>E334/'CGE-Flood Weighted Av Calcs'!$D$5</f>
        <v>1.5164562300917188E-2</v>
      </c>
      <c r="N334" s="112">
        <f>F334/'CGE-Flood Weighted Av Calcs'!$D$6</f>
        <v>5.2359730816578503E-3</v>
      </c>
      <c r="O334" s="112">
        <f>G334/'CGE-Flood Weighted Av Calcs'!$D$7</f>
        <v>2.3318887120841691E-2</v>
      </c>
      <c r="P334" s="112">
        <f>H334/'CGE-Flood Weighted Av Calcs'!$D$8</f>
        <v>5.5841432728564046E-2</v>
      </c>
      <c r="R334" s="1">
        <f t="shared" si="45"/>
        <v>0.24759541411154085</v>
      </c>
      <c r="S334" s="1">
        <f t="shared" si="46"/>
        <v>0.28721068036938735</v>
      </c>
      <c r="T334" s="1">
        <f t="shared" si="47"/>
        <v>6.9326715951231437</v>
      </c>
    </row>
    <row r="335" spans="1:20">
      <c r="A335">
        <v>282</v>
      </c>
      <c r="B335">
        <v>0.55666253728252524</v>
      </c>
      <c r="C335" s="1">
        <f t="shared" si="41"/>
        <v>45.658832688091934</v>
      </c>
      <c r="D335" s="1">
        <f t="shared" si="50"/>
        <v>146.85908866313639</v>
      </c>
      <c r="E335" s="1">
        <f t="shared" si="48"/>
        <v>176.06999277787793</v>
      </c>
      <c r="F335" s="1">
        <f t="shared" si="42"/>
        <v>9.4216193060775399</v>
      </c>
      <c r="G335" s="1">
        <f t="shared" si="49"/>
        <v>7.0261797199893934</v>
      </c>
      <c r="H335" s="1">
        <f t="shared" si="43"/>
        <v>2.748534449017435</v>
      </c>
      <c r="I335" s="1">
        <f t="shared" si="44"/>
        <v>70.933994034795944</v>
      </c>
      <c r="K335" s="112">
        <f>C335/'CGE-Flood Weighted Av Calcs'!$D$3</f>
        <v>7.696305593514018E-3</v>
      </c>
      <c r="L335" s="112">
        <f>D335/'CGE-Flood Weighted Av Calcs'!$D$4</f>
        <v>7.543707566539784E-3</v>
      </c>
      <c r="M335" s="112">
        <f>E335/'CGE-Flood Weighted Av Calcs'!$D$5</f>
        <v>7.5425676443365E-3</v>
      </c>
      <c r="N335" s="112">
        <f>F335/'CGE-Flood Weighted Av Calcs'!$D$6</f>
        <v>2.6042743844931653E-3</v>
      </c>
      <c r="O335" s="112">
        <f>G335/'CGE-Flood Weighted Av Calcs'!$D$7</f>
        <v>1.1598375212514887E-2</v>
      </c>
      <c r="P335" s="112">
        <f>H335/'CGE-Flood Weighted Av Calcs'!$D$8</f>
        <v>2.7774476793595685E-2</v>
      </c>
      <c r="R335" s="1">
        <f t="shared" si="45"/>
        <v>0.12314929519929854</v>
      </c>
      <c r="S335" s="1">
        <f t="shared" si="46"/>
        <v>0.1428531824311863</v>
      </c>
      <c r="T335" s="1">
        <f t="shared" si="47"/>
        <v>3.4481802655803597</v>
      </c>
    </row>
    <row r="336" spans="1:20">
      <c r="A336">
        <v>283</v>
      </c>
      <c r="B336">
        <v>3.9661917412574188E-2</v>
      </c>
      <c r="C336" s="1">
        <f t="shared" si="41"/>
        <v>108.18046848407396</v>
      </c>
      <c r="D336" s="1">
        <f t="shared" si="50"/>
        <v>345.49749413528093</v>
      </c>
      <c r="E336" s="1">
        <f t="shared" si="48"/>
        <v>414.13987499108322</v>
      </c>
      <c r="F336" s="1">
        <f t="shared" si="42"/>
        <v>26.557766667173532</v>
      </c>
      <c r="G336" s="1">
        <f t="shared" si="49"/>
        <v>16.790486798827224</v>
      </c>
      <c r="H336" s="1">
        <f t="shared" si="43"/>
        <v>6.3975471094780847</v>
      </c>
      <c r="I336" s="1">
        <f t="shared" si="44"/>
        <v>242.99170892311574</v>
      </c>
      <c r="K336" s="112">
        <f>C336/'CGE-Flood Weighted Av Calcs'!$D$3</f>
        <v>1.8235024762691517E-2</v>
      </c>
      <c r="L336" s="112">
        <f>D336/'CGE-Flood Weighted Av Calcs'!$D$4</f>
        <v>1.7747162156965486E-2</v>
      </c>
      <c r="M336" s="112">
        <f>E336/'CGE-Flood Weighted Av Calcs'!$D$5</f>
        <v>1.7741115178427934E-2</v>
      </c>
      <c r="N336" s="112">
        <f>F336/'CGE-Flood Weighted Av Calcs'!$D$6</f>
        <v>7.3409579811881693E-3</v>
      </c>
      <c r="O336" s="112">
        <f>G336/'CGE-Flood Weighted Av Calcs'!$D$7</f>
        <v>2.7716678715111218E-2</v>
      </c>
      <c r="P336" s="112">
        <f>H336/'CGE-Flood Weighted Av Calcs'!$D$8</f>
        <v>6.4648461579826857E-2</v>
      </c>
      <c r="R336" s="1">
        <f t="shared" si="45"/>
        <v>0.29045077678323439</v>
      </c>
      <c r="S336" s="1">
        <f t="shared" si="46"/>
        <v>0.35045077678323439</v>
      </c>
      <c r="T336" s="1">
        <f t="shared" si="47"/>
        <v>8.0676165174851633</v>
      </c>
    </row>
    <row r="337" spans="1:20">
      <c r="A337">
        <v>284</v>
      </c>
      <c r="B337">
        <v>0.32300632568057464</v>
      </c>
      <c r="C337" s="1">
        <f t="shared" si="41"/>
        <v>69.722826302963938</v>
      </c>
      <c r="D337" s="1">
        <f t="shared" si="50"/>
        <v>224.25958192623565</v>
      </c>
      <c r="E337" s="1">
        <f t="shared" si="48"/>
        <v>268.86577691281559</v>
      </c>
      <c r="F337" s="1">
        <f t="shared" si="42"/>
        <v>14.387181793669015</v>
      </c>
      <c r="G337" s="1">
        <f t="shared" si="49"/>
        <v>10.729251698937826</v>
      </c>
      <c r="H337" s="1">
        <f t="shared" si="43"/>
        <v>4.1971197837156904</v>
      </c>
      <c r="I337" s="1">
        <f t="shared" si="44"/>
        <v>108.31898789110805</v>
      </c>
      <c r="K337" s="112">
        <f>C337/'CGE-Flood Weighted Av Calcs'!$D$3</f>
        <v>1.1752560161509733E-2</v>
      </c>
      <c r="L337" s="112">
        <f>D337/'CGE-Flood Weighted Av Calcs'!$D$4</f>
        <v>1.1519536995946537E-2</v>
      </c>
      <c r="M337" s="112">
        <f>E337/'CGE-Flood Weighted Av Calcs'!$D$5</f>
        <v>1.1517796290083088E-2</v>
      </c>
      <c r="N337" s="112">
        <f>F337/'CGE-Flood Weighted Av Calcs'!$D$6</f>
        <v>3.9768290134721655E-3</v>
      </c>
      <c r="O337" s="112">
        <f>G337/'CGE-Flood Weighted Av Calcs'!$D$7</f>
        <v>1.7711173342144681E-2</v>
      </c>
      <c r="P337" s="112">
        <f>H337/'CGE-Flood Weighted Av Calcs'!$D$8</f>
        <v>4.2412714191894532E-2</v>
      </c>
      <c r="R337" s="1">
        <f t="shared" si="45"/>
        <v>0.1880537984220626</v>
      </c>
      <c r="S337" s="1">
        <f t="shared" si="46"/>
        <v>0.2181424061695926</v>
      </c>
      <c r="T337" s="1">
        <f t="shared" si="47"/>
        <v>5.2655063558177533</v>
      </c>
    </row>
    <row r="338" spans="1:20">
      <c r="A338">
        <v>285</v>
      </c>
      <c r="B338">
        <v>0.97148577860213825</v>
      </c>
      <c r="C338" s="1">
        <f t="shared" si="41"/>
        <v>2.9366479792975753</v>
      </c>
      <c r="D338" s="1">
        <f t="shared" si="50"/>
        <v>9.4455644302216228</v>
      </c>
      <c r="E338" s="1">
        <f t="shared" si="48"/>
        <v>11.324327803959477</v>
      </c>
      <c r="F338" s="1">
        <f t="shared" si="42"/>
        <v>0.60597211246969707</v>
      </c>
      <c r="G338" s="1">
        <f t="shared" si="49"/>
        <v>0.45190416097233488</v>
      </c>
      <c r="H338" s="1">
        <f t="shared" si="43"/>
        <v>0.17677802213813187</v>
      </c>
      <c r="I338" s="1">
        <f t="shared" si="44"/>
        <v>4.5622754236578658</v>
      </c>
      <c r="K338" s="112">
        <f>C338/'CGE-Flood Weighted Av Calcs'!$D$3</f>
        <v>4.9500477648312981E-4</v>
      </c>
      <c r="L338" s="112">
        <f>D338/'CGE-Flood Weighted Av Calcs'!$D$4</f>
        <v>4.8519009964677627E-4</v>
      </c>
      <c r="M338" s="112">
        <f>E338/'CGE-Flood Weighted Av Calcs'!$D$5</f>
        <v>4.8511678304979602E-4</v>
      </c>
      <c r="N338" s="112">
        <f>F338/'CGE-Flood Weighted Av Calcs'!$D$6</f>
        <v>1.6749961964649304E-4</v>
      </c>
      <c r="O338" s="112">
        <f>G338/'CGE-Flood Weighted Av Calcs'!$D$7</f>
        <v>7.4597494341658807E-4</v>
      </c>
      <c r="P338" s="112">
        <f>H338/'CGE-Flood Weighted Av Calcs'!$D$8</f>
        <v>1.7863763997022191E-3</v>
      </c>
      <c r="R338" s="1">
        <f t="shared" si="45"/>
        <v>7.9206170549615817E-3</v>
      </c>
      <c r="S338" s="1">
        <f t="shared" si="46"/>
        <v>9.1879157837554404E-3</v>
      </c>
      <c r="T338" s="1">
        <f t="shared" si="47"/>
        <v>0.22177727753892551</v>
      </c>
    </row>
    <row r="339" spans="1:20">
      <c r="A339">
        <v>286</v>
      </c>
      <c r="B339">
        <v>0.98198260215843036</v>
      </c>
      <c r="C339" s="1">
        <f t="shared" si="41"/>
        <v>1.8555917843723364</v>
      </c>
      <c r="D339" s="1">
        <f t="shared" si="50"/>
        <v>5.9684074764967932</v>
      </c>
      <c r="E339" s="1">
        <f t="shared" si="48"/>
        <v>7.1555493830733212</v>
      </c>
      <c r="F339" s="1">
        <f t="shared" si="42"/>
        <v>0.38289808018680915</v>
      </c>
      <c r="G339" s="1">
        <f t="shared" si="49"/>
        <v>0.28554653275960895</v>
      </c>
      <c r="H339" s="1">
        <f t="shared" si="43"/>
        <v>0.11170145276165133</v>
      </c>
      <c r="I339" s="1">
        <f t="shared" si="44"/>
        <v>2.8827836546511207</v>
      </c>
      <c r="K339" s="112">
        <f>C339/'CGE-Flood Weighted Av Calcs'!$D$3</f>
        <v>3.1278069518119947E-4</v>
      </c>
      <c r="L339" s="112">
        <f>D339/'CGE-Flood Weighted Av Calcs'!$D$4</f>
        <v>3.0657905513711039E-4</v>
      </c>
      <c r="M339" s="112">
        <f>E339/'CGE-Flood Weighted Av Calcs'!$D$5</f>
        <v>3.0653272827873922E-4</v>
      </c>
      <c r="N339" s="112">
        <f>F339/'CGE-Flood Weighted Av Calcs'!$D$6</f>
        <v>1.0583867058382187E-4</v>
      </c>
      <c r="O339" s="112">
        <f>G339/'CGE-Flood Weighted Av Calcs'!$D$7</f>
        <v>4.7136224229453932E-4</v>
      </c>
      <c r="P339" s="112">
        <f>H339/'CGE-Flood Weighted Av Calcs'!$D$8</f>
        <v>1.1287649709642513E-3</v>
      </c>
      <c r="R339" s="1">
        <f t="shared" si="45"/>
        <v>5.0048327337693377E-3</v>
      </c>
      <c r="S339" s="1">
        <f t="shared" si="46"/>
        <v>5.8056059711724672E-3</v>
      </c>
      <c r="T339" s="1">
        <f t="shared" si="47"/>
        <v>0.14013531654554257</v>
      </c>
    </row>
    <row r="340" spans="1:20">
      <c r="A340">
        <v>287</v>
      </c>
      <c r="B340">
        <v>0.25372777787093248</v>
      </c>
      <c r="C340" s="1">
        <f t="shared" si="41"/>
        <v>76.857746965714739</v>
      </c>
      <c r="D340" s="1">
        <f t="shared" si="50"/>
        <v>247.20865627891055</v>
      </c>
      <c r="E340" s="1">
        <f t="shared" si="48"/>
        <v>296.37952081737456</v>
      </c>
      <c r="F340" s="1">
        <f t="shared" si="42"/>
        <v>15.859460043152968</v>
      </c>
      <c r="G340" s="1">
        <f t="shared" si="49"/>
        <v>11.827204316491878</v>
      </c>
      <c r="H340" s="1">
        <f t="shared" si="43"/>
        <v>4.626622118270368</v>
      </c>
      <c r="I340" s="1">
        <f t="shared" si="44"/>
        <v>119.4035555406508</v>
      </c>
      <c r="K340" s="112">
        <f>C340/'CGE-Flood Weighted Av Calcs'!$D$3</f>
        <v>1.2955230632328171E-2</v>
      </c>
      <c r="L340" s="112">
        <f>D340/'CGE-Flood Weighted Av Calcs'!$D$4</f>
        <v>1.269836159179066E-2</v>
      </c>
      <c r="M340" s="112">
        <f>E340/'CGE-Flood Weighted Av Calcs'!$D$5</f>
        <v>1.2696442754906258E-2</v>
      </c>
      <c r="N340" s="112">
        <f>F340/'CGE-Flood Weighted Av Calcs'!$D$6</f>
        <v>4.3837884126387379E-3</v>
      </c>
      <c r="O340" s="112">
        <f>G340/'CGE-Flood Weighted Av Calcs'!$D$7</f>
        <v>1.952360441158137E-2</v>
      </c>
      <c r="P340" s="112">
        <f>H340/'CGE-Flood Weighted Av Calcs'!$D$8</f>
        <v>4.6752919070224726E-2</v>
      </c>
      <c r="R340" s="1">
        <f t="shared" si="45"/>
        <v>0.20729783948029654</v>
      </c>
      <c r="S340" s="1">
        <f t="shared" si="46"/>
        <v>0.24046549379714396</v>
      </c>
      <c r="T340" s="1">
        <f t="shared" si="47"/>
        <v>5.8043395054483033</v>
      </c>
    </row>
    <row r="341" spans="1:20">
      <c r="A341">
        <v>288</v>
      </c>
      <c r="B341">
        <v>0.43041676730649314</v>
      </c>
      <c r="C341" s="1">
        <f t="shared" si="41"/>
        <v>58.660744264845725</v>
      </c>
      <c r="D341" s="1">
        <f t="shared" si="50"/>
        <v>188.67901205199558</v>
      </c>
      <c r="E341" s="1">
        <f t="shared" si="48"/>
        <v>226.2080787218643</v>
      </c>
      <c r="F341" s="1">
        <f t="shared" si="42"/>
        <v>12.104540745709636</v>
      </c>
      <c r="G341" s="1">
        <f t="shared" si="49"/>
        <v>9.0269704118089944</v>
      </c>
      <c r="H341" s="1">
        <f t="shared" si="43"/>
        <v>3.5312132817399062</v>
      </c>
      <c r="I341" s="1">
        <f t="shared" si="44"/>
        <v>91.133317230961083</v>
      </c>
      <c r="K341" s="112">
        <f>C341/'CGE-Flood Weighted Av Calcs'!$D$3</f>
        <v>9.8879228316972184E-3</v>
      </c>
      <c r="L341" s="112">
        <f>D341/'CGE-Flood Weighted Av Calcs'!$D$4</f>
        <v>9.6918706483922739E-3</v>
      </c>
      <c r="M341" s="112">
        <f>E341/'CGE-Flood Weighted Av Calcs'!$D$5</f>
        <v>9.6904061193863432E-3</v>
      </c>
      <c r="N341" s="112">
        <f>F341/'CGE-Flood Weighted Av Calcs'!$D$6</f>
        <v>3.3458733977683357E-3</v>
      </c>
      <c r="O341" s="112">
        <f>G341/'CGE-Flood Weighted Av Calcs'!$D$7</f>
        <v>1.4901154544989179E-2</v>
      </c>
      <c r="P341" s="112">
        <f>H341/'CGE-Flood Weighted Av Calcs'!$D$8</f>
        <v>3.5683599083862073E-2</v>
      </c>
      <c r="R341" s="1">
        <f t="shared" si="45"/>
        <v>0.15821756463708522</v>
      </c>
      <c r="S341" s="1">
        <f t="shared" si="46"/>
        <v>0.18353237497901886</v>
      </c>
      <c r="T341" s="1">
        <f t="shared" si="47"/>
        <v>4.4300918098383875</v>
      </c>
    </row>
    <row r="342" spans="1:20">
      <c r="A342">
        <v>289</v>
      </c>
      <c r="B342">
        <v>0.11491724055356622</v>
      </c>
      <c r="C342" s="1">
        <f t="shared" si="41"/>
        <v>91.153689970099933</v>
      </c>
      <c r="D342" s="1">
        <f t="shared" si="50"/>
        <v>293.19075957853585</v>
      </c>
      <c r="E342" s="1">
        <f t="shared" si="48"/>
        <v>351.50766215050868</v>
      </c>
      <c r="F342" s="1">
        <f t="shared" si="42"/>
        <v>18.809402577356824</v>
      </c>
      <c r="G342" s="1">
        <f t="shared" si="49"/>
        <v>14.027126191448886</v>
      </c>
      <c r="H342" s="1">
        <f t="shared" si="43"/>
        <v>5.4871980356873351</v>
      </c>
      <c r="I342" s="1">
        <f t="shared" si="44"/>
        <v>141.61324151142941</v>
      </c>
      <c r="K342" s="112">
        <f>C342/'CGE-Flood Weighted Av Calcs'!$D$3</f>
        <v>1.5364971303116337E-2</v>
      </c>
      <c r="L342" s="112">
        <f>D342/'CGE-Flood Weighted Av Calcs'!$D$4</f>
        <v>1.5060323277270379E-2</v>
      </c>
      <c r="M342" s="112">
        <f>E342/'CGE-Flood Weighted Av Calcs'!$D$5</f>
        <v>1.5058047526687397E-2</v>
      </c>
      <c r="N342" s="112">
        <f>F342/'CGE-Flood Weighted Av Calcs'!$D$6</f>
        <v>5.1991959904633149E-3</v>
      </c>
      <c r="O342" s="112">
        <f>G342/'CGE-Flood Weighted Av Calcs'!$D$7</f>
        <v>2.315509696668629E-2</v>
      </c>
      <c r="P342" s="112">
        <f>H342/'CGE-Flood Weighted Av Calcs'!$D$8</f>
        <v>5.5449206597553896E-2</v>
      </c>
      <c r="R342" s="1">
        <f t="shared" si="45"/>
        <v>0.24585632206845381</v>
      </c>
      <c r="S342" s="1">
        <f t="shared" si="46"/>
        <v>0.28519333359940641</v>
      </c>
      <c r="T342" s="1">
        <f t="shared" si="47"/>
        <v>6.883977017916707</v>
      </c>
    </row>
    <row r="343" spans="1:20">
      <c r="A343">
        <v>290</v>
      </c>
      <c r="B343">
        <v>0.20204255882742017</v>
      </c>
      <c r="C343" s="1">
        <f t="shared" si="41"/>
        <v>82.180750246984914</v>
      </c>
      <c r="D343" s="1">
        <f t="shared" si="50"/>
        <v>264.32979943599571</v>
      </c>
      <c r="E343" s="1">
        <f t="shared" si="48"/>
        <v>316.90613295597819</v>
      </c>
      <c r="F343" s="1">
        <f t="shared" si="42"/>
        <v>16.957852348180268</v>
      </c>
      <c r="G343" s="1">
        <f t="shared" si="49"/>
        <v>12.64633120832001</v>
      </c>
      <c r="H343" s="1">
        <f t="shared" si="43"/>
        <v>4.9470520773704747</v>
      </c>
      <c r="I343" s="1">
        <f t="shared" si="44"/>
        <v>127.67319058761277</v>
      </c>
      <c r="K343" s="112">
        <f>C343/'CGE-Flood Weighted Av Calcs'!$D$3</f>
        <v>1.3852482215779572E-2</v>
      </c>
      <c r="L343" s="112">
        <f>D343/'CGE-Flood Weighted Av Calcs'!$D$4</f>
        <v>1.3577822974519056E-2</v>
      </c>
      <c r="M343" s="112">
        <f>E343/'CGE-Flood Weighted Av Calcs'!$D$5</f>
        <v>1.357577124309331E-2</v>
      </c>
      <c r="N343" s="112">
        <f>F343/'CGE-Flood Weighted Av Calcs'!$D$6</f>
        <v>4.6874002283126938E-3</v>
      </c>
      <c r="O343" s="112">
        <f>G343/'CGE-Flood Weighted Av Calcs'!$D$7</f>
        <v>2.087576752392745E-2</v>
      </c>
      <c r="P343" s="112">
        <f>H343/'CGE-Flood Weighted Av Calcs'!$D$8</f>
        <v>4.9990926316661195E-2</v>
      </c>
      <c r="R343" s="1">
        <f t="shared" si="45"/>
        <v>0.22165484477016106</v>
      </c>
      <c r="S343" s="1">
        <f t="shared" si="46"/>
        <v>0.25711961993338683</v>
      </c>
      <c r="T343" s="1">
        <f t="shared" si="47"/>
        <v>6.2063356535645102</v>
      </c>
    </row>
    <row r="344" spans="1:20">
      <c r="A344">
        <v>291</v>
      </c>
      <c r="B344">
        <v>5.4051609158070058E-3</v>
      </c>
      <c r="C344" s="1">
        <f t="shared" si="41"/>
        <v>153.79973719964323</v>
      </c>
      <c r="D344" s="1">
        <f t="shared" si="50"/>
        <v>489.04251348349169</v>
      </c>
      <c r="E344" s="1">
        <f t="shared" si="48"/>
        <v>586.23019493327592</v>
      </c>
      <c r="F344" s="1">
        <f t="shared" si="42"/>
        <v>31.745596332592083</v>
      </c>
      <c r="G344" s="1">
        <f t="shared" si="49"/>
        <v>21.955591574837197</v>
      </c>
      <c r="H344" s="1">
        <f t="shared" si="43"/>
        <v>8.2222244445521646</v>
      </c>
      <c r="I344" s="1">
        <f t="shared" si="44"/>
        <v>522.98324153610577</v>
      </c>
      <c r="K344" s="112">
        <f>C344/'CGE-Flood Weighted Av Calcs'!$D$3</f>
        <v>2.5924661407283695E-2</v>
      </c>
      <c r="L344" s="112">
        <f>D344/'CGE-Flood Weighted Av Calcs'!$D$4</f>
        <v>2.5120635998138859E-2</v>
      </c>
      <c r="M344" s="112">
        <f>E344/'CGE-Flood Weighted Av Calcs'!$D$5</f>
        <v>2.5113199760364628E-2</v>
      </c>
      <c r="N344" s="112">
        <f>F344/'CGE-Flood Weighted Av Calcs'!$D$6</f>
        <v>8.7749505327709039E-3</v>
      </c>
      <c r="O344" s="112">
        <f>G344/'CGE-Flood Weighted Av Calcs'!$D$7</f>
        <v>3.6242908557152148E-2</v>
      </c>
      <c r="P344" s="112">
        <f>H344/'CGE-Flood Weighted Av Calcs'!$D$8</f>
        <v>8.3087182010248339E-2</v>
      </c>
      <c r="R344" s="1">
        <f t="shared" si="45"/>
        <v>0.33918967816838602</v>
      </c>
      <c r="S344" s="1">
        <f t="shared" si="46"/>
        <v>0.39918967816838602</v>
      </c>
      <c r="T344" s="1">
        <f t="shared" si="47"/>
        <v>20.432774717870192</v>
      </c>
    </row>
    <row r="345" spans="1:20">
      <c r="A345">
        <v>292</v>
      </c>
      <c r="B345">
        <v>0.66555473588298497</v>
      </c>
      <c r="C345" s="1">
        <f t="shared" si="41"/>
        <v>34.444146145562364</v>
      </c>
      <c r="D345" s="1">
        <f t="shared" si="50"/>
        <v>110.787674912163</v>
      </c>
      <c r="E345" s="1">
        <f t="shared" si="48"/>
        <v>132.82381975286486</v>
      </c>
      <c r="F345" s="1">
        <f t="shared" si="42"/>
        <v>7.1074885887527977</v>
      </c>
      <c r="G345" s="1">
        <f t="shared" si="49"/>
        <v>5.300414988126029</v>
      </c>
      <c r="H345" s="1">
        <f t="shared" si="43"/>
        <v>2.0734415812772178</v>
      </c>
      <c r="I345" s="1">
        <f t="shared" si="44"/>
        <v>53.51124225872239</v>
      </c>
      <c r="K345" s="112">
        <f>C345/'CGE-Flood Weighted Av Calcs'!$D$3</f>
        <v>5.8059450721140203E-3</v>
      </c>
      <c r="L345" s="112">
        <f>D345/'CGE-Flood Weighted Av Calcs'!$D$4</f>
        <v>5.6908280524010785E-3</v>
      </c>
      <c r="M345" s="112">
        <f>E345/'CGE-Flood Weighted Av Calcs'!$D$5</f>
        <v>5.6899681169920264E-3</v>
      </c>
      <c r="N345" s="112">
        <f>F345/'CGE-Flood Weighted Av Calcs'!$D$6</f>
        <v>1.9646145602408671E-3</v>
      </c>
      <c r="O345" s="112">
        <f>G345/'CGE-Flood Weighted Av Calcs'!$D$7</f>
        <v>8.7495914229783079E-3</v>
      </c>
      <c r="P345" s="112">
        <f>H345/'CGE-Flood Weighted Av Calcs'!$D$8</f>
        <v>2.0952531667430128E-2</v>
      </c>
      <c r="R345" s="1">
        <f t="shared" si="45"/>
        <v>9.2901462254726397E-2</v>
      </c>
      <c r="S345" s="1">
        <f t="shared" si="46"/>
        <v>0.10776569621548263</v>
      </c>
      <c r="T345" s="1">
        <f t="shared" si="47"/>
        <v>2.6012409431323391</v>
      </c>
    </row>
    <row r="346" spans="1:20">
      <c r="A346">
        <v>293</v>
      </c>
      <c r="B346">
        <v>0.56722613546263689</v>
      </c>
      <c r="C346" s="1">
        <f t="shared" si="41"/>
        <v>44.570899448853545</v>
      </c>
      <c r="D346" s="1">
        <f t="shared" si="50"/>
        <v>143.359812079954</v>
      </c>
      <c r="E346" s="1">
        <f t="shared" si="48"/>
        <v>171.87469503813799</v>
      </c>
      <c r="F346" s="1">
        <f t="shared" si="42"/>
        <v>9.1971262078734508</v>
      </c>
      <c r="G346" s="1">
        <f t="shared" si="49"/>
        <v>6.8587638222931586</v>
      </c>
      <c r="H346" s="1">
        <f t="shared" si="43"/>
        <v>2.6830439007437885</v>
      </c>
      <c r="I346" s="1">
        <f t="shared" si="44"/>
        <v>69.243818325978083</v>
      </c>
      <c r="K346" s="112">
        <f>C346/'CGE-Flood Weighted Av Calcs'!$D$3</f>
        <v>7.5129223096767166E-3</v>
      </c>
      <c r="L346" s="112">
        <f>D346/'CGE-Flood Weighted Av Calcs'!$D$4</f>
        <v>7.3639603035118972E-3</v>
      </c>
      <c r="M346" s="112">
        <f>E346/'CGE-Flood Weighted Av Calcs'!$D$5</f>
        <v>7.3628475427400834E-3</v>
      </c>
      <c r="N346" s="112">
        <f>F346/'CGE-Flood Weighted Av Calcs'!$D$6</f>
        <v>2.5422211847028402E-3</v>
      </c>
      <c r="O346" s="112">
        <f>G346/'CGE-Flood Weighted Av Calcs'!$D$7</f>
        <v>1.1322015586743193E-2</v>
      </c>
      <c r="P346" s="112">
        <f>H346/'CGE-Flood Weighted Av Calcs'!$D$8</f>
        <v>2.7112682027342523E-2</v>
      </c>
      <c r="R346" s="1">
        <f t="shared" si="45"/>
        <v>0.12021496237148974</v>
      </c>
      <c r="S346" s="1">
        <f t="shared" si="46"/>
        <v>0.13944935635092809</v>
      </c>
      <c r="T346" s="1">
        <f t="shared" si="47"/>
        <v>3.3660189464017134</v>
      </c>
    </row>
    <row r="347" spans="1:20">
      <c r="A347">
        <v>294</v>
      </c>
      <c r="B347">
        <v>0.9131028047396581</v>
      </c>
      <c r="C347" s="1">
        <f t="shared" si="41"/>
        <v>8.9494455874234546</v>
      </c>
      <c r="D347" s="1">
        <f t="shared" si="50"/>
        <v>28.785392565502718</v>
      </c>
      <c r="E347" s="1">
        <f t="shared" si="48"/>
        <v>34.5109309015387</v>
      </c>
      <c r="F347" s="1">
        <f t="shared" si="42"/>
        <v>1.8467022558627448</v>
      </c>
      <c r="G347" s="1">
        <f t="shared" si="49"/>
        <v>1.3771796033651711</v>
      </c>
      <c r="H347" s="1">
        <f t="shared" si="43"/>
        <v>0.53873167684060519</v>
      </c>
      <c r="I347" s="1">
        <f t="shared" si="44"/>
        <v>13.903551241654668</v>
      </c>
      <c r="K347" s="112">
        <f>C347/'CGE-Flood Weighted Av Calcs'!$D$3</f>
        <v>1.5085288886787537E-3</v>
      </c>
      <c r="L347" s="112">
        <f>D347/'CGE-Flood Weighted Av Calcs'!$D$4</f>
        <v>1.4786186246892332E-3</v>
      </c>
      <c r="M347" s="112">
        <f>E347/'CGE-Flood Weighted Av Calcs'!$D$5</f>
        <v>1.4783951920885388E-3</v>
      </c>
      <c r="N347" s="112">
        <f>F347/'CGE-Flood Weighted Av Calcs'!$D$6</f>
        <v>5.1045571090171037E-4</v>
      </c>
      <c r="O347" s="112">
        <f>G347/'CGE-Flood Weighted Av Calcs'!$D$7</f>
        <v>2.2733614014182656E-3</v>
      </c>
      <c r="P347" s="112">
        <f>H347/'CGE-Flood Weighted Av Calcs'!$D$8</f>
        <v>5.4439886906759898E-3</v>
      </c>
      <c r="R347" s="1">
        <f t="shared" si="45"/>
        <v>2.4138109794539397E-2</v>
      </c>
      <c r="S347" s="1">
        <f t="shared" si="46"/>
        <v>2.8000207361665697E-2</v>
      </c>
      <c r="T347" s="1">
        <f t="shared" si="47"/>
        <v>0.67586707424710468</v>
      </c>
    </row>
    <row r="348" spans="1:20">
      <c r="A348">
        <v>295</v>
      </c>
      <c r="B348">
        <v>0.72770222501943438</v>
      </c>
      <c r="C348" s="1">
        <f t="shared" si="41"/>
        <v>28.043645292165152</v>
      </c>
      <c r="D348" s="1">
        <f t="shared" si="50"/>
        <v>90.200820913096749</v>
      </c>
      <c r="E348" s="1">
        <f t="shared" si="48"/>
        <v>108.14215198595411</v>
      </c>
      <c r="F348" s="1">
        <f t="shared" si="42"/>
        <v>5.7867565669580223</v>
      </c>
      <c r="G348" s="1">
        <f t="shared" si="49"/>
        <v>4.3154780844359113</v>
      </c>
      <c r="H348" s="1">
        <f t="shared" si="43"/>
        <v>1.688149271973046</v>
      </c>
      <c r="I348" s="1">
        <f t="shared" si="44"/>
        <v>43.567643996890482</v>
      </c>
      <c r="K348" s="112">
        <f>C348/'CGE-Flood Weighted Av Calcs'!$D$3</f>
        <v>4.7270692529312944E-3</v>
      </c>
      <c r="L348" s="112">
        <f>D348/'CGE-Flood Weighted Av Calcs'!$D$4</f>
        <v>4.6333435773323692E-3</v>
      </c>
      <c r="M348" s="112">
        <f>E348/'CGE-Flood Weighted Av Calcs'!$D$5</f>
        <v>4.6326434373584035E-3</v>
      </c>
      <c r="N348" s="112">
        <f>F348/'CGE-Flood Weighted Av Calcs'!$D$6</f>
        <v>1.5995447711313372E-3</v>
      </c>
      <c r="O348" s="112">
        <f>G348/'CGE-Flood Weighted Av Calcs'!$D$7</f>
        <v>7.1237195801117743E-3</v>
      </c>
      <c r="P348" s="112">
        <f>H348/'CGE-Flood Weighted Av Calcs'!$D$8</f>
        <v>1.7059077718782994E-2</v>
      </c>
      <c r="R348" s="1">
        <f t="shared" si="45"/>
        <v>7.5638270827934867E-2</v>
      </c>
      <c r="S348" s="1">
        <f t="shared" si="46"/>
        <v>8.7740394160404467E-2</v>
      </c>
      <c r="T348" s="1">
        <f t="shared" si="47"/>
        <v>2.1178715831821773</v>
      </c>
    </row>
    <row r="349" spans="1:20">
      <c r="A349">
        <v>296</v>
      </c>
      <c r="B349">
        <v>0.71451197042675929</v>
      </c>
      <c r="C349" s="1">
        <f t="shared" si="41"/>
        <v>29.402094956826325</v>
      </c>
      <c r="D349" s="1">
        <f t="shared" si="50"/>
        <v>94.570198490261873</v>
      </c>
      <c r="E349" s="1">
        <f t="shared" si="48"/>
        <v>113.3806175481362</v>
      </c>
      <c r="F349" s="1">
        <f t="shared" si="42"/>
        <v>6.0670702507163945</v>
      </c>
      <c r="G349" s="1">
        <f t="shared" si="49"/>
        <v>4.5245222260080649</v>
      </c>
      <c r="H349" s="1">
        <f t="shared" si="43"/>
        <v>1.7699241549641127</v>
      </c>
      <c r="I349" s="1">
        <f t="shared" si="44"/>
        <v>45.678084731718499</v>
      </c>
      <c r="K349" s="112">
        <f>C349/'CGE-Flood Weighted Av Calcs'!$D$3</f>
        <v>4.956051098000798E-3</v>
      </c>
      <c r="L349" s="112">
        <f>D349/'CGE-Flood Weighted Av Calcs'!$D$4</f>
        <v>4.8577852989171739E-3</v>
      </c>
      <c r="M349" s="112">
        <f>E349/'CGE-Flood Weighted Av Calcs'!$D$5</f>
        <v>4.8570512437762269E-3</v>
      </c>
      <c r="N349" s="112">
        <f>F349/'CGE-Flood Weighted Av Calcs'!$D$6</f>
        <v>1.6770276031710422E-3</v>
      </c>
      <c r="O349" s="112">
        <f>G349/'CGE-Flood Weighted Av Calcs'!$D$7</f>
        <v>7.4687964905463368E-3</v>
      </c>
      <c r="P349" s="112">
        <f>H349/'CGE-Flood Weighted Av Calcs'!$D$8</f>
        <v>1.7885428864116582E-2</v>
      </c>
      <c r="R349" s="1">
        <f t="shared" si="45"/>
        <v>7.930223043701129E-2</v>
      </c>
      <c r="S349" s="1">
        <f t="shared" si="46"/>
        <v>9.1990587306933103E-2</v>
      </c>
      <c r="T349" s="1">
        <f t="shared" si="47"/>
        <v>2.2204624522363172</v>
      </c>
    </row>
    <row r="350" spans="1:20">
      <c r="A350">
        <v>297</v>
      </c>
      <c r="B350">
        <v>0.38891790128907733</v>
      </c>
      <c r="C350" s="1">
        <f t="shared" si="41"/>
        <v>62.934666366128248</v>
      </c>
      <c r="D350" s="1">
        <f t="shared" si="50"/>
        <v>202.4258441074565</v>
      </c>
      <c r="E350" s="1">
        <f t="shared" si="48"/>
        <v>242.68921477382224</v>
      </c>
      <c r="F350" s="1">
        <f t="shared" si="42"/>
        <v>12.986457006188562</v>
      </c>
      <c r="G350" s="1">
        <f t="shared" si="49"/>
        <v>9.6846601297653088</v>
      </c>
      <c r="H350" s="1">
        <f t="shared" si="43"/>
        <v>3.7884914782290533</v>
      </c>
      <c r="I350" s="1">
        <f t="shared" si="44"/>
        <v>97.773135793747613</v>
      </c>
      <c r="K350" s="112">
        <f>C350/'CGE-Flood Weighted Av Calcs'!$D$3</f>
        <v>1.0608340079309478E-2</v>
      </c>
      <c r="L350" s="112">
        <f>D350/'CGE-Flood Weighted Av Calcs'!$D$4</f>
        <v>1.0398003867226301E-2</v>
      </c>
      <c r="M350" s="112">
        <f>E350/'CGE-Flood Weighted Av Calcs'!$D$5</f>
        <v>1.0396432635126761E-2</v>
      </c>
      <c r="N350" s="112">
        <f>F350/'CGE-Flood Weighted Av Calcs'!$D$6</f>
        <v>3.5896480453972966E-3</v>
      </c>
      <c r="O350" s="112">
        <f>G350/'CGE-Flood Weighted Av Calcs'!$D$7</f>
        <v>1.5986827332516728E-2</v>
      </c>
      <c r="P350" s="112">
        <f>H350/'CGE-Flood Weighted Av Calcs'!$D$8</f>
        <v>3.8283445449418987E-2</v>
      </c>
      <c r="R350" s="1">
        <f t="shared" si="45"/>
        <v>0.16974502741970074</v>
      </c>
      <c r="S350" s="1">
        <f t="shared" si="46"/>
        <v>0.19690423180685285</v>
      </c>
      <c r="T350" s="1">
        <f t="shared" si="47"/>
        <v>4.7528607677516206</v>
      </c>
    </row>
    <row r="351" spans="1:20">
      <c r="A351">
        <v>298</v>
      </c>
      <c r="B351">
        <v>0.74683070602543389</v>
      </c>
      <c r="C351" s="1">
        <f t="shared" si="41"/>
        <v>26.073624287225044</v>
      </c>
      <c r="D351" s="1">
        <f t="shared" si="50"/>
        <v>83.864358231075641</v>
      </c>
      <c r="E351" s="1">
        <f t="shared" si="48"/>
        <v>100.54533963462706</v>
      </c>
      <c r="F351" s="1">
        <f t="shared" si="42"/>
        <v>5.3802462196542304</v>
      </c>
      <c r="G351" s="1">
        <f t="shared" si="49"/>
        <v>4.0123226856235963</v>
      </c>
      <c r="H351" s="1">
        <f t="shared" si="43"/>
        <v>1.5695594991167194</v>
      </c>
      <c r="I351" s="1">
        <f t="shared" si="44"/>
        <v>40.507087035930553</v>
      </c>
      <c r="K351" s="112">
        <f>C351/'CGE-Flood Weighted Av Calcs'!$D$3</f>
        <v>4.3950002361161766E-3</v>
      </c>
      <c r="L351" s="112">
        <f>D351/'CGE-Flood Weighted Av Calcs'!$D$4</f>
        <v>4.3078586385751662E-3</v>
      </c>
      <c r="M351" s="112">
        <f>E351/'CGE-Flood Weighted Av Calcs'!$D$5</f>
        <v>4.3072076823089788E-3</v>
      </c>
      <c r="N351" s="112">
        <f>F351/'CGE-Flood Weighted Av Calcs'!$D$6</f>
        <v>1.4871793220379123E-3</v>
      </c>
      <c r="O351" s="112">
        <f>G351/'CGE-Flood Weighted Av Calcs'!$D$7</f>
        <v>6.6232897301434432E-3</v>
      </c>
      <c r="P351" s="112">
        <f>H351/'CGE-Flood Weighted Av Calcs'!$D$8</f>
        <v>1.5860704929483115E-2</v>
      </c>
      <c r="R351" s="1">
        <f t="shared" si="45"/>
        <v>7.0324803881823911E-2</v>
      </c>
      <c r="S351" s="1">
        <f t="shared" si="46"/>
        <v>8.1576772502915729E-2</v>
      </c>
      <c r="T351" s="1">
        <f t="shared" si="47"/>
        <v>1.9690945086910698</v>
      </c>
    </row>
    <row r="352" spans="1:20">
      <c r="A352">
        <v>299</v>
      </c>
      <c r="B352">
        <v>0.89926852963392501</v>
      </c>
      <c r="C352" s="1">
        <f t="shared" si="41"/>
        <v>10.374222209146112</v>
      </c>
      <c r="D352" s="1">
        <f t="shared" si="50"/>
        <v>33.368107100587736</v>
      </c>
      <c r="E352" s="1">
        <f t="shared" si="48"/>
        <v>40.005167059753603</v>
      </c>
      <c r="F352" s="1">
        <f t="shared" si="42"/>
        <v>2.1407023898077213</v>
      </c>
      <c r="G352" s="1">
        <f t="shared" si="49"/>
        <v>1.5964304255105564</v>
      </c>
      <c r="H352" s="1">
        <f t="shared" si="43"/>
        <v>0.62449925775339388</v>
      </c>
      <c r="I352" s="1">
        <f t="shared" si="44"/>
        <v>16.117035258571974</v>
      </c>
      <c r="K352" s="112">
        <f>C352/'CGE-Flood Weighted Av Calcs'!$D$3</f>
        <v>1.7486908822667317E-3</v>
      </c>
      <c r="L352" s="112">
        <f>D352/'CGE-Flood Weighted Av Calcs'!$D$4</f>
        <v>1.7140188210836862E-3</v>
      </c>
      <c r="M352" s="112">
        <f>E352/'CGE-Flood Weighted Av Calcs'!$D$5</f>
        <v>1.7137598173916993E-3</v>
      </c>
      <c r="N352" s="112">
        <f>F352/'CGE-Flood Weighted Av Calcs'!$D$6</f>
        <v>5.9172167941484754E-4</v>
      </c>
      <c r="O352" s="112">
        <f>G352/'CGE-Flood Weighted Av Calcs'!$D$7</f>
        <v>2.6352868576743696E-3</v>
      </c>
      <c r="P352" s="112">
        <f>H352/'CGE-Flood Weighted Av Calcs'!$D$8</f>
        <v>6.3106868274072489E-3</v>
      </c>
      <c r="R352" s="1">
        <f t="shared" si="45"/>
        <v>2.7980963990576369E-2</v>
      </c>
      <c r="S352" s="1">
        <f t="shared" si="46"/>
        <v>3.2457918229068627E-2</v>
      </c>
      <c r="T352" s="1">
        <f t="shared" si="47"/>
        <v>0.78346699173613921</v>
      </c>
    </row>
    <row r="353" spans="1:20">
      <c r="A353">
        <v>300</v>
      </c>
      <c r="B353">
        <v>0.1019708458166495</v>
      </c>
      <c r="C353" s="1">
        <f t="shared" si="41"/>
        <v>92.487024779171946</v>
      </c>
      <c r="D353" s="1">
        <f t="shared" si="50"/>
        <v>297.47935662351068</v>
      </c>
      <c r="E353" s="1">
        <f t="shared" si="48"/>
        <v>356.64927958535452</v>
      </c>
      <c r="F353" s="1">
        <f t="shared" si="42"/>
        <v>19.084533855119304</v>
      </c>
      <c r="G353" s="1">
        <f t="shared" si="49"/>
        <v>14.232305549831848</v>
      </c>
      <c r="H353" s="1">
        <f t="shared" si="43"/>
        <v>5.5674610743822406</v>
      </c>
      <c r="I353" s="1">
        <f t="shared" si="44"/>
        <v>143.68466466933609</v>
      </c>
      <c r="K353" s="112">
        <f>C353/'CGE-Flood Weighted Av Calcs'!$D$3</f>
        <v>1.558971975910926E-2</v>
      </c>
      <c r="L353" s="112">
        <f>D353/'CGE-Flood Weighted Av Calcs'!$D$4</f>
        <v>1.5280615547040794E-2</v>
      </c>
      <c r="M353" s="112">
        <f>E353/'CGE-Flood Weighted Av Calcs'!$D$5</f>
        <v>1.5278306508310397E-2</v>
      </c>
      <c r="N353" s="112">
        <f>F353/'CGE-Flood Weighted Av Calcs'!$D$6</f>
        <v>5.2752463291336005E-3</v>
      </c>
      <c r="O353" s="112">
        <f>G353/'CGE-Flood Weighted Av Calcs'!$D$7</f>
        <v>2.3493794136304411E-2</v>
      </c>
      <c r="P353" s="112">
        <f>H353/'CGE-Flood Weighted Av Calcs'!$D$8</f>
        <v>5.6260280261342992E-2</v>
      </c>
      <c r="R353" s="1">
        <f t="shared" si="45"/>
        <v>0.24945254282870846</v>
      </c>
      <c r="S353" s="1">
        <f t="shared" si="46"/>
        <v>0.28936494968130183</v>
      </c>
      <c r="T353" s="1">
        <f t="shared" si="47"/>
        <v>6.9846711992038371</v>
      </c>
    </row>
    <row r="354" spans="1:20">
      <c r="A354">
        <v>301</v>
      </c>
      <c r="B354">
        <v>0.56213889436061826</v>
      </c>
      <c r="C354" s="1">
        <f t="shared" si="41"/>
        <v>45.094828757460334</v>
      </c>
      <c r="D354" s="1">
        <f t="shared" si="50"/>
        <v>145.04500147827969</v>
      </c>
      <c r="E354" s="1">
        <f t="shared" si="48"/>
        <v>173.89507585279193</v>
      </c>
      <c r="F354" s="1">
        <f t="shared" si="42"/>
        <v>9.3052380933154311</v>
      </c>
      <c r="G354" s="1">
        <f t="shared" si="49"/>
        <v>6.9393883425910925</v>
      </c>
      <c r="H354" s="1">
        <f t="shared" si="43"/>
        <v>2.7145829846137799</v>
      </c>
      <c r="I354" s="1">
        <f t="shared" si="44"/>
        <v>70.057776902301057</v>
      </c>
      <c r="K354" s="112">
        <f>C354/'CGE-Flood Weighted Av Calcs'!$D$3</f>
        <v>7.6012364392993954E-3</v>
      </c>
      <c r="L354" s="112">
        <f>D354/'CGE-Flood Weighted Av Calcs'!$D$4</f>
        <v>7.4505233901477003E-3</v>
      </c>
      <c r="M354" s="112">
        <f>E354/'CGE-Flood Weighted Av Calcs'!$D$5</f>
        <v>7.4493975489133201E-3</v>
      </c>
      <c r="N354" s="112">
        <f>F354/'CGE-Flood Weighted Av Calcs'!$D$6</f>
        <v>2.5721049026465473E-3</v>
      </c>
      <c r="O354" s="112">
        <f>G354/'CGE-Flood Weighted Av Calcs'!$D$7</f>
        <v>1.14551054698676E-2</v>
      </c>
      <c r="P354" s="112">
        <f>H354/'CGE-Flood Weighted Av Calcs'!$D$8</f>
        <v>2.7431390622518217E-2</v>
      </c>
      <c r="R354" s="1">
        <f t="shared" si="45"/>
        <v>0.12162808489982824</v>
      </c>
      <c r="S354" s="1">
        <f t="shared" si="46"/>
        <v>0.14108857848380077</v>
      </c>
      <c r="T354" s="1">
        <f t="shared" si="47"/>
        <v>3.4055863771951915</v>
      </c>
    </row>
    <row r="355" spans="1:20">
      <c r="A355">
        <v>302</v>
      </c>
      <c r="B355">
        <v>0.44140298705847636</v>
      </c>
      <c r="C355" s="1">
        <f t="shared" si="41"/>
        <v>57.529285699499809</v>
      </c>
      <c r="D355" s="1">
        <f t="shared" si="50"/>
        <v>185.03973868506745</v>
      </c>
      <c r="E355" s="1">
        <f t="shared" si="48"/>
        <v>221.84493823621452</v>
      </c>
      <c r="F355" s="1">
        <f t="shared" si="42"/>
        <v>11.871066273505924</v>
      </c>
      <c r="G355" s="1">
        <f t="shared" si="49"/>
        <v>8.8528566476628701</v>
      </c>
      <c r="H355" s="1">
        <f t="shared" si="43"/>
        <v>3.4631026301660177</v>
      </c>
      <c r="I355" s="1">
        <f t="shared" si="44"/>
        <v>89.375522070643768</v>
      </c>
      <c r="K355" s="112">
        <f>C355/'CGE-Flood Weighted Av Calcs'!$D$3</f>
        <v>9.6972028686007402E-3</v>
      </c>
      <c r="L355" s="112">
        <f>D355/'CGE-Flood Weighted Av Calcs'!$D$4</f>
        <v>9.5049321736631054E-3</v>
      </c>
      <c r="M355" s="112">
        <f>E355/'CGE-Flood Weighted Av Calcs'!$D$5</f>
        <v>9.5034958927455466E-3</v>
      </c>
      <c r="N355" s="112">
        <f>F355/'CGE-Flood Weighted Av Calcs'!$D$6</f>
        <v>3.2813376138823352E-3</v>
      </c>
      <c r="O355" s="112">
        <f>G355/'CGE-Flood Weighted Av Calcs'!$D$7</f>
        <v>1.4613738502885274E-2</v>
      </c>
      <c r="P355" s="112">
        <f>H355/'CGE-Flood Weighted Av Calcs'!$D$8</f>
        <v>3.499532766262814E-2</v>
      </c>
      <c r="R355" s="1">
        <f t="shared" si="45"/>
        <v>0.15516583692820102</v>
      </c>
      <c r="S355" s="1">
        <f t="shared" si="46"/>
        <v>0.17999237083671316</v>
      </c>
      <c r="T355" s="1">
        <f t="shared" si="47"/>
        <v>4.3446434339896278</v>
      </c>
    </row>
    <row r="356" spans="1:20">
      <c r="A356">
        <v>303</v>
      </c>
      <c r="B356">
        <v>0.26180476769061889</v>
      </c>
      <c r="C356" s="1">
        <f t="shared" si="41"/>
        <v>76.025906758618376</v>
      </c>
      <c r="D356" s="1">
        <f t="shared" si="50"/>
        <v>244.53308864970597</v>
      </c>
      <c r="E356" s="1">
        <f t="shared" si="48"/>
        <v>293.17177128386527</v>
      </c>
      <c r="F356" s="1">
        <f t="shared" si="42"/>
        <v>15.687811288830023</v>
      </c>
      <c r="G356" s="1">
        <f t="shared" si="49"/>
        <v>11.699197128193859</v>
      </c>
      <c r="H356" s="1">
        <f t="shared" si="43"/>
        <v>4.576547656645368</v>
      </c>
      <c r="I356" s="1">
        <f t="shared" si="44"/>
        <v>118.11123716950098</v>
      </c>
      <c r="K356" s="112">
        <f>C356/'CGE-Flood Weighted Av Calcs'!$D$3</f>
        <v>1.2815014685886436E-2</v>
      </c>
      <c r="L356" s="112">
        <f>D356/'CGE-Flood Weighted Av Calcs'!$D$4</f>
        <v>1.2560925768424517E-2</v>
      </c>
      <c r="M356" s="112">
        <f>E356/'CGE-Flood Weighted Av Calcs'!$D$5</f>
        <v>1.2559027699331709E-2</v>
      </c>
      <c r="N356" s="112">
        <f>F356/'CGE-Flood Weighted Av Calcs'!$D$6</f>
        <v>4.3363421680505014E-3</v>
      </c>
      <c r="O356" s="112">
        <f>G356/'CGE-Flood Weighted Av Calcs'!$D$7</f>
        <v>1.9312298202667361E-2</v>
      </c>
      <c r="P356" s="112">
        <f>H356/'CGE-Flood Weighted Av Calcs'!$D$8</f>
        <v>4.6246906866938518E-2</v>
      </c>
      <c r="R356" s="1">
        <f t="shared" si="45"/>
        <v>0.2050542311970503</v>
      </c>
      <c r="S356" s="1">
        <f t="shared" si="46"/>
        <v>0.23786290818857836</v>
      </c>
      <c r="T356" s="1">
        <f t="shared" si="47"/>
        <v>5.7415184735174085</v>
      </c>
    </row>
    <row r="357" spans="1:20">
      <c r="A357">
        <v>304</v>
      </c>
      <c r="B357">
        <v>0.23725487924435551</v>
      </c>
      <c r="C357" s="1">
        <f t="shared" si="41"/>
        <v>78.554272492045214</v>
      </c>
      <c r="D357" s="1">
        <f t="shared" si="50"/>
        <v>252.66543600853382</v>
      </c>
      <c r="E357" s="1">
        <f t="shared" si="48"/>
        <v>302.9216774951206</v>
      </c>
      <c r="F357" s="1">
        <f t="shared" si="42"/>
        <v>16.209535082550484</v>
      </c>
      <c r="G357" s="1">
        <f t="shared" si="49"/>
        <v>12.088273041769567</v>
      </c>
      <c r="H357" s="1">
        <f t="shared" si="43"/>
        <v>4.7287482257118505</v>
      </c>
      <c r="I357" s="1">
        <f t="shared" si="44"/>
        <v>122.03921932090311</v>
      </c>
      <c r="K357" s="112">
        <f>C357/'CGE-Flood Weighted Av Calcs'!$D$3</f>
        <v>1.3241198935263822E-2</v>
      </c>
      <c r="L357" s="112">
        <f>D357/'CGE-Flood Weighted Av Calcs'!$D$4</f>
        <v>1.2978659875744486E-2</v>
      </c>
      <c r="M357" s="112">
        <f>E357/'CGE-Flood Weighted Av Calcs'!$D$5</f>
        <v>1.2976698683263104E-2</v>
      </c>
      <c r="N357" s="112">
        <f>F357/'CGE-Flood Weighted Av Calcs'!$D$6</f>
        <v>4.4805543111680161E-3</v>
      </c>
      <c r="O357" s="112">
        <f>G357/'CGE-Flood Weighted Av Calcs'!$D$7</f>
        <v>1.995456023006251E-2</v>
      </c>
      <c r="P357" s="112">
        <f>H357/'CGE-Flood Weighted Av Calcs'!$D$8</f>
        <v>4.7784923308762731E-2</v>
      </c>
      <c r="R357" s="1">
        <f t="shared" si="45"/>
        <v>0.21187364465434569</v>
      </c>
      <c r="S357" s="1">
        <f t="shared" si="46"/>
        <v>0.24577342779904099</v>
      </c>
      <c r="T357" s="1">
        <f t="shared" si="47"/>
        <v>5.9324620503216794</v>
      </c>
    </row>
    <row r="358" spans="1:20">
      <c r="A358">
        <v>305</v>
      </c>
      <c r="B358">
        <v>0.99336371209218688</v>
      </c>
      <c r="C358" s="1">
        <f t="shared" si="41"/>
        <v>0.68346391797246042</v>
      </c>
      <c r="D358" s="1">
        <f t="shared" si="50"/>
        <v>2.1983235711093698</v>
      </c>
      <c r="E358" s="1">
        <f t="shared" si="48"/>
        <v>2.6355795804813056</v>
      </c>
      <c r="F358" s="1">
        <f t="shared" si="42"/>
        <v>0.14103156969792607</v>
      </c>
      <c r="G358" s="1">
        <f t="shared" si="49"/>
        <v>0.10517439971817133</v>
      </c>
      <c r="H358" s="1">
        <f t="shared" si="43"/>
        <v>4.1142622634275483E-2</v>
      </c>
      <c r="I358" s="1">
        <f t="shared" si="44"/>
        <v>1.0618060652500674</v>
      </c>
      <c r="K358" s="112">
        <f>C358/'CGE-Flood Weighted Av Calcs'!$D$3</f>
        <v>1.1520546770851475E-4</v>
      </c>
      <c r="L358" s="112">
        <f>D358/'CGE-Flood Weighted Av Calcs'!$D$4</f>
        <v>1.1292123836557074E-4</v>
      </c>
      <c r="M358" s="112">
        <f>E358/'CGE-Flood Weighted Av Calcs'!$D$5</f>
        <v>1.1290417494871356E-4</v>
      </c>
      <c r="N358" s="112">
        <f>F358/'CGE-Flood Weighted Av Calcs'!$D$6</f>
        <v>3.8983203676277751E-5</v>
      </c>
      <c r="O358" s="112">
        <f>G358/'CGE-Flood Weighted Av Calcs'!$D$7</f>
        <v>1.7361527875694768E-4</v>
      </c>
      <c r="P358" s="112">
        <f>H358/'CGE-Flood Weighted Av Calcs'!$D$8</f>
        <v>4.1575422785472256E-4</v>
      </c>
      <c r="R358" s="1">
        <f t="shared" si="45"/>
        <v>1.8434133077258608E-3</v>
      </c>
      <c r="S358" s="1">
        <f t="shared" si="46"/>
        <v>2.1383594369620007E-3</v>
      </c>
      <c r="T358" s="1">
        <f t="shared" si="47"/>
        <v>5.1615572616324989E-2</v>
      </c>
    </row>
    <row r="359" spans="1:20">
      <c r="A359">
        <v>306</v>
      </c>
      <c r="B359">
        <v>0.82290497340098701</v>
      </c>
      <c r="C359" s="1">
        <f t="shared" si="41"/>
        <v>18.238820017180586</v>
      </c>
      <c r="D359" s="1">
        <f t="shared" si="50"/>
        <v>58.664147292418306</v>
      </c>
      <c r="E359" s="1">
        <f t="shared" si="48"/>
        <v>70.332698399000606</v>
      </c>
      <c r="F359" s="1">
        <f t="shared" si="42"/>
        <v>3.7635482266448417</v>
      </c>
      <c r="G359" s="1">
        <f t="shared" si="49"/>
        <v>2.8066689351581431</v>
      </c>
      <c r="H359" s="1">
        <f t="shared" si="43"/>
        <v>1.0979261224022432</v>
      </c>
      <c r="I359" s="1">
        <f t="shared" si="44"/>
        <v>28.335204255842058</v>
      </c>
      <c r="K359" s="112">
        <f>C359/'CGE-Flood Weighted Av Calcs'!$D$3</f>
        <v>3.0743565757854344E-3</v>
      </c>
      <c r="L359" s="112">
        <f>D359/'CGE-Flood Weighted Av Calcs'!$D$4</f>
        <v>3.0133999593959428E-3</v>
      </c>
      <c r="M359" s="112">
        <f>E359/'CGE-Flood Weighted Av Calcs'!$D$5</f>
        <v>3.0129446075028866E-3</v>
      </c>
      <c r="N359" s="112">
        <f>F359/'CGE-Flood Weighted Av Calcs'!$D$6</f>
        <v>1.0403001780313257E-3</v>
      </c>
      <c r="O359" s="112">
        <f>G359/'CGE-Flood Weighted Av Calcs'!$D$7</f>
        <v>4.6330724098419306E-3</v>
      </c>
      <c r="P359" s="112">
        <f>H359/'CGE-Flood Weighted Av Calcs'!$D$8</f>
        <v>1.1094757651171124E-2</v>
      </c>
      <c r="R359" s="1">
        <f t="shared" si="45"/>
        <v>4.9193062944170252E-2</v>
      </c>
      <c r="S359" s="1">
        <f t="shared" si="46"/>
        <v>5.7063953015237506E-2</v>
      </c>
      <c r="T359" s="1">
        <f t="shared" si="47"/>
        <v>1.3774057624367684</v>
      </c>
    </row>
    <row r="360" spans="1:20">
      <c r="A360">
        <v>307</v>
      </c>
      <c r="B360">
        <v>0.55340598522314188</v>
      </c>
      <c r="C360" s="1">
        <f t="shared" si="41"/>
        <v>45.994221366296649</v>
      </c>
      <c r="D360" s="1">
        <f t="shared" si="50"/>
        <v>147.9378476398617</v>
      </c>
      <c r="E360" s="1">
        <f t="shared" si="48"/>
        <v>177.36332155289691</v>
      </c>
      <c r="F360" s="1">
        <f t="shared" si="42"/>
        <v>9.4908261661652595</v>
      </c>
      <c r="G360" s="1">
        <f t="shared" si="49"/>
        <v>7.0777907882182713</v>
      </c>
      <c r="H360" s="1">
        <f t="shared" si="43"/>
        <v>2.7687239125140892</v>
      </c>
      <c r="I360" s="1">
        <f t="shared" si="44"/>
        <v>71.455042364297285</v>
      </c>
      <c r="K360" s="112">
        <f>C360/'CGE-Flood Weighted Av Calcs'!$D$3</f>
        <v>7.7528390966305231E-3</v>
      </c>
      <c r="L360" s="112">
        <f>D360/'CGE-Flood Weighted Av Calcs'!$D$4</f>
        <v>7.5991201550916704E-3</v>
      </c>
      <c r="M360" s="112">
        <f>E360/'CGE-Flood Weighted Av Calcs'!$D$5</f>
        <v>7.5979718595468341E-3</v>
      </c>
      <c r="N360" s="112">
        <f>F360/'CGE-Flood Weighted Av Calcs'!$D$6</f>
        <v>2.623404180242967E-3</v>
      </c>
      <c r="O360" s="112">
        <f>G360/'CGE-Flood Weighted Av Calcs'!$D$7</f>
        <v>1.1683571515241704E-2</v>
      </c>
      <c r="P360" s="112">
        <f>H360/'CGE-Flood Weighted Av Calcs'!$D$8</f>
        <v>2.7978495260805883E-2</v>
      </c>
      <c r="R360" s="1">
        <f t="shared" si="45"/>
        <v>0.1240538929935717</v>
      </c>
      <c r="S360" s="1">
        <f t="shared" si="46"/>
        <v>0.14390251587254316</v>
      </c>
      <c r="T360" s="1">
        <f t="shared" si="47"/>
        <v>3.4735090038200078</v>
      </c>
    </row>
    <row r="361" spans="1:20">
      <c r="A361">
        <v>308</v>
      </c>
      <c r="B361">
        <v>0.7216890652059974</v>
      </c>
      <c r="C361" s="1">
        <f t="shared" si="41"/>
        <v>28.662933940062345</v>
      </c>
      <c r="D361" s="1">
        <f t="shared" si="50"/>
        <v>92.192728307464449</v>
      </c>
      <c r="E361" s="1">
        <f t="shared" si="48"/>
        <v>110.53025832471118</v>
      </c>
      <c r="F361" s="1">
        <f t="shared" si="42"/>
        <v>5.9145456832703314</v>
      </c>
      <c r="G361" s="1">
        <f t="shared" si="49"/>
        <v>4.4107769145308335</v>
      </c>
      <c r="H361" s="1">
        <f t="shared" si="43"/>
        <v>1.7254287222441169</v>
      </c>
      <c r="I361" s="1">
        <f t="shared" si="44"/>
        <v>44.529749567040398</v>
      </c>
      <c r="K361" s="112">
        <f>C361/'CGE-Flood Weighted Av Calcs'!$D$3</f>
        <v>4.8314572629658556E-3</v>
      </c>
      <c r="L361" s="112">
        <f>D361/'CGE-Flood Weighted Av Calcs'!$D$4</f>
        <v>4.7356618405023487E-3</v>
      </c>
      <c r="M361" s="112">
        <f>E361/'CGE-Flood Weighted Av Calcs'!$D$5</f>
        <v>4.7349462393166432E-3</v>
      </c>
      <c r="N361" s="112">
        <f>F361/'CGE-Flood Weighted Av Calcs'!$D$6</f>
        <v>1.6348675655913606E-3</v>
      </c>
      <c r="O361" s="112">
        <f>G361/'CGE-Flood Weighted Av Calcs'!$D$7</f>
        <v>7.2810328901613324E-3</v>
      </c>
      <c r="P361" s="112">
        <f>H361/'CGE-Flood Weighted Av Calcs'!$D$8</f>
        <v>1.7435793836276813E-2</v>
      </c>
      <c r="R361" s="1">
        <f t="shared" si="45"/>
        <v>7.7308592998334036E-2</v>
      </c>
      <c r="S361" s="1">
        <f t="shared" si="46"/>
        <v>8.9677967878067505E-2</v>
      </c>
      <c r="T361" s="1">
        <f t="shared" si="47"/>
        <v>2.1646406039533543</v>
      </c>
    </row>
    <row r="362" spans="1:20">
      <c r="A362">
        <v>309</v>
      </c>
      <c r="B362">
        <v>5.9026576802930442E-2</v>
      </c>
      <c r="C362" s="1">
        <f t="shared" si="41"/>
        <v>102.95384251086593</v>
      </c>
      <c r="D362" s="1">
        <f t="shared" si="50"/>
        <v>329.4956589650742</v>
      </c>
      <c r="E362" s="1">
        <f t="shared" si="48"/>
        <v>394.98031467011015</v>
      </c>
      <c r="F362" s="1">
        <f t="shared" si="42"/>
        <v>24.169733792885506</v>
      </c>
      <c r="G362" s="1">
        <f t="shared" si="49"/>
        <v>15.955029087645762</v>
      </c>
      <c r="H362" s="1">
        <f t="shared" si="43"/>
        <v>6.12621619453662</v>
      </c>
      <c r="I362" s="1">
        <f t="shared" si="44"/>
        <v>210.92325788854694</v>
      </c>
      <c r="K362" s="112">
        <f>C362/'CGE-Flood Weighted Av Calcs'!$D$3</f>
        <v>1.7354018649644355E-2</v>
      </c>
      <c r="L362" s="112">
        <f>D362/'CGE-Flood Weighted Av Calcs'!$D$4</f>
        <v>1.6925196242898694E-2</v>
      </c>
      <c r="M362" s="112">
        <f>E362/'CGE-Flood Weighted Av Calcs'!$D$5</f>
        <v>1.6920349087189462E-2</v>
      </c>
      <c r="N362" s="112">
        <f>F362/'CGE-Flood Weighted Av Calcs'!$D$6</f>
        <v>6.6808705119540662E-3</v>
      </c>
      <c r="O362" s="112">
        <f>G362/'CGE-Flood Weighted Av Calcs'!$D$7</f>
        <v>2.633755771413487E-2</v>
      </c>
      <c r="P362" s="112">
        <f>H362/'CGE-Flood Weighted Av Calcs'!$D$8</f>
        <v>6.1906609752893832E-2</v>
      </c>
      <c r="R362" s="1">
        <f t="shared" si="45"/>
        <v>0.27731561546471301</v>
      </c>
      <c r="S362" s="1">
        <f t="shared" si="46"/>
        <v>0.33097342319706952</v>
      </c>
      <c r="T362" s="1">
        <f t="shared" si="47"/>
        <v>7.6828903866178262</v>
      </c>
    </row>
    <row r="363" spans="1:20">
      <c r="A363">
        <v>310</v>
      </c>
      <c r="B363">
        <v>0.15700520428832554</v>
      </c>
      <c r="C363" s="1">
        <f t="shared" si="41"/>
        <v>86.819097349461231</v>
      </c>
      <c r="D363" s="1">
        <f t="shared" si="50"/>
        <v>279.24878418153935</v>
      </c>
      <c r="E363" s="1">
        <f t="shared" si="48"/>
        <v>334.79256790741942</v>
      </c>
      <c r="F363" s="1">
        <f t="shared" si="42"/>
        <v>17.914967062599523</v>
      </c>
      <c r="G363" s="1">
        <f t="shared" si="49"/>
        <v>13.360100230150266</v>
      </c>
      <c r="H363" s="1">
        <f t="shared" si="43"/>
        <v>5.2262676430584101</v>
      </c>
      <c r="I363" s="1">
        <f t="shared" si="44"/>
        <v>134.87916731386792</v>
      </c>
      <c r="K363" s="112">
        <f>C363/'CGE-Flood Weighted Av Calcs'!$D$3</f>
        <v>1.4634327362660829E-2</v>
      </c>
      <c r="L363" s="112">
        <f>D363/'CGE-Flood Weighted Av Calcs'!$D$4</f>
        <v>1.4344166134718029E-2</v>
      </c>
      <c r="M363" s="112">
        <f>E363/'CGE-Flood Weighted Av Calcs'!$D$5</f>
        <v>1.4341998601933872E-2</v>
      </c>
      <c r="N363" s="112">
        <f>F363/'CGE-Flood Weighted Av Calcs'!$D$6</f>
        <v>4.9519608365062012E-3</v>
      </c>
      <c r="O363" s="112">
        <f>G363/'CGE-Flood Weighted Av Calcs'!$D$7</f>
        <v>2.205401249632755E-2</v>
      </c>
      <c r="P363" s="112">
        <f>H363/'CGE-Flood Weighted Av Calcs'!$D$8</f>
        <v>5.2812454077531205E-2</v>
      </c>
      <c r="R363" s="1">
        <f t="shared" si="45"/>
        <v>0.23416522103102069</v>
      </c>
      <c r="S363" s="1">
        <f t="shared" si="46"/>
        <v>0.27163165639598397</v>
      </c>
      <c r="T363" s="1">
        <f t="shared" si="47"/>
        <v>6.5566261888685791</v>
      </c>
    </row>
    <row r="364" spans="1:20">
      <c r="A364">
        <v>311</v>
      </c>
      <c r="B364">
        <v>7.8286663771108489E-2</v>
      </c>
      <c r="C364" s="1">
        <f t="shared" si="41"/>
        <v>98.129190725337324</v>
      </c>
      <c r="D364" s="1">
        <f t="shared" si="50"/>
        <v>314.7528669470521</v>
      </c>
      <c r="E364" s="1">
        <f t="shared" si="48"/>
        <v>377.33024159583925</v>
      </c>
      <c r="F364" s="1">
        <f t="shared" si="42"/>
        <v>21.799057775926105</v>
      </c>
      <c r="G364" s="1">
        <f t="shared" si="49"/>
        <v>15.159922909180363</v>
      </c>
      <c r="H364" s="1">
        <f t="shared" si="43"/>
        <v>5.8693096147107413</v>
      </c>
      <c r="I364" s="1">
        <f t="shared" si="44"/>
        <v>179.4651158405228</v>
      </c>
      <c r="K364" s="112">
        <f>C364/'CGE-Flood Weighted Av Calcs'!$D$3</f>
        <v>1.6540769770125686E-2</v>
      </c>
      <c r="L364" s="112">
        <f>D364/'CGE-Flood Weighted Av Calcs'!$D$4</f>
        <v>1.616790357064618E-2</v>
      </c>
      <c r="M364" s="112">
        <f>E364/'CGE-Flood Weighted Av Calcs'!$D$5</f>
        <v>1.6164247107574359E-2</v>
      </c>
      <c r="N364" s="112">
        <f>F364/'CGE-Flood Weighted Av Calcs'!$D$6</f>
        <v>6.0255807338033922E-3</v>
      </c>
      <c r="O364" s="112">
        <f>G364/'CGE-Flood Weighted Av Calcs'!$D$7</f>
        <v>2.5025046483402438E-2</v>
      </c>
      <c r="P364" s="112">
        <f>H364/'CGE-Flood Weighted Av Calcs'!$D$8</f>
        <v>5.9310518646214512E-2</v>
      </c>
      <c r="R364" s="1">
        <f t="shared" si="45"/>
        <v>0.26447555748592766</v>
      </c>
      <c r="S364" s="1">
        <f t="shared" si="46"/>
        <v>0.31171333622889152</v>
      </c>
      <c r="T364" s="1">
        <f t="shared" si="47"/>
        <v>7.3618889371481924</v>
      </c>
    </row>
    <row r="365" spans="1:20">
      <c r="A365">
        <v>312</v>
      </c>
      <c r="B365">
        <v>0.48705231462936116</v>
      </c>
      <c r="C365" s="1">
        <f t="shared" si="41"/>
        <v>52.827912174449466</v>
      </c>
      <c r="D365" s="1">
        <f t="shared" si="50"/>
        <v>169.9180329666915</v>
      </c>
      <c r="E365" s="1">
        <f t="shared" si="48"/>
        <v>203.71546023890235</v>
      </c>
      <c r="F365" s="1">
        <f t="shared" si="42"/>
        <v>10.900946168349394</v>
      </c>
      <c r="G365" s="1">
        <f t="shared" si="49"/>
        <v>8.1293888458585783</v>
      </c>
      <c r="H365" s="1">
        <f t="shared" si="43"/>
        <v>3.1800930495319184</v>
      </c>
      <c r="I365" s="1">
        <f t="shared" si="44"/>
        <v>82.071629659302204</v>
      </c>
      <c r="K365" s="112">
        <f>C365/'CGE-Flood Weighted Av Calcs'!$D$3</f>
        <v>8.9047339151077532E-3</v>
      </c>
      <c r="L365" s="112">
        <f>D365/'CGE-Flood Weighted Av Calcs'!$D$4</f>
        <v>8.728175849726209E-3</v>
      </c>
      <c r="M365" s="112">
        <f>E365/'CGE-Flood Weighted Av Calcs'!$D$5</f>
        <v>8.7268569436899507E-3</v>
      </c>
      <c r="N365" s="112">
        <f>F365/'CGE-Flood Weighted Av Calcs'!$D$6</f>
        <v>3.0131821240812094E-3</v>
      </c>
      <c r="O365" s="112">
        <f>G365/'CGE-Flood Weighted Av Calcs'!$D$7</f>
        <v>1.3419483395002523E-2</v>
      </c>
      <c r="P365" s="112">
        <f>H365/'CGE-Flood Weighted Av Calcs'!$D$8</f>
        <v>3.2135460640587706E-2</v>
      </c>
      <c r="R365" s="1">
        <f t="shared" si="45"/>
        <v>0.14248546815851076</v>
      </c>
      <c r="S365" s="1">
        <f t="shared" si="46"/>
        <v>0.16528314306387248</v>
      </c>
      <c r="T365" s="1">
        <f t="shared" si="47"/>
        <v>3.9895931084383025</v>
      </c>
    </row>
    <row r="366" spans="1:20">
      <c r="A366">
        <v>313</v>
      </c>
      <c r="B366">
        <v>0.81563750444271566</v>
      </c>
      <c r="C366" s="1">
        <f t="shared" si="41"/>
        <v>18.987288570227435</v>
      </c>
      <c r="D366" s="1">
        <f t="shared" si="50"/>
        <v>61.071554646530217</v>
      </c>
      <c r="E366" s="1">
        <f t="shared" si="48"/>
        <v>73.218949425821052</v>
      </c>
      <c r="F366" s="1">
        <f t="shared" si="42"/>
        <v>3.9179933877279325</v>
      </c>
      <c r="G366" s="1">
        <f t="shared" si="49"/>
        <v>2.9218465307921004</v>
      </c>
      <c r="H366" s="1">
        <f t="shared" si="43"/>
        <v>1.1429818428607312</v>
      </c>
      <c r="I366" s="1">
        <f t="shared" si="44"/>
        <v>29.497999289165477</v>
      </c>
      <c r="K366" s="112">
        <f>C366/'CGE-Flood Weighted Av Calcs'!$D$3</f>
        <v>3.2005192998904278E-3</v>
      </c>
      <c r="L366" s="112">
        <f>D366/'CGE-Flood Weighted Av Calcs'!$D$4</f>
        <v>3.1370611998290392E-3</v>
      </c>
      <c r="M366" s="112">
        <f>E366/'CGE-Flood Weighted Av Calcs'!$D$5</f>
        <v>3.1365871616080183E-3</v>
      </c>
      <c r="N366" s="112">
        <f>F366/'CGE-Flood Weighted Av Calcs'!$D$6</f>
        <v>1.0829910959883012E-3</v>
      </c>
      <c r="O366" s="112">
        <f>G366/'CGE-Flood Weighted Av Calcs'!$D$7</f>
        <v>4.823200334756435E-3</v>
      </c>
      <c r="P366" s="112">
        <f>H366/'CGE-Flood Weighted Av Calcs'!$D$8</f>
        <v>1.1550054495909734E-2</v>
      </c>
      <c r="R366" s="1">
        <f t="shared" si="45"/>
        <v>5.1211804321467852E-2</v>
      </c>
      <c r="S366" s="1">
        <f t="shared" si="46"/>
        <v>5.9405693012902744E-2</v>
      </c>
      <c r="T366" s="1">
        <f t="shared" si="47"/>
        <v>1.4339305210011011</v>
      </c>
    </row>
    <row r="367" spans="1:20">
      <c r="A367">
        <v>314</v>
      </c>
      <c r="B367">
        <v>0.80984425155472417</v>
      </c>
      <c r="C367" s="1">
        <f t="shared" si="41"/>
        <v>19.583929248214034</v>
      </c>
      <c r="D367" s="1">
        <f t="shared" si="50"/>
        <v>62.990616108899104</v>
      </c>
      <c r="E367" s="1">
        <f t="shared" si="48"/>
        <v>75.519720463523981</v>
      </c>
      <c r="F367" s="1">
        <f t="shared" si="42"/>
        <v>4.041109135537571</v>
      </c>
      <c r="G367" s="1">
        <f t="shared" si="49"/>
        <v>3.0136601927932194</v>
      </c>
      <c r="H367" s="1">
        <f t="shared" si="43"/>
        <v>1.1788979484767852</v>
      </c>
      <c r="I367" s="1">
        <f t="shared" si="44"/>
        <v>30.424919751244104</v>
      </c>
      <c r="K367" s="112">
        <f>C367/'CGE-Flood Weighted Av Calcs'!$D$3</f>
        <v>3.301089741948704E-3</v>
      </c>
      <c r="L367" s="112">
        <f>D367/'CGE-Flood Weighted Av Calcs'!$D$4</f>
        <v>3.2356375876175666E-3</v>
      </c>
      <c r="M367" s="112">
        <f>E367/'CGE-Flood Weighted Av Calcs'!$D$5</f>
        <v>3.2351486536159003E-3</v>
      </c>
      <c r="N367" s="112">
        <f>F367/'CGE-Flood Weighted Av Calcs'!$D$6</f>
        <v>1.1170221025416586E-3</v>
      </c>
      <c r="O367" s="112">
        <f>G367/'CGE-Flood Weighted Av Calcs'!$D$7</f>
        <v>4.9747605486938039E-3</v>
      </c>
      <c r="P367" s="112">
        <f>H367/'CGE-Flood Weighted Av Calcs'!$D$8</f>
        <v>1.1912993749702254E-2</v>
      </c>
      <c r="R367" s="1">
        <f t="shared" si="45"/>
        <v>5.2821041234798832E-2</v>
      </c>
      <c r="S367" s="1">
        <f t="shared" si="46"/>
        <v>6.1272407832366649E-2</v>
      </c>
      <c r="T367" s="1">
        <f t="shared" si="47"/>
        <v>1.4789891545743679</v>
      </c>
    </row>
    <row r="368" spans="1:20">
      <c r="A368">
        <v>315</v>
      </c>
      <c r="B368">
        <v>0.44662226497685253</v>
      </c>
      <c r="C368" s="1">
        <f t="shared" si="41"/>
        <v>56.991758065883936</v>
      </c>
      <c r="D368" s="1">
        <f t="shared" si="50"/>
        <v>183.31081103281349</v>
      </c>
      <c r="E368" s="1">
        <f t="shared" si="48"/>
        <v>219.77211944088558</v>
      </c>
      <c r="F368" s="1">
        <f t="shared" si="42"/>
        <v>11.760148397768241</v>
      </c>
      <c r="G368" s="1">
        <f t="shared" si="49"/>
        <v>8.7701395579806629</v>
      </c>
      <c r="H368" s="1">
        <f t="shared" si="43"/>
        <v>3.4307449650372424</v>
      </c>
      <c r="I368" s="1">
        <f t="shared" si="44"/>
        <v>88.54043760370358</v>
      </c>
      <c r="K368" s="112">
        <f>C368/'CGE-Flood Weighted Av Calcs'!$D$3</f>
        <v>9.60659658960261E-3</v>
      </c>
      <c r="L368" s="112">
        <f>D368/'CGE-Flood Weighted Av Calcs'!$D$4</f>
        <v>9.4161223851029641E-3</v>
      </c>
      <c r="M368" s="112">
        <f>E368/'CGE-Flood Weighted Av Calcs'!$D$5</f>
        <v>9.4146995241448823E-3</v>
      </c>
      <c r="N368" s="112">
        <f>F368/'CGE-Flood Weighted Av Calcs'!$D$6</f>
        <v>3.2506782788803666E-3</v>
      </c>
      <c r="O368" s="112">
        <f>G368/'CGE-Flood Weighted Av Calcs'!$D$7</f>
        <v>1.4477194337939986E-2</v>
      </c>
      <c r="P368" s="112">
        <f>H368/'CGE-Flood Weighted Av Calcs'!$D$8</f>
        <v>3.4668347144142957E-2</v>
      </c>
      <c r="R368" s="1">
        <f t="shared" si="45"/>
        <v>0.15371603750642984</v>
      </c>
      <c r="S368" s="1">
        <f t="shared" si="46"/>
        <v>0.17831060350745861</v>
      </c>
      <c r="T368" s="1">
        <f t="shared" si="47"/>
        <v>4.3040490501800361</v>
      </c>
    </row>
    <row r="369" spans="1:20">
      <c r="A369">
        <v>316</v>
      </c>
      <c r="B369">
        <v>0.44318733174967306</v>
      </c>
      <c r="C369" s="1">
        <f t="shared" si="41"/>
        <v>57.345518022358675</v>
      </c>
      <c r="D369" s="1">
        <f t="shared" si="50"/>
        <v>184.44866020141347</v>
      </c>
      <c r="E369" s="1">
        <f t="shared" si="48"/>
        <v>221.13629170098486</v>
      </c>
      <c r="F369" s="1">
        <f t="shared" si="42"/>
        <v>11.833146138608619</v>
      </c>
      <c r="G369" s="1">
        <f t="shared" si="49"/>
        <v>8.8245776783966363</v>
      </c>
      <c r="H369" s="1">
        <f t="shared" si="43"/>
        <v>3.452040328273879</v>
      </c>
      <c r="I369" s="1">
        <f t="shared" si="44"/>
        <v>89.090026920052296</v>
      </c>
      <c r="K369" s="112">
        <f>C369/'CGE-Flood Weighted Av Calcs'!$D$3</f>
        <v>9.6662267766110463E-3</v>
      </c>
      <c r="L369" s="112">
        <f>D369/'CGE-Flood Weighted Av Calcs'!$D$4</f>
        <v>9.4745702582369022E-3</v>
      </c>
      <c r="M369" s="112">
        <f>E369/'CGE-Flood Weighted Av Calcs'!$D$5</f>
        <v>9.4731385652784099E-3</v>
      </c>
      <c r="N369" s="112">
        <f>F369/'CGE-Flood Weighted Av Calcs'!$D$6</f>
        <v>3.2708559299210785E-3</v>
      </c>
      <c r="O369" s="112">
        <f>G369/'CGE-Flood Weighted Av Calcs'!$D$7</f>
        <v>1.4567057360465898E-2</v>
      </c>
      <c r="P369" s="112">
        <f>H369/'CGE-Flood Weighted Av Calcs'!$D$8</f>
        <v>3.4883540943965473E-2</v>
      </c>
      <c r="R369" s="1">
        <f t="shared" si="45"/>
        <v>0.1546701856250908</v>
      </c>
      <c r="S369" s="1">
        <f t="shared" si="46"/>
        <v>0.17941741532510533</v>
      </c>
      <c r="T369" s="1">
        <f t="shared" si="47"/>
        <v>4.3307651975025436</v>
      </c>
    </row>
    <row r="370" spans="1:20">
      <c r="A370">
        <v>317</v>
      </c>
      <c r="B370">
        <v>0.4204058378501494</v>
      </c>
      <c r="C370" s="1">
        <f t="shared" si="41"/>
        <v>59.691758766299614</v>
      </c>
      <c r="D370" s="1">
        <f t="shared" si="50"/>
        <v>191.99521268980749</v>
      </c>
      <c r="E370" s="1">
        <f t="shared" si="48"/>
        <v>230.18388592361561</v>
      </c>
      <c r="F370" s="1">
        <f t="shared" si="42"/>
        <v>12.31728876312177</v>
      </c>
      <c r="G370" s="1">
        <f t="shared" si="49"/>
        <v>9.1856274066256738</v>
      </c>
      <c r="H370" s="1">
        <f t="shared" si="43"/>
        <v>3.5932774806659031</v>
      </c>
      <c r="I370" s="1">
        <f t="shared" si="44"/>
        <v>92.735065943976082</v>
      </c>
      <c r="K370" s="112">
        <f>C370/'CGE-Flood Weighted Av Calcs'!$D$3</f>
        <v>1.0061711827327917E-2</v>
      </c>
      <c r="L370" s="112">
        <f>D370/'CGE-Flood Weighted Av Calcs'!$D$4</f>
        <v>9.862213853374352E-3</v>
      </c>
      <c r="M370" s="112">
        <f>E370/'CGE-Flood Weighted Av Calcs'!$D$5</f>
        <v>9.8607235839748755E-3</v>
      </c>
      <c r="N370" s="112">
        <f>F370/'CGE-Flood Weighted Av Calcs'!$D$6</f>
        <v>3.4046800841880179E-3</v>
      </c>
      <c r="O370" s="112">
        <f>G370/'CGE-Flood Weighted Av Calcs'!$D$7</f>
        <v>1.5163055525224376E-2</v>
      </c>
      <c r="P370" s="112">
        <f>H370/'CGE-Flood Weighted Av Calcs'!$D$8</f>
        <v>3.6310769921542294E-2</v>
      </c>
      <c r="R370" s="1">
        <f t="shared" si="45"/>
        <v>0.16099837837495851</v>
      </c>
      <c r="S370" s="1">
        <f t="shared" si="46"/>
        <v>0.18675811891495184</v>
      </c>
      <c r="T370" s="1">
        <f t="shared" si="47"/>
        <v>4.5079545944988375</v>
      </c>
    </row>
    <row r="371" spans="1:20">
      <c r="A371">
        <v>318</v>
      </c>
      <c r="B371">
        <v>0.2998982634501417</v>
      </c>
      <c r="C371" s="1">
        <f t="shared" si="41"/>
        <v>72.102699956451517</v>
      </c>
      <c r="D371" s="1">
        <f t="shared" si="50"/>
        <v>231.91431279226913</v>
      </c>
      <c r="E371" s="1">
        <f t="shared" si="48"/>
        <v>278.04306665748106</v>
      </c>
      <c r="F371" s="1">
        <f t="shared" si="42"/>
        <v>14.878264509534675</v>
      </c>
      <c r="G371" s="1">
        <f t="shared" si="49"/>
        <v>11.095477005539511</v>
      </c>
      <c r="H371" s="1">
        <f t="shared" si="43"/>
        <v>4.3403815435071449</v>
      </c>
      <c r="I371" s="1">
        <f t="shared" si="44"/>
        <v>112.01627784797732</v>
      </c>
      <c r="K371" s="112">
        <f>C371/'CGE-Flood Weighted Av Calcs'!$D$3</f>
        <v>1.2153714414320275E-2</v>
      </c>
      <c r="L371" s="112">
        <f>D371/'CGE-Flood Weighted Av Calcs'!$D$4</f>
        <v>1.1912737387420961E-2</v>
      </c>
      <c r="M371" s="112">
        <f>E371/'CGE-Flood Weighted Av Calcs'!$D$5</f>
        <v>1.1910937265434521E-2</v>
      </c>
      <c r="N371" s="112">
        <f>F371/'CGE-Flood Weighted Av Calcs'!$D$6</f>
        <v>4.1125715112369917E-3</v>
      </c>
      <c r="O371" s="112">
        <f>G371/'CGE-Flood Weighted Av Calcs'!$D$7</f>
        <v>1.8315715025899258E-2</v>
      </c>
      <c r="P371" s="112">
        <f>H371/'CGE-Flood Weighted Av Calcs'!$D$8</f>
        <v>4.3860402222204602E-2</v>
      </c>
      <c r="R371" s="1">
        <f t="shared" si="45"/>
        <v>0.19447270459718285</v>
      </c>
      <c r="S371" s="1">
        <f t="shared" si="46"/>
        <v>0.22558833733273209</v>
      </c>
      <c r="T371" s="1">
        <f t="shared" si="47"/>
        <v>5.4452357287211202</v>
      </c>
    </row>
    <row r="372" spans="1:20">
      <c r="A372">
        <v>319</v>
      </c>
      <c r="B372">
        <v>2.4964238616656642E-2</v>
      </c>
      <c r="C372" s="1">
        <f t="shared" si="41"/>
        <v>128.19870700411366</v>
      </c>
      <c r="D372" s="1">
        <f t="shared" si="50"/>
        <v>408.00325220118629</v>
      </c>
      <c r="E372" s="1">
        <f t="shared" si="48"/>
        <v>489.06570702262883</v>
      </c>
      <c r="F372" s="1">
        <f t="shared" si="42"/>
        <v>28.561859501234338</v>
      </c>
      <c r="G372" s="1">
        <f t="shared" si="49"/>
        <v>18.963796208503524</v>
      </c>
      <c r="H372" s="1">
        <f t="shared" si="43"/>
        <v>7.1600347522865988</v>
      </c>
      <c r="I372" s="1">
        <f t="shared" si="44"/>
        <v>286.10490005780719</v>
      </c>
      <c r="K372" s="112">
        <f>C372/'CGE-Flood Weighted Av Calcs'!$D$3</f>
        <v>2.1609322177313348E-2</v>
      </c>
      <c r="L372" s="112">
        <f>D372/'CGE-Flood Weighted Av Calcs'!$D$4</f>
        <v>2.095789405218822E-2</v>
      </c>
      <c r="M372" s="112">
        <f>E372/'CGE-Flood Weighted Av Calcs'!$D$5</f>
        <v>2.0950822565189028E-2</v>
      </c>
      <c r="N372" s="112">
        <f>F372/'CGE-Flood Weighted Av Calcs'!$D$6</f>
        <v>7.8949187667321317E-3</v>
      </c>
      <c r="O372" s="112">
        <f>G372/'CGE-Flood Weighted Av Calcs'!$D$7</f>
        <v>3.1304241087676467E-2</v>
      </c>
      <c r="P372" s="112">
        <f>H372/'CGE-Flood Weighted Av Calcs'!$D$8</f>
        <v>7.2353547957099404E-2</v>
      </c>
      <c r="R372" s="1">
        <f t="shared" si="45"/>
        <v>0.3100476818444578</v>
      </c>
      <c r="S372" s="1">
        <f t="shared" si="46"/>
        <v>0.3700476818444578</v>
      </c>
      <c r="T372" s="1">
        <f t="shared" si="47"/>
        <v>11.007152276668672</v>
      </c>
    </row>
    <row r="373" spans="1:20">
      <c r="A373">
        <v>320</v>
      </c>
      <c r="B373">
        <v>0.70329101832765906</v>
      </c>
      <c r="C373" s="1">
        <f t="shared" si="41"/>
        <v>30.557728345788099</v>
      </c>
      <c r="D373" s="1">
        <f t="shared" si="50"/>
        <v>98.287228828969631</v>
      </c>
      <c r="E373" s="1">
        <f t="shared" si="48"/>
        <v>117.83698120154693</v>
      </c>
      <c r="F373" s="1">
        <f t="shared" si="42"/>
        <v>6.3055331549822267</v>
      </c>
      <c r="G373" s="1">
        <f t="shared" si="49"/>
        <v>4.7023561171356292</v>
      </c>
      <c r="H373" s="1">
        <f t="shared" si="43"/>
        <v>1.8394900635298086</v>
      </c>
      <c r="I373" s="1">
        <f t="shared" si="44"/>
        <v>47.473437067574537</v>
      </c>
      <c r="K373" s="112">
        <f>C373/'CGE-Flood Weighted Av Calcs'!$D$3</f>
        <v>5.1508459972982928E-3</v>
      </c>
      <c r="L373" s="112">
        <f>D373/'CGE-Flood Weighted Av Calcs'!$D$4</f>
        <v>5.048717914299841E-3</v>
      </c>
      <c r="M373" s="112">
        <f>E373/'CGE-Flood Weighted Av Calcs'!$D$5</f>
        <v>5.0479550075198699E-3</v>
      </c>
      <c r="N373" s="112">
        <f>F373/'CGE-Flood Weighted Av Calcs'!$D$6</f>
        <v>1.7429422631733576E-3</v>
      </c>
      <c r="O373" s="112">
        <f>G373/'CGE-Flood Weighted Av Calcs'!$D$7</f>
        <v>7.762353484104441E-3</v>
      </c>
      <c r="P373" s="112">
        <f>H373/'CGE-Flood Weighted Av Calcs'!$D$8</f>
        <v>1.858840594114541E-2</v>
      </c>
      <c r="R373" s="1">
        <f t="shared" si="45"/>
        <v>8.241916157565024E-2</v>
      </c>
      <c r="S373" s="1">
        <f t="shared" si="46"/>
        <v>9.5606227427754292E-2</v>
      </c>
      <c r="T373" s="1">
        <f t="shared" si="47"/>
        <v>2.3077365241182077</v>
      </c>
    </row>
    <row r="374" spans="1:20">
      <c r="A374">
        <v>321</v>
      </c>
      <c r="B374">
        <v>0.20979827850361399</v>
      </c>
      <c r="C374" s="1">
        <f t="shared" si="41"/>
        <v>81.381997295000019</v>
      </c>
      <c r="D374" s="1">
        <f t="shared" si="50"/>
        <v>261.76065511737443</v>
      </c>
      <c r="E374" s="1">
        <f t="shared" si="48"/>
        <v>313.82597478706452</v>
      </c>
      <c r="F374" s="1">
        <f t="shared" si="42"/>
        <v>16.793031090382978</v>
      </c>
      <c r="G374" s="1">
        <f t="shared" si="49"/>
        <v>12.523415630717396</v>
      </c>
      <c r="H374" s="1">
        <f t="shared" si="43"/>
        <v>4.898969376268977</v>
      </c>
      <c r="I374" s="1">
        <f t="shared" si="44"/>
        <v>126.43227543942176</v>
      </c>
      <c r="K374" s="112">
        <f>C374/'CGE-Flood Weighted Av Calcs'!$D$3</f>
        <v>1.3717843495289452E-2</v>
      </c>
      <c r="L374" s="112">
        <f>D374/'CGE-Flood Weighted Av Calcs'!$D$4</f>
        <v>1.3445853794999144E-2</v>
      </c>
      <c r="M374" s="112">
        <f>E374/'CGE-Flood Weighted Av Calcs'!$D$5</f>
        <v>1.3443822005305837E-2</v>
      </c>
      <c r="N374" s="112">
        <f>F374/'CGE-Flood Weighted Av Calcs'!$D$6</f>
        <v>4.6418412043533483E-3</v>
      </c>
      <c r="O374" s="112">
        <f>G374/'CGE-Flood Weighted Av Calcs'!$D$7</f>
        <v>2.0672866225453369E-2</v>
      </c>
      <c r="P374" s="112">
        <f>H374/'CGE-Flood Weighted Av Calcs'!$D$8</f>
        <v>4.9505041242019196E-2</v>
      </c>
      <c r="R374" s="1">
        <f t="shared" si="45"/>
        <v>0.21950047819344057</v>
      </c>
      <c r="S374" s="1">
        <f t="shared" si="46"/>
        <v>0.25462055470439104</v>
      </c>
      <c r="T374" s="1">
        <f t="shared" si="47"/>
        <v>6.1460133894163356</v>
      </c>
    </row>
    <row r="375" spans="1:20">
      <c r="A375">
        <v>322</v>
      </c>
      <c r="B375">
        <v>5.9276774043845792E-2</v>
      </c>
      <c r="C375" s="1">
        <f t="shared" ref="C375:C438" si="51">IF($B375&lt;=0.005,$F$5,IF(B375&lt;=0.01,$F$5+($B375-0.005)*SLOPE($E$5:$F$5,$E$4:$F$4),IF($B375&lt;=0.04,$E$5+($B375-0.01)*SLOPE($D$5:$E$5,$D$4:$E$4),IF($B375&lt;=0.1,$D$5+($B375-0.04)*SLOPE($C$5:$D$5,$C$4:$D$4),IF($B375&lt;=1,$C$5+($B375-0.1)*SLOPE($B$5:$C$5,$B$4:$C$4),)))))</f>
        <v>102.89116810201662</v>
      </c>
      <c r="D375" s="1">
        <f t="shared" si="50"/>
        <v>329.30414342870137</v>
      </c>
      <c r="E375" s="1">
        <f t="shared" si="48"/>
        <v>394.75103223787437</v>
      </c>
      <c r="F375" s="1">
        <f t="shared" ref="F375:F438" si="52">IF($B375&lt;=0.005,$F$26,IF($B375&lt;=0.01,$F$26+($B375-0.005)*SLOPE($E$26:$F$26,$E$25:$F$25),IF($B375&lt;=0.04,$E$26+($B375-0.01)*SLOPE($D$26:$E$26,$D$25:$E$25),IF($B375&lt;=0.1,$D$26+($B375-0.04)*SLOPE($C$26:$D$26,$C$25:$D$25),IF($B375&lt;=1,$C$26+($B375-0.1)*SLOPE($B$26:$C$26,$B$25:$C$25),)))))</f>
        <v>24.138937639185503</v>
      </c>
      <c r="G375" s="1">
        <f t="shared" si="49"/>
        <v>15.944700298766696</v>
      </c>
      <c r="H375" s="1">
        <f t="shared" ref="H375:H438" si="53">IF($B375&lt;=0.005,$F$40,IF($B375&lt;=0.01,$F$40+($B375-0.005)*SLOPE($E$40:$F$40,$E$39:$F$39),IF($B375&lt;=0.04,$E$40+($B375-0.01)*SLOPE($D$40:$E$40,$D$39:$E$39),IF($B375&lt;=0.1,$D$40+($B375-0.04)*SLOPE($C$40:$D$40,$C$39:$D$39),IF($B375&lt;=1,$C$40+($B375-0.1)*SLOPE($B$40:$C$40,$B$39:$C$39),)))))</f>
        <v>6.1228788618676848</v>
      </c>
      <c r="I375" s="1">
        <f t="shared" ref="I375:I438" si="54">IF($B375&lt;=0.005,$F$47,IF($B375&lt;=0.01,$F$47+($B375-0.005)*SLOPE($E$47:$F$47,$E$46:$F$46),IF($B375&lt;=0.04,$E$47+($B375-0.01)*SLOPE($D$47:$E$47,$D$46:$E$46),IF($B375&lt;=0.1,$D$47+($B375-0.04)*SLOPE($C$47:$D$47,$C$46:$D$46),IF($B375&lt;=1,$C$47+($B375-0.1)*SLOPE($B$47:$C$47,$B$46:$C$46),)))))</f>
        <v>210.51460239505187</v>
      </c>
      <c r="K375" s="112">
        <f>C375/'CGE-Flood Weighted Av Calcs'!$D$3</f>
        <v>1.7343454178872789E-2</v>
      </c>
      <c r="L375" s="112">
        <f>D375/'CGE-Flood Weighted Av Calcs'!$D$4</f>
        <v>1.6915358668568109E-2</v>
      </c>
      <c r="M375" s="112">
        <f>E375/'CGE-Flood Weighted Av Calcs'!$D$5</f>
        <v>1.6910526980494781E-2</v>
      </c>
      <c r="N375" s="112">
        <f>F375/'CGE-Flood Weighted Av Calcs'!$D$6</f>
        <v>6.6723580013530381E-3</v>
      </c>
      <c r="O375" s="112">
        <f>G375/'CGE-Flood Weighted Av Calcs'!$D$7</f>
        <v>2.6320507599608276E-2</v>
      </c>
      <c r="P375" s="112">
        <f>H375/'CGE-Flood Weighted Av Calcs'!$D$8</f>
        <v>6.1872885355224748E-2</v>
      </c>
      <c r="R375" s="1">
        <f t="shared" ref="R375:R438" si="55">IF($B375&lt;=0.005,$F$13,IF($B375&lt;=0.01,$F$13+($B375-0.005)*SLOPE($E$13:$F$13,$E$10:$F$10),IF($B375&lt;=0.04,$E$13+($B375-0.01)*SLOPE($D$13:$E$13,$D$10:$E$10),IF($B375&lt;=0.1,$D$13+($B375-0.04)*SLOPE($C$13:$D$13,$C$10:$D$10),IF($B375&lt;=1,$C$13+($B375-0.1)*SLOPE($B$13:$C$13,$B$10:$C$10),)))))</f>
        <v>0.27714881730410279</v>
      </c>
      <c r="S375" s="1">
        <f t="shared" ref="S375:S438" si="56">IF($B375&lt;=0.005,$F$21,IF($B375&lt;=0.01,$F$21+($B375-0.005)*SLOPE($E$21:$F$21,$E$18:$F$18),IF($B375&lt;=0.04,$E$21+($B375-0.01)*SLOPE($D$21:$E$21,$D$18:$E$18),IF($B375&lt;=0.1,$D$21+($B375-0.04)*SLOPE($C$21:$D$21,$C$18:$D$18),IF($B375&lt;=1,$C$21+($B375-0.1)*SLOPE($B$21:$C$21,$B$18:$C$18),)))))</f>
        <v>0.33072322595615417</v>
      </c>
      <c r="T375" s="1">
        <f t="shared" ref="T375:T438" si="57">IF($B375&lt;=0.005,$F$14,IF($B375&lt;=0.01,$F$14+($B375-0.005)*SLOPE($E$14:$F$14,$E$10:$F$10),IF($B375&lt;=0.04,$E$14+($B375-0.01)*SLOPE($D$14:$E$14,$D$10:$E$10),IF($B375&lt;=0.1,$D$14+($B375-0.04)*SLOPE($C$14:$D$14,$C$10:$D$10),IF($B375&lt;=1,$C$14+($B375-0.1)*SLOPE($B$14:$C$14,$B$10:$C$10),)))))</f>
        <v>7.67872043260257</v>
      </c>
    </row>
    <row r="376" spans="1:20">
      <c r="A376">
        <v>323</v>
      </c>
      <c r="B376">
        <v>0.55793446212085718</v>
      </c>
      <c r="C376" s="1">
        <f t="shared" si="51"/>
        <v>45.527838562241946</v>
      </c>
      <c r="D376" s="1">
        <f t="shared" si="50"/>
        <v>146.43775336370001</v>
      </c>
      <c r="E376" s="1">
        <f t="shared" ref="E376:E439" si="58">IF($B376&lt;=0.005,$F$19,IF($B376&lt;=0.01,$F$19+($B376-0.005)*SLOPE($E$19:$F$19,$E$18:$F$18),IF($B376&lt;=0.04,$E$19+($B376-0.01)*SLOPE($D$19:$E$19,$D$18:$E$18),IF($B376&lt;=0.1,$D$19+($B376-0.04)*SLOPE($C$19:$D$19,$C$18:$D$18),IF($B376&lt;=1,$C$19+($B376-0.1)*SLOPE($B$19:$C$19,$B$18:$C$18),)))))</f>
        <v>175.56485207597018</v>
      </c>
      <c r="F376" s="1">
        <f t="shared" si="52"/>
        <v>9.3945889000765366</v>
      </c>
      <c r="G376" s="1">
        <f t="shared" ref="G376:G439" si="59">IF($B376&lt;=0.005,$F$33,IF($B376&lt;=0.01,$F$33+($B376-0.005)*SLOPE($E$33:$F$33,$E$32:$F$32),IF($B376&lt;=0.04,$E$33+($B376-0.01)*SLOPE($D$33:$E$33,$D$32:$E$32),IF($B376&lt;=0.1,$D$33+($B376-0.04)*SLOPE($C$33:$D$33,$C$32:$D$32),IF($B376&lt;=1,$C$33+($B376-0.1)*SLOPE($B$33:$C$33,$B$32:$C$32),)))))</f>
        <v>7.0060217742799109</v>
      </c>
      <c r="H376" s="1">
        <f t="shared" si="53"/>
        <v>2.7406489678011901</v>
      </c>
      <c r="I376" s="1">
        <f t="shared" si="54"/>
        <v>70.730486060662841</v>
      </c>
      <c r="K376" s="112">
        <f>C376/'CGE-Flood Weighted Av Calcs'!$D$3</f>
        <v>7.6742250723061314E-3</v>
      </c>
      <c r="L376" s="112">
        <f>D376/'CGE-Flood Weighted Av Calcs'!$D$4</f>
        <v>7.5220648455114709E-3</v>
      </c>
      <c r="M376" s="112">
        <f>E376/'CGE-Flood Weighted Av Calcs'!$D$5</f>
        <v>7.520928193718396E-3</v>
      </c>
      <c r="N376" s="112">
        <f>F376/'CGE-Flood Weighted Av Calcs'!$D$6</f>
        <v>2.5968027820367327E-3</v>
      </c>
      <c r="O376" s="112">
        <f>G376/'CGE-Flood Weighted Av Calcs'!$D$7</f>
        <v>1.1565099744597816E-2</v>
      </c>
      <c r="P376" s="112">
        <f>H376/'CGE-Flood Weighted Av Calcs'!$D$8</f>
        <v>2.7694792467599615E-2</v>
      </c>
      <c r="R376" s="1">
        <f t="shared" si="55"/>
        <v>0.12279598274420633</v>
      </c>
      <c r="S376" s="1">
        <f t="shared" si="56"/>
        <v>0.14244333998327935</v>
      </c>
      <c r="T376" s="1">
        <f t="shared" si="57"/>
        <v>3.4382875168377778</v>
      </c>
    </row>
    <row r="377" spans="1:20">
      <c r="A377">
        <v>324</v>
      </c>
      <c r="B377">
        <v>0.50483635783081204</v>
      </c>
      <c r="C377" s="1">
        <f t="shared" si="51"/>
        <v>50.996353325180038</v>
      </c>
      <c r="D377" s="1">
        <f t="shared" ref="D377:D440" si="60">IF($B377&lt;=0.005,$F$11,IF($B377&lt;=0.01,$F$11+($B377-0.005)*SLOPE($E$11:$F$11,$E$10:$F$10),IF($B377&lt;=0.04,$E$11+($B377-0.01)*SLOPE($D$11:$E$11,$D$10:$E$10),IF($B377&lt;=0.1,$D$11+($B377-0.04)*SLOPE($C$11:$D$11,$C$10:$D$10),IF($B377&lt;=1,$C$11+($B377-0.1)*SLOPE($B$11:$C$11,$B$10:$C$10),)))))</f>
        <v>164.02692608548639</v>
      </c>
      <c r="E377" s="1">
        <f t="shared" si="58"/>
        <v>196.6525868718565</v>
      </c>
      <c r="F377" s="1">
        <f t="shared" si="52"/>
        <v>10.523007241781205</v>
      </c>
      <c r="G377" s="1">
        <f t="shared" si="59"/>
        <v>7.8475406056590389</v>
      </c>
      <c r="H377" s="1">
        <f t="shared" si="53"/>
        <v>3.0698383124691229</v>
      </c>
      <c r="I377" s="1">
        <f t="shared" si="54"/>
        <v>79.226182747070055</v>
      </c>
      <c r="K377" s="112">
        <f>C377/'CGE-Flood Weighted Av Calcs'!$D$3</f>
        <v>8.5960042392358854E-3</v>
      </c>
      <c r="L377" s="112">
        <f>D377/'CGE-Flood Weighted Av Calcs'!$D$4</f>
        <v>8.4255674925616114E-3</v>
      </c>
      <c r="M377" s="112">
        <f>E377/'CGE-Flood Weighted Av Calcs'!$D$5</f>
        <v>8.424294313375472E-3</v>
      </c>
      <c r="N377" s="112">
        <f>F377/'CGE-Flood Weighted Av Calcs'!$D$6</f>
        <v>2.908714236620561E-3</v>
      </c>
      <c r="O377" s="112">
        <f>G377/'CGE-Flood Weighted Av Calcs'!$D$7</f>
        <v>1.2954226061273773E-2</v>
      </c>
      <c r="P377" s="112">
        <f>H377/'CGE-Flood Weighted Av Calcs'!$D$8</f>
        <v>3.1021315013986837E-2</v>
      </c>
      <c r="R377" s="1">
        <f t="shared" si="55"/>
        <v>0.13754545615810776</v>
      </c>
      <c r="S377" s="1">
        <f t="shared" si="56"/>
        <v>0.15955272914340499</v>
      </c>
      <c r="T377" s="1">
        <f t="shared" si="57"/>
        <v>3.8512727724270177</v>
      </c>
    </row>
    <row r="378" spans="1:20">
      <c r="A378">
        <v>325</v>
      </c>
      <c r="B378">
        <v>0.78053900379309682</v>
      </c>
      <c r="C378" s="1">
        <f t="shared" si="51"/>
        <v>22.602044153797635</v>
      </c>
      <c r="D378" s="1">
        <f t="shared" si="60"/>
        <v>72.698214363600755</v>
      </c>
      <c r="E378" s="1">
        <f t="shared" si="58"/>
        <v>87.158201746193811</v>
      </c>
      <c r="F378" s="1">
        <f t="shared" si="52"/>
        <v>4.6638918040446207</v>
      </c>
      <c r="G378" s="1">
        <f t="shared" si="59"/>
        <v>3.4781008386387224</v>
      </c>
      <c r="H378" s="1">
        <f t="shared" si="53"/>
        <v>1.3605800524796985</v>
      </c>
      <c r="I378" s="1">
        <f t="shared" si="54"/>
        <v>35.113759393104488</v>
      </c>
      <c r="K378" s="112">
        <f>C378/'CGE-Flood Weighted Av Calcs'!$D$3</f>
        <v>3.80982667765598E-3</v>
      </c>
      <c r="L378" s="112">
        <f>D378/'CGE-Flood Weighted Av Calcs'!$D$4</f>
        <v>3.7342875729439655E-3</v>
      </c>
      <c r="M378" s="112">
        <f>E378/'CGE-Flood Weighted Av Calcs'!$D$5</f>
        <v>3.7337232884352804E-3</v>
      </c>
      <c r="N378" s="112">
        <f>F378/'CGE-Flood Weighted Av Calcs'!$D$6</f>
        <v>1.2891684075460417E-3</v>
      </c>
      <c r="O378" s="112">
        <f>G378/'CGE-Flood Weighted Av Calcs'!$D$7</f>
        <v>5.741429932218628E-3</v>
      </c>
      <c r="P378" s="112">
        <f>H378/'CGE-Flood Weighted Av Calcs'!$D$8</f>
        <v>1.3748926853340258E-2</v>
      </c>
      <c r="R378" s="1">
        <f t="shared" si="55"/>
        <v>6.0961387835250874E-2</v>
      </c>
      <c r="S378" s="1">
        <f t="shared" si="56"/>
        <v>7.0715209888891017E-2</v>
      </c>
      <c r="T378" s="1">
        <f t="shared" si="57"/>
        <v>1.7069188593870255</v>
      </c>
    </row>
    <row r="379" spans="1:20">
      <c r="A379">
        <v>326</v>
      </c>
      <c r="B379">
        <v>0.39474182034331928</v>
      </c>
      <c r="C379" s="1">
        <f t="shared" si="51"/>
        <v>62.334867413753045</v>
      </c>
      <c r="D379" s="1">
        <f t="shared" si="60"/>
        <v>200.49662423167331</v>
      </c>
      <c r="E379" s="1">
        <f t="shared" si="58"/>
        <v>240.3762647706036</v>
      </c>
      <c r="F379" s="1">
        <f t="shared" si="52"/>
        <v>12.862689554049183</v>
      </c>
      <c r="G379" s="1">
        <f t="shared" si="59"/>
        <v>9.5923604587676152</v>
      </c>
      <c r="H379" s="1">
        <f t="shared" si="53"/>
        <v>3.7523852532988267</v>
      </c>
      <c r="I379" s="1">
        <f t="shared" si="54"/>
        <v>96.841308745068901</v>
      </c>
      <c r="K379" s="112">
        <f>C379/'CGE-Flood Weighted Av Calcs'!$D$3</f>
        <v>1.0507237274871092E-2</v>
      </c>
      <c r="L379" s="112">
        <f>D379/'CGE-Flood Weighted Av Calcs'!$D$4</f>
        <v>1.0298905672440092E-2</v>
      </c>
      <c r="M379" s="112">
        <f>E379/'CGE-Flood Weighted Av Calcs'!$D$5</f>
        <v>1.0297349414970937E-2</v>
      </c>
      <c r="N379" s="112">
        <f>F379/'CGE-Flood Weighted Av Calcs'!$D$6</f>
        <v>3.5554368981656685E-3</v>
      </c>
      <c r="O379" s="112">
        <f>G379/'CGE-Flood Weighted Av Calcs'!$D$7</f>
        <v>1.5834464845520091E-2</v>
      </c>
      <c r="P379" s="112">
        <f>H379/'CGE-Flood Weighted Av Calcs'!$D$8</f>
        <v>3.7918585002868127E-2</v>
      </c>
      <c r="R379" s="1">
        <f t="shared" si="55"/>
        <v>0.16812727212685574</v>
      </c>
      <c r="S379" s="1">
        <f t="shared" si="56"/>
        <v>0.19502763566715264</v>
      </c>
      <c r="T379" s="1">
        <f t="shared" si="57"/>
        <v>4.7075636195519612</v>
      </c>
    </row>
    <row r="380" spans="1:20">
      <c r="A380">
        <v>327</v>
      </c>
      <c r="B380">
        <v>0.4361106474293992</v>
      </c>
      <c r="C380" s="1">
        <f t="shared" si="51"/>
        <v>58.074337877521103</v>
      </c>
      <c r="D380" s="1">
        <f t="shared" si="60"/>
        <v>186.79286861471064</v>
      </c>
      <c r="E380" s="1">
        <f t="shared" si="58"/>
        <v>223.94677324595634</v>
      </c>
      <c r="F380" s="1">
        <f t="shared" si="52"/>
        <v>11.983536825662732</v>
      </c>
      <c r="G380" s="1">
        <f t="shared" si="59"/>
        <v>8.9367316469584175</v>
      </c>
      <c r="H380" s="1">
        <f t="shared" si="53"/>
        <v>3.4959132518925387</v>
      </c>
      <c r="I380" s="1">
        <f t="shared" si="54"/>
        <v>90.222296411296114</v>
      </c>
      <c r="K380" s="112">
        <f>C380/'CGE-Flood Weighted Av Calcs'!$D$3</f>
        <v>9.7890774934979372E-3</v>
      </c>
      <c r="L380" s="112">
        <f>D380/'CGE-Flood Weighted Av Calcs'!$D$4</f>
        <v>9.5949851600718138E-3</v>
      </c>
      <c r="M380" s="112">
        <f>E380/'CGE-Flood Weighted Av Calcs'!$D$5</f>
        <v>9.5935352713363772E-3</v>
      </c>
      <c r="N380" s="112">
        <f>F380/'CGE-Flood Weighted Av Calcs'!$D$6</f>
        <v>3.3124261315220613E-3</v>
      </c>
      <c r="O380" s="112">
        <f>G380/'CGE-Flood Weighted Av Calcs'!$D$7</f>
        <v>1.4752194072134598E-2</v>
      </c>
      <c r="P380" s="112">
        <f>H380/'CGE-Flood Weighted Av Calcs'!$D$8</f>
        <v>3.5326885395896672E-2</v>
      </c>
      <c r="R380" s="1">
        <f t="shared" si="55"/>
        <v>0.15663593126961134</v>
      </c>
      <c r="S380" s="1">
        <f t="shared" si="56"/>
        <v>0.18169768027274913</v>
      </c>
      <c r="T380" s="1">
        <f t="shared" si="57"/>
        <v>4.3858060755491177</v>
      </c>
    </row>
    <row r="381" spans="1:20">
      <c r="A381">
        <v>328</v>
      </c>
      <c r="B381">
        <v>0.64381803874227983</v>
      </c>
      <c r="C381" s="1">
        <f t="shared" si="51"/>
        <v>36.682784432197877</v>
      </c>
      <c r="D381" s="1">
        <f t="shared" si="60"/>
        <v>117.98813009829482</v>
      </c>
      <c r="E381" s="1">
        <f t="shared" si="58"/>
        <v>141.45647643186476</v>
      </c>
      <c r="F381" s="1">
        <f t="shared" si="52"/>
        <v>7.5694276366643365</v>
      </c>
      <c r="G381" s="1">
        <f t="shared" si="59"/>
        <v>5.6449063823191281</v>
      </c>
      <c r="H381" s="1">
        <f t="shared" si="53"/>
        <v>2.2082013656926391</v>
      </c>
      <c r="I381" s="1">
        <f t="shared" si="54"/>
        <v>56.989113801235206</v>
      </c>
      <c r="K381" s="112">
        <f>C381/'CGE-Flood Weighted Av Calcs'!$D$3</f>
        <v>6.1832925283003244E-3</v>
      </c>
      <c r="L381" s="112">
        <f>D381/'CGE-Flood Weighted Av Calcs'!$D$4</f>
        <v>6.0606936750507434E-3</v>
      </c>
      <c r="M381" s="112">
        <f>E381/'CGE-Flood Weighted Av Calcs'!$D$5</f>
        <v>6.0597778496125814E-3</v>
      </c>
      <c r="N381" s="112">
        <f>F381/'CGE-Flood Weighted Av Calcs'!$D$6</f>
        <v>2.0923013188108254E-3</v>
      </c>
      <c r="O381" s="112">
        <f>G381/'CGE-Flood Weighted Av Calcs'!$D$7</f>
        <v>9.3182561321895844E-3</v>
      </c>
      <c r="P381" s="112">
        <f>H381/'CGE-Flood Weighted Av Calcs'!$D$8</f>
        <v>2.2314305577993306E-2</v>
      </c>
      <c r="R381" s="1">
        <f t="shared" si="55"/>
        <v>9.8939433682700029E-2</v>
      </c>
      <c r="S381" s="1">
        <f t="shared" si="56"/>
        <v>0.11476974307193205</v>
      </c>
      <c r="T381" s="1">
        <f t="shared" si="57"/>
        <v>2.7703041431156015</v>
      </c>
    </row>
    <row r="382" spans="1:20">
      <c r="A382">
        <v>329</v>
      </c>
      <c r="B382">
        <v>0.94433561687104106</v>
      </c>
      <c r="C382" s="1">
        <f t="shared" si="51"/>
        <v>5.7328129691369014</v>
      </c>
      <c r="D382" s="1">
        <f t="shared" si="60"/>
        <v>18.439273160464097</v>
      </c>
      <c r="E382" s="1">
        <f t="shared" si="58"/>
        <v>22.106923866586499</v>
      </c>
      <c r="F382" s="1">
        <f t="shared" si="52"/>
        <v>1.1829558087287353</v>
      </c>
      <c r="G382" s="1">
        <f t="shared" si="59"/>
        <v>0.8821901886411343</v>
      </c>
      <c r="H382" s="1">
        <f t="shared" si="53"/>
        <v>0.3450993599220098</v>
      </c>
      <c r="I382" s="1">
        <f t="shared" si="54"/>
        <v>8.9063013006334018</v>
      </c>
      <c r="K382" s="112">
        <f>C382/'CGE-Flood Weighted Av Calcs'!$D$3</f>
        <v>9.6632957794484209E-4</v>
      </c>
      <c r="L382" s="112">
        <f>D382/'CGE-Flood Weighted Av Calcs'!$D$4</f>
        <v>9.4716973752406958E-4</v>
      </c>
      <c r="M382" s="112">
        <f>E382/'CGE-Flood Weighted Av Calcs'!$D$5</f>
        <v>9.4702661164007193E-4</v>
      </c>
      <c r="N382" s="112">
        <f>F382/'CGE-Flood Weighted Av Calcs'!$D$6</f>
        <v>3.2698641396732822E-4</v>
      </c>
      <c r="O382" s="112">
        <f>G382/'CGE-Flood Weighted Av Calcs'!$D$7</f>
        <v>1.4562640331486725E-3</v>
      </c>
      <c r="P382" s="112">
        <f>H382/'CGE-Flood Weighted Av Calcs'!$D$8</f>
        <v>3.4872963542680285E-3</v>
      </c>
      <c r="R382" s="1">
        <f t="shared" si="55"/>
        <v>1.5462328646933032E-2</v>
      </c>
      <c r="S382" s="1">
        <f t="shared" si="56"/>
        <v>1.793630123044232E-2</v>
      </c>
      <c r="T382" s="1">
        <f t="shared" si="57"/>
        <v>0.43294520211412557</v>
      </c>
    </row>
    <row r="383" spans="1:20">
      <c r="A383">
        <v>330</v>
      </c>
      <c r="B383">
        <v>4.5388954876226628E-2</v>
      </c>
      <c r="C383" s="1">
        <f t="shared" si="51"/>
        <v>106.37006680350522</v>
      </c>
      <c r="D383" s="1">
        <f t="shared" si="60"/>
        <v>339.93468886239515</v>
      </c>
      <c r="E383" s="1">
        <f t="shared" si="58"/>
        <v>407.47792301234136</v>
      </c>
      <c r="F383" s="1">
        <f t="shared" si="52"/>
        <v>25.848354625876205</v>
      </c>
      <c r="G383" s="1">
        <f t="shared" si="59"/>
        <v>16.518025374807554</v>
      </c>
      <c r="H383" s="1">
        <f t="shared" si="53"/>
        <v>6.3081257991991846</v>
      </c>
      <c r="I383" s="1">
        <f t="shared" si="54"/>
        <v>233.19804036882985</v>
      </c>
      <c r="K383" s="112">
        <f>C383/'CGE-Flood Weighted Av Calcs'!$D$3</f>
        <v>1.7929861363621478E-2</v>
      </c>
      <c r="L383" s="112">
        <f>D383/'CGE-Flood Weighted Av Calcs'!$D$4</f>
        <v>1.7461417661270618E-2</v>
      </c>
      <c r="M383" s="112">
        <f>E383/'CGE-Flood Weighted Av Calcs'!$D$5</f>
        <v>1.7455727403656043E-2</v>
      </c>
      <c r="N383" s="112">
        <f>F383/'CGE-Flood Weighted Av Calcs'!$D$6</f>
        <v>7.1448660412379017E-3</v>
      </c>
      <c r="O383" s="112">
        <f>G383/'CGE-Flood Weighted Av Calcs'!$D$7</f>
        <v>2.7266916546670555E-2</v>
      </c>
      <c r="P383" s="112">
        <f>H383/'CGE-Flood Weighted Av Calcs'!$D$8</f>
        <v>6.3744841795078624E-2</v>
      </c>
      <c r="R383" s="1">
        <f t="shared" si="55"/>
        <v>0.28640736341584888</v>
      </c>
      <c r="S383" s="1">
        <f t="shared" si="56"/>
        <v>0.34461104512377333</v>
      </c>
      <c r="T383" s="1">
        <f t="shared" si="57"/>
        <v>7.9101840853962226</v>
      </c>
    </row>
    <row r="384" spans="1:20">
      <c r="A384">
        <v>331</v>
      </c>
      <c r="B384">
        <v>0.35061972628799165</v>
      </c>
      <c r="C384" s="1">
        <f t="shared" si="51"/>
        <v>66.878952855962282</v>
      </c>
      <c r="D384" s="1">
        <f t="shared" si="60"/>
        <v>215.11242160452906</v>
      </c>
      <c r="E384" s="1">
        <f t="shared" si="58"/>
        <v>257.89920707745995</v>
      </c>
      <c r="F384" s="1">
        <f t="shared" si="52"/>
        <v>13.800353541721609</v>
      </c>
      <c r="G384" s="1">
        <f t="shared" si="59"/>
        <v>10.291624086422217</v>
      </c>
      <c r="H384" s="1">
        <f t="shared" si="53"/>
        <v>4.0259265298029909</v>
      </c>
      <c r="I384" s="1">
        <f t="shared" si="54"/>
        <v>103.90084379392133</v>
      </c>
      <c r="K384" s="112">
        <f>C384/'CGE-Flood Weighted Av Calcs'!$D$3</f>
        <v>1.1273193567384932E-2</v>
      </c>
      <c r="L384" s="112">
        <f>D384/'CGE-Flood Weighted Av Calcs'!$D$4</f>
        <v>1.1049675013556807E-2</v>
      </c>
      <c r="M384" s="112">
        <f>E384/'CGE-Flood Weighted Av Calcs'!$D$5</f>
        <v>1.104800530807367E-2</v>
      </c>
      <c r="N384" s="112">
        <f>F384/'CGE-Flood Weighted Av Calcs'!$D$6</f>
        <v>3.8146210389196694E-3</v>
      </c>
      <c r="O384" s="112">
        <f>G384/'CGE-Flood Weighted Av Calcs'!$D$7</f>
        <v>1.698876522627019E-2</v>
      </c>
      <c r="P384" s="112">
        <f>H384/'CGE-Flood Weighted Av Calcs'!$D$8</f>
        <v>4.0682772964591309E-2</v>
      </c>
      <c r="R384" s="1">
        <f t="shared" si="55"/>
        <v>0.18038340936444675</v>
      </c>
      <c r="S384" s="1">
        <f t="shared" si="56"/>
        <v>0.20924475486275823</v>
      </c>
      <c r="T384" s="1">
        <f t="shared" si="57"/>
        <v>5.0507354622045098</v>
      </c>
    </row>
    <row r="385" spans="1:20">
      <c r="A385">
        <v>332</v>
      </c>
      <c r="B385">
        <v>0.56323624743484324</v>
      </c>
      <c r="C385" s="1">
        <f t="shared" si="51"/>
        <v>44.981813583627094</v>
      </c>
      <c r="D385" s="1">
        <f t="shared" si="60"/>
        <v>144.68149447520679</v>
      </c>
      <c r="E385" s="1">
        <f t="shared" si="58"/>
        <v>173.45926574401096</v>
      </c>
      <c r="F385" s="1">
        <f t="shared" si="52"/>
        <v>9.2819176122391678</v>
      </c>
      <c r="G385" s="1">
        <f t="shared" si="59"/>
        <v>6.9219970761988341</v>
      </c>
      <c r="H385" s="1">
        <f t="shared" si="53"/>
        <v>2.7077797861907209</v>
      </c>
      <c r="I385" s="1">
        <f t="shared" si="54"/>
        <v>69.882200410425071</v>
      </c>
      <c r="K385" s="112">
        <f>C385/'CGE-Flood Weighted Av Calcs'!$D$3</f>
        <v>7.5821864710168821E-3</v>
      </c>
      <c r="L385" s="112">
        <f>D385/'CGE-Flood Weighted Av Calcs'!$D$4</f>
        <v>7.4318511339425616E-3</v>
      </c>
      <c r="M385" s="112">
        <f>E385/'CGE-Flood Weighted Av Calcs'!$D$5</f>
        <v>7.430728114254383E-3</v>
      </c>
      <c r="N385" s="112">
        <f>F385/'CGE-Flood Weighted Av Calcs'!$D$6</f>
        <v>2.5656587780974699E-3</v>
      </c>
      <c r="O385" s="112">
        <f>G385/'CGE-Flood Weighted Av Calcs'!$D$7</f>
        <v>1.1426397062016267E-2</v>
      </c>
      <c r="P385" s="112">
        <f>H385/'CGE-Flood Weighted Av Calcs'!$D$8</f>
        <v>2.7362642975279877E-2</v>
      </c>
      <c r="R385" s="1">
        <f t="shared" si="55"/>
        <v>0.12132326460143242</v>
      </c>
      <c r="S385" s="1">
        <f t="shared" si="56"/>
        <v>0.14073498693766162</v>
      </c>
      <c r="T385" s="1">
        <f t="shared" si="57"/>
        <v>3.3970514088401083</v>
      </c>
    </row>
    <row r="386" spans="1:20">
      <c r="A386">
        <v>333</v>
      </c>
      <c r="B386">
        <v>0.88026725792458516</v>
      </c>
      <c r="C386" s="1">
        <f t="shared" si="51"/>
        <v>12.331142069966901</v>
      </c>
      <c r="D386" s="1">
        <f t="shared" si="60"/>
        <v>39.662430683281627</v>
      </c>
      <c r="E386" s="1">
        <f t="shared" si="58"/>
        <v>47.551458663731978</v>
      </c>
      <c r="F386" s="1">
        <f t="shared" si="52"/>
        <v>2.5445093392123717</v>
      </c>
      <c r="G386" s="1">
        <f t="shared" si="59"/>
        <v>1.897569763295893</v>
      </c>
      <c r="H386" s="1">
        <f t="shared" si="53"/>
        <v>0.74230037825455675</v>
      </c>
      <c r="I386" s="1">
        <f t="shared" si="54"/>
        <v>19.157238732066347</v>
      </c>
      <c r="K386" s="112">
        <f>C386/'CGE-Flood Weighted Av Calcs'!$D$3</f>
        <v>2.0785515550916355E-3</v>
      </c>
      <c r="L386" s="112">
        <f>D386/'CGE-Flood Weighted Av Calcs'!$D$4</f>
        <v>2.0373392016556548E-3</v>
      </c>
      <c r="M386" s="112">
        <f>E386/'CGE-Flood Weighted Av Calcs'!$D$5</f>
        <v>2.0370313413401397E-3</v>
      </c>
      <c r="N386" s="112">
        <f>F386/'CGE-Flood Weighted Av Calcs'!$D$6</f>
        <v>7.033398694999101E-4</v>
      </c>
      <c r="O386" s="112">
        <f>G386/'CGE-Flood Weighted Av Calcs'!$D$7</f>
        <v>3.1323887210021511E-3</v>
      </c>
      <c r="P386" s="112">
        <f>H386/'CGE-Flood Weighted Av Calcs'!$D$8</f>
        <v>7.5010901308072723E-3</v>
      </c>
      <c r="R386" s="1">
        <f t="shared" si="55"/>
        <v>3.3259095020948565E-2</v>
      </c>
      <c r="S386" s="1">
        <f t="shared" si="56"/>
        <v>3.8580550224300347E-2</v>
      </c>
      <c r="T386" s="1">
        <f t="shared" si="57"/>
        <v>0.93125466058656059</v>
      </c>
    </row>
    <row r="387" spans="1:20">
      <c r="A387">
        <v>334</v>
      </c>
      <c r="B387">
        <v>0.29884396129185009</v>
      </c>
      <c r="C387" s="1">
        <f t="shared" si="51"/>
        <v>72.211281364287132</v>
      </c>
      <c r="D387" s="1">
        <f t="shared" si="60"/>
        <v>232.26355883430946</v>
      </c>
      <c r="E387" s="1">
        <f t="shared" si="58"/>
        <v>278.46177923876905</v>
      </c>
      <c r="F387" s="1">
        <f t="shared" si="52"/>
        <v>14.900670090845384</v>
      </c>
      <c r="G387" s="1">
        <f t="shared" si="59"/>
        <v>11.112185984739968</v>
      </c>
      <c r="H387" s="1">
        <f t="shared" si="53"/>
        <v>4.3469178415767367</v>
      </c>
      <c r="I387" s="1">
        <f t="shared" si="54"/>
        <v>112.18496619330398</v>
      </c>
      <c r="K387" s="112">
        <f>C387/'CGE-Flood Weighted Av Calcs'!$D$3</f>
        <v>1.2172017021883322E-2</v>
      </c>
      <c r="L387" s="112">
        <f>D387/'CGE-Flood Weighted Av Calcs'!$D$4</f>
        <v>1.1930677101155446E-2</v>
      </c>
      <c r="M387" s="112">
        <f>E387/'CGE-Flood Weighted Av Calcs'!$D$5</f>
        <v>1.1928874268316573E-2</v>
      </c>
      <c r="N387" s="112">
        <f>F387/'CGE-Flood Weighted Av Calcs'!$D$6</f>
        <v>4.118764744011693E-3</v>
      </c>
      <c r="O387" s="112">
        <f>G387/'CGE-Flood Weighted Av Calcs'!$D$7</f>
        <v>1.8343297157001549E-2</v>
      </c>
      <c r="P387" s="112">
        <f>H387/'CGE-Flood Weighted Av Calcs'!$D$8</f>
        <v>4.392645278930403E-2</v>
      </c>
      <c r="R387" s="1">
        <f t="shared" si="55"/>
        <v>0.19476556630781941</v>
      </c>
      <c r="S387" s="1">
        <f t="shared" si="56"/>
        <v>0.22592805691707052</v>
      </c>
      <c r="T387" s="1">
        <f t="shared" si="57"/>
        <v>5.4534358566189436</v>
      </c>
    </row>
    <row r="388" spans="1:20">
      <c r="A388">
        <v>335</v>
      </c>
      <c r="B388">
        <v>0.15781485910530657</v>
      </c>
      <c r="C388" s="1">
        <f t="shared" si="51"/>
        <v>86.735711899476811</v>
      </c>
      <c r="D388" s="1">
        <f t="shared" si="60"/>
        <v>278.98057953259149</v>
      </c>
      <c r="E388" s="1">
        <f t="shared" si="58"/>
        <v>334.47101620072493</v>
      </c>
      <c r="F388" s="1">
        <f t="shared" si="52"/>
        <v>17.897760622592923</v>
      </c>
      <c r="G388" s="1">
        <f t="shared" si="59"/>
        <v>13.347268514507752</v>
      </c>
      <c r="H388" s="1">
        <f t="shared" si="53"/>
        <v>5.2212480714150731</v>
      </c>
      <c r="I388" s="1">
        <f t="shared" si="54"/>
        <v>134.74962254315096</v>
      </c>
      <c r="K388" s="112">
        <f>C388/'CGE-Flood Weighted Av Calcs'!$D$3</f>
        <v>1.4620271814865362E-2</v>
      </c>
      <c r="L388" s="112">
        <f>D388/'CGE-Flood Weighted Av Calcs'!$D$4</f>
        <v>1.4330389272434144E-2</v>
      </c>
      <c r="M388" s="112">
        <f>E388/'CGE-Flood Weighted Av Calcs'!$D$5</f>
        <v>1.4328223821458048E-2</v>
      </c>
      <c r="N388" s="112">
        <f>F388/'CGE-Flood Weighted Av Calcs'!$D$6</f>
        <v>4.9472047229866698E-3</v>
      </c>
      <c r="O388" s="112">
        <f>G388/'CGE-Flood Weighted Av Calcs'!$D$7</f>
        <v>2.2032830707848845E-2</v>
      </c>
      <c r="P388" s="112">
        <f>H388/'CGE-Flood Weighted Av Calcs'!$D$8</f>
        <v>5.276173032685328E-2</v>
      </c>
      <c r="R388" s="1">
        <f t="shared" si="55"/>
        <v>0.23394031691519263</v>
      </c>
      <c r="S388" s="1">
        <f t="shared" si="56"/>
        <v>0.27137076762162343</v>
      </c>
      <c r="T388" s="1">
        <f t="shared" si="57"/>
        <v>6.5503288736253937</v>
      </c>
    </row>
    <row r="389" spans="1:20">
      <c r="A389">
        <v>336</v>
      </c>
      <c r="B389">
        <v>0.59345164010155205</v>
      </c>
      <c r="C389" s="1">
        <f t="shared" si="51"/>
        <v>41.869963865541273</v>
      </c>
      <c r="D389" s="1">
        <f t="shared" si="60"/>
        <v>134.67240342426737</v>
      </c>
      <c r="E389" s="1">
        <f t="shared" si="58"/>
        <v>161.45932345174759</v>
      </c>
      <c r="F389" s="1">
        <f t="shared" si="52"/>
        <v>8.639792931089012</v>
      </c>
      <c r="G389" s="1">
        <f t="shared" si="59"/>
        <v>6.4431321098027121</v>
      </c>
      <c r="H389" s="1">
        <f t="shared" si="53"/>
        <v>2.5204551077708377</v>
      </c>
      <c r="I389" s="1">
        <f t="shared" si="54"/>
        <v>65.047737583751655</v>
      </c>
      <c r="K389" s="112">
        <f>C389/'CGE-Flood Weighted Av Calcs'!$D$3</f>
        <v>7.0576494870101675E-3</v>
      </c>
      <c r="L389" s="112">
        <f>D389/'CGE-Flood Weighted Av Calcs'!$D$4</f>
        <v>6.9177143748050231E-3</v>
      </c>
      <c r="M389" s="112">
        <f>E389/'CGE-Flood Weighted Av Calcs'!$D$5</f>
        <v>6.9166690458149658E-3</v>
      </c>
      <c r="N389" s="112">
        <f>F389/'CGE-Flood Weighted Av Calcs'!$D$6</f>
        <v>2.3881660558335302E-3</v>
      </c>
      <c r="O389" s="112">
        <f>G389/'CGE-Flood Weighted Av Calcs'!$D$7</f>
        <v>1.0635916918078398E-2</v>
      </c>
      <c r="P389" s="112">
        <f>H389/'CGE-Flood Weighted Av Calcs'!$D$8</f>
        <v>2.5469690556400509E-2</v>
      </c>
      <c r="R389" s="1">
        <f t="shared" si="55"/>
        <v>0.1129300999717911</v>
      </c>
      <c r="S389" s="1">
        <f t="shared" si="56"/>
        <v>0.13099891596727767</v>
      </c>
      <c r="T389" s="1">
        <f t="shared" si="57"/>
        <v>3.162042799210151</v>
      </c>
    </row>
    <row r="390" spans="1:20">
      <c r="A390">
        <v>337</v>
      </c>
      <c r="B390">
        <v>0.27605898336824541</v>
      </c>
      <c r="C390" s="1">
        <f t="shared" si="51"/>
        <v>74.557880923997033</v>
      </c>
      <c r="D390" s="1">
        <f t="shared" si="60"/>
        <v>239.81126543361097</v>
      </c>
      <c r="E390" s="1">
        <f t="shared" si="58"/>
        <v>287.51075712992855</v>
      </c>
      <c r="F390" s="1">
        <f t="shared" si="52"/>
        <v>15.384886756357334</v>
      </c>
      <c r="G390" s="1">
        <f t="shared" si="59"/>
        <v>11.473290929099832</v>
      </c>
      <c r="H390" s="1">
        <f t="shared" si="53"/>
        <v>4.4881765936778155</v>
      </c>
      <c r="I390" s="1">
        <f t="shared" si="54"/>
        <v>115.83056266108073</v>
      </c>
      <c r="K390" s="112">
        <f>C390/'CGE-Flood Weighted Av Calcs'!$D$3</f>
        <v>1.2567562555000794E-2</v>
      </c>
      <c r="L390" s="112">
        <f>D390/'CGE-Flood Weighted Av Calcs'!$D$4</f>
        <v>1.2318379979482411E-2</v>
      </c>
      <c r="M390" s="112">
        <f>E390/'CGE-Flood Weighted Av Calcs'!$D$5</f>
        <v>1.2316518561244331E-2</v>
      </c>
      <c r="N390" s="112">
        <f>F390/'CGE-Flood Weighted Av Calcs'!$D$6</f>
        <v>4.252609364301543E-3</v>
      </c>
      <c r="O390" s="112">
        <f>G390/'CGE-Flood Weighted Av Calcs'!$D$7</f>
        <v>1.8939386469073165E-2</v>
      </c>
      <c r="P390" s="112">
        <f>H390/'CGE-Flood Weighted Av Calcs'!$D$8</f>
        <v>4.5353900036154526E-2</v>
      </c>
      <c r="R390" s="1">
        <f t="shared" si="55"/>
        <v>0.20109472684215404</v>
      </c>
      <c r="S390" s="1">
        <f t="shared" si="56"/>
        <v>0.2332698831368987</v>
      </c>
      <c r="T390" s="1">
        <f t="shared" si="57"/>
        <v>5.6306523515803137</v>
      </c>
    </row>
    <row r="391" spans="1:20">
      <c r="A391">
        <v>338</v>
      </c>
      <c r="B391">
        <v>0.37577033301724272</v>
      </c>
      <c r="C391" s="1">
        <f t="shared" si="51"/>
        <v>64.288719814035304</v>
      </c>
      <c r="D391" s="1">
        <f t="shared" si="60"/>
        <v>206.78108149863647</v>
      </c>
      <c r="E391" s="1">
        <f t="shared" si="58"/>
        <v>247.9107276062349</v>
      </c>
      <c r="F391" s="1">
        <f t="shared" si="52"/>
        <v>13.265863538401312</v>
      </c>
      <c r="G391" s="1">
        <f t="shared" si="59"/>
        <v>9.8930277623865326</v>
      </c>
      <c r="H391" s="1">
        <f t="shared" si="53"/>
        <v>3.8700017212264393</v>
      </c>
      <c r="I391" s="1">
        <f t="shared" si="54"/>
        <v>99.876746717241161</v>
      </c>
      <c r="K391" s="112">
        <f>C391/'CGE-Flood Weighted Av Calcs'!$D$3</f>
        <v>1.0836580893003383E-2</v>
      </c>
      <c r="L391" s="112">
        <f>D391/'CGE-Flood Weighted Av Calcs'!$D$4</f>
        <v>1.0621719250189645E-2</v>
      </c>
      <c r="M391" s="112">
        <f>E391/'CGE-Flood Weighted Av Calcs'!$D$5</f>
        <v>1.0620114212679435E-2</v>
      </c>
      <c r="N391" s="112">
        <f>F391/'CGE-Flood Weighted Av Calcs'!$D$6</f>
        <v>3.6668801273847685E-3</v>
      </c>
      <c r="O391" s="112">
        <f>G391/'CGE-Flood Weighted Av Calcs'!$D$7</f>
        <v>1.6330787504558564E-2</v>
      </c>
      <c r="P391" s="112">
        <f>H391/'CGE-Flood Weighted Av Calcs'!$D$8</f>
        <v>3.9107122355990252E-2</v>
      </c>
      <c r="R391" s="1">
        <f t="shared" si="55"/>
        <v>0.17339712971743257</v>
      </c>
      <c r="S391" s="1">
        <f t="shared" si="56"/>
        <v>0.20114067047222178</v>
      </c>
      <c r="T391" s="1">
        <f t="shared" si="57"/>
        <v>4.8551196320881118</v>
      </c>
    </row>
    <row r="392" spans="1:20">
      <c r="A392">
        <v>339</v>
      </c>
      <c r="B392">
        <v>0.3744335421841164</v>
      </c>
      <c r="C392" s="1">
        <f t="shared" si="51"/>
        <v>64.426394416615835</v>
      </c>
      <c r="D392" s="1">
        <f t="shared" si="60"/>
        <v>207.22390417886476</v>
      </c>
      <c r="E392" s="1">
        <f t="shared" si="58"/>
        <v>248.44162962135309</v>
      </c>
      <c r="F392" s="1">
        <f t="shared" si="52"/>
        <v>13.294272448950784</v>
      </c>
      <c r="G392" s="1">
        <f t="shared" si="59"/>
        <v>9.9142137289051462</v>
      </c>
      <c r="H392" s="1">
        <f t="shared" si="53"/>
        <v>3.8782893485193304</v>
      </c>
      <c r="I392" s="1">
        <f t="shared" si="54"/>
        <v>100.09063325054137</v>
      </c>
      <c r="K392" s="112">
        <f>C392/'CGE-Flood Weighted Av Calcs'!$D$3</f>
        <v>1.0859787483087796E-2</v>
      </c>
      <c r="L392" s="112">
        <f>D392/'CGE-Flood Weighted Av Calcs'!$D$4</f>
        <v>1.0644465713032921E-2</v>
      </c>
      <c r="M392" s="112">
        <f>E392/'CGE-Flood Weighted Av Calcs'!$D$5</f>
        <v>1.0642857238327167E-2</v>
      </c>
      <c r="N392" s="112">
        <f>F392/'CGE-Flood Weighted Av Calcs'!$D$6</f>
        <v>3.6747327688078433E-3</v>
      </c>
      <c r="O392" s="112">
        <f>G392/'CGE-Flood Weighted Av Calcs'!$D$7</f>
        <v>1.636575996451765E-2</v>
      </c>
      <c r="P392" s="112">
        <f>H392/'CGE-Flood Weighted Av Calcs'!$D$8</f>
        <v>3.9190870446541806E-2</v>
      </c>
      <c r="R392" s="1">
        <f t="shared" si="55"/>
        <v>0.17376846050441211</v>
      </c>
      <c r="S392" s="1">
        <f t="shared" si="56"/>
        <v>0.20157141418511804</v>
      </c>
      <c r="T392" s="1">
        <f t="shared" si="57"/>
        <v>4.8655168941235392</v>
      </c>
    </row>
    <row r="393" spans="1:20">
      <c r="A393">
        <v>340</v>
      </c>
      <c r="B393">
        <v>0.16421287128838746</v>
      </c>
      <c r="C393" s="1">
        <f t="shared" si="51"/>
        <v>86.076787733643741</v>
      </c>
      <c r="D393" s="1">
        <f t="shared" si="60"/>
        <v>276.86118670550331</v>
      </c>
      <c r="E393" s="1">
        <f t="shared" si="58"/>
        <v>331.93006702859122</v>
      </c>
      <c r="F393" s="1">
        <f t="shared" si="52"/>
        <v>17.761792787311993</v>
      </c>
      <c r="G393" s="1">
        <f t="shared" si="59"/>
        <v>13.245870398559099</v>
      </c>
      <c r="H393" s="1">
        <f t="shared" si="53"/>
        <v>5.1815826734524437</v>
      </c>
      <c r="I393" s="1">
        <f t="shared" si="54"/>
        <v>133.72594059385801</v>
      </c>
      <c r="K393" s="112">
        <f>C393/'CGE-Flood Weighted Av Calcs'!$D$3</f>
        <v>1.4509202796131441E-2</v>
      </c>
      <c r="L393" s="112">
        <f>D393/'CGE-Flood Weighted Av Calcs'!$D$4</f>
        <v>1.4221522467854901E-2</v>
      </c>
      <c r="M393" s="112">
        <f>E393/'CGE-Flood Weighted Av Calcs'!$D$5</f>
        <v>1.4219373467634173E-2</v>
      </c>
      <c r="N393" s="112">
        <f>F393/'CGE-Flood Weighted Av Calcs'!$D$6</f>
        <v>4.9096212101070215E-3</v>
      </c>
      <c r="O393" s="112">
        <f>G393/'CGE-Flood Weighted Av Calcs'!$D$7</f>
        <v>2.186544908063702E-2</v>
      </c>
      <c r="P393" s="112">
        <f>H393/'CGE-Flood Weighted Av Calcs'!$D$8</f>
        <v>5.23609037424837E-2</v>
      </c>
      <c r="R393" s="1">
        <f t="shared" si="55"/>
        <v>0.23216309130878127</v>
      </c>
      <c r="S393" s="1">
        <f t="shared" si="56"/>
        <v>0.26930918591818626</v>
      </c>
      <c r="T393" s="1">
        <f t="shared" si="57"/>
        <v>6.5005665566458752</v>
      </c>
    </row>
    <row r="394" spans="1:20">
      <c r="A394">
        <v>341</v>
      </c>
      <c r="B394">
        <v>0.606329784756103</v>
      </c>
      <c r="C394" s="1">
        <f t="shared" si="51"/>
        <v>40.543658056618689</v>
      </c>
      <c r="D394" s="1">
        <f t="shared" si="60"/>
        <v>130.40641476622193</v>
      </c>
      <c r="E394" s="1">
        <f t="shared" si="58"/>
        <v>156.34481130918988</v>
      </c>
      <c r="F394" s="1">
        <f t="shared" si="52"/>
        <v>8.3661120750655762</v>
      </c>
      <c r="G394" s="1">
        <f t="shared" si="59"/>
        <v>6.2390344045281214</v>
      </c>
      <c r="H394" s="1">
        <f t="shared" si="53"/>
        <v>2.4406151952908499</v>
      </c>
      <c r="I394" s="1">
        <f t="shared" si="54"/>
        <v>62.987234439023496</v>
      </c>
      <c r="K394" s="112">
        <f>C394/'CGE-Flood Weighted Av Calcs'!$D$3</f>
        <v>6.8340858474039536E-3</v>
      </c>
      <c r="L394" s="112">
        <f>D394/'CGE-Flood Weighted Av Calcs'!$D$4</f>
        <v>6.6985834295470994E-3</v>
      </c>
      <c r="M394" s="112">
        <f>E394/'CGE-Flood Weighted Av Calcs'!$D$5</f>
        <v>6.6975712132178551E-3</v>
      </c>
      <c r="N394" s="112">
        <f>F394/'CGE-Flood Weighted Av Calcs'!$D$6</f>
        <v>2.3125166351009143E-3</v>
      </c>
      <c r="O394" s="112">
        <f>G394/'CGE-Flood Weighted Av Calcs'!$D$7</f>
        <v>1.0299005273325942E-2</v>
      </c>
      <c r="P394" s="112">
        <f>H394/'CGE-Flood Weighted Av Calcs'!$D$8</f>
        <v>2.4662892665556949E-2</v>
      </c>
      <c r="R394" s="1">
        <f t="shared" si="55"/>
        <v>0.10935283756774916</v>
      </c>
      <c r="S394" s="1">
        <f t="shared" si="56"/>
        <v>0.12684929157858901</v>
      </c>
      <c r="T394" s="1">
        <f t="shared" si="57"/>
        <v>3.061879451896977</v>
      </c>
    </row>
    <row r="395" spans="1:20">
      <c r="A395">
        <v>342</v>
      </c>
      <c r="B395">
        <v>0.20895224958616798</v>
      </c>
      <c r="C395" s="1">
        <f t="shared" si="51"/>
        <v>81.469128873175663</v>
      </c>
      <c r="D395" s="1">
        <f t="shared" si="60"/>
        <v>262.04090897870435</v>
      </c>
      <c r="E395" s="1">
        <f t="shared" si="58"/>
        <v>314.16197234628618</v>
      </c>
      <c r="F395" s="1">
        <f t="shared" si="52"/>
        <v>16.811010537310949</v>
      </c>
      <c r="G395" s="1">
        <f t="shared" si="59"/>
        <v>12.536823816855891</v>
      </c>
      <c r="H395" s="1">
        <f t="shared" si="53"/>
        <v>4.9042144543866977</v>
      </c>
      <c r="I395" s="1">
        <f t="shared" si="54"/>
        <v>126.56764006621312</v>
      </c>
      <c r="K395" s="112">
        <f>C395/'CGE-Flood Weighted Av Calcs'!$D$3</f>
        <v>1.3732530494781224E-2</v>
      </c>
      <c r="L395" s="112">
        <f>D395/'CGE-Flood Weighted Av Calcs'!$D$4</f>
        <v>1.3460249588909564E-2</v>
      </c>
      <c r="M395" s="112">
        <f>E395/'CGE-Flood Weighted Av Calcs'!$D$5</f>
        <v>1.3458215623882049E-2</v>
      </c>
      <c r="N395" s="112">
        <f>F395/'CGE-Flood Weighted Av Calcs'!$D$6</f>
        <v>4.6468109883746221E-3</v>
      </c>
      <c r="O395" s="112">
        <f>G395/'CGE-Flood Weighted Av Calcs'!$D$7</f>
        <v>2.0694999615140382E-2</v>
      </c>
      <c r="P395" s="112">
        <f>H395/'CGE-Flood Weighted Av Calcs'!$D$8</f>
        <v>4.9558043779612752E-2</v>
      </c>
      <c r="R395" s="1">
        <f t="shared" si="55"/>
        <v>0.21973548622606445</v>
      </c>
      <c r="S395" s="1">
        <f t="shared" si="56"/>
        <v>0.25489316402223472</v>
      </c>
      <c r="T395" s="1">
        <f t="shared" si="57"/>
        <v>6.1525936143298043</v>
      </c>
    </row>
    <row r="396" spans="1:20">
      <c r="A396">
        <v>343</v>
      </c>
      <c r="B396">
        <v>0.56220263112845426</v>
      </c>
      <c r="C396" s="1">
        <f t="shared" si="51"/>
        <v>45.088264578559532</v>
      </c>
      <c r="D396" s="1">
        <f t="shared" si="60"/>
        <v>145.02388816297051</v>
      </c>
      <c r="E396" s="1">
        <f t="shared" si="58"/>
        <v>173.86976300829693</v>
      </c>
      <c r="F396" s="1">
        <f t="shared" si="52"/>
        <v>9.3038835866182765</v>
      </c>
      <c r="G396" s="1">
        <f t="shared" si="59"/>
        <v>6.9383782181977196</v>
      </c>
      <c r="H396" s="1">
        <f t="shared" si="53"/>
        <v>2.714187839342292</v>
      </c>
      <c r="I396" s="1">
        <f t="shared" si="54"/>
        <v>70.047579019447298</v>
      </c>
      <c r="K396" s="112">
        <f>C396/'CGE-Flood Weighted Av Calcs'!$D$3</f>
        <v>7.6001299737194234E-3</v>
      </c>
      <c r="L396" s="112">
        <f>D396/'CGE-Flood Weighted Av Calcs'!$D$4</f>
        <v>7.4494388629461322E-3</v>
      </c>
      <c r="M396" s="112">
        <f>E396/'CGE-Flood Weighted Av Calcs'!$D$5</f>
        <v>7.4483131855935863E-3</v>
      </c>
      <c r="N396" s="112">
        <f>F396/'CGE-Flood Weighted Av Calcs'!$D$6</f>
        <v>2.5717304970395674E-3</v>
      </c>
      <c r="O396" s="112">
        <f>G396/'CGE-Flood Weighted Av Calcs'!$D$7</f>
        <v>1.1453438020102213E-2</v>
      </c>
      <c r="P396" s="112">
        <f>H396/'CGE-Flood Weighted Av Calcs'!$D$8</f>
        <v>2.7427397602464581E-2</v>
      </c>
      <c r="R396" s="1">
        <f t="shared" si="55"/>
        <v>0.12161038024209603</v>
      </c>
      <c r="S396" s="1">
        <f t="shared" si="56"/>
        <v>0.1410680410808314</v>
      </c>
      <c r="T396" s="1">
        <f t="shared" si="57"/>
        <v>3.4050906467786892</v>
      </c>
    </row>
    <row r="397" spans="1:20">
      <c r="A397">
        <v>344</v>
      </c>
      <c r="B397">
        <v>0.56715381525077735</v>
      </c>
      <c r="C397" s="1">
        <f t="shared" si="51"/>
        <v>44.578347627117168</v>
      </c>
      <c r="D397" s="1">
        <f t="shared" si="60"/>
        <v>143.38376872990753</v>
      </c>
      <c r="E397" s="1">
        <f t="shared" si="58"/>
        <v>171.90341676876221</v>
      </c>
      <c r="F397" s="1">
        <f t="shared" si="52"/>
        <v>9.1986631262743881</v>
      </c>
      <c r="G397" s="1">
        <f t="shared" si="59"/>
        <v>6.8599099803525254</v>
      </c>
      <c r="H397" s="1">
        <f t="shared" si="53"/>
        <v>2.683492260312677</v>
      </c>
      <c r="I397" s="1">
        <f t="shared" si="54"/>
        <v>69.25538955987561</v>
      </c>
      <c r="K397" s="112">
        <f>C397/'CGE-Flood Weighted Av Calcs'!$D$3</f>
        <v>7.514177783210685E-3</v>
      </c>
      <c r="L397" s="112">
        <f>D397/'CGE-Flood Weighted Av Calcs'!$D$4</f>
        <v>7.3651908842213955E-3</v>
      </c>
      <c r="M397" s="112">
        <f>E397/'CGE-Flood Weighted Av Calcs'!$D$5</f>
        <v>7.3640779374977462E-3</v>
      </c>
      <c r="N397" s="112">
        <f>F397/'CGE-Flood Weighted Av Calcs'!$D$6</f>
        <v>2.5426460115922085E-3</v>
      </c>
      <c r="O397" s="112">
        <f>G397/'CGE-Flood Weighted Av Calcs'!$D$7</f>
        <v>1.1323907592321639E-2</v>
      </c>
      <c r="P397" s="112">
        <f>H397/'CGE-Flood Weighted Av Calcs'!$D$8</f>
        <v>2.7117212788252482E-2</v>
      </c>
      <c r="R397" s="1">
        <f t="shared" si="55"/>
        <v>0.12023505131922851</v>
      </c>
      <c r="S397" s="1">
        <f t="shared" si="56"/>
        <v>0.13947265953030508</v>
      </c>
      <c r="T397" s="1">
        <f t="shared" si="57"/>
        <v>3.3665814369383988</v>
      </c>
    </row>
    <row r="398" spans="1:20">
      <c r="A398">
        <v>345</v>
      </c>
      <c r="B398">
        <v>0.8720150272344469</v>
      </c>
      <c r="C398" s="1">
        <f t="shared" si="51"/>
        <v>13.181030139599031</v>
      </c>
      <c r="D398" s="1">
        <f t="shared" si="60"/>
        <v>42.396048255690545</v>
      </c>
      <c r="E398" s="1">
        <f t="shared" si="58"/>
        <v>50.828804523718475</v>
      </c>
      <c r="F398" s="1">
        <f t="shared" si="52"/>
        <v>2.7198822380236756</v>
      </c>
      <c r="G398" s="1">
        <f t="shared" si="59"/>
        <v>2.0283542351614567</v>
      </c>
      <c r="H398" s="1">
        <f t="shared" si="53"/>
        <v>0.79346127089389196</v>
      </c>
      <c r="I398" s="1">
        <f t="shared" si="54"/>
        <v>20.477595642488467</v>
      </c>
      <c r="K398" s="112">
        <f>C398/'CGE-Flood Weighted Av Calcs'!$D$3</f>
        <v>2.2218096700954496E-3</v>
      </c>
      <c r="L398" s="112">
        <f>D398/'CGE-Flood Weighted Av Calcs'!$D$4</f>
        <v>2.1777568751733547E-3</v>
      </c>
      <c r="M398" s="112">
        <f>E398/'CGE-Flood Weighted Av Calcs'!$D$5</f>
        <v>2.1774277964818141E-3</v>
      </c>
      <c r="N398" s="112">
        <f>F398/'CGE-Flood Weighted Av Calcs'!$D$6</f>
        <v>7.5181552249238223E-4</v>
      </c>
      <c r="O398" s="112">
        <f>G398/'CGE-Flood Weighted Av Calcs'!$D$7</f>
        <v>3.3482794948108368E-3</v>
      </c>
      <c r="P398" s="112">
        <f>H398/'CGE-Flood Weighted Av Calcs'!$D$8</f>
        <v>8.0180809314351602E-3</v>
      </c>
      <c r="R398" s="1">
        <f t="shared" si="55"/>
        <v>3.555138132376473E-2</v>
      </c>
      <c r="S398" s="1">
        <f t="shared" si="56"/>
        <v>4.1239602335567116E-2</v>
      </c>
      <c r="T398" s="1">
        <f t="shared" si="57"/>
        <v>0.99543867706541356</v>
      </c>
    </row>
    <row r="399" spans="1:20">
      <c r="A399">
        <v>346</v>
      </c>
      <c r="B399">
        <v>0.36766471626605168</v>
      </c>
      <c r="C399" s="1">
        <f t="shared" si="51"/>
        <v>65.12350827699963</v>
      </c>
      <c r="D399" s="1">
        <f t="shared" si="60"/>
        <v>209.46613202839774</v>
      </c>
      <c r="E399" s="1">
        <f t="shared" si="58"/>
        <v>251.12984622999068</v>
      </c>
      <c r="F399" s="1">
        <f t="shared" si="52"/>
        <v>13.438120660104005</v>
      </c>
      <c r="G399" s="1">
        <f t="shared" si="59"/>
        <v>10.021488641117907</v>
      </c>
      <c r="H399" s="1">
        <f t="shared" si="53"/>
        <v>3.920253659636117</v>
      </c>
      <c r="I399" s="1">
        <f t="shared" si="54"/>
        <v>101.17364539743173</v>
      </c>
      <c r="K399" s="112">
        <f>C399/'CGE-Flood Weighted Av Calcs'!$D$3</f>
        <v>1.0977293800860726E-2</v>
      </c>
      <c r="L399" s="112">
        <f>D399/'CGE-Flood Weighted Av Calcs'!$D$4</f>
        <v>1.0759642181499418E-2</v>
      </c>
      <c r="M399" s="112">
        <f>E399/'CGE-Flood Weighted Av Calcs'!$D$5</f>
        <v>1.0758016302591215E-2</v>
      </c>
      <c r="N399" s="112">
        <f>F399/'CGE-Flood Weighted Av Calcs'!$D$6</f>
        <v>3.7144945336798165E-3</v>
      </c>
      <c r="O399" s="112">
        <f>G399/'CGE-Flood Weighted Av Calcs'!$D$7</f>
        <v>1.6542842637082004E-2</v>
      </c>
      <c r="P399" s="112">
        <f>H399/'CGE-Flood Weighted Av Calcs'!$D$8</f>
        <v>3.9614927996807943E-2</v>
      </c>
      <c r="R399" s="1">
        <f t="shared" si="55"/>
        <v>0.17564868992609675</v>
      </c>
      <c r="S399" s="1">
        <f t="shared" si="56"/>
        <v>0.20375248031427223</v>
      </c>
      <c r="T399" s="1">
        <f t="shared" si="57"/>
        <v>4.9181633179307092</v>
      </c>
    </row>
    <row r="400" spans="1:20">
      <c r="A400">
        <v>347</v>
      </c>
      <c r="B400">
        <v>0.67891004852730696</v>
      </c>
      <c r="C400" s="1">
        <f t="shared" si="51"/>
        <v>33.068697335559918</v>
      </c>
      <c r="D400" s="1">
        <f t="shared" si="60"/>
        <v>106.36362053215609</v>
      </c>
      <c r="E400" s="1">
        <f t="shared" si="58"/>
        <v>127.51980193668814</v>
      </c>
      <c r="F400" s="1">
        <f t="shared" si="52"/>
        <v>6.823667161442847</v>
      </c>
      <c r="G400" s="1">
        <f t="shared" si="59"/>
        <v>5.0887549441485298</v>
      </c>
      <c r="H400" s="1">
        <f t="shared" si="53"/>
        <v>1.990643397123514</v>
      </c>
      <c r="I400" s="1">
        <f t="shared" si="54"/>
        <v>51.374392235630864</v>
      </c>
      <c r="K400" s="112">
        <f>C400/'CGE-Flood Weighted Av Calcs'!$D$3</f>
        <v>5.5740978314644607E-3</v>
      </c>
      <c r="L400" s="112">
        <f>D400/'CGE-Flood Weighted Av Calcs'!$D$4</f>
        <v>5.4635777486912824E-3</v>
      </c>
      <c r="M400" s="112">
        <f>E400/'CGE-Flood Weighted Av Calcs'!$D$5</f>
        <v>5.462752152851285E-3</v>
      </c>
      <c r="N400" s="112">
        <f>F400/'CGE-Flood Weighted Av Calcs'!$D$6</f>
        <v>1.886162136204078E-3</v>
      </c>
      <c r="O400" s="112">
        <f>G400/'CGE-Flood Weighted Av Calcs'!$D$7</f>
        <v>8.4001963455133458E-3</v>
      </c>
      <c r="P400" s="112">
        <f>H400/'CGE-Flood Weighted Av Calcs'!$D$8</f>
        <v>2.0115839864221691E-2</v>
      </c>
      <c r="R400" s="1">
        <f t="shared" si="55"/>
        <v>8.9191653186859177E-2</v>
      </c>
      <c r="S400" s="1">
        <f t="shared" si="56"/>
        <v>0.10346231769675665</v>
      </c>
      <c r="T400" s="1">
        <f t="shared" si="57"/>
        <v>2.4973662892320574</v>
      </c>
    </row>
    <row r="401" spans="1:20">
      <c r="A401">
        <v>348</v>
      </c>
      <c r="B401">
        <v>0.93957432843266997</v>
      </c>
      <c r="C401" s="1">
        <f t="shared" si="51"/>
        <v>6.2231727750842651</v>
      </c>
      <c r="D401" s="1">
        <f t="shared" si="60"/>
        <v>20.016488125866431</v>
      </c>
      <c r="E401" s="1">
        <f t="shared" si="58"/>
        <v>23.997853669402673</v>
      </c>
      <c r="F401" s="1">
        <f t="shared" si="52"/>
        <v>1.2841406867171514</v>
      </c>
      <c r="G401" s="1">
        <f t="shared" si="59"/>
        <v>0.95764888789394753</v>
      </c>
      <c r="H401" s="1">
        <f t="shared" si="53"/>
        <v>0.37461765331042862</v>
      </c>
      <c r="I401" s="1">
        <f t="shared" si="54"/>
        <v>9.6681074507727658</v>
      </c>
      <c r="K401" s="112">
        <f>C401/'CGE-Flood Weighted Av Calcs'!$D$3</f>
        <v>1.04898519341202E-3</v>
      </c>
      <c r="L401" s="112">
        <f>D401/'CGE-Flood Weighted Av Calcs'!$D$4</f>
        <v>1.0281865038466291E-3</v>
      </c>
      <c r="M401" s="112">
        <f>E401/'CGE-Flood Weighted Av Calcs'!$D$5</f>
        <v>1.0280311355990509E-3</v>
      </c>
      <c r="N401" s="112">
        <f>F401/'CGE-Flood Weighted Av Calcs'!$D$6</f>
        <v>3.5495540499558124E-4</v>
      </c>
      <c r="O401" s="112">
        <f>G401/'CGE-Flood Weighted Av Calcs'!$D$7</f>
        <v>1.580826504059076E-3</v>
      </c>
      <c r="P401" s="112">
        <f>H401/'CGE-Flood Weighted Av Calcs'!$D$8</f>
        <v>3.785584467410025E-3</v>
      </c>
      <c r="R401" s="1">
        <f t="shared" si="55"/>
        <v>1.6784908768702783E-2</v>
      </c>
      <c r="S401" s="1">
        <f t="shared" si="56"/>
        <v>1.9470494171695218E-2</v>
      </c>
      <c r="T401" s="1">
        <f t="shared" si="57"/>
        <v>0.46997744552367848</v>
      </c>
    </row>
    <row r="402" spans="1:20">
      <c r="A402">
        <v>349</v>
      </c>
      <c r="B402">
        <v>9.9961398027419879E-2</v>
      </c>
      <c r="C402" s="1">
        <f t="shared" si="51"/>
        <v>92.699669794131324</v>
      </c>
      <c r="D402" s="1">
        <f t="shared" si="60"/>
        <v>298.16176329758991</v>
      </c>
      <c r="E402" s="1">
        <f t="shared" si="58"/>
        <v>357.46736952670614</v>
      </c>
      <c r="F402" s="1">
        <f t="shared" si="52"/>
        <v>19.131168853082549</v>
      </c>
      <c r="G402" s="1">
        <f t="shared" si="59"/>
        <v>14.265133848660399</v>
      </c>
      <c r="H402" s="1">
        <f t="shared" si="53"/>
        <v>5.5801945211172406</v>
      </c>
      <c r="I402" s="1">
        <f t="shared" si="54"/>
        <v>144.06304988854754</v>
      </c>
      <c r="K402" s="112">
        <f>C402/'CGE-Flood Weighted Av Calcs'!$D$3</f>
        <v>1.5625563448527356E-2</v>
      </c>
      <c r="L402" s="112">
        <f>D402/'CGE-Flood Weighted Av Calcs'!$D$4</f>
        <v>1.5315668715609182E-2</v>
      </c>
      <c r="M402" s="112">
        <f>E402/'CGE-Flood Weighted Av Calcs'!$D$5</f>
        <v>1.5313352222940377E-2</v>
      </c>
      <c r="N402" s="112">
        <f>F402/'CGE-Flood Weighted Av Calcs'!$D$6</f>
        <v>5.2881369296419681E-3</v>
      </c>
      <c r="O402" s="112">
        <f>G402/'CGE-Flood Weighted Av Calcs'!$D$7</f>
        <v>2.3547985025603593E-2</v>
      </c>
      <c r="P402" s="112">
        <f>H402/'CGE-Flood Weighted Av Calcs'!$D$8</f>
        <v>5.6388954224651032E-2</v>
      </c>
      <c r="R402" s="1">
        <f t="shared" si="55"/>
        <v>0.25002573464838673</v>
      </c>
      <c r="S402" s="1">
        <f t="shared" si="56"/>
        <v>0.29003860197258013</v>
      </c>
      <c r="T402" s="1">
        <f t="shared" si="57"/>
        <v>7.000643366209669</v>
      </c>
    </row>
    <row r="403" spans="1:20">
      <c r="A403">
        <v>350</v>
      </c>
      <c r="B403">
        <v>0.77013469009015645</v>
      </c>
      <c r="C403" s="1">
        <f t="shared" si="51"/>
        <v>23.673572861714902</v>
      </c>
      <c r="D403" s="1">
        <f t="shared" si="60"/>
        <v>76.144726686771889</v>
      </c>
      <c r="E403" s="1">
        <f t="shared" si="58"/>
        <v>91.290240187761071</v>
      </c>
      <c r="F403" s="1">
        <f t="shared" si="52"/>
        <v>4.8849998562476866</v>
      </c>
      <c r="G403" s="1">
        <f t="shared" si="59"/>
        <v>3.6429923357206953</v>
      </c>
      <c r="H403" s="1">
        <f t="shared" si="53"/>
        <v>1.4250830936971726</v>
      </c>
      <c r="I403" s="1">
        <f t="shared" si="54"/>
        <v>36.778449585574947</v>
      </c>
      <c r="K403" s="112">
        <f>C403/'CGE-Flood Weighted Av Calcs'!$D$3</f>
        <v>3.9904447947394974E-3</v>
      </c>
      <c r="L403" s="112">
        <f>D403/'CGE-Flood Weighted Av Calcs'!$D$4</f>
        <v>3.9113244953922315E-3</v>
      </c>
      <c r="M403" s="112">
        <f>E403/'CGE-Flood Weighted Av Calcs'!$D$5</f>
        <v>3.9107334590089667E-3</v>
      </c>
      <c r="N403" s="112">
        <f>F403/'CGE-Flood Weighted Av Calcs'!$D$6</f>
        <v>1.350285930749954E-3</v>
      </c>
      <c r="O403" s="112">
        <f>G403/'CGE-Flood Weighted Av Calcs'!$D$7</f>
        <v>6.0136224363569806E-3</v>
      </c>
      <c r="P403" s="112">
        <f>H403/'CGE-Flood Weighted Av Calcs'!$D$8</f>
        <v>1.4400742668147139E-2</v>
      </c>
      <c r="R403" s="1">
        <f t="shared" si="55"/>
        <v>6.3851474974956524E-2</v>
      </c>
      <c r="S403" s="1">
        <f t="shared" si="56"/>
        <v>7.406771097094958E-2</v>
      </c>
      <c r="T403" s="1">
        <f t="shared" si="57"/>
        <v>1.7878412992987833</v>
      </c>
    </row>
    <row r="404" spans="1:20">
      <c r="A404">
        <v>351</v>
      </c>
      <c r="B404">
        <v>0.61761158300182917</v>
      </c>
      <c r="C404" s="1">
        <f t="shared" si="51"/>
        <v>39.381758190622733</v>
      </c>
      <c r="D404" s="1">
        <f t="shared" si="60"/>
        <v>126.66922865365427</v>
      </c>
      <c r="E404" s="1">
        <f t="shared" si="58"/>
        <v>151.86428281184442</v>
      </c>
      <c r="F404" s="1">
        <f t="shared" si="52"/>
        <v>8.1263560943558151</v>
      </c>
      <c r="G404" s="1">
        <f t="shared" si="59"/>
        <v>6.060236200664967</v>
      </c>
      <c r="H404" s="1">
        <f t="shared" si="53"/>
        <v>2.3706720622761615</v>
      </c>
      <c r="I404" s="1">
        <f t="shared" si="54"/>
        <v>61.182146719707319</v>
      </c>
      <c r="K404" s="112">
        <f>C404/'CGE-Flood Weighted Av Calcs'!$D$3</f>
        <v>6.6382346634970973E-3</v>
      </c>
      <c r="L404" s="112">
        <f>D404/'CGE-Flood Weighted Av Calcs'!$D$4</f>
        <v>6.5066154729733596E-3</v>
      </c>
      <c r="M404" s="112">
        <f>E404/'CGE-Flood Weighted Av Calcs'!$D$5</f>
        <v>6.5056322647325249E-3</v>
      </c>
      <c r="N404" s="112">
        <f>F404/'CGE-Flood Weighted Av Calcs'!$D$6</f>
        <v>2.2462445497186596E-3</v>
      </c>
      <c r="O404" s="112">
        <f>G404/'CGE-Flood Weighted Av Calcs'!$D$7</f>
        <v>1.0003856453003463E-2</v>
      </c>
      <c r="P404" s="112">
        <f>H404/'CGE-Flood Weighted Av Calcs'!$D$8</f>
        <v>2.3956103661881806E-2</v>
      </c>
      <c r="R404" s="1">
        <f t="shared" si="55"/>
        <v>0.10621900472171411</v>
      </c>
      <c r="S404" s="1">
        <f t="shared" si="56"/>
        <v>0.12321404547718837</v>
      </c>
      <c r="T404" s="1">
        <f t="shared" si="57"/>
        <v>2.9741321322079957</v>
      </c>
    </row>
    <row r="405" spans="1:20">
      <c r="A405">
        <v>352</v>
      </c>
      <c r="B405">
        <v>0.62137234495505311</v>
      </c>
      <c r="C405" s="1">
        <f t="shared" si="51"/>
        <v>38.99444149568459</v>
      </c>
      <c r="D405" s="1">
        <f t="shared" si="60"/>
        <v>125.42344610745553</v>
      </c>
      <c r="E405" s="1">
        <f t="shared" si="58"/>
        <v>150.37070876131253</v>
      </c>
      <c r="F405" s="1">
        <f t="shared" si="52"/>
        <v>8.0464339799311286</v>
      </c>
      <c r="G405" s="1">
        <f t="shared" si="59"/>
        <v>6.0006342234138614</v>
      </c>
      <c r="H405" s="1">
        <f t="shared" si="53"/>
        <v>2.3473566769269714</v>
      </c>
      <c r="I405" s="1">
        <f t="shared" si="54"/>
        <v>60.580424807191477</v>
      </c>
      <c r="K405" s="112">
        <f>C405/'CGE-Flood Weighted Av Calcs'!$D$3</f>
        <v>6.5729481138807897E-3</v>
      </c>
      <c r="L405" s="112">
        <f>D405/'CGE-Flood Weighted Av Calcs'!$D$4</f>
        <v>6.4426233884141313E-3</v>
      </c>
      <c r="M405" s="112">
        <f>E405/'CGE-Flood Weighted Av Calcs'!$D$5</f>
        <v>6.441649849954021E-3</v>
      </c>
      <c r="N405" s="112">
        <f>F405/'CGE-Flood Weighted Av Calcs'!$D$6</f>
        <v>2.2241528998027606E-3</v>
      </c>
      <c r="O405" s="112">
        <f>G405/'CGE-Flood Weighted Av Calcs'!$D$7</f>
        <v>9.9054692606577559E-3</v>
      </c>
      <c r="P405" s="112">
        <f>H405/'CGE-Flood Weighted Av Calcs'!$D$8</f>
        <v>2.3720497144544425E-2</v>
      </c>
      <c r="R405" s="1">
        <f t="shared" si="55"/>
        <v>0.10517434862359634</v>
      </c>
      <c r="S405" s="1">
        <f t="shared" si="56"/>
        <v>0.12200224440337176</v>
      </c>
      <c r="T405" s="1">
        <f t="shared" si="57"/>
        <v>2.9448817614606986</v>
      </c>
    </row>
    <row r="406" spans="1:20">
      <c r="A406">
        <v>353</v>
      </c>
      <c r="B406">
        <v>0.44935392794967122</v>
      </c>
      <c r="C406" s="1">
        <f t="shared" si="51"/>
        <v>56.71042713149442</v>
      </c>
      <c r="D406" s="1">
        <f t="shared" si="60"/>
        <v>182.40592577393193</v>
      </c>
      <c r="E406" s="1">
        <f t="shared" si="58"/>
        <v>218.68724861371101</v>
      </c>
      <c r="F406" s="1">
        <f t="shared" si="52"/>
        <v>11.702096257431055</v>
      </c>
      <c r="G406" s="1">
        <f t="shared" si="59"/>
        <v>8.7268471304384061</v>
      </c>
      <c r="H406" s="1">
        <f t="shared" si="53"/>
        <v>3.4138096270266081</v>
      </c>
      <c r="I406" s="1">
        <f t="shared" si="54"/>
        <v>88.103371528052591</v>
      </c>
      <c r="K406" s="112">
        <f>C406/'CGE-Flood Weighted Av Calcs'!$D$3</f>
        <v>9.5591751222435638E-3</v>
      </c>
      <c r="L406" s="112">
        <f>D406/'CGE-Flood Weighted Av Calcs'!$D$4</f>
        <v>9.3696411639785909E-3</v>
      </c>
      <c r="M406" s="112">
        <f>E406/'CGE-Flood Weighted Av Calcs'!$D$5</f>
        <v>9.3682253267519493E-3</v>
      </c>
      <c r="N406" s="112">
        <f>F406/'CGE-Flood Weighted Av Calcs'!$D$6</f>
        <v>3.2346318120115968E-3</v>
      </c>
      <c r="O406" s="112">
        <f>G406/'CGE-Flood Weighted Av Calcs'!$D$7</f>
        <v>1.4405729923634274E-2</v>
      </c>
      <c r="P406" s="112">
        <f>H406/'CGE-Flood Weighted Av Calcs'!$D$8</f>
        <v>3.4497212249786358E-2</v>
      </c>
      <c r="R406" s="1">
        <f t="shared" si="55"/>
        <v>0.15295724223620244</v>
      </c>
      <c r="S406" s="1">
        <f t="shared" si="56"/>
        <v>0.17743040099399482</v>
      </c>
      <c r="T406" s="1">
        <f t="shared" si="57"/>
        <v>4.2828027826136683</v>
      </c>
    </row>
    <row r="407" spans="1:20">
      <c r="A407">
        <v>354</v>
      </c>
      <c r="B407">
        <v>1.007886792239554E-2</v>
      </c>
      <c r="C407" s="1">
        <f t="shared" si="51"/>
        <v>148.4725818896973</v>
      </c>
      <c r="D407" s="1">
        <f t="shared" si="60"/>
        <v>471.30721960012266</v>
      </c>
      <c r="E407" s="1">
        <f t="shared" si="58"/>
        <v>564.94835487824025</v>
      </c>
      <c r="F407" s="1">
        <f t="shared" si="52"/>
        <v>30.591544947142534</v>
      </c>
      <c r="G407" s="1">
        <f t="shared" si="59"/>
        <v>21.164859154942611</v>
      </c>
      <c r="H407" s="1">
        <f t="shared" si="53"/>
        <v>7.932259494070359</v>
      </c>
      <c r="I407" s="1">
        <f t="shared" si="54"/>
        <v>329.76865409430644</v>
      </c>
      <c r="K407" s="112">
        <f>C407/'CGE-Flood Weighted Av Calcs'!$D$3</f>
        <v>2.5026709953081327E-2</v>
      </c>
      <c r="L407" s="112">
        <f>D407/'CGE-Flood Weighted Av Calcs'!$D$4</f>
        <v>2.4209627548606238E-2</v>
      </c>
      <c r="M407" s="112">
        <f>E407/'CGE-Flood Weighted Av Calcs'!$D$5</f>
        <v>2.4201518469995287E-2</v>
      </c>
      <c r="N407" s="112">
        <f>F407/'CGE-Flood Weighted Av Calcs'!$D$6</f>
        <v>8.4559537272455108E-3</v>
      </c>
      <c r="O407" s="112">
        <f>G407/'CGE-Flood Weighted Av Calcs'!$D$7</f>
        <v>3.4937617251758223E-2</v>
      </c>
      <c r="P407" s="112">
        <f>H407/'CGE-Flood Weighted Av Calcs'!$D$8</f>
        <v>8.0157029619037784E-2</v>
      </c>
      <c r="R407" s="1">
        <f t="shared" si="55"/>
        <v>0.32989484277013931</v>
      </c>
      <c r="S407" s="1">
        <f t="shared" si="56"/>
        <v>0.3898948427701393</v>
      </c>
      <c r="T407" s="1">
        <f t="shared" si="57"/>
        <v>13.984226415520892</v>
      </c>
    </row>
    <row r="408" spans="1:20">
      <c r="A408">
        <v>355</v>
      </c>
      <c r="B408">
        <v>3.1614875106475648E-2</v>
      </c>
      <c r="C408" s="1">
        <f t="shared" si="51"/>
        <v>119.14054010498018</v>
      </c>
      <c r="D408" s="1">
        <f t="shared" si="60"/>
        <v>379.71966530361607</v>
      </c>
      <c r="E408" s="1">
        <f t="shared" si="58"/>
        <v>455.16209003261429</v>
      </c>
      <c r="F408" s="1">
        <f t="shared" si="52"/>
        <v>27.655016106691537</v>
      </c>
      <c r="G408" s="1">
        <f t="shared" si="59"/>
        <v>17.980383040726654</v>
      </c>
      <c r="H408" s="1">
        <f t="shared" si="53"/>
        <v>6.8150123708132115</v>
      </c>
      <c r="I408" s="1">
        <f t="shared" si="54"/>
        <v>266.5963663543381</v>
      </c>
      <c r="K408" s="112">
        <f>C408/'CGE-Flood Weighted Av Calcs'!$D$3</f>
        <v>2.0082467098712829E-2</v>
      </c>
      <c r="L408" s="112">
        <f>D408/'CGE-Flood Weighted Av Calcs'!$D$4</f>
        <v>1.9505051668170056E-2</v>
      </c>
      <c r="M408" s="112">
        <f>E408/'CGE-Flood Weighted Av Calcs'!$D$5</f>
        <v>1.9498443766846792E-2</v>
      </c>
      <c r="N408" s="112">
        <f>F408/'CGE-Flood Weighted Av Calcs'!$D$6</f>
        <v>7.6442538919975706E-3</v>
      </c>
      <c r="O408" s="112">
        <f>G408/'CGE-Flood Weighted Av Calcs'!$D$7</f>
        <v>2.9680884532142581E-2</v>
      </c>
      <c r="P408" s="112">
        <f>H408/'CGE-Flood Weighted Av Calcs'!$D$8</f>
        <v>6.8867029485071715E-2</v>
      </c>
      <c r="R408" s="1">
        <f t="shared" si="55"/>
        <v>0.30118016652469914</v>
      </c>
      <c r="S408" s="1">
        <f t="shared" si="56"/>
        <v>0.36118016652469914</v>
      </c>
      <c r="T408" s="1">
        <f t="shared" si="57"/>
        <v>9.6770249787048712</v>
      </c>
    </row>
    <row r="409" spans="1:20">
      <c r="A409">
        <v>356</v>
      </c>
      <c r="B409">
        <v>7.9133413464703817E-2</v>
      </c>
      <c r="C409" s="1">
        <f t="shared" si="51"/>
        <v>97.917079927091692</v>
      </c>
      <c r="D409" s="1">
        <f t="shared" si="60"/>
        <v>314.10471542807784</v>
      </c>
      <c r="E409" s="1">
        <f t="shared" si="58"/>
        <v>376.55427448871939</v>
      </c>
      <c r="F409" s="1">
        <f t="shared" si="52"/>
        <v>21.694833470278326</v>
      </c>
      <c r="G409" s="1">
        <f t="shared" si="59"/>
        <v>15.124966892932685</v>
      </c>
      <c r="H409" s="1">
        <f t="shared" si="53"/>
        <v>5.8580149841044724</v>
      </c>
      <c r="I409" s="1">
        <f t="shared" si="54"/>
        <v>178.08209134098377</v>
      </c>
      <c r="K409" s="112">
        <f>C409/'CGE-Flood Weighted Av Calcs'!$D$3</f>
        <v>1.6505016128894108E-2</v>
      </c>
      <c r="L409" s="112">
        <f>D409/'CGE-Flood Weighted Av Calcs'!$D$4</f>
        <v>1.613460998587414E-2</v>
      </c>
      <c r="M409" s="112">
        <f>E409/'CGE-Flood Weighted Av Calcs'!$D$5</f>
        <v>1.6131005870365839E-2</v>
      </c>
      <c r="N409" s="112">
        <f>F409/'CGE-Flood Weighted Av Calcs'!$D$6</f>
        <v>5.9967716001903407E-3</v>
      </c>
      <c r="O409" s="112">
        <f>G409/'CGE-Flood Weighted Av Calcs'!$D$7</f>
        <v>2.4967343292118863E-2</v>
      </c>
      <c r="P409" s="112">
        <f>H409/'CGE-Flood Weighted Av Calcs'!$D$8</f>
        <v>5.9196384200572695E-2</v>
      </c>
      <c r="R409" s="1">
        <f t="shared" si="55"/>
        <v>0.26391105769019746</v>
      </c>
      <c r="S409" s="1">
        <f t="shared" si="56"/>
        <v>0.3108665865352962</v>
      </c>
      <c r="T409" s="1">
        <f t="shared" si="57"/>
        <v>7.3477764422549363</v>
      </c>
    </row>
    <row r="410" spans="1:20">
      <c r="A410">
        <v>357</v>
      </c>
      <c r="B410">
        <v>0.30686502310317609</v>
      </c>
      <c r="C410" s="1">
        <f t="shared" si="51"/>
        <v>71.385201120629574</v>
      </c>
      <c r="D410" s="1">
        <f t="shared" si="60"/>
        <v>229.6065178062367</v>
      </c>
      <c r="E410" s="1">
        <f t="shared" si="58"/>
        <v>275.27624132700657</v>
      </c>
      <c r="F410" s="1">
        <f t="shared" si="52"/>
        <v>14.730209894782526</v>
      </c>
      <c r="G410" s="1">
        <f t="shared" si="59"/>
        <v>10.985065164662927</v>
      </c>
      <c r="H410" s="1">
        <f t="shared" si="53"/>
        <v>4.2971901136942474</v>
      </c>
      <c r="I410" s="1">
        <f t="shared" si="54"/>
        <v>110.90159630349183</v>
      </c>
      <c r="K410" s="112">
        <f>C410/'CGE-Flood Weighted Av Calcs'!$D$3</f>
        <v>1.203277198153407E-2</v>
      </c>
      <c r="L410" s="112">
        <f>D410/'CGE-Flood Weighted Av Calcs'!$D$4</f>
        <v>1.1794192933300803E-2</v>
      </c>
      <c r="M410" s="112">
        <f>E410/'CGE-Flood Weighted Av Calcs'!$D$5</f>
        <v>1.1792410724449797E-2</v>
      </c>
      <c r="N410" s="112">
        <f>F410/'CGE-Flood Weighted Av Calcs'!$D$6</f>
        <v>4.07164703443752E-3</v>
      </c>
      <c r="O410" s="112">
        <f>G410/'CGE-Flood Weighted Av Calcs'!$D$7</f>
        <v>1.8133454108953478E-2</v>
      </c>
      <c r="P410" s="112">
        <f>H410/'CGE-Flood Weighted Av Calcs'!$D$8</f>
        <v>4.3423944398126982E-2</v>
      </c>
      <c r="R410" s="1">
        <f t="shared" si="55"/>
        <v>0.19253749358245109</v>
      </c>
      <c r="S410" s="1">
        <f t="shared" si="56"/>
        <v>0.22334349255564323</v>
      </c>
      <c r="T410" s="1">
        <f t="shared" si="57"/>
        <v>5.3910498203086306</v>
      </c>
    </row>
    <row r="411" spans="1:20">
      <c r="A411">
        <v>358</v>
      </c>
      <c r="B411">
        <v>0.86679779433239923</v>
      </c>
      <c r="C411" s="1">
        <f t="shared" si="51"/>
        <v>13.718347159255472</v>
      </c>
      <c r="D411" s="1">
        <f t="shared" si="60"/>
        <v>44.124298479891252</v>
      </c>
      <c r="E411" s="1">
        <f t="shared" si="58"/>
        <v>52.900811147641946</v>
      </c>
      <c r="F411" s="1">
        <f t="shared" si="52"/>
        <v>2.8307566539436309</v>
      </c>
      <c r="G411" s="1">
        <f t="shared" si="59"/>
        <v>2.1110389146517381</v>
      </c>
      <c r="H411" s="1">
        <f t="shared" si="53"/>
        <v>0.82580625764941828</v>
      </c>
      <c r="I411" s="1">
        <f t="shared" si="54"/>
        <v>21.312352906816102</v>
      </c>
      <c r="K411" s="112">
        <f>C411/'CGE-Flood Weighted Av Calcs'!$D$3</f>
        <v>2.3123804477612284E-3</v>
      </c>
      <c r="L411" s="112">
        <f>D411/'CGE-Flood Weighted Av Calcs'!$D$4</f>
        <v>2.2665318663016329E-3</v>
      </c>
      <c r="M411" s="112">
        <f>E411/'CGE-Flood Weighted Av Calcs'!$D$5</f>
        <v>2.2661893729088206E-3</v>
      </c>
      <c r="N411" s="112">
        <f>F411/'CGE-Flood Weighted Av Calcs'!$D$6</f>
        <v>7.824628445604391E-4</v>
      </c>
      <c r="O411" s="112">
        <f>G411/'CGE-Flood Weighted Av Calcs'!$D$7</f>
        <v>3.4847701590513844E-3</v>
      </c>
      <c r="P411" s="112">
        <f>H411/'CGE-Flood Weighted Av Calcs'!$D$8</f>
        <v>8.3449333324853558E-3</v>
      </c>
      <c r="R411" s="1">
        <f t="shared" si="55"/>
        <v>3.7000612685444634E-2</v>
      </c>
      <c r="S411" s="1">
        <f t="shared" si="56"/>
        <v>4.2920710715115801E-2</v>
      </c>
      <c r="T411" s="1">
        <f t="shared" si="57"/>
        <v>1.0360171551924511</v>
      </c>
    </row>
    <row r="412" spans="1:20">
      <c r="A412">
        <v>359</v>
      </c>
      <c r="B412">
        <v>0.59385145074915491</v>
      </c>
      <c r="C412" s="1">
        <f t="shared" si="51"/>
        <v>41.828787811178707</v>
      </c>
      <c r="D412" s="1">
        <f t="shared" si="60"/>
        <v>134.53996294205575</v>
      </c>
      <c r="E412" s="1">
        <f t="shared" si="58"/>
        <v>161.30053998823323</v>
      </c>
      <c r="F412" s="1">
        <f t="shared" si="52"/>
        <v>8.6312963251555974</v>
      </c>
      <c r="G412" s="1">
        <f t="shared" si="59"/>
        <v>6.4367957595046699</v>
      </c>
      <c r="H412" s="1">
        <f t="shared" si="53"/>
        <v>2.5179764240807998</v>
      </c>
      <c r="I412" s="1">
        <f t="shared" si="54"/>
        <v>64.983767880135204</v>
      </c>
      <c r="K412" s="112">
        <f>C412/'CGE-Flood Weighted Av Calcs'!$D$3</f>
        <v>7.0507088037107431E-3</v>
      </c>
      <c r="L412" s="112">
        <f>D412/'CGE-Flood Weighted Av Calcs'!$D$4</f>
        <v>6.9109113074778952E-3</v>
      </c>
      <c r="M412" s="112">
        <f>E412/'CGE-Flood Weighted Av Calcs'!$D$5</f>
        <v>6.909867006492626E-3</v>
      </c>
      <c r="N412" s="112">
        <f>F412/'CGE-Flood Weighted Av Calcs'!$D$6</f>
        <v>2.3858174687734213E-3</v>
      </c>
      <c r="O412" s="112">
        <f>G412/'CGE-Flood Weighted Av Calcs'!$D$7</f>
        <v>1.0625457269853696E-2</v>
      </c>
      <c r="P412" s="112">
        <f>H412/'CGE-Flood Weighted Av Calcs'!$D$8</f>
        <v>2.54446429741691E-2</v>
      </c>
      <c r="R412" s="1">
        <f t="shared" si="55"/>
        <v>0.11281904145856808</v>
      </c>
      <c r="S412" s="1">
        <f t="shared" si="56"/>
        <v>0.13087008809193895</v>
      </c>
      <c r="T412" s="1">
        <f t="shared" si="57"/>
        <v>3.1589331608399065</v>
      </c>
    </row>
    <row r="413" spans="1:20">
      <c r="A413">
        <v>360</v>
      </c>
      <c r="B413">
        <v>0.33628314976614471</v>
      </c>
      <c r="C413" s="1">
        <f t="shared" si="51"/>
        <v>68.355460942417835</v>
      </c>
      <c r="D413" s="1">
        <f t="shared" si="60"/>
        <v>219.86152751054067</v>
      </c>
      <c r="E413" s="1">
        <f t="shared" si="58"/>
        <v>263.592930565632</v>
      </c>
      <c r="F413" s="1">
        <f t="shared" si="52"/>
        <v>14.105028371846151</v>
      </c>
      <c r="G413" s="1">
        <f t="shared" si="59"/>
        <v>10.518835571313288</v>
      </c>
      <c r="H413" s="1">
        <f t="shared" si="53"/>
        <v>4.1148082006857924</v>
      </c>
      <c r="I413" s="1">
        <f t="shared" si="54"/>
        <v>106.19469603741683</v>
      </c>
      <c r="K413" s="112">
        <f>C413/'CGE-Flood Weighted Av Calcs'!$D$3</f>
        <v>1.1522075476440399E-2</v>
      </c>
      <c r="L413" s="112">
        <f>D413/'CGE-Flood Weighted Av Calcs'!$D$4</f>
        <v>1.1293622231829796E-2</v>
      </c>
      <c r="M413" s="112">
        <f>E413/'CGE-Flood Weighted Av Calcs'!$D$5</f>
        <v>1.1291915663723331E-2</v>
      </c>
      <c r="N413" s="112">
        <f>F413/'CGE-Flood Weighted Av Calcs'!$D$6</f>
        <v>3.8988376507266571E-3</v>
      </c>
      <c r="O413" s="112">
        <f>G413/'CGE-Flood Weighted Av Calcs'!$D$7</f>
        <v>1.7363831643495746E-2</v>
      </c>
      <c r="P413" s="112">
        <f>H413/'CGE-Flood Weighted Av Calcs'!$D$8</f>
        <v>4.1580939587968685E-2</v>
      </c>
      <c r="R413" s="1">
        <f t="shared" si="55"/>
        <v>0.18436579173162648</v>
      </c>
      <c r="S413" s="1">
        <f t="shared" si="56"/>
        <v>0.21386431840868669</v>
      </c>
      <c r="T413" s="1">
        <f t="shared" si="57"/>
        <v>5.1622421684855411</v>
      </c>
    </row>
    <row r="414" spans="1:20">
      <c r="A414">
        <v>361</v>
      </c>
      <c r="B414">
        <v>0.7515650876130241</v>
      </c>
      <c r="C414" s="1">
        <f t="shared" si="51"/>
        <v>25.586035587943115</v>
      </c>
      <c r="D414" s="1">
        <f t="shared" si="60"/>
        <v>82.296056375700715</v>
      </c>
      <c r="E414" s="1">
        <f t="shared" si="58"/>
        <v>98.66509579774214</v>
      </c>
      <c r="F414" s="1">
        <f t="shared" si="52"/>
        <v>5.2796331546211874</v>
      </c>
      <c r="G414" s="1">
        <f t="shared" si="59"/>
        <v>3.9372904163145268</v>
      </c>
      <c r="H414" s="1">
        <f t="shared" si="53"/>
        <v>1.5402080186248082</v>
      </c>
      <c r="I414" s="1">
        <f t="shared" si="54"/>
        <v>39.749585981916127</v>
      </c>
      <c r="K414" s="112">
        <f>C414/'CGE-Flood Weighted Av Calcs'!$D$3</f>
        <v>4.3128117215903454E-3</v>
      </c>
      <c r="L414" s="112">
        <f>D414/'CGE-Flood Weighted Av Calcs'!$D$4</f>
        <v>4.2272997117786936E-3</v>
      </c>
      <c r="M414" s="112">
        <f>E414/'CGE-Flood Weighted Av Calcs'!$D$5</f>
        <v>4.2266609286924078E-3</v>
      </c>
      <c r="N414" s="112">
        <f>F414/'CGE-Flood Weighted Av Calcs'!$D$6</f>
        <v>1.459368388535019E-3</v>
      </c>
      <c r="O414" s="112">
        <f>G414/'CGE-Flood Weighted Av Calcs'!$D$7</f>
        <v>6.4994311829421536E-3</v>
      </c>
      <c r="P414" s="112">
        <f>H414/'CGE-Flood Weighted Av Calcs'!$D$8</f>
        <v>1.5564102493202319E-2</v>
      </c>
      <c r="R414" s="1">
        <f t="shared" si="55"/>
        <v>6.900969788527106E-2</v>
      </c>
      <c r="S414" s="1">
        <f t="shared" si="56"/>
        <v>8.0051249546914449E-2</v>
      </c>
      <c r="T414" s="1">
        <f t="shared" si="57"/>
        <v>1.9322715407875908</v>
      </c>
    </row>
    <row r="415" spans="1:20">
      <c r="A415">
        <v>362</v>
      </c>
      <c r="B415">
        <v>1.1609858826749364E-2</v>
      </c>
      <c r="C415" s="1">
        <f t="shared" si="51"/>
        <v>146.38737227796739</v>
      </c>
      <c r="D415" s="1">
        <f t="shared" si="60"/>
        <v>464.7962767228554</v>
      </c>
      <c r="E415" s="1">
        <f t="shared" si="58"/>
        <v>557.14366891835243</v>
      </c>
      <c r="F415" s="1">
        <f t="shared" si="52"/>
        <v>30.382787636343227</v>
      </c>
      <c r="G415" s="1">
        <f t="shared" si="59"/>
        <v>20.938475316735097</v>
      </c>
      <c r="H415" s="1">
        <f t="shared" si="53"/>
        <v>7.8528345956199814</v>
      </c>
      <c r="I415" s="1">
        <f t="shared" si="54"/>
        <v>325.27774744153521</v>
      </c>
      <c r="K415" s="112">
        <f>C415/'CGE-Flood Weighted Av Calcs'!$D$3</f>
        <v>2.4675224611613287E-2</v>
      </c>
      <c r="L415" s="112">
        <f>D415/'CGE-Flood Weighted Av Calcs'!$D$4</f>
        <v>2.3875180089510176E-2</v>
      </c>
      <c r="M415" s="112">
        <f>E415/'CGE-Flood Weighted Av Calcs'!$D$5</f>
        <v>2.3867177729324493E-2</v>
      </c>
      <c r="N415" s="112">
        <f>F415/'CGE-Flood Weighted Av Calcs'!$D$6</f>
        <v>8.398250130928514E-3</v>
      </c>
      <c r="O415" s="112">
        <f>G415/'CGE-Flood Weighted Av Calcs'!$D$7</f>
        <v>3.4563917061580907E-2</v>
      </c>
      <c r="P415" s="112">
        <f>H415/'CGE-Flood Weighted Av Calcs'!$D$8</f>
        <v>7.9354425525924699E-2</v>
      </c>
      <c r="R415" s="1">
        <f t="shared" si="55"/>
        <v>0.32785352156433417</v>
      </c>
      <c r="S415" s="1">
        <f t="shared" si="56"/>
        <v>0.38785352156433417</v>
      </c>
      <c r="T415" s="1">
        <f t="shared" si="57"/>
        <v>13.678028234650128</v>
      </c>
    </row>
    <row r="416" spans="1:20">
      <c r="A416">
        <v>363</v>
      </c>
      <c r="B416">
        <v>0.40717985548190294</v>
      </c>
      <c r="C416" s="1">
        <f t="shared" si="51"/>
        <v>61.053887994869356</v>
      </c>
      <c r="D416" s="1">
        <f t="shared" si="60"/>
        <v>196.37642537905225</v>
      </c>
      <c r="E416" s="1">
        <f t="shared" si="58"/>
        <v>235.43654065255174</v>
      </c>
      <c r="F416" s="1">
        <f t="shared" si="52"/>
        <v>12.598361718379607</v>
      </c>
      <c r="G416" s="1">
        <f t="shared" si="59"/>
        <v>9.3952377754925411</v>
      </c>
      <c r="H416" s="1">
        <f t="shared" si="53"/>
        <v>3.6752738631470936</v>
      </c>
      <c r="I416" s="1">
        <f t="shared" si="54"/>
        <v>94.851223122895519</v>
      </c>
      <c r="K416" s="112">
        <f>C416/'CGE-Flood Weighted Av Calcs'!$D$3</f>
        <v>1.029131390394133E-2</v>
      </c>
      <c r="L416" s="112">
        <f>D416/'CGE-Flood Weighted Av Calcs'!$D$4</f>
        <v>1.008726350890018E-2</v>
      </c>
      <c r="M416" s="112">
        <f>E416/'CGE-Flood Weighted Av Calcs'!$D$5</f>
        <v>1.0085739232469425E-2</v>
      </c>
      <c r="N416" s="112">
        <f>F416/'CGE-Flood Weighted Av Calcs'!$D$6</f>
        <v>3.4823727900564873E-3</v>
      </c>
      <c r="O416" s="112">
        <f>G416/'CGE-Flood Weighted Av Calcs'!$D$7</f>
        <v>1.5509067128035361E-2</v>
      </c>
      <c r="P416" s="112">
        <f>H416/'CGE-Flood Weighted Av Calcs'!$D$8</f>
        <v>3.7139359362433878E-2</v>
      </c>
      <c r="R416" s="1">
        <f t="shared" si="55"/>
        <v>0.16467226236613808</v>
      </c>
      <c r="S416" s="1">
        <f t="shared" si="56"/>
        <v>0.19101982434472015</v>
      </c>
      <c r="T416" s="1">
        <f t="shared" si="57"/>
        <v>4.6108233462518662</v>
      </c>
    </row>
    <row r="417" spans="1:20">
      <c r="A417">
        <v>364</v>
      </c>
      <c r="B417">
        <v>0.403054727705631</v>
      </c>
      <c r="C417" s="1">
        <f t="shared" si="51"/>
        <v>61.478730321072291</v>
      </c>
      <c r="D417" s="1">
        <f t="shared" si="60"/>
        <v>197.74290702517553</v>
      </c>
      <c r="E417" s="1">
        <f t="shared" si="58"/>
        <v>237.0748213728952</v>
      </c>
      <c r="F417" s="1">
        <f t="shared" si="52"/>
        <v>12.686027180392973</v>
      </c>
      <c r="G417" s="1">
        <f t="shared" si="59"/>
        <v>9.4606143600616583</v>
      </c>
      <c r="H417" s="1">
        <f t="shared" si="53"/>
        <v>3.7008481868917746</v>
      </c>
      <c r="I417" s="1">
        <f t="shared" si="54"/>
        <v>95.511243567099029</v>
      </c>
      <c r="K417" s="112">
        <f>C417/'CGE-Flood Weighted Av Calcs'!$D$3</f>
        <v>1.0362925817321889E-2</v>
      </c>
      <c r="L417" s="112">
        <f>D417/'CGE-Flood Weighted Av Calcs'!$D$4</f>
        <v>1.0157455541461698E-2</v>
      </c>
      <c r="M417" s="112">
        <f>E417/'CGE-Flood Weighted Av Calcs'!$D$5</f>
        <v>1.0155920658382197E-2</v>
      </c>
      <c r="N417" s="112">
        <f>F417/'CGE-Flood Weighted Av Calcs'!$D$6</f>
        <v>3.5066048153282892E-3</v>
      </c>
      <c r="O417" s="112">
        <f>G417/'CGE-Flood Weighted Av Calcs'!$D$7</f>
        <v>1.5616986678653756E-2</v>
      </c>
      <c r="P417" s="112">
        <f>H417/'CGE-Flood Weighted Av Calcs'!$D$8</f>
        <v>3.7397792892933185E-2</v>
      </c>
      <c r="R417" s="1">
        <f t="shared" si="55"/>
        <v>0.16581813119288027</v>
      </c>
      <c r="S417" s="1">
        <f t="shared" si="56"/>
        <v>0.19234903218374111</v>
      </c>
      <c r="T417" s="1">
        <f t="shared" si="57"/>
        <v>4.6429076734006482</v>
      </c>
    </row>
    <row r="418" spans="1:20">
      <c r="A418">
        <v>365</v>
      </c>
      <c r="B418">
        <v>0.28206533940127787</v>
      </c>
      <c r="C418" s="1">
        <f t="shared" si="51"/>
        <v>73.939292989883953</v>
      </c>
      <c r="D418" s="1">
        <f t="shared" si="60"/>
        <v>237.82161184604666</v>
      </c>
      <c r="E418" s="1">
        <f t="shared" si="58"/>
        <v>285.1253528898377</v>
      </c>
      <c r="F418" s="1">
        <f t="shared" si="52"/>
        <v>15.257242231094066</v>
      </c>
      <c r="G418" s="1">
        <f t="shared" si="59"/>
        <v>11.378099927889041</v>
      </c>
      <c r="H418" s="1">
        <f t="shared" si="53"/>
        <v>4.4509393244232349</v>
      </c>
      <c r="I418" s="1">
        <f t="shared" si="54"/>
        <v>114.86954569579554</v>
      </c>
      <c r="K418" s="112">
        <f>C418/'CGE-Flood Weighted Av Calcs'!$D$3</f>
        <v>1.246329265809131E-2</v>
      </c>
      <c r="L418" s="112">
        <f>D418/'CGE-Flood Weighted Av Calcs'!$D$4</f>
        <v>1.2216177487556766E-2</v>
      </c>
      <c r="M418" s="112">
        <f>E418/'CGE-Flood Weighted Av Calcs'!$D$5</f>
        <v>1.2214331513036346E-2</v>
      </c>
      <c r="N418" s="112">
        <f>F418/'CGE-Flood Weighted Av Calcs'!$D$6</f>
        <v>4.2173265369377282E-3</v>
      </c>
      <c r="O418" s="112">
        <f>G418/'CGE-Flood Weighted Av Calcs'!$D$7</f>
        <v>1.8782251156158142E-2</v>
      </c>
      <c r="P418" s="112">
        <f>H418/'CGE-Flood Weighted Av Calcs'!$D$8</f>
        <v>4.4977610166061048E-2</v>
      </c>
      <c r="R418" s="1">
        <f t="shared" si="55"/>
        <v>0.19942629461075614</v>
      </c>
      <c r="S418" s="1">
        <f t="shared" si="56"/>
        <v>0.23133450174847711</v>
      </c>
      <c r="T418" s="1">
        <f t="shared" si="57"/>
        <v>5.5839362491011721</v>
      </c>
    </row>
    <row r="419" spans="1:20">
      <c r="A419">
        <v>366</v>
      </c>
      <c r="B419">
        <v>6.5152059303937193E-2</v>
      </c>
      <c r="C419" s="1">
        <f t="shared" si="51"/>
        <v>101.41940914436373</v>
      </c>
      <c r="D419" s="1">
        <f t="shared" si="60"/>
        <v>324.80685799176689</v>
      </c>
      <c r="E419" s="1">
        <f t="shared" si="58"/>
        <v>389.36688135921349</v>
      </c>
      <c r="F419" s="1">
        <f t="shared" si="52"/>
        <v>23.415763445740449</v>
      </c>
      <c r="G419" s="1">
        <f t="shared" si="59"/>
        <v>15.70215333528394</v>
      </c>
      <c r="H419" s="1">
        <f t="shared" si="53"/>
        <v>6.044509566642521</v>
      </c>
      <c r="I419" s="1">
        <f t="shared" si="54"/>
        <v>200.91830313690258</v>
      </c>
      <c r="K419" s="112">
        <f>C419/'CGE-Flood Weighted Av Calcs'!$D$3</f>
        <v>1.7095372788455587E-2</v>
      </c>
      <c r="L419" s="112">
        <f>D419/'CGE-Flood Weighted Av Calcs'!$D$4</f>
        <v>1.6684346706773146E-2</v>
      </c>
      <c r="M419" s="112">
        <f>E419/'CGE-Flood Weighted Av Calcs'!$D$5</f>
        <v>1.6679878239224906E-2</v>
      </c>
      <c r="N419" s="112">
        <f>F419/'CGE-Flood Weighted Av Calcs'!$D$6</f>
        <v>6.4724619997919711E-3</v>
      </c>
      <c r="O419" s="112">
        <f>G419/'CGE-Flood Weighted Av Calcs'!$D$7</f>
        <v>2.5920126339629146E-2</v>
      </c>
      <c r="P419" s="112">
        <f>H419/'CGE-Flood Weighted Av Calcs'!$D$8</f>
        <v>6.1080948338630356E-2</v>
      </c>
      <c r="R419" s="1">
        <f t="shared" si="55"/>
        <v>0.27323196046404186</v>
      </c>
      <c r="S419" s="1">
        <f t="shared" si="56"/>
        <v>0.32484794069606282</v>
      </c>
      <c r="T419" s="1">
        <f t="shared" si="57"/>
        <v>7.5807990116010471</v>
      </c>
    </row>
    <row r="420" spans="1:20">
      <c r="A420">
        <v>367</v>
      </c>
      <c r="B420">
        <v>0.8365312911756384</v>
      </c>
      <c r="C420" s="1">
        <f t="shared" si="51"/>
        <v>16.835460689922314</v>
      </c>
      <c r="D420" s="1">
        <f t="shared" si="60"/>
        <v>54.150320290401851</v>
      </c>
      <c r="E420" s="1">
        <f t="shared" si="58"/>
        <v>64.921051800344287</v>
      </c>
      <c r="F420" s="1">
        <f t="shared" si="52"/>
        <v>3.4739675135025898</v>
      </c>
      <c r="G420" s="1">
        <f t="shared" si="59"/>
        <v>2.5907138994173451</v>
      </c>
      <c r="H420" s="1">
        <f t="shared" si="53"/>
        <v>1.0134478029132463</v>
      </c>
      <c r="I420" s="1">
        <f t="shared" si="54"/>
        <v>26.154993411897834</v>
      </c>
      <c r="K420" s="112">
        <f>C420/'CGE-Flood Weighted Av Calcs'!$D$3</f>
        <v>2.8378047060985691E-3</v>
      </c>
      <c r="L420" s="112">
        <f>D420/'CGE-Flood Weighted Av Calcs'!$D$4</f>
        <v>2.7815383073924436E-3</v>
      </c>
      <c r="M420" s="112">
        <f>E420/'CGE-Flood Weighted Av Calcs'!$D$5</f>
        <v>2.7811179918847293E-3</v>
      </c>
      <c r="N420" s="112">
        <f>F420/'CGE-Flood Weighted Av Calcs'!$D$6</f>
        <v>9.6025580253918954E-4</v>
      </c>
      <c r="O420" s="112">
        <f>G420/'CGE-Flood Weighted Av Calcs'!$D$7</f>
        <v>4.27658743032626E-3</v>
      </c>
      <c r="P420" s="112">
        <f>H420/'CGE-Flood Weighted Av Calcs'!$D$8</f>
        <v>1.0241087752637421E-2</v>
      </c>
      <c r="R420" s="1">
        <f t="shared" si="55"/>
        <v>4.5407974673433771E-2</v>
      </c>
      <c r="S420" s="1">
        <f t="shared" si="56"/>
        <v>5.2673250621183193E-2</v>
      </c>
      <c r="T420" s="1">
        <f t="shared" si="57"/>
        <v>1.2714232908561467</v>
      </c>
    </row>
    <row r="421" spans="1:20">
      <c r="A421">
        <v>368</v>
      </c>
      <c r="B421">
        <v>0.97083912809403872</v>
      </c>
      <c r="C421" s="1">
        <f t="shared" si="51"/>
        <v>3.0032457966261887</v>
      </c>
      <c r="D421" s="1">
        <f t="shared" si="60"/>
        <v>9.6597725950830977</v>
      </c>
      <c r="E421" s="1">
        <f t="shared" si="58"/>
        <v>11.581142893740036</v>
      </c>
      <c r="F421" s="1">
        <f t="shared" si="52"/>
        <v>0.61971445419297666</v>
      </c>
      <c r="G421" s="1">
        <f t="shared" si="59"/>
        <v>0.46215252270129881</v>
      </c>
      <c r="H421" s="1">
        <f t="shared" si="53"/>
        <v>0.18078702509288291</v>
      </c>
      <c r="I421" s="1">
        <f t="shared" si="54"/>
        <v>4.6657395049537911</v>
      </c>
      <c r="K421" s="112">
        <f>C421/'CGE-Flood Weighted Av Calcs'!$D$3</f>
        <v>5.0623058152119219E-4</v>
      </c>
      <c r="L421" s="112">
        <f>D421/'CGE-Flood Weighted Av Calcs'!$D$4</f>
        <v>4.9619332572416739E-4</v>
      </c>
      <c r="M421" s="112">
        <f>E421/'CGE-Flood Weighted Av Calcs'!$D$5</f>
        <v>4.9611834644055456E-4</v>
      </c>
      <c r="N421" s="112">
        <f>F421/'CGE-Flood Weighted Av Calcs'!$D$6</f>
        <v>1.7129820536410982E-4</v>
      </c>
      <c r="O421" s="112">
        <f>G421/'CGE-Flood Weighted Av Calcs'!$D$7</f>
        <v>7.6289229386635436E-4</v>
      </c>
      <c r="P421" s="112">
        <f>H421/'CGE-Flood Weighted Av Calcs'!$D$8</f>
        <v>1.826888156639446E-3</v>
      </c>
      <c r="R421" s="1">
        <f t="shared" si="55"/>
        <v>8.1002421961003379E-3</v>
      </c>
      <c r="S421" s="1">
        <f t="shared" si="56"/>
        <v>9.3962809474764097E-3</v>
      </c>
      <c r="T421" s="1">
        <f t="shared" si="57"/>
        <v>0.22680678149081057</v>
      </c>
    </row>
    <row r="422" spans="1:20">
      <c r="A422">
        <v>369</v>
      </c>
      <c r="B422">
        <v>0.15111965848895836</v>
      </c>
      <c r="C422" s="1">
        <f t="shared" si="51"/>
        <v>87.425243171842723</v>
      </c>
      <c r="D422" s="1">
        <f t="shared" si="60"/>
        <v>281.19841841069319</v>
      </c>
      <c r="E422" s="1">
        <f t="shared" si="58"/>
        <v>337.12999276665994</v>
      </c>
      <c r="F422" s="1">
        <f t="shared" si="52"/>
        <v>18.040044180130327</v>
      </c>
      <c r="G422" s="1">
        <f t="shared" si="59"/>
        <v>13.453376585103682</v>
      </c>
      <c r="H422" s="1">
        <f t="shared" si="53"/>
        <v>5.262755931870446</v>
      </c>
      <c r="I422" s="1">
        <f t="shared" si="54"/>
        <v>135.82085464176666</v>
      </c>
      <c r="K422" s="112">
        <f>C422/'CGE-Flood Weighted Av Calcs'!$D$3</f>
        <v>1.4736500002840843E-2</v>
      </c>
      <c r="L422" s="112">
        <f>D422/'CGE-Flood Weighted Av Calcs'!$D$4</f>
        <v>1.4444312953143334E-2</v>
      </c>
      <c r="M422" s="112">
        <f>E422/'CGE-Flood Weighted Av Calcs'!$D$5</f>
        <v>1.4442130287272309E-2</v>
      </c>
      <c r="N422" s="112">
        <f>F422/'CGE-Flood Weighted Av Calcs'!$D$6</f>
        <v>4.9865339945472601E-3</v>
      </c>
      <c r="O422" s="112">
        <f>G422/'CGE-Flood Weighted Av Calcs'!$D$7</f>
        <v>2.2207987231720037E-2</v>
      </c>
      <c r="P422" s="112">
        <f>H422/'CGE-Flood Weighted Av Calcs'!$D$8</f>
        <v>5.3181175354141075E-2</v>
      </c>
      <c r="R422" s="1">
        <f t="shared" si="55"/>
        <v>0.23580009486417824</v>
      </c>
      <c r="S422" s="1">
        <f t="shared" si="56"/>
        <v>0.2735281100424467</v>
      </c>
      <c r="T422" s="1">
        <f t="shared" si="57"/>
        <v>6.6024026561969906</v>
      </c>
    </row>
    <row r="423" spans="1:20">
      <c r="A423">
        <v>370</v>
      </c>
      <c r="B423">
        <v>0.70580462329867977</v>
      </c>
      <c r="C423" s="1">
        <f t="shared" si="51"/>
        <v>30.298854962717087</v>
      </c>
      <c r="D423" s="1">
        <f t="shared" si="60"/>
        <v>97.454577031306229</v>
      </c>
      <c r="E423" s="1">
        <f t="shared" si="58"/>
        <v>116.8387113815744</v>
      </c>
      <c r="F423" s="1">
        <f t="shared" si="52"/>
        <v>6.252115090608287</v>
      </c>
      <c r="G423" s="1">
        <f t="shared" si="59"/>
        <v>4.6625195552461935</v>
      </c>
      <c r="H423" s="1">
        <f t="shared" si="53"/>
        <v>1.8239066075057582</v>
      </c>
      <c r="I423" s="1">
        <f t="shared" si="54"/>
        <v>47.071260272211219</v>
      </c>
      <c r="K423" s="112">
        <f>C423/'CGE-Flood Weighted Av Calcs'!$D$3</f>
        <v>5.1072100007376331E-3</v>
      </c>
      <c r="L423" s="112">
        <f>D423/'CGE-Flood Weighted Av Calcs'!$D$4</f>
        <v>5.0059471077838463E-3</v>
      </c>
      <c r="M423" s="112">
        <f>E423/'CGE-Flood Weighted Av Calcs'!$D$5</f>
        <v>5.0051906640582256E-3</v>
      </c>
      <c r="N423" s="112">
        <f>F423/'CGE-Flood Weighted Av Calcs'!$D$6</f>
        <v>1.7281767231744616E-3</v>
      </c>
      <c r="O423" s="112">
        <f>G423/'CGE-Flood Weighted Av Calcs'!$D$7</f>
        <v>7.6965937952858153E-3</v>
      </c>
      <c r="P423" s="112">
        <f>H423/'CGE-Flood Weighted Av Calcs'!$D$8</f>
        <v>1.8430932077989452E-2</v>
      </c>
      <c r="R423" s="1">
        <f t="shared" si="55"/>
        <v>8.1720937972588947E-2</v>
      </c>
      <c r="S423" s="1">
        <f t="shared" si="56"/>
        <v>9.479628804820317E-2</v>
      </c>
      <c r="T423" s="1">
        <f t="shared" si="57"/>
        <v>2.2881862632324914</v>
      </c>
    </row>
    <row r="424" spans="1:20">
      <c r="A424">
        <v>371</v>
      </c>
      <c r="B424">
        <v>0.94936046172127819</v>
      </c>
      <c r="C424" s="1">
        <f t="shared" si="51"/>
        <v>5.2153097811719249</v>
      </c>
      <c r="D424" s="1">
        <f t="shared" si="60"/>
        <v>16.774753020757885</v>
      </c>
      <c r="E424" s="1">
        <f t="shared" si="58"/>
        <v>20.111323514953199</v>
      </c>
      <c r="F424" s="1">
        <f t="shared" si="52"/>
        <v>1.0761699419065387</v>
      </c>
      <c r="G424" s="1">
        <f t="shared" si="59"/>
        <v>0.80255454773133827</v>
      </c>
      <c r="H424" s="1">
        <f t="shared" si="53"/>
        <v>0.31394711060116709</v>
      </c>
      <c r="I424" s="1">
        <f t="shared" si="54"/>
        <v>8.1023261245954643</v>
      </c>
      <c r="K424" s="112">
        <f>C424/'CGE-Flood Weighted Av Calcs'!$D$3</f>
        <v>8.7909864264248299E-4</v>
      </c>
      <c r="L424" s="112">
        <f>D424/'CGE-Flood Weighted Av Calcs'!$D$4</f>
        <v>8.6166836823965362E-4</v>
      </c>
      <c r="M424" s="112">
        <f>E424/'CGE-Flood Weighted Av Calcs'!$D$5</f>
        <v>8.6153816238316347E-4</v>
      </c>
      <c r="N424" s="112">
        <f>F424/'CGE-Flood Weighted Av Calcs'!$D$6</f>
        <v>2.9746922710630172E-4</v>
      </c>
      <c r="O424" s="112">
        <f>G424/'CGE-Flood Weighted Av Calcs'!$D$7</f>
        <v>1.3248065298722962E-3</v>
      </c>
      <c r="P424" s="112">
        <f>H424/'CGE-Flood Weighted Av Calcs'!$D$8</f>
        <v>3.1724967976754729E-3</v>
      </c>
      <c r="R424" s="1">
        <f t="shared" si="55"/>
        <v>1.406653841075603E-2</v>
      </c>
      <c r="S424" s="1">
        <f t="shared" si="56"/>
        <v>1.6317184556477016E-2</v>
      </c>
      <c r="T424" s="1">
        <f t="shared" si="57"/>
        <v>0.39386307550117028</v>
      </c>
    </row>
    <row r="425" spans="1:20">
      <c r="A425">
        <v>372</v>
      </c>
      <c r="B425">
        <v>0.86656379106548698</v>
      </c>
      <c r="C425" s="1">
        <f t="shared" si="51"/>
        <v>13.74244689571114</v>
      </c>
      <c r="D425" s="1">
        <f t="shared" si="60"/>
        <v>44.201813938008144</v>
      </c>
      <c r="E425" s="1">
        <f t="shared" si="58"/>
        <v>52.993744763634368</v>
      </c>
      <c r="F425" s="1">
        <f t="shared" si="52"/>
        <v>2.8357295919031529</v>
      </c>
      <c r="G425" s="1">
        <f t="shared" si="59"/>
        <v>2.1147474868944531</v>
      </c>
      <c r="H425" s="1">
        <f t="shared" si="53"/>
        <v>0.82725699460349489</v>
      </c>
      <c r="I425" s="1">
        <f t="shared" si="54"/>
        <v>21.349793429522052</v>
      </c>
      <c r="K425" s="112">
        <f>C425/'CGE-Flood Weighted Av Calcs'!$D$3</f>
        <v>2.3164427271837669E-3</v>
      </c>
      <c r="L425" s="112">
        <f>D425/'CGE-Flood Weighted Av Calcs'!$D$4</f>
        <v>2.2705136011281477E-3</v>
      </c>
      <c r="M425" s="112">
        <f>E425/'CGE-Flood Weighted Av Calcs'!$D$5</f>
        <v>2.270170506059317E-3</v>
      </c>
      <c r="N425" s="112">
        <f>F425/'CGE-Flood Weighted Av Calcs'!$D$6</f>
        <v>7.8383743787852219E-4</v>
      </c>
      <c r="O425" s="112">
        <f>G425/'CGE-Flood Weighted Av Calcs'!$D$7</f>
        <v>3.4908920366702213E-3</v>
      </c>
      <c r="P425" s="112">
        <f>H425/'CGE-Flood Weighted Av Calcs'!$D$8</f>
        <v>8.3595933124172139E-3</v>
      </c>
      <c r="R425" s="1">
        <f t="shared" si="55"/>
        <v>3.7065613592920266E-2</v>
      </c>
      <c r="S425" s="1">
        <f t="shared" si="56"/>
        <v>4.2996111767787532E-2</v>
      </c>
      <c r="T425" s="1">
        <f t="shared" si="57"/>
        <v>1.0378371806017688</v>
      </c>
    </row>
    <row r="426" spans="1:20">
      <c r="A426">
        <v>373</v>
      </c>
      <c r="B426">
        <v>1.7237814537599871E-2</v>
      </c>
      <c r="C426" s="1">
        <f t="shared" si="51"/>
        <v>138.72209659978898</v>
      </c>
      <c r="D426" s="1">
        <f t="shared" si="60"/>
        <v>440.8619097420119</v>
      </c>
      <c r="E426" s="1">
        <f t="shared" si="58"/>
        <v>528.45347435584176</v>
      </c>
      <c r="F426" s="1">
        <f t="shared" si="52"/>
        <v>29.615391242181996</v>
      </c>
      <c r="G426" s="1">
        <f t="shared" si="59"/>
        <v>20.106283426201315</v>
      </c>
      <c r="H426" s="1">
        <f t="shared" si="53"/>
        <v>7.5608669493417775</v>
      </c>
      <c r="I426" s="1">
        <f t="shared" si="54"/>
        <v>308.76907735637371</v>
      </c>
      <c r="K426" s="112">
        <f>C426/'CGE-Flood Weighted Av Calcs'!$D$3</f>
        <v>2.3383156886605996E-2</v>
      </c>
      <c r="L426" s="112">
        <f>D426/'CGE-Flood Weighted Av Calcs'!$D$4</f>
        <v>2.2645743988977906E-2</v>
      </c>
      <c r="M426" s="112">
        <f>E426/'CGE-Flood Weighted Av Calcs'!$D$5</f>
        <v>2.2638133928034005E-2</v>
      </c>
      <c r="N426" s="112">
        <f>F426/'CGE-Flood Weighted Av Calcs'!$D$6</f>
        <v>8.1861304615658027E-3</v>
      </c>
      <c r="O426" s="112">
        <f>G426/'CGE-Flood Weighted Av Calcs'!$D$7</f>
        <v>3.3190187071759712E-2</v>
      </c>
      <c r="P426" s="112">
        <f>H426/'CGE-Flood Weighted Av Calcs'!$D$8</f>
        <v>7.640403550300405E-2</v>
      </c>
      <c r="R426" s="1">
        <f t="shared" si="55"/>
        <v>0.32034958061653351</v>
      </c>
      <c r="S426" s="1">
        <f t="shared" si="56"/>
        <v>0.38034958061653351</v>
      </c>
      <c r="T426" s="1">
        <f t="shared" si="57"/>
        <v>12.552437092480027</v>
      </c>
    </row>
    <row r="427" spans="1:20">
      <c r="A427">
        <v>374</v>
      </c>
      <c r="B427">
        <v>0.84603317057093819</v>
      </c>
      <c r="C427" s="1">
        <f t="shared" si="51"/>
        <v>15.856872688644174</v>
      </c>
      <c r="D427" s="1">
        <f t="shared" si="60"/>
        <v>51.002746566252057</v>
      </c>
      <c r="E427" s="1">
        <f t="shared" si="58"/>
        <v>61.147412130346765</v>
      </c>
      <c r="F427" s="1">
        <f t="shared" si="52"/>
        <v>3.2720376116033965</v>
      </c>
      <c r="G427" s="1">
        <f t="shared" si="59"/>
        <v>2.440124522422634</v>
      </c>
      <c r="H427" s="1">
        <f t="shared" si="53"/>
        <v>0.95453953315343743</v>
      </c>
      <c r="I427" s="1">
        <f t="shared" si="54"/>
        <v>24.634692708649865</v>
      </c>
      <c r="K427" s="112">
        <f>C427/'CGE-Flood Weighted Av Calcs'!$D$3</f>
        <v>2.6728527819126729E-3</v>
      </c>
      <c r="L427" s="112">
        <f>D427/'CGE-Flood Weighted Av Calcs'!$D$4</f>
        <v>2.6198569573632662E-3</v>
      </c>
      <c r="M427" s="112">
        <f>E427/'CGE-Flood Weighted Av Calcs'!$D$5</f>
        <v>2.6194610733647431E-3</v>
      </c>
      <c r="N427" s="112">
        <f>F427/'CGE-Flood Weighted Av Calcs'!$D$6</f>
        <v>9.0443940263009316E-4</v>
      </c>
      <c r="O427" s="112">
        <f>G427/'CGE-Flood Weighted Av Calcs'!$D$7</f>
        <v>4.0280039657680615E-3</v>
      </c>
      <c r="P427" s="112">
        <f>H427/'CGE-Flood Weighted Av Calcs'!$D$8</f>
        <v>9.6458081948426876E-3</v>
      </c>
      <c r="R427" s="1">
        <f t="shared" si="55"/>
        <v>4.2768563730294945E-2</v>
      </c>
      <c r="S427" s="1">
        <f t="shared" si="56"/>
        <v>4.9611533927142126E-2</v>
      </c>
      <c r="T427" s="1">
        <f t="shared" si="57"/>
        <v>1.197519784448259</v>
      </c>
    </row>
    <row r="428" spans="1:20">
      <c r="A428">
        <v>375</v>
      </c>
      <c r="B428">
        <v>0.14338554558925398</v>
      </c>
      <c r="C428" s="1">
        <f t="shared" si="51"/>
        <v>88.221770865924498</v>
      </c>
      <c r="D428" s="1">
        <f t="shared" si="60"/>
        <v>283.76040531138563</v>
      </c>
      <c r="E428" s="1">
        <f t="shared" si="58"/>
        <v>340.20156987644742</v>
      </c>
      <c r="F428" s="1">
        <f t="shared" si="52"/>
        <v>18.204406259898157</v>
      </c>
      <c r="G428" s="1">
        <f t="shared" si="59"/>
        <v>13.575949730343703</v>
      </c>
      <c r="H428" s="1">
        <f t="shared" si="53"/>
        <v>5.3107046786493175</v>
      </c>
      <c r="I428" s="1">
        <f t="shared" si="54"/>
        <v>137.05831270571937</v>
      </c>
      <c r="K428" s="112">
        <f>C428/'CGE-Flood Weighted Av Calcs'!$D$3</f>
        <v>1.4870763631287682E-2</v>
      </c>
      <c r="L428" s="112">
        <f>D428/'CGE-Flood Weighted Av Calcs'!$D$4</f>
        <v>1.4575914477734441E-2</v>
      </c>
      <c r="M428" s="112">
        <f>E428/'CGE-Flood Weighted Av Calcs'!$D$5</f>
        <v>1.4573711925686952E-2</v>
      </c>
      <c r="N428" s="112">
        <f>F428/'CGE-Flood Weighted Av Calcs'!$D$6</f>
        <v>5.0319660949342147E-3</v>
      </c>
      <c r="O428" s="112">
        <f>G428/'CGE-Flood Weighted Av Calcs'!$D$7</f>
        <v>2.2410323264404668E-2</v>
      </c>
      <c r="P428" s="112">
        <f>H428/'CGE-Flood Weighted Av Calcs'!$D$8</f>
        <v>5.3665706794221023E-2</v>
      </c>
      <c r="R428" s="1">
        <f t="shared" si="55"/>
        <v>0.23794845955854055</v>
      </c>
      <c r="S428" s="1">
        <f t="shared" si="56"/>
        <v>0.27602021308790703</v>
      </c>
      <c r="T428" s="1">
        <f t="shared" si="57"/>
        <v>6.662556867639136</v>
      </c>
    </row>
    <row r="429" spans="1:20">
      <c r="A429">
        <v>376</v>
      </c>
      <c r="B429">
        <v>0.6665274461775178</v>
      </c>
      <c r="C429" s="1">
        <f t="shared" si="51"/>
        <v>34.343967793117649</v>
      </c>
      <c r="D429" s="1">
        <f t="shared" si="60"/>
        <v>110.46545682909661</v>
      </c>
      <c r="E429" s="1">
        <f t="shared" si="58"/>
        <v>132.4375111077899</v>
      </c>
      <c r="F429" s="1">
        <f t="shared" si="52"/>
        <v>7.0868169630480438</v>
      </c>
      <c r="G429" s="1">
        <f t="shared" si="59"/>
        <v>5.2849991076295346</v>
      </c>
      <c r="H429" s="1">
        <f t="shared" si="53"/>
        <v>2.0674111237177555</v>
      </c>
      <c r="I429" s="1">
        <f t="shared" si="54"/>
        <v>53.355608611597134</v>
      </c>
      <c r="K429" s="112">
        <f>C429/'CGE-Flood Weighted Av Calcs'!$D$3</f>
        <v>5.7890588932768125E-3</v>
      </c>
      <c r="L429" s="112">
        <f>D429/'CGE-Flood Weighted Av Calcs'!$D$4</f>
        <v>5.6742766832387692E-3</v>
      </c>
      <c r="M429" s="112">
        <f>E429/'CGE-Flood Weighted Av Calcs'!$D$5</f>
        <v>5.6734192488907724E-3</v>
      </c>
      <c r="N429" s="112">
        <f>F429/'CGE-Flood Weighted Av Calcs'!$D$6</f>
        <v>1.9589006183419418E-3</v>
      </c>
      <c r="O429" s="112">
        <f>G429/'CGE-Flood Weighted Av Calcs'!$D$7</f>
        <v>8.72414385782125E-3</v>
      </c>
      <c r="P429" s="112">
        <f>H429/'CGE-Flood Weighted Av Calcs'!$D$8</f>
        <v>2.0891592717365331E-2</v>
      </c>
      <c r="R429" s="1">
        <f t="shared" si="55"/>
        <v>9.263126495068949E-2</v>
      </c>
      <c r="S429" s="1">
        <f t="shared" si="56"/>
        <v>0.10745226734279981</v>
      </c>
      <c r="T429" s="1">
        <f t="shared" si="57"/>
        <v>2.5936754186193065</v>
      </c>
    </row>
    <row r="430" spans="1:20">
      <c r="A430">
        <v>377</v>
      </c>
      <c r="B430">
        <v>0.86999036360598336</v>
      </c>
      <c r="C430" s="1">
        <f t="shared" si="51"/>
        <v>13.389547997068235</v>
      </c>
      <c r="D430" s="1">
        <f t="shared" si="60"/>
        <v>43.066734313897712</v>
      </c>
      <c r="E430" s="1">
        <f t="shared" si="58"/>
        <v>51.632892922330484</v>
      </c>
      <c r="F430" s="1">
        <f t="shared" si="52"/>
        <v>2.7629095288222452</v>
      </c>
      <c r="G430" s="1">
        <f t="shared" si="59"/>
        <v>2.0604418698019256</v>
      </c>
      <c r="H430" s="1">
        <f t="shared" si="53"/>
        <v>0.80601346464804546</v>
      </c>
      <c r="I430" s="1">
        <f t="shared" si="54"/>
        <v>20.801541823042641</v>
      </c>
      <c r="K430" s="112">
        <f>C430/'CGE-Flood Weighted Av Calcs'!$D$3</f>
        <v>2.2569576810783573E-3</v>
      </c>
      <c r="L430" s="112">
        <f>D430/'CGE-Flood Weighted Av Calcs'!$D$4</f>
        <v>2.2122079911248878E-3</v>
      </c>
      <c r="M430" s="112">
        <f>E430/'CGE-Flood Weighted Av Calcs'!$D$5</f>
        <v>2.2118737065592257E-3</v>
      </c>
      <c r="N430" s="112">
        <f>F430/'CGE-Flood Weighted Av Calcs'!$D$6</f>
        <v>7.6370889958824633E-4</v>
      </c>
      <c r="O430" s="112">
        <f>G430/'CGE-Flood Weighted Av Calcs'!$D$7</f>
        <v>3.4012477422901101E-3</v>
      </c>
      <c r="P430" s="112">
        <f>H430/'CGE-Flood Weighted Av Calcs'!$D$8</f>
        <v>8.1449232980127691E-3</v>
      </c>
      <c r="R430" s="1">
        <f t="shared" si="55"/>
        <v>3.6113787887226828E-2</v>
      </c>
      <c r="S430" s="1">
        <f t="shared" si="56"/>
        <v>4.1891993949183137E-2</v>
      </c>
      <c r="T430" s="1">
        <f t="shared" si="57"/>
        <v>1.011186060842352</v>
      </c>
    </row>
    <row r="431" spans="1:20">
      <c r="A431">
        <v>378</v>
      </c>
      <c r="B431">
        <v>0.20027462831062548</v>
      </c>
      <c r="C431" s="1">
        <f t="shared" si="51"/>
        <v>82.362827446542354</v>
      </c>
      <c r="D431" s="1">
        <f t="shared" si="60"/>
        <v>264.91544059279028</v>
      </c>
      <c r="E431" s="1">
        <f t="shared" si="58"/>
        <v>317.60826065665981</v>
      </c>
      <c r="F431" s="1">
        <f t="shared" si="52"/>
        <v>16.995423656020435</v>
      </c>
      <c r="G431" s="1">
        <f t="shared" si="59"/>
        <v>12.674350039544677</v>
      </c>
      <c r="H431" s="1">
        <f t="shared" si="53"/>
        <v>4.9580126172244601</v>
      </c>
      <c r="I431" s="1">
        <f t="shared" si="54"/>
        <v>127.95605947029992</v>
      </c>
      <c r="K431" s="112">
        <f>C431/'CGE-Flood Weighted Av Calcs'!$D$3</f>
        <v>1.3883173358914529E-2</v>
      </c>
      <c r="L431" s="112">
        <f>D431/'CGE-Flood Weighted Av Calcs'!$D$4</f>
        <v>1.360790559089646E-2</v>
      </c>
      <c r="M431" s="112">
        <f>E431/'CGE-Flood Weighted Av Calcs'!$D$5</f>
        <v>1.3605849313716251E-2</v>
      </c>
      <c r="N431" s="112">
        <f>F431/'CGE-Flood Weighted Av Calcs'!$D$6</f>
        <v>4.6977854913361041E-3</v>
      </c>
      <c r="O431" s="112">
        <f>G431/'CGE-Flood Weighted Av Calcs'!$D$7</f>
        <v>2.0922019246842435E-2</v>
      </c>
      <c r="P431" s="112">
        <f>H431/'CGE-Flood Weighted Av Calcs'!$D$8</f>
        <v>5.0101684710076505E-2</v>
      </c>
      <c r="R431" s="1">
        <f t="shared" si="55"/>
        <v>0.22214593658038181</v>
      </c>
      <c r="S431" s="1">
        <f t="shared" si="56"/>
        <v>0.2576892864332429</v>
      </c>
      <c r="T431" s="1">
        <f t="shared" si="57"/>
        <v>6.2200862242506911</v>
      </c>
    </row>
    <row r="432" spans="1:20">
      <c r="A432">
        <v>379</v>
      </c>
      <c r="B432">
        <v>0.36062797733878627</v>
      </c>
      <c r="C432" s="1">
        <f t="shared" si="51"/>
        <v>65.848214200519891</v>
      </c>
      <c r="D432" s="1">
        <f t="shared" si="60"/>
        <v>211.79710821002749</v>
      </c>
      <c r="E432" s="1">
        <f t="shared" si="58"/>
        <v>253.92446359552784</v>
      </c>
      <c r="F432" s="1">
        <f t="shared" si="52"/>
        <v>13.587662444645684</v>
      </c>
      <c r="G432" s="1">
        <f t="shared" si="59"/>
        <v>10.133009539989292</v>
      </c>
      <c r="H432" s="1">
        <f t="shared" si="53"/>
        <v>3.9638789360379363</v>
      </c>
      <c r="I432" s="1">
        <f t="shared" si="54"/>
        <v>102.29952362579419</v>
      </c>
      <c r="K432" s="112">
        <f>C432/'CGE-Flood Weighted Av Calcs'!$D$3</f>
        <v>1.1099451068676651E-2</v>
      </c>
      <c r="L432" s="112">
        <f>D432/'CGE-Flood Weighted Av Calcs'!$D$4</f>
        <v>1.0879377383582273E-2</v>
      </c>
      <c r="M432" s="112">
        <f>E432/'CGE-Flood Weighted Av Calcs'!$D$5</f>
        <v>1.0877733411605885E-2</v>
      </c>
      <c r="N432" s="112">
        <f>F432/'CGE-Flood Weighted Av Calcs'!$D$6</f>
        <v>3.7558300861195199E-3</v>
      </c>
      <c r="O432" s="112">
        <f>G432/'CGE-Flood Weighted Av Calcs'!$D$7</f>
        <v>1.6726934317154944E-2</v>
      </c>
      <c r="P432" s="112">
        <f>H432/'CGE-Flood Weighted Av Calcs'!$D$8</f>
        <v>4.0055769925301757E-2</v>
      </c>
      <c r="R432" s="1">
        <f t="shared" si="55"/>
        <v>0.17760333962811492</v>
      </c>
      <c r="S432" s="1">
        <f t="shared" si="56"/>
        <v>0.20601987396861329</v>
      </c>
      <c r="T432" s="1">
        <f t="shared" si="57"/>
        <v>4.9728935095872178</v>
      </c>
    </row>
    <row r="433" spans="1:20">
      <c r="A433">
        <v>380</v>
      </c>
      <c r="B433">
        <v>0.7453800570066883</v>
      </c>
      <c r="C433" s="1">
        <f t="shared" si="51"/>
        <v>26.223025017833407</v>
      </c>
      <c r="D433" s="1">
        <f t="shared" si="60"/>
        <v>84.344897348066127</v>
      </c>
      <c r="E433" s="1">
        <f t="shared" si="58"/>
        <v>101.12146004793067</v>
      </c>
      <c r="F433" s="1">
        <f t="shared" si="52"/>
        <v>5.4110747959662344</v>
      </c>
      <c r="G433" s="1">
        <f t="shared" si="59"/>
        <v>4.0353131197138197</v>
      </c>
      <c r="H433" s="1">
        <f t="shared" si="53"/>
        <v>1.5785530066290692</v>
      </c>
      <c r="I433" s="1">
        <f t="shared" si="54"/>
        <v>40.739190878929847</v>
      </c>
      <c r="K433" s="112">
        <f>C433/'CGE-Flood Weighted Av Calcs'!$D$3</f>
        <v>4.4201833958896876E-3</v>
      </c>
      <c r="L433" s="112">
        <f>D433/'CGE-Flood Weighted Av Calcs'!$D$4</f>
        <v>4.3325424807932975E-3</v>
      </c>
      <c r="M433" s="112">
        <f>E433/'CGE-Flood Weighted Av Calcs'!$D$5</f>
        <v>4.3318877945760798E-3</v>
      </c>
      <c r="N433" s="112">
        <f>F433/'CGE-Flood Weighted Av Calcs'!$D$6</f>
        <v>1.4957007947265779E-3</v>
      </c>
      <c r="O433" s="112">
        <f>G433/'CGE-Flood Weighted Av Calcs'!$D$7</f>
        <v>6.661240891585896E-3</v>
      </c>
      <c r="P433" s="112">
        <f>H433/'CGE-Flood Weighted Av Calcs'!$D$8</f>
        <v>1.5951586077355969E-2</v>
      </c>
      <c r="R433" s="1">
        <f t="shared" si="55"/>
        <v>7.0727761942586564E-2</v>
      </c>
      <c r="S433" s="1">
        <f t="shared" si="56"/>
        <v>8.2044203853400444E-2</v>
      </c>
      <c r="T433" s="1">
        <f t="shared" si="57"/>
        <v>1.9803773343924247</v>
      </c>
    </row>
    <row r="434" spans="1:20">
      <c r="A434">
        <v>381</v>
      </c>
      <c r="B434">
        <v>8.1108536822149579E-2</v>
      </c>
      <c r="C434" s="1">
        <f t="shared" si="51"/>
        <v>97.42231152605153</v>
      </c>
      <c r="D434" s="1">
        <f t="shared" si="60"/>
        <v>312.59284100524314</v>
      </c>
      <c r="E434" s="1">
        <f t="shared" si="58"/>
        <v>374.7442581763728</v>
      </c>
      <c r="F434" s="1">
        <f t="shared" si="52"/>
        <v>21.451720467633567</v>
      </c>
      <c r="G434" s="1">
        <f t="shared" si="59"/>
        <v>15.043428694931235</v>
      </c>
      <c r="H434" s="1">
        <f t="shared" si="53"/>
        <v>5.8316691951506652</v>
      </c>
      <c r="I434" s="1">
        <f t="shared" si="54"/>
        <v>174.85605652382236</v>
      </c>
      <c r="K434" s="112">
        <f>C434/'CGE-Flood Weighted Av Calcs'!$D$3</f>
        <v>1.6421617395544263E-2</v>
      </c>
      <c r="L434" s="112">
        <f>D434/'CGE-Flood Weighted Av Calcs'!$D$4</f>
        <v>1.6056949565759749E-2</v>
      </c>
      <c r="M434" s="112">
        <f>E434/'CGE-Flood Weighted Av Calcs'!$D$5</f>
        <v>1.6053467555870369E-2</v>
      </c>
      <c r="N434" s="112">
        <f>F434/'CGE-Flood Weighted Av Calcs'!$D$6</f>
        <v>5.9295715844863992E-3</v>
      </c>
      <c r="O434" s="112">
        <f>G434/'CGE-Flood Weighted Av Calcs'!$D$7</f>
        <v>2.4832745167353763E-2</v>
      </c>
      <c r="P434" s="112">
        <f>H434/'CGE-Flood Weighted Av Calcs'!$D$8</f>
        <v>5.8930154863637119E-2</v>
      </c>
      <c r="R434" s="1">
        <f t="shared" si="55"/>
        <v>0.2625943087852336</v>
      </c>
      <c r="S434" s="1">
        <f t="shared" si="56"/>
        <v>0.30889146317785043</v>
      </c>
      <c r="T434" s="1">
        <f t="shared" si="57"/>
        <v>7.3148577196308402</v>
      </c>
    </row>
    <row r="435" spans="1:20">
      <c r="A435">
        <v>382</v>
      </c>
      <c r="B435">
        <v>0.76777436355805895</v>
      </c>
      <c r="C435" s="1">
        <f t="shared" si="51"/>
        <v>23.916660268670583</v>
      </c>
      <c r="D435" s="1">
        <f t="shared" si="60"/>
        <v>76.926603772742766</v>
      </c>
      <c r="E435" s="1">
        <f t="shared" si="58"/>
        <v>92.227635987593715</v>
      </c>
      <c r="F435" s="1">
        <f t="shared" si="52"/>
        <v>4.9351605123924358</v>
      </c>
      <c r="G435" s="1">
        <f t="shared" si="59"/>
        <v>3.6803996829607026</v>
      </c>
      <c r="H435" s="1">
        <f t="shared" si="53"/>
        <v>1.4397162779641519</v>
      </c>
      <c r="I435" s="1">
        <f t="shared" si="54"/>
        <v>37.15610183071054</v>
      </c>
      <c r="K435" s="112">
        <f>C435/'CGE-Flood Weighted Av Calcs'!$D$3</f>
        <v>4.0314198889265579E-3</v>
      </c>
      <c r="L435" s="112">
        <f>D435/'CGE-Flood Weighted Av Calcs'!$D$4</f>
        <v>3.9514871584131897E-3</v>
      </c>
      <c r="M435" s="112">
        <f>E435/'CGE-Flood Weighted Av Calcs'!$D$5</f>
        <v>3.9508900530895617E-3</v>
      </c>
      <c r="N435" s="112">
        <f>F435/'CGE-Flood Weighted Av Calcs'!$D$6</f>
        <v>1.3641510751230528E-3</v>
      </c>
      <c r="O435" s="112">
        <f>G435/'CGE-Flood Weighted Av Calcs'!$D$7</f>
        <v>6.0753721305414465E-3</v>
      </c>
      <c r="P435" s="112">
        <f>H435/'CGE-Flood Weighted Av Calcs'!$D$8</f>
        <v>1.4548613849818127E-2</v>
      </c>
      <c r="R435" s="1">
        <f t="shared" si="55"/>
        <v>6.4507121233872505E-2</v>
      </c>
      <c r="S435" s="1">
        <f t="shared" si="56"/>
        <v>7.4828260631292109E-2</v>
      </c>
      <c r="T435" s="1">
        <f t="shared" si="57"/>
        <v>1.8061993945484307</v>
      </c>
    </row>
    <row r="436" spans="1:20">
      <c r="A436">
        <v>383</v>
      </c>
      <c r="B436">
        <v>0.52980828190807916</v>
      </c>
      <c r="C436" s="1">
        <f t="shared" si="51"/>
        <v>48.424522611044608</v>
      </c>
      <c r="D436" s="1">
        <f t="shared" si="60"/>
        <v>155.75477604052264</v>
      </c>
      <c r="E436" s="1">
        <f t="shared" si="58"/>
        <v>186.73507061915021</v>
      </c>
      <c r="F436" s="1">
        <f t="shared" si="52"/>
        <v>9.9923145262273732</v>
      </c>
      <c r="G436" s="1">
        <f t="shared" si="59"/>
        <v>7.4517761118458408</v>
      </c>
      <c r="H436" s="1">
        <f t="shared" si="53"/>
        <v>2.9150212727271954</v>
      </c>
      <c r="I436" s="1">
        <f t="shared" si="54"/>
        <v>75.23067489470732</v>
      </c>
      <c r="K436" s="112">
        <f>C436/'CGE-Flood Weighted Av Calcs'!$D$3</f>
        <v>8.1624934824894944E-3</v>
      </c>
      <c r="L436" s="112">
        <f>D436/'CGE-Flood Weighted Av Calcs'!$D$4</f>
        <v>8.0006521437480018E-3</v>
      </c>
      <c r="M436" s="112">
        <f>E436/'CGE-Flood Weighted Av Calcs'!$D$5</f>
        <v>7.9994431731007492E-3</v>
      </c>
      <c r="N436" s="112">
        <f>F436/'CGE-Flood Weighted Av Calcs'!$D$6</f>
        <v>2.762022951369581E-3</v>
      </c>
      <c r="O436" s="112">
        <f>G436/'CGE-Flood Weighted Av Calcs'!$D$7</f>
        <v>1.2300922946641313E-2</v>
      </c>
      <c r="P436" s="112">
        <f>H436/'CGE-Flood Weighted Av Calcs'!$D$8</f>
        <v>2.9456858625564079E-2</v>
      </c>
      <c r="R436" s="1">
        <f t="shared" si="55"/>
        <v>0.13060881058108911</v>
      </c>
      <c r="S436" s="1">
        <f t="shared" si="56"/>
        <v>0.15150622027406338</v>
      </c>
      <c r="T436" s="1">
        <f t="shared" si="57"/>
        <v>3.6570466962704957</v>
      </c>
    </row>
    <row r="437" spans="1:20">
      <c r="A437">
        <v>384</v>
      </c>
      <c r="B437">
        <v>0.69231349384129659</v>
      </c>
      <c r="C437" s="1">
        <f t="shared" si="51"/>
        <v>31.688291395389143</v>
      </c>
      <c r="D437" s="1">
        <f t="shared" si="60"/>
        <v>101.92362181945288</v>
      </c>
      <c r="E437" s="1">
        <f t="shared" si="58"/>
        <v>122.19666839149357</v>
      </c>
      <c r="F437" s="1">
        <f t="shared" si="52"/>
        <v>6.5388228390971062</v>
      </c>
      <c r="G437" s="1">
        <f t="shared" si="59"/>
        <v>4.876332075424811</v>
      </c>
      <c r="H437" s="1">
        <f t="shared" si="53"/>
        <v>1.9075468075522002</v>
      </c>
      <c r="I437" s="1">
        <f t="shared" si="54"/>
        <v>49.229840985392528</v>
      </c>
      <c r="K437" s="112">
        <f>C437/'CGE-Flood Weighted Av Calcs'!$D$3</f>
        <v>5.3414150112261081E-3</v>
      </c>
      <c r="L437" s="112">
        <f>D437/'CGE-Flood Weighted Av Calcs'!$D$4</f>
        <v>5.2355084327957279E-3</v>
      </c>
      <c r="M437" s="112">
        <f>E437/'CGE-Flood Weighted Av Calcs'!$D$5</f>
        <v>5.2347173002849062E-3</v>
      </c>
      <c r="N437" s="112">
        <f>F437/'CGE-Flood Weighted Av Calcs'!$D$6</f>
        <v>1.80742696890913E-3</v>
      </c>
      <c r="O437" s="112">
        <f>G437/'CGE-Flood Weighted Av Calcs'!$D$7</f>
        <v>8.0495420449740191E-3</v>
      </c>
      <c r="P437" s="112">
        <f>H437/'CGE-Flood Weighted Av Calcs'!$D$8</f>
        <v>1.9276132616055139E-2</v>
      </c>
      <c r="R437" s="1">
        <f t="shared" si="55"/>
        <v>8.546847393297316E-2</v>
      </c>
      <c r="S437" s="1">
        <f t="shared" si="56"/>
        <v>9.914342976224888E-2</v>
      </c>
      <c r="T437" s="1">
        <f t="shared" si="57"/>
        <v>2.3931172701232493</v>
      </c>
    </row>
    <row r="438" spans="1:20">
      <c r="A438">
        <v>385</v>
      </c>
      <c r="B438">
        <v>0.70979364502065845</v>
      </c>
      <c r="C438" s="1">
        <f t="shared" si="51"/>
        <v>29.888030047816862</v>
      </c>
      <c r="D438" s="1">
        <f t="shared" si="60"/>
        <v>96.13318160679961</v>
      </c>
      <c r="E438" s="1">
        <f t="shared" si="58"/>
        <v>115.25448472616276</v>
      </c>
      <c r="F438" s="1">
        <f t="shared" si="52"/>
        <v>6.1673420966055055</v>
      </c>
      <c r="G438" s="1">
        <f t="shared" si="59"/>
        <v>4.5993000308825938</v>
      </c>
      <c r="H438" s="1">
        <f t="shared" si="53"/>
        <v>1.7991760928464902</v>
      </c>
      <c r="I438" s="1">
        <f t="shared" si="54"/>
        <v>46.433016796694631</v>
      </c>
      <c r="K438" s="112">
        <f>C438/'CGE-Flood Weighted Av Calcs'!$D$3</f>
        <v>5.0379608784024022E-3</v>
      </c>
      <c r="L438" s="112">
        <f>D438/'CGE-Flood Weighted Av Calcs'!$D$4</f>
        <v>4.9380710181731674E-3</v>
      </c>
      <c r="M438" s="112">
        <f>E438/'CGE-Flood Weighted Av Calcs'!$D$5</f>
        <v>4.9373248311364408E-3</v>
      </c>
      <c r="N438" s="112">
        <f>F438/'CGE-Flood Weighted Av Calcs'!$D$6</f>
        <v>1.7047442186753864E-3</v>
      </c>
      <c r="O438" s="112">
        <f>G438/'CGE-Flood Weighted Av Calcs'!$D$7</f>
        <v>7.5922349838765807E-3</v>
      </c>
      <c r="P438" s="112">
        <f>H438/'CGE-Flood Weighted Av Calcs'!$D$8</f>
        <v>1.8181025402909189E-2</v>
      </c>
      <c r="R438" s="1">
        <f t="shared" si="55"/>
        <v>8.0612876383150428E-2</v>
      </c>
      <c r="S438" s="1">
        <f t="shared" si="56"/>
        <v>9.3510936604454503E-2</v>
      </c>
      <c r="T438" s="1">
        <f t="shared" si="57"/>
        <v>2.2571605387282121</v>
      </c>
    </row>
    <row r="439" spans="1:20">
      <c r="A439">
        <v>386</v>
      </c>
      <c r="B439">
        <v>9.7719458043961094E-3</v>
      </c>
      <c r="C439" s="1">
        <f t="shared" ref="C439:C502" si="61">IF($B439&lt;=0.005,$F$5,IF(B439&lt;=0.01,$F$5+($B439-0.005)*SLOPE($E$5:$F$5,$E$4:$F$4),IF($B439&lt;=0.04,$E$5+($B439-0.01)*SLOPE($D$5:$E$5,$D$4:$E$4),IF($B439&lt;=0.1,$D$5+($B439-0.04)*SLOPE($C$5:$D$5,$C$4:$D$4),IF($B439&lt;=1,$C$5+($B439-0.1)*SLOPE($B$5:$C$5,$B$4:$C$4),)))))</f>
        <v>148.83906956620604</v>
      </c>
      <c r="D439" s="1">
        <f t="shared" si="60"/>
        <v>472.50622935663125</v>
      </c>
      <c r="E439" s="1">
        <f t="shared" si="58"/>
        <v>566.38672767382582</v>
      </c>
      <c r="F439" s="1">
        <f t="shared" ref="F439:F502" si="62">IF($B439&lt;=0.005,$F$26,IF($B439&lt;=0.01,$F$26+($B439-0.005)*SLOPE($E$26:$F$26,$E$25:$F$25),IF($B439&lt;=0.04,$E$26+($B439-0.01)*SLOPE($D$26:$E$26,$D$25:$E$25),IF($B439&lt;=0.1,$D$26+($B439-0.04)*SLOPE($C$26:$D$26,$C$25:$D$25),IF($B439&lt;=1,$C$26+($B439-0.1)*SLOPE($B$26:$C$26,$B$25:$C$25),)))))</f>
        <v>30.659043851909921</v>
      </c>
      <c r="G439" s="1">
        <f t="shared" si="59"/>
        <v>21.215188515170052</v>
      </c>
      <c r="H439" s="1">
        <f t="shared" ref="H439:H502" si="63">IF($B439&lt;=0.005,$F$40,IF($B439&lt;=0.01,$F$40+($B439-0.005)*SLOPE($E$40:$F$40,$E$39:$F$39),IF($B439&lt;=0.04,$E$40+($B439-0.01)*SLOPE($D$40:$E$40,$D$39:$E$39),IF($B439&lt;=0.1,$D$40+($B439-0.04)*SLOPE($C$40:$D$40,$C$39:$D$39),IF($B439&lt;=1,$C$40+($B439-0.1)*SLOPE($B$40:$C$40,$B$39:$C$39),)))))</f>
        <v>7.9505396776937793</v>
      </c>
      <c r="I439" s="1">
        <f t="shared" ref="I439:I502" si="64">IF($B439&lt;=0.005,$F$47,IF($B439&lt;=0.01,$F$47+($B439-0.005)*SLOPE($E$47:$F$47,$E$46:$F$46),IF($B439&lt;=0.04,$E$47+($B439-0.01)*SLOPE($D$47:$E$47,$D$46:$E$46),IF($B439&lt;=0.1,$D$47+($B439-0.04)*SLOPE($C$47:$D$47,$C$46:$D$46),IF($B439&lt;=1,$C$47+($B439-0.1)*SLOPE($B$47:$C$47,$B$46:$C$46),)))))</f>
        <v>339.57827621536342</v>
      </c>
      <c r="K439" s="112">
        <f>C439/'CGE-Flood Weighted Av Calcs'!$D$3</f>
        <v>2.508848553928469E-2</v>
      </c>
      <c r="L439" s="112">
        <f>D439/'CGE-Flood Weighted Av Calcs'!$D$4</f>
        <v>2.4271217056309614E-2</v>
      </c>
      <c r="M439" s="112">
        <f>E439/'CGE-Flood Weighted Av Calcs'!$D$5</f>
        <v>2.426313614792729E-2</v>
      </c>
      <c r="N439" s="112">
        <f>F439/'CGE-Flood Weighted Av Calcs'!$D$6</f>
        <v>8.4746114189815421E-3</v>
      </c>
      <c r="O439" s="112">
        <f>G439/'CGE-Flood Weighted Av Calcs'!$D$7</f>
        <v>3.5020697791594536E-2</v>
      </c>
      <c r="P439" s="112">
        <f>H439/'CGE-Flood Weighted Av Calcs'!$D$8</f>
        <v>8.0341754440665131E-2</v>
      </c>
      <c r="R439" s="1">
        <f t="shared" ref="R439:R502" si="65">IF($B439&lt;=0.005,$F$13,IF($B439&lt;=0.01,$F$13+($B439-0.005)*SLOPE($E$13:$F$13,$E$10:$F$10),IF($B439&lt;=0.04,$E$13+($B439-0.01)*SLOPE($D$13:$E$13,$D$10:$E$10),IF($B439&lt;=0.1,$D$13+($B439-0.04)*SLOPE($C$13:$D$13,$C$10:$D$10),IF($B439&lt;=1,$C$13+($B439-0.1)*SLOPE($B$13:$C$13,$B$10:$C$10),)))))</f>
        <v>0.33045610839120781</v>
      </c>
      <c r="S439" s="1">
        <f t="shared" ref="S439:S502" si="66">IF($B439&lt;=0.005,$F$21,IF($B439&lt;=0.01,$F$21+($B439-0.005)*SLOPE($E$21:$F$21,$E$18:$F$18),IF($B439&lt;=0.04,$E$21+($B439-0.01)*SLOPE($D$21:$E$21,$D$18:$E$18),IF($B439&lt;=0.1,$D$21+($B439-0.04)*SLOPE($C$21:$D$21,$C$18:$D$18),IF($B439&lt;=1,$C$21+($B439-0.1)*SLOPE($B$21:$C$21,$B$18:$C$18),)))))</f>
        <v>0.39045610839120781</v>
      </c>
      <c r="T439" s="1">
        <f t="shared" ref="T439:T502" si="67">IF($B439&lt;=0.005,$F$14,IF($B439&lt;=0.01,$F$14+($B439-0.005)*SLOPE($E$14:$F$14,$E$10:$F$10),IF($B439&lt;=0.04,$E$14+($B439-0.01)*SLOPE($D$14:$E$14,$D$10:$E$10),IF($B439&lt;=0.1,$D$14+($B439-0.04)*SLOPE($C$14:$D$14,$C$10:$D$10),IF($B439&lt;=1,$C$14+($B439-0.1)*SLOPE($B$14:$C$14,$B$10:$C$10),)))))</f>
        <v>14.319275873845447</v>
      </c>
    </row>
    <row r="440" spans="1:20">
      <c r="A440">
        <v>387</v>
      </c>
      <c r="B440">
        <v>0.73702129535844085</v>
      </c>
      <c r="C440" s="1">
        <f t="shared" si="61"/>
        <v>27.083884592473467</v>
      </c>
      <c r="D440" s="1">
        <f t="shared" si="60"/>
        <v>87.113804154383729</v>
      </c>
      <c r="E440" s="1">
        <f t="shared" ref="E440:E503" si="68">IF($B440&lt;=0.005,$F$19,IF($B440&lt;=0.01,$F$19+($B440-0.005)*SLOPE($E$19:$F$19,$E$18:$F$18),IF($B440&lt;=0.04,$E$19+($B440-0.01)*SLOPE($D$19:$E$19,$D$18:$E$18),IF($B440&lt;=0.1,$D$19+($B440-0.04)*SLOPE($C$19:$D$19,$C$18:$D$18),IF($B440&lt;=1,$C$19+($B440-0.1)*SLOPE($B$19:$C$19,$B$18:$C$18),)))))</f>
        <v>104.4411143221665</v>
      </c>
      <c r="F440" s="1">
        <f t="shared" si="62"/>
        <v>5.588711645415648</v>
      </c>
      <c r="G440" s="1">
        <f t="shared" ref="G440:G503" si="69">IF($B440&lt;=0.005,$F$33,IF($B440&lt;=0.01,$F$33+($B440-0.005)*SLOPE($E$33:$F$33,$E$32:$F$32),IF($B440&lt;=0.04,$E$33+($B440-0.01)*SLOPE($D$33:$E$33,$D$32:$E$32),IF($B440&lt;=0.1,$D$33+($B440-0.04)*SLOPE($C$33:$D$33,$C$32:$D$32),IF($B440&lt;=1,$C$33+($B440-0.1)*SLOPE($B$33:$C$33,$B$32:$C$32),)))))</f>
        <v>4.1677859344792356</v>
      </c>
      <c r="H440" s="1">
        <f t="shared" si="63"/>
        <v>1.6303743532856561</v>
      </c>
      <c r="I440" s="1">
        <f t="shared" si="64"/>
        <v>42.076592742649439</v>
      </c>
      <c r="K440" s="112">
        <f>C440/'CGE-Flood Weighted Av Calcs'!$D$3</f>
        <v>4.5652908804544503E-3</v>
      </c>
      <c r="L440" s="112">
        <f>D440/'CGE-Flood Weighted Av Calcs'!$D$4</f>
        <v>4.4747728556104385E-3</v>
      </c>
      <c r="M440" s="112">
        <f>E440/'CGE-Flood Weighted Av Calcs'!$D$5</f>
        <v>4.474096677101691E-3</v>
      </c>
      <c r="N440" s="112">
        <f>F440/'CGE-Flood Weighted Av Calcs'!$D$6</f>
        <v>1.5448022370301065E-3</v>
      </c>
      <c r="O440" s="112">
        <f>G440/'CGE-Flood Weighted Av Calcs'!$D$7</f>
        <v>6.8799186755793855E-3</v>
      </c>
      <c r="P440" s="112">
        <f>H440/'CGE-Flood Weighted Av Calcs'!$D$8</f>
        <v>1.6475250894670078E-2</v>
      </c>
      <c r="R440" s="1">
        <f t="shared" si="65"/>
        <v>7.3049640178210862E-2</v>
      </c>
      <c r="S440" s="1">
        <f t="shared" si="66"/>
        <v>8.4737582606724621E-2</v>
      </c>
      <c r="T440" s="1">
        <f t="shared" si="67"/>
        <v>2.0453899249899052</v>
      </c>
    </row>
    <row r="441" spans="1:20">
      <c r="A441">
        <v>388</v>
      </c>
      <c r="B441">
        <v>0.37683695025038566</v>
      </c>
      <c r="C441" s="1">
        <f t="shared" si="61"/>
        <v>64.178870090324168</v>
      </c>
      <c r="D441" s="1">
        <f t="shared" ref="D441:D504" si="70">IF($B441&lt;=0.005,$F$11,IF($B441&lt;=0.01,$F$11+($B441-0.005)*SLOPE($E$11:$F$11,$E$10:$F$10),IF($B441&lt;=0.04,$E$11+($B441-0.01)*SLOPE($D$11:$E$11,$D$10:$E$10),IF($B441&lt;=0.1,$D$11+($B441-0.04)*SLOPE($C$11:$D$11,$C$10:$D$10),IF($B441&lt;=1,$C$11+($B441-0.1)*SLOPE($B$11:$C$11,$B$10:$C$10),)))))</f>
        <v>206.4277559893244</v>
      </c>
      <c r="E441" s="1">
        <f t="shared" si="68"/>
        <v>247.48712413409632</v>
      </c>
      <c r="F441" s="1">
        <f t="shared" si="62"/>
        <v>13.243196242354692</v>
      </c>
      <c r="G441" s="1">
        <f t="shared" si="69"/>
        <v>9.8761236092239209</v>
      </c>
      <c r="H441" s="1">
        <f t="shared" si="63"/>
        <v>3.8633890740767054</v>
      </c>
      <c r="I441" s="1">
        <f t="shared" si="64"/>
        <v>99.706087959938287</v>
      </c>
      <c r="K441" s="112">
        <f>C441/'CGE-Flood Weighted Av Calcs'!$D$3</f>
        <v>1.081806449665091E-2</v>
      </c>
      <c r="L441" s="112">
        <f>D441/'CGE-Flood Weighted Av Calcs'!$D$4</f>
        <v>1.0603569986549839E-2</v>
      </c>
      <c r="M441" s="112">
        <f>E441/'CGE-Flood Weighted Av Calcs'!$D$5</f>
        <v>1.0601967691556941E-2</v>
      </c>
      <c r="N441" s="112">
        <f>F441/'CGE-Flood Weighted Av Calcs'!$D$6</f>
        <v>3.6606145528012301E-3</v>
      </c>
      <c r="O441" s="112">
        <f>G441/'CGE-Flood Weighted Av Calcs'!$D$7</f>
        <v>1.6302883192564951E-2</v>
      </c>
      <c r="P441" s="112">
        <f>H441/'CGE-Flood Weighted Av Calcs'!$D$8</f>
        <v>3.9040300266541761E-2</v>
      </c>
      <c r="R441" s="1">
        <f t="shared" si="65"/>
        <v>0.17310084715267066</v>
      </c>
      <c r="S441" s="1">
        <f t="shared" si="66"/>
        <v>0.20079698269709795</v>
      </c>
      <c r="T441" s="1">
        <f t="shared" si="67"/>
        <v>4.8468237202747781</v>
      </c>
    </row>
    <row r="442" spans="1:20">
      <c r="A442">
        <v>389</v>
      </c>
      <c r="B442">
        <v>0.91178471713035947</v>
      </c>
      <c r="C442" s="1">
        <f t="shared" si="61"/>
        <v>9.0851939657633238</v>
      </c>
      <c r="D442" s="1">
        <f t="shared" si="70"/>
        <v>29.222019652898496</v>
      </c>
      <c r="E442" s="1">
        <f t="shared" si="68"/>
        <v>35.034404993773705</v>
      </c>
      <c r="F442" s="1">
        <f t="shared" si="62"/>
        <v>1.8747136934496993</v>
      </c>
      <c r="G442" s="1">
        <f t="shared" si="69"/>
        <v>1.3980691541215098</v>
      </c>
      <c r="H442" s="1">
        <f t="shared" si="63"/>
        <v>0.54690335080376151</v>
      </c>
      <c r="I442" s="1">
        <f t="shared" si="64"/>
        <v>14.114445259142457</v>
      </c>
      <c r="K442" s="112">
        <f>C442/'CGE-Flood Weighted Av Calcs'!$D$3</f>
        <v>1.5314107921795429E-3</v>
      </c>
      <c r="L442" s="112">
        <f>D442/'CGE-Flood Weighted Av Calcs'!$D$4</f>
        <v>1.5010468386522043E-3</v>
      </c>
      <c r="M442" s="112">
        <f>E442/'CGE-Flood Weighted Av Calcs'!$D$5</f>
        <v>1.5008200169462373E-3</v>
      </c>
      <c r="N442" s="112">
        <f>F442/'CGE-Flood Weighted Av Calcs'!$D$6</f>
        <v>5.1819848494199432E-4</v>
      </c>
      <c r="O442" s="112">
        <f>G442/'CGE-Flood Weighted Av Calcs'!$D$7</f>
        <v>2.3078445568951449E-3</v>
      </c>
      <c r="P442" s="112">
        <f>H442/'CGE-Flood Weighted Av Calcs'!$D$8</f>
        <v>5.5265650502103053E-3</v>
      </c>
      <c r="R442" s="1">
        <f t="shared" si="65"/>
        <v>2.4504245241566802E-2</v>
      </c>
      <c r="S442" s="1">
        <f t="shared" si="66"/>
        <v>2.8424924480217495E-2</v>
      </c>
      <c r="T442" s="1">
        <f t="shared" si="67"/>
        <v>0.68611886676387179</v>
      </c>
    </row>
    <row r="443" spans="1:20">
      <c r="A443">
        <v>390</v>
      </c>
      <c r="B443">
        <v>0.54747307095263331</v>
      </c>
      <c r="C443" s="1">
        <f t="shared" si="61"/>
        <v>46.605245614889363</v>
      </c>
      <c r="D443" s="1">
        <f t="shared" si="70"/>
        <v>149.90317305482367</v>
      </c>
      <c r="E443" s="1">
        <f t="shared" si="68"/>
        <v>179.71955864226263</v>
      </c>
      <c r="F443" s="1">
        <f t="shared" si="62"/>
        <v>9.6169099383096146</v>
      </c>
      <c r="G443" s="1">
        <f t="shared" si="69"/>
        <v>7.1718178566107476</v>
      </c>
      <c r="H443" s="1">
        <f t="shared" si="63"/>
        <v>2.8055058689849139</v>
      </c>
      <c r="I443" s="1">
        <f t="shared" si="64"/>
        <v>72.404308647578659</v>
      </c>
      <c r="K443" s="112">
        <f>C443/'CGE-Flood Weighted Av Calcs'!$D$3</f>
        <v>7.8558340499693818E-3</v>
      </c>
      <c r="L443" s="112">
        <f>D443/'CGE-Flood Weighted Av Calcs'!$D$4</f>
        <v>7.700072982312115E-3</v>
      </c>
      <c r="M443" s="112">
        <f>E443/'CGE-Flood Weighted Av Calcs'!$D$5</f>
        <v>7.6989094318852163E-3</v>
      </c>
      <c r="N443" s="112">
        <f>F443/'CGE-Flood Weighted Av Calcs'!$D$6</f>
        <v>2.6582555924502091E-3</v>
      </c>
      <c r="O443" s="112">
        <f>G443/'CGE-Flood Weighted Av Calcs'!$D$7</f>
        <v>1.1838785481125056E-2</v>
      </c>
      <c r="P443" s="112">
        <f>H443/'CGE-Flood Weighted Av Calcs'!$D$8</f>
        <v>2.8350184106396732E-2</v>
      </c>
      <c r="R443" s="1">
        <f t="shared" si="65"/>
        <v>0.12570192473537961</v>
      </c>
      <c r="S443" s="1">
        <f t="shared" si="66"/>
        <v>0.14581423269304036</v>
      </c>
      <c r="T443" s="1">
        <f t="shared" si="67"/>
        <v>3.5196538925906302</v>
      </c>
    </row>
    <row r="444" spans="1:20">
      <c r="A444">
        <v>391</v>
      </c>
      <c r="B444">
        <v>0.59963409575993232</v>
      </c>
      <c r="C444" s="1">
        <f t="shared" si="61"/>
        <v>41.233239626679868</v>
      </c>
      <c r="D444" s="1">
        <f t="shared" si="70"/>
        <v>132.624415424055</v>
      </c>
      <c r="E444" s="1">
        <f t="shared" si="68"/>
        <v>159.00398183354048</v>
      </c>
      <c r="F444" s="1">
        <f t="shared" si="62"/>
        <v>8.5084060114433697</v>
      </c>
      <c r="G444" s="1">
        <f t="shared" si="69"/>
        <v>6.3451502151521186</v>
      </c>
      <c r="H444" s="1">
        <f t="shared" si="63"/>
        <v>2.4821260835272674</v>
      </c>
      <c r="I444" s="1">
        <f t="shared" si="64"/>
        <v>64.058544678410811</v>
      </c>
      <c r="K444" s="112">
        <f>C444/'CGE-Flood Weighted Av Calcs'!$D$3</f>
        <v>6.9503225136170648E-3</v>
      </c>
      <c r="L444" s="112">
        <f>D444/'CGE-Flood Weighted Av Calcs'!$D$4</f>
        <v>6.8125154203921819E-3</v>
      </c>
      <c r="M444" s="112">
        <f>E444/'CGE-Flood Weighted Av Calcs'!$D$5</f>
        <v>6.8114859879122754E-3</v>
      </c>
      <c r="N444" s="112">
        <f>F444/'CGE-Flood Weighted Av Calcs'!$D$6</f>
        <v>2.3518487755258988E-3</v>
      </c>
      <c r="O444" s="112">
        <f>G444/'CGE-Flood Weighted Av Calcs'!$D$7</f>
        <v>1.0474174573948265E-2</v>
      </c>
      <c r="P444" s="112">
        <f>H444/'CGE-Flood Weighted Av Calcs'!$D$8</f>
        <v>2.5082368289162861E-2</v>
      </c>
      <c r="R444" s="1">
        <f t="shared" si="65"/>
        <v>0.11121275117779655</v>
      </c>
      <c r="S444" s="1">
        <f t="shared" si="66"/>
        <v>0.12900679136624402</v>
      </c>
      <c r="T444" s="1">
        <f t="shared" si="67"/>
        <v>3.1139570329783046</v>
      </c>
    </row>
    <row r="445" spans="1:20">
      <c r="A445">
        <v>392</v>
      </c>
      <c r="B445">
        <v>0.60874728828610503</v>
      </c>
      <c r="C445" s="1">
        <f t="shared" si="61"/>
        <v>40.294682054178814</v>
      </c>
      <c r="D445" s="1">
        <f t="shared" si="70"/>
        <v>129.60559734131988</v>
      </c>
      <c r="E445" s="1">
        <f t="shared" si="68"/>
        <v>155.38470785558391</v>
      </c>
      <c r="F445" s="1">
        <f t="shared" si="62"/>
        <v>8.3147363176658633</v>
      </c>
      <c r="G445" s="1">
        <f t="shared" si="69"/>
        <v>6.2007208946086418</v>
      </c>
      <c r="H445" s="1">
        <f t="shared" si="63"/>
        <v>2.4256275339908027</v>
      </c>
      <c r="I445" s="1">
        <f t="shared" si="64"/>
        <v>62.600433874223171</v>
      </c>
      <c r="K445" s="112">
        <f>C445/'CGE-Flood Weighted Av Calcs'!$D$3</f>
        <v>6.7921181647582138E-3</v>
      </c>
      <c r="L445" s="112">
        <f>D445/'CGE-Flood Weighted Av Calcs'!$D$4</f>
        <v>6.6574478585542307E-3</v>
      </c>
      <c r="M445" s="112">
        <f>E445/'CGE-Flood Weighted Av Calcs'!$D$5</f>
        <v>6.6564418581805101E-3</v>
      </c>
      <c r="N445" s="112">
        <f>F445/'CGE-Flood Weighted Av Calcs'!$D$6</f>
        <v>2.2983156188389115E-3</v>
      </c>
      <c r="O445" s="112">
        <f>G445/'CGE-Flood Weighted Av Calcs'!$D$7</f>
        <v>1.0235759742829432E-2</v>
      </c>
      <c r="P445" s="112">
        <f>H445/'CGE-Flood Weighted Av Calcs'!$D$8</f>
        <v>2.4511439424315148E-2</v>
      </c>
      <c r="R445" s="1">
        <f t="shared" si="65"/>
        <v>0.10868130880941526</v>
      </c>
      <c r="S445" s="1">
        <f t="shared" si="66"/>
        <v>0.1260703182189217</v>
      </c>
      <c r="T445" s="1">
        <f t="shared" si="67"/>
        <v>3.0430766466636281</v>
      </c>
    </row>
    <row r="446" spans="1:20">
      <c r="A446">
        <v>393</v>
      </c>
      <c r="B446">
        <v>4.9535855984322086E-2</v>
      </c>
      <c r="C446" s="1">
        <f t="shared" si="61"/>
        <v>105.33126807592731</v>
      </c>
      <c r="D446" s="1">
        <f t="shared" si="70"/>
        <v>336.76040929361807</v>
      </c>
      <c r="E446" s="1">
        <f t="shared" si="68"/>
        <v>403.67767498072084</v>
      </c>
      <c r="F446" s="1">
        <f t="shared" si="62"/>
        <v>25.337922922327454</v>
      </c>
      <c r="G446" s="1">
        <f t="shared" si="69"/>
        <v>16.346830577090415</v>
      </c>
      <c r="H446" s="1">
        <f t="shared" si="63"/>
        <v>6.2528110863260196</v>
      </c>
      <c r="I446" s="1">
        <f t="shared" si="64"/>
        <v>226.4247685589406</v>
      </c>
      <c r="K446" s="112">
        <f>C446/'CGE-Flood Weighted Av Calcs'!$D$3</f>
        <v>1.7754760249841184E-2</v>
      </c>
      <c r="L446" s="112">
        <f>D446/'CGE-Flood Weighted Av Calcs'!$D$4</f>
        <v>1.7298364512709802E-2</v>
      </c>
      <c r="M446" s="112">
        <f>E446/'CGE-Flood Weighted Av Calcs'!$D$5</f>
        <v>1.7292930623855438E-2</v>
      </c>
      <c r="N446" s="112">
        <f>F446/'CGE-Flood Weighted Av Calcs'!$D$6</f>
        <v>7.0037751982097041E-3</v>
      </c>
      <c r="O446" s="112">
        <f>G446/'CGE-Flood Weighted Av Calcs'!$D$7</f>
        <v>2.6984318950610636E-2</v>
      </c>
      <c r="P446" s="112">
        <f>H446/'CGE-Flood Weighted Av Calcs'!$D$8</f>
        <v>6.3185875830657351E-2</v>
      </c>
      <c r="R446" s="1">
        <f t="shared" si="65"/>
        <v>0.28364276267711858</v>
      </c>
      <c r="S446" s="1">
        <f t="shared" si="66"/>
        <v>0.34046414401567787</v>
      </c>
      <c r="T446" s="1">
        <f t="shared" si="67"/>
        <v>7.8410690669279655</v>
      </c>
    </row>
    <row r="447" spans="1:20">
      <c r="A447">
        <v>394</v>
      </c>
      <c r="B447">
        <v>0.38631665183478459</v>
      </c>
      <c r="C447" s="1">
        <f t="shared" si="61"/>
        <v>63.202566157148688</v>
      </c>
      <c r="D447" s="1">
        <f t="shared" si="70"/>
        <v>203.28752884283011</v>
      </c>
      <c r="E447" s="1">
        <f t="shared" si="68"/>
        <v>243.72229230763458</v>
      </c>
      <c r="F447" s="1">
        <f t="shared" si="62"/>
        <v>13.041737653865535</v>
      </c>
      <c r="G447" s="1">
        <f t="shared" si="69"/>
        <v>9.7258857145610431</v>
      </c>
      <c r="H447" s="1">
        <f t="shared" si="63"/>
        <v>3.8046182988495962</v>
      </c>
      <c r="I447" s="1">
        <f t="shared" si="64"/>
        <v>98.189335706434463</v>
      </c>
      <c r="K447" s="112">
        <f>C447/'CGE-Flood Weighted Av Calcs'!$D$3</f>
        <v>1.065349757762348E-2</v>
      </c>
      <c r="L447" s="112">
        <f>D447/'CGE-Flood Weighted Av Calcs'!$D$4</f>
        <v>1.0442266008012971E-2</v>
      </c>
      <c r="M447" s="112">
        <f>E447/'CGE-Flood Weighted Av Calcs'!$D$5</f>
        <v>1.0440688087505033E-2</v>
      </c>
      <c r="N447" s="112">
        <f>F447/'CGE-Flood Weighted Av Calcs'!$D$6</f>
        <v>3.604928430862507E-3</v>
      </c>
      <c r="O447" s="112">
        <f>G447/'CGE-Flood Weighted Av Calcs'!$D$7</f>
        <v>1.605487993291577E-2</v>
      </c>
      <c r="P447" s="112">
        <f>H447/'CGE-Flood Weighted Av Calcs'!$D$8</f>
        <v>3.8446410117822502E-2</v>
      </c>
      <c r="R447" s="1">
        <f t="shared" si="65"/>
        <v>0.17046759671255984</v>
      </c>
      <c r="S447" s="1">
        <f t="shared" si="66"/>
        <v>0.19774241218656941</v>
      </c>
      <c r="T447" s="1">
        <f t="shared" si="67"/>
        <v>4.7730927079516761</v>
      </c>
    </row>
    <row r="448" spans="1:20">
      <c r="A448">
        <v>395</v>
      </c>
      <c r="B448">
        <v>0.82978365700059153</v>
      </c>
      <c r="C448" s="1">
        <f t="shared" si="61"/>
        <v>17.530392036239093</v>
      </c>
      <c r="D448" s="1">
        <f t="shared" si="70"/>
        <v>56.385528205170658</v>
      </c>
      <c r="E448" s="1">
        <f t="shared" si="68"/>
        <v>67.600852179012861</v>
      </c>
      <c r="F448" s="1">
        <f t="shared" si="62"/>
        <v>3.6173653667412715</v>
      </c>
      <c r="G448" s="1">
        <f t="shared" si="69"/>
        <v>2.6976529568748795</v>
      </c>
      <c r="H448" s="1">
        <f t="shared" si="63"/>
        <v>1.0552807327671863</v>
      </c>
      <c r="I448" s="1">
        <f t="shared" si="64"/>
        <v>27.234614879905337</v>
      </c>
      <c r="K448" s="112">
        <f>C448/'CGE-Flood Weighted Av Calcs'!$D$3</f>
        <v>2.9549431367786191E-3</v>
      </c>
      <c r="L448" s="112">
        <f>D448/'CGE-Flood Weighted Av Calcs'!$D$4</f>
        <v>2.8963541830248217E-3</v>
      </c>
      <c r="M448" s="112">
        <f>E448/'CGE-Flood Weighted Av Calcs'!$D$5</f>
        <v>2.8959165178034847E-3</v>
      </c>
      <c r="N448" s="112">
        <f>F448/'CGE-Flood Weighted Av Calcs'!$D$6</f>
        <v>9.9989308184848108E-4</v>
      </c>
      <c r="O448" s="112">
        <f>G448/'CGE-Flood Weighted Av Calcs'!$D$7</f>
        <v>4.4531156950013695E-3</v>
      </c>
      <c r="P448" s="112">
        <f>H448/'CGE-Flood Weighted Av Calcs'!$D$8</f>
        <v>1.0663817669612529E-2</v>
      </c>
      <c r="R448" s="1">
        <f t="shared" si="65"/>
        <v>4.7282317499835663E-2</v>
      </c>
      <c r="S448" s="1">
        <f t="shared" si="66"/>
        <v>5.4847488299809399E-2</v>
      </c>
      <c r="T448" s="1">
        <f t="shared" si="67"/>
        <v>1.3239048899953998</v>
      </c>
    </row>
    <row r="449" spans="1:20">
      <c r="A449">
        <v>396</v>
      </c>
      <c r="B449">
        <v>0.91103499558218226</v>
      </c>
      <c r="C449" s="1">
        <f t="shared" si="61"/>
        <v>9.1624069549861531</v>
      </c>
      <c r="D449" s="1">
        <f t="shared" si="70"/>
        <v>29.470370926083319</v>
      </c>
      <c r="E449" s="1">
        <f t="shared" si="68"/>
        <v>35.332154402911954</v>
      </c>
      <c r="F449" s="1">
        <f t="shared" si="62"/>
        <v>1.8906464571038057</v>
      </c>
      <c r="G449" s="1">
        <f t="shared" si="69"/>
        <v>1.4099510246612859</v>
      </c>
      <c r="H449" s="1">
        <f t="shared" si="63"/>
        <v>0.55155135751563478</v>
      </c>
      <c r="I449" s="1">
        <f t="shared" si="64"/>
        <v>14.234400706850806</v>
      </c>
      <c r="K449" s="112">
        <f>C449/'CGE-Flood Weighted Av Calcs'!$D$3</f>
        <v>1.544425902857188E-3</v>
      </c>
      <c r="L449" s="112">
        <f>D449/'CGE-Flood Weighted Av Calcs'!$D$4</f>
        <v>1.5138038930213862E-3</v>
      </c>
      <c r="M449" s="112">
        <f>E449/'CGE-Flood Weighted Av Calcs'!$D$5</f>
        <v>1.5135751436095278E-3</v>
      </c>
      <c r="N449" s="112">
        <f>F449/'CGE-Flood Weighted Av Calcs'!$D$6</f>
        <v>5.226025355526794E-4</v>
      </c>
      <c r="O449" s="112">
        <f>G449/'CGE-Flood Weighted Av Calcs'!$D$7</f>
        <v>2.3274584008671092E-3</v>
      </c>
      <c r="P449" s="112">
        <f>H449/'CGE-Flood Weighted Av Calcs'!$D$8</f>
        <v>5.5735340647706105E-3</v>
      </c>
      <c r="R449" s="1">
        <f t="shared" si="65"/>
        <v>2.4712501227171585E-2</v>
      </c>
      <c r="S449" s="1">
        <f t="shared" si="66"/>
        <v>2.8666501423519064E-2</v>
      </c>
      <c r="T449" s="1">
        <f t="shared" si="67"/>
        <v>0.69195003436080516</v>
      </c>
    </row>
    <row r="450" spans="1:20">
      <c r="A450">
        <v>397</v>
      </c>
      <c r="B450">
        <v>0.82482455060329107</v>
      </c>
      <c r="C450" s="1">
        <f t="shared" si="61"/>
        <v>18.041124893978846</v>
      </c>
      <c r="D450" s="1">
        <f t="shared" si="70"/>
        <v>58.028271955331007</v>
      </c>
      <c r="E450" s="1">
        <f t="shared" si="68"/>
        <v>69.570344723598168</v>
      </c>
      <c r="F450" s="1">
        <f t="shared" si="62"/>
        <v>3.7227541879054193</v>
      </c>
      <c r="G450" s="1">
        <f t="shared" si="69"/>
        <v>2.7762467499290597</v>
      </c>
      <c r="H450" s="1">
        <f t="shared" si="63"/>
        <v>1.0860254270814798</v>
      </c>
      <c r="I450" s="1">
        <f t="shared" si="64"/>
        <v>28.028071903473403</v>
      </c>
      <c r="K450" s="112">
        <f>C450/'CGE-Flood Weighted Av Calcs'!$D$3</f>
        <v>3.0410328573955681E-3</v>
      </c>
      <c r="L450" s="112">
        <f>D450/'CGE-Flood Weighted Av Calcs'!$D$4</f>
        <v>2.980736964987987E-3</v>
      </c>
      <c r="M450" s="112">
        <f>E450/'CGE-Flood Weighted Av Calcs'!$D$5</f>
        <v>2.9802865487677703E-3</v>
      </c>
      <c r="N450" s="112">
        <f>F450/'CGE-Flood Weighted Av Calcs'!$D$6</f>
        <v>1.0290241047070121E-3</v>
      </c>
      <c r="O450" s="112">
        <f>G450/'CGE-Flood Weighted Av Calcs'!$D$7</f>
        <v>4.582853381417752E-3</v>
      </c>
      <c r="P450" s="112">
        <f>H450/'CGE-Flood Weighted Av Calcs'!$D$8</f>
        <v>1.0974498803357753E-2</v>
      </c>
      <c r="R450" s="1">
        <f t="shared" si="65"/>
        <v>4.8659847054641353E-2</v>
      </c>
      <c r="S450" s="1">
        <f t="shared" si="66"/>
        <v>5.6445422583383975E-2</v>
      </c>
      <c r="T450" s="1">
        <f t="shared" si="67"/>
        <v>1.3624757175299589</v>
      </c>
    </row>
    <row r="451" spans="1:20">
      <c r="A451">
        <v>398</v>
      </c>
      <c r="B451">
        <v>0.77254432673384421</v>
      </c>
      <c r="C451" s="1">
        <f t="shared" si="61"/>
        <v>23.425407061155539</v>
      </c>
      <c r="D451" s="1">
        <f t="shared" si="70"/>
        <v>75.346515231028548</v>
      </c>
      <c r="E451" s="1">
        <f t="shared" si="68"/>
        <v>90.333261041783089</v>
      </c>
      <c r="F451" s="1">
        <f t="shared" si="62"/>
        <v>4.8337912825719087</v>
      </c>
      <c r="G451" s="1">
        <f t="shared" si="69"/>
        <v>3.6048035031897268</v>
      </c>
      <c r="H451" s="1">
        <f t="shared" si="63"/>
        <v>1.41014420429181</v>
      </c>
      <c r="I451" s="1">
        <f t="shared" si="64"/>
        <v>36.392907722584908</v>
      </c>
      <c r="K451" s="112">
        <f>C451/'CGE-Flood Weighted Av Calcs'!$D$3</f>
        <v>3.9486136806588688E-3</v>
      </c>
      <c r="L451" s="112">
        <f>D451/'CGE-Flood Weighted Av Calcs'!$D$4</f>
        <v>3.8703227851596303E-3</v>
      </c>
      <c r="M451" s="112">
        <f>E451/'CGE-Flood Weighted Av Calcs'!$D$5</f>
        <v>3.8697379445043209E-3</v>
      </c>
      <c r="N451" s="112">
        <f>F451/'CGE-Flood Weighted Av Calcs'!$D$6</f>
        <v>1.336131126532357E-3</v>
      </c>
      <c r="O451" s="112">
        <f>G451/'CGE-Flood Weighted Av Calcs'!$D$7</f>
        <v>5.9505827154454956E-3</v>
      </c>
      <c r="P451" s="112">
        <f>H451/'CGE-Flood Weighted Av Calcs'!$D$8</f>
        <v>1.4249782276415587E-2</v>
      </c>
      <c r="R451" s="1">
        <f t="shared" si="65"/>
        <v>6.3182131462821034E-2</v>
      </c>
      <c r="S451" s="1">
        <f t="shared" si="66"/>
        <v>7.3291272496872423E-2</v>
      </c>
      <c r="T451" s="1">
        <f t="shared" si="67"/>
        <v>1.7690996809589903</v>
      </c>
    </row>
    <row r="452" spans="1:20">
      <c r="A452">
        <v>399</v>
      </c>
      <c r="B452">
        <v>0.46612049778348874</v>
      </c>
      <c r="C452" s="1">
        <f t="shared" si="61"/>
        <v>54.983656733831594</v>
      </c>
      <c r="D452" s="1">
        <f t="shared" si="70"/>
        <v>176.8518651026134</v>
      </c>
      <c r="E452" s="1">
        <f t="shared" si="68"/>
        <v>212.02846139673423</v>
      </c>
      <c r="F452" s="1">
        <f t="shared" si="62"/>
        <v>11.345780242369498</v>
      </c>
      <c r="G452" s="1">
        <f t="shared" si="69"/>
        <v>8.4611241928412557</v>
      </c>
      <c r="H452" s="1">
        <f t="shared" si="63"/>
        <v>3.3098628626416824</v>
      </c>
      <c r="I452" s="1">
        <f t="shared" si="64"/>
        <v>85.420720354641787</v>
      </c>
      <c r="K452" s="112">
        <f>C452/'CGE-Flood Weighted Av Calcs'!$D$3</f>
        <v>9.2681087088502829E-3</v>
      </c>
      <c r="L452" s="112">
        <f>D452/'CGE-Flood Weighted Av Calcs'!$D$4</f>
        <v>9.084345852039457E-3</v>
      </c>
      <c r="M452" s="112">
        <f>E452/'CGE-Flood Weighted Av Calcs'!$D$5</f>
        <v>9.082973125505758E-3</v>
      </c>
      <c r="N452" s="112">
        <f>F452/'CGE-Flood Weighted Av Calcs'!$D$6</f>
        <v>3.1361408158607643E-3</v>
      </c>
      <c r="O452" s="112">
        <f>G452/'CGE-Flood Weighted Av Calcs'!$D$7</f>
        <v>1.3967091224419775E-2</v>
      </c>
      <c r="P452" s="112">
        <f>H452/'CGE-Flood Weighted Av Calcs'!$D$8</f>
        <v>3.3446809917659664E-2</v>
      </c>
      <c r="R452" s="1">
        <f t="shared" si="65"/>
        <v>0.14829986172680867</v>
      </c>
      <c r="S452" s="1">
        <f t="shared" si="66"/>
        <v>0.17202783960309806</v>
      </c>
      <c r="T452" s="1">
        <f t="shared" si="67"/>
        <v>4.1523961283506434</v>
      </c>
    </row>
    <row r="453" spans="1:20">
      <c r="A453">
        <v>400</v>
      </c>
      <c r="B453">
        <v>0.23627243129763476</v>
      </c>
      <c r="C453" s="1">
        <f t="shared" si="61"/>
        <v>78.655453714469147</v>
      </c>
      <c r="D453" s="1">
        <f t="shared" si="70"/>
        <v>252.99087976695205</v>
      </c>
      <c r="E453" s="1">
        <f t="shared" si="68"/>
        <v>303.3118534162428</v>
      </c>
      <c r="F453" s="1">
        <f t="shared" si="62"/>
        <v>16.230413648700306</v>
      </c>
      <c r="G453" s="1">
        <f t="shared" si="69"/>
        <v>12.103843248259411</v>
      </c>
      <c r="H453" s="1">
        <f t="shared" si="63"/>
        <v>4.7348390532484554</v>
      </c>
      <c r="I453" s="1">
        <f t="shared" si="64"/>
        <v>122.19641099237843</v>
      </c>
      <c r="K453" s="112">
        <f>C453/'CGE-Flood Weighted Av Calcs'!$D$3</f>
        <v>1.3258254159023474E-2</v>
      </c>
      <c r="L453" s="112">
        <f>D453/'CGE-Flood Weighted Av Calcs'!$D$4</f>
        <v>1.299537693810141E-2</v>
      </c>
      <c r="M453" s="112">
        <f>E453/'CGE-Flood Weighted Av Calcs'!$D$5</f>
        <v>1.2993413219521239E-2</v>
      </c>
      <c r="N453" s="112">
        <f>F453/'CGE-Flood Weighted Av Calcs'!$D$6</f>
        <v>4.486325454454803E-3</v>
      </c>
      <c r="O453" s="112">
        <f>G453/'CGE-Flood Weighted Av Calcs'!$D$7</f>
        <v>1.9980262546855199E-2</v>
      </c>
      <c r="P453" s="112">
        <f>H453/'CGE-Flood Weighted Av Calcs'!$D$8</f>
        <v>4.7846472309223578E-2</v>
      </c>
      <c r="R453" s="1">
        <f t="shared" si="65"/>
        <v>0.21214654686176812</v>
      </c>
      <c r="S453" s="1">
        <f t="shared" si="66"/>
        <v>0.24608999435965101</v>
      </c>
      <c r="T453" s="1">
        <f t="shared" si="67"/>
        <v>5.9401033121295077</v>
      </c>
    </row>
    <row r="454" spans="1:20">
      <c r="A454">
        <v>401</v>
      </c>
      <c r="B454">
        <v>0.18901271516164475</v>
      </c>
      <c r="C454" s="1">
        <f t="shared" si="61"/>
        <v>83.52267936851905</v>
      </c>
      <c r="D454" s="1">
        <f t="shared" si="70"/>
        <v>268.64603960764657</v>
      </c>
      <c r="E454" s="1">
        <f t="shared" si="68"/>
        <v>322.08089185423978</v>
      </c>
      <c r="F454" s="1">
        <f t="shared" si="62"/>
        <v>17.234757047106815</v>
      </c>
      <c r="G454" s="1">
        <f t="shared" si="69"/>
        <v>12.852833096876731</v>
      </c>
      <c r="H454" s="1">
        <f t="shared" si="63"/>
        <v>5.0278324697180485</v>
      </c>
      <c r="I454" s="1">
        <f t="shared" si="64"/>
        <v>129.75796557413685</v>
      </c>
      <c r="K454" s="112">
        <f>C454/'CGE-Flood Weighted Av Calcs'!$D$3</f>
        <v>1.4078679339011241E-2</v>
      </c>
      <c r="L454" s="112">
        <f>D454/'CGE-Flood Weighted Av Calcs'!$D$4</f>
        <v>1.3799535188167421E-2</v>
      </c>
      <c r="M454" s="112">
        <f>E454/'CGE-Flood Weighted Av Calcs'!$D$5</f>
        <v>1.3797449954027945E-2</v>
      </c>
      <c r="N454" s="112">
        <f>F454/'CGE-Flood Weighted Av Calcs'!$D$6</f>
        <v>4.7639407667204627E-3</v>
      </c>
      <c r="O454" s="112">
        <f>G454/'CGE-Flood Weighted Av Calcs'!$D$7</f>
        <v>2.1216647843108557E-2</v>
      </c>
      <c r="P454" s="112">
        <f>H454/'CGE-Flood Weighted Av Calcs'!$D$8</f>
        <v>5.0807227940036268E-2</v>
      </c>
      <c r="R454" s="1">
        <f t="shared" si="65"/>
        <v>0.22527424578843203</v>
      </c>
      <c r="S454" s="1">
        <f t="shared" si="66"/>
        <v>0.26131812511458113</v>
      </c>
      <c r="T454" s="1">
        <f t="shared" si="67"/>
        <v>6.3076788820760967</v>
      </c>
    </row>
    <row r="455" spans="1:20">
      <c r="A455">
        <v>402</v>
      </c>
      <c r="B455">
        <v>0.74024391343193818</v>
      </c>
      <c r="C455" s="1">
        <f t="shared" si="61"/>
        <v>26.751990737770726</v>
      </c>
      <c r="D455" s="1">
        <f t="shared" si="70"/>
        <v>86.046286082524404</v>
      </c>
      <c r="E455" s="1">
        <f t="shared" si="68"/>
        <v>103.16126231631847</v>
      </c>
      <c r="F455" s="1">
        <f t="shared" si="62"/>
        <v>5.520225935971494</v>
      </c>
      <c r="G455" s="1">
        <f t="shared" si="69"/>
        <v>4.1167126648879666</v>
      </c>
      <c r="H455" s="1">
        <f t="shared" si="63"/>
        <v>1.6103952684216316</v>
      </c>
      <c r="I455" s="1">
        <f t="shared" si="64"/>
        <v>41.560973850889866</v>
      </c>
      <c r="K455" s="112">
        <f>C455/'CGE-Flood Weighted Av Calcs'!$D$3</f>
        <v>4.5093464688254637E-3</v>
      </c>
      <c r="L455" s="112">
        <f>D455/'CGE-Flood Weighted Av Calcs'!$D$4</f>
        <v>4.4199376783707438E-3</v>
      </c>
      <c r="M455" s="112">
        <f>E455/'CGE-Flood Weighted Av Calcs'!$D$5</f>
        <v>4.4192697859514957E-3</v>
      </c>
      <c r="N455" s="112">
        <f>F455/'CGE-Flood Weighted Av Calcs'!$D$6</f>
        <v>1.5258717779428664E-3</v>
      </c>
      <c r="O455" s="112">
        <f>G455/'CGE-Flood Weighted Av Calcs'!$D$7</f>
        <v>6.7956101369913121E-3</v>
      </c>
      <c r="P455" s="112">
        <f>H455/'CGE-Flood Weighted Av Calcs'!$D$8</f>
        <v>1.6273358344583433E-2</v>
      </c>
      <c r="R455" s="1">
        <f t="shared" si="65"/>
        <v>7.2154468491128276E-2</v>
      </c>
      <c r="S455" s="1">
        <f t="shared" si="66"/>
        <v>8.3699183449708808E-2</v>
      </c>
      <c r="T455" s="1">
        <f t="shared" si="67"/>
        <v>2.0203251177515922</v>
      </c>
    </row>
    <row r="456" spans="1:20">
      <c r="A456">
        <v>403</v>
      </c>
      <c r="B456">
        <v>0.32588263760968517</v>
      </c>
      <c r="C456" s="1">
        <f t="shared" si="61"/>
        <v>69.426598133286987</v>
      </c>
      <c r="D456" s="1">
        <f t="shared" si="70"/>
        <v>223.30678054096387</v>
      </c>
      <c r="E456" s="1">
        <f t="shared" si="68"/>
        <v>267.72345923570975</v>
      </c>
      <c r="F456" s="1">
        <f t="shared" si="62"/>
        <v>14.326055635199348</v>
      </c>
      <c r="G456" s="1">
        <f t="shared" si="69"/>
        <v>10.683666820049396</v>
      </c>
      <c r="H456" s="1">
        <f t="shared" si="63"/>
        <v>4.1792876736683651</v>
      </c>
      <c r="I456" s="1">
        <f t="shared" si="64"/>
        <v>107.85877798245036</v>
      </c>
      <c r="K456" s="112">
        <f>C456/'CGE-Flood Weighted Av Calcs'!$D$3</f>
        <v>1.1702627598957916E-2</v>
      </c>
      <c r="L456" s="112">
        <f>D456/'CGE-Flood Weighted Av Calcs'!$D$4</f>
        <v>1.1470594468215269E-2</v>
      </c>
      <c r="M456" s="112">
        <f>E456/'CGE-Flood Weighted Av Calcs'!$D$5</f>
        <v>1.1468861158008868E-2</v>
      </c>
      <c r="N456" s="112">
        <f>F456/'CGE-Flood Weighted Av Calcs'!$D$6</f>
        <v>3.9599328427022068E-3</v>
      </c>
      <c r="O456" s="112">
        <f>G456/'CGE-Flood Weighted Av Calcs'!$D$7</f>
        <v>1.7635924693457133E-2</v>
      </c>
      <c r="P456" s="112">
        <f>H456/'CGE-Flood Weighted Av Calcs'!$D$8</f>
        <v>4.2232517241164176E-2</v>
      </c>
      <c r="R456" s="1">
        <f t="shared" si="65"/>
        <v>0.18725482288619855</v>
      </c>
      <c r="S456" s="1">
        <f t="shared" si="66"/>
        <v>0.21721559454799033</v>
      </c>
      <c r="T456" s="1">
        <f t="shared" si="67"/>
        <v>5.2431350408135602</v>
      </c>
    </row>
    <row r="457" spans="1:20">
      <c r="A457">
        <v>404</v>
      </c>
      <c r="B457">
        <v>0.40669844074878381</v>
      </c>
      <c r="C457" s="1">
        <f t="shared" si="61"/>
        <v>61.103468363328034</v>
      </c>
      <c r="D457" s="1">
        <f t="shared" si="70"/>
        <v>196.53589786879297</v>
      </c>
      <c r="E457" s="1">
        <f t="shared" si="68"/>
        <v>235.62773290610932</v>
      </c>
      <c r="F457" s="1">
        <f t="shared" si="62"/>
        <v>12.608592539650573</v>
      </c>
      <c r="G457" s="1">
        <f t="shared" si="69"/>
        <v>9.4028674181895795</v>
      </c>
      <c r="H457" s="1">
        <f t="shared" si="63"/>
        <v>3.6782584631178068</v>
      </c>
      <c r="I457" s="1">
        <f t="shared" si="64"/>
        <v>94.92824948019458</v>
      </c>
      <c r="K457" s="112">
        <f>C457/'CGE-Flood Weighted Av Calcs'!$D$3</f>
        <v>1.0299671228135396E-2</v>
      </c>
      <c r="L457" s="112">
        <f>D457/'CGE-Flood Weighted Av Calcs'!$D$4</f>
        <v>1.0095455128761524E-2</v>
      </c>
      <c r="M457" s="112">
        <f>E457/'CGE-Flood Weighted Av Calcs'!$D$5</f>
        <v>1.0093929614503179E-2</v>
      </c>
      <c r="N457" s="112">
        <f>F457/'CGE-Flood Weighted Av Calcs'!$D$6</f>
        <v>3.4852007397860119E-3</v>
      </c>
      <c r="O457" s="112">
        <f>G457/'CGE-Flood Weighted Av Calcs'!$D$7</f>
        <v>1.5521661661944866E-2</v>
      </c>
      <c r="P457" s="112">
        <f>H457/'CGE-Flood Weighted Av Calcs'!$D$8</f>
        <v>3.7169519327376055E-2</v>
      </c>
      <c r="R457" s="1">
        <f t="shared" si="65"/>
        <v>0.16480598868089338</v>
      </c>
      <c r="S457" s="1">
        <f t="shared" si="66"/>
        <v>0.19117494686983633</v>
      </c>
      <c r="T457" s="1">
        <f t="shared" si="67"/>
        <v>4.6145676830650153</v>
      </c>
    </row>
    <row r="458" spans="1:20">
      <c r="A458">
        <v>405</v>
      </c>
      <c r="B458">
        <v>0.95015323525625561</v>
      </c>
      <c r="C458" s="1">
        <f t="shared" si="61"/>
        <v>5.1336629156640896</v>
      </c>
      <c r="D458" s="1">
        <f t="shared" si="70"/>
        <v>16.512140431807268</v>
      </c>
      <c r="E458" s="1">
        <f t="shared" si="68"/>
        <v>19.796476153030767</v>
      </c>
      <c r="F458" s="1">
        <f t="shared" si="62"/>
        <v>1.0593222557292705</v>
      </c>
      <c r="G458" s="1">
        <f t="shared" si="69"/>
        <v>0.78999037302825847</v>
      </c>
      <c r="H458" s="1">
        <f t="shared" si="63"/>
        <v>0.30903219689683326</v>
      </c>
      <c r="I458" s="1">
        <f t="shared" si="64"/>
        <v>7.9754823589990735</v>
      </c>
      <c r="K458" s="112">
        <f>C458/'CGE-Flood Weighted Av Calcs'!$D$3</f>
        <v>8.6533615265520128E-4</v>
      </c>
      <c r="L458" s="112">
        <f>D458/'CGE-Flood Weighted Av Calcs'!$D$4</f>
        <v>8.4817875317824243E-4</v>
      </c>
      <c r="M458" s="112">
        <f>E458/'CGE-Flood Weighted Av Calcs'!$D$5</f>
        <v>8.480505857241655E-4</v>
      </c>
      <c r="N458" s="112">
        <f>F458/'CGE-Flood Weighted Av Calcs'!$D$6</f>
        <v>2.9281227843070242E-4</v>
      </c>
      <c r="O458" s="112">
        <f>G458/'CGE-Flood Weighted Av Calcs'!$D$7</f>
        <v>1.3040663811358037E-3</v>
      </c>
      <c r="P458" s="112">
        <f>H458/'CGE-Flood Weighted Av Calcs'!$D$8</f>
        <v>3.1228306358879261E-3</v>
      </c>
      <c r="R458" s="1">
        <f t="shared" si="65"/>
        <v>1.3846323539928984E-2</v>
      </c>
      <c r="S458" s="1">
        <f t="shared" si="66"/>
        <v>1.6061735306317659E-2</v>
      </c>
      <c r="T458" s="1">
        <f t="shared" si="67"/>
        <v>0.38769705911801289</v>
      </c>
    </row>
    <row r="459" spans="1:20">
      <c r="A459">
        <v>406</v>
      </c>
      <c r="B459">
        <v>0.33432135281174602</v>
      </c>
      <c r="C459" s="1">
        <f t="shared" si="61"/>
        <v>68.55750423097696</v>
      </c>
      <c r="D459" s="1">
        <f t="shared" si="70"/>
        <v>220.51138847897568</v>
      </c>
      <c r="E459" s="1">
        <f t="shared" si="68"/>
        <v>264.37205167458455</v>
      </c>
      <c r="F459" s="1">
        <f t="shared" si="62"/>
        <v>14.146719646810535</v>
      </c>
      <c r="G459" s="1">
        <f t="shared" si="69"/>
        <v>10.549926871135421</v>
      </c>
      <c r="H459" s="1">
        <f t="shared" si="63"/>
        <v>4.1269706434401021</v>
      </c>
      <c r="I459" s="1">
        <f t="shared" si="64"/>
        <v>106.50858355012063</v>
      </c>
      <c r="K459" s="112">
        <f>C459/'CGE-Flood Weighted Av Calcs'!$D$3</f>
        <v>1.1556132126606909E-2</v>
      </c>
      <c r="L459" s="112">
        <f>D459/'CGE-Flood Weighted Av Calcs'!$D$4</f>
        <v>1.1327003625854561E-2</v>
      </c>
      <c r="M459" s="112">
        <f>E459/'CGE-Flood Weighted Av Calcs'!$D$5</f>
        <v>1.13252920135186E-2</v>
      </c>
      <c r="N459" s="112">
        <f>F459/'CGE-Flood Weighted Av Calcs'!$D$6</f>
        <v>3.9103617333624907E-3</v>
      </c>
      <c r="O459" s="112">
        <f>G459/'CGE-Flood Weighted Av Calcs'!$D$7</f>
        <v>1.7415155204172108E-2</v>
      </c>
      <c r="P459" s="112">
        <f>H459/'CGE-Flood Weighted Av Calcs'!$D$8</f>
        <v>4.1703843444659938E-2</v>
      </c>
      <c r="R459" s="1">
        <f t="shared" si="65"/>
        <v>0.18491073533007055</v>
      </c>
      <c r="S459" s="1">
        <f t="shared" si="66"/>
        <v>0.21449645298288184</v>
      </c>
      <c r="T459" s="1">
        <f t="shared" si="67"/>
        <v>5.1775005892419754</v>
      </c>
    </row>
    <row r="460" spans="1:20">
      <c r="A460">
        <v>407</v>
      </c>
      <c r="B460">
        <v>0.59736959646853172</v>
      </c>
      <c r="C460" s="1">
        <f t="shared" si="61"/>
        <v>41.466457892590888</v>
      </c>
      <c r="D460" s="1">
        <f t="shared" si="70"/>
        <v>133.37454896831935</v>
      </c>
      <c r="E460" s="1">
        <f t="shared" si="68"/>
        <v>159.90332016474866</v>
      </c>
      <c r="F460" s="1">
        <f t="shared" si="62"/>
        <v>8.5565301878025757</v>
      </c>
      <c r="G460" s="1">
        <f t="shared" si="69"/>
        <v>6.3810388560525348</v>
      </c>
      <c r="H460" s="1">
        <f t="shared" si="63"/>
        <v>2.4961651730146284</v>
      </c>
      <c r="I460" s="1">
        <f t="shared" si="64"/>
        <v>64.420864565034904</v>
      </c>
      <c r="K460" s="112">
        <f>C460/'CGE-Flood Weighted Av Calcs'!$D$3</f>
        <v>6.9896340539865303E-3</v>
      </c>
      <c r="L460" s="112">
        <f>D460/'CGE-Flood Weighted Av Calcs'!$D$4</f>
        <v>6.8510475136068028E-3</v>
      </c>
      <c r="M460" s="112">
        <f>E460/'CGE-Flood Weighted Av Calcs'!$D$5</f>
        <v>6.8500122585803272E-3</v>
      </c>
      <c r="N460" s="112">
        <f>F460/'CGE-Flood Weighted Av Calcs'!$D$6</f>
        <v>2.3651510068829085E-3</v>
      </c>
      <c r="O460" s="112">
        <f>G460/'CGE-Flood Weighted Av Calcs'!$D$7</f>
        <v>1.0533417283303679E-2</v>
      </c>
      <c r="P460" s="112">
        <f>H460/'CGE-Flood Weighted Av Calcs'!$D$8</f>
        <v>2.5224236027189328E-2</v>
      </c>
      <c r="R460" s="1">
        <f t="shared" si="65"/>
        <v>0.11184177875874118</v>
      </c>
      <c r="S460" s="1">
        <f t="shared" si="66"/>
        <v>0.12973646336013978</v>
      </c>
      <c r="T460" s="1">
        <f t="shared" si="67"/>
        <v>3.1315698052447538</v>
      </c>
    </row>
    <row r="461" spans="1:20">
      <c r="A461">
        <v>408</v>
      </c>
      <c r="B461">
        <v>0.46228927560333044</v>
      </c>
      <c r="C461" s="1">
        <f t="shared" si="61"/>
        <v>55.378230049252558</v>
      </c>
      <c r="D461" s="1">
        <f t="shared" si="70"/>
        <v>178.12098816384815</v>
      </c>
      <c r="E461" s="1">
        <f t="shared" si="68"/>
        <v>213.55001849108876</v>
      </c>
      <c r="F461" s="1">
        <f t="shared" si="62"/>
        <v>11.427199747586126</v>
      </c>
      <c r="G461" s="1">
        <f t="shared" si="69"/>
        <v>8.5218428504074364</v>
      </c>
      <c r="H461" s="1">
        <f t="shared" si="63"/>
        <v>3.3336150763153447</v>
      </c>
      <c r="I461" s="1">
        <f t="shared" si="64"/>
        <v>86.033715903467112</v>
      </c>
      <c r="K461" s="112">
        <f>C461/'CGE-Flood Weighted Av Calcs'!$D$3</f>
        <v>9.3346184427996939E-3</v>
      </c>
      <c r="L461" s="112">
        <f>D461/'CGE-Flood Weighted Av Calcs'!$D$4</f>
        <v>9.1495368683194717E-3</v>
      </c>
      <c r="M461" s="112">
        <f>E461/'CGE-Flood Weighted Av Calcs'!$D$5</f>
        <v>9.148154290835658E-3</v>
      </c>
      <c r="N461" s="112">
        <f>F461/'CGE-Flood Weighted Av Calcs'!$D$6</f>
        <v>3.1586463666525475E-3</v>
      </c>
      <c r="O461" s="112">
        <f>G461/'CGE-Flood Weighted Av Calcs'!$D$7</f>
        <v>1.4067321762339156E-2</v>
      </c>
      <c r="P461" s="112">
        <f>H461/'CGE-Flood Weighted Av Calcs'!$D$8</f>
        <v>3.3686830670432655E-2</v>
      </c>
      <c r="R461" s="1">
        <f t="shared" si="65"/>
        <v>0.14936409011018598</v>
      </c>
      <c r="S461" s="1">
        <f t="shared" si="66"/>
        <v>0.17326234452781575</v>
      </c>
      <c r="T461" s="1">
        <f t="shared" si="67"/>
        <v>4.182194523085208</v>
      </c>
    </row>
    <row r="462" spans="1:20">
      <c r="A462">
        <v>409</v>
      </c>
      <c r="B462">
        <v>0.23601483872958229</v>
      </c>
      <c r="C462" s="1">
        <f t="shared" si="61"/>
        <v>78.68198288683891</v>
      </c>
      <c r="D462" s="1">
        <f t="shared" si="70"/>
        <v>253.07620937018186</v>
      </c>
      <c r="E462" s="1">
        <f t="shared" si="68"/>
        <v>303.41415544440582</v>
      </c>
      <c r="F462" s="1">
        <f t="shared" si="62"/>
        <v>16.23588789646044</v>
      </c>
      <c r="G462" s="1">
        <f t="shared" si="69"/>
        <v>12.10792567266491</v>
      </c>
      <c r="H462" s="1">
        <f t="shared" si="63"/>
        <v>4.736436035472253</v>
      </c>
      <c r="I462" s="1">
        <f t="shared" si="64"/>
        <v>122.23762580326684</v>
      </c>
      <c r="K462" s="112">
        <f>C462/'CGE-Flood Weighted Av Calcs'!$D$3</f>
        <v>1.3262725946970737E-2</v>
      </c>
      <c r="L462" s="112">
        <f>D462/'CGE-Flood Weighted Av Calcs'!$D$4</f>
        <v>1.29997600619475E-2</v>
      </c>
      <c r="M462" s="112">
        <f>E462/'CGE-Flood Weighted Av Calcs'!$D$5</f>
        <v>1.2997795681037812E-2</v>
      </c>
      <c r="N462" s="112">
        <f>F462/'CGE-Flood Weighted Av Calcs'!$D$6</f>
        <v>4.4878386171875494E-3</v>
      </c>
      <c r="O462" s="112">
        <f>G462/'CGE-Flood Weighted Av Calcs'!$D$7</f>
        <v>1.9987001556091899E-2</v>
      </c>
      <c r="P462" s="112">
        <f>H462/'CGE-Flood Weighted Av Calcs'!$D$8</f>
        <v>4.7862610126135609E-2</v>
      </c>
      <c r="R462" s="1">
        <f t="shared" si="65"/>
        <v>0.21221810035289382</v>
      </c>
      <c r="S462" s="1">
        <f t="shared" si="66"/>
        <v>0.2461729964093568</v>
      </c>
      <c r="T462" s="1">
        <f t="shared" si="67"/>
        <v>5.942106809881027</v>
      </c>
    </row>
    <row r="463" spans="1:20">
      <c r="A463">
        <v>410</v>
      </c>
      <c r="B463">
        <v>0.438423670629565</v>
      </c>
      <c r="C463" s="1">
        <f t="shared" si="61"/>
        <v>57.836122188161802</v>
      </c>
      <c r="D463" s="1">
        <f t="shared" si="70"/>
        <v>186.02666113666243</v>
      </c>
      <c r="E463" s="1">
        <f t="shared" si="68"/>
        <v>223.02816380642926</v>
      </c>
      <c r="F463" s="1">
        <f t="shared" si="62"/>
        <v>11.93438143982074</v>
      </c>
      <c r="G463" s="1">
        <f t="shared" si="69"/>
        <v>8.9000739808066491</v>
      </c>
      <c r="H463" s="1">
        <f t="shared" si="63"/>
        <v>3.4815733314444364</v>
      </c>
      <c r="I463" s="1">
        <f t="shared" si="64"/>
        <v>89.852212699269586</v>
      </c>
      <c r="K463" s="112">
        <f>C463/'CGE-Flood Weighted Av Calcs'!$D$3</f>
        <v>9.7489235816578534E-3</v>
      </c>
      <c r="L463" s="112">
        <f>D463/'CGE-Flood Weighted Av Calcs'!$D$4</f>
        <v>9.555627397455229E-3</v>
      </c>
      <c r="M463" s="112">
        <f>E463/'CGE-Flood Weighted Av Calcs'!$D$5</f>
        <v>9.5541834560324487E-3</v>
      </c>
      <c r="N463" s="112">
        <f>F463/'CGE-Flood Weighted Av Calcs'!$D$6</f>
        <v>3.2988388586712466E-3</v>
      </c>
      <c r="O463" s="112">
        <f>G463/'CGE-Flood Weighted Av Calcs'!$D$7</f>
        <v>1.4691681904301243E-2</v>
      </c>
      <c r="P463" s="112">
        <f>H463/'CGE-Flood Weighted Av Calcs'!$D$8</f>
        <v>3.5181977702325576E-2</v>
      </c>
      <c r="R463" s="1">
        <f t="shared" si="65"/>
        <v>0.15599342482512082</v>
      </c>
      <c r="S463" s="1">
        <f t="shared" si="66"/>
        <v>0.18095237279714016</v>
      </c>
      <c r="T463" s="1">
        <f t="shared" si="67"/>
        <v>4.3678158951033836</v>
      </c>
    </row>
    <row r="464" spans="1:20">
      <c r="A464">
        <v>411</v>
      </c>
      <c r="B464">
        <v>0.64985418751431268</v>
      </c>
      <c r="C464" s="1">
        <f t="shared" si="61"/>
        <v>36.061128176998182</v>
      </c>
      <c r="D464" s="1">
        <f t="shared" si="70"/>
        <v>115.98860742709488</v>
      </c>
      <c r="E464" s="1">
        <f t="shared" si="68"/>
        <v>139.05924010497375</v>
      </c>
      <c r="F464" s="1">
        <f t="shared" si="62"/>
        <v>7.4411499687759761</v>
      </c>
      <c r="G464" s="1">
        <f t="shared" si="69"/>
        <v>5.5492432145170341</v>
      </c>
      <c r="H464" s="1">
        <f t="shared" si="63"/>
        <v>2.1707793920619127</v>
      </c>
      <c r="I464" s="1">
        <f t="shared" si="64"/>
        <v>56.023329997709951</v>
      </c>
      <c r="K464" s="112">
        <f>C464/'CGE-Flood Weighted Av Calcs'!$D$3</f>
        <v>6.0785054316432469E-3</v>
      </c>
      <c r="L464" s="112">
        <f>D464/'CGE-Flood Weighted Av Calcs'!$D$4</f>
        <v>5.9579842381237719E-3</v>
      </c>
      <c r="M464" s="112">
        <f>E464/'CGE-Flood Weighted Av Calcs'!$D$5</f>
        <v>5.9570839330072298E-3</v>
      </c>
      <c r="N464" s="112">
        <f>F464/'CGE-Flood Weighted Av Calcs'!$D$6</f>
        <v>2.0568434814973733E-3</v>
      </c>
      <c r="O464" s="112">
        <f>G464/'CGE-Flood Weighted Av Calcs'!$D$7</f>
        <v>9.1603413963865926E-3</v>
      </c>
      <c r="P464" s="112">
        <f>H464/'CGE-Flood Weighted Av Calcs'!$D$8</f>
        <v>2.1936149234146596E-2</v>
      </c>
      <c r="R464" s="1">
        <f t="shared" si="65"/>
        <v>9.7262725690468677E-2</v>
      </c>
      <c r="S464" s="1">
        <f t="shared" si="66"/>
        <v>0.1128247618009437</v>
      </c>
      <c r="T464" s="1">
        <f t="shared" si="67"/>
        <v>2.7233563193331243</v>
      </c>
    </row>
    <row r="465" spans="1:20">
      <c r="A465">
        <v>412</v>
      </c>
      <c r="B465">
        <v>0.22019886818817314</v>
      </c>
      <c r="C465" s="1">
        <f t="shared" si="61"/>
        <v>80.310852119598039</v>
      </c>
      <c r="D465" s="1">
        <f t="shared" si="70"/>
        <v>258.31537640514671</v>
      </c>
      <c r="E465" s="1">
        <f t="shared" si="68"/>
        <v>309.69541532696087</v>
      </c>
      <c r="F465" s="1">
        <f t="shared" si="62"/>
        <v>16.572002179435565</v>
      </c>
      <c r="G465" s="1">
        <f t="shared" si="69"/>
        <v>12.358583153286656</v>
      </c>
      <c r="H465" s="1">
        <f t="shared" si="63"/>
        <v>4.834489422639785</v>
      </c>
      <c r="I465" s="1">
        <f t="shared" si="64"/>
        <v>124.76818108989229</v>
      </c>
      <c r="K465" s="112">
        <f>C465/'CGE-Flood Weighted Av Calcs'!$D$3</f>
        <v>1.3537290026889857E-2</v>
      </c>
      <c r="L465" s="112">
        <f>D465/'CGE-Flood Weighted Av Calcs'!$D$4</f>
        <v>1.3268880239416986E-2</v>
      </c>
      <c r="M465" s="112">
        <f>E465/'CGE-Flood Weighted Av Calcs'!$D$5</f>
        <v>1.3266875192022952E-2</v>
      </c>
      <c r="N465" s="112">
        <f>F465/'CGE-Flood Weighted Av Calcs'!$D$6</f>
        <v>4.5807455569584826E-3</v>
      </c>
      <c r="O465" s="112">
        <f>G465/'CGE-Flood Weighted Av Calcs'!$D$7</f>
        <v>2.0400771147240225E-2</v>
      </c>
      <c r="P465" s="112">
        <f>H465/'CGE-Flood Weighted Av Calcs'!$D$8</f>
        <v>4.8853458731795849E-2</v>
      </c>
      <c r="R465" s="1">
        <f t="shared" si="65"/>
        <v>0.21661142550328524</v>
      </c>
      <c r="S465" s="1">
        <f t="shared" si="66"/>
        <v>0.25126925358381086</v>
      </c>
      <c r="T465" s="1">
        <f t="shared" si="67"/>
        <v>6.0651199140919871</v>
      </c>
    </row>
    <row r="466" spans="1:20">
      <c r="A466">
        <v>413</v>
      </c>
      <c r="B466">
        <v>0.14659858069750498</v>
      </c>
      <c r="C466" s="1">
        <f t="shared" si="61"/>
        <v>87.890863950164743</v>
      </c>
      <c r="D466" s="1">
        <f t="shared" si="70"/>
        <v>282.69606167358864</v>
      </c>
      <c r="E466" s="1">
        <f t="shared" si="68"/>
        <v>338.92552371324433</v>
      </c>
      <c r="F466" s="1">
        <f t="shared" si="62"/>
        <v>18.136124203557944</v>
      </c>
      <c r="G466" s="1">
        <f t="shared" si="69"/>
        <v>13.525028335208653</v>
      </c>
      <c r="H466" s="1">
        <f t="shared" si="63"/>
        <v>5.2907850047584644</v>
      </c>
      <c r="I466" s="1">
        <f t="shared" si="64"/>
        <v>136.5442270883992</v>
      </c>
      <c r="K466" s="112">
        <f>C466/'CGE-Flood Weighted Av Calcs'!$D$3</f>
        <v>1.4814985579227264E-2</v>
      </c>
      <c r="L466" s="112">
        <f>D466/'CGE-Flood Weighted Av Calcs'!$D$4</f>
        <v>1.4521242361579175E-2</v>
      </c>
      <c r="M466" s="112">
        <f>E466/'CGE-Flood Weighted Av Calcs'!$D$5</f>
        <v>1.4519048070981186E-2</v>
      </c>
      <c r="N466" s="112">
        <f>F466/'CGE-Flood Weighted Av Calcs'!$D$6</f>
        <v>5.0130919285653157E-3</v>
      </c>
      <c r="O466" s="112">
        <f>G466/'CGE-Flood Weighted Av Calcs'!$D$7</f>
        <v>2.2326265430609046E-2</v>
      </c>
      <c r="P466" s="112">
        <f>H466/'CGE-Flood Weighted Av Calcs'!$D$8</f>
        <v>5.3464414603608214E-2</v>
      </c>
      <c r="R466" s="1">
        <f t="shared" si="65"/>
        <v>0.23705594980624861</v>
      </c>
      <c r="S466" s="1">
        <f t="shared" si="66"/>
        <v>0.27498490177524837</v>
      </c>
      <c r="T466" s="1">
        <f t="shared" si="67"/>
        <v>6.6375665945749613</v>
      </c>
    </row>
    <row r="467" spans="1:20">
      <c r="A467">
        <v>414</v>
      </c>
      <c r="B467">
        <v>0.48987847892019176</v>
      </c>
      <c r="C467" s="1">
        <f t="shared" si="61"/>
        <v>52.536848654319364</v>
      </c>
      <c r="D467" s="1">
        <f t="shared" si="70"/>
        <v>168.98184338862242</v>
      </c>
      <c r="E467" s="1">
        <f t="shared" si="68"/>
        <v>202.59305852886968</v>
      </c>
      <c r="F467" s="1">
        <f t="shared" si="62"/>
        <v>10.840885726171951</v>
      </c>
      <c r="G467" s="1">
        <f t="shared" si="69"/>
        <v>8.0845987257007295</v>
      </c>
      <c r="H467" s="1">
        <f t="shared" si="63"/>
        <v>3.1625718369903084</v>
      </c>
      <c r="I467" s="1">
        <f t="shared" si="64"/>
        <v>81.619443372769297</v>
      </c>
      <c r="K467" s="112">
        <f>C467/'CGE-Flood Weighted Av Calcs'!$D$3</f>
        <v>8.8556719118509444E-3</v>
      </c>
      <c r="L467" s="112">
        <f>D467/'CGE-Flood Weighted Av Calcs'!$D$4</f>
        <v>8.6800866203289393E-3</v>
      </c>
      <c r="M467" s="112">
        <f>E467/'CGE-Flood Weighted Av Calcs'!$D$5</f>
        <v>8.6787749810086651E-3</v>
      </c>
      <c r="N467" s="112">
        <f>F467/'CGE-Flood Weighted Av Calcs'!$D$6</f>
        <v>2.9965805329955717E-3</v>
      </c>
      <c r="O467" s="112">
        <f>G467/'CGE-Flood Weighted Av Calcs'!$D$7</f>
        <v>1.3345546684000611E-2</v>
      </c>
      <c r="P467" s="112">
        <f>H467/'CGE-Flood Weighted Av Calcs'!$D$8</f>
        <v>3.1958405369802732E-2</v>
      </c>
      <c r="R467" s="1">
        <f t="shared" si="65"/>
        <v>0.14170042252216894</v>
      </c>
      <c r="S467" s="1">
        <f t="shared" si="66"/>
        <v>0.16437249012571598</v>
      </c>
      <c r="T467" s="1">
        <f t="shared" si="67"/>
        <v>3.9676118306207311</v>
      </c>
    </row>
    <row r="468" spans="1:20">
      <c r="A468">
        <v>415</v>
      </c>
      <c r="B468">
        <v>0.58023869983083864</v>
      </c>
      <c r="C468" s="1">
        <f t="shared" si="61"/>
        <v>43.230749902977301</v>
      </c>
      <c r="D468" s="1">
        <f t="shared" si="70"/>
        <v>139.04929581414871</v>
      </c>
      <c r="E468" s="1">
        <f t="shared" si="68"/>
        <v>166.70679855520299</v>
      </c>
      <c r="F468" s="1">
        <f t="shared" si="62"/>
        <v>8.9205887212339441</v>
      </c>
      <c r="G468" s="1">
        <f t="shared" si="69"/>
        <v>6.6525357825771003</v>
      </c>
      <c r="H468" s="1">
        <f t="shared" si="63"/>
        <v>2.6023706338900654</v>
      </c>
      <c r="I468" s="1">
        <f t="shared" si="64"/>
        <v>67.161808027065803</v>
      </c>
      <c r="K468" s="112">
        <f>C468/'CGE-Flood Weighted Av Calcs'!$D$3</f>
        <v>7.2870251537741166E-3</v>
      </c>
      <c r="L468" s="112">
        <f>D468/'CGE-Flood Weighted Av Calcs'!$D$4</f>
        <v>7.1425421096087882E-3</v>
      </c>
      <c r="M468" s="112">
        <f>E468/'CGE-Flood Weighted Av Calcs'!$D$5</f>
        <v>7.1414628071216736E-3</v>
      </c>
      <c r="N468" s="112">
        <f>F468/'CGE-Flood Weighted Av Calcs'!$D$6</f>
        <v>2.4657821491813319E-3</v>
      </c>
      <c r="O468" s="112">
        <f>G468/'CGE-Flood Weighted Av Calcs'!$D$7</f>
        <v>1.0981587319990592E-2</v>
      </c>
      <c r="P468" s="112">
        <f>H468/'CGE-Flood Weighted Av Calcs'!$D$8</f>
        <v>2.6297462927980939E-2</v>
      </c>
      <c r="R468" s="1">
        <f t="shared" si="65"/>
        <v>0.11660036115810035</v>
      </c>
      <c r="S468" s="1">
        <f t="shared" si="66"/>
        <v>0.13525641894339643</v>
      </c>
      <c r="T468" s="1">
        <f t="shared" si="67"/>
        <v>3.2648101124268107</v>
      </c>
    </row>
    <row r="469" spans="1:20">
      <c r="A469">
        <v>416</v>
      </c>
      <c r="B469">
        <v>0.25125969317098718</v>
      </c>
      <c r="C469" s="1">
        <f t="shared" si="61"/>
        <v>77.11193226664578</v>
      </c>
      <c r="D469" s="1">
        <f t="shared" si="70"/>
        <v>248.02622912185433</v>
      </c>
      <c r="E469" s="1">
        <f t="shared" si="68"/>
        <v>297.35971241370601</v>
      </c>
      <c r="F469" s="1">
        <f t="shared" si="62"/>
        <v>15.911910730075533</v>
      </c>
      <c r="G469" s="1">
        <f t="shared" si="69"/>
        <v>11.866319455915642</v>
      </c>
      <c r="H469" s="1">
        <f t="shared" si="63"/>
        <v>4.6419233648181146</v>
      </c>
      <c r="I469" s="1">
        <f t="shared" si="64"/>
        <v>119.79844909264204</v>
      </c>
      <c r="K469" s="112">
        <f>C469/'CGE-Flood Weighted Av Calcs'!$D$3</f>
        <v>1.2998076400346564E-2</v>
      </c>
      <c r="L469" s="112">
        <f>D469/'CGE-Flood Weighted Av Calcs'!$D$4</f>
        <v>1.2740357837972326E-2</v>
      </c>
      <c r="M469" s="112">
        <f>E469/'CGE-Flood Weighted Av Calcs'!$D$5</f>
        <v>1.2738432655076624E-2</v>
      </c>
      <c r="N469" s="112">
        <f>F469/'CGE-Flood Weighted Av Calcs'!$D$6</f>
        <v>4.3982865552577455E-3</v>
      </c>
      <c r="O469" s="112">
        <f>G469/'CGE-Flood Weighted Av Calcs'!$D$7</f>
        <v>1.9588173221604256E-2</v>
      </c>
      <c r="P469" s="112">
        <f>H469/'CGE-Flood Weighted Av Calcs'!$D$8</f>
        <v>4.6907541151568984E-2</v>
      </c>
      <c r="R469" s="1">
        <f t="shared" si="65"/>
        <v>0.20798341856361469</v>
      </c>
      <c r="S469" s="1">
        <f t="shared" si="66"/>
        <v>0.241260765533793</v>
      </c>
      <c r="T469" s="1">
        <f t="shared" si="67"/>
        <v>5.8235357197812112</v>
      </c>
    </row>
    <row r="470" spans="1:20">
      <c r="A470">
        <v>417</v>
      </c>
      <c r="B470">
        <v>0.651471210909225</v>
      </c>
      <c r="C470" s="1">
        <f t="shared" si="61"/>
        <v>35.894592734248825</v>
      </c>
      <c r="D470" s="1">
        <f t="shared" si="70"/>
        <v>115.45295546421275</v>
      </c>
      <c r="E470" s="1">
        <f t="shared" si="68"/>
        <v>138.41704466378832</v>
      </c>
      <c r="F470" s="1">
        <f t="shared" si="62"/>
        <v>7.4067856749432348</v>
      </c>
      <c r="G470" s="1">
        <f t="shared" si="69"/>
        <v>5.5236160164128183</v>
      </c>
      <c r="H470" s="1">
        <f t="shared" si="63"/>
        <v>2.1607544226434903</v>
      </c>
      <c r="I470" s="1">
        <f t="shared" si="64"/>
        <v>55.764606254523983</v>
      </c>
      <c r="K470" s="112">
        <f>C470/'CGE-Flood Weighted Av Calcs'!$D$3</f>
        <v>6.0504340249932804E-3</v>
      </c>
      <c r="L470" s="112">
        <f>D470/'CGE-Flood Weighted Av Calcs'!$D$4</f>
        <v>5.9304694155669297E-3</v>
      </c>
      <c r="M470" s="112">
        <f>E470/'CGE-Flood Weighted Av Calcs'!$D$5</f>
        <v>5.9295732681880608E-3</v>
      </c>
      <c r="N470" s="112">
        <f>F470/'CGE-Flood Weighted Av Calcs'!$D$6</f>
        <v>2.0473446843944088E-3</v>
      </c>
      <c r="O470" s="112">
        <f>G470/'CGE-Flood Weighted Av Calcs'!$D$7</f>
        <v>9.1180376308833393E-3</v>
      </c>
      <c r="P470" s="112">
        <f>H470/'CGE-Flood Weighted Av Calcs'!$D$8</f>
        <v>2.1834844962494472E-2</v>
      </c>
      <c r="R470" s="1">
        <f t="shared" si="65"/>
        <v>9.6813552525215257E-2</v>
      </c>
      <c r="S470" s="1">
        <f t="shared" si="66"/>
        <v>0.11230372092924973</v>
      </c>
      <c r="T470" s="1">
        <f t="shared" si="67"/>
        <v>2.7107794707060284</v>
      </c>
    </row>
    <row r="471" spans="1:20">
      <c r="A471">
        <v>418</v>
      </c>
      <c r="B471">
        <v>0.88730054759822174</v>
      </c>
      <c r="C471" s="1">
        <f t="shared" si="61"/>
        <v>11.606791381245372</v>
      </c>
      <c r="D471" s="1">
        <f t="shared" si="70"/>
        <v>37.332597094568314</v>
      </c>
      <c r="E471" s="1">
        <f t="shared" si="68"/>
        <v>44.758211157754602</v>
      </c>
      <c r="F471" s="1">
        <f t="shared" si="62"/>
        <v>2.3950408567426216</v>
      </c>
      <c r="G471" s="1">
        <f t="shared" si="69"/>
        <v>1.786103529500064</v>
      </c>
      <c r="H471" s="1">
        <f t="shared" si="63"/>
        <v>0.69869648599736678</v>
      </c>
      <c r="I471" s="1">
        <f t="shared" si="64"/>
        <v>18.031912384284496</v>
      </c>
      <c r="K471" s="112">
        <f>C471/'CGE-Flood Weighted Av Calcs'!$D$3</f>
        <v>1.9564541660638344E-3</v>
      </c>
      <c r="L471" s="112">
        <f>D471/'CGE-Flood Weighted Av Calcs'!$D$4</f>
        <v>1.9176626911179254E-3</v>
      </c>
      <c r="M471" s="112">
        <f>E471/'CGE-Flood Weighted Av Calcs'!$D$5</f>
        <v>1.9173729150017721E-3</v>
      </c>
      <c r="N471" s="112">
        <f>F471/'CGE-Flood Weighted Av Calcs'!$D$6</f>
        <v>6.6202457883284395E-4</v>
      </c>
      <c r="O471" s="112">
        <f>G471/'CGE-Flood Weighted Av Calcs'!$D$7</f>
        <v>2.9483872785949984E-3</v>
      </c>
      <c r="P471" s="112">
        <f>H471/'CGE-Flood Weighted Av Calcs'!$D$8</f>
        <v>7.060464293266574E-3</v>
      </c>
      <c r="R471" s="1">
        <f t="shared" si="65"/>
        <v>3.1305403444938401E-2</v>
      </c>
      <c r="S471" s="1">
        <f t="shared" si="66"/>
        <v>3.6314267996128524E-2</v>
      </c>
      <c r="T471" s="1">
        <f t="shared" si="67"/>
        <v>0.87655129645827579</v>
      </c>
    </row>
    <row r="472" spans="1:20">
      <c r="A472">
        <v>419</v>
      </c>
      <c r="B472">
        <v>0.15692790710974835</v>
      </c>
      <c r="C472" s="1">
        <f t="shared" si="61"/>
        <v>86.827058099997146</v>
      </c>
      <c r="D472" s="1">
        <f t="shared" si="70"/>
        <v>279.27438949161734</v>
      </c>
      <c r="E472" s="1">
        <f t="shared" si="68"/>
        <v>334.82326622375484</v>
      </c>
      <c r="F472" s="1">
        <f t="shared" si="62"/>
        <v>17.916609749381561</v>
      </c>
      <c r="G472" s="1">
        <f t="shared" si="69"/>
        <v>13.361325265059795</v>
      </c>
      <c r="H472" s="1">
        <f t="shared" si="63"/>
        <v>5.2267468580492409</v>
      </c>
      <c r="I472" s="1">
        <f t="shared" si="64"/>
        <v>134.89153486244027</v>
      </c>
      <c r="K472" s="112">
        <f>C472/'CGE-Flood Weighted Av Calcs'!$D$3</f>
        <v>1.4635669235969258E-2</v>
      </c>
      <c r="L472" s="112">
        <f>D472/'CGE-Flood Weighted Av Calcs'!$D$4</f>
        <v>1.4345481402115759E-2</v>
      </c>
      <c r="M472" s="112">
        <f>E472/'CGE-Flood Weighted Av Calcs'!$D$5</f>
        <v>1.4343313670582844E-2</v>
      </c>
      <c r="N472" s="112">
        <f>F472/'CGE-Flood Weighted Av Calcs'!$D$6</f>
        <v>4.9524148993343869E-3</v>
      </c>
      <c r="O472" s="112">
        <f>G472/'CGE-Flood Weighted Av Calcs'!$D$7</f>
        <v>2.2056034706845268E-2</v>
      </c>
      <c r="P472" s="112">
        <f>H472/'CGE-Flood Weighted Av Calcs'!$D$8</f>
        <v>5.2817296638499191E-2</v>
      </c>
      <c r="R472" s="1">
        <f t="shared" si="65"/>
        <v>0.23418669246951435</v>
      </c>
      <c r="S472" s="1">
        <f t="shared" si="66"/>
        <v>0.27165656326463661</v>
      </c>
      <c r="T472" s="1">
        <f t="shared" si="67"/>
        <v>6.5572273891464015</v>
      </c>
    </row>
    <row r="473" spans="1:20">
      <c r="A473">
        <v>420</v>
      </c>
      <c r="B473">
        <v>0.20862013930307011</v>
      </c>
      <c r="C473" s="1">
        <f t="shared" si="61"/>
        <v>81.503332542220477</v>
      </c>
      <c r="D473" s="1">
        <f t="shared" si="70"/>
        <v>262.15092317243489</v>
      </c>
      <c r="E473" s="1">
        <f t="shared" si="68"/>
        <v>314.29386883612506</v>
      </c>
      <c r="F473" s="1">
        <f t="shared" si="62"/>
        <v>16.818068403875621</v>
      </c>
      <c r="G473" s="1">
        <f t="shared" si="69"/>
        <v>12.542087226182048</v>
      </c>
      <c r="H473" s="1">
        <f t="shared" si="63"/>
        <v>4.9062734199168654</v>
      </c>
      <c r="I473" s="1">
        <f t="shared" si="64"/>
        <v>126.62077771150878</v>
      </c>
      <c r="K473" s="112">
        <f>C473/'CGE-Flood Weighted Av Calcs'!$D$3</f>
        <v>1.3738295904755381E-2</v>
      </c>
      <c r="L473" s="112">
        <f>D473/'CGE-Flood Weighted Av Calcs'!$D$4</f>
        <v>1.3465900685571177E-2</v>
      </c>
      <c r="M473" s="112">
        <f>E473/'CGE-Flood Weighted Av Calcs'!$D$5</f>
        <v>1.3463865866612027E-2</v>
      </c>
      <c r="N473" s="112">
        <f>F473/'CGE-Flood Weighted Av Calcs'!$D$6</f>
        <v>4.6487618866763274E-3</v>
      </c>
      <c r="O473" s="112">
        <f>G473/'CGE-Flood Weighted Av Calcs'!$D$7</f>
        <v>2.0703688119945936E-2</v>
      </c>
      <c r="P473" s="112">
        <f>H473/'CGE-Flood Weighted Av Calcs'!$D$8</f>
        <v>4.9578850027959719E-2</v>
      </c>
      <c r="R473" s="1">
        <f t="shared" si="65"/>
        <v>0.21982773908248052</v>
      </c>
      <c r="S473" s="1">
        <f t="shared" si="66"/>
        <v>0.25500017733567737</v>
      </c>
      <c r="T473" s="1">
        <f t="shared" si="67"/>
        <v>6.1551766943094552</v>
      </c>
    </row>
    <row r="474" spans="1:20">
      <c r="A474">
        <v>421</v>
      </c>
      <c r="B474">
        <v>0.58165155176726169</v>
      </c>
      <c r="C474" s="1">
        <f t="shared" si="61"/>
        <v>43.085241851880575</v>
      </c>
      <c r="D474" s="1">
        <f t="shared" si="70"/>
        <v>138.58127728368839</v>
      </c>
      <c r="E474" s="1">
        <f t="shared" si="68"/>
        <v>166.14568912691917</v>
      </c>
      <c r="F474" s="1">
        <f t="shared" si="62"/>
        <v>8.8905633924488718</v>
      </c>
      <c r="G474" s="1">
        <f t="shared" si="69"/>
        <v>6.6301443709373187</v>
      </c>
      <c r="H474" s="1">
        <f t="shared" si="63"/>
        <v>2.5936114548330624</v>
      </c>
      <c r="I474" s="1">
        <f t="shared" si="64"/>
        <v>66.935751717238119</v>
      </c>
      <c r="K474" s="112">
        <f>C474/'CGE-Flood Weighted Av Calcs'!$D$3</f>
        <v>7.2624981485568075E-3</v>
      </c>
      <c r="L474" s="112">
        <f>D474/'CGE-Flood Weighted Av Calcs'!$D$4</f>
        <v>7.1185014120826538E-3</v>
      </c>
      <c r="M474" s="112">
        <f>E474/'CGE-Flood Weighted Av Calcs'!$D$5</f>
        <v>7.1174257423616098E-3</v>
      </c>
      <c r="N474" s="112">
        <f>F474/'CGE-Flood Weighted Av Calcs'!$D$6</f>
        <v>2.4574827059433198E-3</v>
      </c>
      <c r="O474" s="112">
        <f>G474/'CGE-Flood Weighted Av Calcs'!$D$7</f>
        <v>1.0944624987103318E-2</v>
      </c>
      <c r="P474" s="112">
        <f>H474/'CGE-Flood Weighted Av Calcs'!$D$8</f>
        <v>2.6208949714862345E-2</v>
      </c>
      <c r="R474" s="1">
        <f t="shared" si="65"/>
        <v>0.11620790228687175</v>
      </c>
      <c r="S474" s="1">
        <f t="shared" si="66"/>
        <v>0.13480116665277123</v>
      </c>
      <c r="T474" s="1">
        <f t="shared" si="67"/>
        <v>3.2538212640324096</v>
      </c>
    </row>
    <row r="475" spans="1:20">
      <c r="A475">
        <v>422</v>
      </c>
      <c r="B475">
        <v>0.85320253848462657</v>
      </c>
      <c r="C475" s="1">
        <f t="shared" si="61"/>
        <v>15.118507453177756</v>
      </c>
      <c r="D475" s="1">
        <f t="shared" si="70"/>
        <v>48.627835969612562</v>
      </c>
      <c r="E475" s="1">
        <f t="shared" si="68"/>
        <v>58.300121605770698</v>
      </c>
      <c r="F475" s="1">
        <f t="shared" si="62"/>
        <v>3.1196772522194998</v>
      </c>
      <c r="G475" s="1">
        <f t="shared" si="69"/>
        <v>2.3265016692319005</v>
      </c>
      <c r="H475" s="1">
        <f t="shared" si="63"/>
        <v>0.91009200424922998</v>
      </c>
      <c r="I475" s="1">
        <f t="shared" si="64"/>
        <v>23.487593842459717</v>
      </c>
      <c r="K475" s="112">
        <f>C475/'CGE-Flood Weighted Av Calcs'!$D$3</f>
        <v>2.5483930846927185E-3</v>
      </c>
      <c r="L475" s="112">
        <f>D475/'CGE-Flood Weighted Av Calcs'!$D$4</f>
        <v>2.4978649771541313E-3</v>
      </c>
      <c r="M475" s="112">
        <f>E475/'CGE-Flood Weighted Av Calcs'!$D$5</f>
        <v>2.4974875272433077E-3</v>
      </c>
      <c r="N475" s="112">
        <f>F475/'CGE-Flood Weighted Av Calcs'!$D$6</f>
        <v>8.6232475457806435E-4</v>
      </c>
      <c r="O475" s="112">
        <f>G475/'CGE-Flood Weighted Av Calcs'!$D$7</f>
        <v>3.8404425118141613E-3</v>
      </c>
      <c r="P475" s="112">
        <f>H475/'CGE-Flood Weighted Av Calcs'!$D$8</f>
        <v>9.1966572444065735E-3</v>
      </c>
      <c r="R475" s="1">
        <f t="shared" si="65"/>
        <v>4.0777072643159273E-2</v>
      </c>
      <c r="S475" s="1">
        <f t="shared" si="66"/>
        <v>4.7301404266064773E-2</v>
      </c>
      <c r="T475" s="1">
        <f t="shared" si="67"/>
        <v>1.1417580340084603</v>
      </c>
    </row>
    <row r="476" spans="1:20">
      <c r="A476">
        <v>423</v>
      </c>
      <c r="B476">
        <v>0.29608312080097499</v>
      </c>
      <c r="C476" s="1">
        <f t="shared" si="61"/>
        <v>72.495617258841804</v>
      </c>
      <c r="D476" s="1">
        <f t="shared" si="70"/>
        <v>233.17810937995688</v>
      </c>
      <c r="E476" s="1">
        <f t="shared" si="68"/>
        <v>279.55823781980041</v>
      </c>
      <c r="F476" s="1">
        <f t="shared" si="62"/>
        <v>14.959342299393674</v>
      </c>
      <c r="G476" s="1">
        <f t="shared" si="69"/>
        <v>11.155940828619414</v>
      </c>
      <c r="H476" s="1">
        <f t="shared" si="63"/>
        <v>4.3640340698126714</v>
      </c>
      <c r="I476" s="1">
        <f t="shared" si="64"/>
        <v>112.62670067184399</v>
      </c>
      <c r="K476" s="112">
        <f>C476/'CGE-Flood Weighted Av Calcs'!$D$3</f>
        <v>1.221994500879983E-2</v>
      </c>
      <c r="L476" s="112">
        <f>D476/'CGE-Flood Weighted Av Calcs'!$D$4</f>
        <v>1.1977654798851831E-2</v>
      </c>
      <c r="M476" s="112">
        <f>E476/'CGE-Flood Weighted Av Calcs'!$D$5</f>
        <v>1.1975844867259434E-2</v>
      </c>
      <c r="N476" s="112">
        <f>F476/'CGE-Flood Weighted Av Calcs'!$D$6</f>
        <v>4.1349826068694494E-3</v>
      </c>
      <c r="O476" s="112">
        <f>G476/'CGE-Flood Weighted Av Calcs'!$D$7</f>
        <v>1.8415524899089479E-2</v>
      </c>
      <c r="P476" s="112">
        <f>H476/'CGE-Flood Weighted Av Calcs'!$D$8</f>
        <v>4.4099415614675494E-2</v>
      </c>
      <c r="R476" s="1">
        <f t="shared" si="65"/>
        <v>0.1955324664441736</v>
      </c>
      <c r="S476" s="1">
        <f t="shared" si="66"/>
        <v>0.22681766107524137</v>
      </c>
      <c r="T476" s="1">
        <f t="shared" si="67"/>
        <v>5.4749090604368611</v>
      </c>
    </row>
    <row r="477" spans="1:20">
      <c r="A477">
        <v>424</v>
      </c>
      <c r="B477">
        <v>0.9276843056395957</v>
      </c>
      <c r="C477" s="1">
        <f t="shared" si="61"/>
        <v>7.4477130114065488</v>
      </c>
      <c r="D477" s="1">
        <f t="shared" si="70"/>
        <v>23.955153495744241</v>
      </c>
      <c r="E477" s="1">
        <f t="shared" si="68"/>
        <v>28.719936514541132</v>
      </c>
      <c r="F477" s="1">
        <f t="shared" si="62"/>
        <v>1.5368223969662118</v>
      </c>
      <c r="G477" s="1">
        <f t="shared" si="69"/>
        <v>1.1460864643325266</v>
      </c>
      <c r="H477" s="1">
        <f t="shared" si="63"/>
        <v>0.44833156200213153</v>
      </c>
      <c r="I477" s="1">
        <f t="shared" si="64"/>
        <v>11.570511097664649</v>
      </c>
      <c r="K477" s="112">
        <f>C477/'CGE-Flood Weighted Av Calcs'!$D$3</f>
        <v>1.2553951105176782E-3</v>
      </c>
      <c r="L477" s="112">
        <f>D477/'CGE-Flood Weighted Av Calcs'!$D$4</f>
        <v>1.2305038409844674E-3</v>
      </c>
      <c r="M477" s="112">
        <f>E477/'CGE-Flood Weighted Av Calcs'!$D$5</f>
        <v>1.2303179007638007E-3</v>
      </c>
      <c r="N477" s="112">
        <f>F477/'CGE-Flood Weighted Av Calcs'!$D$6</f>
        <v>4.2480035245668984E-4</v>
      </c>
      <c r="O477" s="112">
        <f>G477/'CGE-Flood Weighted Av Calcs'!$D$7</f>
        <v>1.8918873938700319E-3</v>
      </c>
      <c r="P477" s="112">
        <f>H477/'CGE-Flood Weighted Av Calcs'!$D$8</f>
        <v>4.5304778949073008E-3</v>
      </c>
      <c r="R477" s="1">
        <f t="shared" si="65"/>
        <v>2.0087692877890057E-2</v>
      </c>
      <c r="S477" s="1">
        <f t="shared" si="66"/>
        <v>2.3301723738352487E-2</v>
      </c>
      <c r="T477" s="1">
        <f t="shared" si="67"/>
        <v>0.56245540058092303</v>
      </c>
    </row>
    <row r="478" spans="1:20">
      <c r="A478">
        <v>425</v>
      </c>
      <c r="B478">
        <v>0.76841574169851268</v>
      </c>
      <c r="C478" s="1">
        <f t="shared" si="61"/>
        <v>23.85060544662764</v>
      </c>
      <c r="D478" s="1">
        <f t="shared" si="70"/>
        <v>76.71414212193136</v>
      </c>
      <c r="E478" s="1">
        <f t="shared" si="68"/>
        <v>91.972914801016429</v>
      </c>
      <c r="F478" s="1">
        <f t="shared" si="62"/>
        <v>4.9215302167852144</v>
      </c>
      <c r="G478" s="1">
        <f t="shared" si="69"/>
        <v>3.6702348797074915</v>
      </c>
      <c r="H478" s="1">
        <f t="shared" si="63"/>
        <v>1.4357399618119402</v>
      </c>
      <c r="I478" s="1">
        <f t="shared" si="64"/>
        <v>37.05348132823795</v>
      </c>
      <c r="K478" s="112">
        <f>C478/'CGE-Flood Weighted Av Calcs'!$D$3</f>
        <v>4.0202856118012418E-3</v>
      </c>
      <c r="L478" s="112">
        <f>D478/'CGE-Flood Weighted Av Calcs'!$D$4</f>
        <v>3.9405736454844673E-3</v>
      </c>
      <c r="M478" s="112">
        <f>E478/'CGE-Flood Weighted Av Calcs'!$D$5</f>
        <v>3.9399781892910067E-3</v>
      </c>
      <c r="N478" s="112">
        <f>F478/'CGE-Flood Weighted Av Calcs'!$D$6</f>
        <v>1.3603834606026848E-3</v>
      </c>
      <c r="O478" s="112">
        <f>G478/'CGE-Flood Weighted Av Calcs'!$D$7</f>
        <v>6.0585927131637891E-3</v>
      </c>
      <c r="P478" s="112">
        <f>H478/'CGE-Flood Weighted Av Calcs'!$D$8</f>
        <v>1.4508432399397128E-2</v>
      </c>
      <c r="R478" s="1">
        <f t="shared" si="65"/>
        <v>6.4328960639302019E-2</v>
      </c>
      <c r="S478" s="1">
        <f t="shared" si="66"/>
        <v>7.4621594341590353E-2</v>
      </c>
      <c r="T478" s="1">
        <f t="shared" si="67"/>
        <v>1.8012108979004573</v>
      </c>
    </row>
    <row r="479" spans="1:20">
      <c r="A479">
        <v>426</v>
      </c>
      <c r="B479">
        <v>0.5277392871416795</v>
      </c>
      <c r="C479" s="1">
        <f t="shared" si="61"/>
        <v>48.637606083153038</v>
      </c>
      <c r="D479" s="1">
        <f t="shared" si="70"/>
        <v>156.44014714356405</v>
      </c>
      <c r="E479" s="1">
        <f t="shared" si="68"/>
        <v>187.55676498114821</v>
      </c>
      <c r="F479" s="1">
        <f t="shared" si="62"/>
        <v>10.036283923525311</v>
      </c>
      <c r="G479" s="1">
        <f t="shared" si="69"/>
        <v>7.4845663231204185</v>
      </c>
      <c r="H479" s="1">
        <f t="shared" si="63"/>
        <v>2.9278483037554985</v>
      </c>
      <c r="I479" s="1">
        <f t="shared" si="64"/>
        <v>75.561714057331258</v>
      </c>
      <c r="K479" s="112">
        <f>C479/'CGE-Flood Weighted Av Calcs'!$D$3</f>
        <v>8.1984110787512391E-3</v>
      </c>
      <c r="L479" s="112">
        <f>D479/'CGE-Flood Weighted Av Calcs'!$D$4</f>
        <v>8.0358575860734732E-3</v>
      </c>
      <c r="M479" s="112">
        <f>E479/'CGE-Flood Weighted Av Calcs'!$D$5</f>
        <v>8.0346432955665827E-3</v>
      </c>
      <c r="N479" s="112">
        <f>F479/'CGE-Flood Weighted Av Calcs'!$D$6</f>
        <v>2.7741767405818829E-3</v>
      </c>
      <c r="O479" s="112">
        <f>G479/'CGE-Flood Weighted Av Calcs'!$D$7</f>
        <v>1.2355050963403851E-2</v>
      </c>
      <c r="P479" s="112">
        <f>H479/'CGE-Flood Weighted Av Calcs'!$D$8</f>
        <v>2.9586478276412441E-2</v>
      </c>
      <c r="R479" s="1">
        <f t="shared" si="65"/>
        <v>0.13118353134953348</v>
      </c>
      <c r="S479" s="1">
        <f t="shared" si="66"/>
        <v>0.1521728963654588</v>
      </c>
      <c r="T479" s="1">
        <f t="shared" si="67"/>
        <v>3.6731388777869376</v>
      </c>
    </row>
    <row r="480" spans="1:20">
      <c r="A480">
        <v>427</v>
      </c>
      <c r="B480">
        <v>3.2282454161663754E-2</v>
      </c>
      <c r="C480" s="1">
        <f t="shared" si="61"/>
        <v>118.23129743181397</v>
      </c>
      <c r="D480" s="1">
        <f t="shared" si="70"/>
        <v>376.88060918510547</v>
      </c>
      <c r="E480" s="1">
        <f t="shared" si="68"/>
        <v>451.75890529498787</v>
      </c>
      <c r="F480" s="1">
        <f t="shared" si="62"/>
        <v>27.563988780591366</v>
      </c>
      <c r="G480" s="1">
        <f t="shared" si="69"/>
        <v>17.88166977705497</v>
      </c>
      <c r="H480" s="1">
        <f t="shared" si="63"/>
        <v>6.7803796381724561</v>
      </c>
      <c r="I480" s="1">
        <f t="shared" si="64"/>
        <v>264.63813445911967</v>
      </c>
      <c r="K480" s="112">
        <f>C480/'CGE-Flood Weighted Av Calcs'!$D$3</f>
        <v>1.992920410315719E-2</v>
      </c>
      <c r="L480" s="112">
        <f>D480/'CGE-Flood Weighted Av Calcs'!$D$4</f>
        <v>1.9359217935181521E-2</v>
      </c>
      <c r="M480" s="112">
        <f>E480/'CGE-Flood Weighted Av Calcs'!$D$5</f>
        <v>1.9352656567763395E-2</v>
      </c>
      <c r="N480" s="112">
        <f>F480/'CGE-Flood Weighted Av Calcs'!$D$6</f>
        <v>7.6190925979619829E-3</v>
      </c>
      <c r="O480" s="112">
        <f>G480/'CGE-Flood Weighted Av Calcs'!$D$7</f>
        <v>2.9517934890069118E-2</v>
      </c>
      <c r="P480" s="112">
        <f>H480/'CGE-Flood Weighted Av Calcs'!$D$8</f>
        <v>6.8517058965556002E-2</v>
      </c>
      <c r="R480" s="1">
        <f t="shared" si="65"/>
        <v>0.30029006111778167</v>
      </c>
      <c r="S480" s="1">
        <f t="shared" si="66"/>
        <v>0.36029006111778167</v>
      </c>
      <c r="T480" s="1">
        <f t="shared" si="67"/>
        <v>9.5435091676672492</v>
      </c>
    </row>
    <row r="481" spans="1:20">
      <c r="A481">
        <v>428</v>
      </c>
      <c r="B481">
        <v>0.30906896797251016</v>
      </c>
      <c r="C481" s="1">
        <f t="shared" si="61"/>
        <v>71.158219287364489</v>
      </c>
      <c r="D481" s="1">
        <f t="shared" si="70"/>
        <v>228.87644339973326</v>
      </c>
      <c r="E481" s="1">
        <f t="shared" si="68"/>
        <v>274.40095198229858</v>
      </c>
      <c r="F481" s="1">
        <f t="shared" si="62"/>
        <v>14.683372595260918</v>
      </c>
      <c r="G481" s="1">
        <f t="shared" si="69"/>
        <v>10.950136213136993</v>
      </c>
      <c r="H481" s="1">
        <f t="shared" si="63"/>
        <v>4.2835264400674591</v>
      </c>
      <c r="I481" s="1">
        <f t="shared" si="64"/>
        <v>110.54896512439836</v>
      </c>
      <c r="K481" s="112">
        <f>C481/'CGE-Flood Weighted Av Calcs'!$D$3</f>
        <v>1.1994511661457166E-2</v>
      </c>
      <c r="L481" s="112">
        <f>D481/'CGE-Flood Weighted Av Calcs'!$D$4</f>
        <v>1.1756691217372892E-2</v>
      </c>
      <c r="M481" s="112">
        <f>E481/'CGE-Flood Weighted Av Calcs'!$D$5</f>
        <v>1.1754914675369156E-2</v>
      </c>
      <c r="N481" s="112">
        <f>F481/'CGE-Flood Weighted Av Calcs'!$D$6</f>
        <v>4.0587005147979206E-3</v>
      </c>
      <c r="O481" s="112">
        <f>G481/'CGE-Flood Weighted Av Calcs'!$D$7</f>
        <v>1.8075795594408944E-2</v>
      </c>
      <c r="P481" s="112">
        <f>H481/'CGE-Flood Weighted Av Calcs'!$D$8</f>
        <v>4.3285870310608023E-2</v>
      </c>
      <c r="R481" s="1">
        <f t="shared" si="65"/>
        <v>0.19192528667430273</v>
      </c>
      <c r="S481" s="1">
        <f t="shared" si="66"/>
        <v>0.22263333254219114</v>
      </c>
      <c r="T481" s="1">
        <f t="shared" si="67"/>
        <v>5.3739080268804766</v>
      </c>
    </row>
    <row r="482" spans="1:20">
      <c r="A482">
        <v>429</v>
      </c>
      <c r="B482">
        <v>0.66066786350258599</v>
      </c>
      <c r="C482" s="1">
        <f t="shared" si="61"/>
        <v>34.947439702161461</v>
      </c>
      <c r="D482" s="1">
        <f t="shared" si="70"/>
        <v>112.40649056514067</v>
      </c>
      <c r="E482" s="1">
        <f t="shared" si="68"/>
        <v>134.76462479886564</v>
      </c>
      <c r="F482" s="1">
        <f t="shared" si="62"/>
        <v>7.2113423232946161</v>
      </c>
      <c r="G482" s="1">
        <f t="shared" si="69"/>
        <v>5.3778639891711233</v>
      </c>
      <c r="H482" s="1">
        <f t="shared" si="63"/>
        <v>2.1037384504006784</v>
      </c>
      <c r="I482" s="1">
        <f t="shared" si="64"/>
        <v>54.293141839586227</v>
      </c>
      <c r="K482" s="112">
        <f>C482/'CGE-Flood Weighted Av Calcs'!$D$3</f>
        <v>5.8907808155351047E-3</v>
      </c>
      <c r="L482" s="112">
        <f>D482/'CGE-Flood Weighted Av Calcs'!$D$4</f>
        <v>5.7739817203242959E-3</v>
      </c>
      <c r="M482" s="112">
        <f>E482/'CGE-Flood Weighted Av Calcs'!$D$5</f>
        <v>5.7731092196465711E-3</v>
      </c>
      <c r="N482" s="112">
        <f>F482/'CGE-Flood Weighted Av Calcs'!$D$6</f>
        <v>1.9933212625406239E-3</v>
      </c>
      <c r="O482" s="112">
        <f>G482/'CGE-Flood Weighted Av Calcs'!$D$7</f>
        <v>8.8774393588060604E-3</v>
      </c>
      <c r="P482" s="112">
        <f>H482/'CGE-Flood Weighted Av Calcs'!$D$8</f>
        <v>2.1258687440259893E-2</v>
      </c>
      <c r="R482" s="1">
        <f t="shared" si="65"/>
        <v>9.4258926804837218E-2</v>
      </c>
      <c r="S482" s="1">
        <f t="shared" si="66"/>
        <v>0.10934035509361117</v>
      </c>
      <c r="T482" s="1">
        <f t="shared" si="67"/>
        <v>2.6392499505354428</v>
      </c>
    </row>
    <row r="483" spans="1:20">
      <c r="A483">
        <v>430</v>
      </c>
      <c r="B483">
        <v>0.57692453028373047</v>
      </c>
      <c r="C483" s="1">
        <f t="shared" si="61"/>
        <v>43.572072542223367</v>
      </c>
      <c r="D483" s="1">
        <f t="shared" si="70"/>
        <v>140.14714104558948</v>
      </c>
      <c r="E483" s="1">
        <f t="shared" si="68"/>
        <v>168.02300992305635</v>
      </c>
      <c r="F483" s="1">
        <f t="shared" si="62"/>
        <v>8.9910200436790486</v>
      </c>
      <c r="G483" s="1">
        <f t="shared" si="69"/>
        <v>6.7050599945346567</v>
      </c>
      <c r="H483" s="1">
        <f t="shared" si="63"/>
        <v>2.6229173052998673</v>
      </c>
      <c r="I483" s="1">
        <f t="shared" si="64"/>
        <v>67.692075154603103</v>
      </c>
      <c r="K483" s="112">
        <f>C483/'CGE-Flood Weighted Av Calcs'!$D$3</f>
        <v>7.3445588922200315E-3</v>
      </c>
      <c r="L483" s="112">
        <f>D483/'CGE-Flood Weighted Av Calcs'!$D$4</f>
        <v>7.1989351013854574E-3</v>
      </c>
      <c r="M483" s="112">
        <f>E483/'CGE-Flood Weighted Av Calcs'!$D$5</f>
        <v>7.1978472774090257E-3</v>
      </c>
      <c r="N483" s="112">
        <f>F483/'CGE-Flood Weighted Av Calcs'!$D$6</f>
        <v>2.4852504043666635E-3</v>
      </c>
      <c r="O483" s="112">
        <f>G483/'CGE-Flood Weighted Av Calcs'!$D$7</f>
        <v>1.1068290982906051E-2</v>
      </c>
      <c r="P483" s="112">
        <f>H483/'CGE-Flood Weighted Av Calcs'!$D$8</f>
        <v>2.6505091050837898E-2</v>
      </c>
      <c r="R483" s="1">
        <f t="shared" si="65"/>
        <v>0.11752096381007485</v>
      </c>
      <c r="S483" s="1">
        <f t="shared" si="66"/>
        <v>0.13632431801968684</v>
      </c>
      <c r="T483" s="1">
        <f t="shared" si="67"/>
        <v>3.2905869866820967</v>
      </c>
    </row>
    <row r="484" spans="1:20">
      <c r="A484">
        <v>431</v>
      </c>
      <c r="B484">
        <v>0.30184380476226746</v>
      </c>
      <c r="C484" s="1">
        <f t="shared" si="61"/>
        <v>71.902330818428254</v>
      </c>
      <c r="D484" s="1">
        <f t="shared" si="70"/>
        <v>231.26983663565488</v>
      </c>
      <c r="E484" s="1">
        <f t="shared" si="68"/>
        <v>277.2704014225709</v>
      </c>
      <c r="F484" s="1">
        <f t="shared" si="62"/>
        <v>14.836918692570011</v>
      </c>
      <c r="G484" s="1">
        <f t="shared" si="69"/>
        <v>11.064643331281825</v>
      </c>
      <c r="H484" s="1">
        <f t="shared" si="63"/>
        <v>4.3283198799482232</v>
      </c>
      <c r="I484" s="1">
        <f t="shared" si="64"/>
        <v>111.70499123803719</v>
      </c>
      <c r="K484" s="112">
        <f>C484/'CGE-Flood Weighted Av Calcs'!$D$3</f>
        <v>1.2119939960902456E-2</v>
      </c>
      <c r="L484" s="112">
        <f>D484/'CGE-Flood Weighted Av Calcs'!$D$4</f>
        <v>1.1879632594906165E-2</v>
      </c>
      <c r="M484" s="112">
        <f>E484/'CGE-Flood Weighted Av Calcs'!$D$5</f>
        <v>1.1877837475352237E-2</v>
      </c>
      <c r="N484" s="112">
        <f>F484/'CGE-Flood Weighted Av Calcs'!$D$6</f>
        <v>4.101142918281897E-3</v>
      </c>
      <c r="O484" s="112">
        <f>G484/'CGE-Flood Weighted Av Calcs'!$D$7</f>
        <v>1.8264816737288213E-2</v>
      </c>
      <c r="P484" s="112">
        <f>H484/'CGE-Flood Weighted Av Calcs'!$D$8</f>
        <v>4.373851675894283E-2</v>
      </c>
      <c r="R484" s="1">
        <f t="shared" si="65"/>
        <v>0.19393227645492569</v>
      </c>
      <c r="S484" s="1">
        <f t="shared" si="66"/>
        <v>0.22496144068771379</v>
      </c>
      <c r="T484" s="1">
        <f t="shared" si="67"/>
        <v>5.4301037407379198</v>
      </c>
    </row>
    <row r="485" spans="1:20">
      <c r="A485">
        <v>432</v>
      </c>
      <c r="B485">
        <v>0.12423811027866893</v>
      </c>
      <c r="C485" s="1">
        <f t="shared" si="61"/>
        <v>90.193743953633529</v>
      </c>
      <c r="D485" s="1">
        <f t="shared" si="70"/>
        <v>290.10314675875316</v>
      </c>
      <c r="E485" s="1">
        <f t="shared" si="68"/>
        <v>347.80590986654209</v>
      </c>
      <c r="F485" s="1">
        <f t="shared" si="62"/>
        <v>18.611319416026003</v>
      </c>
      <c r="G485" s="1">
        <f t="shared" si="69"/>
        <v>13.879405524141069</v>
      </c>
      <c r="H485" s="1">
        <f t="shared" si="63"/>
        <v>5.4294119614466965</v>
      </c>
      <c r="I485" s="1">
        <f t="shared" si="64"/>
        <v>140.12190235541297</v>
      </c>
      <c r="K485" s="112">
        <f>C485/'CGE-Flood Weighted Av Calcs'!$D$3</f>
        <v>1.5203161693429825E-2</v>
      </c>
      <c r="L485" s="112">
        <f>D485/'CGE-Flood Weighted Av Calcs'!$D$4</f>
        <v>1.4901721937692637E-2</v>
      </c>
      <c r="M485" s="112">
        <f>E485/'CGE-Flood Weighted Av Calcs'!$D$5</f>
        <v>1.4899470153201508E-2</v>
      </c>
      <c r="N485" s="112">
        <f>F485/'CGE-Flood Weighted Av Calcs'!$D$6</f>
        <v>5.1444428863211726E-3</v>
      </c>
      <c r="O485" s="112">
        <f>G485/'CGE-Flood Weighted Av Calcs'!$D$7</f>
        <v>2.2911248987505687E-2</v>
      </c>
      <c r="P485" s="112">
        <f>H485/'CGE-Flood Weighted Av Calcs'!$D$8</f>
        <v>5.4865267044399167E-2</v>
      </c>
      <c r="R485" s="1">
        <f t="shared" si="65"/>
        <v>0.24326719158925864</v>
      </c>
      <c r="S485" s="1">
        <f t="shared" si="66"/>
        <v>0.28218994224353999</v>
      </c>
      <c r="T485" s="1">
        <f t="shared" si="67"/>
        <v>6.811481364499242</v>
      </c>
    </row>
    <row r="486" spans="1:20">
      <c r="A486">
        <v>433</v>
      </c>
      <c r="B486">
        <v>9.3997046548945584E-2</v>
      </c>
      <c r="C486" s="1">
        <f t="shared" si="61"/>
        <v>94.193739839489126</v>
      </c>
      <c r="D486" s="1">
        <f t="shared" si="70"/>
        <v>302.72722520411247</v>
      </c>
      <c r="E486" s="1">
        <f t="shared" si="68"/>
        <v>362.93314128618152</v>
      </c>
      <c r="F486" s="1">
        <f t="shared" si="62"/>
        <v>19.865305984970739</v>
      </c>
      <c r="G486" s="1">
        <f t="shared" si="69"/>
        <v>14.511357695879234</v>
      </c>
      <c r="H486" s="1">
        <f t="shared" si="63"/>
        <v>5.6597518534255489</v>
      </c>
      <c r="I486" s="1">
        <f t="shared" si="64"/>
        <v>153.80482397005557</v>
      </c>
      <c r="K486" s="112">
        <f>C486/'CGE-Flood Weighted Av Calcs'!$D$3</f>
        <v>1.587740562166701E-2</v>
      </c>
      <c r="L486" s="112">
        <f>D486/'CGE-Flood Weighted Av Calcs'!$D$4</f>
        <v>1.555018269661299E-2</v>
      </c>
      <c r="M486" s="112">
        <f>E486/'CGE-Flood Weighted Av Calcs'!$D$5</f>
        <v>1.5547497477187965E-2</v>
      </c>
      <c r="N486" s="112">
        <f>F486/'CGE-Flood Weighted Av Calcs'!$D$6</f>
        <v>5.4910632489051977E-3</v>
      </c>
      <c r="O486" s="112">
        <f>G486/'CGE-Flood Weighted Av Calcs'!$D$7</f>
        <v>2.3954435853809464E-2</v>
      </c>
      <c r="P486" s="112">
        <f>H486/'CGE-Flood Weighted Av Calcs'!$D$8</f>
        <v>5.7192896587733806E-2</v>
      </c>
      <c r="R486" s="1">
        <f t="shared" si="65"/>
        <v>0.2540019689673696</v>
      </c>
      <c r="S486" s="1">
        <f t="shared" si="66"/>
        <v>0.29600295345105443</v>
      </c>
      <c r="T486" s="1">
        <f t="shared" si="67"/>
        <v>7.1000492241842403</v>
      </c>
    </row>
    <row r="487" spans="1:20">
      <c r="A487">
        <v>434</v>
      </c>
      <c r="B487">
        <v>0.97495548006406363</v>
      </c>
      <c r="C487" s="1">
        <f t="shared" si="61"/>
        <v>2.5793072809577353</v>
      </c>
      <c r="D487" s="1">
        <f t="shared" si="70"/>
        <v>8.296198005132851</v>
      </c>
      <c r="E487" s="1">
        <f t="shared" si="68"/>
        <v>9.94634745554049</v>
      </c>
      <c r="F487" s="1">
        <f t="shared" si="62"/>
        <v>0.53223549188359698</v>
      </c>
      <c r="G487" s="1">
        <f t="shared" si="69"/>
        <v>0.39691502042741789</v>
      </c>
      <c r="H487" s="1">
        <f t="shared" si="63"/>
        <v>0.1552671082229109</v>
      </c>
      <c r="I487" s="1">
        <f t="shared" si="64"/>
        <v>4.007123189749791</v>
      </c>
      <c r="K487" s="112">
        <f>C487/'CGE-Flood Weighted Av Calcs'!$D$3</f>
        <v>4.3477101548861395E-4</v>
      </c>
      <c r="L487" s="112">
        <f>D487/'CGE-Flood Weighted Av Calcs'!$D$4</f>
        <v>4.2615061985293659E-4</v>
      </c>
      <c r="M487" s="112">
        <f>E487/'CGE-Flood Weighted Av Calcs'!$D$5</f>
        <v>4.2608622465346228E-4</v>
      </c>
      <c r="N487" s="112">
        <f>F487/'CGE-Flood Weighted Av Calcs'!$D$6</f>
        <v>1.4711773135818148E-4</v>
      </c>
      <c r="O487" s="112">
        <f>G487/'CGE-Flood Weighted Av Calcs'!$D$7</f>
        <v>6.5520233154627494E-4</v>
      </c>
      <c r="P487" s="112">
        <f>H487/'CGE-Flood Weighted Av Calcs'!$D$8</f>
        <v>1.5690044182228085E-3</v>
      </c>
      <c r="R487" s="1">
        <f t="shared" si="65"/>
        <v>6.9568110933156402E-3</v>
      </c>
      <c r="S487" s="1">
        <f t="shared" si="66"/>
        <v>8.0699008682461604E-3</v>
      </c>
      <c r="T487" s="1">
        <f t="shared" si="67"/>
        <v>0.19479071061283904</v>
      </c>
    </row>
    <row r="488" spans="1:20">
      <c r="A488">
        <v>435</v>
      </c>
      <c r="B488">
        <v>0.6606104794758344</v>
      </c>
      <c r="C488" s="1">
        <f t="shared" si="61"/>
        <v>34.953349619316576</v>
      </c>
      <c r="D488" s="1">
        <f t="shared" si="70"/>
        <v>112.42549948403712</v>
      </c>
      <c r="E488" s="1">
        <f t="shared" si="68"/>
        <v>134.78741467345415</v>
      </c>
      <c r="F488" s="1">
        <f t="shared" si="62"/>
        <v>7.2125618242386356</v>
      </c>
      <c r="G488" s="1">
        <f t="shared" si="69"/>
        <v>5.3787734329220349</v>
      </c>
      <c r="H488" s="1">
        <f t="shared" si="63"/>
        <v>2.1040942109388996</v>
      </c>
      <c r="I488" s="1">
        <f t="shared" si="64"/>
        <v>54.302323283866471</v>
      </c>
      <c r="K488" s="112">
        <f>C488/'CGE-Flood Weighted Av Calcs'!$D$3</f>
        <v>5.8917769979992696E-3</v>
      </c>
      <c r="L488" s="112">
        <f>D488/'CGE-Flood Weighted Av Calcs'!$D$4</f>
        <v>5.7749581510417695E-3</v>
      </c>
      <c r="M488" s="112">
        <f>E488/'CGE-Flood Weighted Av Calcs'!$D$5</f>
        <v>5.7740855028165635E-3</v>
      </c>
      <c r="N488" s="112">
        <f>F488/'CGE-Flood Weighted Av Calcs'!$D$6</f>
        <v>1.9936583505684034E-3</v>
      </c>
      <c r="O488" s="112">
        <f>G488/'CGE-Flood Weighted Av Calcs'!$D$7</f>
        <v>8.8789406113043059E-3</v>
      </c>
      <c r="P488" s="112">
        <f>H488/'CGE-Flood Weighted Av Calcs'!$D$8</f>
        <v>2.1262282469900664E-2</v>
      </c>
      <c r="R488" s="1">
        <f t="shared" si="65"/>
        <v>9.427486681226821E-2</v>
      </c>
      <c r="S488" s="1">
        <f t="shared" si="66"/>
        <v>0.10935884550223113</v>
      </c>
      <c r="T488" s="1">
        <f t="shared" si="67"/>
        <v>2.639696270743511</v>
      </c>
    </row>
    <row r="489" spans="1:20">
      <c r="A489">
        <v>436</v>
      </c>
      <c r="B489">
        <v>0.17041180370393416</v>
      </c>
      <c r="C489" s="1">
        <f t="shared" si="61"/>
        <v>85.438366571869267</v>
      </c>
      <c r="D489" s="1">
        <f t="shared" si="70"/>
        <v>274.8077406473891</v>
      </c>
      <c r="E489" s="1">
        <f t="shared" si="68"/>
        <v>329.46818172130008</v>
      </c>
      <c r="F489" s="1">
        <f t="shared" si="62"/>
        <v>17.630055710626905</v>
      </c>
      <c r="G489" s="1">
        <f t="shared" si="69"/>
        <v>13.147627374031629</v>
      </c>
      <c r="H489" s="1">
        <f t="shared" si="63"/>
        <v>5.1431514991798588</v>
      </c>
      <c r="I489" s="1">
        <f t="shared" si="64"/>
        <v>132.73411140737053</v>
      </c>
      <c r="K489" s="112">
        <f>C489/'CGE-Flood Weighted Av Calcs'!$D$3</f>
        <v>1.4401589787451435E-2</v>
      </c>
      <c r="L489" s="112">
        <f>D489/'CGE-Flood Weighted Av Calcs'!$D$4</f>
        <v>1.4116043149502261E-2</v>
      </c>
      <c r="M489" s="112">
        <f>E489/'CGE-Flood Weighted Av Calcs'!$D$5</f>
        <v>1.4113910088157197E-2</v>
      </c>
      <c r="N489" s="112">
        <f>F489/'CGE-Flood Weighted Av Calcs'!$D$6</f>
        <v>4.8732071412348399E-3</v>
      </c>
      <c r="O489" s="112">
        <f>G489/'CGE-Flood Weighted Av Calcs'!$D$7</f>
        <v>2.1703275679743193E-2</v>
      </c>
      <c r="P489" s="112">
        <f>H489/'CGE-Flood Weighted Av Calcs'!$D$8</f>
        <v>5.1972549229275349E-2</v>
      </c>
      <c r="R489" s="1">
        <f t="shared" si="65"/>
        <v>0.23044116563779607</v>
      </c>
      <c r="S489" s="1">
        <f t="shared" si="66"/>
        <v>0.26731175213984343</v>
      </c>
      <c r="T489" s="1">
        <f t="shared" si="67"/>
        <v>6.4523526378582901</v>
      </c>
    </row>
    <row r="490" spans="1:20">
      <c r="A490">
        <v>437</v>
      </c>
      <c r="B490">
        <v>0.10917630664504563</v>
      </c>
      <c r="C490" s="1">
        <f t="shared" si="61"/>
        <v>91.744942374523021</v>
      </c>
      <c r="D490" s="1">
        <f t="shared" si="70"/>
        <v>295.09248995952538</v>
      </c>
      <c r="E490" s="1">
        <f t="shared" si="68"/>
        <v>353.78765488023578</v>
      </c>
      <c r="F490" s="1">
        <f t="shared" si="62"/>
        <v>18.931406464454227</v>
      </c>
      <c r="G490" s="1">
        <f t="shared" si="69"/>
        <v>14.118110682483319</v>
      </c>
      <c r="H490" s="1">
        <f t="shared" si="63"/>
        <v>5.5227897822552467</v>
      </c>
      <c r="I490" s="1">
        <f t="shared" si="64"/>
        <v>142.5317909367927</v>
      </c>
      <c r="K490" s="112">
        <f>C490/'CGE-Flood Weighted Av Calcs'!$D$3</f>
        <v>1.5464633491556972E-2</v>
      </c>
      <c r="L490" s="112">
        <f>D490/'CGE-Flood Weighted Av Calcs'!$D$4</f>
        <v>1.5158009419784148E-2</v>
      </c>
      <c r="M490" s="112">
        <f>E490/'CGE-Flood Weighted Av Calcs'!$D$5</f>
        <v>1.5155718907944605E-2</v>
      </c>
      <c r="N490" s="112">
        <f>F490/'CGE-Flood Weighted Av Calcs'!$D$6</f>
        <v>5.2329196623348163E-3</v>
      </c>
      <c r="O490" s="112">
        <f>G490/'CGE-Flood Weighted Av Calcs'!$D$7</f>
        <v>2.3305288437384771E-2</v>
      </c>
      <c r="P490" s="112">
        <f>H490/'CGE-Flood Weighted Av Calcs'!$D$8</f>
        <v>5.5808868139888716E-2</v>
      </c>
      <c r="R490" s="1">
        <f t="shared" si="65"/>
        <v>0.24745102593193177</v>
      </c>
      <c r="S490" s="1">
        <f t="shared" si="66"/>
        <v>0.28704319008104084</v>
      </c>
      <c r="T490" s="1">
        <f t="shared" si="67"/>
        <v>6.9286287260940895</v>
      </c>
    </row>
    <row r="491" spans="1:20">
      <c r="A491">
        <v>438</v>
      </c>
      <c r="B491">
        <v>0.43236236934589722</v>
      </c>
      <c r="C491" s="1">
        <f t="shared" si="61"/>
        <v>58.460368872587544</v>
      </c>
      <c r="D491" s="1">
        <f t="shared" si="70"/>
        <v>188.03451577898358</v>
      </c>
      <c r="E491" s="1">
        <f t="shared" si="68"/>
        <v>225.43538936931841</v>
      </c>
      <c r="F491" s="1">
        <f t="shared" si="62"/>
        <v>12.063193638194667</v>
      </c>
      <c r="G491" s="1">
        <f t="shared" si="69"/>
        <v>8.9961357751224433</v>
      </c>
      <c r="H491" s="1">
        <f t="shared" si="63"/>
        <v>3.5191512416934763</v>
      </c>
      <c r="I491" s="1">
        <f t="shared" si="64"/>
        <v>90.822020904656426</v>
      </c>
      <c r="K491" s="112">
        <f>C491/'CGE-Flood Weighted Av Calcs'!$D$3</f>
        <v>9.8541473240583329E-3</v>
      </c>
      <c r="L491" s="112">
        <f>D491/'CGE-Flood Weighted Av Calcs'!$D$4</f>
        <v>9.6587648225589171E-3</v>
      </c>
      <c r="M491" s="112">
        <f>E491/'CGE-Flood Weighted Av Calcs'!$D$5</f>
        <v>9.6573052961416439E-3</v>
      </c>
      <c r="N491" s="112">
        <f>F491/'CGE-Flood Weighted Av Calcs'!$D$6</f>
        <v>3.3344444480861231E-3</v>
      </c>
      <c r="O491" s="112">
        <f>G491/'CGE-Flood Weighted Av Calcs'!$D$7</f>
        <v>1.4850254667661144E-2</v>
      </c>
      <c r="P491" s="112">
        <f>H491/'CGE-Flood Weighted Av Calcs'!$D$8</f>
        <v>3.5561709816120585E-2</v>
      </c>
      <c r="R491" s="1">
        <f t="shared" si="65"/>
        <v>0.15767711962613964</v>
      </c>
      <c r="S491" s="1">
        <f t="shared" si="66"/>
        <v>0.18290545876632197</v>
      </c>
      <c r="T491" s="1">
        <f t="shared" si="67"/>
        <v>4.4149593495319106</v>
      </c>
    </row>
    <row r="492" spans="1:20">
      <c r="A492">
        <v>439</v>
      </c>
      <c r="B492">
        <v>0.90937404840403779</v>
      </c>
      <c r="C492" s="1">
        <f t="shared" si="61"/>
        <v>9.333466059366387</v>
      </c>
      <c r="D492" s="1">
        <f t="shared" si="70"/>
        <v>30.020572994288329</v>
      </c>
      <c r="E492" s="1">
        <f t="shared" si="68"/>
        <v>35.991794027923106</v>
      </c>
      <c r="F492" s="1">
        <f t="shared" si="62"/>
        <v>1.9259442005069012</v>
      </c>
      <c r="G492" s="1">
        <f t="shared" si="69"/>
        <v>1.4362743434882557</v>
      </c>
      <c r="H492" s="1">
        <f t="shared" si="63"/>
        <v>0.56184863875405266</v>
      </c>
      <c r="I492" s="1">
        <f t="shared" si="64"/>
        <v>14.500152255353925</v>
      </c>
      <c r="K492" s="112">
        <f>C492/'CGE-Flood Weighted Av Calcs'!$D$3</f>
        <v>1.5732598231384318E-3</v>
      </c>
      <c r="L492" s="112">
        <f>D492/'CGE-Flood Weighted Av Calcs'!$D$4</f>
        <v>1.5420661105172641E-3</v>
      </c>
      <c r="M492" s="112">
        <f>E492/'CGE-Flood Weighted Av Calcs'!$D$5</f>
        <v>1.5418330904296204E-3</v>
      </c>
      <c r="N492" s="112">
        <f>F492/'CGE-Flood Weighted Av Calcs'!$D$6</f>
        <v>5.3235935186936041E-4</v>
      </c>
      <c r="O492" s="112">
        <f>G492/'CGE-Flood Weighted Av Calcs'!$D$7</f>
        <v>2.3709112786415355E-3</v>
      </c>
      <c r="P492" s="112">
        <f>H492/'CGE-Flood Weighted Av Calcs'!$D$8</f>
        <v>5.6775901004865927E-3</v>
      </c>
      <c r="R492" s="1">
        <f t="shared" si="65"/>
        <v>2.5173875443322807E-2</v>
      </c>
      <c r="S492" s="1">
        <f t="shared" si="66"/>
        <v>2.92016955142545E-2</v>
      </c>
      <c r="T492" s="1">
        <f t="shared" si="67"/>
        <v>0.70486851241304027</v>
      </c>
    </row>
    <row r="493" spans="1:20">
      <c r="A493">
        <v>440</v>
      </c>
      <c r="B493">
        <v>0.88763660799710786</v>
      </c>
      <c r="C493" s="1">
        <f t="shared" si="61"/>
        <v>11.572180894164532</v>
      </c>
      <c r="D493" s="1">
        <f t="shared" si="70"/>
        <v>37.221274393315696</v>
      </c>
      <c r="E493" s="1">
        <f t="shared" si="68"/>
        <v>44.624745892622002</v>
      </c>
      <c r="F493" s="1">
        <f t="shared" si="62"/>
        <v>2.3878990439963097</v>
      </c>
      <c r="G493" s="1">
        <f t="shared" si="69"/>
        <v>1.7807775172454896</v>
      </c>
      <c r="H493" s="1">
        <f t="shared" si="63"/>
        <v>0.69661303115547923</v>
      </c>
      <c r="I493" s="1">
        <f t="shared" si="64"/>
        <v>17.978142720462714</v>
      </c>
      <c r="K493" s="112">
        <f>C493/'CGE-Flood Weighted Av Calcs'!$D$3</f>
        <v>1.9506201823714746E-3</v>
      </c>
      <c r="L493" s="112">
        <f>D493/'CGE-Flood Weighted Av Calcs'!$D$4</f>
        <v>1.9119443803793008E-3</v>
      </c>
      <c r="M493" s="112">
        <f>E493/'CGE-Flood Weighted Av Calcs'!$D$5</f>
        <v>1.9116554683514396E-3</v>
      </c>
      <c r="N493" s="112">
        <f>F493/'CGE-Flood Weighted Av Calcs'!$D$6</f>
        <v>6.6005047656975742E-4</v>
      </c>
      <c r="O493" s="112">
        <f>G493/'CGE-Flood Weighted Av Calcs'!$D$7</f>
        <v>2.9395954328158102E-3</v>
      </c>
      <c r="P493" s="112">
        <f>H493/'CGE-Flood Weighted Av Calcs'!$D$8</f>
        <v>7.039410575647281E-3</v>
      </c>
      <c r="R493" s="1">
        <f t="shared" si="65"/>
        <v>3.121205333413668E-2</v>
      </c>
      <c r="S493" s="1">
        <f t="shared" si="66"/>
        <v>3.6205981867598602E-2</v>
      </c>
      <c r="T493" s="1">
        <f t="shared" si="67"/>
        <v>0.87393749335582793</v>
      </c>
    </row>
    <row r="494" spans="1:20">
      <c r="A494">
        <v>441</v>
      </c>
      <c r="B494">
        <v>0.10024294532853206</v>
      </c>
      <c r="C494" s="1">
        <f t="shared" si="61"/>
        <v>92.664979330553734</v>
      </c>
      <c r="D494" s="1">
        <f t="shared" si="70"/>
        <v>298.05173751239403</v>
      </c>
      <c r="E494" s="1">
        <f t="shared" si="68"/>
        <v>357.33550949382857</v>
      </c>
      <c r="F494" s="1">
        <f t="shared" si="62"/>
        <v>19.12125446180578</v>
      </c>
      <c r="G494" s="1">
        <f t="shared" si="69"/>
        <v>14.259689970028044</v>
      </c>
      <c r="H494" s="1">
        <f t="shared" si="63"/>
        <v>5.5781734423083664</v>
      </c>
      <c r="I494" s="1">
        <f t="shared" si="64"/>
        <v>143.96112874743488</v>
      </c>
      <c r="K494" s="112">
        <f>C494/'CGE-Flood Weighted Av Calcs'!$D$3</f>
        <v>1.5619715983904296E-2</v>
      </c>
      <c r="L494" s="112">
        <f>D494/'CGE-Flood Weighted Av Calcs'!$D$4</f>
        <v>1.5310017023529023E-2</v>
      </c>
      <c r="M494" s="112">
        <f>E494/'CGE-Flood Weighted Av Calcs'!$D$5</f>
        <v>1.530770354197054E-2</v>
      </c>
      <c r="N494" s="112">
        <f>F494/'CGE-Flood Weighted Av Calcs'!$D$6</f>
        <v>5.2853964458247889E-3</v>
      </c>
      <c r="O494" s="112">
        <f>G494/'CGE-Flood Weighted Av Calcs'!$D$7</f>
        <v>2.3538998613427169E-2</v>
      </c>
      <c r="P494" s="112">
        <f>H494/'CGE-Flood Weighted Av Calcs'!$D$8</f>
        <v>5.6368530829013705E-2</v>
      </c>
      <c r="R494" s="1">
        <f t="shared" si="65"/>
        <v>0.24993251518651888</v>
      </c>
      <c r="S494" s="1">
        <f t="shared" si="66"/>
        <v>0.28992171761636187</v>
      </c>
      <c r="T494" s="1">
        <f t="shared" si="67"/>
        <v>6.9981104252225288</v>
      </c>
    </row>
    <row r="495" spans="1:20">
      <c r="A495">
        <v>442</v>
      </c>
      <c r="B495">
        <v>0.66134926476519262</v>
      </c>
      <c r="C495" s="1">
        <f t="shared" si="61"/>
        <v>34.877262943238115</v>
      </c>
      <c r="D495" s="1">
        <f t="shared" si="70"/>
        <v>112.18077093425964</v>
      </c>
      <c r="E495" s="1">
        <f t="shared" si="68"/>
        <v>134.49400856298385</v>
      </c>
      <c r="F495" s="1">
        <f t="shared" si="62"/>
        <v>7.1968614733082212</v>
      </c>
      <c r="G495" s="1">
        <f t="shared" si="69"/>
        <v>5.3670648843466502</v>
      </c>
      <c r="H495" s="1">
        <f t="shared" si="63"/>
        <v>2.0995140051386008</v>
      </c>
      <c r="I495" s="1">
        <f t="shared" si="64"/>
        <v>54.184117637569159</v>
      </c>
      <c r="K495" s="112">
        <f>C495/'CGE-Flood Weighted Av Calcs'!$D$3</f>
        <v>5.8789517399666161E-3</v>
      </c>
      <c r="L495" s="112">
        <f>D495/'CGE-Flood Weighted Av Calcs'!$D$4</f>
        <v>5.7623871850259077E-3</v>
      </c>
      <c r="M495" s="112">
        <f>E495/'CGE-Flood Weighted Av Calcs'!$D$5</f>
        <v>5.761516436386966E-3</v>
      </c>
      <c r="N495" s="112">
        <f>F495/'CGE-Flood Weighted Av Calcs'!$D$6</f>
        <v>1.9893185422586732E-3</v>
      </c>
      <c r="O495" s="112">
        <f>G495/'CGE-Flood Weighted Av Calcs'!$D$7</f>
        <v>8.859612876321251E-3</v>
      </c>
      <c r="P495" s="112">
        <f>H495/'CGE-Flood Weighted Av Calcs'!$D$8</f>
        <v>2.1215998596778474E-2</v>
      </c>
      <c r="R495" s="1">
        <f t="shared" si="65"/>
        <v>9.4069648676335382E-2</v>
      </c>
      <c r="S495" s="1">
        <f t="shared" si="66"/>
        <v>0.10912079246454903</v>
      </c>
      <c r="T495" s="1">
        <f t="shared" si="67"/>
        <v>2.6339501629373911</v>
      </c>
    </row>
    <row r="496" spans="1:20">
      <c r="A496">
        <v>443</v>
      </c>
      <c r="B496">
        <v>0.69867652269769187</v>
      </c>
      <c r="C496" s="1">
        <f t="shared" si="61"/>
        <v>31.032970123501052</v>
      </c>
      <c r="D496" s="1">
        <f t="shared" si="70"/>
        <v>99.815817499782838</v>
      </c>
      <c r="E496" s="1">
        <f t="shared" si="68"/>
        <v>119.66961273072505</v>
      </c>
      <c r="F496" s="1">
        <f t="shared" si="62"/>
        <v>6.4035984546043689</v>
      </c>
      <c r="G496" s="1">
        <f t="shared" si="69"/>
        <v>4.7754883884634811</v>
      </c>
      <c r="H496" s="1">
        <f t="shared" si="63"/>
        <v>1.8680982937616126</v>
      </c>
      <c r="I496" s="1">
        <f t="shared" si="64"/>
        <v>48.211756368369279</v>
      </c>
      <c r="K496" s="112">
        <f>C496/'CGE-Flood Weighted Av Calcs'!$D$3</f>
        <v>5.2309533004584472E-3</v>
      </c>
      <c r="L496" s="112">
        <f>D496/'CGE-Flood Weighted Av Calcs'!$D$4</f>
        <v>5.1272368948213042E-3</v>
      </c>
      <c r="M496" s="112">
        <f>E496/'CGE-Flood Weighted Av Calcs'!$D$5</f>
        <v>5.1264621231157E-3</v>
      </c>
      <c r="N496" s="112">
        <f>F496/'CGE-Flood Weighted Av Calcs'!$D$6</f>
        <v>1.7700489567805649E-3</v>
      </c>
      <c r="O496" s="112">
        <f>G496/'CGE-Flood Weighted Av Calcs'!$D$7</f>
        <v>7.8830756342354296E-3</v>
      </c>
      <c r="P496" s="112">
        <f>H496/'CGE-Flood Weighted Av Calcs'!$D$8</f>
        <v>1.8877497688553974E-2</v>
      </c>
      <c r="R496" s="1">
        <f t="shared" si="65"/>
        <v>8.3700965917307801E-2</v>
      </c>
      <c r="S496" s="1">
        <f t="shared" si="66"/>
        <v>9.709312046407706E-2</v>
      </c>
      <c r="T496" s="1">
        <f t="shared" si="67"/>
        <v>2.3436270456846193</v>
      </c>
    </row>
    <row r="497" spans="1:20">
      <c r="A497">
        <v>444</v>
      </c>
      <c r="B497">
        <v>0.72021988938243531</v>
      </c>
      <c r="C497" s="1">
        <f t="shared" si="61"/>
        <v>28.81424272571342</v>
      </c>
      <c r="D497" s="1">
        <f t="shared" si="70"/>
        <v>92.679404577075672</v>
      </c>
      <c r="E497" s="1">
        <f t="shared" si="68"/>
        <v>111.11373659667677</v>
      </c>
      <c r="F497" s="1">
        <f t="shared" si="62"/>
        <v>5.9457679833630177</v>
      </c>
      <c r="G497" s="1">
        <f t="shared" si="69"/>
        <v>4.4340609684281436</v>
      </c>
      <c r="H497" s="1">
        <f t="shared" si="63"/>
        <v>1.7345370893511332</v>
      </c>
      <c r="I497" s="1">
        <f t="shared" si="64"/>
        <v>44.764817698810333</v>
      </c>
      <c r="K497" s="112">
        <f>C497/'CGE-Flood Weighted Av Calcs'!$D$3</f>
        <v>4.8569620467019915E-3</v>
      </c>
      <c r="L497" s="112">
        <f>D497/'CGE-Flood Weighted Av Calcs'!$D$4</f>
        <v>4.7606609297037175E-3</v>
      </c>
      <c r="M497" s="112">
        <f>E497/'CGE-Flood Weighted Av Calcs'!$D$5</f>
        <v>4.7599415509303206E-3</v>
      </c>
      <c r="N497" s="112">
        <f>F497/'CGE-Flood Weighted Av Calcs'!$D$6</f>
        <v>1.6434978693337216E-3</v>
      </c>
      <c r="O497" s="112">
        <f>G497/'CGE-Flood Weighted Av Calcs'!$D$7</f>
        <v>7.3194687406991591E-3</v>
      </c>
      <c r="P497" s="112">
        <f>H497/'CGE-Flood Weighted Av Calcs'!$D$8</f>
        <v>1.7527835662760671E-2</v>
      </c>
      <c r="R497" s="1">
        <f t="shared" si="65"/>
        <v>7.7716697393767964E-2</v>
      </c>
      <c r="S497" s="1">
        <f t="shared" si="66"/>
        <v>9.015136897677084E-2</v>
      </c>
      <c r="T497" s="1">
        <f t="shared" si="67"/>
        <v>2.1760675270255039</v>
      </c>
    </row>
    <row r="498" spans="1:20">
      <c r="A498">
        <v>445</v>
      </c>
      <c r="B498">
        <v>0.85218587695682269</v>
      </c>
      <c r="C498" s="1">
        <f t="shared" si="61"/>
        <v>15.223212294302357</v>
      </c>
      <c r="D498" s="1">
        <f t="shared" si="70"/>
        <v>48.964613251047268</v>
      </c>
      <c r="E498" s="1">
        <f t="shared" si="68"/>
        <v>58.703885336362646</v>
      </c>
      <c r="F498" s="1">
        <f t="shared" si="62"/>
        <v>3.1412829108511673</v>
      </c>
      <c r="G498" s="1">
        <f t="shared" si="69"/>
        <v>2.3426141054897425</v>
      </c>
      <c r="H498" s="1">
        <f t="shared" si="63"/>
        <v>0.91639494380915743</v>
      </c>
      <c r="I498" s="1">
        <f t="shared" si="64"/>
        <v>23.650259686908342</v>
      </c>
      <c r="K498" s="112">
        <f>C498/'CGE-Flood Weighted Av Calcs'!$D$3</f>
        <v>2.5660422536918511E-3</v>
      </c>
      <c r="L498" s="112">
        <f>D498/'CGE-Flood Weighted Av Calcs'!$D$4</f>
        <v>2.5151642083377401E-3</v>
      </c>
      <c r="M498" s="112">
        <f>E498/'CGE-Flood Weighted Av Calcs'!$D$5</f>
        <v>2.5147841443571698E-3</v>
      </c>
      <c r="N498" s="112">
        <f>F498/'CGE-Flood Weighted Av Calcs'!$D$6</f>
        <v>8.6829687693905377E-4</v>
      </c>
      <c r="O498" s="112">
        <f>G498/'CGE-Flood Weighted Av Calcs'!$D$7</f>
        <v>3.867039907376719E-3</v>
      </c>
      <c r="P498" s="112">
        <f>H498/'CGE-Flood Weighted Av Calcs'!$D$8</f>
        <v>9.2603496782420747E-3</v>
      </c>
      <c r="R498" s="1">
        <f t="shared" si="65"/>
        <v>4.10594786231048E-2</v>
      </c>
      <c r="S498" s="1">
        <f t="shared" si="66"/>
        <v>4.7628995202801588E-2</v>
      </c>
      <c r="T498" s="1">
        <f t="shared" si="67"/>
        <v>1.149665401446935</v>
      </c>
    </row>
    <row r="499" spans="1:20">
      <c r="A499">
        <v>446</v>
      </c>
      <c r="B499">
        <v>0.43309984776857202</v>
      </c>
      <c r="C499" s="1">
        <f t="shared" si="61"/>
        <v>58.384416789256733</v>
      </c>
      <c r="D499" s="1">
        <f t="shared" si="70"/>
        <v>187.79022013927181</v>
      </c>
      <c r="E499" s="1">
        <f t="shared" si="68"/>
        <v>225.14250227658712</v>
      </c>
      <c r="F499" s="1">
        <f t="shared" si="62"/>
        <v>12.047521060239493</v>
      </c>
      <c r="G499" s="1">
        <f t="shared" si="69"/>
        <v>8.9844479382643385</v>
      </c>
      <c r="H499" s="1">
        <f t="shared" si="63"/>
        <v>3.5145791380013947</v>
      </c>
      <c r="I499" s="1">
        <f t="shared" si="64"/>
        <v>90.704024357028459</v>
      </c>
      <c r="K499" s="112">
        <f>C499/'CGE-Flood Weighted Av Calcs'!$D$3</f>
        <v>9.8413447531347353E-3</v>
      </c>
      <c r="L499" s="112">
        <f>D499/'CGE-Flood Weighted Av Calcs'!$D$4</f>
        <v>9.6462160938248481E-3</v>
      </c>
      <c r="M499" s="112">
        <f>E499/'CGE-Flood Weighted Av Calcs'!$D$5</f>
        <v>9.6447584636335879E-3</v>
      </c>
      <c r="N499" s="112">
        <f>F499/'CGE-Flood Weighted Av Calcs'!$D$6</f>
        <v>3.3301123166359272E-3</v>
      </c>
      <c r="O499" s="112">
        <f>G499/'CGE-Flood Weighted Av Calcs'!$D$7</f>
        <v>1.4830961122277256E-2</v>
      </c>
      <c r="P499" s="112">
        <f>H499/'CGE-Flood Weighted Av Calcs'!$D$8</f>
        <v>3.5515507816382491E-2</v>
      </c>
      <c r="R499" s="1">
        <f t="shared" si="65"/>
        <v>0.15747226450872998</v>
      </c>
      <c r="S499" s="1">
        <f t="shared" si="66"/>
        <v>0.18266782683012678</v>
      </c>
      <c r="T499" s="1">
        <f t="shared" si="67"/>
        <v>4.4092234062444398</v>
      </c>
    </row>
    <row r="500" spans="1:20">
      <c r="A500">
        <v>447</v>
      </c>
      <c r="B500">
        <v>0.88090708318711497</v>
      </c>
      <c r="C500" s="1">
        <f t="shared" si="61"/>
        <v>12.265247177095915</v>
      </c>
      <c r="D500" s="1">
        <f t="shared" si="70"/>
        <v>39.450483435731599</v>
      </c>
      <c r="E500" s="1">
        <f t="shared" si="68"/>
        <v>47.297354197436221</v>
      </c>
      <c r="F500" s="1">
        <f t="shared" si="62"/>
        <v>2.5309120447066995</v>
      </c>
      <c r="G500" s="1">
        <f t="shared" si="69"/>
        <v>1.887429570639112</v>
      </c>
      <c r="H500" s="1">
        <f t="shared" si="63"/>
        <v>0.73833368939267885</v>
      </c>
      <c r="I500" s="1">
        <f t="shared" si="64"/>
        <v>19.054866690061573</v>
      </c>
      <c r="K500" s="112">
        <f>C500/'CGE-Flood Weighted Av Calcs'!$D$3</f>
        <v>2.0674442358123309E-3</v>
      </c>
      <c r="L500" s="112">
        <f>D500/'CGE-Flood Weighted Av Calcs'!$D$4</f>
        <v>2.0264521120679077E-3</v>
      </c>
      <c r="M500" s="112">
        <f>E500/'CGE-Flood Weighted Av Calcs'!$D$5</f>
        <v>2.0261458968897517E-3</v>
      </c>
      <c r="N500" s="112">
        <f>F500/'CGE-Flood Weighted Av Calcs'!$D$6</f>
        <v>6.9958137697021417E-4</v>
      </c>
      <c r="O500" s="112">
        <f>G500/'CGE-Flood Weighted Av Calcs'!$D$7</f>
        <v>3.1156499292479441E-3</v>
      </c>
      <c r="P500" s="112">
        <f>H500/'CGE-Flood Weighted Av Calcs'!$D$8</f>
        <v>7.461005966033195E-3</v>
      </c>
      <c r="R500" s="1">
        <f t="shared" si="65"/>
        <v>3.3081365781356925E-2</v>
      </c>
      <c r="S500" s="1">
        <f t="shared" si="66"/>
        <v>3.8374384306374076E-2</v>
      </c>
      <c r="T500" s="1">
        <f t="shared" si="67"/>
        <v>0.9262782418779949</v>
      </c>
    </row>
    <row r="501" spans="1:20">
      <c r="A501">
        <v>448</v>
      </c>
      <c r="B501">
        <v>9.9821910892136101E-3</v>
      </c>
      <c r="C501" s="1">
        <f t="shared" si="61"/>
        <v>148.60023092265334</v>
      </c>
      <c r="D501" s="1">
        <f t="shared" si="70"/>
        <v>471.71006562180662</v>
      </c>
      <c r="E501" s="1">
        <f t="shared" si="68"/>
        <v>565.4313347400838</v>
      </c>
      <c r="F501" s="1">
        <f t="shared" si="62"/>
        <v>30.606730183708141</v>
      </c>
      <c r="G501" s="1">
        <f t="shared" si="69"/>
        <v>21.179540720252046</v>
      </c>
      <c r="H501" s="1">
        <f t="shared" si="63"/>
        <v>7.9374590147699013</v>
      </c>
      <c r="I501" s="1">
        <f t="shared" si="64"/>
        <v>330.74797425302836</v>
      </c>
      <c r="K501" s="112">
        <f>C501/'CGE-Flood Weighted Av Calcs'!$D$3</f>
        <v>2.5048226621565986E-2</v>
      </c>
      <c r="L501" s="112">
        <f>D501/'CGE-Flood Weighted Av Calcs'!$D$4</f>
        <v>2.4230320531312254E-2</v>
      </c>
      <c r="M501" s="112">
        <f>E501/'CGE-Flood Weighted Av Calcs'!$D$5</f>
        <v>2.4222208584314783E-2</v>
      </c>
      <c r="N501" s="112">
        <f>F501/'CGE-Flood Weighted Av Calcs'!$D$6</f>
        <v>8.4601511503556506E-3</v>
      </c>
      <c r="O501" s="112">
        <f>G501/'CGE-Flood Weighted Av Calcs'!$D$7</f>
        <v>3.4961852655626617E-2</v>
      </c>
      <c r="P501" s="112">
        <f>H501/'CGE-Flood Weighted Av Calcs'!$D$8</f>
        <v>8.0209571790033268E-2</v>
      </c>
      <c r="R501" s="1">
        <f t="shared" si="65"/>
        <v>0.33003561782157281</v>
      </c>
      <c r="S501" s="1">
        <f t="shared" si="66"/>
        <v>0.39003561782157281</v>
      </c>
      <c r="T501" s="1">
        <f t="shared" si="67"/>
        <v>14.024932475100947</v>
      </c>
    </row>
    <row r="502" spans="1:20">
      <c r="A502">
        <v>449</v>
      </c>
      <c r="B502">
        <v>0.71629432365986423</v>
      </c>
      <c r="C502" s="1">
        <f t="shared" si="61"/>
        <v>29.218532377741326</v>
      </c>
      <c r="D502" s="1">
        <f t="shared" si="70"/>
        <v>93.979779693065865</v>
      </c>
      <c r="E502" s="1">
        <f t="shared" si="68"/>
        <v>112.67276191383712</v>
      </c>
      <c r="F502" s="1">
        <f t="shared" si="62"/>
        <v>6.0291924374399368</v>
      </c>
      <c r="G502" s="1">
        <f t="shared" si="69"/>
        <v>4.4962748181225738</v>
      </c>
      <c r="H502" s="1">
        <f t="shared" si="63"/>
        <v>1.7588741994032211</v>
      </c>
      <c r="I502" s="1">
        <f t="shared" si="64"/>
        <v>45.392908214421709</v>
      </c>
      <c r="K502" s="112">
        <f>C502/'CGE-Flood Weighted Av Calcs'!$D$3</f>
        <v>4.925109577576422E-3</v>
      </c>
      <c r="L502" s="112">
        <f>D502/'CGE-Flood Weighted Av Calcs'!$D$4</f>
        <v>4.8274572695906999E-3</v>
      </c>
      <c r="M502" s="112">
        <f>E502/'CGE-Flood Weighted Av Calcs'!$D$5</f>
        <v>4.8267277972883233E-3</v>
      </c>
      <c r="N502" s="112">
        <f>F502/'CGE-Flood Weighted Av Calcs'!$D$6</f>
        <v>1.6665576175293104E-3</v>
      </c>
      <c r="O502" s="112">
        <f>G502/'CGE-Flood Weighted Av Calcs'!$D$7</f>
        <v>7.4221674476676307E-3</v>
      </c>
      <c r="P502" s="112">
        <f>H502/'CGE-Flood Weighted Av Calcs'!$D$8</f>
        <v>1.77737669075397E-2</v>
      </c>
      <c r="R502" s="1">
        <f t="shared" si="65"/>
        <v>7.8807132316704359E-2</v>
      </c>
      <c r="S502" s="1">
        <f t="shared" si="66"/>
        <v>9.1416273487377075E-2</v>
      </c>
      <c r="T502" s="1">
        <f t="shared" si="67"/>
        <v>2.2065997048677231</v>
      </c>
    </row>
    <row r="503" spans="1:20">
      <c r="A503">
        <v>450</v>
      </c>
      <c r="B503">
        <v>0.39534550069549768</v>
      </c>
      <c r="C503" s="1">
        <f t="shared" ref="C503:C566" si="71">IF($B503&lt;=0.005,$F$5,IF(B503&lt;=0.01,$F$5+($B503-0.005)*SLOPE($E$5:$F$5,$E$4:$F$4),IF($B503&lt;=0.04,$E$5+($B503-0.01)*SLOPE($D$5:$E$5,$D$4:$E$4),IF($B503&lt;=0.1,$D$5+($B503-0.04)*SLOPE($C$5:$D$5,$C$4:$D$4),IF($B503&lt;=1,$C$5+($B503-0.1)*SLOPE($B$5:$C$5,$B$4:$C$4),)))))</f>
        <v>62.272695045038134</v>
      </c>
      <c r="D503" s="1">
        <f t="shared" si="70"/>
        <v>200.29665027544291</v>
      </c>
      <c r="E503" s="1">
        <f t="shared" si="68"/>
        <v>240.13651513474679</v>
      </c>
      <c r="F503" s="1">
        <f t="shared" ref="F503:F566" si="72">IF($B503&lt;=0.005,$F$26,IF($B503&lt;=0.01,$F$26+($B503-0.005)*SLOPE($E$26:$F$26,$E$25:$F$25),IF($B503&lt;=0.04,$E$26+($B503-0.01)*SLOPE($D$26:$E$26,$D$25:$E$25),IF($B503&lt;=0.1,$D$26+($B503-0.04)*SLOPE($C$26:$D$26,$C$25:$D$25),IF($B503&lt;=1,$C$26+($B503-0.1)*SLOPE($B$26:$C$26,$B$25:$C$25),)))))</f>
        <v>12.849860395814005</v>
      </c>
      <c r="G503" s="1">
        <f t="shared" si="69"/>
        <v>9.5827931043152468</v>
      </c>
      <c r="H503" s="1">
        <f t="shared" ref="H503:H566" si="73">IF($B503&lt;=0.005,$F$40,IF($B503&lt;=0.01,$F$40+($B503-0.005)*SLOPE($E$40:$F$40,$E$39:$F$39),IF($B503&lt;=0.04,$E$40+($B503-0.01)*SLOPE($D$40:$E$40,$D$39:$E$39),IF($B503&lt;=0.1,$D$40+($B503-0.04)*SLOPE($C$40:$D$40,$C$39:$D$39),IF($B503&lt;=1,$C$40+($B503-0.1)*SLOPE($B$40:$C$40,$B$39:$C$39),)))))</f>
        <v>3.748642650014216</v>
      </c>
      <c r="I503" s="1">
        <f t="shared" ref="I503:I566" si="74">IF($B503&lt;=0.005,$F$47,IF($B503&lt;=0.01,$F$47+($B503-0.005)*SLOPE($E$47:$F$47,$E$46:$F$46),IF($B503&lt;=0.04,$E$47+($B503-0.01)*SLOPE($D$47:$E$47,$D$46:$E$46),IF($B503&lt;=0.1,$D$47+($B503-0.04)*SLOPE($C$47:$D$47,$C$46:$D$46),IF($B503&lt;=1,$C$47+($B503-0.1)*SLOPE($B$47:$C$47,$B$46:$C$46),)))))</f>
        <v>96.744719888720368</v>
      </c>
      <c r="K503" s="112">
        <f>C503/'CGE-Flood Weighted Av Calcs'!$D$3</f>
        <v>1.0496757428564653E-2</v>
      </c>
      <c r="L503" s="112">
        <f>D503/'CGE-Flood Weighted Av Calcs'!$D$4</f>
        <v>1.028863361464334E-2</v>
      </c>
      <c r="M503" s="112">
        <f>E503/'CGE-Flood Weighted Av Calcs'!$D$5</f>
        <v>1.0287078909374697E-2</v>
      </c>
      <c r="N503" s="112">
        <f>F503/'CGE-Flood Weighted Av Calcs'!$D$6</f>
        <v>3.5518907298180543E-3</v>
      </c>
      <c r="O503" s="112">
        <f>G503/'CGE-Flood Weighted Av Calcs'!$D$7</f>
        <v>1.5818671659015907E-2</v>
      </c>
      <c r="P503" s="112">
        <f>H503/'CGE-Flood Weighted Av Calcs'!$D$8</f>
        <v>3.7880765266567126E-2</v>
      </c>
      <c r="R503" s="1">
        <f t="shared" ref="R503:R566" si="75">IF($B503&lt;=0.005,$F$13,IF($B503&lt;=0.01,$F$13+($B503-0.005)*SLOPE($E$13:$F$13,$E$10:$F$10),IF($B503&lt;=0.04,$E$13+($B503-0.01)*SLOPE($D$13:$E$13,$D$10:$E$10),IF($B503&lt;=0.1,$D$13+($B503-0.04)*SLOPE($C$13:$D$13,$C$10:$D$10),IF($B503&lt;=1,$C$13+($B503-0.1)*SLOPE($B$13:$C$13,$B$10:$C$10),)))))</f>
        <v>0.16795958314013953</v>
      </c>
      <c r="S503" s="1">
        <f t="shared" ref="S503:S566" si="76">IF($B503&lt;=0.005,$F$21,IF($B503&lt;=0.01,$F$21+($B503-0.005)*SLOPE($E$21:$F$21,$E$18:$F$18),IF($B503&lt;=0.04,$E$21+($B503-0.01)*SLOPE($D$21:$E$21,$D$18:$E$18),IF($B503&lt;=0.1,$D$21+($B503-0.04)*SLOPE($C$21:$D$21,$C$18:$D$18),IF($B503&lt;=1,$C$21+($B503-0.1)*SLOPE($B$21:$C$21,$B$18:$C$18),)))))</f>
        <v>0.19483311644256185</v>
      </c>
      <c r="T503" s="1">
        <f t="shared" ref="T503:T566" si="77">IF($B503&lt;=0.005,$F$14,IF($B503&lt;=0.01,$F$14+($B503-0.005)*SLOPE($E$14:$F$14,$E$10:$F$10),IF($B503&lt;=0.04,$E$14+($B503-0.01)*SLOPE($D$14:$E$14,$D$10:$E$10),IF($B503&lt;=0.1,$D$14+($B503-0.04)*SLOPE($C$14:$D$14,$C$10:$D$10),IF($B503&lt;=1,$C$14+($B503-0.1)*SLOPE($B$14:$C$14,$B$10:$C$10),)))))</f>
        <v>4.7028683279239072</v>
      </c>
    </row>
    <row r="504" spans="1:20">
      <c r="A504">
        <v>451</v>
      </c>
      <c r="B504">
        <v>0.24776673806584038</v>
      </c>
      <c r="C504" s="1">
        <f t="shared" si="71"/>
        <v>77.471667831863613</v>
      </c>
      <c r="D504" s="1">
        <f t="shared" si="70"/>
        <v>249.18329850267949</v>
      </c>
      <c r="E504" s="1">
        <f t="shared" ref="E504:E567" si="78">IF($B504&lt;=0.005,$F$19,IF($B504&lt;=0.01,$F$19+($B504-0.005)*SLOPE($E$19:$F$19,$E$18:$F$18),IF($B504&lt;=0.04,$E$19+($B504-0.01)*SLOPE($D$19:$E$19,$D$18:$E$18),IF($B504&lt;=0.1,$D$19+($B504-0.04)*SLOPE($C$19:$D$19,$C$18:$D$18),IF($B504&lt;=1,$C$19+($B504-0.1)*SLOPE($B$19:$C$19,$B$18:$C$18),)))))</f>
        <v>298.74692786887397</v>
      </c>
      <c r="F504" s="1">
        <f t="shared" si="72"/>
        <v>15.986141527202834</v>
      </c>
      <c r="G504" s="1">
        <f t="shared" ref="G504:G567" si="79">IF($B504&lt;=0.005,$F$33,IF($B504&lt;=0.01,$F$33+($B504-0.005)*SLOPE($E$33:$F$33,$E$32:$F$32),IF($B504&lt;=0.04,$E$33+($B504-0.01)*SLOPE($D$33:$E$33,$D$32:$E$32),IF($B504&lt;=0.1,$D$33+($B504-0.04)*SLOPE($C$33:$D$33,$C$32:$D$32),IF($B504&lt;=1,$C$33+($B504-0.1)*SLOPE($B$33:$C$33,$B$32:$C$32),)))))</f>
        <v>11.921677128989744</v>
      </c>
      <c r="H504" s="1">
        <f t="shared" si="73"/>
        <v>4.6635784430434475</v>
      </c>
      <c r="I504" s="1">
        <f t="shared" si="74"/>
        <v>120.35732190946554</v>
      </c>
      <c r="K504" s="112">
        <f>C504/'CGE-Flood Weighted Av Calcs'!$D$3</f>
        <v>1.3058713842869135E-2</v>
      </c>
      <c r="L504" s="112">
        <f>D504/'CGE-Flood Weighted Av Calcs'!$D$4</f>
        <v>1.2799792995323493E-2</v>
      </c>
      <c r="M504" s="112">
        <f>E504/'CGE-Flood Weighted Av Calcs'!$D$5</f>
        <v>1.2797858831239834E-2</v>
      </c>
      <c r="N504" s="112">
        <f>F504/'CGE-Flood Weighted Av Calcs'!$D$6</f>
        <v>4.4188050412227262E-3</v>
      </c>
      <c r="O504" s="112">
        <f>G504/'CGE-Flood Weighted Av Calcs'!$D$7</f>
        <v>1.9679554183776135E-2</v>
      </c>
      <c r="P504" s="112">
        <f>H504/'CGE-Flood Weighted Av Calcs'!$D$8</f>
        <v>4.7126369941525761E-2</v>
      </c>
      <c r="R504" s="1">
        <f t="shared" si="75"/>
        <v>0.2089536838705999</v>
      </c>
      <c r="S504" s="1">
        <f t="shared" si="76"/>
        <v>0.24238627328989587</v>
      </c>
      <c r="T504" s="1">
        <f t="shared" si="77"/>
        <v>5.8507031483767973</v>
      </c>
    </row>
    <row r="505" spans="1:20">
      <c r="A505">
        <v>452</v>
      </c>
      <c r="B505">
        <v>0.23279569279386259</v>
      </c>
      <c r="C505" s="1">
        <f t="shared" si="71"/>
        <v>79.013519149929863</v>
      </c>
      <c r="D505" s="1">
        <f t="shared" ref="D505:D568" si="80">IF($B505&lt;=0.005,$F$11,IF($B505&lt;=0.01,$F$11+($B505-0.005)*SLOPE($E$11:$F$11,$E$10:$F$10),IF($B505&lt;=0.04,$E$11+($B505-0.01)*SLOPE($D$11:$E$11,$D$10:$E$10),IF($B505&lt;=0.1,$D$11+($B505-0.04)*SLOPE($C$11:$D$11,$C$10:$D$10),IF($B505&lt;=1,$C$11+($B505-0.1)*SLOPE($B$11:$C$11,$B$10:$C$10),)))))</f>
        <v>254.14257726856698</v>
      </c>
      <c r="E505" s="1">
        <f t="shared" si="78"/>
        <v>304.69262850233076</v>
      </c>
      <c r="F505" s="1">
        <f t="shared" si="72"/>
        <v>16.304299817508461</v>
      </c>
      <c r="G505" s="1">
        <f t="shared" si="79"/>
        <v>12.158943914503981</v>
      </c>
      <c r="H505" s="1">
        <f t="shared" si="73"/>
        <v>4.7563935943180713</v>
      </c>
      <c r="I505" s="1">
        <f t="shared" si="74"/>
        <v>122.75268915298199</v>
      </c>
      <c r="K505" s="112">
        <f>C505/'CGE-Flood Weighted Av Calcs'!$D$3</f>
        <v>1.3318610082544468E-2</v>
      </c>
      <c r="L505" s="112">
        <f>D505/'CGE-Flood Weighted Av Calcs'!$D$4</f>
        <v>1.3054536158251728E-2</v>
      </c>
      <c r="M505" s="112">
        <f>E505/'CGE-Flood Weighted Av Calcs'!$D$5</f>
        <v>1.3052563500180202E-2</v>
      </c>
      <c r="N505" s="112">
        <f>F505/'CGE-Flood Weighted Av Calcs'!$D$6</f>
        <v>4.5067486800749778E-3</v>
      </c>
      <c r="O505" s="112">
        <f>G505/'CGE-Flood Weighted Av Calcs'!$D$7</f>
        <v>2.0071219258330414E-2</v>
      </c>
      <c r="P505" s="112">
        <f>H505/'CGE-Flood Weighted Av Calcs'!$D$8</f>
        <v>4.8064285151608967E-2</v>
      </c>
      <c r="R505" s="1">
        <f t="shared" si="75"/>
        <v>0.21311230755726041</v>
      </c>
      <c r="S505" s="1">
        <f t="shared" si="76"/>
        <v>0.24721027676642204</v>
      </c>
      <c r="T505" s="1">
        <f t="shared" si="77"/>
        <v>5.9671446116032909</v>
      </c>
    </row>
    <row r="506" spans="1:20">
      <c r="A506">
        <v>453</v>
      </c>
      <c r="B506">
        <v>0.12722330864926368</v>
      </c>
      <c r="C506" s="1">
        <f t="shared" si="71"/>
        <v>89.886301690333056</v>
      </c>
      <c r="D506" s="1">
        <f t="shared" si="80"/>
        <v>289.11427586682134</v>
      </c>
      <c r="E506" s="1">
        <f t="shared" si="78"/>
        <v>346.62034830283073</v>
      </c>
      <c r="F506" s="1">
        <f t="shared" si="72"/>
        <v>18.547879249186799</v>
      </c>
      <c r="G506" s="1">
        <f t="shared" si="79"/>
        <v>13.83209497176173</v>
      </c>
      <c r="H506" s="1">
        <f t="shared" si="73"/>
        <v>5.4109047942237023</v>
      </c>
      <c r="I506" s="1">
        <f t="shared" si="74"/>
        <v>139.64427061611781</v>
      </c>
      <c r="K506" s="112">
        <f>C506/'CGE-Flood Weighted Av Calcs'!$D$3</f>
        <v>1.5151338870299721E-2</v>
      </c>
      <c r="L506" s="112">
        <f>D506/'CGE-Flood Weighted Av Calcs'!$D$4</f>
        <v>1.4850926628408728E-2</v>
      </c>
      <c r="M506" s="112">
        <f>E506/'CGE-Flood Weighted Av Calcs'!$D$5</f>
        <v>1.484868251954664E-2</v>
      </c>
      <c r="N506" s="112">
        <f>F506/'CGE-Flood Weighted Av Calcs'!$D$6</f>
        <v>5.1269070895456929E-3</v>
      </c>
      <c r="O506" s="112">
        <f>G506/'CGE-Flood Weighted Av Calcs'!$D$7</f>
        <v>2.2833151705643425E-2</v>
      </c>
      <c r="P506" s="112">
        <f>H506/'CGE-Flood Weighted Av Calcs'!$D$8</f>
        <v>5.4678248509217986E-2</v>
      </c>
      <c r="R506" s="1">
        <f t="shared" si="75"/>
        <v>0.24243796981964899</v>
      </c>
      <c r="S506" s="1">
        <f t="shared" si="76"/>
        <v>0.28122804499079279</v>
      </c>
      <c r="T506" s="1">
        <f t="shared" si="77"/>
        <v>6.7882631549501715</v>
      </c>
    </row>
    <row r="507" spans="1:20">
      <c r="A507">
        <v>454</v>
      </c>
      <c r="B507">
        <v>0.84296018219387803</v>
      </c>
      <c r="C507" s="1">
        <f t="shared" si="71"/>
        <v>16.173356347166063</v>
      </c>
      <c r="D507" s="1">
        <f t="shared" si="80"/>
        <v>52.020698601618562</v>
      </c>
      <c r="E507" s="1">
        <f t="shared" si="78"/>
        <v>62.367839201948186</v>
      </c>
      <c r="F507" s="1">
        <f t="shared" si="72"/>
        <v>3.3373434543426832</v>
      </c>
      <c r="G507" s="1">
        <f t="shared" si="79"/>
        <v>2.4888264040148567</v>
      </c>
      <c r="H507" s="1">
        <f t="shared" si="73"/>
        <v>0.97359096716491944</v>
      </c>
      <c r="I507" s="1">
        <f t="shared" si="74"/>
        <v>25.126370848979491</v>
      </c>
      <c r="K507" s="112">
        <f>C507/'CGE-Flood Weighted Av Calcs'!$D$3</f>
        <v>2.7261996330680042E-3</v>
      </c>
      <c r="L507" s="112">
        <f>D507/'CGE-Flood Weighted Av Calcs'!$D$4</f>
        <v>2.6721460771002349E-3</v>
      </c>
      <c r="M507" s="112">
        <f>E507/'CGE-Flood Weighted Av Calcs'!$D$5</f>
        <v>2.6717422917444476E-3</v>
      </c>
      <c r="N507" s="112">
        <f>F507/'CGE-Flood Weighted Av Calcs'!$D$6</f>
        <v>9.2249089971127476E-4</v>
      </c>
      <c r="O507" s="112">
        <f>G507/'CGE-Flood Weighted Av Calcs'!$D$7</f>
        <v>4.1083979663164736E-3</v>
      </c>
      <c r="P507" s="112">
        <f>H507/'CGE-Flood Weighted Av Calcs'!$D$8</f>
        <v>9.8383266520975302E-3</v>
      </c>
      <c r="R507" s="1">
        <f t="shared" si="75"/>
        <v>4.362217161281165E-2</v>
      </c>
      <c r="S507" s="1">
        <f t="shared" si="76"/>
        <v>5.0601719070861528E-2</v>
      </c>
      <c r="T507" s="1">
        <f t="shared" si="77"/>
        <v>1.2214208051587274</v>
      </c>
    </row>
    <row r="508" spans="1:20">
      <c r="A508">
        <v>455</v>
      </c>
      <c r="B508">
        <v>0.41898723801328308</v>
      </c>
      <c r="C508" s="1">
        <f t="shared" si="71"/>
        <v>59.837858787276438</v>
      </c>
      <c r="D508" s="1">
        <f t="shared" si="80"/>
        <v>192.46513525836926</v>
      </c>
      <c r="E508" s="1">
        <f t="shared" si="78"/>
        <v>230.7472781113652</v>
      </c>
      <c r="F508" s="1">
        <f t="shared" si="72"/>
        <v>12.347436243843777</v>
      </c>
      <c r="G508" s="1">
        <f t="shared" si="79"/>
        <v>9.2081099131647672</v>
      </c>
      <c r="H508" s="1">
        <f t="shared" si="73"/>
        <v>3.6020722946595098</v>
      </c>
      <c r="I508" s="1">
        <f t="shared" si="74"/>
        <v>92.9620419178747</v>
      </c>
      <c r="K508" s="112">
        <f>C508/'CGE-Flood Weighted Av Calcs'!$D$3</f>
        <v>1.0086338615672196E-2</v>
      </c>
      <c r="L508" s="112">
        <f>D508/'CGE-Flood Weighted Av Calcs'!$D$4</f>
        <v>9.8863523555836261E-3</v>
      </c>
      <c r="M508" s="112">
        <f>E508/'CGE-Flood Weighted Av Calcs'!$D$5</f>
        <v>9.8848584386389132E-3</v>
      </c>
      <c r="N508" s="112">
        <f>F508/'CGE-Flood Weighted Av Calcs'!$D$6</f>
        <v>3.4130132920210574E-3</v>
      </c>
      <c r="O508" s="112">
        <f>G508/'CGE-Flood Weighted Av Calcs'!$D$7</f>
        <v>1.5200168231837383E-2</v>
      </c>
      <c r="P508" s="112">
        <f>H508/'CGE-Flood Weighted Av Calcs'!$D$8</f>
        <v>3.639964323264696E-2</v>
      </c>
      <c r="R508" s="1">
        <f t="shared" si="75"/>
        <v>0.16139243388519914</v>
      </c>
      <c r="S508" s="1">
        <f t="shared" si="76"/>
        <v>0.18721522330683099</v>
      </c>
      <c r="T508" s="1">
        <f t="shared" si="77"/>
        <v>4.5189881487855761</v>
      </c>
    </row>
    <row r="509" spans="1:20">
      <c r="A509">
        <v>456</v>
      </c>
      <c r="B509">
        <v>0.77002296587867225</v>
      </c>
      <c r="C509" s="1">
        <f t="shared" si="71"/>
        <v>23.68507921411765</v>
      </c>
      <c r="D509" s="1">
        <f t="shared" si="80"/>
        <v>76.181736227494241</v>
      </c>
      <c r="E509" s="1">
        <f t="shared" si="78"/>
        <v>91.334611085245228</v>
      </c>
      <c r="F509" s="1">
        <f t="shared" si="72"/>
        <v>4.8873741716989993</v>
      </c>
      <c r="G509" s="1">
        <f t="shared" si="79"/>
        <v>3.6447629832634281</v>
      </c>
      <c r="H509" s="1">
        <f t="shared" si="73"/>
        <v>1.4257757440366481</v>
      </c>
      <c r="I509" s="1">
        <f t="shared" si="74"/>
        <v>36.796325459412415</v>
      </c>
      <c r="K509" s="112">
        <f>C509/'CGE-Flood Weighted Av Calcs'!$D$3</f>
        <v>3.9923843187952947E-3</v>
      </c>
      <c r="L509" s="112">
        <f>D509/'CGE-Flood Weighted Av Calcs'!$D$4</f>
        <v>3.913225563653807E-3</v>
      </c>
      <c r="M509" s="112">
        <f>E509/'CGE-Flood Weighted Av Calcs'!$D$5</f>
        <v>3.9126342400019913E-3</v>
      </c>
      <c r="N509" s="112">
        <f>F509/'CGE-Flood Weighted Av Calcs'!$D$6</f>
        <v>1.3509422265213795E-3</v>
      </c>
      <c r="O509" s="112">
        <f>G509/'CGE-Flood Weighted Av Calcs'!$D$7</f>
        <v>6.0165453098655116E-3</v>
      </c>
      <c r="P509" s="112">
        <f>H509/'CGE-Flood Weighted Av Calcs'!$D$8</f>
        <v>1.4407742034950315E-2</v>
      </c>
      <c r="R509" s="1">
        <f t="shared" si="75"/>
        <v>6.3882509478146582E-2</v>
      </c>
      <c r="S509" s="1">
        <f t="shared" si="76"/>
        <v>7.4103710994650046E-2</v>
      </c>
      <c r="T509" s="1">
        <f t="shared" si="77"/>
        <v>1.7887102653881053</v>
      </c>
    </row>
    <row r="510" spans="1:20">
      <c r="A510">
        <v>457</v>
      </c>
      <c r="B510">
        <v>0.39531661205807678</v>
      </c>
      <c r="C510" s="1">
        <f t="shared" si="71"/>
        <v>62.275670253707631</v>
      </c>
      <c r="D510" s="1">
        <f t="shared" si="80"/>
        <v>200.30621986818238</v>
      </c>
      <c r="E510" s="1">
        <f t="shared" si="78"/>
        <v>240.14798816062392</v>
      </c>
      <c r="F510" s="1">
        <f t="shared" si="72"/>
        <v>12.850474324856643</v>
      </c>
      <c r="G510" s="1">
        <f t="shared" si="79"/>
        <v>9.5832509423629055</v>
      </c>
      <c r="H510" s="1">
        <f t="shared" si="73"/>
        <v>3.7488217492824121</v>
      </c>
      <c r="I510" s="1">
        <f t="shared" si="74"/>
        <v>96.749342070707712</v>
      </c>
      <c r="K510" s="112">
        <f>C510/'CGE-Flood Weighted Av Calcs'!$D$3</f>
        <v>1.0497258933175631E-2</v>
      </c>
      <c r="L510" s="112">
        <f>D510/'CGE-Flood Weighted Av Calcs'!$D$4</f>
        <v>1.0289125175702411E-2</v>
      </c>
      <c r="M510" s="112">
        <f>E510/'CGE-Flood Weighted Av Calcs'!$D$5</f>
        <v>1.0287570396154461E-2</v>
      </c>
      <c r="N510" s="112">
        <f>F510/'CGE-Flood Weighted Av Calcs'!$D$6</f>
        <v>3.5520604288504284E-3</v>
      </c>
      <c r="O510" s="112">
        <f>G510/'CGE-Flood Weighted Av Calcs'!$D$7</f>
        <v>1.5819427429245952E-2</v>
      </c>
      <c r="P510" s="112">
        <f>H510/'CGE-Flood Weighted Av Calcs'!$D$8</f>
        <v>3.7882575099611078E-2</v>
      </c>
      <c r="R510" s="1">
        <f t="shared" si="75"/>
        <v>0.16796760776164532</v>
      </c>
      <c r="S510" s="1">
        <f t="shared" si="76"/>
        <v>0.19484242500350857</v>
      </c>
      <c r="T510" s="1">
        <f t="shared" si="77"/>
        <v>4.7030930173260694</v>
      </c>
    </row>
    <row r="511" spans="1:20">
      <c r="A511">
        <v>458</v>
      </c>
      <c r="B511">
        <v>0.23522917195059534</v>
      </c>
      <c r="C511" s="1">
        <f t="shared" si="71"/>
        <v>78.762897835443681</v>
      </c>
      <c r="D511" s="1">
        <f t="shared" si="80"/>
        <v>253.33646778923733</v>
      </c>
      <c r="E511" s="1">
        <f t="shared" si="78"/>
        <v>303.72618038191985</v>
      </c>
      <c r="F511" s="1">
        <f t="shared" si="72"/>
        <v>16.252584552880304</v>
      </c>
      <c r="G511" s="1">
        <f t="shared" si="79"/>
        <v>12.12037721681223</v>
      </c>
      <c r="H511" s="1">
        <f t="shared" si="73"/>
        <v>4.7413068898193176</v>
      </c>
      <c r="I511" s="1">
        <f t="shared" si="74"/>
        <v>122.36333248790474</v>
      </c>
      <c r="K511" s="112">
        <f>C511/'CGE-Flood Weighted Av Calcs'!$D$3</f>
        <v>1.327636506419916E-2</v>
      </c>
      <c r="L511" s="112">
        <f>D511/'CGE-Flood Weighted Av Calcs'!$D$4</f>
        <v>1.3013128750415858E-2</v>
      </c>
      <c r="M511" s="112">
        <f>E511/'CGE-Flood Weighted Av Calcs'!$D$5</f>
        <v>1.3011162349376855E-2</v>
      </c>
      <c r="N511" s="112">
        <f>F511/'CGE-Flood Weighted Av Calcs'!$D$6</f>
        <v>4.4924538190130878E-3</v>
      </c>
      <c r="O511" s="112">
        <f>G511/'CGE-Flood Weighted Av Calcs'!$D$7</f>
        <v>2.0007555781396576E-2</v>
      </c>
      <c r="P511" s="112">
        <f>H511/'CGE-Flood Weighted Av Calcs'!$D$8</f>
        <v>4.7911831059522812E-2</v>
      </c>
      <c r="R511" s="1">
        <f t="shared" si="75"/>
        <v>0.21243634112483462</v>
      </c>
      <c r="S511" s="1">
        <f t="shared" si="76"/>
        <v>0.24642615570480816</v>
      </c>
      <c r="T511" s="1">
        <f t="shared" si="77"/>
        <v>5.9482175514953699</v>
      </c>
    </row>
    <row r="512" spans="1:20">
      <c r="A512">
        <v>459</v>
      </c>
      <c r="B512">
        <v>0.29379743532342351</v>
      </c>
      <c r="C512" s="1">
        <f t="shared" si="71"/>
        <v>72.731017466524307</v>
      </c>
      <c r="D512" s="1">
        <f t="shared" si="80"/>
        <v>233.93526101822863</v>
      </c>
      <c r="E512" s="1">
        <f t="shared" si="78"/>
        <v>280.46599017408647</v>
      </c>
      <c r="F512" s="1">
        <f t="shared" si="72"/>
        <v>15.007916715575245</v>
      </c>
      <c r="G512" s="1">
        <f t="shared" si="79"/>
        <v>11.192165236207726</v>
      </c>
      <c r="H512" s="1">
        <f t="shared" si="73"/>
        <v>4.3782045061122821</v>
      </c>
      <c r="I512" s="1">
        <f t="shared" si="74"/>
        <v>112.99241034825224</v>
      </c>
      <c r="K512" s="112">
        <f>C512/'CGE-Flood Weighted Av Calcs'!$D$3</f>
        <v>1.225962433979538E-2</v>
      </c>
      <c r="L512" s="112">
        <f>D512/'CGE-Flood Weighted Av Calcs'!$D$4</f>
        <v>1.2016547390346457E-2</v>
      </c>
      <c r="M512" s="112">
        <f>E512/'CGE-Flood Weighted Av Calcs'!$D$5</f>
        <v>1.2014731581732956E-2</v>
      </c>
      <c r="N512" s="112">
        <f>F512/'CGE-Flood Weighted Av Calcs'!$D$6</f>
        <v>4.1484092911467235E-3</v>
      </c>
      <c r="O512" s="112">
        <f>G512/'CGE-Flood Weighted Av Calcs'!$D$7</f>
        <v>1.8475321870958131E-2</v>
      </c>
      <c r="P512" s="112">
        <f>H512/'CGE-Flood Weighted Av Calcs'!$D$8</f>
        <v>4.4242610637862979E-2</v>
      </c>
      <c r="R512" s="1">
        <f t="shared" si="75"/>
        <v>0.1961673790768268</v>
      </c>
      <c r="S512" s="1">
        <f t="shared" si="76"/>
        <v>0.22755415972911908</v>
      </c>
      <c r="T512" s="1">
        <f t="shared" si="77"/>
        <v>5.4926866141511503</v>
      </c>
    </row>
    <row r="513" spans="1:20">
      <c r="A513">
        <v>460</v>
      </c>
      <c r="B513">
        <v>0.12725827168615578</v>
      </c>
      <c r="C513" s="1">
        <f t="shared" si="71"/>
        <v>89.882700886011349</v>
      </c>
      <c r="D513" s="1">
        <f t="shared" si="80"/>
        <v>289.1026940805599</v>
      </c>
      <c r="E513" s="1">
        <f t="shared" si="78"/>
        <v>346.60646284948928</v>
      </c>
      <c r="F513" s="1">
        <f t="shared" si="72"/>
        <v>18.547136229588673</v>
      </c>
      <c r="G513" s="1">
        <f t="shared" si="79"/>
        <v>13.831540864334727</v>
      </c>
      <c r="H513" s="1">
        <f t="shared" si="73"/>
        <v>5.4106880358411571</v>
      </c>
      <c r="I513" s="1">
        <f t="shared" si="74"/>
        <v>139.63867653021506</v>
      </c>
      <c r="K513" s="112">
        <f>C513/'CGE-Flood Weighted Av Calcs'!$D$3</f>
        <v>1.5150731914562775E-2</v>
      </c>
      <c r="L513" s="112">
        <f>D513/'CGE-Flood Weighted Av Calcs'!$D$4</f>
        <v>1.4850331707049419E-2</v>
      </c>
      <c r="M513" s="112">
        <f>E513/'CGE-Flood Weighted Av Calcs'!$D$5</f>
        <v>1.484808768808531E-2</v>
      </c>
      <c r="N513" s="112">
        <f>F513/'CGE-Flood Weighted Av Calcs'!$D$6</f>
        <v>5.1267017079818962E-3</v>
      </c>
      <c r="O513" s="112">
        <f>G513/'CGE-Flood Weighted Av Calcs'!$D$7</f>
        <v>2.2832237019981723E-2</v>
      </c>
      <c r="P513" s="112">
        <f>H513/'CGE-Flood Weighted Av Calcs'!$D$8</f>
        <v>5.4676058123476971E-2</v>
      </c>
      <c r="R513" s="1">
        <f t="shared" si="75"/>
        <v>0.24242825786495673</v>
      </c>
      <c r="S513" s="1">
        <f t="shared" si="76"/>
        <v>0.2812167791233498</v>
      </c>
      <c r="T513" s="1">
        <f t="shared" si="77"/>
        <v>6.7879912202187889</v>
      </c>
    </row>
    <row r="514" spans="1:20">
      <c r="A514">
        <v>461</v>
      </c>
      <c r="B514">
        <v>0.73687688969555887</v>
      </c>
      <c r="C514" s="1">
        <f t="shared" si="71"/>
        <v>27.098756771242947</v>
      </c>
      <c r="D514" s="1">
        <f t="shared" si="80"/>
        <v>87.161639687881518</v>
      </c>
      <c r="E514" s="1">
        <f t="shared" si="78"/>
        <v>104.49846454893253</v>
      </c>
      <c r="F514" s="1">
        <f t="shared" si="72"/>
        <v>5.5917804931800035</v>
      </c>
      <c r="G514" s="1">
        <f t="shared" si="79"/>
        <v>4.1700745300194679</v>
      </c>
      <c r="H514" s="1">
        <f t="shared" si="73"/>
        <v>1.6312696169898135</v>
      </c>
      <c r="I514" s="1">
        <f t="shared" si="74"/>
        <v>42.09969764871056</v>
      </c>
      <c r="K514" s="112">
        <f>C514/'CGE-Flood Weighted Av Calcs'!$D$3</f>
        <v>4.5677977520916036E-3</v>
      </c>
      <c r="L514" s="112">
        <f>D514/'CGE-Flood Weighted Av Calcs'!$D$4</f>
        <v>4.4772300224040062E-3</v>
      </c>
      <c r="M514" s="112">
        <f>E514/'CGE-Flood Weighted Av Calcs'!$D$5</f>
        <v>4.4765534725952115E-3</v>
      </c>
      <c r="N514" s="112">
        <f>F514/'CGE-Flood Weighted Av Calcs'!$D$6</f>
        <v>1.5456505117653703E-3</v>
      </c>
      <c r="O514" s="112">
        <f>G514/'CGE-Flood Weighted Av Calcs'!$D$7</f>
        <v>6.8836965450394822E-3</v>
      </c>
      <c r="P514" s="112">
        <f>H514/'CGE-Flood Weighted Av Calcs'!$D$8</f>
        <v>1.6484297709049342E-2</v>
      </c>
      <c r="R514" s="1">
        <f t="shared" si="75"/>
        <v>7.3089752862344731E-2</v>
      </c>
      <c r="S514" s="1">
        <f t="shared" si="76"/>
        <v>8.4784113320319904E-2</v>
      </c>
      <c r="T514" s="1">
        <f t="shared" si="77"/>
        <v>2.0465130801456537</v>
      </c>
    </row>
    <row r="515" spans="1:20">
      <c r="A515">
        <v>462</v>
      </c>
      <c r="B515">
        <v>0.28131035426404605</v>
      </c>
      <c r="C515" s="1">
        <f t="shared" si="71"/>
        <v>74.01704807029509</v>
      </c>
      <c r="D515" s="1">
        <f t="shared" si="80"/>
        <v>238.07170672530287</v>
      </c>
      <c r="E515" s="1">
        <f t="shared" si="78"/>
        <v>285.42519271579101</v>
      </c>
      <c r="F515" s="1">
        <f t="shared" si="72"/>
        <v>15.273286854305342</v>
      </c>
      <c r="G515" s="1">
        <f t="shared" si="79"/>
        <v>11.390065217778139</v>
      </c>
      <c r="H515" s="1">
        <f t="shared" si="73"/>
        <v>4.4556199635135076</v>
      </c>
      <c r="I515" s="1">
        <f t="shared" si="74"/>
        <v>114.99034331775263</v>
      </c>
      <c r="K515" s="112">
        <f>C515/'CGE-Flood Weighted Av Calcs'!$D$3</f>
        <v>1.2476399144286004E-2</v>
      </c>
      <c r="L515" s="112">
        <f>D515/'CGE-Flood Weighted Av Calcs'!$D$4</f>
        <v>1.2229024105700538E-2</v>
      </c>
      <c r="M515" s="112">
        <f>E515/'CGE-Flood Weighted Av Calcs'!$D$5</f>
        <v>1.2227176189940332E-2</v>
      </c>
      <c r="N515" s="112">
        <f>F515/'CGE-Flood Weighted Av Calcs'!$D$6</f>
        <v>4.2217615071780366E-3</v>
      </c>
      <c r="O515" s="112">
        <f>G515/'CGE-Flood Weighted Av Calcs'!$D$7</f>
        <v>1.880200270354106E-2</v>
      </c>
      <c r="P515" s="112">
        <f>H515/'CGE-Flood Weighted Av Calcs'!$D$8</f>
        <v>4.5024908937171031E-2</v>
      </c>
      <c r="R515" s="1">
        <f t="shared" si="75"/>
        <v>0.19963601270443165</v>
      </c>
      <c r="S515" s="1">
        <f t="shared" si="76"/>
        <v>0.2315777747371407</v>
      </c>
      <c r="T515" s="1">
        <f t="shared" si="77"/>
        <v>5.5898083557240863</v>
      </c>
    </row>
    <row r="516" spans="1:20">
      <c r="A516">
        <v>463</v>
      </c>
      <c r="B516">
        <v>0.70795328564968496</v>
      </c>
      <c r="C516" s="1">
        <f t="shared" si="71"/>
        <v>30.077566614589678</v>
      </c>
      <c r="D516" s="1">
        <f t="shared" si="80"/>
        <v>96.74281540218692</v>
      </c>
      <c r="E516" s="1">
        <f t="shared" si="78"/>
        <v>115.98537730440287</v>
      </c>
      <c r="F516" s="1">
        <f t="shared" si="72"/>
        <v>6.2064526316669966</v>
      </c>
      <c r="G516" s="1">
        <f t="shared" si="79"/>
        <v>4.6284667419711774</v>
      </c>
      <c r="H516" s="1">
        <f t="shared" si="73"/>
        <v>1.8105856658130683</v>
      </c>
      <c r="I516" s="1">
        <f t="shared" si="74"/>
        <v>46.727474296050389</v>
      </c>
      <c r="K516" s="112">
        <f>C516/'CGE-Flood Weighted Av Calcs'!$D$3</f>
        <v>5.0699093810939637E-3</v>
      </c>
      <c r="L516" s="112">
        <f>D516/'CGE-Flood Weighted Av Calcs'!$D$4</f>
        <v>4.969386063887706E-3</v>
      </c>
      <c r="M516" s="112">
        <f>E516/'CGE-Flood Weighted Av Calcs'!$D$5</f>
        <v>4.9686351448653358E-3</v>
      </c>
      <c r="N516" s="112">
        <f>F516/'CGE-Flood Weighted Av Calcs'!$D$6</f>
        <v>1.7155549467801358E-3</v>
      </c>
      <c r="O516" s="112">
        <f>G516/'CGE-Flood Weighted Av Calcs'!$D$7</f>
        <v>7.6403815546165791E-3</v>
      </c>
      <c r="P516" s="112">
        <f>H516/'CGE-Flood Weighted Av Calcs'!$D$8</f>
        <v>1.8296321363524982E-2</v>
      </c>
      <c r="R516" s="1">
        <f t="shared" si="75"/>
        <v>8.112408731953194E-2</v>
      </c>
      <c r="S516" s="1">
        <f t="shared" si="76"/>
        <v>9.410394129065705E-2</v>
      </c>
      <c r="T516" s="1">
        <f t="shared" si="77"/>
        <v>2.2714744449468949</v>
      </c>
    </row>
    <row r="517" spans="1:20">
      <c r="A517">
        <v>464</v>
      </c>
      <c r="B517">
        <v>3.1522526879210533E-2</v>
      </c>
      <c r="C517" s="1">
        <f t="shared" si="71"/>
        <v>119.26631839051527</v>
      </c>
      <c r="D517" s="1">
        <f t="shared" si="80"/>
        <v>380.11240051244727</v>
      </c>
      <c r="E517" s="1">
        <f t="shared" si="78"/>
        <v>455.6328628573952</v>
      </c>
      <c r="F517" s="1">
        <f t="shared" si="72"/>
        <v>27.667608191677886</v>
      </c>
      <c r="G517" s="1">
        <f t="shared" si="79"/>
        <v>17.994038344674237</v>
      </c>
      <c r="H517" s="1">
        <f t="shared" si="73"/>
        <v>6.819803221334757</v>
      </c>
      <c r="I517" s="1">
        <f t="shared" si="74"/>
        <v>266.86725448764912</v>
      </c>
      <c r="K517" s="112">
        <f>C517/'CGE-Flood Weighted Av Calcs'!$D$3</f>
        <v>2.0103668431850696E-2</v>
      </c>
      <c r="L517" s="112">
        <f>D517/'CGE-Flood Weighted Av Calcs'!$D$4</f>
        <v>1.9525225288975386E-2</v>
      </c>
      <c r="M517" s="112">
        <f>E517/'CGE-Flood Weighted Av Calcs'!$D$5</f>
        <v>1.9518610950476457E-2</v>
      </c>
      <c r="N517" s="112">
        <f>F517/'CGE-Flood Weighted Av Calcs'!$D$6</f>
        <v>7.6477345298064181E-3</v>
      </c>
      <c r="O517" s="112">
        <f>G517/'CGE-Flood Weighted Av Calcs'!$D$7</f>
        <v>2.9703425848353785E-2</v>
      </c>
      <c r="P517" s="112">
        <f>H517/'CGE-Flood Weighted Av Calcs'!$D$8</f>
        <v>6.8915441964194843E-2</v>
      </c>
      <c r="R517" s="1">
        <f t="shared" si="75"/>
        <v>0.30130329749438595</v>
      </c>
      <c r="S517" s="1">
        <f t="shared" si="76"/>
        <v>0.36130329749438594</v>
      </c>
      <c r="T517" s="1">
        <f t="shared" si="77"/>
        <v>9.6954946241578952</v>
      </c>
    </row>
    <row r="518" spans="1:20">
      <c r="A518">
        <v>465</v>
      </c>
      <c r="B518">
        <v>0.78997149674129485</v>
      </c>
      <c r="C518" s="1">
        <f t="shared" si="71"/>
        <v>21.630602185610428</v>
      </c>
      <c r="D518" s="1">
        <f t="shared" si="80"/>
        <v>69.573625456309145</v>
      </c>
      <c r="E518" s="1">
        <f t="shared" si="78"/>
        <v>83.41211867194437</v>
      </c>
      <c r="F518" s="1">
        <f t="shared" si="72"/>
        <v>4.4634364734248031</v>
      </c>
      <c r="G518" s="1">
        <f t="shared" si="79"/>
        <v>3.3286111242903402</v>
      </c>
      <c r="H518" s="1">
        <f t="shared" si="73"/>
        <v>1.3021019539916443</v>
      </c>
      <c r="I518" s="1">
        <f t="shared" si="74"/>
        <v>33.604560521392798</v>
      </c>
      <c r="K518" s="112">
        <f>C518/'CGE-Flood Weighted Av Calcs'!$D$3</f>
        <v>3.6460792970646363E-3</v>
      </c>
      <c r="L518" s="112">
        <f>D518/'CGE-Flood Weighted Av Calcs'!$D$4</f>
        <v>3.5737868834951237E-3</v>
      </c>
      <c r="M518" s="112">
        <f>E518/'CGE-Flood Weighted Av Calcs'!$D$5</f>
        <v>3.5732468520871755E-3</v>
      </c>
      <c r="N518" s="112">
        <f>F518/'CGE-Flood Weighted Av Calcs'!$D$6</f>
        <v>1.233759600863357E-3</v>
      </c>
      <c r="O518" s="112">
        <f>G518/'CGE-Flood Weighted Av Calcs'!$D$7</f>
        <v>5.4946617215377285E-3</v>
      </c>
      <c r="P518" s="112">
        <f>H518/'CGE-Flood Weighted Av Calcs'!$D$8</f>
        <v>1.3157994260164759E-2</v>
      </c>
      <c r="R518" s="1">
        <f t="shared" si="75"/>
        <v>5.8341250905195846E-2</v>
      </c>
      <c r="S518" s="1">
        <f t="shared" si="76"/>
        <v>6.7675851050027214E-2</v>
      </c>
      <c r="T518" s="1">
        <f t="shared" si="77"/>
        <v>1.6335550253454851</v>
      </c>
    </row>
    <row r="519" spans="1:20">
      <c r="A519">
        <v>466</v>
      </c>
      <c r="B519">
        <v>0.3066100447190061</v>
      </c>
      <c r="C519" s="1">
        <f t="shared" si="71"/>
        <v>71.411461061105911</v>
      </c>
      <c r="D519" s="1">
        <f t="shared" si="80"/>
        <v>229.69098144009806</v>
      </c>
      <c r="E519" s="1">
        <f t="shared" si="78"/>
        <v>275.37750514077084</v>
      </c>
      <c r="F519" s="1">
        <f t="shared" si="72"/>
        <v>14.735628587018015</v>
      </c>
      <c r="G519" s="1">
        <f t="shared" si="79"/>
        <v>10.989106158493923</v>
      </c>
      <c r="H519" s="1">
        <f t="shared" si="73"/>
        <v>4.2987708889085736</v>
      </c>
      <c r="I519" s="1">
        <f t="shared" si="74"/>
        <v>110.94239284495902</v>
      </c>
      <c r="K519" s="112">
        <f>C519/'CGE-Flood Weighted Av Calcs'!$D$3</f>
        <v>1.2037198387442298E-2</v>
      </c>
      <c r="L519" s="112">
        <f>D519/'CGE-Flood Weighted Av Calcs'!$D$4</f>
        <v>1.1798531574917455E-2</v>
      </c>
      <c r="M519" s="112">
        <f>E519/'CGE-Flood Weighted Av Calcs'!$D$5</f>
        <v>1.1796748710458599E-2</v>
      </c>
      <c r="N519" s="112">
        <f>F519/'CGE-Flood Weighted Av Calcs'!$D$6</f>
        <v>4.0731448408047582E-3</v>
      </c>
      <c r="O519" s="112">
        <f>G519/'CGE-Flood Weighted Av Calcs'!$D$7</f>
        <v>1.8140124727205671E-2</v>
      </c>
      <c r="P519" s="112">
        <f>H519/'CGE-Flood Weighted Av Calcs'!$D$8</f>
        <v>4.3439918440046625E-2</v>
      </c>
      <c r="R519" s="1">
        <f t="shared" si="75"/>
        <v>0.19260832091138719</v>
      </c>
      <c r="S519" s="1">
        <f t="shared" si="76"/>
        <v>0.22342565225720912</v>
      </c>
      <c r="T519" s="1">
        <f t="shared" si="77"/>
        <v>5.3930329855188415</v>
      </c>
    </row>
    <row r="520" spans="1:20">
      <c r="A520">
        <v>467</v>
      </c>
      <c r="B520">
        <v>0.73239710804548697</v>
      </c>
      <c r="C520" s="1">
        <f t="shared" si="71"/>
        <v>27.560124505848691</v>
      </c>
      <c r="D520" s="1">
        <f t="shared" si="80"/>
        <v>88.645603272882369</v>
      </c>
      <c r="E520" s="1">
        <f t="shared" si="78"/>
        <v>106.2775948708771</v>
      </c>
      <c r="F520" s="1">
        <f t="shared" si="72"/>
        <v>5.6869829085649322</v>
      </c>
      <c r="G520" s="1">
        <f t="shared" si="79"/>
        <v>4.2410718032631554</v>
      </c>
      <c r="H520" s="1">
        <f t="shared" si="73"/>
        <v>1.6590426685019195</v>
      </c>
      <c r="I520" s="1">
        <f t="shared" si="74"/>
        <v>42.816462712722057</v>
      </c>
      <c r="K520" s="112">
        <f>C520/'CGE-Flood Weighted Av Calcs'!$D$3</f>
        <v>4.6455664305151134E-3</v>
      </c>
      <c r="L520" s="112">
        <f>D520/'CGE-Flood Weighted Av Calcs'!$D$4</f>
        <v>4.5534567471273123E-3</v>
      </c>
      <c r="M520" s="112">
        <f>E520/'CGE-Flood Weighted Av Calcs'!$D$5</f>
        <v>4.5527686787733938E-3</v>
      </c>
      <c r="N520" s="112">
        <f>F520/'CGE-Flood Weighted Av Calcs'!$D$6</f>
        <v>1.571965861990667E-3</v>
      </c>
      <c r="O520" s="112">
        <f>G520/'CGE-Flood Weighted Av Calcs'!$D$7</f>
        <v>7.0008943747225201E-3</v>
      </c>
      <c r="P520" s="112">
        <f>H520/'CGE-Flood Weighted Av Calcs'!$D$8</f>
        <v>1.6764949812568031E-2</v>
      </c>
      <c r="R520" s="1">
        <f t="shared" si="75"/>
        <v>7.433413665403138E-2</v>
      </c>
      <c r="S520" s="1">
        <f t="shared" si="76"/>
        <v>8.6227598518676424E-2</v>
      </c>
      <c r="T520" s="1">
        <f t="shared" si="77"/>
        <v>2.0813558263128797</v>
      </c>
    </row>
    <row r="521" spans="1:20">
      <c r="A521">
        <v>468</v>
      </c>
      <c r="B521">
        <v>0.39652628703342696</v>
      </c>
      <c r="C521" s="1">
        <f t="shared" si="71"/>
        <v>62.15108717207962</v>
      </c>
      <c r="D521" s="1">
        <f t="shared" si="80"/>
        <v>199.90550533490199</v>
      </c>
      <c r="E521" s="1">
        <f t="shared" si="78"/>
        <v>239.66756978391385</v>
      </c>
      <c r="F521" s="1">
        <f t="shared" si="72"/>
        <v>12.824766826482879</v>
      </c>
      <c r="G521" s="1">
        <f t="shared" si="79"/>
        <v>9.5640795560165195</v>
      </c>
      <c r="H521" s="1">
        <f t="shared" si="73"/>
        <v>3.7413221950568691</v>
      </c>
      <c r="I521" s="1">
        <f t="shared" si="74"/>
        <v>96.555794074651672</v>
      </c>
      <c r="K521" s="112">
        <f>C521/'CGE-Flood Weighted Av Calcs'!$D$3</f>
        <v>1.0476259064989318E-2</v>
      </c>
      <c r="L521" s="112">
        <f>D521/'CGE-Flood Weighted Av Calcs'!$D$4</f>
        <v>1.0268541681114182E-2</v>
      </c>
      <c r="M521" s="112">
        <f>E521/'CGE-Flood Weighted Av Calcs'!$D$5</f>
        <v>1.0266990011917783E-2</v>
      </c>
      <c r="N521" s="112">
        <f>F521/'CGE-Flood Weighted Av Calcs'!$D$6</f>
        <v>3.544954497552503E-3</v>
      </c>
      <c r="O521" s="112">
        <f>G521/'CGE-Flood Weighted Av Calcs'!$D$7</f>
        <v>1.5787780511425608E-2</v>
      </c>
      <c r="P521" s="112">
        <f>H521/'CGE-Flood Weighted Av Calcs'!$D$8</f>
        <v>3.7806790641142993E-2</v>
      </c>
      <c r="R521" s="1">
        <f t="shared" si="75"/>
        <v>0.16763158693515917</v>
      </c>
      <c r="S521" s="1">
        <f t="shared" si="76"/>
        <v>0.19445264084478464</v>
      </c>
      <c r="T521" s="1">
        <f t="shared" si="77"/>
        <v>4.6936844341844566</v>
      </c>
    </row>
    <row r="522" spans="1:20">
      <c r="A522">
        <v>469</v>
      </c>
      <c r="B522">
        <v>0.13920126334720762</v>
      </c>
      <c r="C522" s="1">
        <f t="shared" si="71"/>
        <v>88.65270544483036</v>
      </c>
      <c r="D522" s="1">
        <f t="shared" si="80"/>
        <v>285.1464823485249</v>
      </c>
      <c r="E522" s="1">
        <f t="shared" si="78"/>
        <v>341.86334359532486</v>
      </c>
      <c r="F522" s="1">
        <f t="shared" si="72"/>
        <v>18.293328847473088</v>
      </c>
      <c r="G522" s="1">
        <f t="shared" si="79"/>
        <v>13.642263817250708</v>
      </c>
      <c r="H522" s="1">
        <f t="shared" si="73"/>
        <v>5.3366457390239184</v>
      </c>
      <c r="I522" s="1">
        <f t="shared" si="74"/>
        <v>137.72779786444679</v>
      </c>
      <c r="K522" s="112">
        <f>C522/'CGE-Flood Weighted Av Calcs'!$D$3</f>
        <v>1.4943402461823024E-2</v>
      </c>
      <c r="L522" s="112">
        <f>D522/'CGE-Flood Weighted Av Calcs'!$D$4</f>
        <v>1.4647113066313857E-2</v>
      </c>
      <c r="M522" s="112">
        <f>E522/'CGE-Flood Weighted Av Calcs'!$D$5</f>
        <v>1.4644899755517934E-2</v>
      </c>
      <c r="N522" s="112">
        <f>F522/'CGE-Flood Weighted Av Calcs'!$D$6</f>
        <v>5.0565456082324071E-3</v>
      </c>
      <c r="O522" s="112">
        <f>G522/'CGE-Flood Weighted Av Calcs'!$D$7</f>
        <v>2.2519790384870515E-2</v>
      </c>
      <c r="P522" s="112">
        <f>H522/'CGE-Flood Weighted Av Calcs'!$D$8</f>
        <v>5.3927846269908944E-2</v>
      </c>
      <c r="R522" s="1">
        <f t="shared" si="75"/>
        <v>0.23911076018133121</v>
      </c>
      <c r="S522" s="1">
        <f t="shared" si="76"/>
        <v>0.27736848181034418</v>
      </c>
      <c r="T522" s="1">
        <f t="shared" si="77"/>
        <v>6.695101285077274</v>
      </c>
    </row>
    <row r="523" spans="1:20">
      <c r="A523">
        <v>470</v>
      </c>
      <c r="B523">
        <v>0.39268830084721584</v>
      </c>
      <c r="C523" s="1">
        <f t="shared" si="71"/>
        <v>62.546357104968408</v>
      </c>
      <c r="D523" s="1">
        <f t="shared" si="80"/>
        <v>201.17686902736727</v>
      </c>
      <c r="E523" s="1">
        <f t="shared" si="78"/>
        <v>241.19181318068365</v>
      </c>
      <c r="F523" s="1">
        <f t="shared" si="72"/>
        <v>12.906330077480932</v>
      </c>
      <c r="G523" s="1">
        <f t="shared" si="79"/>
        <v>9.6249054121078643</v>
      </c>
      <c r="H523" s="1">
        <f t="shared" si="73"/>
        <v>3.7651163431601997</v>
      </c>
      <c r="I523" s="1">
        <f t="shared" si="74"/>
        <v>97.169871864445454</v>
      </c>
      <c r="K523" s="112">
        <f>C523/'CGE-Flood Weighted Av Calcs'!$D$3</f>
        <v>1.0542886221583999E-2</v>
      </c>
      <c r="L523" s="112">
        <f>D523/'CGE-Flood Weighted Av Calcs'!$D$4</f>
        <v>1.0333847791849171E-2</v>
      </c>
      <c r="M523" s="112">
        <f>E523/'CGE-Flood Weighted Av Calcs'!$D$5</f>
        <v>1.0332286254310848E-2</v>
      </c>
      <c r="N523" s="112">
        <f>F523/'CGE-Flood Weighted Av Calcs'!$D$6</f>
        <v>3.5674997817960723E-3</v>
      </c>
      <c r="O523" s="112">
        <f>G523/'CGE-Flood Weighted Av Calcs'!$D$7</f>
        <v>1.5888188005922621E-2</v>
      </c>
      <c r="P523" s="112">
        <f>H523/'CGE-Flood Weighted Av Calcs'!$D$8</f>
        <v>3.8047235149508384E-2</v>
      </c>
      <c r="R523" s="1">
        <f t="shared" si="75"/>
        <v>0.16869769420910669</v>
      </c>
      <c r="S523" s="1">
        <f t="shared" si="76"/>
        <v>0.19568932528256378</v>
      </c>
      <c r="T523" s="1">
        <f t="shared" si="77"/>
        <v>4.7235354378549879</v>
      </c>
    </row>
    <row r="524" spans="1:20">
      <c r="A524">
        <v>471</v>
      </c>
      <c r="B524">
        <v>0.74260714755562485</v>
      </c>
      <c r="C524" s="1">
        <f t="shared" si="71"/>
        <v>26.508603881187938</v>
      </c>
      <c r="D524" s="1">
        <f t="shared" si="80"/>
        <v>85.263445833530085</v>
      </c>
      <c r="E524" s="1">
        <f t="shared" si="78"/>
        <v>102.22271177619615</v>
      </c>
      <c r="F524" s="1">
        <f t="shared" si="72"/>
        <v>5.4700034889262366</v>
      </c>
      <c r="G524" s="1">
        <f t="shared" si="79"/>
        <v>4.0792592370371938</v>
      </c>
      <c r="H524" s="1">
        <f t="shared" si="73"/>
        <v>1.5957440581218481</v>
      </c>
      <c r="I524" s="1">
        <f t="shared" si="74"/>
        <v>41.182856391100003</v>
      </c>
      <c r="K524" s="112">
        <f>C524/'CGE-Flood Weighted Av Calcs'!$D$3</f>
        <v>4.4683208990632644E-3</v>
      </c>
      <c r="L524" s="112">
        <f>D524/'CGE-Flood Weighted Av Calcs'!$D$4</f>
        <v>4.3797255405760146E-3</v>
      </c>
      <c r="M524" s="112">
        <f>E524/'CGE-Flood Weighted Av Calcs'!$D$5</f>
        <v>4.3790637245732129E-3</v>
      </c>
      <c r="N524" s="112">
        <f>F524/'CGE-Flood Weighted Av Calcs'!$D$6</f>
        <v>1.5119895536545047E-3</v>
      </c>
      <c r="O524" s="112">
        <f>G524/'CGE-Flood Weighted Av Calcs'!$D$7</f>
        <v>6.7337843758351803E-3</v>
      </c>
      <c r="P524" s="112">
        <f>H524/'CGE-Flood Weighted Av Calcs'!$D$8</f>
        <v>1.6125305006334422E-2</v>
      </c>
      <c r="R524" s="1">
        <f t="shared" si="75"/>
        <v>7.1498014567881962E-2</v>
      </c>
      <c r="S524" s="1">
        <f t="shared" si="76"/>
        <v>8.2937696898743113E-2</v>
      </c>
      <c r="T524" s="1">
        <f t="shared" si="77"/>
        <v>2.0019444079006963</v>
      </c>
    </row>
    <row r="525" spans="1:20">
      <c r="A525">
        <v>472</v>
      </c>
      <c r="B525">
        <v>0.93434318541161576</v>
      </c>
      <c r="C525" s="1">
        <f t="shared" si="71"/>
        <v>6.7619223824414973</v>
      </c>
      <c r="D525" s="1">
        <f t="shared" si="80"/>
        <v>21.749346188502386</v>
      </c>
      <c r="E525" s="1">
        <f t="shared" si="78"/>
        <v>26.075384650636295</v>
      </c>
      <c r="F525" s="1">
        <f t="shared" si="72"/>
        <v>1.395310714573391</v>
      </c>
      <c r="G525" s="1">
        <f t="shared" si="79"/>
        <v>1.0405540202091874</v>
      </c>
      <c r="H525" s="1">
        <f t="shared" si="73"/>
        <v>0.4070488778520529</v>
      </c>
      <c r="I525" s="1">
        <f t="shared" si="74"/>
        <v>10.505090334141443</v>
      </c>
      <c r="K525" s="112">
        <f>C525/'CGE-Flood Weighted Av Calcs'!$D$3</f>
        <v>1.1397974497158994E-3</v>
      </c>
      <c r="L525" s="112">
        <f>D525/'CGE-Flood Weighted Av Calcs'!$D$4</f>
        <v>1.117198185710127E-3</v>
      </c>
      <c r="M525" s="112">
        <f>E525/'CGE-Flood Weighted Av Calcs'!$D$5</f>
        <v>1.1170293669951746E-3</v>
      </c>
      <c r="N525" s="112">
        <f>F525/'CGE-Flood Weighted Av Calcs'!$D$6</f>
        <v>3.8568443855806445E-4</v>
      </c>
      <c r="O525" s="112">
        <f>G525/'CGE-Flood Weighted Av Calcs'!$D$7</f>
        <v>1.7176810779464624E-3</v>
      </c>
      <c r="P525" s="112">
        <f>H525/'CGE-Flood Weighted Av Calcs'!$D$8</f>
        <v>4.1133083181120762E-3</v>
      </c>
      <c r="R525" s="1">
        <f t="shared" si="75"/>
        <v>1.8238004052328949E-2</v>
      </c>
      <c r="S525" s="1">
        <f t="shared" si="76"/>
        <v>2.1156084700701572E-2</v>
      </c>
      <c r="T525" s="1">
        <f t="shared" si="77"/>
        <v>0.51066411346521168</v>
      </c>
    </row>
    <row r="526" spans="1:20">
      <c r="A526">
        <v>473</v>
      </c>
      <c r="B526">
        <v>0.23725390053715101</v>
      </c>
      <c r="C526" s="1">
        <f t="shared" si="71"/>
        <v>78.554373288012755</v>
      </c>
      <c r="D526" s="1">
        <f t="shared" si="80"/>
        <v>252.6657602131414</v>
      </c>
      <c r="E526" s="1">
        <f t="shared" si="78"/>
        <v>302.92206618541849</v>
      </c>
      <c r="F526" s="1">
        <f t="shared" si="72"/>
        <v>16.209555881619973</v>
      </c>
      <c r="G526" s="1">
        <f t="shared" si="79"/>
        <v>12.08828855269136</v>
      </c>
      <c r="H526" s="1">
        <f t="shared" si="73"/>
        <v>4.7287542933481168</v>
      </c>
      <c r="I526" s="1">
        <f t="shared" si="74"/>
        <v>122.03937591405584</v>
      </c>
      <c r="K526" s="112">
        <f>C526/'CGE-Flood Weighted Av Calcs'!$D$3</f>
        <v>1.3241215925548574E-2</v>
      </c>
      <c r="L526" s="112">
        <f>D526/'CGE-Flood Weighted Av Calcs'!$D$4</f>
        <v>1.2978676529155408E-2</v>
      </c>
      <c r="M526" s="112">
        <f>E526/'CGE-Flood Weighted Av Calcs'!$D$5</f>
        <v>1.2976715334157549E-2</v>
      </c>
      <c r="N526" s="112">
        <f>F526/'CGE-Flood Weighted Av Calcs'!$D$6</f>
        <v>4.4805600603372549E-3</v>
      </c>
      <c r="O526" s="112">
        <f>G526/'CGE-Flood Weighted Av Calcs'!$D$7</f>
        <v>1.9954585834515856E-2</v>
      </c>
      <c r="P526" s="112">
        <f>H526/'CGE-Flood Weighted Av Calcs'!$D$8</f>
        <v>4.7784984623410881E-2</v>
      </c>
      <c r="R526" s="1">
        <f t="shared" si="75"/>
        <v>0.21187391651745804</v>
      </c>
      <c r="S526" s="1">
        <f t="shared" si="76"/>
        <v>0.24577374316025133</v>
      </c>
      <c r="T526" s="1">
        <f t="shared" si="77"/>
        <v>5.9324696624888258</v>
      </c>
    </row>
    <row r="527" spans="1:20">
      <c r="A527">
        <v>474</v>
      </c>
      <c r="B527">
        <v>0.45340623697583371</v>
      </c>
      <c r="C527" s="1">
        <f t="shared" si="71"/>
        <v>56.293084327455531</v>
      </c>
      <c r="D527" s="1">
        <f t="shared" si="80"/>
        <v>181.06356592255418</v>
      </c>
      <c r="E527" s="1">
        <f t="shared" si="78"/>
        <v>217.07788761679285</v>
      </c>
      <c r="F527" s="1">
        <f t="shared" si="72"/>
        <v>11.6159783085416</v>
      </c>
      <c r="G527" s="1">
        <f t="shared" si="79"/>
        <v>8.662624604951322</v>
      </c>
      <c r="H527" s="1">
        <f t="shared" si="73"/>
        <v>3.3886867536104948</v>
      </c>
      <c r="I527" s="1">
        <f t="shared" si="74"/>
        <v>87.455002083866589</v>
      </c>
      <c r="K527" s="112">
        <f>C527/'CGE-Flood Weighted Av Calcs'!$D$3</f>
        <v>9.4888273369841507E-3</v>
      </c>
      <c r="L527" s="112">
        <f>D527/'CGE-Flood Weighted Av Calcs'!$D$4</f>
        <v>9.3006881951154564E-3</v>
      </c>
      <c r="M527" s="112">
        <f>E527/'CGE-Flood Weighted Av Calcs'!$D$5</f>
        <v>9.2992827773038678E-3</v>
      </c>
      <c r="N527" s="112">
        <f>F527/'CGE-Flood Weighted Av Calcs'!$D$6</f>
        <v>3.2108275421666851E-3</v>
      </c>
      <c r="O527" s="112">
        <f>G527/'CGE-Flood Weighted Av Calcs'!$D$7</f>
        <v>1.4299715421105206E-2</v>
      </c>
      <c r="P527" s="112">
        <f>H527/'CGE-Flood Weighted Av Calcs'!$D$8</f>
        <v>3.4243340712926514E-2</v>
      </c>
      <c r="R527" s="1">
        <f t="shared" si="75"/>
        <v>0.15183160084004618</v>
      </c>
      <c r="S527" s="1">
        <f t="shared" si="76"/>
        <v>0.17612465697445356</v>
      </c>
      <c r="T527" s="1">
        <f t="shared" si="77"/>
        <v>4.2512848235212939</v>
      </c>
    </row>
    <row r="528" spans="1:20">
      <c r="A528">
        <v>475</v>
      </c>
      <c r="B528">
        <v>5.8220684429841185E-2</v>
      </c>
      <c r="C528" s="1">
        <f t="shared" si="71"/>
        <v>103.15571855032478</v>
      </c>
      <c r="D528" s="1">
        <f t="shared" si="80"/>
        <v>330.11253591194338</v>
      </c>
      <c r="E528" s="1">
        <f t="shared" si="78"/>
        <v>395.71883985426558</v>
      </c>
      <c r="F528" s="1">
        <f t="shared" si="72"/>
        <v>24.26892907296341</v>
      </c>
      <c r="G528" s="1">
        <f t="shared" si="79"/>
        <v>15.988298408084455</v>
      </c>
      <c r="H528" s="1">
        <f t="shared" si="73"/>
        <v>6.1369658372365823</v>
      </c>
      <c r="I528" s="1">
        <f t="shared" si="74"/>
        <v>212.23954876459274</v>
      </c>
      <c r="K528" s="112">
        <f>C528/'CGE-Flood Weighted Av Calcs'!$D$3</f>
        <v>1.7388047108109279E-2</v>
      </c>
      <c r="L528" s="112">
        <f>D528/'CGE-Flood Weighted Av Calcs'!$D$4</f>
        <v>1.6956883347415564E-2</v>
      </c>
      <c r="M528" s="112">
        <f>E528/'CGE-Flood Weighted Av Calcs'!$D$5</f>
        <v>1.6951986370014629E-2</v>
      </c>
      <c r="N528" s="112">
        <f>F528/'CGE-Flood Weighted Av Calcs'!$D$6</f>
        <v>6.7082895488071968E-3</v>
      </c>
      <c r="O528" s="112">
        <f>G528/'CGE-Flood Weighted Av Calcs'!$D$7</f>
        <v>2.6392476614147571E-2</v>
      </c>
      <c r="P528" s="112">
        <f>H528/'CGE-Flood Weighted Av Calcs'!$D$8</f>
        <v>6.2015236989425751E-2</v>
      </c>
      <c r="R528" s="1">
        <f t="shared" si="75"/>
        <v>0.27785287704677253</v>
      </c>
      <c r="S528" s="1">
        <f t="shared" si="76"/>
        <v>0.33177931557015877</v>
      </c>
      <c r="T528" s="1">
        <f t="shared" si="77"/>
        <v>7.6963219261693139</v>
      </c>
    </row>
    <row r="529" spans="1:20">
      <c r="A529">
        <v>476</v>
      </c>
      <c r="B529">
        <v>0.56411743456881391</v>
      </c>
      <c r="C529" s="1">
        <f t="shared" si="71"/>
        <v>44.891061099796268</v>
      </c>
      <c r="D529" s="1">
        <f t="shared" si="80"/>
        <v>144.38959417279747</v>
      </c>
      <c r="E529" s="1">
        <f t="shared" si="78"/>
        <v>173.1093052165086</v>
      </c>
      <c r="F529" s="1">
        <f t="shared" si="72"/>
        <v>9.263190997838489</v>
      </c>
      <c r="G529" s="1">
        <f t="shared" si="79"/>
        <v>6.9080316893527289</v>
      </c>
      <c r="H529" s="1">
        <f t="shared" si="73"/>
        <v>2.7023167396462133</v>
      </c>
      <c r="I529" s="1">
        <f t="shared" si="74"/>
        <v>69.741210468989763</v>
      </c>
      <c r="K529" s="112">
        <f>C529/'CGE-Flood Weighted Av Calcs'!$D$3</f>
        <v>7.5668891274841676E-3</v>
      </c>
      <c r="L529" s="112">
        <f>D529/'CGE-Flood Weighted Av Calcs'!$D$4</f>
        <v>7.4168570975502255E-3</v>
      </c>
      <c r="M529" s="112">
        <f>E529/'CGE-Flood Weighted Av Calcs'!$D$5</f>
        <v>7.4157363435960848E-3</v>
      </c>
      <c r="N529" s="112">
        <f>F529/'CGE-Flood Weighted Av Calcs'!$D$6</f>
        <v>2.5604824659787545E-3</v>
      </c>
      <c r="O529" s="112">
        <f>G529/'CGE-Flood Weighted Av Calcs'!$D$7</f>
        <v>1.1403343880474636E-2</v>
      </c>
      <c r="P529" s="112">
        <f>H529/'CGE-Flood Weighted Av Calcs'!$D$8</f>
        <v>2.7307437824212185E-2</v>
      </c>
      <c r="R529" s="1">
        <f t="shared" si="75"/>
        <v>0.12107849039755167</v>
      </c>
      <c r="S529" s="1">
        <f t="shared" si="76"/>
        <v>0.14045104886115994</v>
      </c>
      <c r="T529" s="1">
        <f t="shared" si="77"/>
        <v>3.3901977311314475</v>
      </c>
    </row>
    <row r="530" spans="1:20">
      <c r="A530">
        <v>477</v>
      </c>
      <c r="B530">
        <v>6.2103059592170107E-2</v>
      </c>
      <c r="C530" s="1">
        <f t="shared" si="71"/>
        <v>102.18318357216138</v>
      </c>
      <c r="D530" s="1">
        <f t="shared" si="80"/>
        <v>327.14073990454642</v>
      </c>
      <c r="E530" s="1">
        <f t="shared" si="78"/>
        <v>392.16100517625728</v>
      </c>
      <c r="F530" s="1">
        <f t="shared" si="72"/>
        <v>23.79105720761935</v>
      </c>
      <c r="G530" s="1">
        <f t="shared" si="79"/>
        <v>15.828023925223158</v>
      </c>
      <c r="H530" s="1">
        <f t="shared" si="73"/>
        <v>6.0851795848586567</v>
      </c>
      <c r="I530" s="1">
        <f t="shared" si="74"/>
        <v>205.8983359994555</v>
      </c>
      <c r="K530" s="112">
        <f>C530/'CGE-Flood Weighted Av Calcs'!$D$3</f>
        <v>1.7224115488493452E-2</v>
      </c>
      <c r="L530" s="112">
        <f>D530/'CGE-Flood Weighted Av Calcs'!$D$4</f>
        <v>1.6804231167483846E-2</v>
      </c>
      <c r="M530" s="112">
        <f>E530/'CGE-Flood Weighted Av Calcs'!$D$5</f>
        <v>1.6799574205381338E-2</v>
      </c>
      <c r="N530" s="112">
        <f>F530/'CGE-Flood Weighted Av Calcs'!$D$6</f>
        <v>6.5761987247614073E-3</v>
      </c>
      <c r="O530" s="112">
        <f>G530/'CGE-Flood Weighted Av Calcs'!$D$7</f>
        <v>2.6127905586462569E-2</v>
      </c>
      <c r="P530" s="112">
        <f>H530/'CGE-Flood Weighted Av Calcs'!$D$8</f>
        <v>6.1491926806643733E-2</v>
      </c>
      <c r="R530" s="1">
        <f t="shared" si="75"/>
        <v>0.27526462693855325</v>
      </c>
      <c r="S530" s="1">
        <f t="shared" si="76"/>
        <v>0.32789694040782985</v>
      </c>
      <c r="T530" s="1">
        <f t="shared" si="77"/>
        <v>7.6316156734638314</v>
      </c>
    </row>
    <row r="531" spans="1:20">
      <c r="A531">
        <v>478</v>
      </c>
      <c r="B531">
        <v>0.13809398167140396</v>
      </c>
      <c r="C531" s="1">
        <f t="shared" si="71"/>
        <v>88.766743154308401</v>
      </c>
      <c r="D531" s="1">
        <f t="shared" si="80"/>
        <v>285.51327828046612</v>
      </c>
      <c r="E531" s="1">
        <f t="shared" si="78"/>
        <v>342.30309681506589</v>
      </c>
      <c r="F531" s="1">
        <f t="shared" si="72"/>
        <v>18.316860326969703</v>
      </c>
      <c r="G531" s="1">
        <f t="shared" si="79"/>
        <v>13.659812435874453</v>
      </c>
      <c r="H531" s="1">
        <f t="shared" si="73"/>
        <v>5.3435104912423688</v>
      </c>
      <c r="I531" s="1">
        <f t="shared" si="74"/>
        <v>137.90496293257536</v>
      </c>
      <c r="K531" s="112">
        <f>C531/'CGE-Flood Weighted Av Calcs'!$D$3</f>
        <v>1.4962624789895292E-2</v>
      </c>
      <c r="L531" s="112">
        <f>D531/'CGE-Flood Weighted Av Calcs'!$D$4</f>
        <v>1.4665954264855596E-2</v>
      </c>
      <c r="M531" s="112">
        <f>E531/'CGE-Flood Weighted Av Calcs'!$D$5</f>
        <v>1.4663738106984762E-2</v>
      </c>
      <c r="N531" s="112">
        <f>F531/'CGE-Flood Weighted Av Calcs'!$D$6</f>
        <v>5.0630500558535001E-3</v>
      </c>
      <c r="O531" s="112">
        <f>G531/'CGE-Flood Weighted Av Calcs'!$D$7</f>
        <v>2.2548758539880906E-2</v>
      </c>
      <c r="P531" s="112">
        <f>H531/'CGE-Flood Weighted Av Calcs'!$D$8</f>
        <v>5.3997215930257678E-2</v>
      </c>
      <c r="R531" s="1">
        <f t="shared" si="75"/>
        <v>0.23941833842461002</v>
      </c>
      <c r="S531" s="1">
        <f t="shared" si="76"/>
        <v>0.27772527257254759</v>
      </c>
      <c r="T531" s="1">
        <f t="shared" si="77"/>
        <v>6.7037134758890806</v>
      </c>
    </row>
    <row r="532" spans="1:20">
      <c r="A532">
        <v>479</v>
      </c>
      <c r="B532">
        <v>0.40167746301310214</v>
      </c>
      <c r="C532" s="1">
        <f t="shared" si="71"/>
        <v>61.620573281461738</v>
      </c>
      <c r="D532" s="1">
        <f t="shared" si="80"/>
        <v>198.19913699580087</v>
      </c>
      <c r="E532" s="1">
        <f t="shared" si="78"/>
        <v>237.62179744611129</v>
      </c>
      <c r="F532" s="1">
        <f t="shared" si="72"/>
        <v>12.715296224198049</v>
      </c>
      <c r="G532" s="1">
        <f t="shared" si="79"/>
        <v>9.4824417716058775</v>
      </c>
      <c r="H532" s="1">
        <f t="shared" si="73"/>
        <v>3.7093867377050258</v>
      </c>
      <c r="I532" s="1">
        <f t="shared" si="74"/>
        <v>95.731605917903636</v>
      </c>
      <c r="K532" s="112">
        <f>C532/'CGE-Flood Weighted Av Calcs'!$D$3</f>
        <v>1.0386835030614822E-2</v>
      </c>
      <c r="L532" s="112">
        <f>D532/'CGE-Flood Weighted Av Calcs'!$D$4</f>
        <v>1.0180890696294935E-2</v>
      </c>
      <c r="M532" s="112">
        <f>E532/'CGE-Flood Weighted Av Calcs'!$D$5</f>
        <v>1.0179352271952321E-2</v>
      </c>
      <c r="N532" s="112">
        <f>F532/'CGE-Flood Weighted Av Calcs'!$D$6</f>
        <v>3.5146952102555178E-3</v>
      </c>
      <c r="O532" s="112">
        <f>G532/'CGE-Flood Weighted Av Calcs'!$D$7</f>
        <v>1.5653017995684772E-2</v>
      </c>
      <c r="P532" s="112">
        <f>H532/'CGE-Flood Weighted Av Calcs'!$D$8</f>
        <v>3.7484076614608335E-2</v>
      </c>
      <c r="R532" s="1">
        <f t="shared" si="75"/>
        <v>0.16620070471858273</v>
      </c>
      <c r="S532" s="1">
        <f t="shared" si="76"/>
        <v>0.19279281747355598</v>
      </c>
      <c r="T532" s="1">
        <f t="shared" si="77"/>
        <v>4.6536197321203172</v>
      </c>
    </row>
    <row r="533" spans="1:20">
      <c r="A533">
        <v>480</v>
      </c>
      <c r="B533">
        <v>1.5954579942111913E-2</v>
      </c>
      <c r="C533" s="1">
        <f t="shared" si="71"/>
        <v>140.46986211884359</v>
      </c>
      <c r="D533" s="1">
        <f t="shared" si="80"/>
        <v>446.31920352840552</v>
      </c>
      <c r="E533" s="1">
        <f t="shared" si="78"/>
        <v>534.99514811900121</v>
      </c>
      <c r="F533" s="1">
        <f t="shared" si="72"/>
        <v>29.79036589586341</v>
      </c>
      <c r="G533" s="1">
        <f t="shared" si="79"/>
        <v>20.29603215182803</v>
      </c>
      <c r="H533" s="1">
        <f t="shared" si="73"/>
        <v>7.6274387213521795</v>
      </c>
      <c r="I533" s="1">
        <f t="shared" si="74"/>
        <v>312.53323216980505</v>
      </c>
      <c r="K533" s="112">
        <f>C533/'CGE-Flood Weighted Av Calcs'!$D$3</f>
        <v>2.3677762261919481E-2</v>
      </c>
      <c r="L533" s="112">
        <f>D533/'CGE-Flood Weighted Av Calcs'!$D$4</f>
        <v>2.2926068678474514E-2</v>
      </c>
      <c r="M533" s="112">
        <f>E533/'CGE-Flood Weighted Av Calcs'!$D$5</f>
        <v>2.2918369169072823E-2</v>
      </c>
      <c r="N533" s="112">
        <f>F533/'CGE-Flood Weighted Av Calcs'!$D$6</f>
        <v>8.2344960337370453E-3</v>
      </c>
      <c r="O533" s="112">
        <f>G533/'CGE-Flood Weighted Av Calcs'!$D$7</f>
        <v>3.3503412324118971E-2</v>
      </c>
      <c r="P533" s="112">
        <f>H533/'CGE-Flood Weighted Av Calcs'!$D$8</f>
        <v>7.7076756246043113E-2</v>
      </c>
      <c r="R533" s="1">
        <f t="shared" si="75"/>
        <v>0.32206056007718414</v>
      </c>
      <c r="S533" s="1">
        <f t="shared" si="76"/>
        <v>0.38206056007718414</v>
      </c>
      <c r="T533" s="1">
        <f t="shared" si="77"/>
        <v>12.809084011577617</v>
      </c>
    </row>
    <row r="534" spans="1:20">
      <c r="A534">
        <v>481</v>
      </c>
      <c r="B534">
        <v>0.72382767882371901</v>
      </c>
      <c r="C534" s="1">
        <f t="shared" si="71"/>
        <v>28.44268049981055</v>
      </c>
      <c r="D534" s="1">
        <f t="shared" si="80"/>
        <v>91.484295401803791</v>
      </c>
      <c r="E534" s="1">
        <f t="shared" si="78"/>
        <v>109.68091506840514</v>
      </c>
      <c r="F534" s="1">
        <f t="shared" si="72"/>
        <v>5.8690967757373205</v>
      </c>
      <c r="G534" s="1">
        <f t="shared" si="79"/>
        <v>4.376883357379981</v>
      </c>
      <c r="H534" s="1">
        <f t="shared" si="73"/>
        <v>1.7121700791206242</v>
      </c>
      <c r="I534" s="1">
        <f t="shared" si="74"/>
        <v>44.187571388204944</v>
      </c>
      <c r="K534" s="112">
        <f>C534/'CGE-Flood Weighted Av Calcs'!$D$3</f>
        <v>4.7943310885894645E-3</v>
      </c>
      <c r="L534" s="112">
        <f>D534/'CGE-Flood Weighted Av Calcs'!$D$4</f>
        <v>4.6992717830706522E-3</v>
      </c>
      <c r="M534" s="112">
        <f>E534/'CGE-Flood Weighted Av Calcs'!$D$5</f>
        <v>4.6985616807506013E-3</v>
      </c>
      <c r="N534" s="112">
        <f>F534/'CGE-Flood Weighted Av Calcs'!$D$6</f>
        <v>1.6223048179525264E-3</v>
      </c>
      <c r="O534" s="112">
        <f>G534/'CGE-Flood Weighted Av Calcs'!$D$7</f>
        <v>7.2250835394773458E-3</v>
      </c>
      <c r="P534" s="112">
        <f>H534/'CGE-Flood Weighted Av Calcs'!$D$8</f>
        <v>1.7301812661007332E-2</v>
      </c>
      <c r="R534" s="1">
        <f t="shared" si="75"/>
        <v>7.6714533660078049E-2</v>
      </c>
      <c r="S534" s="1">
        <f t="shared" si="76"/>
        <v>8.8988859045690538E-2</v>
      </c>
      <c r="T534" s="1">
        <f t="shared" si="77"/>
        <v>2.1480069424821862</v>
      </c>
    </row>
    <row r="535" spans="1:20">
      <c r="A535">
        <v>482</v>
      </c>
      <c r="B535">
        <v>0.15185066845711226</v>
      </c>
      <c r="C535" s="1">
        <f t="shared" si="71"/>
        <v>87.349957267455849</v>
      </c>
      <c r="D535" s="1">
        <f t="shared" si="80"/>
        <v>280.95626549839767</v>
      </c>
      <c r="E535" s="1">
        <f t="shared" si="78"/>
        <v>336.83967459903999</v>
      </c>
      <c r="F535" s="1">
        <f t="shared" si="72"/>
        <v>18.024509067021054</v>
      </c>
      <c r="G535" s="1">
        <f t="shared" si="79"/>
        <v>13.441791262758329</v>
      </c>
      <c r="H535" s="1">
        <f t="shared" si="73"/>
        <v>5.2582239302937452</v>
      </c>
      <c r="I535" s="1">
        <f t="shared" si="74"/>
        <v>135.70389304686205</v>
      </c>
      <c r="K535" s="112">
        <f>C535/'CGE-Flood Weighted Av Calcs'!$D$3</f>
        <v>1.472380972380976E-2</v>
      </c>
      <c r="L535" s="112">
        <f>D535/'CGE-Flood Weighted Av Calcs'!$D$4</f>
        <v>1.4431874289841169E-2</v>
      </c>
      <c r="M535" s="112">
        <f>E535/'CGE-Flood Weighted Av Calcs'!$D$5</f>
        <v>1.4429693503564276E-2</v>
      </c>
      <c r="N535" s="112">
        <f>F535/'CGE-Flood Weighted Av Calcs'!$D$6</f>
        <v>4.9822398604057348E-3</v>
      </c>
      <c r="O535" s="112">
        <f>G535/'CGE-Flood Weighted Av Calcs'!$D$7</f>
        <v>2.2188862910840934E-2</v>
      </c>
      <c r="P535" s="112">
        <f>H535/'CGE-Flood Weighted Av Calcs'!$D$8</f>
        <v>5.3135378594102063E-2</v>
      </c>
      <c r="R535" s="1">
        <f t="shared" si="75"/>
        <v>0.23559703653969105</v>
      </c>
      <c r="S535" s="1">
        <f t="shared" si="76"/>
        <v>0.2732925623860416</v>
      </c>
      <c r="T535" s="1">
        <f t="shared" si="77"/>
        <v>6.5967170231113492</v>
      </c>
    </row>
    <row r="536" spans="1:20">
      <c r="A536">
        <v>483</v>
      </c>
      <c r="B536">
        <v>0.4311467739808551</v>
      </c>
      <c r="C536" s="1">
        <f t="shared" si="71"/>
        <v>58.585561688571715</v>
      </c>
      <c r="D536" s="1">
        <f t="shared" si="80"/>
        <v>188.43719148881183</v>
      </c>
      <c r="E536" s="1">
        <f t="shared" si="78"/>
        <v>225.9181590090233</v>
      </c>
      <c r="F536" s="1">
        <f t="shared" si="72"/>
        <v>12.089026954173555</v>
      </c>
      <c r="G536" s="1">
        <f t="shared" si="79"/>
        <v>9.0154009900429664</v>
      </c>
      <c r="H536" s="1">
        <f t="shared" si="73"/>
        <v>3.5266875002275615</v>
      </c>
      <c r="I536" s="1">
        <f t="shared" si="74"/>
        <v>91.016516163063173</v>
      </c>
      <c r="K536" s="112">
        <f>C536/'CGE-Flood Weighted Av Calcs'!$D$3</f>
        <v>9.8752499697722269E-3</v>
      </c>
      <c r="L536" s="112">
        <f>D536/'CGE-Flood Weighted Av Calcs'!$D$4</f>
        <v>9.6794490568596001E-3</v>
      </c>
      <c r="M536" s="112">
        <f>E536/'CGE-Flood Weighted Av Calcs'!$D$5</f>
        <v>9.6779864048681021E-3</v>
      </c>
      <c r="N536" s="112">
        <f>F536/'CGE-Flood Weighted Av Calcs'!$D$6</f>
        <v>3.3415851572237698E-3</v>
      </c>
      <c r="O536" s="112">
        <f>G536/'CGE-Flood Weighted Av Calcs'!$D$7</f>
        <v>1.4882056471785548E-2</v>
      </c>
      <c r="P536" s="112">
        <f>H536/'CGE-Flood Weighted Av Calcs'!$D$8</f>
        <v>3.5637865178786789E-2</v>
      </c>
      <c r="R536" s="1">
        <f t="shared" si="75"/>
        <v>0.15801478500531801</v>
      </c>
      <c r="S536" s="1">
        <f t="shared" si="76"/>
        <v>0.18329715060616891</v>
      </c>
      <c r="T536" s="1">
        <f t="shared" si="77"/>
        <v>4.4244139801489055</v>
      </c>
    </row>
    <row r="537" spans="1:20">
      <c r="A537">
        <v>484</v>
      </c>
      <c r="B537">
        <v>8.5227460916765252E-2</v>
      </c>
      <c r="C537" s="1">
        <f t="shared" si="71"/>
        <v>96.390521040350308</v>
      </c>
      <c r="D537" s="1">
        <f t="shared" si="80"/>
        <v>309.43997667159454</v>
      </c>
      <c r="E537" s="1">
        <f t="shared" si="78"/>
        <v>370.96964846783629</v>
      </c>
      <c r="F537" s="1">
        <f t="shared" si="72"/>
        <v>20.94473238482195</v>
      </c>
      <c r="G537" s="1">
        <f t="shared" si="79"/>
        <v>14.873388860652712</v>
      </c>
      <c r="H537" s="1">
        <f t="shared" si="73"/>
        <v>5.7767276622563193</v>
      </c>
      <c r="I537" s="1">
        <f t="shared" si="74"/>
        <v>168.12848050261675</v>
      </c>
      <c r="K537" s="112">
        <f>C537/'CGE-Flood Weighted Av Calcs'!$D$3</f>
        <v>1.6247697599112237E-2</v>
      </c>
      <c r="L537" s="112">
        <f>D537/'CGE-Flood Weighted Av Calcs'!$D$4</f>
        <v>1.5894996453109198E-2</v>
      </c>
      <c r="M537" s="112">
        <f>E537/'CGE-Flood Weighted Av Calcs'!$D$5</f>
        <v>1.5891769082391569E-2</v>
      </c>
      <c r="N537" s="112">
        <f>F537/'CGE-Flood Weighted Av Calcs'!$D$6</f>
        <v>5.7894326089646553E-3</v>
      </c>
      <c r="O537" s="112">
        <f>G537/'CGE-Flood Weighted Av Calcs'!$D$7</f>
        <v>2.4552054112238091E-2</v>
      </c>
      <c r="P537" s="112">
        <f>H537/'CGE-Flood Weighted Av Calcs'!$D$8</f>
        <v>5.8374959955702056E-2</v>
      </c>
      <c r="R537" s="1">
        <f t="shared" si="75"/>
        <v>0.25984835938882317</v>
      </c>
      <c r="S537" s="1">
        <f t="shared" si="76"/>
        <v>0.30477253908323476</v>
      </c>
      <c r="T537" s="1">
        <f t="shared" si="77"/>
        <v>7.2462089847205791</v>
      </c>
    </row>
    <row r="538" spans="1:20">
      <c r="A538">
        <v>485</v>
      </c>
      <c r="B538">
        <v>0.17124802521198823</v>
      </c>
      <c r="C538" s="1">
        <f t="shared" si="71"/>
        <v>85.352245047889795</v>
      </c>
      <c r="D538" s="1">
        <f t="shared" si="80"/>
        <v>274.53073556904405</v>
      </c>
      <c r="E538" s="1">
        <f t="shared" si="78"/>
        <v>329.13607914196626</v>
      </c>
      <c r="F538" s="1">
        <f t="shared" si="72"/>
        <v>17.61228468659445</v>
      </c>
      <c r="G538" s="1">
        <f t="shared" si="79"/>
        <v>13.134374619425028</v>
      </c>
      <c r="H538" s="1">
        <f t="shared" si="73"/>
        <v>5.1379672235091141</v>
      </c>
      <c r="I538" s="1">
        <f t="shared" si="74"/>
        <v>132.60031596608189</v>
      </c>
      <c r="K538" s="112">
        <f>C538/'CGE-Flood Weighted Av Calcs'!$D$3</f>
        <v>1.4387073043862017E-2</v>
      </c>
      <c r="L538" s="112">
        <f>D538/'CGE-Flood Weighted Av Calcs'!$D$4</f>
        <v>1.4101814235755733E-2</v>
      </c>
      <c r="M538" s="112">
        <f>E538/'CGE-Flood Weighted Av Calcs'!$D$5</f>
        <v>1.4099683324527781E-2</v>
      </c>
      <c r="N538" s="112">
        <f>F538/'CGE-Flood Weighted Av Calcs'!$D$6</f>
        <v>4.8682949683725718E-3</v>
      </c>
      <c r="O538" s="112">
        <f>G538/'CGE-Flood Weighted Av Calcs'!$D$7</f>
        <v>2.1681398866645253E-2</v>
      </c>
      <c r="P538" s="112">
        <f>H538/'CGE-Flood Weighted Av Calcs'!$D$8</f>
        <v>5.1920161112269873E-2</v>
      </c>
      <c r="R538" s="1">
        <f t="shared" si="75"/>
        <v>0.23020888188555882</v>
      </c>
      <c r="S538" s="1">
        <f t="shared" si="76"/>
        <v>0.26704230298724824</v>
      </c>
      <c r="T538" s="1">
        <f t="shared" si="77"/>
        <v>6.4458486927956473</v>
      </c>
    </row>
    <row r="539" spans="1:20">
      <c r="A539">
        <v>486</v>
      </c>
      <c r="B539">
        <v>0.63354245195175329</v>
      </c>
      <c r="C539" s="1">
        <f t="shared" si="71"/>
        <v>37.741055698435552</v>
      </c>
      <c r="D539" s="1">
        <f t="shared" si="80"/>
        <v>121.3920005997538</v>
      </c>
      <c r="E539" s="1">
        <f t="shared" si="78"/>
        <v>145.53739141005468</v>
      </c>
      <c r="F539" s="1">
        <f t="shared" si="72"/>
        <v>7.7878000392433542</v>
      </c>
      <c r="G539" s="1">
        <f t="shared" si="79"/>
        <v>5.8077577666258904</v>
      </c>
      <c r="H539" s="1">
        <f t="shared" si="73"/>
        <v>2.2719063458775168</v>
      </c>
      <c r="I539" s="1">
        <f t="shared" si="74"/>
        <v>58.633207687719448</v>
      </c>
      <c r="K539" s="112">
        <f>C539/'CGE-Flood Weighted Av Calcs'!$D$3</f>
        <v>6.3616759556962763E-3</v>
      </c>
      <c r="L539" s="112">
        <f>D539/'CGE-Flood Weighted Av Calcs'!$D$4</f>
        <v>6.2355402159841216E-3</v>
      </c>
      <c r="M539" s="112">
        <f>E539/'CGE-Flood Weighted Av Calcs'!$D$5</f>
        <v>6.2345979696577661E-3</v>
      </c>
      <c r="N539" s="112">
        <f>F539/'CGE-Flood Weighted Av Calcs'!$D$6</f>
        <v>2.1526626681544481E-3</v>
      </c>
      <c r="O539" s="112">
        <f>G539/'CGE-Flood Weighted Av Calcs'!$D$7</f>
        <v>9.5870809465753663E-3</v>
      </c>
      <c r="P539" s="112">
        <f>H539/'CGE-Flood Weighted Av Calcs'!$D$8</f>
        <v>2.2958056830379419E-2</v>
      </c>
      <c r="R539" s="1">
        <f t="shared" si="75"/>
        <v>0.10179376334673518</v>
      </c>
      <c r="S539" s="1">
        <f t="shared" si="76"/>
        <v>0.11808076548221283</v>
      </c>
      <c r="T539" s="1">
        <f t="shared" si="77"/>
        <v>2.8502253737085859</v>
      </c>
    </row>
    <row r="540" spans="1:20">
      <c r="A540">
        <v>487</v>
      </c>
      <c r="B540">
        <v>0.44890832567374361</v>
      </c>
      <c r="C540" s="1">
        <f t="shared" si="71"/>
        <v>56.756319214778564</v>
      </c>
      <c r="D540" s="1">
        <f t="shared" si="80"/>
        <v>182.55353510012745</v>
      </c>
      <c r="E540" s="1">
        <f t="shared" si="78"/>
        <v>218.86421806949187</v>
      </c>
      <c r="F540" s="1">
        <f t="shared" si="72"/>
        <v>11.711566007584761</v>
      </c>
      <c r="G540" s="1">
        <f t="shared" si="79"/>
        <v>8.7339092037743988</v>
      </c>
      <c r="H540" s="1">
        <f t="shared" si="73"/>
        <v>3.416572202511297</v>
      </c>
      <c r="I540" s="1">
        <f t="shared" si="74"/>
        <v>88.174667892201001</v>
      </c>
      <c r="K540" s="112">
        <f>C540/'CGE-Flood Weighted Av Calcs'!$D$3</f>
        <v>9.5669107448270521E-3</v>
      </c>
      <c r="L540" s="112">
        <f>D540/'CGE-Flood Weighted Av Calcs'!$D$4</f>
        <v>9.3772234089799008E-3</v>
      </c>
      <c r="M540" s="112">
        <f>E540/'CGE-Flood Weighted Av Calcs'!$D$5</f>
        <v>9.3758064260077E-3</v>
      </c>
      <c r="N540" s="112">
        <f>F540/'CGE-Flood Weighted Av Calcs'!$D$6</f>
        <v>3.2372493904714839E-3</v>
      </c>
      <c r="O540" s="112">
        <f>G540/'CGE-Flood Weighted Av Calcs'!$D$7</f>
        <v>1.4417387549768731E-2</v>
      </c>
      <c r="P540" s="112">
        <f>H540/'CGE-Flood Weighted Av Calcs'!$D$8</f>
        <v>3.4525128613984553E-2</v>
      </c>
      <c r="R540" s="1">
        <f t="shared" si="75"/>
        <v>0.15308102064618231</v>
      </c>
      <c r="S540" s="1">
        <f t="shared" si="76"/>
        <v>0.17757398394957147</v>
      </c>
      <c r="T540" s="1">
        <f t="shared" si="77"/>
        <v>4.2862685780931056</v>
      </c>
    </row>
    <row r="541" spans="1:20">
      <c r="A541">
        <v>488</v>
      </c>
      <c r="B541">
        <v>0.36302539218592023</v>
      </c>
      <c r="C541" s="1">
        <f t="shared" si="71"/>
        <v>65.601307109207838</v>
      </c>
      <c r="D541" s="1">
        <f t="shared" si="80"/>
        <v>211.002945322372</v>
      </c>
      <c r="E541" s="1">
        <f t="shared" si="78"/>
        <v>252.97233829523611</v>
      </c>
      <c r="F541" s="1">
        <f t="shared" si="72"/>
        <v>13.536713603395089</v>
      </c>
      <c r="G541" s="1">
        <f t="shared" si="79"/>
        <v>10.095014403110754</v>
      </c>
      <c r="H541" s="1">
        <f t="shared" si="73"/>
        <v>3.9490158174204764</v>
      </c>
      <c r="I541" s="1">
        <f t="shared" si="74"/>
        <v>101.91593725025275</v>
      </c>
      <c r="K541" s="112">
        <f>C541/'CGE-Flood Weighted Av Calcs'!$D$3</f>
        <v>1.10578321240811E-2</v>
      </c>
      <c r="L541" s="112">
        <f>D541/'CGE-Flood Weighted Av Calcs'!$D$4</f>
        <v>1.0838583636057298E-2</v>
      </c>
      <c r="M541" s="112">
        <f>E541/'CGE-Flood Weighted Av Calcs'!$D$5</f>
        <v>1.0836945828383829E-2</v>
      </c>
      <c r="N541" s="112">
        <f>F541/'CGE-Flood Weighted Av Calcs'!$D$6</f>
        <v>3.7417470757708697E-3</v>
      </c>
      <c r="O541" s="112">
        <f>G541/'CGE-Flood Weighted Av Calcs'!$D$7</f>
        <v>1.6664214336834144E-2</v>
      </c>
      <c r="P541" s="112">
        <f>H541/'CGE-Flood Weighted Av Calcs'!$D$8</f>
        <v>3.990557521216339E-2</v>
      </c>
      <c r="R541" s="1">
        <f t="shared" si="75"/>
        <v>0.1769373910594666</v>
      </c>
      <c r="S541" s="1">
        <f t="shared" si="76"/>
        <v>0.20524737362898124</v>
      </c>
      <c r="T541" s="1">
        <f t="shared" si="77"/>
        <v>4.9542469496650652</v>
      </c>
    </row>
    <row r="542" spans="1:20">
      <c r="A542">
        <v>489</v>
      </c>
      <c r="B542">
        <v>0.73210694614417904</v>
      </c>
      <c r="C542" s="1">
        <f t="shared" si="71"/>
        <v>27.59000795766228</v>
      </c>
      <c r="D542" s="1">
        <f t="shared" si="80"/>
        <v>88.741721728854117</v>
      </c>
      <c r="E542" s="1">
        <f t="shared" si="78"/>
        <v>106.3928317009761</v>
      </c>
      <c r="F542" s="1">
        <f t="shared" si="72"/>
        <v>5.6931493059510085</v>
      </c>
      <c r="G542" s="1">
        <f t="shared" si="79"/>
        <v>4.2456703987754469</v>
      </c>
      <c r="H542" s="1">
        <f t="shared" si="73"/>
        <v>1.660841568997828</v>
      </c>
      <c r="I542" s="1">
        <f t="shared" si="74"/>
        <v>42.862888616931329</v>
      </c>
      <c r="K542" s="112">
        <f>C542/'CGE-Flood Weighted Av Calcs'!$D$3</f>
        <v>4.6506036196810648E-3</v>
      </c>
      <c r="L542" s="112">
        <f>D542/'CGE-Flood Weighted Av Calcs'!$D$4</f>
        <v>4.5583940617341147E-3</v>
      </c>
      <c r="M542" s="112">
        <f>E542/'CGE-Flood Weighted Av Calcs'!$D$5</f>
        <v>4.5577052473074614E-3</v>
      </c>
      <c r="N542" s="112">
        <f>F542/'CGE-Flood Weighted Av Calcs'!$D$6</f>
        <v>1.573670345077434E-3</v>
      </c>
      <c r="O542" s="112">
        <f>G542/'CGE-Flood Weighted Av Calcs'!$D$7</f>
        <v>7.0084854467314531E-3</v>
      </c>
      <c r="P542" s="112">
        <f>H542/'CGE-Flood Weighted Av Calcs'!$D$8</f>
        <v>1.6783128053010118E-2</v>
      </c>
      <c r="R542" s="1">
        <f t="shared" si="75"/>
        <v>7.441473718217248E-2</v>
      </c>
      <c r="S542" s="1">
        <f t="shared" si="76"/>
        <v>8.632109513132008E-2</v>
      </c>
      <c r="T542" s="1">
        <f t="shared" si="77"/>
        <v>2.0836126411008298</v>
      </c>
    </row>
    <row r="543" spans="1:20">
      <c r="A543">
        <v>490</v>
      </c>
      <c r="B543">
        <v>0.51885520663038431</v>
      </c>
      <c r="C543" s="1">
        <f t="shared" si="71"/>
        <v>49.552567663810756</v>
      </c>
      <c r="D543" s="1">
        <f t="shared" si="80"/>
        <v>159.38307003463086</v>
      </c>
      <c r="E543" s="1">
        <f t="shared" si="78"/>
        <v>191.08504788752344</v>
      </c>
      <c r="F543" s="1">
        <f t="shared" si="72"/>
        <v>10.225084626152391</v>
      </c>
      <c r="G543" s="1">
        <f t="shared" si="79"/>
        <v>7.6253645898326416</v>
      </c>
      <c r="H543" s="1">
        <f t="shared" si="73"/>
        <v>2.9829264403593077</v>
      </c>
      <c r="I543" s="1">
        <f t="shared" si="74"/>
        <v>76.983166939138499</v>
      </c>
      <c r="K543" s="112">
        <f>C543/'CGE-Flood Weighted Av Calcs'!$D$3</f>
        <v>8.352638059961448E-3</v>
      </c>
      <c r="L543" s="112">
        <f>D543/'CGE-Flood Weighted Av Calcs'!$D$4</f>
        <v>8.1870266412758189E-3</v>
      </c>
      <c r="M543" s="112">
        <f>E543/'CGE-Flood Weighted Av Calcs'!$D$5</f>
        <v>8.1857895077622304E-3</v>
      </c>
      <c r="N543" s="112">
        <f>F543/'CGE-Flood Weighted Av Calcs'!$D$6</f>
        <v>2.8263640363802652E-3</v>
      </c>
      <c r="O543" s="112">
        <f>G543/'CGE-Flood Weighted Av Calcs'!$D$7</f>
        <v>1.258747187941802E-2</v>
      </c>
      <c r="P543" s="112">
        <f>H543/'CGE-Flood Weighted Av Calcs'!$D$8</f>
        <v>3.0143053591480392E-2</v>
      </c>
      <c r="R543" s="1">
        <f t="shared" si="75"/>
        <v>0.13365133149155989</v>
      </c>
      <c r="S543" s="1">
        <f t="shared" si="76"/>
        <v>0.15503554453020948</v>
      </c>
      <c r="T543" s="1">
        <f t="shared" si="77"/>
        <v>3.742237281763678</v>
      </c>
    </row>
    <row r="544" spans="1:20">
      <c r="A544">
        <v>491</v>
      </c>
      <c r="B544">
        <v>0.52094068859508036</v>
      </c>
      <c r="C544" s="1">
        <f t="shared" si="71"/>
        <v>49.337786193468894</v>
      </c>
      <c r="D544" s="1">
        <f t="shared" si="80"/>
        <v>158.69223741497959</v>
      </c>
      <c r="E544" s="1">
        <f t="shared" si="78"/>
        <v>190.25680568978157</v>
      </c>
      <c r="F544" s="1">
        <f t="shared" si="72"/>
        <v>10.18076484992455</v>
      </c>
      <c r="G544" s="1">
        <f t="shared" si="79"/>
        <v>7.5923130832062125</v>
      </c>
      <c r="H544" s="1">
        <f t="shared" si="73"/>
        <v>2.9699971945707007</v>
      </c>
      <c r="I544" s="1">
        <f t="shared" si="74"/>
        <v>76.649489824787125</v>
      </c>
      <c r="K544" s="112">
        <f>C544/'CGE-Flood Weighted Av Calcs'!$D$3</f>
        <v>8.3164342471555557E-3</v>
      </c>
      <c r="L544" s="112">
        <f>D544/'CGE-Flood Weighted Av Calcs'!$D$4</f>
        <v>8.1515406573471703E-3</v>
      </c>
      <c r="M544" s="112">
        <f>E544/'CGE-Flood Weighted Av Calcs'!$D$5</f>
        <v>8.1503088860855836E-3</v>
      </c>
      <c r="N544" s="112">
        <f>F544/'CGE-Flood Weighted Av Calcs'!$D$6</f>
        <v>2.8141133972696209E-3</v>
      </c>
      <c r="O544" s="112">
        <f>G544/'CGE-Flood Weighted Av Calcs'!$D$7</f>
        <v>1.2532912532736118E-2</v>
      </c>
      <c r="P544" s="112">
        <f>H544/'CGE-Flood Weighted Av Calcs'!$D$8</f>
        <v>3.0012401040539021E-2</v>
      </c>
      <c r="R544" s="1">
        <f t="shared" si="75"/>
        <v>0.13307203094581099</v>
      </c>
      <c r="S544" s="1">
        <f t="shared" si="76"/>
        <v>0.15436355589714076</v>
      </c>
      <c r="T544" s="1">
        <f t="shared" si="77"/>
        <v>3.7260168664827087</v>
      </c>
    </row>
    <row r="545" spans="1:20">
      <c r="A545">
        <v>492</v>
      </c>
      <c r="B545">
        <v>0.94270146584984249</v>
      </c>
      <c r="C545" s="1">
        <f t="shared" si="71"/>
        <v>5.901112367086796</v>
      </c>
      <c r="D545" s="1">
        <f t="shared" si="80"/>
        <v>18.98059878686189</v>
      </c>
      <c r="E545" s="1">
        <f t="shared" si="78"/>
        <v>22.755921487353191</v>
      </c>
      <c r="F545" s="1">
        <f t="shared" si="72"/>
        <v>1.2176840915947871</v>
      </c>
      <c r="G545" s="1">
        <f t="shared" si="79"/>
        <v>0.9080888318421092</v>
      </c>
      <c r="H545" s="1">
        <f t="shared" si="73"/>
        <v>0.35523051452629328</v>
      </c>
      <c r="I545" s="1">
        <f t="shared" si="74"/>
        <v>9.167765464025166</v>
      </c>
      <c r="K545" s="112">
        <f>C545/'CGE-Flood Weighted Av Calcs'!$D$3</f>
        <v>9.9469831892153894E-4</v>
      </c>
      <c r="L545" s="112">
        <f>D545/'CGE-Flood Weighted Av Calcs'!$D$4</f>
        <v>9.7497599902951742E-4</v>
      </c>
      <c r="M545" s="112">
        <f>E545/'CGE-Flood Weighted Av Calcs'!$D$5</f>
        <v>9.7482867136879407E-4</v>
      </c>
      <c r="N545" s="112">
        <f>F545/'CGE-Flood Weighted Av Calcs'!$D$6</f>
        <v>3.3658582300173385E-4</v>
      </c>
      <c r="O545" s="112">
        <f>G545/'CGE-Flood Weighted Av Calcs'!$D$7</f>
        <v>1.4990158831312984E-3</v>
      </c>
      <c r="P545" s="112">
        <f>H545/'CGE-Flood Weighted Av Calcs'!$D$8</f>
        <v>3.5896736479379674E-3</v>
      </c>
      <c r="R545" s="1">
        <f t="shared" si="75"/>
        <v>1.5916259486154855E-2</v>
      </c>
      <c r="S545" s="1">
        <f t="shared" si="76"/>
        <v>1.8462861003939623E-2</v>
      </c>
      <c r="T545" s="1">
        <f t="shared" si="77"/>
        <v>0.44565526561233693</v>
      </c>
    </row>
    <row r="546" spans="1:20">
      <c r="A546">
        <v>493</v>
      </c>
      <c r="B546">
        <v>0.64157910479844238</v>
      </c>
      <c r="C546" s="1">
        <f t="shared" si="71"/>
        <v>36.913369751369316</v>
      </c>
      <c r="D546" s="1">
        <f t="shared" si="80"/>
        <v>118.72979491622712</v>
      </c>
      <c r="E546" s="1">
        <f t="shared" si="78"/>
        <v>142.34566157066459</v>
      </c>
      <c r="F546" s="1">
        <f t="shared" si="72"/>
        <v>7.6170085091243163</v>
      </c>
      <c r="G546" s="1">
        <f t="shared" si="79"/>
        <v>5.6803898539259734</v>
      </c>
      <c r="H546" s="1">
        <f t="shared" si="73"/>
        <v>2.2220819591258931</v>
      </c>
      <c r="I546" s="1">
        <f t="shared" si="74"/>
        <v>57.347343232249202</v>
      </c>
      <c r="K546" s="112">
        <f>C546/'CGE-Flood Weighted Av Calcs'!$D$3</f>
        <v>6.2221602561251792E-3</v>
      </c>
      <c r="L546" s="112">
        <f>D546/'CGE-Flood Weighted Av Calcs'!$D$4</f>
        <v>6.0987907553867503E-3</v>
      </c>
      <c r="M546" s="112">
        <f>E546/'CGE-Flood Weighted Av Calcs'!$D$5</f>
        <v>6.0978691731363877E-3</v>
      </c>
      <c r="N546" s="112">
        <f>F546/'CGE-Flood Weighted Av Calcs'!$D$6</f>
        <v>2.1054533729656169E-3</v>
      </c>
      <c r="O546" s="112">
        <f>G546/'CGE-Flood Weighted Av Calcs'!$D$7</f>
        <v>9.3768300135789202E-3</v>
      </c>
      <c r="P546" s="112">
        <f>H546/'CGE-Flood Weighted Av Calcs'!$D$8</f>
        <v>2.2454571682473484E-2</v>
      </c>
      <c r="R546" s="1">
        <f t="shared" si="75"/>
        <v>9.9561359778210429E-2</v>
      </c>
      <c r="S546" s="1">
        <f t="shared" si="76"/>
        <v>0.11549117734272413</v>
      </c>
      <c r="T546" s="1">
        <f t="shared" si="77"/>
        <v>2.7877180737898932</v>
      </c>
    </row>
    <row r="547" spans="1:20">
      <c r="A547">
        <v>494</v>
      </c>
      <c r="B547">
        <v>0.95027501682968551</v>
      </c>
      <c r="C547" s="1">
        <f t="shared" si="71"/>
        <v>5.1211207667294047</v>
      </c>
      <c r="D547" s="1">
        <f t="shared" si="80"/>
        <v>16.471799309312814</v>
      </c>
      <c r="E547" s="1">
        <f t="shared" si="78"/>
        <v>19.748111007836769</v>
      </c>
      <c r="F547" s="1">
        <f t="shared" si="72"/>
        <v>1.056734205497019</v>
      </c>
      <c r="G547" s="1">
        <f t="shared" si="79"/>
        <v>0.78806033261106201</v>
      </c>
      <c r="H547" s="1">
        <f t="shared" si="73"/>
        <v>0.30827719449352653</v>
      </c>
      <c r="I547" s="1">
        <f t="shared" si="74"/>
        <v>7.9559973072502999</v>
      </c>
      <c r="K547" s="112">
        <f>C547/'CGE-Flood Weighted Av Calcs'!$D$3</f>
        <v>8.6322203353918897E-4</v>
      </c>
      <c r="L547" s="112">
        <f>D547/'CGE-Flood Weighted Av Calcs'!$D$4</f>
        <v>8.4610655162929932E-4</v>
      </c>
      <c r="M547" s="112">
        <f>E547/'CGE-Flood Weighted Av Calcs'!$D$5</f>
        <v>8.4597869730355262E-4</v>
      </c>
      <c r="N547" s="112">
        <f>F547/'CGE-Flood Weighted Av Calcs'!$D$6</f>
        <v>2.9209690321688046E-4</v>
      </c>
      <c r="O547" s="112">
        <f>G547/'CGE-Flood Weighted Av Calcs'!$D$7</f>
        <v>1.3008803919032372E-3</v>
      </c>
      <c r="P547" s="112">
        <f>H547/'CGE-Flood Weighted Av Calcs'!$D$8</f>
        <v>3.1152011893160456E-3</v>
      </c>
      <c r="R547" s="1">
        <f t="shared" si="75"/>
        <v>1.3812495325087354E-2</v>
      </c>
      <c r="S547" s="1">
        <f t="shared" si="76"/>
        <v>1.6022494577101309E-2</v>
      </c>
      <c r="T547" s="1">
        <f t="shared" si="77"/>
        <v>0.38674986910244691</v>
      </c>
    </row>
    <row r="548" spans="1:20">
      <c r="A548">
        <v>495</v>
      </c>
      <c r="B548">
        <v>0.13621404103014434</v>
      </c>
      <c r="C548" s="1">
        <f t="shared" si="71"/>
        <v>88.960356152128796</v>
      </c>
      <c r="D548" s="1">
        <f t="shared" si="80"/>
        <v>286.13602368894993</v>
      </c>
      <c r="E548" s="1">
        <f t="shared" si="78"/>
        <v>343.04970896261716</v>
      </c>
      <c r="F548" s="1">
        <f t="shared" si="72"/>
        <v>18.356812026362313</v>
      </c>
      <c r="G548" s="1">
        <f t="shared" si="79"/>
        <v>13.689606445898866</v>
      </c>
      <c r="H548" s="1">
        <f t="shared" si="73"/>
        <v>5.3551654539945304</v>
      </c>
      <c r="I548" s="1">
        <f t="shared" si="74"/>
        <v>138.20575343517692</v>
      </c>
      <c r="K548" s="112">
        <f>C548/'CGE-Flood Weighted Av Calcs'!$D$3</f>
        <v>1.4995260420514267E-2</v>
      </c>
      <c r="L548" s="112">
        <f>D548/'CGE-Flood Weighted Av Calcs'!$D$4</f>
        <v>1.4697942814510721E-2</v>
      </c>
      <c r="M548" s="112">
        <f>E548/'CGE-Flood Weighted Av Calcs'!$D$5</f>
        <v>1.469572182288173E-2</v>
      </c>
      <c r="N548" s="112">
        <f>F548/'CGE-Flood Weighted Av Calcs'!$D$6</f>
        <v>5.0740932941722074E-3</v>
      </c>
      <c r="O548" s="112">
        <f>G548/'CGE-Flood Weighted Av Calcs'!$D$7</f>
        <v>2.2597940616218271E-2</v>
      </c>
      <c r="P548" s="112">
        <f>H548/'CGE-Flood Weighted Av Calcs'!$D$8</f>
        <v>5.4114991602527619E-2</v>
      </c>
      <c r="R548" s="1">
        <f t="shared" si="75"/>
        <v>0.23994054415829325</v>
      </c>
      <c r="S548" s="1">
        <f t="shared" si="76"/>
        <v>0.27833103122362013</v>
      </c>
      <c r="T548" s="1">
        <f t="shared" si="77"/>
        <v>6.7183352364322104</v>
      </c>
    </row>
    <row r="549" spans="1:20">
      <c r="A549">
        <v>496</v>
      </c>
      <c r="B549">
        <v>0.46226046818825717</v>
      </c>
      <c r="C549" s="1">
        <f t="shared" si="71"/>
        <v>55.381196892922716</v>
      </c>
      <c r="D549" s="1">
        <f t="shared" si="80"/>
        <v>178.13053085103383</v>
      </c>
      <c r="E549" s="1">
        <f t="shared" si="78"/>
        <v>213.5614592597818</v>
      </c>
      <c r="F549" s="1">
        <f t="shared" si="72"/>
        <v>11.427811950525957</v>
      </c>
      <c r="G549" s="1">
        <f t="shared" si="79"/>
        <v>8.5222994012126243</v>
      </c>
      <c r="H549" s="1">
        <f t="shared" si="73"/>
        <v>3.3337936720338992</v>
      </c>
      <c r="I549" s="1">
        <f t="shared" si="74"/>
        <v>86.038325089878839</v>
      </c>
      <c r="K549" s="112">
        <f>C549/'CGE-Flood Weighted Av Calcs'!$D$3</f>
        <v>9.335118537396719E-3</v>
      </c>
      <c r="L549" s="112">
        <f>D549/'CGE-Flood Weighted Av Calcs'!$D$4</f>
        <v>9.1500270473215545E-3</v>
      </c>
      <c r="M549" s="112">
        <f>E549/'CGE-Flood Weighted Av Calcs'!$D$5</f>
        <v>9.1486443957672758E-3</v>
      </c>
      <c r="N549" s="112">
        <f>F549/'CGE-Flood Weighted Av Calcs'!$D$6</f>
        <v>3.158815588564675E-3</v>
      </c>
      <c r="O549" s="112">
        <f>G549/'CGE-Flood Weighted Av Calcs'!$D$7</f>
        <v>1.4068075407670355E-2</v>
      </c>
      <c r="P549" s="112">
        <f>H549/'CGE-Flood Weighted Av Calcs'!$D$8</f>
        <v>3.3688635415009244E-2</v>
      </c>
      <c r="R549" s="1">
        <f t="shared" si="75"/>
        <v>0.14937209216992856</v>
      </c>
      <c r="S549" s="1">
        <f t="shared" si="76"/>
        <v>0.17327162691711712</v>
      </c>
      <c r="T549" s="1">
        <f t="shared" si="77"/>
        <v>4.1824185807580001</v>
      </c>
    </row>
    <row r="550" spans="1:20">
      <c r="A550">
        <v>497</v>
      </c>
      <c r="B550">
        <v>6.6017364067184503E-2</v>
      </c>
      <c r="C550" s="1">
        <f t="shared" si="71"/>
        <v>101.20265030117028</v>
      </c>
      <c r="D550" s="1">
        <f t="shared" si="80"/>
        <v>324.14450334207936</v>
      </c>
      <c r="E550" s="1">
        <f t="shared" si="78"/>
        <v>388.57391026162378</v>
      </c>
      <c r="F550" s="1">
        <f t="shared" si="72"/>
        <v>23.309255242896896</v>
      </c>
      <c r="G550" s="1">
        <f t="shared" si="79"/>
        <v>15.666431317795119</v>
      </c>
      <c r="H550" s="1">
        <f t="shared" si="73"/>
        <v>6.0329674335462267</v>
      </c>
      <c r="I550" s="1">
        <f t="shared" si="74"/>
        <v>199.50497202359864</v>
      </c>
      <c r="K550" s="112">
        <f>C550/'CGE-Flood Weighted Av Calcs'!$D$3</f>
        <v>1.7058835667397115E-2</v>
      </c>
      <c r="L550" s="112">
        <f>D550/'CGE-Flood Weighted Av Calcs'!$D$4</f>
        <v>1.6650323550099187E-2</v>
      </c>
      <c r="M550" s="112">
        <f>E550/'CGE-Flood Weighted Av Calcs'!$D$5</f>
        <v>1.6645908577221685E-2</v>
      </c>
      <c r="N550" s="112">
        <f>F550/'CGE-Flood Weighted Av Calcs'!$D$6</f>
        <v>6.443021563345452E-3</v>
      </c>
      <c r="O550" s="112">
        <f>G550/'CGE-Flood Weighted Av Calcs'!$D$7</f>
        <v>2.5861158681713334E-2</v>
      </c>
      <c r="P550" s="112">
        <f>H550/'CGE-Flood Weighted Av Calcs'!$D$8</f>
        <v>6.096431283204385E-2</v>
      </c>
      <c r="R550" s="1">
        <f t="shared" si="75"/>
        <v>0.27265509062187698</v>
      </c>
      <c r="S550" s="1">
        <f t="shared" si="76"/>
        <v>0.32398263593281551</v>
      </c>
      <c r="T550" s="1">
        <f t="shared" si="77"/>
        <v>7.566377265546925</v>
      </c>
    </row>
    <row r="551" spans="1:20">
      <c r="A551">
        <v>498</v>
      </c>
      <c r="B551">
        <v>0.4130843339520861</v>
      </c>
      <c r="C551" s="1">
        <f t="shared" si="71"/>
        <v>60.445792317756826</v>
      </c>
      <c r="D551" s="1">
        <f t="shared" si="80"/>
        <v>194.42051955091159</v>
      </c>
      <c r="E551" s="1">
        <f t="shared" si="78"/>
        <v>233.09159674632295</v>
      </c>
      <c r="F551" s="1">
        <f t="shared" si="72"/>
        <v>12.472882251776426</v>
      </c>
      <c r="G551" s="1">
        <f t="shared" si="79"/>
        <v>9.3016613684142335</v>
      </c>
      <c r="H551" s="1">
        <f t="shared" si="73"/>
        <v>3.6386681985156746</v>
      </c>
      <c r="I551" s="1">
        <f t="shared" si="74"/>
        <v>93.906506567666213</v>
      </c>
      <c r="K551" s="112">
        <f>C551/'CGE-Flood Weighted Av Calcs'!$D$3</f>
        <v>1.0188812593994932E-2</v>
      </c>
      <c r="L551" s="112">
        <f>D551/'CGE-Flood Weighted Av Calcs'!$D$4</f>
        <v>9.9867945373881169E-3</v>
      </c>
      <c r="M551" s="112">
        <f>E551/'CGE-Flood Weighted Av Calcs'!$D$5</f>
        <v>9.9852854427244665E-3</v>
      </c>
      <c r="N551" s="112">
        <f>F551/'CGE-Flood Weighted Av Calcs'!$D$6</f>
        <v>3.4476884168040322E-3</v>
      </c>
      <c r="O551" s="112">
        <f>G551/'CGE-Flood Weighted Av Calcs'!$D$7</f>
        <v>1.5354597085482154E-2</v>
      </c>
      <c r="P551" s="112">
        <f>H551/'CGE-Flood Weighted Av Calcs'!$D$8</f>
        <v>3.6769451980271373E-2</v>
      </c>
      <c r="R551" s="1">
        <f t="shared" si="75"/>
        <v>0.16303212945775386</v>
      </c>
      <c r="S551" s="1">
        <f t="shared" si="76"/>
        <v>0.18911727017099444</v>
      </c>
      <c r="T551" s="1">
        <f t="shared" si="77"/>
        <v>4.5648996248171088</v>
      </c>
    </row>
    <row r="552" spans="1:20">
      <c r="A552">
        <v>499</v>
      </c>
      <c r="B552">
        <v>0.21365033895660335</v>
      </c>
      <c r="C552" s="1">
        <f t="shared" si="71"/>
        <v>80.985277869013814</v>
      </c>
      <c r="D552" s="1">
        <f t="shared" si="80"/>
        <v>260.48462921120858</v>
      </c>
      <c r="E552" s="1">
        <f t="shared" si="78"/>
        <v>312.29614184224522</v>
      </c>
      <c r="F552" s="1">
        <f t="shared" si="72"/>
        <v>16.71116873904997</v>
      </c>
      <c r="G552" s="1">
        <f t="shared" si="79"/>
        <v>12.462366720325146</v>
      </c>
      <c r="H552" s="1">
        <f t="shared" si="73"/>
        <v>4.8750879727217962</v>
      </c>
      <c r="I552" s="1">
        <f t="shared" si="74"/>
        <v>125.81594576694346</v>
      </c>
      <c r="K552" s="112">
        <f>C552/'CGE-Flood Weighted Av Calcs'!$D$3</f>
        <v>1.365097201046348E-2</v>
      </c>
      <c r="L552" s="112">
        <f>D552/'CGE-Flood Weighted Av Calcs'!$D$4</f>
        <v>1.3380308200435882E-2</v>
      </c>
      <c r="M552" s="112">
        <f>E552/'CGE-Flood Weighted Av Calcs'!$D$5</f>
        <v>1.3378286315272664E-2</v>
      </c>
      <c r="N552" s="112">
        <f>F552/'CGE-Flood Weighted Av Calcs'!$D$6</f>
        <v>4.6192132443705659E-3</v>
      </c>
      <c r="O552" s="112">
        <f>G552/'CGE-Flood Weighted Av Calcs'!$D$7</f>
        <v>2.0572090526956778E-2</v>
      </c>
      <c r="P552" s="112">
        <f>H552/'CGE-Flood Weighted Av Calcs'!$D$8</f>
        <v>4.9263715000371841E-2</v>
      </c>
      <c r="R552" s="1">
        <f t="shared" si="75"/>
        <v>0.21843046140094352</v>
      </c>
      <c r="S552" s="1">
        <f t="shared" si="76"/>
        <v>0.25337933522509448</v>
      </c>
      <c r="T552" s="1">
        <f t="shared" si="77"/>
        <v>6.1160529192264184</v>
      </c>
    </row>
    <row r="553" spans="1:20">
      <c r="A553">
        <v>500</v>
      </c>
      <c r="B553">
        <v>0.12098795070697654</v>
      </c>
      <c r="C553" s="1">
        <f t="shared" si="71"/>
        <v>90.528474276633716</v>
      </c>
      <c r="D553" s="1">
        <f t="shared" si="80"/>
        <v>291.17978817268369</v>
      </c>
      <c r="E553" s="1">
        <f t="shared" si="78"/>
        <v>349.09669988642253</v>
      </c>
      <c r="F553" s="1">
        <f t="shared" si="72"/>
        <v>18.680390425682599</v>
      </c>
      <c r="G553" s="1">
        <f t="shared" si="79"/>
        <v>13.930915281808238</v>
      </c>
      <c r="H553" s="1">
        <f t="shared" si="73"/>
        <v>5.4495617937952732</v>
      </c>
      <c r="I553" s="1">
        <f t="shared" si="74"/>
        <v>140.64192788688376</v>
      </c>
      <c r="K553" s="112">
        <f>C553/'CGE-Flood Weighted Av Calcs'!$D$3</f>
        <v>1.5259584223432371E-2</v>
      </c>
      <c r="L553" s="112">
        <f>D553/'CGE-Flood Weighted Av Calcs'!$D$4</f>
        <v>1.4957025753443173E-2</v>
      </c>
      <c r="M553" s="112">
        <f>E553/'CGE-Flood Weighted Av Calcs'!$D$5</f>
        <v>1.4954765612047043E-2</v>
      </c>
      <c r="N553" s="112">
        <f>F553/'CGE-Flood Weighted Av Calcs'!$D$6</f>
        <v>5.1635351310103331E-3</v>
      </c>
      <c r="O553" s="112">
        <f>G553/'CGE-Flood Weighted Av Calcs'!$D$7</f>
        <v>2.2996278053134318E-2</v>
      </c>
      <c r="P553" s="112">
        <f>H553/'CGE-Flood Weighted Av Calcs'!$D$8</f>
        <v>5.5068885031126766E-2</v>
      </c>
      <c r="R553" s="1">
        <f t="shared" si="75"/>
        <v>0.24417001369250652</v>
      </c>
      <c r="S553" s="1">
        <f t="shared" si="76"/>
        <v>0.28323721588330752</v>
      </c>
      <c r="T553" s="1">
        <f t="shared" si="77"/>
        <v>6.8367603833901827</v>
      </c>
    </row>
    <row r="554" spans="1:20">
      <c r="A554">
        <v>501</v>
      </c>
      <c r="B554">
        <v>0.70096149451450451</v>
      </c>
      <c r="C554" s="1">
        <f t="shared" si="71"/>
        <v>30.797643414945092</v>
      </c>
      <c r="D554" s="1">
        <f t="shared" si="80"/>
        <v>99.058902267352096</v>
      </c>
      <c r="E554" s="1">
        <f t="shared" si="78"/>
        <v>118.76214380441814</v>
      </c>
      <c r="F554" s="1">
        <f t="shared" si="72"/>
        <v>6.3550392048374604</v>
      </c>
      <c r="G554" s="1">
        <f t="shared" si="79"/>
        <v>4.7392752912403662</v>
      </c>
      <c r="H554" s="1">
        <f t="shared" si="73"/>
        <v>1.8539322819045325</v>
      </c>
      <c r="I554" s="1">
        <f t="shared" si="74"/>
        <v>47.846160877679253</v>
      </c>
      <c r="K554" s="112">
        <f>C554/'CGE-Flood Weighted Av Calcs'!$D$3</f>
        <v>5.1912863585605916E-3</v>
      </c>
      <c r="L554" s="112">
        <f>D554/'CGE-Flood Weighted Av Calcs'!$D$4</f>
        <v>5.0883564467802947E-3</v>
      </c>
      <c r="M554" s="112">
        <f>E554/'CGE-Flood Weighted Av Calcs'!$D$5</f>
        <v>5.0875875502608119E-3</v>
      </c>
      <c r="N554" s="112">
        <f>F554/'CGE-Flood Weighted Av Calcs'!$D$6</f>
        <v>1.7566264647237493E-3</v>
      </c>
      <c r="O554" s="112">
        <f>G554/'CGE-Flood Weighted Av Calcs'!$D$7</f>
        <v>7.823297332805703E-3</v>
      </c>
      <c r="P554" s="112">
        <f>H554/'CGE-Flood Weighted Av Calcs'!$D$8</f>
        <v>1.873434737522138E-2</v>
      </c>
      <c r="R554" s="1">
        <f t="shared" si="75"/>
        <v>8.3066251523748746E-2</v>
      </c>
      <c r="S554" s="1">
        <f t="shared" si="76"/>
        <v>9.6356851767548546E-2</v>
      </c>
      <c r="T554" s="1">
        <f t="shared" si="77"/>
        <v>2.3258550426649656</v>
      </c>
    </row>
    <row r="555" spans="1:20">
      <c r="A555">
        <v>502</v>
      </c>
      <c r="B555">
        <v>0.89485074867947234</v>
      </c>
      <c r="C555" s="1">
        <f t="shared" si="71"/>
        <v>10.829204560999685</v>
      </c>
      <c r="D555" s="1">
        <f t="shared" si="80"/>
        <v>34.831532458118886</v>
      </c>
      <c r="E555" s="1">
        <f t="shared" si="78"/>
        <v>41.759674012486357</v>
      </c>
      <c r="F555" s="1">
        <f t="shared" si="72"/>
        <v>2.234587192764284</v>
      </c>
      <c r="G555" s="1">
        <f t="shared" si="79"/>
        <v>1.6664450882897128</v>
      </c>
      <c r="H555" s="1">
        <f t="shared" si="73"/>
        <v>0.65188792702374698</v>
      </c>
      <c r="I555" s="1">
        <f t="shared" si="74"/>
        <v>16.823880211284404</v>
      </c>
      <c r="K555" s="112">
        <f>C555/'CGE-Flood Weighted Av Calcs'!$D$3</f>
        <v>1.8253832331956697E-3</v>
      </c>
      <c r="L555" s="112">
        <f>D555/'CGE-Flood Weighted Av Calcs'!$D$4</f>
        <v>1.7891905591297839E-3</v>
      </c>
      <c r="M555" s="112">
        <f>E555/'CGE-Flood Weighted Av Calcs'!$D$5</f>
        <v>1.7889201963106685E-3</v>
      </c>
      <c r="N555" s="112">
        <f>F555/'CGE-Flood Weighted Av Calcs'!$D$6</f>
        <v>6.176728221526192E-4</v>
      </c>
      <c r="O555" s="112">
        <f>G555/'CGE-Flood Weighted Av Calcs'!$D$7</f>
        <v>2.7508626558538649E-3</v>
      </c>
      <c r="P555" s="112">
        <f>H555/'CGE-Flood Weighted Av Calcs'!$D$8</f>
        <v>6.5874546733874339E-3</v>
      </c>
      <c r="R555" s="1">
        <f t="shared" si="75"/>
        <v>2.920812536681322E-2</v>
      </c>
      <c r="S555" s="1">
        <f t="shared" si="76"/>
        <v>3.3881425425503375E-2</v>
      </c>
      <c r="T555" s="1">
        <f t="shared" si="77"/>
        <v>0.81782751027077172</v>
      </c>
    </row>
    <row r="556" spans="1:20">
      <c r="A556">
        <v>503</v>
      </c>
      <c r="B556">
        <v>0.89189730956214319</v>
      </c>
      <c r="C556" s="1">
        <f t="shared" si="71"/>
        <v>11.133375974094406</v>
      </c>
      <c r="D556" s="1">
        <f t="shared" si="80"/>
        <v>35.809882842799595</v>
      </c>
      <c r="E556" s="1">
        <f t="shared" si="78"/>
        <v>42.932622494824386</v>
      </c>
      <c r="F556" s="1">
        <f t="shared" si="72"/>
        <v>2.2973524254531483</v>
      </c>
      <c r="G556" s="1">
        <f t="shared" si="79"/>
        <v>1.7132523080162034</v>
      </c>
      <c r="H556" s="1">
        <f t="shared" si="73"/>
        <v>0.67019819818219339</v>
      </c>
      <c r="I556" s="1">
        <f t="shared" si="74"/>
        <v>17.296430470057061</v>
      </c>
      <c r="K556" s="112">
        <f>C556/'CGE-Flood Weighted Av Calcs'!$D$3</f>
        <v>1.876654718035853E-3</v>
      </c>
      <c r="L556" s="112">
        <f>D556/'CGE-Flood Weighted Av Calcs'!$D$4</f>
        <v>1.8394454617498869E-3</v>
      </c>
      <c r="M556" s="112">
        <f>E556/'CGE-Flood Weighted Av Calcs'!$D$5</f>
        <v>1.8391675049620492E-3</v>
      </c>
      <c r="N556" s="112">
        <f>F556/'CGE-Flood Weighted Av Calcs'!$D$6</f>
        <v>6.3502205718517061E-4</v>
      </c>
      <c r="O556" s="112">
        <f>G556/'CGE-Flood Weighted Av Calcs'!$D$7</f>
        <v>2.8281290678555332E-3</v>
      </c>
      <c r="P556" s="112">
        <f>H556/'CGE-Flood Weighted Av Calcs'!$D$8</f>
        <v>6.7724835354257161E-3</v>
      </c>
      <c r="R556" s="1">
        <f t="shared" si="75"/>
        <v>3.0028525121626876E-2</v>
      </c>
      <c r="S556" s="1">
        <f t="shared" si="76"/>
        <v>3.4833089141087181E-2</v>
      </c>
      <c r="T556" s="1">
        <f t="shared" si="77"/>
        <v>0.84079870340555374</v>
      </c>
    </row>
    <row r="557" spans="1:20">
      <c r="A557">
        <v>504</v>
      </c>
      <c r="B557">
        <v>2.1548621957215297E-2</v>
      </c>
      <c r="C557" s="1">
        <f t="shared" si="71"/>
        <v>132.85077689427277</v>
      </c>
      <c r="D557" s="1">
        <f t="shared" si="80"/>
        <v>422.52906348917128</v>
      </c>
      <c r="E557" s="1">
        <f t="shared" si="78"/>
        <v>506.47783880635887</v>
      </c>
      <c r="F557" s="1">
        <f t="shared" si="72"/>
        <v>29.027593782554082</v>
      </c>
      <c r="G557" s="1">
        <f t="shared" si="79"/>
        <v>19.468854995600772</v>
      </c>
      <c r="H557" s="1">
        <f t="shared" si="73"/>
        <v>7.3372304531559305</v>
      </c>
      <c r="I557" s="1">
        <f t="shared" si="74"/>
        <v>296.12404225883512</v>
      </c>
      <c r="K557" s="112">
        <f>C557/'CGE-Flood Weighted Av Calcs'!$D$3</f>
        <v>2.2393480453142146E-2</v>
      </c>
      <c r="L557" s="112">
        <f>D557/'CGE-Flood Weighted Av Calcs'!$D$4</f>
        <v>2.1704041080069153E-2</v>
      </c>
      <c r="M557" s="112">
        <f>E557/'CGE-Flood Weighted Av Calcs'!$D$5</f>
        <v>2.1696731505939475E-2</v>
      </c>
      <c r="N557" s="112">
        <f>F557/'CGE-Flood Weighted Av Calcs'!$D$6</f>
        <v>8.0236545837311206E-3</v>
      </c>
      <c r="O557" s="112">
        <f>G557/'CGE-Flood Weighted Av Calcs'!$D$7</f>
        <v>3.2137960342033992E-2</v>
      </c>
      <c r="P557" s="112">
        <f>H557/'CGE-Flood Weighted Av Calcs'!$D$8</f>
        <v>7.4144145081861484E-2</v>
      </c>
      <c r="R557" s="1">
        <f t="shared" si="75"/>
        <v>0.31460183739037961</v>
      </c>
      <c r="S557" s="1">
        <f t="shared" si="76"/>
        <v>0.37460183739037961</v>
      </c>
      <c r="T557" s="1">
        <f t="shared" si="77"/>
        <v>11.690275608556941</v>
      </c>
    </row>
    <row r="558" spans="1:20">
      <c r="A558">
        <v>505</v>
      </c>
      <c r="B558">
        <v>0.43002714000459308</v>
      </c>
      <c r="C558" s="1">
        <f t="shared" si="71"/>
        <v>58.700871547749188</v>
      </c>
      <c r="D558" s="1">
        <f t="shared" si="80"/>
        <v>188.80807921930554</v>
      </c>
      <c r="E558" s="1">
        <f t="shared" si="78"/>
        <v>226.36281790364043</v>
      </c>
      <c r="F558" s="1">
        <f t="shared" si="72"/>
        <v>12.112820939508859</v>
      </c>
      <c r="G558" s="1">
        <f t="shared" si="79"/>
        <v>9.0331453725943618</v>
      </c>
      <c r="H558" s="1">
        <f t="shared" si="73"/>
        <v>3.5336288323116665</v>
      </c>
      <c r="I558" s="1">
        <f t="shared" si="74"/>
        <v>91.195657599265104</v>
      </c>
      <c r="K558" s="112">
        <f>C558/'CGE-Flood Weighted Av Calcs'!$D$3</f>
        <v>9.8946867328677142E-3</v>
      </c>
      <c r="L558" s="112">
        <f>D558/'CGE-Flood Weighted Av Calcs'!$D$4</f>
        <v>9.6985004387272894E-3</v>
      </c>
      <c r="M558" s="112">
        <f>E558/'CGE-Flood Weighted Av Calcs'!$D$5</f>
        <v>9.6970349079002847E-3</v>
      </c>
      <c r="N558" s="112">
        <f>F558/'CGE-Flood Weighted Av Calcs'!$D$6</f>
        <v>3.3481621653261634E-3</v>
      </c>
      <c r="O558" s="112">
        <f>G558/'CGE-Flood Weighted Av Calcs'!$D$7</f>
        <v>1.4911347781565167E-2</v>
      </c>
      <c r="P558" s="112">
        <f>H558/'CGE-Flood Weighted Av Calcs'!$D$8</f>
        <v>3.5708008693617226E-2</v>
      </c>
      <c r="R558" s="1">
        <f t="shared" si="75"/>
        <v>0.15832579444316858</v>
      </c>
      <c r="S558" s="1">
        <f t="shared" si="76"/>
        <v>0.18365792155407556</v>
      </c>
      <c r="T558" s="1">
        <f t="shared" si="77"/>
        <v>4.4331222444087208</v>
      </c>
    </row>
    <row r="559" spans="1:20">
      <c r="A559">
        <v>506</v>
      </c>
      <c r="B559">
        <v>0.90258407744202784</v>
      </c>
      <c r="C559" s="1">
        <f t="shared" si="71"/>
        <v>10.032757624331609</v>
      </c>
      <c r="D559" s="1">
        <f t="shared" si="80"/>
        <v>32.269805309143237</v>
      </c>
      <c r="E559" s="1">
        <f t="shared" si="78"/>
        <v>38.688408320148937</v>
      </c>
      <c r="F559" s="1">
        <f t="shared" si="72"/>
        <v>2.0702417771458208</v>
      </c>
      <c r="G559" s="1">
        <f t="shared" si="79"/>
        <v>1.5438843703516838</v>
      </c>
      <c r="H559" s="1">
        <f t="shared" si="73"/>
        <v>0.60394404161606019</v>
      </c>
      <c r="I559" s="1">
        <f t="shared" si="74"/>
        <v>15.586547609275527</v>
      </c>
      <c r="K559" s="112">
        <f>C559/'CGE-Flood Weighted Av Calcs'!$D$3</f>
        <v>1.691133217311793E-3</v>
      </c>
      <c r="L559" s="112">
        <f>D559/'CGE-Flood Weighted Av Calcs'!$D$4</f>
        <v>1.6576023771993809E-3</v>
      </c>
      <c r="M559" s="112">
        <f>E559/'CGE-Flood Weighted Av Calcs'!$D$5</f>
        <v>1.6573518985405359E-3</v>
      </c>
      <c r="N559" s="112">
        <f>F559/'CGE-Flood Weighted Av Calcs'!$D$6</f>
        <v>5.7224532798206206E-4</v>
      </c>
      <c r="O559" s="112">
        <f>G559/'CGE-Flood Weighted Av Calcs'!$D$7</f>
        <v>2.5485471373771175E-3</v>
      </c>
      <c r="P559" s="112">
        <f>H559/'CGE-Flood Weighted Av Calcs'!$D$8</f>
        <v>6.1029723584116683E-3</v>
      </c>
      <c r="R559" s="1">
        <f t="shared" si="75"/>
        <v>2.7059978488325587E-2</v>
      </c>
      <c r="S559" s="1">
        <f t="shared" si="76"/>
        <v>3.1389575046457674E-2</v>
      </c>
      <c r="T559" s="1">
        <f t="shared" si="77"/>
        <v>0.75767939767311709</v>
      </c>
    </row>
    <row r="560" spans="1:20">
      <c r="A560">
        <v>507</v>
      </c>
      <c r="B560">
        <v>8.8503621880476779E-2</v>
      </c>
      <c r="C560" s="1">
        <f t="shared" si="71"/>
        <v>95.569842718940563</v>
      </c>
      <c r="D560" s="1">
        <f t="shared" si="80"/>
        <v>306.93221230971164</v>
      </c>
      <c r="E560" s="1">
        <f t="shared" si="78"/>
        <v>367.96735255359039</v>
      </c>
      <c r="F560" s="1">
        <f t="shared" si="72"/>
        <v>20.541477911609974</v>
      </c>
      <c r="G560" s="1">
        <f t="shared" si="79"/>
        <v>14.738140467008485</v>
      </c>
      <c r="H560" s="1">
        <f t="shared" si="73"/>
        <v>5.7330275839785418</v>
      </c>
      <c r="I560" s="1">
        <f t="shared" si="74"/>
        <v>162.77741759522127</v>
      </c>
      <c r="K560" s="112">
        <f>C560/'CGE-Flood Weighted Av Calcs'!$D$3</f>
        <v>1.6109363113018624E-2</v>
      </c>
      <c r="L560" s="112">
        <f>D560/'CGE-Flood Weighted Av Calcs'!$D$4</f>
        <v>1.576618017647256E-2</v>
      </c>
      <c r="M560" s="112">
        <f>E560/'CGE-Flood Weighted Av Calcs'!$D$5</f>
        <v>1.5763155343819529E-2</v>
      </c>
      <c r="N560" s="112">
        <f>F560/'CGE-Flood Weighted Av Calcs'!$D$6</f>
        <v>5.6779671314388545E-3</v>
      </c>
      <c r="O560" s="112">
        <f>G560/'CGE-Flood Weighted Av Calcs'!$D$7</f>
        <v>2.4328794577342785E-2</v>
      </c>
      <c r="P560" s="112">
        <f>H560/'CGE-Flood Weighted Av Calcs'!$D$8</f>
        <v>5.7933362139659279E-2</v>
      </c>
      <c r="R560" s="1">
        <f t="shared" si="75"/>
        <v>0.25766425207968213</v>
      </c>
      <c r="S560" s="1">
        <f t="shared" si="76"/>
        <v>0.30149637811952323</v>
      </c>
      <c r="T560" s="1">
        <f t="shared" si="77"/>
        <v>7.1916063019920538</v>
      </c>
    </row>
    <row r="561" spans="1:20">
      <c r="A561">
        <v>508</v>
      </c>
      <c r="B561">
        <v>0.17717086709160401</v>
      </c>
      <c r="C561" s="1">
        <f t="shared" si="71"/>
        <v>84.742258143643582</v>
      </c>
      <c r="D561" s="1">
        <f t="shared" si="80"/>
        <v>272.56874671431348</v>
      </c>
      <c r="E561" s="1">
        <f t="shared" si="78"/>
        <v>326.78384226900653</v>
      </c>
      <c r="F561" s="1">
        <f t="shared" si="72"/>
        <v>17.48641496861983</v>
      </c>
      <c r="G561" s="1">
        <f t="shared" si="79"/>
        <v>13.040507182091449</v>
      </c>
      <c r="H561" s="1">
        <f t="shared" si="73"/>
        <v>5.1012477122762423</v>
      </c>
      <c r="I561" s="1">
        <f t="shared" si="74"/>
        <v>131.65266126534337</v>
      </c>
      <c r="K561" s="112">
        <f>C561/'CGE-Flood Weighted Av Calcs'!$D$3</f>
        <v>1.4284252946484784E-2</v>
      </c>
      <c r="L561" s="112">
        <f>D561/'CGE-Flood Weighted Av Calcs'!$D$4</f>
        <v>1.4001032797551065E-2</v>
      </c>
      <c r="M561" s="112">
        <f>E561/'CGE-Flood Weighted Av Calcs'!$D$5</f>
        <v>1.3998917115306748E-2</v>
      </c>
      <c r="N561" s="112">
        <f>F561/'CGE-Flood Weighted Av Calcs'!$D$6</f>
        <v>4.8335027238914944E-3</v>
      </c>
      <c r="O561" s="112">
        <f>G561/'CGE-Flood Weighted Av Calcs'!$D$7</f>
        <v>2.1526448409665808E-2</v>
      </c>
      <c r="P561" s="112">
        <f>H561/'CGE-Flood Weighted Av Calcs'!$D$8</f>
        <v>5.1549103287990408E-2</v>
      </c>
      <c r="R561" s="1">
        <f t="shared" si="75"/>
        <v>0.22856364803011001</v>
      </c>
      <c r="S561" s="1">
        <f t="shared" si="76"/>
        <v>0.2651338317149276</v>
      </c>
      <c r="T561" s="1">
        <f t="shared" si="77"/>
        <v>6.3997821448430798</v>
      </c>
    </row>
    <row r="562" spans="1:20">
      <c r="A562">
        <v>509</v>
      </c>
      <c r="B562">
        <v>0.42929377432007043</v>
      </c>
      <c r="C562" s="1">
        <f t="shared" si="71"/>
        <v>58.776400064747413</v>
      </c>
      <c r="D562" s="1">
        <f t="shared" si="80"/>
        <v>189.05101248153346</v>
      </c>
      <c r="E562" s="1">
        <f t="shared" si="78"/>
        <v>226.65407163614924</v>
      </c>
      <c r="F562" s="1">
        <f t="shared" si="72"/>
        <v>12.128406115301045</v>
      </c>
      <c r="G562" s="1">
        <f t="shared" si="79"/>
        <v>9.0447680292233414</v>
      </c>
      <c r="H562" s="1">
        <f t="shared" si="73"/>
        <v>3.5381754384912627</v>
      </c>
      <c r="I562" s="1">
        <f t="shared" si="74"/>
        <v>91.312996108788724</v>
      </c>
      <c r="K562" s="112">
        <f>C562/'CGE-Flood Weighted Av Calcs'!$D$3</f>
        <v>9.9074179069608883E-3</v>
      </c>
      <c r="L562" s="112">
        <f>D562/'CGE-Flood Weighted Av Calcs'!$D$4</f>
        <v>9.7109791862472102E-3</v>
      </c>
      <c r="M562" s="112">
        <f>E562/'CGE-Flood Weighted Av Calcs'!$D$5</f>
        <v>9.7095117697689887E-3</v>
      </c>
      <c r="N562" s="112">
        <f>F562/'CGE-Flood Weighted Av Calcs'!$D$6</f>
        <v>3.3524701375308172E-3</v>
      </c>
      <c r="O562" s="112">
        <f>G562/'CGE-Flood Weighted Av Calcs'!$D$7</f>
        <v>1.4930533731529642E-2</v>
      </c>
      <c r="P562" s="112">
        <f>H562/'CGE-Flood Weighted Av Calcs'!$D$8</f>
        <v>3.5753953036017576E-2</v>
      </c>
      <c r="R562" s="1">
        <f t="shared" si="75"/>
        <v>0.15852950713331376</v>
      </c>
      <c r="S562" s="1">
        <f t="shared" si="76"/>
        <v>0.18389422827464397</v>
      </c>
      <c r="T562" s="1">
        <f t="shared" si="77"/>
        <v>4.4388261997327856</v>
      </c>
    </row>
    <row r="563" spans="1:20">
      <c r="A563">
        <v>510</v>
      </c>
      <c r="B563">
        <v>0.51722452765819527</v>
      </c>
      <c r="C563" s="1">
        <f t="shared" si="71"/>
        <v>49.720509479290982</v>
      </c>
      <c r="D563" s="1">
        <f t="shared" si="80"/>
        <v>159.92324551695964</v>
      </c>
      <c r="E563" s="1">
        <f t="shared" si="78"/>
        <v>191.73266659562105</v>
      </c>
      <c r="F563" s="1">
        <f t="shared" si="72"/>
        <v>10.259739122508774</v>
      </c>
      <c r="G563" s="1">
        <f t="shared" si="79"/>
        <v>7.6512082066882501</v>
      </c>
      <c r="H563" s="1">
        <f t="shared" si="73"/>
        <v>2.9930360694957159</v>
      </c>
      <c r="I563" s="1">
        <f t="shared" si="74"/>
        <v>77.244075574688736</v>
      </c>
      <c r="K563" s="112">
        <f>C563/'CGE-Flood Weighted Av Calcs'!$D$3</f>
        <v>8.380946526423896E-3</v>
      </c>
      <c r="L563" s="112">
        <f>D563/'CGE-Flood Weighted Av Calcs'!$D$4</f>
        <v>8.2147738233562546E-3</v>
      </c>
      <c r="M563" s="112">
        <f>E563/'CGE-Flood Weighted Av Calcs'!$D$5</f>
        <v>8.2135324969933744E-3</v>
      </c>
      <c r="N563" s="112">
        <f>F563/'CGE-Flood Weighted Av Calcs'!$D$6</f>
        <v>2.835943049736305E-3</v>
      </c>
      <c r="O563" s="112">
        <f>G563/'CGE-Flood Weighted Av Calcs'!$D$7</f>
        <v>1.2630132895373397E-2</v>
      </c>
      <c r="P563" s="112">
        <f>H563/'CGE-Flood Weighted Av Calcs'!$D$8</f>
        <v>3.0245213366098245E-2</v>
      </c>
      <c r="R563" s="1">
        <f t="shared" si="75"/>
        <v>0.13410429787272354</v>
      </c>
      <c r="S563" s="1">
        <f t="shared" si="76"/>
        <v>0.15556098553235928</v>
      </c>
      <c r="T563" s="1">
        <f t="shared" si="77"/>
        <v>3.7549203404362594</v>
      </c>
    </row>
    <row r="564" spans="1:20">
      <c r="A564">
        <v>511</v>
      </c>
      <c r="B564">
        <v>5.8324705876549698E-2</v>
      </c>
      <c r="C564" s="1">
        <f t="shared" si="71"/>
        <v>103.12966117792431</v>
      </c>
      <c r="D564" s="1">
        <f t="shared" si="80"/>
        <v>330.03291183980025</v>
      </c>
      <c r="E564" s="1">
        <f t="shared" si="78"/>
        <v>395.623513901754</v>
      </c>
      <c r="F564" s="1">
        <f t="shared" si="72"/>
        <v>24.256125332805397</v>
      </c>
      <c r="G564" s="1">
        <f t="shared" si="79"/>
        <v>15.98400413386298</v>
      </c>
      <c r="H564" s="1">
        <f t="shared" si="73"/>
        <v>6.1355783152515269</v>
      </c>
      <c r="I564" s="1">
        <f t="shared" si="74"/>
        <v>212.06964706830217</v>
      </c>
      <c r="K564" s="112">
        <f>C564/'CGE-Flood Weighted Av Calcs'!$D$3</f>
        <v>1.7383654847309971E-2</v>
      </c>
      <c r="L564" s="112">
        <f>D564/'CGE-Flood Weighted Av Calcs'!$D$4</f>
        <v>1.6952793299458896E-2</v>
      </c>
      <c r="M564" s="112">
        <f>E564/'CGE-Flood Weighted Av Calcs'!$D$5</f>
        <v>1.694790275284775E-2</v>
      </c>
      <c r="N564" s="112">
        <f>F564/'CGE-Flood Weighted Av Calcs'!$D$6</f>
        <v>6.7047504063905946E-3</v>
      </c>
      <c r="O564" s="112">
        <f>G564/'CGE-Flood Weighted Av Calcs'!$D$7</f>
        <v>2.6385387896569738E-2</v>
      </c>
      <c r="P564" s="112">
        <f>H564/'CGE-Flood Weighted Av Calcs'!$D$8</f>
        <v>6.2001215809087878E-2</v>
      </c>
      <c r="R564" s="1">
        <f t="shared" si="75"/>
        <v>0.2777835294156335</v>
      </c>
      <c r="S564" s="1">
        <f t="shared" si="76"/>
        <v>0.33167529412345026</v>
      </c>
      <c r="T564" s="1">
        <f t="shared" si="77"/>
        <v>7.6945882353908388</v>
      </c>
    </row>
    <row r="565" spans="1:20">
      <c r="A565">
        <v>512</v>
      </c>
      <c r="B565">
        <v>2.1397735349761082E-2</v>
      </c>
      <c r="C565" s="1">
        <f t="shared" si="71"/>
        <v>133.05628445362541</v>
      </c>
      <c r="D565" s="1">
        <f t="shared" si="80"/>
        <v>423.17074860910589</v>
      </c>
      <c r="E565" s="1">
        <f t="shared" si="78"/>
        <v>507.2470286058437</v>
      </c>
      <c r="F565" s="1">
        <f t="shared" si="72"/>
        <v>29.048167831895718</v>
      </c>
      <c r="G565" s="1">
        <f t="shared" si="79"/>
        <v>19.491166225035549</v>
      </c>
      <c r="H565" s="1">
        <f t="shared" si="73"/>
        <v>7.3450581635887566</v>
      </c>
      <c r="I565" s="1">
        <f t="shared" si="74"/>
        <v>296.56664297403415</v>
      </c>
      <c r="K565" s="112">
        <f>C565/'CGE-Flood Weighted Av Calcs'!$D$3</f>
        <v>2.2428121044796336E-2</v>
      </c>
      <c r="L565" s="112">
        <f>D565/'CGE-Flood Weighted Av Calcs'!$D$4</f>
        <v>2.1737002505464419E-2</v>
      </c>
      <c r="M565" s="112">
        <f>E565/'CGE-Flood Weighted Av Calcs'!$D$5</f>
        <v>2.1729682413714355E-2</v>
      </c>
      <c r="N565" s="112">
        <f>F565/'CGE-Flood Weighted Av Calcs'!$D$6</f>
        <v>8.0293415540856911E-3</v>
      </c>
      <c r="O565" s="112">
        <f>G565/'CGE-Flood Weighted Av Calcs'!$D$7</f>
        <v>3.2174790315184387E-2</v>
      </c>
      <c r="P565" s="112">
        <f>H565/'CGE-Flood Weighted Av Calcs'!$D$8</f>
        <v>7.4223245622821149E-2</v>
      </c>
      <c r="R565" s="1">
        <f t="shared" si="75"/>
        <v>0.31480301953365192</v>
      </c>
      <c r="S565" s="1">
        <f t="shared" si="76"/>
        <v>0.37480301953365192</v>
      </c>
      <c r="T565" s="1">
        <f t="shared" si="77"/>
        <v>11.720452930047784</v>
      </c>
    </row>
    <row r="566" spans="1:20">
      <c r="A566">
        <v>513</v>
      </c>
      <c r="B566">
        <v>0.7328803023040944</v>
      </c>
      <c r="C566" s="1">
        <f t="shared" si="71"/>
        <v>27.510360866037217</v>
      </c>
      <c r="D566" s="1">
        <f t="shared" si="80"/>
        <v>88.485541301057594</v>
      </c>
      <c r="E566" s="1">
        <f t="shared" si="78"/>
        <v>106.08569588471462</v>
      </c>
      <c r="F566" s="1">
        <f t="shared" si="72"/>
        <v>5.6767142695747221</v>
      </c>
      <c r="G566" s="1">
        <f t="shared" si="79"/>
        <v>4.2334139579734007</v>
      </c>
      <c r="H566" s="1">
        <f t="shared" si="73"/>
        <v>1.6560470361066573</v>
      </c>
      <c r="I566" s="1">
        <f t="shared" si="74"/>
        <v>42.739151631344868</v>
      </c>
      <c r="K566" s="112">
        <f>C566/'CGE-Flood Weighted Av Calcs'!$D$3</f>
        <v>4.6371782138900633E-3</v>
      </c>
      <c r="L566" s="112">
        <f>D566/'CGE-Flood Weighted Av Calcs'!$D$4</f>
        <v>4.5452348473527639E-3</v>
      </c>
      <c r="M566" s="112">
        <f>E566/'CGE-Flood Weighted Av Calcs'!$D$5</f>
        <v>4.5445480214020041E-3</v>
      </c>
      <c r="N566" s="112">
        <f>F566/'CGE-Flood Weighted Av Calcs'!$D$6</f>
        <v>1.5691274588863768E-3</v>
      </c>
      <c r="O566" s="112">
        <f>G566/'CGE-Flood Weighted Av Calcs'!$D$7</f>
        <v>6.9882532857481984E-3</v>
      </c>
      <c r="P566" s="112">
        <f>H566/'CGE-Flood Weighted Av Calcs'!$D$8</f>
        <v>1.6734678362823569E-2</v>
      </c>
      <c r="R566" s="1">
        <f t="shared" si="75"/>
        <v>7.4199916026640417E-2</v>
      </c>
      <c r="S566" s="1">
        <f t="shared" si="76"/>
        <v>8.6071902590902916E-2</v>
      </c>
      <c r="T566" s="1">
        <f t="shared" si="77"/>
        <v>2.0775976487459333</v>
      </c>
    </row>
    <row r="567" spans="1:20">
      <c r="A567">
        <v>514</v>
      </c>
      <c r="B567">
        <v>0.25696293404886417</v>
      </c>
      <c r="C567" s="1">
        <f t="shared" ref="C567:C630" si="81">IF($B567&lt;=0.005,$F$5,IF(B567&lt;=0.01,$F$5+($B567-0.005)*SLOPE($E$5:$F$5,$E$4:$F$4),IF($B567&lt;=0.04,$E$5+($B567-0.01)*SLOPE($D$5:$E$5,$D$4:$E$4),IF($B567&lt;=0.1,$D$5+($B567-0.04)*SLOPE($C$5:$D$5,$C$4:$D$4),IF($B567&lt;=1,$C$5+($B567-0.1)*SLOPE($B$5:$C$5,$B$4:$C$4),)))))</f>
        <v>76.524561825567531</v>
      </c>
      <c r="D567" s="1">
        <f t="shared" si="80"/>
        <v>246.13698485944215</v>
      </c>
      <c r="E567" s="1">
        <f t="shared" si="78"/>
        <v>295.09468934522187</v>
      </c>
      <c r="F567" s="1">
        <f t="shared" ref="F567:F630" si="82">IF($B567&lt;=0.005,$F$26,IF($B567&lt;=0.01,$F$26+($B567-0.005)*SLOPE($E$26:$F$26,$E$25:$F$25),IF($B567&lt;=0.04,$E$26+($B567-0.01)*SLOPE($D$26:$E$26,$D$25:$E$25),IF($B567&lt;=0.1,$D$26+($B567-0.04)*SLOPE($C$26:$D$26,$C$25:$D$25),IF($B567&lt;=1,$C$26+($B567-0.1)*SLOPE($B$26:$C$26,$B$25:$C$25),)))))</f>
        <v>15.790707879243008</v>
      </c>
      <c r="G567" s="1">
        <f t="shared" si="79"/>
        <v>11.775932338281303</v>
      </c>
      <c r="H567" s="1">
        <f t="shared" ref="H567:H630" si="83">IF($B567&lt;=0.005,$F$40,IF($B567&lt;=0.01,$F$40+($B567-0.005)*SLOPE($E$40:$F$40,$E$39:$F$39),IF($B567&lt;=0.04,$E$40+($B567-0.01)*SLOPE($D$40:$E$40,$D$39:$E$39),IF($B567&lt;=0.1,$D$40+($B567-0.04)*SLOPE($C$40:$D$40,$C$39:$D$39),IF($B567&lt;=1,$C$40+($B567-0.1)*SLOPE($B$40:$C$40,$B$39:$C$39),)))))</f>
        <v>4.6065653016221813</v>
      </c>
      <c r="I567" s="1">
        <f t="shared" ref="I567:I630" si="84">IF($B567&lt;=0.005,$F$47,IF($B567&lt;=0.01,$F$47+($B567-0.005)*SLOPE($E$47:$F$47,$E$46:$F$46),IF($B567&lt;=0.04,$E$47+($B567-0.01)*SLOPE($D$47:$E$47,$D$46:$E$46),IF($B567&lt;=0.1,$D$47+($B567-0.04)*SLOPE($C$47:$D$47,$C$46:$D$46),IF($B567&lt;=1,$C$47+($B567-0.1)*SLOPE($B$47:$C$47,$B$46:$C$46),)))))</f>
        <v>118.88593055218173</v>
      </c>
      <c r="K567" s="112">
        <f>C567/'CGE-Flood Weighted Av Calcs'!$D$3</f>
        <v>1.2899068560132674E-2</v>
      </c>
      <c r="L567" s="112">
        <f>D567/'CGE-Flood Weighted Av Calcs'!$D$4</f>
        <v>1.2643313069635983E-2</v>
      </c>
      <c r="M567" s="112">
        <f>E567/'CGE-Flood Weighted Av Calcs'!$D$5</f>
        <v>1.2641402551079421E-2</v>
      </c>
      <c r="N567" s="112">
        <f>F567/'CGE-Flood Weighted Av Calcs'!$D$6</f>
        <v>4.3647843016114875E-3</v>
      </c>
      <c r="O567" s="112">
        <f>G567/'CGE-Flood Weighted Av Calcs'!$D$7</f>
        <v>1.9438967857312441E-2</v>
      </c>
      <c r="P567" s="112">
        <f>H567/'CGE-Flood Weighted Av Calcs'!$D$8</f>
        <v>4.655024102529514E-2</v>
      </c>
      <c r="R567" s="1">
        <f t="shared" ref="R567:R630" si="85">IF($B567&lt;=0.005,$F$13,IF($B567&lt;=0.01,$F$13+($B567-0.005)*SLOPE($E$13:$F$13,$E$10:$F$10),IF($B567&lt;=0.04,$E$13+($B567-0.01)*SLOPE($D$13:$E$13,$D$10:$E$10),IF($B567&lt;=0.1,$D$13+($B567-0.04)*SLOPE($C$13:$D$13,$C$10:$D$10),IF($B567&lt;=1,$C$13+($B567-0.1)*SLOPE($B$13:$C$13,$B$10:$C$10),)))))</f>
        <v>0.20639918498642662</v>
      </c>
      <c r="S567" s="1">
        <f t="shared" ref="S567:S630" si="86">IF($B567&lt;=0.005,$F$21,IF($B567&lt;=0.01,$F$21+($B567-0.005)*SLOPE($E$21:$F$21,$E$18:$F$18),IF($B567&lt;=0.04,$E$21+($B567-0.01)*SLOPE($D$21:$E$21,$D$18:$E$18),IF($B567&lt;=0.1,$D$21+($B567-0.04)*SLOPE($C$21:$D$21,$C$18:$D$18),IF($B567&lt;=1,$C$21+($B567-0.1)*SLOPE($B$21:$C$21,$B$18:$C$18),)))))</f>
        <v>0.23942305458425486</v>
      </c>
      <c r="T567" s="1">
        <f t="shared" ref="T567:T630" si="87">IF($B567&lt;=0.005,$F$14,IF($B567&lt;=0.01,$F$14+($B567-0.005)*SLOPE($E$14:$F$14,$E$10:$F$10),IF($B567&lt;=0.04,$E$14+($B567-0.01)*SLOPE($D$14:$E$14,$D$10:$E$10),IF($B567&lt;=0.1,$D$14+($B567-0.04)*SLOPE($C$14:$D$14,$C$10:$D$10),IF($B567&lt;=1,$C$14+($B567-0.1)*SLOPE($B$14:$C$14,$B$10:$C$10),)))))</f>
        <v>5.7791771796199454</v>
      </c>
    </row>
    <row r="568" spans="1:20">
      <c r="A568">
        <v>515</v>
      </c>
      <c r="B568">
        <v>7.8035564778681232E-3</v>
      </c>
      <c r="C568" s="1">
        <f t="shared" si="81"/>
        <v>151.07515984114181</v>
      </c>
      <c r="D568" s="1">
        <f t="shared" si="80"/>
        <v>479.9601905674989</v>
      </c>
      <c r="E568" s="1">
        <f t="shared" ref="E568:E631" si="88">IF($B568&lt;=0.005,$F$19,IF($B568&lt;=0.01,$F$19+($B568-0.005)*SLOPE($E$19:$F$19,$E$18:$F$18),IF($B568&lt;=0.04,$E$19+($B568-0.01)*SLOPE($D$19:$E$19,$D$18:$E$18),IF($B568&lt;=0.1,$D$19+($B568-0.04)*SLOPE($C$19:$D$19,$C$18:$D$18),IF($B568&lt;=1,$C$19+($B568-0.1)*SLOPE($B$19:$C$19,$B$18:$C$18),)))))</f>
        <v>575.33144790881533</v>
      </c>
      <c r="F568" s="1">
        <f t="shared" si="82"/>
        <v>31.148822570178385</v>
      </c>
      <c r="G568" s="1">
        <f t="shared" ref="G568:G631" si="89">IF($B568&lt;=0.005,$F$33,IF($B568&lt;=0.01,$F$33+($B568-0.005)*SLOPE($E$33:$F$33,$E$32:$F$32),IF($B568&lt;=0.04,$E$33+($B568-0.01)*SLOPE($D$33:$E$33,$D$32:$E$32),IF($B568&lt;=0.1,$D$33+($B568-0.04)*SLOPE($C$33:$D$33,$C$32:$D$32),IF($B568&lt;=1,$C$33+($B568-0.1)*SLOPE($B$33:$C$33,$B$32:$C$32),)))))</f>
        <v>21.548935543512535</v>
      </c>
      <c r="H568" s="1">
        <f t="shared" si="83"/>
        <v>8.0730053839074589</v>
      </c>
      <c r="I568" s="1">
        <f t="shared" si="84"/>
        <v>422.25062792953884</v>
      </c>
      <c r="K568" s="112">
        <f>C568/'CGE-Flood Weighted Av Calcs'!$D$3</f>
        <v>2.5465403499674834E-2</v>
      </c>
      <c r="L568" s="112">
        <f>D568/'CGE-Flood Weighted Av Calcs'!$D$4</f>
        <v>2.4654104517337627E-2</v>
      </c>
      <c r="M568" s="112">
        <f>E568/'CGE-Flood Weighted Av Calcs'!$D$5</f>
        <v>2.4646314203242977E-2</v>
      </c>
      <c r="N568" s="112">
        <f>F568/'CGE-Flood Weighted Av Calcs'!$D$6</f>
        <v>8.6099934725987672E-3</v>
      </c>
      <c r="O568" s="112">
        <f>G568/'CGE-Flood Weighted Av Calcs'!$D$7</f>
        <v>3.5571626377973446E-2</v>
      </c>
      <c r="P568" s="112">
        <f>H568/'CGE-Flood Weighted Av Calcs'!$D$8</f>
        <v>8.1579294292661197E-2</v>
      </c>
      <c r="R568" s="1">
        <f t="shared" si="85"/>
        <v>0.33439288704426379</v>
      </c>
      <c r="S568" s="1">
        <f t="shared" si="86"/>
        <v>0.39439288704426378</v>
      </c>
      <c r="T568" s="1">
        <f t="shared" si="87"/>
        <v>17.075020930984628</v>
      </c>
    </row>
    <row r="569" spans="1:20">
      <c r="A569">
        <v>516</v>
      </c>
      <c r="B569">
        <v>0.18012126684576768</v>
      </c>
      <c r="C569" s="1">
        <f t="shared" si="81"/>
        <v>84.438399751184221</v>
      </c>
      <c r="D569" s="1">
        <f t="shared" ref="D569:D632" si="90">IF($B569&lt;=0.005,$F$11,IF($B569&lt;=0.01,$F$11+($B569-0.005)*SLOPE($E$11:$F$11,$E$10:$F$10),IF($B569&lt;=0.04,$E$11+($B569-0.01)*SLOPE($D$11:$E$11,$D$10:$E$10),IF($B569&lt;=0.1,$D$11+($B569-0.04)*SLOPE($C$11:$D$11,$C$10:$D$10),IF($B569&lt;=1,$C$11+($B569-0.1)*SLOPE($B$11:$C$11,$B$10:$C$10),)))))</f>
        <v>271.59140314304722</v>
      </c>
      <c r="E569" s="1">
        <f t="shared" si="88"/>
        <v>325.61210085959965</v>
      </c>
      <c r="F569" s="1">
        <f t="shared" si="82"/>
        <v>17.423714327185003</v>
      </c>
      <c r="G569" s="1">
        <f t="shared" si="89"/>
        <v>12.993748131341485</v>
      </c>
      <c r="H569" s="1">
        <f t="shared" si="83"/>
        <v>5.0829562840874649</v>
      </c>
      <c r="I569" s="1">
        <f t="shared" si="84"/>
        <v>131.18059730467718</v>
      </c>
      <c r="K569" s="112">
        <f>C569/'CGE-Flood Weighted Av Calcs'!$D$3</f>
        <v>1.423303422476457E-2</v>
      </c>
      <c r="L569" s="112">
        <f>D569/'CGE-Flood Weighted Av Calcs'!$D$4</f>
        <v>1.3950829611893404E-2</v>
      </c>
      <c r="M569" s="112">
        <f>E569/'CGE-Flood Weighted Av Calcs'!$D$5</f>
        <v>1.3948721515802913E-2</v>
      </c>
      <c r="N569" s="112">
        <f>F569/'CGE-Flood Weighted Av Calcs'!$D$6</f>
        <v>4.8161713428331795E-3</v>
      </c>
      <c r="O569" s="112">
        <f>G569/'CGE-Flood Weighted Av Calcs'!$D$7</f>
        <v>2.1449261511978551E-2</v>
      </c>
      <c r="P569" s="112">
        <f>H569/'CGE-Flood Weighted Av Calcs'!$D$8</f>
        <v>5.1364264837836536E-2</v>
      </c>
      <c r="R569" s="1">
        <f t="shared" si="85"/>
        <v>0.22774409254284231</v>
      </c>
      <c r="S569" s="1">
        <f t="shared" si="86"/>
        <v>0.26418314734969706</v>
      </c>
      <c r="T569" s="1">
        <f t="shared" si="87"/>
        <v>6.376834591199585</v>
      </c>
    </row>
    <row r="570" spans="1:20">
      <c r="A570">
        <v>517</v>
      </c>
      <c r="B570">
        <v>0.64232297831784613</v>
      </c>
      <c r="C570" s="1">
        <f t="shared" si="81"/>
        <v>36.836759044132052</v>
      </c>
      <c r="D570" s="1">
        <f t="shared" si="90"/>
        <v>118.48338084945584</v>
      </c>
      <c r="E570" s="1">
        <f t="shared" si="88"/>
        <v>142.05023468662404</v>
      </c>
      <c r="F570" s="1">
        <f t="shared" si="82"/>
        <v>7.6012000252918543</v>
      </c>
      <c r="G570" s="1">
        <f t="shared" si="89"/>
        <v>5.6686006651571397</v>
      </c>
      <c r="H570" s="1">
        <f t="shared" si="83"/>
        <v>2.2174702081106266</v>
      </c>
      <c r="I570" s="1">
        <f t="shared" si="84"/>
        <v>57.228323469144598</v>
      </c>
      <c r="K570" s="112">
        <f>C570/'CGE-Flood Weighted Av Calcs'!$D$3</f>
        <v>6.209246666794916E-3</v>
      </c>
      <c r="L570" s="112">
        <f>D570/'CGE-Flood Weighted Av Calcs'!$D$4</f>
        <v>6.0861332094566635E-3</v>
      </c>
      <c r="M570" s="112">
        <f>E570/'CGE-Flood Weighted Av Calcs'!$D$5</f>
        <v>6.0852135398755712E-3</v>
      </c>
      <c r="N570" s="112">
        <f>F570/'CGE-Flood Weighted Av Calcs'!$D$6</f>
        <v>2.1010836751286436E-3</v>
      </c>
      <c r="O570" s="112">
        <f>G570/'CGE-Flood Weighted Av Calcs'!$D$7</f>
        <v>9.3573691628404902E-3</v>
      </c>
      <c r="P570" s="112">
        <f>H570/'CGE-Flood Weighted Av Calcs'!$D$8</f>
        <v>2.2407969038800178E-2</v>
      </c>
      <c r="R570" s="1">
        <f t="shared" si="85"/>
        <v>9.9354728245042739E-2</v>
      </c>
      <c r="S570" s="1">
        <f t="shared" si="86"/>
        <v>0.11525148476424957</v>
      </c>
      <c r="T570" s="1">
        <f t="shared" si="87"/>
        <v>2.781932390861197</v>
      </c>
    </row>
    <row r="571" spans="1:20">
      <c r="A571">
        <v>518</v>
      </c>
      <c r="B571">
        <v>0.44478635311922177</v>
      </c>
      <c r="C571" s="1">
        <f t="shared" si="81"/>
        <v>57.180836588199263</v>
      </c>
      <c r="D571" s="1">
        <f t="shared" si="90"/>
        <v>183.91897155375128</v>
      </c>
      <c r="E571" s="1">
        <f t="shared" si="88"/>
        <v>220.50124570405424</v>
      </c>
      <c r="F571" s="1">
        <f t="shared" si="82"/>
        <v>11.799164416166697</v>
      </c>
      <c r="G571" s="1">
        <f t="shared" si="89"/>
        <v>8.7992357831963375</v>
      </c>
      <c r="H571" s="1">
        <f t="shared" si="83"/>
        <v>3.4421269650043271</v>
      </c>
      <c r="I571" s="1">
        <f t="shared" si="84"/>
        <v>88.834183500924496</v>
      </c>
      <c r="K571" s="112">
        <f>C571/'CGE-Flood Weighted Av Calcs'!$D$3</f>
        <v>9.6384678837911804E-3</v>
      </c>
      <c r="L571" s="112">
        <f>D571/'CGE-Flood Weighted Av Calcs'!$D$4</f>
        <v>9.4473617531613662E-3</v>
      </c>
      <c r="M571" s="112">
        <f>E571/'CGE-Flood Weighted Av Calcs'!$D$5</f>
        <v>9.4459341716532173E-3</v>
      </c>
      <c r="N571" s="112">
        <f>F571/'CGE-Flood Weighted Av Calcs'!$D$6</f>
        <v>3.2614628811869434E-3</v>
      </c>
      <c r="O571" s="112">
        <f>G571/'CGE-Flood Weighted Av Calcs'!$D$7</f>
        <v>1.4525224555037783E-2</v>
      </c>
      <c r="P571" s="112">
        <f>H571/'CGE-Flood Weighted Av Calcs'!$D$8</f>
        <v>3.4783364474219904E-2</v>
      </c>
      <c r="R571" s="1">
        <f t="shared" si="85"/>
        <v>0.15422601302243838</v>
      </c>
      <c r="S571" s="1">
        <f t="shared" si="86"/>
        <v>0.17890217510602852</v>
      </c>
      <c r="T571" s="1">
        <f t="shared" si="87"/>
        <v>4.3183283646282753</v>
      </c>
    </row>
    <row r="572" spans="1:20">
      <c r="A572">
        <v>519</v>
      </c>
      <c r="B572">
        <v>0.45656098309841064</v>
      </c>
      <c r="C572" s="1">
        <f t="shared" si="81"/>
        <v>55.968180529564798</v>
      </c>
      <c r="D572" s="1">
        <f t="shared" si="90"/>
        <v>180.01853097855158</v>
      </c>
      <c r="E572" s="1">
        <f t="shared" si="88"/>
        <v>215.8249907295922</v>
      </c>
      <c r="F572" s="1">
        <f t="shared" si="82"/>
        <v>11.548934984947749</v>
      </c>
      <c r="G572" s="1">
        <f t="shared" si="89"/>
        <v>8.6126269956983208</v>
      </c>
      <c r="H572" s="1">
        <f t="shared" si="83"/>
        <v>3.3691284506810342</v>
      </c>
      <c r="I572" s="1">
        <f t="shared" si="84"/>
        <v>86.950242704254293</v>
      </c>
      <c r="K572" s="112">
        <f>C572/'CGE-Flood Weighted Av Calcs'!$D$3</f>
        <v>9.4340611774079222E-3</v>
      </c>
      <c r="L572" s="112">
        <f>D572/'CGE-Flood Weighted Av Calcs'!$D$4</f>
        <v>9.2470079082082306E-3</v>
      </c>
      <c r="M572" s="112">
        <f>E572/'CGE-Flood Weighted Av Calcs'!$D$5</f>
        <v>9.2456106019718036E-3</v>
      </c>
      <c r="N572" s="112">
        <f>F572/'CGE-Flood Weighted Av Calcs'!$D$6</f>
        <v>3.1922957797790746E-3</v>
      </c>
      <c r="O572" s="112">
        <f>G572/'CGE-Flood Weighted Av Calcs'!$D$7</f>
        <v>1.421718251489513E-2</v>
      </c>
      <c r="P572" s="112">
        <f>H572/'CGE-Flood Weighted Av Calcs'!$D$8</f>
        <v>3.4045700246375113E-2</v>
      </c>
      <c r="R572" s="1">
        <f t="shared" si="85"/>
        <v>0.15095528247266371</v>
      </c>
      <c r="S572" s="1">
        <f t="shared" si="86"/>
        <v>0.17510812766828987</v>
      </c>
      <c r="T572" s="1">
        <f t="shared" si="87"/>
        <v>4.2267479092345841</v>
      </c>
    </row>
    <row r="573" spans="1:20">
      <c r="A573">
        <v>520</v>
      </c>
      <c r="B573">
        <v>0.7733847759281588</v>
      </c>
      <c r="C573" s="1">
        <f t="shared" si="81"/>
        <v>23.338850132465524</v>
      </c>
      <c r="D573" s="1">
        <f t="shared" si="90"/>
        <v>75.068109697717318</v>
      </c>
      <c r="E573" s="1">
        <f t="shared" si="88"/>
        <v>89.999479450969375</v>
      </c>
      <c r="F573" s="1">
        <f t="shared" si="82"/>
        <v>4.8159304135481289</v>
      </c>
      <c r="G573" s="1">
        <f t="shared" si="89"/>
        <v>3.5914837466129228</v>
      </c>
      <c r="H573" s="1">
        <f t="shared" si="83"/>
        <v>1.4049337184712263</v>
      </c>
      <c r="I573" s="1">
        <f t="shared" si="84"/>
        <v>36.258435851494568</v>
      </c>
      <c r="K573" s="112">
        <f>C573/'CGE-Flood Weighted Av Calcs'!$D$3</f>
        <v>3.9340235447483619E-3</v>
      </c>
      <c r="L573" s="112">
        <f>D573/'CGE-Flood Weighted Av Calcs'!$D$4</f>
        <v>3.8560219342737589E-3</v>
      </c>
      <c r="M573" s="112">
        <f>E573/'CGE-Flood Weighted Av Calcs'!$D$5</f>
        <v>3.855439254605908E-3</v>
      </c>
      <c r="N573" s="112">
        <f>F573/'CGE-Flood Weighted Av Calcs'!$D$6</f>
        <v>1.3311941191908045E-3</v>
      </c>
      <c r="O573" s="112">
        <f>G573/'CGE-Flood Weighted Av Calcs'!$D$7</f>
        <v>5.9285952997126445E-3</v>
      </c>
      <c r="P573" s="112">
        <f>H573/'CGE-Flood Weighted Av Calcs'!$D$8</f>
        <v>1.4197129300732894E-2</v>
      </c>
      <c r="R573" s="1">
        <f t="shared" si="85"/>
        <v>6.2948673353289214E-2</v>
      </c>
      <c r="S573" s="1">
        <f t="shared" si="86"/>
        <v>7.3020461089815497E-2</v>
      </c>
      <c r="T573" s="1">
        <f t="shared" si="87"/>
        <v>1.7625628538920983</v>
      </c>
    </row>
    <row r="574" spans="1:20">
      <c r="A574">
        <v>521</v>
      </c>
      <c r="B574">
        <v>0.97020824672465233</v>
      </c>
      <c r="C574" s="1">
        <f t="shared" si="81"/>
        <v>3.0682195678799928</v>
      </c>
      <c r="D574" s="1">
        <f t="shared" si="90"/>
        <v>9.8687571063281325</v>
      </c>
      <c r="E574" s="1">
        <f t="shared" si="88"/>
        <v>11.831695322742291</v>
      </c>
      <c r="F574" s="1">
        <f t="shared" si="82"/>
        <v>0.63312167688338761</v>
      </c>
      <c r="G574" s="1">
        <f t="shared" si="89"/>
        <v>0.4721509691581609</v>
      </c>
      <c r="H574" s="1">
        <f t="shared" si="83"/>
        <v>0.1846982650011304</v>
      </c>
      <c r="I574" s="1">
        <f t="shared" si="84"/>
        <v>4.7666805240556016</v>
      </c>
      <c r="K574" s="112">
        <f>C574/'CGE-Flood Weighted Av Calcs'!$D$3</f>
        <v>5.1718263547641241E-4</v>
      </c>
      <c r="L574" s="112">
        <f>D574/'CGE-Flood Weighted Av Calcs'!$D$4</f>
        <v>5.0692822850151591E-4</v>
      </c>
      <c r="M574" s="112">
        <f>E574/'CGE-Flood Weighted Av Calcs'!$D$5</f>
        <v>5.0685162707734329E-4</v>
      </c>
      <c r="N574" s="112">
        <f>F574/'CGE-Flood Weighted Av Calcs'!$D$6</f>
        <v>1.7500415924374808E-4</v>
      </c>
      <c r="O574" s="112">
        <f>G574/'CGE-Flood Weighted Av Calcs'!$D$7</f>
        <v>7.7939709991607805E-4</v>
      </c>
      <c r="P574" s="112">
        <f>H574/'CGE-Flood Weighted Av Calcs'!$D$8</f>
        <v>1.866411998920062E-3</v>
      </c>
      <c r="R574" s="1">
        <f t="shared" si="85"/>
        <v>8.2754870209298947E-3</v>
      </c>
      <c r="S574" s="1">
        <f t="shared" si="86"/>
        <v>9.5995649442787157E-3</v>
      </c>
      <c r="T574" s="1">
        <f t="shared" si="87"/>
        <v>0.23171363658603816</v>
      </c>
    </row>
    <row r="575" spans="1:20">
      <c r="A575">
        <v>522</v>
      </c>
      <c r="B575">
        <v>9.3436614519388228E-2</v>
      </c>
      <c r="C575" s="1">
        <f t="shared" si="81"/>
        <v>94.334128062893242</v>
      </c>
      <c r="D575" s="1">
        <f t="shared" si="90"/>
        <v>303.15621251168039</v>
      </c>
      <c r="E575" s="1">
        <f t="shared" si="88"/>
        <v>363.44672496268271</v>
      </c>
      <c r="F575" s="1">
        <f t="shared" si="82"/>
        <v>19.934288164220639</v>
      </c>
      <c r="G575" s="1">
        <f t="shared" si="89"/>
        <v>14.534493778807997</v>
      </c>
      <c r="H575" s="1">
        <f t="shared" si="83"/>
        <v>5.6672273480158033</v>
      </c>
      <c r="I575" s="1">
        <f t="shared" si="84"/>
        <v>154.72019628499925</v>
      </c>
      <c r="K575" s="112">
        <f>C575/'CGE-Flood Weighted Av Calcs'!$D$3</f>
        <v>1.5901069622812847E-2</v>
      </c>
      <c r="L575" s="112">
        <f>D575/'CGE-Flood Weighted Av Calcs'!$D$4</f>
        <v>1.5572218478174134E-2</v>
      </c>
      <c r="M575" s="112">
        <f>E575/'CGE-Flood Weighted Av Calcs'!$D$5</f>
        <v>1.5569498611849929E-2</v>
      </c>
      <c r="N575" s="112">
        <f>F575/'CGE-Flood Weighted Av Calcs'!$D$6</f>
        <v>5.5101309395612129E-3</v>
      </c>
      <c r="O575" s="112">
        <f>G575/'CGE-Flood Weighted Av Calcs'!$D$7</f>
        <v>2.399262744318658E-2</v>
      </c>
      <c r="P575" s="112">
        <f>H575/'CGE-Flood Weighted Av Calcs'!$D$8</f>
        <v>5.7268437918893723E-2</v>
      </c>
      <c r="R575" s="1">
        <f t="shared" si="85"/>
        <v>0.25437559032040785</v>
      </c>
      <c r="S575" s="1">
        <f t="shared" si="86"/>
        <v>0.29656338548061179</v>
      </c>
      <c r="T575" s="1">
        <f t="shared" si="87"/>
        <v>7.1093897580101961</v>
      </c>
    </row>
    <row r="576" spans="1:20">
      <c r="A576">
        <v>523</v>
      </c>
      <c r="B576">
        <v>0.70617085995183038</v>
      </c>
      <c r="C576" s="1">
        <f t="shared" si="81"/>
        <v>30.261136656738721</v>
      </c>
      <c r="D576" s="1">
        <f t="shared" si="90"/>
        <v>97.33325820391218</v>
      </c>
      <c r="E576" s="1">
        <f t="shared" si="88"/>
        <v>116.69326171783524</v>
      </c>
      <c r="F576" s="1">
        <f t="shared" si="82"/>
        <v>6.2443319849335115</v>
      </c>
      <c r="G576" s="1">
        <f t="shared" si="89"/>
        <v>4.6567152983054179</v>
      </c>
      <c r="H576" s="1">
        <f t="shared" si="83"/>
        <v>1.8216360706296117</v>
      </c>
      <c r="I576" s="1">
        <f t="shared" si="84"/>
        <v>47.012662407707126</v>
      </c>
      <c r="K576" s="112">
        <f>C576/'CGE-Flood Weighted Av Calcs'!$D$3</f>
        <v>5.1008521595010377E-3</v>
      </c>
      <c r="L576" s="112">
        <f>D576/'CGE-Flood Weighted Av Calcs'!$D$4</f>
        <v>4.9997153262543049E-3</v>
      </c>
      <c r="M576" s="112">
        <f>E576/'CGE-Flood Weighted Av Calcs'!$D$5</f>
        <v>4.9989598242070384E-3</v>
      </c>
      <c r="N576" s="112">
        <f>F576/'CGE-Flood Weighted Av Calcs'!$D$6</f>
        <v>1.7260253580978081E-3</v>
      </c>
      <c r="O576" s="112">
        <f>G576/'CGE-Flood Weighted Av Calcs'!$D$7</f>
        <v>7.6870124932821903E-3</v>
      </c>
      <c r="P576" s="112">
        <f>H576/'CGE-Flood Weighted Av Calcs'!$D$8</f>
        <v>1.8407987859917863E-2</v>
      </c>
      <c r="R576" s="1">
        <f t="shared" si="85"/>
        <v>8.1619205568935982E-2</v>
      </c>
      <c r="S576" s="1">
        <f t="shared" si="86"/>
        <v>9.4678278459965765E-2</v>
      </c>
      <c r="T576" s="1">
        <f t="shared" si="87"/>
        <v>2.2853377559302084</v>
      </c>
    </row>
    <row r="577" spans="1:20">
      <c r="A577">
        <v>524</v>
      </c>
      <c r="B577">
        <v>0.84869635118254982</v>
      </c>
      <c r="C577" s="1">
        <f t="shared" si="81"/>
        <v>15.582594676543849</v>
      </c>
      <c r="D577" s="1">
        <f t="shared" si="90"/>
        <v>50.120546638528253</v>
      </c>
      <c r="E577" s="1">
        <f t="shared" si="88"/>
        <v>60.089738844226417</v>
      </c>
      <c r="F577" s="1">
        <f t="shared" si="82"/>
        <v>3.2154408292964582</v>
      </c>
      <c r="G577" s="1">
        <f t="shared" si="89"/>
        <v>2.3979174292316419</v>
      </c>
      <c r="H577" s="1">
        <f t="shared" si="83"/>
        <v>0.93802876140384939</v>
      </c>
      <c r="I577" s="1">
        <f t="shared" si="84"/>
        <v>24.208583810792007</v>
      </c>
      <c r="K577" s="112">
        <f>C577/'CGE-Flood Weighted Av Calcs'!$D$3</f>
        <v>2.6266201632838535E-3</v>
      </c>
      <c r="L577" s="112">
        <f>D577/'CGE-Flood Weighted Av Calcs'!$D$4</f>
        <v>2.5745410131438641E-3</v>
      </c>
      <c r="M577" s="112">
        <f>E577/'CGE-Flood Weighted Av Calcs'!$D$5</f>
        <v>2.5741519767929354E-3</v>
      </c>
      <c r="N577" s="112">
        <f>F577/'CGE-Flood Weighted Av Calcs'!$D$6</f>
        <v>8.8879521816260815E-4</v>
      </c>
      <c r="O577" s="112">
        <f>G577/'CGE-Flood Weighted Av Calcs'!$D$7</f>
        <v>3.9583311530920649E-3</v>
      </c>
      <c r="P577" s="112">
        <f>H577/'CGE-Flood Weighted Av Calcs'!$D$8</f>
        <v>9.4789636253786863E-3</v>
      </c>
      <c r="R577" s="1">
        <f t="shared" si="85"/>
        <v>4.2028791338180577E-2</v>
      </c>
      <c r="S577" s="1">
        <f t="shared" si="86"/>
        <v>4.8753397952289501E-2</v>
      </c>
      <c r="T577" s="1">
        <f t="shared" si="87"/>
        <v>1.1768061574690574</v>
      </c>
    </row>
    <row r="578" spans="1:20">
      <c r="A578">
        <v>525</v>
      </c>
      <c r="B578">
        <v>0.84051356820170775</v>
      </c>
      <c r="C578" s="1">
        <f t="shared" si="81"/>
        <v>16.425330403759688</v>
      </c>
      <c r="D578" s="1">
        <f t="shared" si="90"/>
        <v>52.831159100485934</v>
      </c>
      <c r="E578" s="1">
        <f t="shared" si="88"/>
        <v>63.339503778388917</v>
      </c>
      <c r="F578" s="1">
        <f t="shared" si="82"/>
        <v>3.3893378549102717</v>
      </c>
      <c r="G578" s="1">
        <f t="shared" si="89"/>
        <v>2.5276012675444566</v>
      </c>
      <c r="H578" s="1">
        <f t="shared" si="83"/>
        <v>0.98875910296763081</v>
      </c>
      <c r="I578" s="1">
        <f t="shared" si="84"/>
        <v>25.517829087726739</v>
      </c>
      <c r="K578" s="112">
        <f>C578/'CGE-Flood Weighted Av Calcs'!$D$3</f>
        <v>2.768672671185943E-3</v>
      </c>
      <c r="L578" s="112">
        <f>D578/'CGE-Flood Weighted Av Calcs'!$D$4</f>
        <v>2.7137769836606818E-3</v>
      </c>
      <c r="M578" s="112">
        <f>E578/'CGE-Flood Weighted Av Calcs'!$D$5</f>
        <v>2.7133669074997035E-3</v>
      </c>
      <c r="N578" s="112">
        <f>F578/'CGE-Flood Weighted Av Calcs'!$D$6</f>
        <v>9.3686291805932041E-4</v>
      </c>
      <c r="O578" s="112">
        <f>G578/'CGE-Flood Weighted Av Calcs'!$D$7</f>
        <v>4.1724050703122479E-3</v>
      </c>
      <c r="P578" s="112">
        <f>H578/'CGE-Flood Weighted Av Calcs'!$D$8</f>
        <v>9.9916036233958609E-3</v>
      </c>
      <c r="R578" s="1">
        <f t="shared" si="85"/>
        <v>4.4301786610636718E-2</v>
      </c>
      <c r="S578" s="1">
        <f t="shared" si="86"/>
        <v>5.1390072468338599E-2</v>
      </c>
      <c r="T578" s="1">
        <f t="shared" si="87"/>
        <v>1.2404500250978288</v>
      </c>
    </row>
    <row r="579" spans="1:20">
      <c r="A579">
        <v>526</v>
      </c>
      <c r="B579">
        <v>0.48041705820847047</v>
      </c>
      <c r="C579" s="1">
        <f t="shared" si="81"/>
        <v>53.511269860729861</v>
      </c>
      <c r="D579" s="1">
        <f t="shared" si="90"/>
        <v>172.11601484948858</v>
      </c>
      <c r="E579" s="1">
        <f t="shared" si="88"/>
        <v>206.35063016779711</v>
      </c>
      <c r="F579" s="1">
        <f t="shared" si="82"/>
        <v>11.041955817325702</v>
      </c>
      <c r="G579" s="1">
        <f t="shared" si="89"/>
        <v>8.2345468981820318</v>
      </c>
      <c r="H579" s="1">
        <f t="shared" si="83"/>
        <v>3.2212292773144644</v>
      </c>
      <c r="I579" s="1">
        <f t="shared" si="84"/>
        <v>83.133270686644707</v>
      </c>
      <c r="K579" s="112">
        <f>C579/'CGE-Flood Weighted Av Calcs'!$D$3</f>
        <v>9.0199214762795091E-3</v>
      </c>
      <c r="L579" s="112">
        <f>D579/'CGE-Flood Weighted Av Calcs'!$D$4</f>
        <v>8.8410795365957816E-3</v>
      </c>
      <c r="M579" s="112">
        <f>E579/'CGE-Flood Weighted Av Calcs'!$D$5</f>
        <v>8.8397435697948595E-3</v>
      </c>
      <c r="N579" s="112">
        <f>F579/'CGE-Flood Weighted Av Calcs'!$D$6</f>
        <v>3.0521592685470748E-3</v>
      </c>
      <c r="O579" s="112">
        <f>G579/'CGE-Flood Weighted Av Calcs'!$D$7</f>
        <v>1.3593071688509272E-2</v>
      </c>
      <c r="P579" s="112">
        <f>H579/'CGE-Flood Weighted Av Calcs'!$D$8</f>
        <v>3.2551150247218191E-2</v>
      </c>
      <c r="R579" s="1">
        <f t="shared" si="85"/>
        <v>0.14432859494209152</v>
      </c>
      <c r="S579" s="1">
        <f t="shared" si="86"/>
        <v>0.16742117013282615</v>
      </c>
      <c r="T579" s="1">
        <f t="shared" si="87"/>
        <v>4.0412006583785631</v>
      </c>
    </row>
    <row r="580" spans="1:20">
      <c r="A580">
        <v>527</v>
      </c>
      <c r="B580">
        <v>3.2060833280278533E-4</v>
      </c>
      <c r="C580" s="1">
        <f t="shared" si="81"/>
        <v>154.26</v>
      </c>
      <c r="D580" s="1">
        <f t="shared" si="90"/>
        <v>490.57679011763298</v>
      </c>
      <c r="E580" s="1">
        <f t="shared" si="88"/>
        <v>588.07132005685003</v>
      </c>
      <c r="F580" s="1">
        <f t="shared" si="82"/>
        <v>31.846409312708399</v>
      </c>
      <c r="G580" s="1">
        <f t="shared" si="89"/>
        <v>22.024287970326</v>
      </c>
      <c r="H580" s="1">
        <f t="shared" si="83"/>
        <v>8.2474320175743205</v>
      </c>
      <c r="I580" s="1">
        <f t="shared" si="84"/>
        <v>540</v>
      </c>
      <c r="K580" s="112">
        <f>C580/'CGE-Flood Weighted Av Calcs'!$D$3</f>
        <v>2.6002243836713519E-2</v>
      </c>
      <c r="L580" s="112">
        <f>D580/'CGE-Flood Weighted Av Calcs'!$D$4</f>
        <v>2.5199447152147076E-2</v>
      </c>
      <c r="M580" s="112">
        <f>E580/'CGE-Flood Weighted Av Calcs'!$D$5</f>
        <v>2.5192070728478795E-2</v>
      </c>
      <c r="N580" s="112">
        <f>F580/'CGE-Flood Weighted Av Calcs'!$D$6</f>
        <v>8.802816725748154E-3</v>
      </c>
      <c r="O580" s="112">
        <f>G580/'CGE-Flood Weighted Av Calcs'!$D$7</f>
        <v>3.635630824266825E-2</v>
      </c>
      <c r="P580" s="112">
        <f>H580/'CGE-Flood Weighted Av Calcs'!$D$8</f>
        <v>8.3341909453150509E-2</v>
      </c>
      <c r="R580" s="1">
        <f t="shared" si="85"/>
        <v>0.34</v>
      </c>
      <c r="S580" s="1">
        <f t="shared" si="86"/>
        <v>0.4</v>
      </c>
      <c r="T580" s="1">
        <f t="shared" si="87"/>
        <v>21</v>
      </c>
    </row>
    <row r="581" spans="1:20">
      <c r="A581">
        <v>528</v>
      </c>
      <c r="B581">
        <v>0.93894968745442442</v>
      </c>
      <c r="C581" s="1">
        <f t="shared" si="81"/>
        <v>6.2875038553882376</v>
      </c>
      <c r="D581" s="1">
        <f t="shared" si="90"/>
        <v>20.223405457518254</v>
      </c>
      <c r="E581" s="1">
        <f t="shared" si="88"/>
        <v>24.245927747903352</v>
      </c>
      <c r="F581" s="1">
        <f t="shared" si="82"/>
        <v>1.2974152912676686</v>
      </c>
      <c r="G581" s="1">
        <f t="shared" si="89"/>
        <v>0.96754843427272874</v>
      </c>
      <c r="H581" s="1">
        <f t="shared" si="83"/>
        <v>0.3784902050150647</v>
      </c>
      <c r="I581" s="1">
        <f t="shared" si="84"/>
        <v>9.7680500072920609</v>
      </c>
      <c r="K581" s="112">
        <f>C581/'CGE-Flood Weighted Av Calcs'!$D$3</f>
        <v>1.059828914638152E-3</v>
      </c>
      <c r="L581" s="112">
        <f>D581/'CGE-Flood Weighted Av Calcs'!$D$4</f>
        <v>1.0388152218554307E-3</v>
      </c>
      <c r="M581" s="112">
        <f>E581/'CGE-Flood Weighted Av Calcs'!$D$5</f>
        <v>1.0386582475127677E-3</v>
      </c>
      <c r="N581" s="112">
        <f>F581/'CGE-Flood Weighted Av Calcs'!$D$6</f>
        <v>3.5862470126749577E-4</v>
      </c>
      <c r="O581" s="112">
        <f>G581/'CGE-Flood Weighted Av Calcs'!$D$7</f>
        <v>1.5971680520852586E-3</v>
      </c>
      <c r="P581" s="112">
        <f>H581/'CGE-Flood Weighted Av Calcs'!$D$8</f>
        <v>3.8247173578458225E-3</v>
      </c>
      <c r="R581" s="1">
        <f t="shared" si="85"/>
        <v>1.6958420151548748E-2</v>
      </c>
      <c r="S581" s="1">
        <f t="shared" si="86"/>
        <v>1.9671767375796567E-2</v>
      </c>
      <c r="T581" s="1">
        <f t="shared" si="87"/>
        <v>0.47483576424336604</v>
      </c>
    </row>
    <row r="582" spans="1:20">
      <c r="A582">
        <v>529</v>
      </c>
      <c r="B582">
        <v>0.88152598962594142</v>
      </c>
      <c r="C582" s="1">
        <f t="shared" si="81"/>
        <v>12.201506690635</v>
      </c>
      <c r="D582" s="1">
        <f t="shared" si="90"/>
        <v>39.245465716234889</v>
      </c>
      <c r="E582" s="1">
        <f t="shared" si="88"/>
        <v>47.0515575721152</v>
      </c>
      <c r="F582" s="1">
        <f t="shared" si="82"/>
        <v>2.5177593081503034</v>
      </c>
      <c r="G582" s="1">
        <f t="shared" si="89"/>
        <v>1.8776209074090779</v>
      </c>
      <c r="H582" s="1">
        <f t="shared" si="83"/>
        <v>0.73449668979105187</v>
      </c>
      <c r="I582" s="1">
        <f t="shared" si="84"/>
        <v>18.955841659849341</v>
      </c>
      <c r="K582" s="112">
        <f>C582/'CGE-Flood Weighted Av Calcs'!$D$3</f>
        <v>2.0567000657667751E-3</v>
      </c>
      <c r="L582" s="112">
        <f>D582/'CGE-Flood Weighted Av Calcs'!$D$4</f>
        <v>2.0159209713947581E-3</v>
      </c>
      <c r="M582" s="112">
        <f>E582/'CGE-Flood Weighted Av Calcs'!$D$5</f>
        <v>2.0156163475668737E-3</v>
      </c>
      <c r="N582" s="112">
        <f>F582/'CGE-Flood Weighted Av Calcs'!$D$6</f>
        <v>6.9594576680735037E-4</v>
      </c>
      <c r="O582" s="112">
        <f>G582/'CGE-Flood Weighted Av Calcs'!$D$7</f>
        <v>3.0994584054029914E-3</v>
      </c>
      <c r="P582" s="112">
        <f>H582/'CGE-Flood Weighted Av Calcs'!$D$8</f>
        <v>7.4222323365338363E-3</v>
      </c>
      <c r="R582" s="1">
        <f t="shared" si="85"/>
        <v>3.2909447326127356E-2</v>
      </c>
      <c r="S582" s="1">
        <f t="shared" si="86"/>
        <v>3.8174958898307743E-2</v>
      </c>
      <c r="T582" s="1">
        <f t="shared" si="87"/>
        <v>0.92146452513156696</v>
      </c>
    </row>
    <row r="583" spans="1:20">
      <c r="A583">
        <v>530</v>
      </c>
      <c r="B583">
        <v>0.85552259370954564</v>
      </c>
      <c r="C583" s="1">
        <f t="shared" si="81"/>
        <v>14.879567543402473</v>
      </c>
      <c r="D583" s="1">
        <f t="shared" si="90"/>
        <v>47.859299076990652</v>
      </c>
      <c r="E583" s="1">
        <f t="shared" si="88"/>
        <v>57.378719421096548</v>
      </c>
      <c r="F583" s="1">
        <f t="shared" si="82"/>
        <v>3.0703724247765862</v>
      </c>
      <c r="G583" s="1">
        <f t="shared" si="89"/>
        <v>2.28973255689327</v>
      </c>
      <c r="H583" s="1">
        <f t="shared" si="83"/>
        <v>0.89570848775092671</v>
      </c>
      <c r="I583" s="1">
        <f t="shared" si="84"/>
        <v>23.116385006472669</v>
      </c>
      <c r="K583" s="112">
        <f>C583/'CGE-Flood Weighted Av Calcs'!$D$3</f>
        <v>2.5081170974225304E-3</v>
      </c>
      <c r="L583" s="112">
        <f>D583/'CGE-Flood Weighted Av Calcs'!$D$4</f>
        <v>2.4583875595505442E-3</v>
      </c>
      <c r="M583" s="112">
        <f>E583/'CGE-Flood Weighted Av Calcs'!$D$5</f>
        <v>2.4580160750333237E-3</v>
      </c>
      <c r="N583" s="112">
        <f>F583/'CGE-Flood Weighted Av Calcs'!$D$6</f>
        <v>8.4869617386703873E-4</v>
      </c>
      <c r="O583" s="112">
        <f>G583/'CGE-Flood Weighted Av Calcs'!$D$7</f>
        <v>3.7797463756306148E-3</v>
      </c>
      <c r="P583" s="112">
        <f>H583/'CGE-Flood Weighted Av Calcs'!$D$8</f>
        <v>9.0513090042434428E-3</v>
      </c>
      <c r="R583" s="1">
        <f t="shared" si="85"/>
        <v>4.0132612858459538E-2</v>
      </c>
      <c r="S583" s="1">
        <f t="shared" si="86"/>
        <v>4.6553830915813083E-2</v>
      </c>
      <c r="T583" s="1">
        <f t="shared" si="87"/>
        <v>1.1237131600368677</v>
      </c>
    </row>
    <row r="584" spans="1:20">
      <c r="A584">
        <v>531</v>
      </c>
      <c r="B584">
        <v>0.57116700279080945</v>
      </c>
      <c r="C584" s="1">
        <f t="shared" si="81"/>
        <v>44.165033901466529</v>
      </c>
      <c r="D584" s="1">
        <f t="shared" si="90"/>
        <v>142.05436818443872</v>
      </c>
      <c r="E584" s="1">
        <f t="shared" si="88"/>
        <v>170.30959273941323</v>
      </c>
      <c r="F584" s="1">
        <f t="shared" si="82"/>
        <v>9.1133765705786161</v>
      </c>
      <c r="G584" s="1">
        <f t="shared" si="89"/>
        <v>6.7963074669681394</v>
      </c>
      <c r="H584" s="1">
        <f t="shared" si="83"/>
        <v>2.6586119261840562</v>
      </c>
      <c r="I584" s="1">
        <f t="shared" si="84"/>
        <v>68.613279553470477</v>
      </c>
      <c r="K584" s="112">
        <f>C584/'CGE-Flood Weighted Av Calcs'!$D$3</f>
        <v>7.4445091440597166E-3</v>
      </c>
      <c r="L584" s="112">
        <f>D584/'CGE-Flood Weighted Av Calcs'!$D$4</f>
        <v>7.2969035957389057E-3</v>
      </c>
      <c r="M584" s="112">
        <f>E584/'CGE-Flood Weighted Av Calcs'!$D$5</f>
        <v>7.2958009678400068E-3</v>
      </c>
      <c r="N584" s="112">
        <f>F584/'CGE-Flood Weighted Av Calcs'!$D$6</f>
        <v>2.5190715510749096E-3</v>
      </c>
      <c r="O584" s="112">
        <f>G584/'CGE-Flood Weighted Av Calcs'!$D$7</f>
        <v>1.1218916566744482E-2</v>
      </c>
      <c r="P584" s="112">
        <f>H584/'CGE-Flood Weighted Av Calcs'!$D$8</f>
        <v>2.6865792158207506E-2</v>
      </c>
      <c r="R584" s="1">
        <f t="shared" si="85"/>
        <v>0.11912027700255293</v>
      </c>
      <c r="S584" s="1">
        <f t="shared" si="86"/>
        <v>0.13817952132296138</v>
      </c>
      <c r="T584" s="1">
        <f t="shared" si="87"/>
        <v>3.3353677560714825</v>
      </c>
    </row>
    <row r="585" spans="1:20">
      <c r="A585">
        <v>532</v>
      </c>
      <c r="B585">
        <v>0.97333262496720852</v>
      </c>
      <c r="C585" s="1">
        <f t="shared" si="81"/>
        <v>2.7464433242105031</v>
      </c>
      <c r="D585" s="1">
        <f t="shared" si="90"/>
        <v>8.8337817660349742</v>
      </c>
      <c r="E585" s="1">
        <f t="shared" si="88"/>
        <v>10.590858937677353</v>
      </c>
      <c r="F585" s="1">
        <f t="shared" si="82"/>
        <v>0.56672371856711834</v>
      </c>
      <c r="G585" s="1">
        <f t="shared" si="89"/>
        <v>0.42263464154879316</v>
      </c>
      <c r="H585" s="1">
        <f t="shared" si="83"/>
        <v>0.16532823211740233</v>
      </c>
      <c r="I585" s="1">
        <f t="shared" si="84"/>
        <v>4.2667800052466021</v>
      </c>
      <c r="K585" s="112">
        <f>C585/'CGE-Flood Weighted Av Calcs'!$D$3</f>
        <v>4.6294366005338749E-4</v>
      </c>
      <c r="L585" s="112">
        <f>D585/'CGE-Flood Weighted Av Calcs'!$D$4</f>
        <v>4.5376467303604216E-4</v>
      </c>
      <c r="M585" s="112">
        <f>E585/'CGE-Flood Weighted Av Calcs'!$D$5</f>
        <v>4.5369610510425339E-4</v>
      </c>
      <c r="N585" s="112">
        <f>F585/'CGE-Flood Weighted Av Calcs'!$D$6</f>
        <v>1.5665078532699881E-4</v>
      </c>
      <c r="O585" s="112">
        <f>G585/'CGE-Flood Weighted Av Calcs'!$D$7</f>
        <v>6.9765866314860459E-4</v>
      </c>
      <c r="P585" s="112">
        <f>H585/'CGE-Flood Weighted Av Calcs'!$D$8</f>
        <v>1.6706740379086526E-3</v>
      </c>
      <c r="R585" s="1">
        <f t="shared" si="85"/>
        <v>7.4076041757754063E-3</v>
      </c>
      <c r="S585" s="1">
        <f t="shared" si="86"/>
        <v>8.5928208438995068E-3</v>
      </c>
      <c r="T585" s="1">
        <f t="shared" si="87"/>
        <v>0.20741291692171249</v>
      </c>
    </row>
    <row r="586" spans="1:20">
      <c r="A586">
        <v>533</v>
      </c>
      <c r="B586">
        <v>4.6143870791545472E-2</v>
      </c>
      <c r="C586" s="1">
        <f t="shared" si="81"/>
        <v>106.18096036671785</v>
      </c>
      <c r="D586" s="1">
        <f t="shared" si="90"/>
        <v>339.35683226449765</v>
      </c>
      <c r="E586" s="1">
        <f t="shared" si="88"/>
        <v>406.78611299651317</v>
      </c>
      <c r="F586" s="1">
        <f t="shared" si="82"/>
        <v>25.755433910708913</v>
      </c>
      <c r="G586" s="1">
        <f t="shared" si="89"/>
        <v>16.486860494322663</v>
      </c>
      <c r="H586" s="1">
        <f t="shared" si="83"/>
        <v>6.2980561216229027</v>
      </c>
      <c r="I586" s="1">
        <f t="shared" si="84"/>
        <v>231.96501104047573</v>
      </c>
      <c r="K586" s="112">
        <f>C586/'CGE-Flood Weighted Av Calcs'!$D$3</f>
        <v>1.789798536413725E-2</v>
      </c>
      <c r="L586" s="112">
        <f>D586/'CGE-Flood Weighted Av Calcs'!$D$4</f>
        <v>1.7431734914158295E-2</v>
      </c>
      <c r="M586" s="112">
        <f>E586/'CGE-Flood Weighted Av Calcs'!$D$5</f>
        <v>1.7426091326780656E-2</v>
      </c>
      <c r="N586" s="112">
        <f>F586/'CGE-Flood Weighted Av Calcs'!$D$6</f>
        <v>7.1191813865689466E-3</v>
      </c>
      <c r="O586" s="112">
        <f>G586/'CGE-Flood Weighted Av Calcs'!$D$7</f>
        <v>2.7215471523667711E-2</v>
      </c>
      <c r="P586" s="112">
        <f>H586/'CGE-Flood Weighted Av Calcs'!$D$8</f>
        <v>6.3643085738769631E-2</v>
      </c>
      <c r="R586" s="1">
        <f t="shared" si="85"/>
        <v>0.28590408613896967</v>
      </c>
      <c r="S586" s="1">
        <f t="shared" si="86"/>
        <v>0.34385612920845449</v>
      </c>
      <c r="T586" s="1">
        <f t="shared" si="87"/>
        <v>7.8976021534742422</v>
      </c>
    </row>
    <row r="587" spans="1:20">
      <c r="A587">
        <v>534</v>
      </c>
      <c r="B587">
        <v>0.97049151298695346</v>
      </c>
      <c r="C587" s="1">
        <f t="shared" si="81"/>
        <v>3.0390462902658868</v>
      </c>
      <c r="D587" s="1">
        <f t="shared" si="90"/>
        <v>9.7749228860582207</v>
      </c>
      <c r="E587" s="1">
        <f t="shared" si="88"/>
        <v>11.719197072646637</v>
      </c>
      <c r="F587" s="1">
        <f t="shared" si="82"/>
        <v>0.62710182268632053</v>
      </c>
      <c r="G587" s="1">
        <f t="shared" si="89"/>
        <v>0.46766165833985518</v>
      </c>
      <c r="H587" s="1">
        <f t="shared" si="83"/>
        <v>0.18294211501234603</v>
      </c>
      <c r="I587" s="1">
        <f t="shared" si="84"/>
        <v>4.7213579220874067</v>
      </c>
      <c r="K587" s="112">
        <f>C587/'CGE-Flood Weighted Av Calcs'!$D$3</f>
        <v>5.1226515409408301E-4</v>
      </c>
      <c r="L587" s="112">
        <f>D587/'CGE-Flood Weighted Av Calcs'!$D$4</f>
        <v>5.0210824817960222E-4</v>
      </c>
      <c r="M587" s="112">
        <f>E587/'CGE-Flood Weighted Av Calcs'!$D$5</f>
        <v>5.0203237509789656E-4</v>
      </c>
      <c r="N587" s="112">
        <f>F587/'CGE-Flood Weighted Av Calcs'!$D$6</f>
        <v>1.733401828534377E-4</v>
      </c>
      <c r="O587" s="112">
        <f>G587/'CGE-Flood Weighted Av Calcs'!$D$7</f>
        <v>7.7198642820095278E-4</v>
      </c>
      <c r="P587" s="112">
        <f>H587/'CGE-Flood Weighted Av Calcs'!$D$8</f>
        <v>1.848665760692267E-3</v>
      </c>
      <c r="R587" s="1">
        <f t="shared" si="85"/>
        <v>8.1968019480684606E-3</v>
      </c>
      <c r="S587" s="1">
        <f t="shared" si="86"/>
        <v>9.5082902597594665E-3</v>
      </c>
      <c r="T587" s="1">
        <f t="shared" si="87"/>
        <v>0.22951045454591856</v>
      </c>
    </row>
    <row r="588" spans="1:20">
      <c r="A588">
        <v>535</v>
      </c>
      <c r="B588">
        <v>0.34554413091597935</v>
      </c>
      <c r="C588" s="1">
        <f t="shared" si="81"/>
        <v>67.401682783775414</v>
      </c>
      <c r="D588" s="1">
        <f t="shared" si="90"/>
        <v>216.79375326142895</v>
      </c>
      <c r="E588" s="1">
        <f t="shared" si="88"/>
        <v>259.91496282933321</v>
      </c>
      <c r="F588" s="1">
        <f t="shared" si="82"/>
        <v>13.908217937059803</v>
      </c>
      <c r="G588" s="1">
        <f t="shared" si="89"/>
        <v>10.372064040788157</v>
      </c>
      <c r="H588" s="1">
        <f t="shared" si="83"/>
        <v>4.0573934142926049</v>
      </c>
      <c r="I588" s="1">
        <f t="shared" si="84"/>
        <v>104.71293905344331</v>
      </c>
      <c r="K588" s="112">
        <f>C588/'CGE-Flood Weighted Av Calcs'!$D$3</f>
        <v>1.1361305527995229E-2</v>
      </c>
      <c r="L588" s="112">
        <f>D588/'CGE-Flood Weighted Av Calcs'!$D$4</f>
        <v>1.1136039939673922E-2</v>
      </c>
      <c r="M588" s="112">
        <f>E588/'CGE-Flood Weighted Av Calcs'!$D$5</f>
        <v>1.1134357183672059E-2</v>
      </c>
      <c r="N588" s="112">
        <f>F588/'CGE-Flood Weighted Av Calcs'!$D$6</f>
        <v>3.8444363469524296E-3</v>
      </c>
      <c r="O588" s="112">
        <f>G588/'CGE-Flood Weighted Av Calcs'!$D$7</f>
        <v>1.7121550439571729E-2</v>
      </c>
      <c r="P588" s="112">
        <f>H588/'CGE-Flood Weighted Av Calcs'!$D$8</f>
        <v>4.1000751970943577E-2</v>
      </c>
      <c r="R588" s="1">
        <f t="shared" si="85"/>
        <v>0.18179329696778351</v>
      </c>
      <c r="S588" s="1">
        <f t="shared" si="86"/>
        <v>0.21088022448262886</v>
      </c>
      <c r="T588" s="1">
        <f t="shared" si="87"/>
        <v>5.0902123150979381</v>
      </c>
    </row>
    <row r="589" spans="1:20">
      <c r="A589">
        <v>536</v>
      </c>
      <c r="B589">
        <v>0.93805837484346788</v>
      </c>
      <c r="C589" s="1">
        <f t="shared" si="81"/>
        <v>6.379299150843309</v>
      </c>
      <c r="D589" s="1">
        <f t="shared" si="90"/>
        <v>20.518659905352877</v>
      </c>
      <c r="E589" s="1">
        <f t="shared" si="88"/>
        <v>24.599909574776291</v>
      </c>
      <c r="F589" s="1">
        <f t="shared" si="82"/>
        <v>1.3163570880011655</v>
      </c>
      <c r="G589" s="1">
        <f t="shared" si="89"/>
        <v>0.98167429350620594</v>
      </c>
      <c r="H589" s="1">
        <f t="shared" si="83"/>
        <v>0.38401602591240458</v>
      </c>
      <c r="I589" s="1">
        <f t="shared" si="84"/>
        <v>9.9106600250451038</v>
      </c>
      <c r="K589" s="112">
        <f>C589/'CGE-Flood Weighted Av Calcs'!$D$3</f>
        <v>1.0753020357031455E-3</v>
      </c>
      <c r="L589" s="112">
        <f>D589/'CGE-Flood Weighted Av Calcs'!$D$4</f>
        <v>1.053981550561811E-3</v>
      </c>
      <c r="M589" s="112">
        <f>E589/'CGE-Flood Weighted Av Calcs'!$D$5</f>
        <v>1.0538222844501874E-3</v>
      </c>
      <c r="N589" s="112">
        <f>F589/'CGE-Flood Weighted Av Calcs'!$D$6</f>
        <v>3.6386049295327334E-4</v>
      </c>
      <c r="O589" s="112">
        <f>G589/'CGE-Flood Weighted Av Calcs'!$D$7</f>
        <v>1.6204861313428845E-3</v>
      </c>
      <c r="P589" s="112">
        <f>H589/'CGE-Flood Weighted Av Calcs'!$D$8</f>
        <v>3.8805568559949536E-3</v>
      </c>
      <c r="R589" s="1">
        <f t="shared" si="85"/>
        <v>1.7206006987925571E-2</v>
      </c>
      <c r="S589" s="1">
        <f t="shared" si="86"/>
        <v>1.995896810599368E-2</v>
      </c>
      <c r="T589" s="1">
        <f t="shared" si="87"/>
        <v>0.48176819566191753</v>
      </c>
    </row>
    <row r="590" spans="1:20">
      <c r="A590">
        <v>537</v>
      </c>
      <c r="B590">
        <v>0.84005674377647299</v>
      </c>
      <c r="C590" s="1">
        <f t="shared" si="81"/>
        <v>16.472378243731924</v>
      </c>
      <c r="D590" s="1">
        <f t="shared" si="90"/>
        <v>52.982485853604913</v>
      </c>
      <c r="E590" s="1">
        <f t="shared" si="88"/>
        <v>63.520930073290344</v>
      </c>
      <c r="F590" s="1">
        <f t="shared" si="82"/>
        <v>3.3990460934107993</v>
      </c>
      <c r="G590" s="1">
        <f t="shared" si="89"/>
        <v>2.5348411937453825</v>
      </c>
      <c r="H590" s="1">
        <f t="shared" si="83"/>
        <v>0.99159125178314955</v>
      </c>
      <c r="I590" s="1">
        <f t="shared" si="84"/>
        <v>25.590920995764293</v>
      </c>
      <c r="K590" s="112">
        <f>C590/'CGE-Flood Weighted Av Calcs'!$D$3</f>
        <v>2.7766031094521738E-3</v>
      </c>
      <c r="L590" s="112">
        <f>D590/'CGE-Flood Weighted Av Calcs'!$D$4</f>
        <v>2.7215501816487343E-3</v>
      </c>
      <c r="M590" s="112">
        <f>E590/'CGE-Flood Weighted Av Calcs'!$D$5</f>
        <v>2.7211389308874801E-3</v>
      </c>
      <c r="N590" s="112">
        <f>F590/'CGE-Flood Weighted Av Calcs'!$D$6</f>
        <v>9.3954641821190736E-4</v>
      </c>
      <c r="O590" s="112">
        <f>G590/'CGE-Flood Weighted Av Calcs'!$D$7</f>
        <v>4.1843562847610274E-3</v>
      </c>
      <c r="P590" s="112">
        <f>H590/'CGE-Flood Weighted Av Calcs'!$D$8</f>
        <v>1.0020223039674508E-2</v>
      </c>
      <c r="R590" s="1">
        <f t="shared" si="85"/>
        <v>4.4428682284313042E-2</v>
      </c>
      <c r="S590" s="1">
        <f t="shared" si="86"/>
        <v>5.1537271449803135E-2</v>
      </c>
      <c r="T590" s="1">
        <f t="shared" si="87"/>
        <v>1.2440031039607664</v>
      </c>
    </row>
    <row r="591" spans="1:20">
      <c r="A591">
        <v>538</v>
      </c>
      <c r="B591">
        <v>0.21531378289347258</v>
      </c>
      <c r="C591" s="1">
        <f t="shared" si="81"/>
        <v>80.8139616262267</v>
      </c>
      <c r="D591" s="1">
        <f t="shared" si="90"/>
        <v>259.93360007166007</v>
      </c>
      <c r="E591" s="1">
        <f t="shared" si="88"/>
        <v>311.63551063784462</v>
      </c>
      <c r="F591" s="1">
        <f t="shared" si="82"/>
        <v>16.675817935591766</v>
      </c>
      <c r="G591" s="1">
        <f t="shared" si="89"/>
        <v>12.436003831921965</v>
      </c>
      <c r="H591" s="1">
        <f t="shared" si="83"/>
        <v>4.8647752124680848</v>
      </c>
      <c r="I591" s="1">
        <f t="shared" si="84"/>
        <v>125.54979473704438</v>
      </c>
      <c r="K591" s="112">
        <f>C591/'CGE-Flood Weighted Av Calcs'!$D$3</f>
        <v>1.3622094746635267E-2</v>
      </c>
      <c r="L591" s="112">
        <f>D591/'CGE-Flood Weighted Av Calcs'!$D$4</f>
        <v>1.3352003498784555E-2</v>
      </c>
      <c r="M591" s="112">
        <f>E591/'CGE-Flood Weighted Av Calcs'!$D$5</f>
        <v>1.3349985890716861E-2</v>
      </c>
      <c r="N591" s="112">
        <f>F591/'CGE-Flood Weighted Av Calcs'!$D$6</f>
        <v>4.6094417614729209E-3</v>
      </c>
      <c r="O591" s="112">
        <f>G591/'CGE-Flood Weighted Av Calcs'!$D$7</f>
        <v>2.0528572330216686E-2</v>
      </c>
      <c r="P591" s="112">
        <f>H591/'CGE-Flood Weighted Av Calcs'!$D$8</f>
        <v>4.9159502546186659E-2</v>
      </c>
      <c r="R591" s="1">
        <f t="shared" si="85"/>
        <v>0.21796839364070206</v>
      </c>
      <c r="S591" s="1">
        <f t="shared" si="86"/>
        <v>0.2528433366232144</v>
      </c>
      <c r="T591" s="1">
        <f t="shared" si="87"/>
        <v>6.1031150219396579</v>
      </c>
    </row>
    <row r="592" spans="1:20">
      <c r="A592">
        <v>539</v>
      </c>
      <c r="B592">
        <v>0.29991659087041456</v>
      </c>
      <c r="C592" s="1">
        <f t="shared" si="81"/>
        <v>72.100812435801416</v>
      </c>
      <c r="D592" s="1">
        <f t="shared" si="90"/>
        <v>231.90824168737689</v>
      </c>
      <c r="E592" s="1">
        <f t="shared" si="88"/>
        <v>278.03578798372473</v>
      </c>
      <c r="F592" s="1">
        <f t="shared" si="82"/>
        <v>14.877875022989562</v>
      </c>
      <c r="G592" s="1">
        <f t="shared" si="89"/>
        <v>11.095186545654052</v>
      </c>
      <c r="H592" s="1">
        <f t="shared" si="83"/>
        <v>4.3402679200256706</v>
      </c>
      <c r="I592" s="1">
        <f t="shared" si="84"/>
        <v>112.01334546073366</v>
      </c>
      <c r="K592" s="112">
        <f>C592/'CGE-Flood Weighted Av Calcs'!$D$3</f>
        <v>1.2153396251658597E-2</v>
      </c>
      <c r="L592" s="112">
        <f>D592/'CGE-Flood Weighted Av Calcs'!$D$4</f>
        <v>1.1912425533109937E-2</v>
      </c>
      <c r="M592" s="112">
        <f>E592/'CGE-Flood Weighted Av Calcs'!$D$5</f>
        <v>1.1910625458247493E-2</v>
      </c>
      <c r="N592" s="112">
        <f>F592/'CGE-Flood Weighted Av Calcs'!$D$6</f>
        <v>4.1124638514176345E-3</v>
      </c>
      <c r="O592" s="112">
        <f>G592/'CGE-Flood Weighted Av Calcs'!$D$7</f>
        <v>1.8315235553003604E-2</v>
      </c>
      <c r="P592" s="112">
        <f>H592/'CGE-Flood Weighted Av Calcs'!$D$8</f>
        <v>4.3859254034758551E-2</v>
      </c>
      <c r="R592" s="1">
        <f t="shared" si="85"/>
        <v>0.19446761364710707</v>
      </c>
      <c r="S592" s="1">
        <f t="shared" si="86"/>
        <v>0.22558243183064419</v>
      </c>
      <c r="T592" s="1">
        <f t="shared" si="87"/>
        <v>5.4450931821189981</v>
      </c>
    </row>
    <row r="593" spans="1:20">
      <c r="A593">
        <v>540</v>
      </c>
      <c r="B593">
        <v>0.19585522796518862</v>
      </c>
      <c r="C593" s="1">
        <f t="shared" si="81"/>
        <v>82.817976577674074</v>
      </c>
      <c r="D593" s="1">
        <f t="shared" si="90"/>
        <v>266.37940238656722</v>
      </c>
      <c r="E593" s="1">
        <f t="shared" si="88"/>
        <v>319.36341074511392</v>
      </c>
      <c r="F593" s="1">
        <f t="shared" si="82"/>
        <v>17.089342873585831</v>
      </c>
      <c r="G593" s="1">
        <f t="shared" si="89"/>
        <v>12.744390367044389</v>
      </c>
      <c r="H593" s="1">
        <f t="shared" si="83"/>
        <v>4.985411326142442</v>
      </c>
      <c r="I593" s="1">
        <f t="shared" si="84"/>
        <v>128.66316352556981</v>
      </c>
      <c r="K593" s="112">
        <f>C593/'CGE-Flood Weighted Av Calcs'!$D$3</f>
        <v>1.3959893822351294E-2</v>
      </c>
      <c r="L593" s="112">
        <f>D593/'CGE-Flood Weighted Av Calcs'!$D$4</f>
        <v>1.3683104884051358E-2</v>
      </c>
      <c r="M593" s="112">
        <f>E593/'CGE-Flood Weighted Av Calcs'!$D$5</f>
        <v>1.3681037243580196E-2</v>
      </c>
      <c r="N593" s="112">
        <f>F593/'CGE-Flood Weighted Av Calcs'!$D$6</f>
        <v>4.7237461467787871E-3</v>
      </c>
      <c r="O593" s="112">
        <f>G593/'CGE-Flood Weighted Av Calcs'!$D$7</f>
        <v>2.1037637410727131E-2</v>
      </c>
      <c r="P593" s="112">
        <f>H593/'CGE-Flood Weighted Av Calcs'!$D$8</f>
        <v>5.0378554008654521E-2</v>
      </c>
      <c r="R593" s="1">
        <f t="shared" si="85"/>
        <v>0.22337354778744761</v>
      </c>
      <c r="S593" s="1">
        <f t="shared" si="86"/>
        <v>0.25911331543343918</v>
      </c>
      <c r="T593" s="1">
        <f t="shared" si="87"/>
        <v>6.2544593380485329</v>
      </c>
    </row>
    <row r="594" spans="1:20">
      <c r="A594">
        <v>541</v>
      </c>
      <c r="B594">
        <v>0.65434048155496061</v>
      </c>
      <c r="C594" s="1">
        <f t="shared" si="81"/>
        <v>35.599089738523013</v>
      </c>
      <c r="D594" s="1">
        <f t="shared" si="90"/>
        <v>114.50248656050732</v>
      </c>
      <c r="E594" s="1">
        <f t="shared" si="88"/>
        <v>137.27752340886025</v>
      </c>
      <c r="F594" s="1">
        <f t="shared" si="82"/>
        <v>7.3458091548347788</v>
      </c>
      <c r="G594" s="1">
        <f t="shared" si="89"/>
        <v>5.4781427304453842</v>
      </c>
      <c r="H594" s="1">
        <f t="shared" si="83"/>
        <v>2.1429659660465243</v>
      </c>
      <c r="I594" s="1">
        <f t="shared" si="84"/>
        <v>55.305522951206285</v>
      </c>
      <c r="K594" s="112">
        <f>C594/'CGE-Flood Weighted Av Calcs'!$D$3</f>
        <v>6.0006236986005551E-3</v>
      </c>
      <c r="L594" s="112">
        <f>D594/'CGE-Flood Weighted Av Calcs'!$D$4</f>
        <v>5.8816467003648086E-3</v>
      </c>
      <c r="M594" s="112">
        <f>E594/'CGE-Flood Weighted Av Calcs'!$D$5</f>
        <v>5.8807579305382371E-3</v>
      </c>
      <c r="N594" s="112">
        <f>F594/'CGE-Flood Weighted Av Calcs'!$D$6</f>
        <v>2.0304898758721044E-3</v>
      </c>
      <c r="O594" s="112">
        <f>G594/'CGE-Flood Weighted Av Calcs'!$D$7</f>
        <v>9.0429731927654539E-3</v>
      </c>
      <c r="P594" s="112">
        <f>H594/'CGE-Flood Weighted Av Calcs'!$D$8</f>
        <v>2.1655089138395946E-2</v>
      </c>
      <c r="R594" s="1">
        <f t="shared" si="85"/>
        <v>9.6016532901399831E-2</v>
      </c>
      <c r="S594" s="1">
        <f t="shared" si="86"/>
        <v>0.11137917816562379</v>
      </c>
      <c r="T594" s="1">
        <f t="shared" si="87"/>
        <v>2.6884629212391955</v>
      </c>
    </row>
    <row r="595" spans="1:20">
      <c r="A595">
        <v>542</v>
      </c>
      <c r="B595">
        <v>0.55902502718896185</v>
      </c>
      <c r="C595" s="1">
        <f t="shared" si="81"/>
        <v>45.415522477616811</v>
      </c>
      <c r="D595" s="1">
        <f t="shared" si="90"/>
        <v>146.0764949420724</v>
      </c>
      <c r="E595" s="1">
        <f t="shared" si="88"/>
        <v>175.13173780115113</v>
      </c>
      <c r="F595" s="1">
        <f t="shared" si="82"/>
        <v>9.371412674820931</v>
      </c>
      <c r="G595" s="1">
        <f t="shared" si="89"/>
        <v>6.988738086774962</v>
      </c>
      <c r="H595" s="1">
        <f t="shared" si="83"/>
        <v>2.7338878525996742</v>
      </c>
      <c r="I595" s="1">
        <f t="shared" si="84"/>
        <v>70.555995649766089</v>
      </c>
      <c r="K595" s="112">
        <f>C595/'CGE-Flood Weighted Av Calcs'!$D$3</f>
        <v>7.6552929433082858E-3</v>
      </c>
      <c r="L595" s="112">
        <f>D595/'CGE-Flood Weighted Av Calcs'!$D$4</f>
        <v>7.5035080921398122E-3</v>
      </c>
      <c r="M595" s="112">
        <f>E595/'CGE-Flood Weighted Av Calcs'!$D$5</f>
        <v>7.5023742444394201E-3</v>
      </c>
      <c r="N595" s="112">
        <f>F595/'CGE-Flood Weighted Av Calcs'!$D$6</f>
        <v>2.5903965319217996E-3</v>
      </c>
      <c r="O595" s="112">
        <f>G595/'CGE-Flood Weighted Av Calcs'!$D$7</f>
        <v>1.1536568921202004E-2</v>
      </c>
      <c r="P595" s="112">
        <f>H595/'CGE-Flood Weighted Av Calcs'!$D$8</f>
        <v>2.7626470079524595E-2</v>
      </c>
      <c r="R595" s="1">
        <f t="shared" si="85"/>
        <v>0.12249304800306615</v>
      </c>
      <c r="S595" s="1">
        <f t="shared" si="86"/>
        <v>0.14209193568355671</v>
      </c>
      <c r="T595" s="1">
        <f t="shared" si="87"/>
        <v>3.4298053440858527</v>
      </c>
    </row>
    <row r="596" spans="1:20">
      <c r="A596">
        <v>543</v>
      </c>
      <c r="B596">
        <v>0.32070095276766775</v>
      </c>
      <c r="C596" s="1">
        <f t="shared" si="81"/>
        <v>69.960254097738755</v>
      </c>
      <c r="D596" s="1">
        <f t="shared" si="90"/>
        <v>225.02325518529867</v>
      </c>
      <c r="E596" s="1">
        <f t="shared" si="88"/>
        <v>269.78134806630618</v>
      </c>
      <c r="F596" s="1">
        <f t="shared" si="82"/>
        <v>14.436174598858127</v>
      </c>
      <c r="G596" s="1">
        <f t="shared" si="89"/>
        <v>10.765788120444803</v>
      </c>
      <c r="H596" s="1">
        <f t="shared" si="83"/>
        <v>4.2114122751061469</v>
      </c>
      <c r="I596" s="1">
        <f t="shared" si="84"/>
        <v>108.68784755717316</v>
      </c>
      <c r="K596" s="112">
        <f>C596/'CGE-Flood Weighted Av Calcs'!$D$3</f>
        <v>1.17925812649283E-2</v>
      </c>
      <c r="L596" s="112">
        <f>D596/'CGE-Flood Weighted Av Calcs'!$D$4</f>
        <v>1.1558764583392434E-2</v>
      </c>
      <c r="M596" s="112">
        <f>E596/'CGE-Flood Weighted Av Calcs'!$D$5</f>
        <v>1.155701794988697E-2</v>
      </c>
      <c r="N596" s="112">
        <f>F596/'CGE-Flood Weighted Av Calcs'!$D$6</f>
        <v>3.9903713466352304E-3</v>
      </c>
      <c r="O596" s="112">
        <f>G596/'CGE-Flood Weighted Av Calcs'!$D$7</f>
        <v>1.7771485366950269E-2</v>
      </c>
      <c r="P596" s="112">
        <f>H596/'CGE-Flood Weighted Av Calcs'!$D$8</f>
        <v>4.2557142605585623E-2</v>
      </c>
      <c r="R596" s="1">
        <f t="shared" si="85"/>
        <v>0.18869417978675895</v>
      </c>
      <c r="S596" s="1">
        <f t="shared" si="86"/>
        <v>0.21888524855264038</v>
      </c>
      <c r="T596" s="1">
        <f t="shared" si="87"/>
        <v>5.2834370340292516</v>
      </c>
    </row>
    <row r="597" spans="1:20">
      <c r="A597">
        <v>544</v>
      </c>
      <c r="B597">
        <v>0.6708421157592489</v>
      </c>
      <c r="C597" s="1">
        <f t="shared" si="81"/>
        <v>33.899604766972473</v>
      </c>
      <c r="D597" s="1">
        <f t="shared" si="90"/>
        <v>109.03618794040045</v>
      </c>
      <c r="E597" s="1">
        <f t="shared" si="88"/>
        <v>130.72395449238957</v>
      </c>
      <c r="F597" s="1">
        <f t="shared" si="82"/>
        <v>6.9951234391545096</v>
      </c>
      <c r="G597" s="1">
        <f t="shared" si="89"/>
        <v>5.2166185928681781</v>
      </c>
      <c r="H597" s="1">
        <f t="shared" si="83"/>
        <v>2.0406617082525593</v>
      </c>
      <c r="I597" s="1">
        <f t="shared" si="84"/>
        <v>52.665261478520151</v>
      </c>
      <c r="K597" s="112">
        <f>C597/'CGE-Flood Weighted Av Calcs'!$D$3</f>
        <v>5.7141565481591749E-3</v>
      </c>
      <c r="L597" s="112">
        <f>D597/'CGE-Flood Weighted Av Calcs'!$D$4</f>
        <v>5.6008594597735696E-3</v>
      </c>
      <c r="M597" s="112">
        <f>E597/'CGE-Flood Weighted Av Calcs'!$D$5</f>
        <v>5.6000131194297318E-3</v>
      </c>
      <c r="N597" s="112">
        <f>F597/'CGE-Flood Weighted Av Calcs'!$D$6</f>
        <v>1.9335551774212068E-3</v>
      </c>
      <c r="O597" s="112">
        <f>G597/'CGE-Flood Weighted Av Calcs'!$D$7</f>
        <v>8.6112656083266129E-3</v>
      </c>
      <c r="P597" s="112">
        <f>H597/'CGE-Flood Weighted Av Calcs'!$D$8</f>
        <v>2.0621284655792393E-2</v>
      </c>
      <c r="R597" s="1">
        <f t="shared" si="85"/>
        <v>9.1432745622430839E-2</v>
      </c>
      <c r="S597" s="1">
        <f t="shared" si="86"/>
        <v>0.10606198492201979</v>
      </c>
      <c r="T597" s="1">
        <f t="shared" si="87"/>
        <v>2.5601168774280643</v>
      </c>
    </row>
    <row r="598" spans="1:20">
      <c r="A598">
        <v>545</v>
      </c>
      <c r="B598">
        <v>0.12395808028801081</v>
      </c>
      <c r="C598" s="1">
        <f t="shared" si="81"/>
        <v>90.222583931226978</v>
      </c>
      <c r="D598" s="1">
        <f t="shared" si="90"/>
        <v>290.19590893809686</v>
      </c>
      <c r="E598" s="1">
        <f t="shared" si="88"/>
        <v>347.91712284216237</v>
      </c>
      <c r="F598" s="1">
        <f t="shared" si="82"/>
        <v>18.617270494353772</v>
      </c>
      <c r="G598" s="1">
        <f t="shared" si="89"/>
        <v>13.883843545302851</v>
      </c>
      <c r="H598" s="1">
        <f t="shared" si="83"/>
        <v>5.4311480477033465</v>
      </c>
      <c r="I598" s="1">
        <f t="shared" si="84"/>
        <v>140.16670715391828</v>
      </c>
      <c r="K598" s="112">
        <f>C598/'CGE-Flood Weighted Av Calcs'!$D$3</f>
        <v>1.5208022993375569E-2</v>
      </c>
      <c r="L598" s="112">
        <f>D598/'CGE-Flood Weighted Av Calcs'!$D$4</f>
        <v>1.4906486850511951E-2</v>
      </c>
      <c r="M598" s="112">
        <f>E598/'CGE-Flood Weighted Av Calcs'!$D$5</f>
        <v>1.4904234345999553E-2</v>
      </c>
      <c r="N598" s="112">
        <f>F598/'CGE-Flood Weighted Av Calcs'!$D$6</f>
        <v>5.1460878520479371E-3</v>
      </c>
      <c r="O598" s="112">
        <f>G598/'CGE-Flood Weighted Av Calcs'!$D$7</f>
        <v>2.2918574993484295E-2</v>
      </c>
      <c r="P598" s="112">
        <f>H598/'CGE-Flood Weighted Av Calcs'!$D$8</f>
        <v>5.4882810534699691E-2</v>
      </c>
      <c r="R598" s="1">
        <f t="shared" si="85"/>
        <v>0.24334497769777477</v>
      </c>
      <c r="S598" s="1">
        <f t="shared" si="86"/>
        <v>0.28228017412941875</v>
      </c>
      <c r="T598" s="1">
        <f t="shared" si="87"/>
        <v>6.8136593755376937</v>
      </c>
    </row>
    <row r="599" spans="1:20">
      <c r="A599">
        <v>546</v>
      </c>
      <c r="B599">
        <v>0.82122331385396774</v>
      </c>
      <c r="C599" s="1">
        <f t="shared" si="81"/>
        <v>18.412012265417488</v>
      </c>
      <c r="D599" s="1">
        <f t="shared" si="90"/>
        <v>59.221210498859534</v>
      </c>
      <c r="E599" s="1">
        <f t="shared" si="88"/>
        <v>71.000563872140674</v>
      </c>
      <c r="F599" s="1">
        <f t="shared" si="82"/>
        <v>3.7992861405069576</v>
      </c>
      <c r="G599" s="1">
        <f t="shared" si="89"/>
        <v>2.8333205114376838</v>
      </c>
      <c r="H599" s="1">
        <f t="shared" si="83"/>
        <v>1.1083518129544698</v>
      </c>
      <c r="I599" s="1">
        <f t="shared" si="84"/>
        <v>28.60426978336514</v>
      </c>
      <c r="K599" s="112">
        <f>C599/'CGE-Flood Weighted Av Calcs'!$D$3</f>
        <v>3.1035500612598579E-3</v>
      </c>
      <c r="L599" s="112">
        <f>D599/'CGE-Flood Weighted Av Calcs'!$D$4</f>
        <v>3.0420146128281918E-3</v>
      </c>
      <c r="M599" s="112">
        <f>E599/'CGE-Flood Weighted Av Calcs'!$D$5</f>
        <v>3.0415549370031028E-3</v>
      </c>
      <c r="N599" s="112">
        <f>F599/'CGE-Flood Weighted Av Calcs'!$D$6</f>
        <v>1.0501786639478916E-3</v>
      </c>
      <c r="O599" s="112">
        <f>G599/'CGE-Flood Weighted Av Calcs'!$D$7</f>
        <v>4.6770671543565987E-3</v>
      </c>
      <c r="P599" s="112">
        <f>H599/'CGE-Flood Weighted Av Calcs'!$D$8</f>
        <v>1.1200111288053335E-2</v>
      </c>
      <c r="R599" s="1">
        <f t="shared" si="85"/>
        <v>4.9660190596120063E-2</v>
      </c>
      <c r="S599" s="1">
        <f t="shared" si="86"/>
        <v>5.7605821091499282E-2</v>
      </c>
      <c r="T599" s="1">
        <f t="shared" si="87"/>
        <v>1.3904853366913628</v>
      </c>
    </row>
    <row r="600" spans="1:20">
      <c r="A600">
        <v>547</v>
      </c>
      <c r="B600">
        <v>0.83977038996317099</v>
      </c>
      <c r="C600" s="1">
        <f t="shared" si="81"/>
        <v>16.501869504792992</v>
      </c>
      <c r="D600" s="1">
        <f t="shared" si="90"/>
        <v>53.077342849896127</v>
      </c>
      <c r="E600" s="1">
        <f t="shared" si="88"/>
        <v>63.634654533955029</v>
      </c>
      <c r="F600" s="1">
        <f t="shared" si="82"/>
        <v>3.4051315629292969</v>
      </c>
      <c r="G600" s="1">
        <f t="shared" si="89"/>
        <v>2.5393794372392477</v>
      </c>
      <c r="H600" s="1">
        <f t="shared" si="83"/>
        <v>0.99336654348902886</v>
      </c>
      <c r="I600" s="1">
        <f t="shared" si="84"/>
        <v>25.63673760589262</v>
      </c>
      <c r="K600" s="112">
        <f>C600/'CGE-Flood Weighted Av Calcs'!$D$3</f>
        <v>2.7815741904917311E-3</v>
      </c>
      <c r="L600" s="112">
        <f>D600/'CGE-Flood Weighted Av Calcs'!$D$4</f>
        <v>2.7264226988839642E-3</v>
      </c>
      <c r="M600" s="112">
        <f>E600/'CGE-Flood Weighted Av Calcs'!$D$5</f>
        <v>2.7260107118414396E-3</v>
      </c>
      <c r="N600" s="112">
        <f>F600/'CGE-Flood Weighted Av Calcs'!$D$6</f>
        <v>9.4122853164376862E-4</v>
      </c>
      <c r="O600" s="112">
        <f>G600/'CGE-Flood Weighted Av Calcs'!$D$7</f>
        <v>4.1918477314568546E-3</v>
      </c>
      <c r="P600" s="112">
        <f>H600/'CGE-Flood Weighted Av Calcs'!$D$8</f>
        <v>1.003816270868773E-2</v>
      </c>
      <c r="R600" s="1">
        <f t="shared" si="85"/>
        <v>4.4508225010230273E-2</v>
      </c>
      <c r="S600" s="1">
        <f t="shared" si="86"/>
        <v>5.1629541011867119E-2</v>
      </c>
      <c r="T600" s="1">
        <f t="shared" si="87"/>
        <v>1.2462303002864488</v>
      </c>
    </row>
    <row r="601" spans="1:20">
      <c r="A601">
        <v>548</v>
      </c>
      <c r="B601">
        <v>0.50613389833821543</v>
      </c>
      <c r="C601" s="1">
        <f t="shared" si="81"/>
        <v>50.86272107003424</v>
      </c>
      <c r="D601" s="1">
        <f t="shared" si="90"/>
        <v>163.59710539031497</v>
      </c>
      <c r="E601" s="1">
        <f t="shared" si="88"/>
        <v>196.13727299252142</v>
      </c>
      <c r="F601" s="1">
        <f t="shared" si="82"/>
        <v>10.495432462469672</v>
      </c>
      <c r="G601" s="1">
        <f t="shared" si="89"/>
        <v>7.8269766931416971</v>
      </c>
      <c r="H601" s="1">
        <f t="shared" si="83"/>
        <v>3.0617940232233334</v>
      </c>
      <c r="I601" s="1">
        <f t="shared" si="84"/>
        <v>79.018576265885514</v>
      </c>
      <c r="K601" s="112">
        <f>C601/'CGE-Flood Weighted Av Calcs'!$D$3</f>
        <v>8.573479031905723E-3</v>
      </c>
      <c r="L601" s="112">
        <f>D601/'CGE-Flood Weighted Av Calcs'!$D$4</f>
        <v>8.403488902397829E-3</v>
      </c>
      <c r="M601" s="112">
        <f>E601/'CGE-Flood Weighted Av Calcs'!$D$5</f>
        <v>8.4022190594856532E-3</v>
      </c>
      <c r="N601" s="112">
        <f>F601/'CGE-Flood Weighted Av Calcs'!$D$6</f>
        <v>2.9010921613608705E-3</v>
      </c>
      <c r="O601" s="112">
        <f>G601/'CGE-Flood Weighted Av Calcs'!$D$7</f>
        <v>1.2920280448904236E-2</v>
      </c>
      <c r="P601" s="112">
        <f>H601/'CGE-Flood Weighted Av Calcs'!$D$8</f>
        <v>3.0940025901871823E-2</v>
      </c>
      <c r="R601" s="1">
        <f t="shared" si="85"/>
        <v>0.13718502823938461</v>
      </c>
      <c r="S601" s="1">
        <f t="shared" si="86"/>
        <v>0.15913463275768613</v>
      </c>
      <c r="T601" s="1">
        <f t="shared" si="87"/>
        <v>3.8411807907027691</v>
      </c>
    </row>
    <row r="602" spans="1:20">
      <c r="A602">
        <v>549</v>
      </c>
      <c r="B602">
        <v>0.57882926606420093</v>
      </c>
      <c r="C602" s="1">
        <f t="shared" si="81"/>
        <v>43.375905920565799</v>
      </c>
      <c r="D602" s="1">
        <f t="shared" si="90"/>
        <v>139.51618204846494</v>
      </c>
      <c r="E602" s="1">
        <f t="shared" si="88"/>
        <v>167.2665504687717</v>
      </c>
      <c r="F602" s="1">
        <f t="shared" si="82"/>
        <v>8.9505414085277177</v>
      </c>
      <c r="G602" s="1">
        <f t="shared" si="89"/>
        <v>6.6748730217698302</v>
      </c>
      <c r="H602" s="1">
        <f t="shared" si="83"/>
        <v>2.6111086215112036</v>
      </c>
      <c r="I602" s="1">
        <f t="shared" si="84"/>
        <v>67.38731742972783</v>
      </c>
      <c r="K602" s="112">
        <f>C602/'CGE-Flood Weighted Av Calcs'!$D$3</f>
        <v>7.3114928198165282E-3</v>
      </c>
      <c r="L602" s="112">
        <f>D602/'CGE-Flood Weighted Av Calcs'!$D$4</f>
        <v>7.166524644503877E-3</v>
      </c>
      <c r="M602" s="112">
        <f>E602/'CGE-Flood Weighted Av Calcs'!$D$5</f>
        <v>7.1654417180395885E-3</v>
      </c>
      <c r="N602" s="112">
        <f>F602/'CGE-Flood Weighted Av Calcs'!$D$6</f>
        <v>2.4740615132409251E-3</v>
      </c>
      <c r="O602" s="112">
        <f>G602/'CGE-Flood Weighted Av Calcs'!$D$7</f>
        <v>1.1018460228412207E-2</v>
      </c>
      <c r="P602" s="112">
        <f>H602/'CGE-Flood Weighted Av Calcs'!$D$8</f>
        <v>2.6385761997506078E-2</v>
      </c>
      <c r="R602" s="1">
        <f t="shared" si="85"/>
        <v>0.11699187053772195</v>
      </c>
      <c r="S602" s="1">
        <f t="shared" si="86"/>
        <v>0.13571056982375745</v>
      </c>
      <c r="T602" s="1">
        <f t="shared" si="87"/>
        <v>3.2757723750562153</v>
      </c>
    </row>
    <row r="603" spans="1:20">
      <c r="A603">
        <v>550</v>
      </c>
      <c r="B603">
        <v>0.18443881754557134</v>
      </c>
      <c r="C603" s="1">
        <f t="shared" si="81"/>
        <v>83.993740001889989</v>
      </c>
      <c r="D603" s="1">
        <f t="shared" si="90"/>
        <v>270.16117986089222</v>
      </c>
      <c r="E603" s="1">
        <f t="shared" si="88"/>
        <v>323.89740001777841</v>
      </c>
      <c r="F603" s="1">
        <f t="shared" si="82"/>
        <v>17.33195957499488</v>
      </c>
      <c r="G603" s="1">
        <f t="shared" si="89"/>
        <v>12.925321955531663</v>
      </c>
      <c r="H603" s="1">
        <f t="shared" si="83"/>
        <v>5.0561890067158437</v>
      </c>
      <c r="I603" s="1">
        <f t="shared" si="84"/>
        <v>130.48978919270857</v>
      </c>
      <c r="K603" s="112">
        <f>C603/'CGE-Flood Weighted Av Calcs'!$D$3</f>
        <v>1.4158081863650085E-2</v>
      </c>
      <c r="L603" s="112">
        <f>D603/'CGE-Flood Weighted Av Calcs'!$D$4</f>
        <v>1.3877363364120465E-2</v>
      </c>
      <c r="M603" s="112">
        <f>E603/'CGE-Flood Weighted Av Calcs'!$D$5</f>
        <v>1.3875266369442149E-2</v>
      </c>
      <c r="N603" s="112">
        <f>F603/'CGE-Flood Weighted Av Calcs'!$D$6</f>
        <v>4.7908089775091939E-3</v>
      </c>
      <c r="O603" s="112">
        <f>G603/'CGE-Flood Weighted Av Calcs'!$D$7</f>
        <v>2.133630788809928E-2</v>
      </c>
      <c r="P603" s="112">
        <f>H603/'CGE-Flood Weighted Av Calcs'!$D$8</f>
        <v>5.109377627821466E-2</v>
      </c>
      <c r="R603" s="1">
        <f t="shared" si="85"/>
        <v>0.22654477290400796</v>
      </c>
      <c r="S603" s="1">
        <f t="shared" si="86"/>
        <v>0.26279193656864924</v>
      </c>
      <c r="T603" s="1">
        <f t="shared" si="87"/>
        <v>6.3432536413122227</v>
      </c>
    </row>
    <row r="604" spans="1:20">
      <c r="A604">
        <v>551</v>
      </c>
      <c r="B604">
        <v>0.42982238327713962</v>
      </c>
      <c r="C604" s="1">
        <f t="shared" si="81"/>
        <v>58.721959215602148</v>
      </c>
      <c r="D604" s="1">
        <f t="shared" si="90"/>
        <v>188.87590652676369</v>
      </c>
      <c r="E604" s="1">
        <f t="shared" si="88"/>
        <v>226.4441363541566</v>
      </c>
      <c r="F604" s="1">
        <f t="shared" si="82"/>
        <v>12.117172342443769</v>
      </c>
      <c r="G604" s="1">
        <f t="shared" si="89"/>
        <v>9.0363904346226107</v>
      </c>
      <c r="H604" s="1">
        <f t="shared" si="83"/>
        <v>3.534898251132319</v>
      </c>
      <c r="I604" s="1">
        <f t="shared" si="84"/>
        <v>91.22841867565765</v>
      </c>
      <c r="K604" s="112">
        <f>C604/'CGE-Flood Weighted Av Calcs'!$D$3</f>
        <v>9.8982412945263429E-3</v>
      </c>
      <c r="L604" s="112">
        <f>D604/'CGE-Flood Weighted Av Calcs'!$D$4</f>
        <v>9.7019845225327101E-3</v>
      </c>
      <c r="M604" s="112">
        <f>E604/'CGE-Flood Weighted Av Calcs'!$D$5</f>
        <v>9.7005184652292423E-3</v>
      </c>
      <c r="N604" s="112">
        <f>F604/'CGE-Flood Weighted Av Calcs'!$D$6</f>
        <v>3.3493649572063963E-3</v>
      </c>
      <c r="O604" s="112">
        <f>G604/'CGE-Flood Weighted Av Calcs'!$D$7</f>
        <v>1.4916704525698033E-2</v>
      </c>
      <c r="P604" s="112">
        <f>H604/'CGE-Flood Weighted Av Calcs'!$D$8</f>
        <v>3.5720836418439143E-2</v>
      </c>
      <c r="R604" s="1">
        <f t="shared" si="85"/>
        <v>0.15838267131190564</v>
      </c>
      <c r="S604" s="1">
        <f t="shared" si="86"/>
        <v>0.18372389872181055</v>
      </c>
      <c r="T604" s="1">
        <f t="shared" si="87"/>
        <v>4.4347147967333589</v>
      </c>
    </row>
    <row r="605" spans="1:20">
      <c r="A605">
        <v>552</v>
      </c>
      <c r="B605">
        <v>0.28480245957527661</v>
      </c>
      <c r="C605" s="1">
        <f t="shared" si="81"/>
        <v>73.65740002440846</v>
      </c>
      <c r="D605" s="1">
        <f t="shared" si="90"/>
        <v>236.91491884552505</v>
      </c>
      <c r="E605" s="1">
        <f t="shared" si="88"/>
        <v>284.03831475343895</v>
      </c>
      <c r="F605" s="1">
        <f t="shared" si="82"/>
        <v>15.199074116637123</v>
      </c>
      <c r="G605" s="1">
        <f t="shared" si="89"/>
        <v>11.334721012559299</v>
      </c>
      <c r="H605" s="1">
        <f t="shared" si="83"/>
        <v>4.4339701537079446</v>
      </c>
      <c r="I605" s="1">
        <f t="shared" si="84"/>
        <v>114.43160646795573</v>
      </c>
      <c r="K605" s="112">
        <f>C605/'CGE-Flood Weighted Av Calcs'!$D$3</f>
        <v>1.2415776454123022E-2</v>
      </c>
      <c r="L605" s="112">
        <f>D605/'CGE-Flood Weighted Av Calcs'!$D$4</f>
        <v>1.216960340820746E-2</v>
      </c>
      <c r="M605" s="112">
        <f>E605/'CGE-Flood Weighted Av Calcs'!$D$5</f>
        <v>1.2167764471450194E-2</v>
      </c>
      <c r="N605" s="112">
        <f>F605/'CGE-Flood Weighted Av Calcs'!$D$6</f>
        <v>4.2012480131136155E-3</v>
      </c>
      <c r="O605" s="112">
        <f>G605/'CGE-Flood Weighted Av Calcs'!$D$7</f>
        <v>1.8710643973256905E-2</v>
      </c>
      <c r="P605" s="112">
        <f>H605/'CGE-Flood Weighted Av Calcs'!$D$8</f>
        <v>4.4806133385623795E-2</v>
      </c>
      <c r="R605" s="1">
        <f t="shared" si="85"/>
        <v>0.19866598345131206</v>
      </c>
      <c r="S605" s="1">
        <f t="shared" si="86"/>
        <v>0.23045254080352195</v>
      </c>
      <c r="T605" s="1">
        <f t="shared" si="87"/>
        <v>5.5626475366367378</v>
      </c>
    </row>
    <row r="606" spans="1:20">
      <c r="A606">
        <v>553</v>
      </c>
      <c r="B606">
        <v>0.92236155231654215</v>
      </c>
      <c r="C606" s="1">
        <f t="shared" si="81"/>
        <v>7.9958974619774636</v>
      </c>
      <c r="D606" s="1">
        <f t="shared" si="90"/>
        <v>25.718358205336926</v>
      </c>
      <c r="E606" s="1">
        <f t="shared" si="88"/>
        <v>30.833850221278112</v>
      </c>
      <c r="F606" s="1">
        <f t="shared" si="82"/>
        <v>1.6499392880193078</v>
      </c>
      <c r="G606" s="1">
        <f t="shared" si="89"/>
        <v>1.2304434713485985</v>
      </c>
      <c r="H606" s="1">
        <f t="shared" si="83"/>
        <v>0.48133073780460034</v>
      </c>
      <c r="I606" s="1">
        <f t="shared" si="84"/>
        <v>12.422151629353237</v>
      </c>
      <c r="K606" s="112">
        <f>C606/'CGE-Flood Weighted Av Calcs'!$D$3</f>
        <v>1.3477977148949618E-3</v>
      </c>
      <c r="L606" s="112">
        <f>D606/'CGE-Flood Weighted Av Calcs'!$D$4</f>
        <v>1.3210743383925156E-3</v>
      </c>
      <c r="M606" s="112">
        <f>E606/'CGE-Flood Weighted Av Calcs'!$D$5</f>
        <v>1.3208747121533965E-3</v>
      </c>
      <c r="N606" s="112">
        <f>F606/'CGE-Flood Weighted Av Calcs'!$D$6</f>
        <v>4.5606752768983204E-4</v>
      </c>
      <c r="O606" s="112">
        <f>G606/'CGE-Flood Weighted Av Calcs'!$D$7</f>
        <v>2.0311386311239847E-3</v>
      </c>
      <c r="P606" s="112">
        <f>H606/'CGE-Flood Weighted Av Calcs'!$D$8</f>
        <v>4.8639410038965672E-3</v>
      </c>
      <c r="R606" s="1">
        <f t="shared" si="85"/>
        <v>2.1566235467627176E-2</v>
      </c>
      <c r="S606" s="1">
        <f t="shared" si="86"/>
        <v>2.5016833142447514E-2</v>
      </c>
      <c r="T606" s="1">
        <f t="shared" si="87"/>
        <v>0.60385459309356193</v>
      </c>
    </row>
    <row r="607" spans="1:20">
      <c r="A607">
        <v>554</v>
      </c>
      <c r="B607">
        <v>0.57756016059350579</v>
      </c>
      <c r="C607" s="1">
        <f t="shared" si="81"/>
        <v>43.506609682875506</v>
      </c>
      <c r="D607" s="1">
        <f t="shared" si="90"/>
        <v>139.93658340976938</v>
      </c>
      <c r="E607" s="1">
        <f t="shared" si="88"/>
        <v>167.77057146823788</v>
      </c>
      <c r="F607" s="1">
        <f t="shared" si="82"/>
        <v>8.9775118985261457</v>
      </c>
      <c r="G607" s="1">
        <f t="shared" si="89"/>
        <v>6.6949862850750979</v>
      </c>
      <c r="H607" s="1">
        <f t="shared" si="83"/>
        <v>2.6189766236517422</v>
      </c>
      <c r="I607" s="1">
        <f t="shared" si="84"/>
        <v>67.590374305039063</v>
      </c>
      <c r="K607" s="112">
        <f>C607/'CGE-Flood Weighted Av Calcs'!$D$3</f>
        <v>7.3335243970105695E-3</v>
      </c>
      <c r="L607" s="112">
        <f>D607/'CGE-Flood Weighted Av Calcs'!$D$4</f>
        <v>7.1881193919527764E-3</v>
      </c>
      <c r="M607" s="112">
        <f>E607/'CGE-Flood Weighted Av Calcs'!$D$5</f>
        <v>7.18703320232752E-3</v>
      </c>
      <c r="N607" s="112">
        <f>F607/'CGE-Flood Weighted Av Calcs'!$D$6</f>
        <v>2.4815165540315065E-3</v>
      </c>
      <c r="O607" s="112">
        <f>G607/'CGE-Flood Weighted Av Calcs'!$D$7</f>
        <v>1.1051661937428974E-2</v>
      </c>
      <c r="P607" s="112">
        <f>H607/'CGE-Flood Weighted Av Calcs'!$D$8</f>
        <v>2.64652696940323E-2</v>
      </c>
      <c r="R607" s="1">
        <f t="shared" si="85"/>
        <v>0.11734439983513728</v>
      </c>
      <c r="S607" s="1">
        <f t="shared" si="86"/>
        <v>0.13611950380875923</v>
      </c>
      <c r="T607" s="1">
        <f t="shared" si="87"/>
        <v>3.2856431953838441</v>
      </c>
    </row>
    <row r="608" spans="1:20">
      <c r="A608">
        <v>555</v>
      </c>
      <c r="B608">
        <v>0.29781211619486125</v>
      </c>
      <c r="C608" s="1">
        <f t="shared" si="81"/>
        <v>72.317549944331461</v>
      </c>
      <c r="D608" s="1">
        <f t="shared" si="90"/>
        <v>232.60536579475999</v>
      </c>
      <c r="E608" s="1">
        <f t="shared" si="88"/>
        <v>278.87157307315675</v>
      </c>
      <c r="F608" s="1">
        <f t="shared" si="82"/>
        <v>14.922598424235217</v>
      </c>
      <c r="G608" s="1">
        <f t="shared" si="89"/>
        <v>11.128539055942646</v>
      </c>
      <c r="H608" s="1">
        <f t="shared" si="83"/>
        <v>4.3533149138605438</v>
      </c>
      <c r="I608" s="1">
        <f t="shared" si="84"/>
        <v>112.3500614088222</v>
      </c>
      <c r="K608" s="112">
        <f>C608/'CGE-Flood Weighted Av Calcs'!$D$3</f>
        <v>1.2189929776521554E-2</v>
      </c>
      <c r="L608" s="112">
        <f>D608/'CGE-Flood Weighted Av Calcs'!$D$4</f>
        <v>1.1948234691750067E-2</v>
      </c>
      <c r="M608" s="112">
        <f>E608/'CGE-Flood Weighted Av Calcs'!$D$5</f>
        <v>1.1946429205801011E-2</v>
      </c>
      <c r="N608" s="112">
        <f>F608/'CGE-Flood Weighted Av Calcs'!$D$6</f>
        <v>4.1248260584297921E-3</v>
      </c>
      <c r="O608" s="112">
        <f>G608/'CGE-Flood Weighted Av Calcs'!$D$7</f>
        <v>1.837029177758406E-2</v>
      </c>
      <c r="P608" s="112">
        <f>H608/'CGE-Flood Weighted Av Calcs'!$D$8</f>
        <v>4.3991096452677819E-2</v>
      </c>
      <c r="R608" s="1">
        <f t="shared" si="85"/>
        <v>0.19505218994587187</v>
      </c>
      <c r="S608" s="1">
        <f t="shared" si="86"/>
        <v>0.22626054033721138</v>
      </c>
      <c r="T608" s="1">
        <f t="shared" si="87"/>
        <v>5.461461318484413</v>
      </c>
    </row>
    <row r="609" spans="1:20">
      <c r="A609">
        <v>556</v>
      </c>
      <c r="B609">
        <v>0.37515659437149707</v>
      </c>
      <c r="C609" s="1">
        <f t="shared" si="81"/>
        <v>64.351928075228813</v>
      </c>
      <c r="D609" s="1">
        <f t="shared" si="90"/>
        <v>206.98438734524612</v>
      </c>
      <c r="E609" s="1">
        <f t="shared" si="88"/>
        <v>248.15447185979195</v>
      </c>
      <c r="F609" s="1">
        <f t="shared" si="82"/>
        <v>13.278906451215851</v>
      </c>
      <c r="G609" s="1">
        <f t="shared" si="89"/>
        <v>9.9027545244780555</v>
      </c>
      <c r="H609" s="1">
        <f t="shared" si="83"/>
        <v>3.8738066823506028</v>
      </c>
      <c r="I609" s="1">
        <f t="shared" si="84"/>
        <v>99.974944900560459</v>
      </c>
      <c r="K609" s="112">
        <f>C609/'CGE-Flood Weighted Av Calcs'!$D$3</f>
        <v>1.0847235350542916E-2</v>
      </c>
      <c r="L609" s="112">
        <f>D609/'CGE-Flood Weighted Av Calcs'!$D$4</f>
        <v>1.0632162457125982E-2</v>
      </c>
      <c r="M609" s="112">
        <f>E609/'CGE-Flood Weighted Av Calcs'!$D$5</f>
        <v>1.0630555841553082E-2</v>
      </c>
      <c r="N609" s="112">
        <f>F609/'CGE-Flood Weighted Av Calcs'!$D$6</f>
        <v>3.670485380647355E-3</v>
      </c>
      <c r="O609" s="112">
        <f>G609/'CGE-Flood Weighted Av Calcs'!$D$7</f>
        <v>1.6346843831159405E-2</v>
      </c>
      <c r="P609" s="112">
        <f>H609/'CGE-Flood Weighted Av Calcs'!$D$8</f>
        <v>3.9145572230424752E-2</v>
      </c>
      <c r="R609" s="1">
        <f t="shared" si="85"/>
        <v>0.17356761267458415</v>
      </c>
      <c r="S609" s="1">
        <f t="shared" si="86"/>
        <v>0.20133843070251761</v>
      </c>
      <c r="T609" s="1">
        <f t="shared" si="87"/>
        <v>4.8598931548883559</v>
      </c>
    </row>
    <row r="610" spans="1:20">
      <c r="A610">
        <v>557</v>
      </c>
      <c r="B610">
        <v>0.77302374635032756</v>
      </c>
      <c r="C610" s="1">
        <f t="shared" si="81"/>
        <v>23.376032167542391</v>
      </c>
      <c r="D610" s="1">
        <f t="shared" si="90"/>
        <v>75.187703639667831</v>
      </c>
      <c r="E610" s="1">
        <f t="shared" si="88"/>
        <v>90.14286114213462</v>
      </c>
      <c r="F610" s="1">
        <f t="shared" si="82"/>
        <v>4.8236028606716133</v>
      </c>
      <c r="G610" s="1">
        <f t="shared" si="89"/>
        <v>3.5972054798554183</v>
      </c>
      <c r="H610" s="1">
        <f t="shared" si="83"/>
        <v>1.4071719733340142</v>
      </c>
      <c r="I610" s="1">
        <f t="shared" si="84"/>
        <v>36.316200583947563</v>
      </c>
      <c r="K610" s="112">
        <f>C610/'CGE-Flood Weighted Av Calcs'!$D$3</f>
        <v>3.9402909915421764E-3</v>
      </c>
      <c r="L610" s="112">
        <f>D610/'CGE-Flood Weighted Av Calcs'!$D$4</f>
        <v>3.8621651136507861E-3</v>
      </c>
      <c r="M610" s="112">
        <f>E610/'CGE-Flood Weighted Av Calcs'!$D$5</f>
        <v>3.8615815056931651E-3</v>
      </c>
      <c r="N610" s="112">
        <f>F610/'CGE-Flood Weighted Av Calcs'!$D$6</f>
        <v>1.333314896613554E-3</v>
      </c>
      <c r="O610" s="112">
        <f>G610/'CGE-Flood Weighted Av Calcs'!$D$7</f>
        <v>5.938040376789677E-3</v>
      </c>
      <c r="P610" s="112">
        <f>H610/'CGE-Flood Weighted Av Calcs'!$D$8</f>
        <v>1.4219747302761895E-2</v>
      </c>
      <c r="R610" s="1">
        <f t="shared" si="85"/>
        <v>6.3048959347131228E-2</v>
      </c>
      <c r="S610" s="1">
        <f t="shared" si="86"/>
        <v>7.3136792842672216E-2</v>
      </c>
      <c r="T610" s="1">
        <f t="shared" si="87"/>
        <v>1.7653708617196751</v>
      </c>
    </row>
    <row r="611" spans="1:20">
      <c r="A611">
        <v>558</v>
      </c>
      <c r="B611">
        <v>0.57361042038320931</v>
      </c>
      <c r="C611" s="1">
        <f t="shared" si="81"/>
        <v>43.913389038533708</v>
      </c>
      <c r="D611" s="1">
        <f t="shared" si="90"/>
        <v>141.24496651862012</v>
      </c>
      <c r="E611" s="1">
        <f t="shared" si="88"/>
        <v>169.33919760246687</v>
      </c>
      <c r="F611" s="1">
        <f t="shared" si="82"/>
        <v>9.0614500985402398</v>
      </c>
      <c r="G611" s="1">
        <f t="shared" si="89"/>
        <v>6.7575832611905522</v>
      </c>
      <c r="H611" s="1">
        <f t="shared" si="83"/>
        <v>2.6434636069220629</v>
      </c>
      <c r="I611" s="1">
        <f t="shared" si="84"/>
        <v>68.22233273868649</v>
      </c>
      <c r="K611" s="112">
        <f>C611/'CGE-Flood Weighted Av Calcs'!$D$3</f>
        <v>7.4020915952056031E-3</v>
      </c>
      <c r="L611" s="112">
        <f>D611/'CGE-Flood Weighted Av Calcs'!$D$4</f>
        <v>7.2553270782323093E-3</v>
      </c>
      <c r="M611" s="112">
        <f>E611/'CGE-Flood Weighted Av Calcs'!$D$5</f>
        <v>7.2542307329199265E-3</v>
      </c>
      <c r="N611" s="112">
        <f>F611/'CGE-Flood Weighted Av Calcs'!$D$6</f>
        <v>2.5047183091731259E-3</v>
      </c>
      <c r="O611" s="112">
        <f>G611/'CGE-Flood Weighted Av Calcs'!$D$7</f>
        <v>1.1154993085377032E-2</v>
      </c>
      <c r="P611" s="112">
        <f>H611/'CGE-Flood Weighted Av Calcs'!$D$8</f>
        <v>2.6712715436918957E-2</v>
      </c>
      <c r="R611" s="1">
        <f t="shared" si="85"/>
        <v>0.11844154989355296</v>
      </c>
      <c r="S611" s="1">
        <f t="shared" si="86"/>
        <v>0.13739219787652143</v>
      </c>
      <c r="T611" s="1">
        <f t="shared" si="87"/>
        <v>3.3163633970194835</v>
      </c>
    </row>
    <row r="612" spans="1:20">
      <c r="A612">
        <v>559</v>
      </c>
      <c r="B612">
        <v>0.99902480070245436</v>
      </c>
      <c r="C612" s="1">
        <f t="shared" si="81"/>
        <v>0.1004346920994692</v>
      </c>
      <c r="D612" s="1">
        <f t="shared" si="90"/>
        <v>0.3230425852681833</v>
      </c>
      <c r="E612" s="1">
        <f t="shared" si="88"/>
        <v>0.38729714430940021</v>
      </c>
      <c r="F612" s="1">
        <f t="shared" si="82"/>
        <v>2.0724520938767199E-2</v>
      </c>
      <c r="G612" s="1">
        <f t="shared" si="89"/>
        <v>1.5455327157248178E-2</v>
      </c>
      <c r="H612" s="1">
        <f t="shared" si="83"/>
        <v>6.0458884921033018E-3</v>
      </c>
      <c r="I612" s="1">
        <f t="shared" si="84"/>
        <v>0.15603188760726994</v>
      </c>
      <c r="K612" s="112">
        <f>C612/'CGE-Flood Weighted Av Calcs'!$D$3</f>
        <v>1.6929387745596027E-5</v>
      </c>
      <c r="L612" s="112">
        <f>D612/'CGE-Flood Weighted Av Calcs'!$D$4</f>
        <v>1.6593721348713995E-5</v>
      </c>
      <c r="M612" s="112">
        <f>E612/'CGE-Flood Weighted Av Calcs'!$D$5</f>
        <v>1.6591213887861521E-5</v>
      </c>
      <c r="N612" s="112">
        <f>F612/'CGE-Flood Weighted Av Calcs'!$D$6</f>
        <v>5.7285629209097954E-6</v>
      </c>
      <c r="O612" s="112">
        <f>G612/'CGE-Flood Weighted Av Calcs'!$D$7</f>
        <v>2.5512681221624949E-5</v>
      </c>
      <c r="P612" s="112">
        <f>H612/'CGE-Flood Weighted Av Calcs'!$D$8</f>
        <v>6.1094882649413419E-5</v>
      </c>
      <c r="R612" s="1">
        <f t="shared" si="85"/>
        <v>2.7088869376265534E-4</v>
      </c>
      <c r="S612" s="1">
        <f t="shared" si="86"/>
        <v>3.1423088476473238E-4</v>
      </c>
      <c r="T612" s="1">
        <f t="shared" si="87"/>
        <v>7.5848834253555708E-3</v>
      </c>
    </row>
    <row r="613" spans="1:20">
      <c r="A613">
        <v>560</v>
      </c>
      <c r="B613">
        <v>0.2320329497110073</v>
      </c>
      <c r="C613" s="1">
        <f t="shared" si="81"/>
        <v>79.092073212540811</v>
      </c>
      <c r="D613" s="1">
        <f t="shared" si="90"/>
        <v>254.39524202950469</v>
      </c>
      <c r="E613" s="1">
        <f t="shared" si="88"/>
        <v>304.99554937048055</v>
      </c>
      <c r="F613" s="1">
        <f t="shared" si="82"/>
        <v>16.320509309282421</v>
      </c>
      <c r="G613" s="1">
        <f t="shared" si="89"/>
        <v>12.171032155248335</v>
      </c>
      <c r="H613" s="1">
        <f t="shared" si="83"/>
        <v>4.7611223299095267</v>
      </c>
      <c r="I613" s="1">
        <f t="shared" si="84"/>
        <v>122.87472804623883</v>
      </c>
      <c r="K613" s="112">
        <f>C613/'CGE-Flood Weighted Av Calcs'!$D$3</f>
        <v>1.3331851246101931E-2</v>
      </c>
      <c r="L613" s="112">
        <f>D613/'CGE-Flood Weighted Av Calcs'!$D$4</f>
        <v>1.3067514783451124E-2</v>
      </c>
      <c r="M613" s="112">
        <f>E613/'CGE-Flood Weighted Av Calcs'!$D$5</f>
        <v>1.3065540164192356E-2</v>
      </c>
      <c r="N613" s="112">
        <f>F613/'CGE-Flood Weighted Av Calcs'!$D$6</f>
        <v>4.5112292224150129E-3</v>
      </c>
      <c r="O613" s="112">
        <f>G613/'CGE-Flood Weighted Av Calcs'!$D$7</f>
        <v>2.0091173765245936E-2</v>
      </c>
      <c r="P613" s="112">
        <f>H613/'CGE-Flood Weighted Av Calcs'!$D$8</f>
        <v>4.8112069947246101E-2</v>
      </c>
      <c r="R613" s="1">
        <f t="shared" si="85"/>
        <v>0.21332418063583131</v>
      </c>
      <c r="S613" s="1">
        <f t="shared" si="86"/>
        <v>0.24745604953756431</v>
      </c>
      <c r="T613" s="1">
        <f t="shared" si="87"/>
        <v>5.9730770578032768</v>
      </c>
    </row>
    <row r="614" spans="1:20">
      <c r="A614">
        <v>561</v>
      </c>
      <c r="B614">
        <v>0.28963191050117842</v>
      </c>
      <c r="C614" s="1">
        <f t="shared" si="81"/>
        <v>73.160020239606411</v>
      </c>
      <c r="D614" s="1">
        <f t="shared" si="90"/>
        <v>235.31512450968464</v>
      </c>
      <c r="E614" s="1">
        <f t="shared" si="88"/>
        <v>282.12031444633084</v>
      </c>
      <c r="F614" s="1">
        <f t="shared" si="82"/>
        <v>15.096440678437864</v>
      </c>
      <c r="G614" s="1">
        <f t="shared" si="89"/>
        <v>11.258182048434177</v>
      </c>
      <c r="H614" s="1">
        <f t="shared" si="83"/>
        <v>4.4040292771614045</v>
      </c>
      <c r="I614" s="1">
        <f t="shared" si="84"/>
        <v>113.65889431981145</v>
      </c>
      <c r="K614" s="112">
        <f>C614/'CGE-Flood Weighted Av Calcs'!$D$3</f>
        <v>1.2331937542909E-2</v>
      </c>
      <c r="L614" s="112">
        <f>D614/'CGE-Flood Weighted Av Calcs'!$D$4</f>
        <v>1.2087426807861878E-2</v>
      </c>
      <c r="M614" s="112">
        <f>E614/'CGE-Flood Weighted Av Calcs'!$D$5</f>
        <v>1.2085600288729566E-2</v>
      </c>
      <c r="N614" s="112">
        <f>F614/'CGE-Flood Weighted Av Calcs'!$D$6</f>
        <v>4.1728786187015133E-3</v>
      </c>
      <c r="O614" s="112">
        <f>G614/'CGE-Flood Weighted Av Calcs'!$D$7</f>
        <v>1.8584298269093545E-2</v>
      </c>
      <c r="P614" s="112">
        <f>H614/'CGE-Flood Weighted Av Calcs'!$D$8</f>
        <v>4.4503574987231127E-2</v>
      </c>
      <c r="R614" s="1">
        <f t="shared" si="85"/>
        <v>0.19732446930522821</v>
      </c>
      <c r="S614" s="1">
        <f t="shared" si="86"/>
        <v>0.22889638439406473</v>
      </c>
      <c r="T614" s="1">
        <f t="shared" si="87"/>
        <v>5.5250851405463903</v>
      </c>
    </row>
    <row r="615" spans="1:20">
      <c r="A615">
        <v>562</v>
      </c>
      <c r="B615">
        <v>0.65326307509338122</v>
      </c>
      <c r="C615" s="1">
        <f t="shared" si="81"/>
        <v>35.710050632882783</v>
      </c>
      <c r="D615" s="1">
        <f t="shared" si="90"/>
        <v>114.8593860882338</v>
      </c>
      <c r="E615" s="1">
        <f t="shared" si="88"/>
        <v>137.70541178704138</v>
      </c>
      <c r="F615" s="1">
        <f t="shared" si="82"/>
        <v>7.3687057389779014</v>
      </c>
      <c r="G615" s="1">
        <f t="shared" si="89"/>
        <v>5.4952178753792982</v>
      </c>
      <c r="H615" s="1">
        <f t="shared" si="83"/>
        <v>2.1496455025718011</v>
      </c>
      <c r="I615" s="1">
        <f t="shared" si="84"/>
        <v>55.477907985058991</v>
      </c>
      <c r="K615" s="112">
        <f>C615/'CGE-Flood Weighted Av Calcs'!$D$3</f>
        <v>6.0193273951614432E-3</v>
      </c>
      <c r="L615" s="112">
        <f>D615/'CGE-Flood Weighted Av Calcs'!$D$4</f>
        <v>5.899979550529638E-3</v>
      </c>
      <c r="M615" s="112">
        <f>E615/'CGE-Flood Weighted Av Calcs'!$D$5</f>
        <v>5.8990880104441762E-3</v>
      </c>
      <c r="N615" s="112">
        <f>F615/'CGE-Flood Weighted Av Calcs'!$D$6</f>
        <v>2.0368188290636074E-3</v>
      </c>
      <c r="O615" s="112">
        <f>G615/'CGE-Flood Weighted Av Calcs'!$D$7</f>
        <v>9.0711597672119022E-3</v>
      </c>
      <c r="P615" s="112">
        <f>H615/'CGE-Flood Weighted Av Calcs'!$D$8</f>
        <v>2.1722587158033137E-2</v>
      </c>
      <c r="R615" s="1">
        <f t="shared" si="85"/>
        <v>9.6315812474060764E-2</v>
      </c>
      <c r="S615" s="1">
        <f t="shared" si="86"/>
        <v>0.11172634246991048</v>
      </c>
      <c r="T615" s="1">
        <f t="shared" si="87"/>
        <v>2.6968427492737019</v>
      </c>
    </row>
    <row r="616" spans="1:20">
      <c r="A616">
        <v>563</v>
      </c>
      <c r="B616">
        <v>0.39093069422551396</v>
      </c>
      <c r="C616" s="1">
        <f t="shared" si="81"/>
        <v>62.727371058041236</v>
      </c>
      <c r="D616" s="1">
        <f t="shared" si="90"/>
        <v>201.75909031114793</v>
      </c>
      <c r="E616" s="1">
        <f t="shared" si="88"/>
        <v>241.88984078090613</v>
      </c>
      <c r="F616" s="1">
        <f t="shared" si="82"/>
        <v>12.943681986291015</v>
      </c>
      <c r="G616" s="1">
        <f t="shared" si="89"/>
        <v>9.6527606263399868</v>
      </c>
      <c r="H616" s="1">
        <f t="shared" si="83"/>
        <v>3.776012878539722</v>
      </c>
      <c r="I616" s="1">
        <f t="shared" si="84"/>
        <v>97.451088923917752</v>
      </c>
      <c r="K616" s="112">
        <f>C616/'CGE-Flood Weighted Av Calcs'!$D$3</f>
        <v>1.0573398142663004E-2</v>
      </c>
      <c r="L616" s="112">
        <f>D616/'CGE-Flood Weighted Av Calcs'!$D$4</f>
        <v>1.0363754739684938E-2</v>
      </c>
      <c r="M616" s="112">
        <f>E616/'CGE-Flood Weighted Av Calcs'!$D$5</f>
        <v>1.0362188682937251E-2</v>
      </c>
      <c r="N616" s="112">
        <f>F616/'CGE-Flood Weighted Av Calcs'!$D$6</f>
        <v>3.5778243996951709E-3</v>
      </c>
      <c r="O616" s="112">
        <f>G616/'CGE-Flood Weighted Av Calcs'!$D$7</f>
        <v>1.5934169640205331E-2</v>
      </c>
      <c r="P616" s="112">
        <f>H616/'CGE-Flood Weighted Av Calcs'!$D$8</f>
        <v>3.8157346765223199E-2</v>
      </c>
      <c r="R616" s="1">
        <f t="shared" si="85"/>
        <v>0.16918591827069057</v>
      </c>
      <c r="S616" s="1">
        <f t="shared" si="86"/>
        <v>0.19625566519400103</v>
      </c>
      <c r="T616" s="1">
        <f t="shared" si="87"/>
        <v>4.7372057115793353</v>
      </c>
    </row>
    <row r="617" spans="1:20">
      <c r="A617">
        <v>564</v>
      </c>
      <c r="B617">
        <v>0.3229295529840398</v>
      </c>
      <c r="C617" s="1">
        <f t="shared" si="81"/>
        <v>69.730733037677055</v>
      </c>
      <c r="D617" s="1">
        <f t="shared" si="90"/>
        <v>224.28501349743249</v>
      </c>
      <c r="E617" s="1">
        <f t="shared" si="88"/>
        <v>268.89626693285936</v>
      </c>
      <c r="F617" s="1">
        <f t="shared" si="82"/>
        <v>14.388813334381634</v>
      </c>
      <c r="G617" s="1">
        <f t="shared" si="89"/>
        <v>10.73046842165766</v>
      </c>
      <c r="H617" s="1">
        <f t="shared" si="83"/>
        <v>4.1975957471045646</v>
      </c>
      <c r="I617" s="1">
        <f t="shared" si="84"/>
        <v>108.33127152255364</v>
      </c>
      <c r="K617" s="112">
        <f>C617/'CGE-Flood Weighted Av Calcs'!$D$3</f>
        <v>1.175389292984866E-2</v>
      </c>
      <c r="L617" s="112">
        <f>D617/'CGE-Flood Weighted Av Calcs'!$D$4</f>
        <v>1.1520843338902994E-2</v>
      </c>
      <c r="M617" s="112">
        <f>E617/'CGE-Flood Weighted Av Calcs'!$D$5</f>
        <v>1.1519102435639346E-2</v>
      </c>
      <c r="N617" s="112">
        <f>F617/'CGE-Flood Weighted Av Calcs'!$D$6</f>
        <v>3.9772799953625496E-3</v>
      </c>
      <c r="O617" s="112">
        <f>G617/'CGE-Flood Weighted Av Calcs'!$D$7</f>
        <v>1.771318183142287E-2</v>
      </c>
      <c r="P617" s="112">
        <f>H617/'CGE-Flood Weighted Av Calcs'!$D$8</f>
        <v>4.2417523894790421E-2</v>
      </c>
      <c r="R617" s="1">
        <f t="shared" si="85"/>
        <v>0.18807512417110006</v>
      </c>
      <c r="S617" s="1">
        <f t="shared" si="86"/>
        <v>0.21816714403847604</v>
      </c>
      <c r="T617" s="1">
        <f t="shared" si="87"/>
        <v>5.2661034767908017</v>
      </c>
    </row>
    <row r="618" spans="1:20">
      <c r="A618">
        <v>565</v>
      </c>
      <c r="B618">
        <v>0.56628460705652606</v>
      </c>
      <c r="C618" s="1">
        <f t="shared" si="81"/>
        <v>44.667866413256228</v>
      </c>
      <c r="D618" s="1">
        <f t="shared" si="90"/>
        <v>143.6717009125023</v>
      </c>
      <c r="E618" s="1">
        <f t="shared" si="88"/>
        <v>172.24861990035913</v>
      </c>
      <c r="F618" s="1">
        <f t="shared" si="82"/>
        <v>9.2171351693400965</v>
      </c>
      <c r="G618" s="1">
        <f t="shared" si="89"/>
        <v>6.8736855204331269</v>
      </c>
      <c r="H618" s="1">
        <f t="shared" si="83"/>
        <v>2.6888810416952023</v>
      </c>
      <c r="I618" s="1">
        <f t="shared" si="84"/>
        <v>69.39446287095582</v>
      </c>
      <c r="K618" s="112">
        <f>C618/'CGE-Flood Weighted Av Calcs'!$D$3</f>
        <v>7.5292671732350236E-3</v>
      </c>
      <c r="L618" s="112">
        <f>D618/'CGE-Flood Weighted Av Calcs'!$D$4</f>
        <v>7.3799810902907851E-3</v>
      </c>
      <c r="M618" s="112">
        <f>E618/'CGE-Flood Weighted Av Calcs'!$D$5</f>
        <v>7.3788659086336979E-3</v>
      </c>
      <c r="N618" s="112">
        <f>F618/'CGE-Flood Weighted Av Calcs'!$D$6</f>
        <v>2.5477519564433499E-3</v>
      </c>
      <c r="O618" s="112">
        <f>G618/'CGE-Flood Weighted Av Calcs'!$D$7</f>
        <v>1.1346647386772855E-2</v>
      </c>
      <c r="P618" s="112">
        <f>H618/'CGE-Flood Weighted Av Calcs'!$D$8</f>
        <v>2.7171667475370635E-2</v>
      </c>
      <c r="R618" s="1">
        <f t="shared" si="85"/>
        <v>0.12047649803985386</v>
      </c>
      <c r="S618" s="1">
        <f t="shared" si="86"/>
        <v>0.13975273772623048</v>
      </c>
      <c r="T618" s="1">
        <f t="shared" si="87"/>
        <v>3.3733419451159086</v>
      </c>
    </row>
    <row r="619" spans="1:20">
      <c r="A619">
        <v>566</v>
      </c>
      <c r="B619">
        <v>0.1801809511513971</v>
      </c>
      <c r="C619" s="1">
        <f t="shared" si="81"/>
        <v>84.432252930863342</v>
      </c>
      <c r="D619" s="1">
        <f t="shared" si="90"/>
        <v>271.57163223833163</v>
      </c>
      <c r="E619" s="1">
        <f t="shared" si="88"/>
        <v>325.58839743693665</v>
      </c>
      <c r="F619" s="1">
        <f t="shared" si="82"/>
        <v>17.422445941692061</v>
      </c>
      <c r="G619" s="1">
        <f t="shared" si="89"/>
        <v>12.99280223190126</v>
      </c>
      <c r="H619" s="1">
        <f t="shared" si="83"/>
        <v>5.0825862626390572</v>
      </c>
      <c r="I619" s="1">
        <f t="shared" si="84"/>
        <v>131.17104781577646</v>
      </c>
      <c r="K619" s="112">
        <f>C619/'CGE-Flood Weighted Av Calcs'!$D$3</f>
        <v>1.4231998109629058E-2</v>
      </c>
      <c r="L619" s="112">
        <f>D619/'CGE-Flood Weighted Av Calcs'!$D$4</f>
        <v>1.3949814040267175E-2</v>
      </c>
      <c r="M619" s="112">
        <f>E619/'CGE-Flood Weighted Av Calcs'!$D$5</f>
        <v>1.3947706097638709E-2</v>
      </c>
      <c r="N619" s="112">
        <f>F619/'CGE-Flood Weighted Av Calcs'!$D$6</f>
        <v>4.8158207423958637E-3</v>
      </c>
      <c r="O619" s="112">
        <f>G619/'CGE-Flood Weighted Av Calcs'!$D$7</f>
        <v>2.1447700080723123E-2</v>
      </c>
      <c r="P619" s="112">
        <f>H619/'CGE-Flood Weighted Av Calcs'!$D$8</f>
        <v>5.1360525698916297E-2</v>
      </c>
      <c r="R619" s="1">
        <f t="shared" si="85"/>
        <v>0.22772751356905635</v>
      </c>
      <c r="S619" s="1">
        <f t="shared" si="86"/>
        <v>0.26416391574010534</v>
      </c>
      <c r="T619" s="1">
        <f t="shared" si="87"/>
        <v>6.3763703799335785</v>
      </c>
    </row>
    <row r="620" spans="1:20">
      <c r="A620">
        <v>567</v>
      </c>
      <c r="B620">
        <v>0.35599596649302545</v>
      </c>
      <c r="C620" s="1">
        <f t="shared" si="81"/>
        <v>66.325259850846081</v>
      </c>
      <c r="D620" s="1">
        <f t="shared" si="90"/>
        <v>213.33149893648795</v>
      </c>
      <c r="E620" s="1">
        <f t="shared" si="88"/>
        <v>255.76405123416575</v>
      </c>
      <c r="F620" s="1">
        <f t="shared" si="82"/>
        <v>13.686099970188595</v>
      </c>
      <c r="G620" s="1">
        <f t="shared" si="89"/>
        <v>10.20641939907895</v>
      </c>
      <c r="H620" s="1">
        <f t="shared" si="83"/>
        <v>3.9925957543725716</v>
      </c>
      <c r="I620" s="1">
        <f t="shared" si="84"/>
        <v>103.04064536111591</v>
      </c>
      <c r="K620" s="112">
        <f>C620/'CGE-Flood Weighted Av Calcs'!$D$3</f>
        <v>1.1179862434688742E-2</v>
      </c>
      <c r="L620" s="112">
        <f>D620/'CGE-Flood Weighted Av Calcs'!$D$4</f>
        <v>1.095819439816813E-2</v>
      </c>
      <c r="M620" s="112">
        <f>E620/'CGE-Flood Weighted Av Calcs'!$D$5</f>
        <v>1.0956538516230477E-2</v>
      </c>
      <c r="N620" s="112">
        <f>F620/'CGE-Flood Weighted Av Calcs'!$D$6</f>
        <v>3.7830396684552154E-3</v>
      </c>
      <c r="O620" s="112">
        <f>G620/'CGE-Flood Weighted Av Calcs'!$D$7</f>
        <v>1.6848114691690109E-2</v>
      </c>
      <c r="P620" s="112">
        <f>H620/'CGE-Flood Weighted Av Calcs'!$D$8</f>
        <v>4.0345958976672883E-2</v>
      </c>
      <c r="R620" s="1">
        <f t="shared" si="85"/>
        <v>0.17889000930749294</v>
      </c>
      <c r="S620" s="1">
        <f t="shared" si="86"/>
        <v>0.20751241079669178</v>
      </c>
      <c r="T620" s="1">
        <f t="shared" si="87"/>
        <v>5.008920260609802</v>
      </c>
    </row>
    <row r="621" spans="1:20">
      <c r="A621">
        <v>568</v>
      </c>
      <c r="B621">
        <v>8.2346380886874848E-2</v>
      </c>
      <c r="C621" s="1">
        <f t="shared" si="81"/>
        <v>97.112231587837854</v>
      </c>
      <c r="D621" s="1">
        <f t="shared" si="90"/>
        <v>311.64532308244566</v>
      </c>
      <c r="E621" s="1">
        <f t="shared" si="88"/>
        <v>373.60988956043394</v>
      </c>
      <c r="F621" s="1">
        <f t="shared" si="82"/>
        <v>21.299357332315008</v>
      </c>
      <c r="G621" s="1">
        <f t="shared" si="89"/>
        <v>14.992327292042145</v>
      </c>
      <c r="H621" s="1">
        <f t="shared" si="83"/>
        <v>5.8151578322709563</v>
      </c>
      <c r="I621" s="1">
        <f t="shared" si="84"/>
        <v>172.83424455143773</v>
      </c>
      <c r="K621" s="112">
        <f>C621/'CGE-Flood Weighted Av Calcs'!$D$3</f>
        <v>1.636934996288314E-2</v>
      </c>
      <c r="L621" s="112">
        <f>D621/'CGE-Flood Weighted Av Calcs'!$D$4</f>
        <v>1.6008278433528804E-2</v>
      </c>
      <c r="M621" s="112">
        <f>E621/'CGE-Flood Weighted Av Calcs'!$D$5</f>
        <v>1.6004872949348603E-2</v>
      </c>
      <c r="N621" s="112">
        <f>F621/'CGE-Flood Weighted Av Calcs'!$D$6</f>
        <v>5.8874561691251324E-3</v>
      </c>
      <c r="O621" s="112">
        <f>G621/'CGE-Flood Weighted Av Calcs'!$D$7</f>
        <v>2.4748390188088523E-2</v>
      </c>
      <c r="P621" s="112">
        <f>H621/'CGE-Flood Weighted Av Calcs'!$D$8</f>
        <v>5.876330432068793E-2</v>
      </c>
      <c r="R621" s="1">
        <f t="shared" si="85"/>
        <v>0.2617690794087501</v>
      </c>
      <c r="S621" s="1">
        <f t="shared" si="86"/>
        <v>0.30765361911312517</v>
      </c>
      <c r="T621" s="1">
        <f t="shared" si="87"/>
        <v>7.2942269852187529</v>
      </c>
    </row>
    <row r="622" spans="1:20">
      <c r="A622">
        <v>569</v>
      </c>
      <c r="B622">
        <v>0.25781222658260661</v>
      </c>
      <c r="C622" s="1">
        <f t="shared" si="81"/>
        <v>76.437094131175769</v>
      </c>
      <c r="D622" s="1">
        <f t="shared" si="90"/>
        <v>245.85564989905035</v>
      </c>
      <c r="E622" s="1">
        <f t="shared" si="88"/>
        <v>294.75739565168703</v>
      </c>
      <c r="F622" s="1">
        <f t="shared" si="82"/>
        <v>15.772659075328789</v>
      </c>
      <c r="G622" s="1">
        <f t="shared" si="89"/>
        <v>11.76247242911788</v>
      </c>
      <c r="H622" s="1">
        <f t="shared" si="83"/>
        <v>4.6012999902452094</v>
      </c>
      <c r="I622" s="1">
        <f t="shared" si="84"/>
        <v>118.75004374678294</v>
      </c>
      <c r="K622" s="112">
        <f>C622/'CGE-Flood Weighted Av Calcs'!$D$3</f>
        <v>1.2884324904503154E-2</v>
      </c>
      <c r="L622" s="112">
        <f>D622/'CGE-Flood Weighted Av Calcs'!$D$4</f>
        <v>1.2628861742933909E-2</v>
      </c>
      <c r="M622" s="112">
        <f>E622/'CGE-Flood Weighted Av Calcs'!$D$5</f>
        <v>1.262695340810306E-2</v>
      </c>
      <c r="N622" s="112">
        <f>F622/'CGE-Flood Weighted Av Calcs'!$D$6</f>
        <v>4.3597953462973819E-3</v>
      </c>
      <c r="O622" s="112">
        <f>G622/'CGE-Flood Weighted Av Calcs'!$D$7</f>
        <v>1.9416749086511632E-2</v>
      </c>
      <c r="P622" s="112">
        <f>H622/'CGE-Flood Weighted Av Calcs'!$D$8</f>
        <v>4.6497034026669729E-2</v>
      </c>
      <c r="R622" s="1">
        <f t="shared" si="85"/>
        <v>0.2061632703937204</v>
      </c>
      <c r="S622" s="1">
        <f t="shared" si="86"/>
        <v>0.23914939365671564</v>
      </c>
      <c r="T622" s="1">
        <f t="shared" si="87"/>
        <v>5.7725715710241712</v>
      </c>
    </row>
    <row r="623" spans="1:20">
      <c r="A623">
        <v>570</v>
      </c>
      <c r="B623">
        <v>0.10216376615654776</v>
      </c>
      <c r="C623" s="1">
        <f t="shared" si="81"/>
        <v>92.467156127721765</v>
      </c>
      <c r="D623" s="1">
        <f t="shared" si="90"/>
        <v>297.41545021431989</v>
      </c>
      <c r="E623" s="1">
        <f t="shared" si="88"/>
        <v>356.57266191662791</v>
      </c>
      <c r="F623" s="1">
        <f t="shared" si="82"/>
        <v>19.080433994061366</v>
      </c>
      <c r="G623" s="1">
        <f t="shared" si="89"/>
        <v>14.22924807534851</v>
      </c>
      <c r="H623" s="1">
        <f t="shared" si="83"/>
        <v>5.5662650369508979</v>
      </c>
      <c r="I623" s="1">
        <f t="shared" si="84"/>
        <v>143.65379741495235</v>
      </c>
      <c r="K623" s="112">
        <f>C623/'CGE-Flood Weighted Av Calcs'!$D$3</f>
        <v>1.5586370676263972E-2</v>
      </c>
      <c r="L623" s="112">
        <f>D623/'CGE-Flood Weighted Av Calcs'!$D$4</f>
        <v>1.5277332867930147E-2</v>
      </c>
      <c r="M623" s="112">
        <f>E623/'CGE-Flood Weighted Av Calcs'!$D$5</f>
        <v>1.5275024325242151E-2</v>
      </c>
      <c r="N623" s="112">
        <f>F623/'CGE-Flood Weighted Av Calcs'!$D$6</f>
        <v>5.2741130671341181E-3</v>
      </c>
      <c r="O623" s="112">
        <f>G623/'CGE-Flood Weighted Av Calcs'!$D$7</f>
        <v>2.3488747049882814E-2</v>
      </c>
      <c r="P623" s="112">
        <f>H623/'CGE-Flood Weighted Av Calcs'!$D$8</f>
        <v>5.6248194069775347E-2</v>
      </c>
      <c r="R623" s="1">
        <f t="shared" si="85"/>
        <v>0.24939895384540339</v>
      </c>
      <c r="S623" s="1">
        <f t="shared" si="86"/>
        <v>0.28930278646066793</v>
      </c>
      <c r="T623" s="1">
        <f t="shared" si="87"/>
        <v>6.9831707076712952</v>
      </c>
    </row>
    <row r="624" spans="1:20">
      <c r="A624">
        <v>571</v>
      </c>
      <c r="B624">
        <v>0.45016747210904606</v>
      </c>
      <c r="C624" s="1">
        <f t="shared" si="81"/>
        <v>56.626641122458359</v>
      </c>
      <c r="D624" s="1">
        <f t="shared" si="90"/>
        <v>182.13643274913619</v>
      </c>
      <c r="E624" s="1">
        <f t="shared" si="88"/>
        <v>218.36415226767338</v>
      </c>
      <c r="F624" s="1">
        <f t="shared" si="82"/>
        <v>11.684807162773161</v>
      </c>
      <c r="G624" s="1">
        <f t="shared" si="89"/>
        <v>8.7139537750272069</v>
      </c>
      <c r="H624" s="1">
        <f t="shared" si="83"/>
        <v>3.4087659428449633</v>
      </c>
      <c r="I624" s="1">
        <f t="shared" si="84"/>
        <v>87.973204462552616</v>
      </c>
      <c r="K624" s="112">
        <f>C624/'CGE-Flood Weighted Av Calcs'!$D$3</f>
        <v>9.5450520557515319E-3</v>
      </c>
      <c r="L624" s="112">
        <f>D624/'CGE-Flood Weighted Av Calcs'!$D$4</f>
        <v>9.3557981217209582E-3</v>
      </c>
      <c r="M624" s="112">
        <f>E624/'CGE-Flood Weighted Av Calcs'!$D$5</f>
        <v>9.3543843763027653E-3</v>
      </c>
      <c r="N624" s="112">
        <f>F624/'CGE-Flood Weighted Av Calcs'!$D$6</f>
        <v>3.2298528515287014E-3</v>
      </c>
      <c r="O624" s="112">
        <f>G624/'CGE-Flood Weighted Av Calcs'!$D$7</f>
        <v>1.4384446384105395E-2</v>
      </c>
      <c r="P624" s="112">
        <f>H624/'CGE-Flood Weighted Av Calcs'!$D$8</f>
        <v>3.4446244837204938E-2</v>
      </c>
      <c r="R624" s="1">
        <f t="shared" si="85"/>
        <v>0.15273125774748719</v>
      </c>
      <c r="S624" s="1">
        <f t="shared" si="86"/>
        <v>0.17716825898708516</v>
      </c>
      <c r="T624" s="1">
        <f t="shared" si="87"/>
        <v>4.2764752169296418</v>
      </c>
    </row>
    <row r="625" spans="1:20">
      <c r="A625">
        <v>572</v>
      </c>
      <c r="B625">
        <v>0.84022961556689479</v>
      </c>
      <c r="C625" s="1">
        <f t="shared" si="81"/>
        <v>16.454574370116148</v>
      </c>
      <c r="D625" s="1">
        <f t="shared" si="90"/>
        <v>52.925220687152944</v>
      </c>
      <c r="E625" s="1">
        <f t="shared" si="88"/>
        <v>63.452274619035506</v>
      </c>
      <c r="F625" s="1">
        <f t="shared" si="82"/>
        <v>3.3953722956042007</v>
      </c>
      <c r="G625" s="1">
        <f t="shared" si="89"/>
        <v>2.5321014562538231</v>
      </c>
      <c r="H625" s="1">
        <f t="shared" si="83"/>
        <v>0.99051950822165313</v>
      </c>
      <c r="I625" s="1">
        <f t="shared" si="84"/>
        <v>25.563261509296808</v>
      </c>
      <c r="K625" s="112">
        <f>C625/'CGE-Flood Weighted Av Calcs'!$D$3</f>
        <v>2.7736020679443598E-3</v>
      </c>
      <c r="L625" s="112">
        <f>D625/'CGE-Flood Weighted Av Calcs'!$D$4</f>
        <v>2.7186086431072978E-3</v>
      </c>
      <c r="M625" s="112">
        <f>E625/'CGE-Flood Weighted Av Calcs'!$D$5</f>
        <v>2.7181978368390294E-3</v>
      </c>
      <c r="N625" s="112">
        <f>F625/'CGE-Flood Weighted Av Calcs'!$D$6</f>
        <v>9.3853092637226571E-4</v>
      </c>
      <c r="O625" s="112">
        <f>G625/'CGE-Flood Weighted Av Calcs'!$D$7</f>
        <v>4.1798336985652178E-3</v>
      </c>
      <c r="P625" s="112">
        <f>H625/'CGE-Flood Weighted Av Calcs'!$D$8</f>
        <v>1.0009392861909005E-2</v>
      </c>
      <c r="R625" s="1">
        <f t="shared" si="85"/>
        <v>4.4380662342529215E-2</v>
      </c>
      <c r="S625" s="1">
        <f t="shared" si="86"/>
        <v>5.1481568317333887E-2</v>
      </c>
      <c r="T625" s="1">
        <f t="shared" si="87"/>
        <v>1.2426585455908192</v>
      </c>
    </row>
    <row r="626" spans="1:20">
      <c r="A626">
        <v>573</v>
      </c>
      <c r="B626">
        <v>0.9307615285322558</v>
      </c>
      <c r="C626" s="1">
        <f t="shared" si="81"/>
        <v>7.1307932448280269</v>
      </c>
      <c r="D626" s="1">
        <f t="shared" si="90"/>
        <v>22.935798743138093</v>
      </c>
      <c r="E626" s="1">
        <f t="shared" si="88"/>
        <v>27.497827719210534</v>
      </c>
      <c r="F626" s="1">
        <f t="shared" si="82"/>
        <v>1.4714265641013782</v>
      </c>
      <c r="G626" s="1">
        <f t="shared" si="89"/>
        <v>1.0973174725361492</v>
      </c>
      <c r="H626" s="1">
        <f t="shared" si="83"/>
        <v>0.42925387550133731</v>
      </c>
      <c r="I626" s="1">
        <f t="shared" si="84"/>
        <v>11.078155434839033</v>
      </c>
      <c r="K626" s="112">
        <f>C626/'CGE-Flood Weighted Av Calcs'!$D$3</f>
        <v>1.2019747484844287E-3</v>
      </c>
      <c r="L626" s="112">
        <f>D626/'CGE-Flood Weighted Av Calcs'!$D$4</f>
        <v>1.1781426679020042E-3</v>
      </c>
      <c r="M626" s="112">
        <f>E626/'CGE-Flood Weighted Av Calcs'!$D$5</f>
        <v>1.1779646399265129E-3</v>
      </c>
      <c r="N626" s="112">
        <f>F626/'CGE-Flood Weighted Av Calcs'!$D$6</f>
        <v>4.0672398077898657E-4</v>
      </c>
      <c r="O626" s="112">
        <f>G626/'CGE-Flood Weighted Av Calcs'!$D$7</f>
        <v>1.8113826120209136E-3</v>
      </c>
      <c r="P626" s="112">
        <f>H626/'CGE-Flood Weighted Av Calcs'!$D$8</f>
        <v>4.3376941511266013E-3</v>
      </c>
      <c r="R626" s="1">
        <f t="shared" si="85"/>
        <v>1.9232908741040028E-2</v>
      </c>
      <c r="S626" s="1">
        <f t="shared" si="86"/>
        <v>2.2310174139606453E-2</v>
      </c>
      <c r="T626" s="1">
        <f t="shared" si="87"/>
        <v>0.53852144474912222</v>
      </c>
    </row>
    <row r="627" spans="1:20">
      <c r="A627">
        <v>574</v>
      </c>
      <c r="B627">
        <v>0.639264530093267</v>
      </c>
      <c r="C627" s="1">
        <f t="shared" si="81"/>
        <v>37.151745228505654</v>
      </c>
      <c r="D627" s="1">
        <f t="shared" si="90"/>
        <v>119.49651634274781</v>
      </c>
      <c r="E627" s="1">
        <f t="shared" si="88"/>
        <v>143.26488718522492</v>
      </c>
      <c r="F627" s="1">
        <f t="shared" si="82"/>
        <v>7.6661968668912674</v>
      </c>
      <c r="G627" s="1">
        <f t="shared" si="89"/>
        <v>5.7170721089157066</v>
      </c>
      <c r="H627" s="1">
        <f t="shared" si="83"/>
        <v>2.2364314983527485</v>
      </c>
      <c r="I627" s="1">
        <f t="shared" si="84"/>
        <v>57.717675185077255</v>
      </c>
      <c r="K627" s="112">
        <f>C627/'CGE-Flood Weighted Av Calcs'!$D$3</f>
        <v>6.2623411019775846E-3</v>
      </c>
      <c r="L627" s="112">
        <f>D627/'CGE-Flood Weighted Av Calcs'!$D$4</f>
        <v>6.1381749179831788E-3</v>
      </c>
      <c r="M627" s="112">
        <f>E627/'CGE-Flood Weighted Av Calcs'!$D$5</f>
        <v>6.1372473844308858E-3</v>
      </c>
      <c r="N627" s="112">
        <f>F627/'CGE-Flood Weighted Av Calcs'!$D$6</f>
        <v>2.1190497597422643E-3</v>
      </c>
      <c r="O627" s="112">
        <f>G627/'CGE-Flood Weighted Av Calcs'!$D$7</f>
        <v>9.4373827711182207E-3</v>
      </c>
      <c r="P627" s="112">
        <f>H627/'CGE-Flood Weighted Av Calcs'!$D$8</f>
        <v>2.2599576575680319E-2</v>
      </c>
      <c r="R627" s="1">
        <f t="shared" si="85"/>
        <v>0.10020429719631471</v>
      </c>
      <c r="S627" s="1">
        <f t="shared" si="86"/>
        <v>0.11623698474772506</v>
      </c>
      <c r="T627" s="1">
        <f t="shared" si="87"/>
        <v>2.8057203214968123</v>
      </c>
    </row>
    <row r="628" spans="1:20">
      <c r="A628">
        <v>575</v>
      </c>
      <c r="B628">
        <v>0.40815722857091541</v>
      </c>
      <c r="C628" s="1">
        <f t="shared" si="81"/>
        <v>60.953229426402061</v>
      </c>
      <c r="D628" s="1">
        <f t="shared" si="90"/>
        <v>196.05266270793391</v>
      </c>
      <c r="E628" s="1">
        <f t="shared" si="88"/>
        <v>235.04838019422075</v>
      </c>
      <c r="F628" s="1">
        <f t="shared" si="82"/>
        <v>12.577591000948608</v>
      </c>
      <c r="G628" s="1">
        <f t="shared" si="89"/>
        <v>9.3797479972662892</v>
      </c>
      <c r="H628" s="1">
        <f t="shared" si="83"/>
        <v>3.6692144979217254</v>
      </c>
      <c r="I628" s="1">
        <f t="shared" si="84"/>
        <v>94.694843428653513</v>
      </c>
      <c r="K628" s="112">
        <f>C628/'CGE-Flood Weighted Av Calcs'!$D$3</f>
        <v>1.0274346779336498E-2</v>
      </c>
      <c r="L628" s="112">
        <f>D628/'CGE-Flood Weighted Av Calcs'!$D$4</f>
        <v>1.0070632798917491E-2</v>
      </c>
      <c r="M628" s="112">
        <f>E628/'CGE-Flood Weighted Av Calcs'!$D$5</f>
        <v>1.0069111035536904E-2</v>
      </c>
      <c r="N628" s="112">
        <f>F628/'CGE-Flood Weighted Av Calcs'!$D$6</f>
        <v>3.4766314577445142E-3</v>
      </c>
      <c r="O628" s="112">
        <f>G628/'CGE-Flood Weighted Av Calcs'!$D$7</f>
        <v>1.5483497577157579E-2</v>
      </c>
      <c r="P628" s="112">
        <f>H628/'CGE-Flood Weighted Av Calcs'!$D$8</f>
        <v>3.7078128294765769E-2</v>
      </c>
      <c r="R628" s="1">
        <f t="shared" si="85"/>
        <v>0.16440076984141239</v>
      </c>
      <c r="S628" s="1">
        <f t="shared" si="86"/>
        <v>0.19070489301603835</v>
      </c>
      <c r="T628" s="1">
        <f t="shared" si="87"/>
        <v>4.6032215555595464</v>
      </c>
    </row>
    <row r="629" spans="1:20">
      <c r="A629">
        <v>576</v>
      </c>
      <c r="B629">
        <v>0.3114295065169097</v>
      </c>
      <c r="C629" s="1">
        <f t="shared" si="81"/>
        <v>70.915110045497386</v>
      </c>
      <c r="D629" s="1">
        <f t="shared" si="90"/>
        <v>228.09449608298766</v>
      </c>
      <c r="E629" s="1">
        <f t="shared" si="88"/>
        <v>273.46347198248816</v>
      </c>
      <c r="F629" s="1">
        <f t="shared" si="82"/>
        <v>14.633207433520846</v>
      </c>
      <c r="G629" s="1">
        <f t="shared" si="89"/>
        <v>10.912725505845867</v>
      </c>
      <c r="H629" s="1">
        <f t="shared" si="83"/>
        <v>4.26889194139968</v>
      </c>
      <c r="I629" s="1">
        <f t="shared" si="84"/>
        <v>110.17127895729445</v>
      </c>
      <c r="K629" s="112">
        <f>C629/'CGE-Flood Weighted Av Calcs'!$D$3</f>
        <v>1.1953532886752207E-2</v>
      </c>
      <c r="L629" s="112">
        <f>D629/'CGE-Flood Weighted Av Calcs'!$D$4</f>
        <v>1.1716524946809278E-2</v>
      </c>
      <c r="M629" s="112">
        <f>E629/'CGE-Flood Weighted Av Calcs'!$D$5</f>
        <v>1.1714754474291038E-2</v>
      </c>
      <c r="N629" s="112">
        <f>F629/'CGE-Flood Weighted Av Calcs'!$D$6</f>
        <v>4.0448341250118947E-3</v>
      </c>
      <c r="O629" s="112">
        <f>G629/'CGE-Flood Weighted Av Calcs'!$D$7</f>
        <v>1.801404035366359E-2</v>
      </c>
      <c r="P629" s="112">
        <f>H629/'CGE-Flood Weighted Av Calcs'!$D$8</f>
        <v>4.3137985846660544E-2</v>
      </c>
      <c r="R629" s="1">
        <f t="shared" si="85"/>
        <v>0.19126958152308063</v>
      </c>
      <c r="S629" s="1">
        <f t="shared" si="86"/>
        <v>0.22187271456677354</v>
      </c>
      <c r="T629" s="1">
        <f t="shared" si="87"/>
        <v>5.3555482826462582</v>
      </c>
    </row>
    <row r="630" spans="1:20">
      <c r="A630">
        <v>577</v>
      </c>
      <c r="B630">
        <v>0.90998722772318008</v>
      </c>
      <c r="C630" s="1">
        <f t="shared" si="81"/>
        <v>9.2703154025982855</v>
      </c>
      <c r="D630" s="1">
        <f t="shared" si="90"/>
        <v>29.817452429100001</v>
      </c>
      <c r="E630" s="1">
        <f t="shared" si="88"/>
        <v>35.748271909058701</v>
      </c>
      <c r="F630" s="1">
        <f t="shared" si="82"/>
        <v>1.9129131742635828</v>
      </c>
      <c r="G630" s="1">
        <f t="shared" si="89"/>
        <v>1.4265564458162068</v>
      </c>
      <c r="H630" s="1">
        <f t="shared" si="83"/>
        <v>0.55804714525572052</v>
      </c>
      <c r="I630" s="1">
        <f t="shared" si="84"/>
        <v>14.402043564291148</v>
      </c>
      <c r="K630" s="112">
        <f>C630/'CGE-Flood Weighted Av Calcs'!$D$3</f>
        <v>1.5626150754674039E-3</v>
      </c>
      <c r="L630" s="112">
        <f>D630/'CGE-Flood Weighted Av Calcs'!$D$4</f>
        <v>1.5316324209276074E-3</v>
      </c>
      <c r="M630" s="112">
        <f>E630/'CGE-Flood Weighted Av Calcs'!$D$5</f>
        <v>1.5314009774644991E-3</v>
      </c>
      <c r="N630" s="112">
        <f>F630/'CGE-Flood Weighted Av Calcs'!$D$6</f>
        <v>5.2875738423018384E-4</v>
      </c>
      <c r="O630" s="112">
        <f>G630/'CGE-Flood Weighted Av Calcs'!$D$7</f>
        <v>2.3548695848663844E-3</v>
      </c>
      <c r="P630" s="112">
        <f>H630/'CGE-Flood Weighted Av Calcs'!$D$8</f>
        <v>5.6391752670875879E-3</v>
      </c>
      <c r="R630" s="1">
        <f t="shared" si="85"/>
        <v>2.5003547854672181E-2</v>
      </c>
      <c r="S630" s="1">
        <f t="shared" si="86"/>
        <v>2.9004115511419737E-2</v>
      </c>
      <c r="T630" s="1">
        <f t="shared" si="87"/>
        <v>0.70009933993082196</v>
      </c>
    </row>
    <row r="631" spans="1:20">
      <c r="A631">
        <v>578</v>
      </c>
      <c r="B631">
        <v>0.20309349409405919</v>
      </c>
      <c r="C631" s="1">
        <f t="shared" ref="C631:C694" si="91">IF($B631&lt;=0.005,$F$5,IF(B631&lt;=0.01,$F$5+($B631-0.005)*SLOPE($E$5:$F$5,$E$4:$F$4),IF($B631&lt;=0.04,$E$5+($B631-0.01)*SLOPE($D$5:$E$5,$D$4:$E$4),IF($B631&lt;=0.1,$D$5+($B631-0.04)*SLOPE($C$5:$D$5,$C$4:$D$4),IF($B631&lt;=1,$C$5+($B631-0.1)*SLOPE($B$5:$C$5,$B$4:$C$4),)))))</f>
        <v>82.072515591579617</v>
      </c>
      <c r="D631" s="1">
        <f t="shared" si="90"/>
        <v>263.98166870380692</v>
      </c>
      <c r="E631" s="1">
        <f t="shared" si="88"/>
        <v>316.48875752446617</v>
      </c>
      <c r="F631" s="1">
        <f t="shared" ref="F631:F694" si="92">IF($B631&lt;=0.005,$F$26,IF($B631&lt;=0.01,$F$26+($B631-0.005)*SLOPE($E$26:$F$26,$E$25:$F$25),IF($B631&lt;=0.04,$E$26+($B631-0.01)*SLOPE($D$26:$E$26,$D$25:$E$25),IF($B631&lt;=0.1,$D$26+($B631-0.04)*SLOPE($C$26:$D$26,$C$25:$D$25),IF($B631&lt;=1,$C$26+($B631-0.1)*SLOPE($B$26:$C$26,$B$25:$C$25),)))))</f>
        <v>16.935518318619781</v>
      </c>
      <c r="G631" s="1">
        <f t="shared" si="89"/>
        <v>12.629675588891372</v>
      </c>
      <c r="H631" s="1">
        <f t="shared" ref="H631:H694" si="93">IF($B631&lt;=0.005,$F$40,IF($B631&lt;=0.01,$F$40+($B631-0.005)*SLOPE($E$40:$F$40,$E$39:$F$39),IF($B631&lt;=0.04,$E$40+($B631-0.01)*SLOPE($D$40:$E$40,$D$39:$E$39),IF($B631&lt;=0.1,$D$40+($B631-0.04)*SLOPE($C$40:$D$40,$C$39:$D$39),IF($B631&lt;=1,$C$40+($B631-0.1)*SLOPE($B$40:$C$40,$B$39:$C$39),)))))</f>
        <v>4.9405366528305787</v>
      </c>
      <c r="I631" s="1">
        <f t="shared" ref="I631:I694" si="94">IF($B631&lt;=0.005,$F$47,IF($B631&lt;=0.01,$F$47+($B631-0.005)*SLOPE($E$47:$F$47,$E$46:$F$46),IF($B631&lt;=0.04,$E$47+($B631-0.01)*SLOPE($D$47:$E$47,$D$46:$E$46),IF($B631&lt;=0.1,$D$47+($B631-0.04)*SLOPE($C$47:$D$47,$C$46:$D$46),IF($B631&lt;=1,$C$47+($B631-0.1)*SLOPE($B$47:$C$47,$B$46:$C$46),)))))</f>
        <v>127.50504094495052</v>
      </c>
      <c r="K631" s="112">
        <f>C631/'CGE-Flood Weighted Av Calcs'!$D$3</f>
        <v>1.383423805720683E-2</v>
      </c>
      <c r="L631" s="112">
        <f>D631/'CGE-Flood Weighted Av Calcs'!$D$4</f>
        <v>1.3559940550881104E-2</v>
      </c>
      <c r="M631" s="112">
        <f>E631/'CGE-Flood Weighted Av Calcs'!$D$5</f>
        <v>1.3557891521650741E-2</v>
      </c>
      <c r="N631" s="112">
        <f>F631/'CGE-Flood Weighted Av Calcs'!$D$6</f>
        <v>4.6812267734959228E-3</v>
      </c>
      <c r="O631" s="112">
        <f>G631/'CGE-Flood Weighted Av Calcs'!$D$7</f>
        <v>2.0848273475777699E-2</v>
      </c>
      <c r="P631" s="112">
        <f>H631/'CGE-Flood Weighted Av Calcs'!$D$8</f>
        <v>4.9925086680651376E-2</v>
      </c>
      <c r="R631" s="1">
        <f t="shared" ref="R631:R694" si="95">IF($B631&lt;=0.005,$F$13,IF($B631&lt;=0.01,$F$13+($B631-0.005)*SLOPE($E$13:$F$13,$E$10:$F$10),IF($B631&lt;=0.04,$E$13+($B631-0.01)*SLOPE($D$13:$E$13,$D$10:$E$10),IF($B631&lt;=0.1,$D$13+($B631-0.04)*SLOPE($C$13:$D$13,$C$10:$D$10),IF($B631&lt;=1,$C$13+($B631-0.1)*SLOPE($B$13:$C$13,$B$10:$C$10),)))))</f>
        <v>0.22136291830720578</v>
      </c>
      <c r="S631" s="1">
        <f t="shared" ref="S631:S694" si="96">IF($B631&lt;=0.005,$F$21,IF($B631&lt;=0.01,$F$21+($B631-0.005)*SLOPE($E$21:$F$21,$E$18:$F$18),IF($B631&lt;=0.04,$E$21+($B631-0.01)*SLOPE($D$21:$E$21,$D$18:$E$18),IF($B631&lt;=0.1,$D$21+($B631-0.04)*SLOPE($C$21:$D$21,$C$18:$D$18),IF($B631&lt;=1,$C$21+($B631-0.1)*SLOPE($B$21:$C$21,$B$18:$C$18),)))))</f>
        <v>0.25678098523635867</v>
      </c>
      <c r="T631" s="1">
        <f t="shared" ref="T631:T694" si="97">IF($B631&lt;=0.005,$F$14,IF($B631&lt;=0.01,$F$14+($B631-0.005)*SLOPE($E$14:$F$14,$E$10:$F$10),IF($B631&lt;=0.04,$E$14+($B631-0.01)*SLOPE($D$14:$E$14,$D$10:$E$10),IF($B631&lt;=0.1,$D$14+($B631-0.04)*SLOPE($C$14:$D$14,$C$10:$D$10),IF($B631&lt;=1,$C$14+($B631-0.1)*SLOPE($B$14:$C$14,$B$10:$C$10),)))))</f>
        <v>6.1981617126017623</v>
      </c>
    </row>
    <row r="632" spans="1:20">
      <c r="A632">
        <v>579</v>
      </c>
      <c r="B632">
        <v>0.80595182523285125</v>
      </c>
      <c r="C632" s="1">
        <f t="shared" si="91"/>
        <v>19.984805910185585</v>
      </c>
      <c r="D632" s="1">
        <f t="shared" si="90"/>
        <v>64.280013532736831</v>
      </c>
      <c r="E632" s="1">
        <f t="shared" ref="E632:E695" si="98">IF($B632&lt;=0.005,$F$19,IF($B632&lt;=0.01,$F$19+($B632-0.005)*SLOPE($E$19:$F$19,$E$18:$F$18),IF($B632&lt;=0.04,$E$19+($B632-0.01)*SLOPE($D$19:$E$19,$D$18:$E$18),IF($B632&lt;=0.1,$D$19+($B632-0.04)*SLOPE($C$19:$D$19,$C$18:$D$18),IF($B632&lt;=1,$C$19+($B632-0.1)*SLOPE($B$19:$C$19,$B$18:$C$18),)))))</f>
        <v>77.065584578367236</v>
      </c>
      <c r="F632" s="1">
        <f t="shared" si="92"/>
        <v>4.1238293251575779</v>
      </c>
      <c r="G632" s="1">
        <f t="shared" ref="G632:G695" si="99">IF($B632&lt;=0.005,$F$33,IF($B632&lt;=0.01,$F$33+($B632-0.005)*SLOPE($E$33:$F$33,$E$32:$F$32),IF($B632&lt;=0.04,$E$33+($B632-0.01)*SLOPE($D$33:$E$33,$D$32:$E$32),IF($B632&lt;=0.1,$D$33+($B632-0.04)*SLOPE($C$33:$D$33,$C$32:$D$32),IF($B632&lt;=1,$C$33+($B632-0.1)*SLOPE($B$33:$C$33,$B$32:$C$32),)))))</f>
        <v>3.0753488367365023</v>
      </c>
      <c r="H632" s="1">
        <f t="shared" si="93"/>
        <v>1.2030296060415502</v>
      </c>
      <c r="I632" s="1">
        <f t="shared" si="94"/>
        <v>31.047707962743772</v>
      </c>
      <c r="K632" s="112">
        <f>C632/'CGE-Flood Weighted Av Calcs'!$D$3</f>
        <v>3.3686619752757623E-3</v>
      </c>
      <c r="L632" s="112">
        <f>D632/'CGE-Flood Weighted Av Calcs'!$D$4</f>
        <v>3.3018700366340037E-3</v>
      </c>
      <c r="M632" s="112">
        <f>E632/'CGE-Flood Weighted Av Calcs'!$D$5</f>
        <v>3.3013710943123513E-3</v>
      </c>
      <c r="N632" s="112">
        <f>F632/'CGE-Flood Weighted Av Calcs'!$D$6</f>
        <v>1.1398871816654605E-3</v>
      </c>
      <c r="O632" s="112">
        <f>G632/'CGE-Flood Weighted Av Calcs'!$D$7</f>
        <v>5.0765922790678326E-3</v>
      </c>
      <c r="P632" s="112">
        <f>H632/'CGE-Flood Weighted Av Calcs'!$D$8</f>
        <v>1.2156848857017051E-2</v>
      </c>
      <c r="R632" s="1">
        <f t="shared" si="95"/>
        <v>5.3902270768652422E-2</v>
      </c>
      <c r="S632" s="1">
        <f t="shared" si="96"/>
        <v>6.2526634091636807E-2</v>
      </c>
      <c r="T632" s="1">
        <f t="shared" si="97"/>
        <v>1.5092635815222684</v>
      </c>
    </row>
    <row r="633" spans="1:20">
      <c r="A633">
        <v>580</v>
      </c>
      <c r="B633">
        <v>0.31045116101934611</v>
      </c>
      <c r="C633" s="1">
        <f t="shared" si="91"/>
        <v>71.01586876124091</v>
      </c>
      <c r="D633" s="1">
        <f t="shared" ref="D633:D696" si="100">IF($B633&lt;=0.005,$F$11,IF($B633&lt;=0.01,$F$11+($B633-0.005)*SLOPE($E$11:$F$11,$E$10:$F$10),IF($B633&lt;=0.04,$E$11+($B633-0.01)*SLOPE($D$11:$E$11,$D$10:$E$10),IF($B633&lt;=0.1,$D$11+($B633-0.04)*SLOPE($C$11:$D$11,$C$10:$D$10),IF($B633&lt;=1,$C$11+($B633-0.1)*SLOPE($B$11:$C$11,$B$10:$C$10),)))))</f>
        <v>228.41858087223417</v>
      </c>
      <c r="E633" s="1">
        <f t="shared" si="98"/>
        <v>273.85201862962788</v>
      </c>
      <c r="F633" s="1">
        <f t="shared" si="92"/>
        <v>14.653998816165027</v>
      </c>
      <c r="G633" s="1">
        <f t="shared" si="99"/>
        <v>10.928230695170472</v>
      </c>
      <c r="H633" s="1">
        <f t="shared" si="93"/>
        <v>4.2749573352119059</v>
      </c>
      <c r="I633" s="1">
        <f t="shared" si="94"/>
        <v>110.32781423690462</v>
      </c>
      <c r="K633" s="112">
        <f>C633/'CGE-Flood Weighted Av Calcs'!$D$3</f>
        <v>1.1970516892297632E-2</v>
      </c>
      <c r="L633" s="112">
        <f>D633/'CGE-Flood Weighted Av Calcs'!$D$4</f>
        <v>1.1733172203026748E-2</v>
      </c>
      <c r="M633" s="112">
        <f>E633/'CGE-Flood Weighted Av Calcs'!$D$5</f>
        <v>1.1731399214958055E-2</v>
      </c>
      <c r="N633" s="112">
        <f>F633/'CGE-Flood Weighted Av Calcs'!$D$6</f>
        <v>4.0505811694932512E-3</v>
      </c>
      <c r="O633" s="112">
        <f>G633/'CGE-Flood Weighted Av Calcs'!$D$7</f>
        <v>1.8039635344212469E-2</v>
      </c>
      <c r="P633" s="112">
        <f>H633/'CGE-Flood Weighted Av Calcs'!$D$8</f>
        <v>4.3199277834374904E-2</v>
      </c>
      <c r="R633" s="1">
        <f t="shared" si="95"/>
        <v>0.19154134416129276</v>
      </c>
      <c r="S633" s="1">
        <f t="shared" si="96"/>
        <v>0.22218795922709958</v>
      </c>
      <c r="T633" s="1">
        <f t="shared" si="97"/>
        <v>5.3631576365161973</v>
      </c>
    </row>
    <row r="634" spans="1:20">
      <c r="A634">
        <v>581</v>
      </c>
      <c r="B634">
        <v>0.69879188133816317</v>
      </c>
      <c r="C634" s="1">
        <f t="shared" si="91"/>
        <v>31.021089465295184</v>
      </c>
      <c r="D634" s="1">
        <f t="shared" si="100"/>
        <v>99.77760402532212</v>
      </c>
      <c r="E634" s="1">
        <f t="shared" si="98"/>
        <v>119.62379843190593</v>
      </c>
      <c r="F634" s="1">
        <f t="shared" si="92"/>
        <v>6.4011469018131262</v>
      </c>
      <c r="G634" s="1">
        <f t="shared" si="99"/>
        <v>4.773660141116105</v>
      </c>
      <c r="H634" s="1">
        <f t="shared" si="93"/>
        <v>1.8673831112562054</v>
      </c>
      <c r="I634" s="1">
        <f t="shared" si="94"/>
        <v>48.193298985893875</v>
      </c>
      <c r="K634" s="112">
        <f>C634/'CGE-Flood Weighted Av Calcs'!$D$3</f>
        <v>5.228950682983991E-3</v>
      </c>
      <c r="L634" s="112">
        <f>D634/'CGE-Flood Weighted Av Calcs'!$D$4</f>
        <v>5.1252739841219572E-3</v>
      </c>
      <c r="M634" s="112">
        <f>E634/'CGE-Flood Weighted Av Calcs'!$D$5</f>
        <v>5.1244995090298515E-3</v>
      </c>
      <c r="N634" s="112">
        <f>F634/'CGE-Flood Weighted Av Calcs'!$D$6</f>
        <v>1.7693713114704484E-3</v>
      </c>
      <c r="O634" s="112">
        <f>G634/'CGE-Flood Weighted Av Calcs'!$D$7</f>
        <v>7.8800576785950666E-3</v>
      </c>
      <c r="P634" s="112">
        <f>H634/'CGE-Flood Weighted Av Calcs'!$D$8</f>
        <v>1.8870270629818466E-2</v>
      </c>
      <c r="R634" s="1">
        <f t="shared" si="95"/>
        <v>8.3668921850510225E-2</v>
      </c>
      <c r="S634" s="1">
        <f t="shared" si="96"/>
        <v>9.7055949346591869E-2</v>
      </c>
      <c r="T634" s="1">
        <f t="shared" si="97"/>
        <v>2.3427298118142872</v>
      </c>
    </row>
    <row r="635" spans="1:20">
      <c r="A635">
        <v>582</v>
      </c>
      <c r="B635">
        <v>0.49614382041301108</v>
      </c>
      <c r="C635" s="1">
        <f t="shared" si="91"/>
        <v>51.891588095464449</v>
      </c>
      <c r="D635" s="1">
        <f t="shared" si="100"/>
        <v>166.90639879127482</v>
      </c>
      <c r="E635" s="1">
        <f t="shared" si="98"/>
        <v>200.1047990783151</v>
      </c>
      <c r="F635" s="1">
        <f t="shared" si="92"/>
        <v>10.707737352005493</v>
      </c>
      <c r="G635" s="1">
        <f t="shared" si="99"/>
        <v>7.9853032250096243</v>
      </c>
      <c r="H635" s="1">
        <f t="shared" si="93"/>
        <v>3.1237289500790206</v>
      </c>
      <c r="I635" s="1">
        <f t="shared" si="94"/>
        <v>80.61698873391822</v>
      </c>
      <c r="K635" s="112">
        <f>C635/'CGE-Flood Weighted Av Calcs'!$D$3</f>
        <v>8.7469060464966109E-3</v>
      </c>
      <c r="L635" s="112">
        <f>D635/'CGE-Flood Weighted Av Calcs'!$D$4</f>
        <v>8.5734773034969528E-3</v>
      </c>
      <c r="M635" s="112">
        <f>E635/'CGE-Flood Weighted Av Calcs'!$D$5</f>
        <v>8.5721817738052992E-3</v>
      </c>
      <c r="N635" s="112">
        <f>F635/'CGE-Flood Weighted Av Calcs'!$D$6</f>
        <v>2.9597763607069568E-3</v>
      </c>
      <c r="O635" s="112">
        <f>G635/'CGE-Flood Weighted Av Calcs'!$D$7</f>
        <v>1.3181635921704921E-2</v>
      </c>
      <c r="P635" s="112">
        <f>H635/'CGE-Flood Weighted Av Calcs'!$D$8</f>
        <v>3.1565890420063067E-2</v>
      </c>
      <c r="R635" s="1">
        <f t="shared" si="95"/>
        <v>0.13996004988527469</v>
      </c>
      <c r="S635" s="1">
        <f t="shared" si="96"/>
        <v>0.16235365786691863</v>
      </c>
      <c r="T635" s="1">
        <f t="shared" si="97"/>
        <v>3.9188813967876919</v>
      </c>
    </row>
    <row r="636" spans="1:20">
      <c r="A636">
        <v>583</v>
      </c>
      <c r="B636">
        <v>6.8970012889532861E-2</v>
      </c>
      <c r="C636" s="1">
        <f t="shared" si="91"/>
        <v>100.46301177117202</v>
      </c>
      <c r="D636" s="1">
        <f t="shared" si="100"/>
        <v>321.88437401026158</v>
      </c>
      <c r="E636" s="1">
        <f t="shared" si="98"/>
        <v>385.86808304686548</v>
      </c>
      <c r="F636" s="1">
        <f t="shared" si="92"/>
        <v>22.945821071430807</v>
      </c>
      <c r="G636" s="1">
        <f t="shared" si="99"/>
        <v>15.544538341643628</v>
      </c>
      <c r="H636" s="1">
        <f t="shared" si="93"/>
        <v>5.993582621233088</v>
      </c>
      <c r="I636" s="1">
        <f t="shared" si="94"/>
        <v>194.68231228042967</v>
      </c>
      <c r="K636" s="112">
        <f>C636/'CGE-Flood Weighted Av Calcs'!$D$3</f>
        <v>1.693416134217967E-2</v>
      </c>
      <c r="L636" s="112">
        <f>D636/'CGE-Flood Weighted Av Calcs'!$D$4</f>
        <v>1.6534227536587207E-2</v>
      </c>
      <c r="M636" s="112">
        <f>E636/'CGE-Flood Weighted Av Calcs'!$D$5</f>
        <v>1.6529995101681599E-2</v>
      </c>
      <c r="N636" s="112">
        <f>F636/'CGE-Flood Weighted Av Calcs'!$D$6</f>
        <v>6.3425630038929284E-3</v>
      </c>
      <c r="O636" s="112">
        <f>G636/'CGE-Flood Weighted Av Calcs'!$D$7</f>
        <v>2.5659945429346191E-2</v>
      </c>
      <c r="P636" s="112">
        <f>H636/'CGE-Flood Weighted Av Calcs'!$D$8</f>
        <v>6.0566321620399245E-2</v>
      </c>
      <c r="R636" s="1">
        <f t="shared" si="95"/>
        <v>0.27068665807364478</v>
      </c>
      <c r="S636" s="1">
        <f t="shared" si="96"/>
        <v>0.32102998711046715</v>
      </c>
      <c r="T636" s="1">
        <f t="shared" si="97"/>
        <v>7.5171664518411188</v>
      </c>
    </row>
    <row r="637" spans="1:20">
      <c r="A637">
        <v>584</v>
      </c>
      <c r="B637">
        <v>0.61780685932342905</v>
      </c>
      <c r="C637" s="1">
        <f t="shared" si="91"/>
        <v>39.361646899234856</v>
      </c>
      <c r="D637" s="1">
        <f t="shared" si="100"/>
        <v>126.60454180663743</v>
      </c>
      <c r="E637" s="1">
        <f t="shared" si="98"/>
        <v>151.78672947285287</v>
      </c>
      <c r="F637" s="1">
        <f t="shared" si="92"/>
        <v>8.1222061649762232</v>
      </c>
      <c r="G637" s="1">
        <f t="shared" si="99"/>
        <v>6.057141387692905</v>
      </c>
      <c r="H637" s="1">
        <f t="shared" si="93"/>
        <v>2.3694614185969542</v>
      </c>
      <c r="I637" s="1">
        <f t="shared" si="94"/>
        <v>61.150902508251335</v>
      </c>
      <c r="K637" s="112">
        <f>C637/'CGE-Flood Weighted Av Calcs'!$D$3</f>
        <v>6.6348446809835569E-3</v>
      </c>
      <c r="L637" s="112">
        <f>D637/'CGE-Flood Weighted Av Calcs'!$D$4</f>
        <v>6.5032927051301252E-3</v>
      </c>
      <c r="M637" s="112">
        <f>E637/'CGE-Flood Weighted Av Calcs'!$D$5</f>
        <v>6.5023099989894584E-3</v>
      </c>
      <c r="N637" s="112">
        <f>F637/'CGE-Flood Weighted Av Calcs'!$D$6</f>
        <v>2.2450974480974178E-3</v>
      </c>
      <c r="O637" s="112">
        <f>G637/'CGE-Flood Weighted Av Calcs'!$D$7</f>
        <v>9.9987477305549868E-3</v>
      </c>
      <c r="P637" s="112">
        <f>H637/'CGE-Flood Weighted Av Calcs'!$D$8</f>
        <v>2.3943869871330091E-2</v>
      </c>
      <c r="R637" s="1">
        <f t="shared" si="95"/>
        <v>0.10616476129904748</v>
      </c>
      <c r="S637" s="1">
        <f t="shared" si="96"/>
        <v>0.12315112310689508</v>
      </c>
      <c r="T637" s="1">
        <f t="shared" si="97"/>
        <v>2.9726133163733302</v>
      </c>
    </row>
    <row r="638" spans="1:20">
      <c r="A638">
        <v>585</v>
      </c>
      <c r="B638">
        <v>0.61752675966204995</v>
      </c>
      <c r="C638" s="1">
        <f t="shared" si="91"/>
        <v>39.390494052138443</v>
      </c>
      <c r="D638" s="1">
        <f t="shared" si="100"/>
        <v>126.69732706496603</v>
      </c>
      <c r="E638" s="1">
        <f t="shared" si="98"/>
        <v>151.89797011796733</v>
      </c>
      <c r="F638" s="1">
        <f t="shared" si="92"/>
        <v>8.1281587239165365</v>
      </c>
      <c r="G638" s="1">
        <f t="shared" si="99"/>
        <v>6.0615805130226121</v>
      </c>
      <c r="H638" s="1">
        <f t="shared" si="93"/>
        <v>2.3711979367872726</v>
      </c>
      <c r="I638" s="1">
        <f t="shared" si="94"/>
        <v>61.195718454071994</v>
      </c>
      <c r="K638" s="112">
        <f>C638/'CGE-Flood Weighted Av Calcs'!$D$3</f>
        <v>6.6397071904078665E-3</v>
      </c>
      <c r="L638" s="112">
        <f>D638/'CGE-Flood Weighted Av Calcs'!$D$4</f>
        <v>6.5080588034471479E-3</v>
      </c>
      <c r="M638" s="112">
        <f>E638/'CGE-Flood Weighted Av Calcs'!$D$5</f>
        <v>6.5070753771060696E-3</v>
      </c>
      <c r="N638" s="112">
        <f>F638/'CGE-Flood Weighted Av Calcs'!$D$6</f>
        <v>2.2467428230873035E-3</v>
      </c>
      <c r="O638" s="112">
        <f>G638/'CGE-Flood Weighted Av Calcs'!$D$7</f>
        <v>1.0006075559224505E-2</v>
      </c>
      <c r="P638" s="112">
        <f>H638/'CGE-Flood Weighted Av Calcs'!$D$8</f>
        <v>2.3961417726404602E-2</v>
      </c>
      <c r="R638" s="1">
        <f t="shared" si="95"/>
        <v>0.10624256676054167</v>
      </c>
      <c r="S638" s="1">
        <f t="shared" si="96"/>
        <v>0.12324137744222835</v>
      </c>
      <c r="T638" s="1">
        <f t="shared" si="97"/>
        <v>2.9747918692951671</v>
      </c>
    </row>
    <row r="639" spans="1:20">
      <c r="A639">
        <v>586</v>
      </c>
      <c r="B639">
        <v>2.9568089456714075E-2</v>
      </c>
      <c r="C639" s="1">
        <f t="shared" si="91"/>
        <v>121.92826215995544</v>
      </c>
      <c r="D639" s="1">
        <f t="shared" si="100"/>
        <v>388.42416146339741</v>
      </c>
      <c r="E639" s="1">
        <f t="shared" si="98"/>
        <v>465.59619462341607</v>
      </c>
      <c r="F639" s="1">
        <f t="shared" si="92"/>
        <v>27.934104288608061</v>
      </c>
      <c r="G639" s="1">
        <f t="shared" si="99"/>
        <v>18.283036172148524</v>
      </c>
      <c r="H639" s="1">
        <f t="shared" si="93"/>
        <v>6.9211957203809327</v>
      </c>
      <c r="I639" s="1">
        <f t="shared" si="94"/>
        <v>272.60027092697209</v>
      </c>
      <c r="K639" s="112">
        <f>C639/'CGE-Flood Weighted Av Calcs'!$D$3</f>
        <v>2.0552368749318629E-2</v>
      </c>
      <c r="L639" s="112">
        <f>D639/'CGE-Flood Weighted Av Calcs'!$D$4</f>
        <v>1.9952175330322685E-2</v>
      </c>
      <c r="M639" s="112">
        <f>E639/'CGE-Flood Weighted Av Calcs'!$D$5</f>
        <v>1.9945424756864148E-2</v>
      </c>
      <c r="N639" s="112">
        <f>F639/'CGE-Flood Weighted Av Calcs'!$D$6</f>
        <v>7.7213979772729245E-3</v>
      </c>
      <c r="O639" s="112">
        <f>G639/'CGE-Flood Weighted Av Calcs'!$D$7</f>
        <v>3.0180485270718441E-2</v>
      </c>
      <c r="P639" s="112">
        <f>H639/'CGE-Flood Weighted Av Calcs'!$D$8</f>
        <v>6.9940032946785372E-2</v>
      </c>
      <c r="R639" s="1">
        <f t="shared" si="95"/>
        <v>0.30390921405771454</v>
      </c>
      <c r="S639" s="1">
        <f t="shared" si="96"/>
        <v>0.36390921405771454</v>
      </c>
      <c r="T639" s="1">
        <f t="shared" si="97"/>
        <v>10.086382108657187</v>
      </c>
    </row>
    <row r="640" spans="1:20">
      <c r="A640">
        <v>587</v>
      </c>
      <c r="B640">
        <v>0.43652571089710468</v>
      </c>
      <c r="C640" s="1">
        <f t="shared" si="91"/>
        <v>58.031590952163747</v>
      </c>
      <c r="D640" s="1">
        <f t="shared" si="100"/>
        <v>186.65537551356158</v>
      </c>
      <c r="E640" s="1">
        <f t="shared" si="98"/>
        <v>223.78193217587551</v>
      </c>
      <c r="F640" s="1">
        <f t="shared" si="92"/>
        <v>11.974716073280085</v>
      </c>
      <c r="G640" s="1">
        <f t="shared" si="99"/>
        <v>8.9301535642008165</v>
      </c>
      <c r="H640" s="1">
        <f t="shared" si="93"/>
        <v>3.4933400061475832</v>
      </c>
      <c r="I640" s="1">
        <f t="shared" si="94"/>
        <v>90.155886256463248</v>
      </c>
      <c r="K640" s="112">
        <f>C640/'CGE-Flood Weighted Av Calcs'!$D$3</f>
        <v>9.7818720223685988E-3</v>
      </c>
      <c r="L640" s="112">
        <f>D640/'CGE-Flood Weighted Av Calcs'!$D$4</f>
        <v>9.5879225549792245E-3</v>
      </c>
      <c r="M640" s="112">
        <f>E640/'CGE-Flood Weighted Av Calcs'!$D$5</f>
        <v>9.5864737334670717E-3</v>
      </c>
      <c r="N640" s="112">
        <f>F640/'CGE-Flood Weighted Av Calcs'!$D$6</f>
        <v>3.30998794560775E-3</v>
      </c>
      <c r="O640" s="112">
        <f>G640/'CGE-Flood Weighted Av Calcs'!$D$7</f>
        <v>1.4741335387181725E-2</v>
      </c>
      <c r="P640" s="112">
        <f>H640/'CGE-Flood Weighted Av Calcs'!$D$8</f>
        <v>3.5300882245653087E-2</v>
      </c>
      <c r="R640" s="1">
        <f t="shared" si="95"/>
        <v>0.15652063586191534</v>
      </c>
      <c r="S640" s="1">
        <f t="shared" si="96"/>
        <v>0.18156393759982181</v>
      </c>
      <c r="T640" s="1">
        <f t="shared" si="97"/>
        <v>4.3825778041336303</v>
      </c>
    </row>
    <row r="641" spans="1:20">
      <c r="A641">
        <v>588</v>
      </c>
      <c r="B641">
        <v>0.28367515283966549</v>
      </c>
      <c r="C641" s="1">
        <f t="shared" si="91"/>
        <v>73.773500092546016</v>
      </c>
      <c r="D641" s="1">
        <f t="shared" si="100"/>
        <v>237.28834823906396</v>
      </c>
      <c r="E641" s="1">
        <f t="shared" si="98"/>
        <v>284.48602085880816</v>
      </c>
      <c r="F641" s="1">
        <f t="shared" si="92"/>
        <v>15.223031160192617</v>
      </c>
      <c r="G641" s="1">
        <f t="shared" si="99"/>
        <v>11.352586995901667</v>
      </c>
      <c r="H641" s="1">
        <f t="shared" si="93"/>
        <v>4.4409590541686557</v>
      </c>
      <c r="I641" s="1">
        <f t="shared" si="94"/>
        <v>114.61197554565352</v>
      </c>
      <c r="K641" s="112">
        <f>C641/'CGE-Flood Weighted Av Calcs'!$D$3</f>
        <v>1.2435346415753851E-2</v>
      </c>
      <c r="L641" s="112">
        <f>D641/'CGE-Flood Weighted Av Calcs'!$D$4</f>
        <v>1.2188785347624704E-2</v>
      </c>
      <c r="M641" s="112">
        <f>E641/'CGE-Flood Weighted Av Calcs'!$D$5</f>
        <v>1.2186943512303509E-2</v>
      </c>
      <c r="N641" s="112">
        <f>F641/'CGE-Flood Weighted Av Calcs'!$D$6</f>
        <v>4.2078700929103988E-3</v>
      </c>
      <c r="O641" s="112">
        <f>G641/'CGE-Flood Weighted Av Calcs'!$D$7</f>
        <v>1.8740136013967987E-2</v>
      </c>
      <c r="P641" s="112">
        <f>H641/'CGE-Flood Weighted Av Calcs'!$D$8</f>
        <v>4.4876757588179508E-2</v>
      </c>
      <c r="R641" s="1">
        <f t="shared" si="95"/>
        <v>0.19897912421120403</v>
      </c>
      <c r="S641" s="1">
        <f t="shared" si="96"/>
        <v>0.23081578408499667</v>
      </c>
      <c r="T641" s="1">
        <f t="shared" si="97"/>
        <v>5.5714154779137131</v>
      </c>
    </row>
    <row r="642" spans="1:20">
      <c r="A642">
        <v>589</v>
      </c>
      <c r="B642">
        <v>0.9170952611479789</v>
      </c>
      <c r="C642" s="1">
        <f t="shared" si="91"/>
        <v>8.5382669379931713</v>
      </c>
      <c r="D642" s="1">
        <f t="shared" si="100"/>
        <v>27.462859373610172</v>
      </c>
      <c r="E642" s="1">
        <f t="shared" si="98"/>
        <v>32.925340171916503</v>
      </c>
      <c r="F642" s="1">
        <f t="shared" si="92"/>
        <v>1.7618562693658184</v>
      </c>
      <c r="G642" s="1">
        <f t="shared" si="99"/>
        <v>1.3139056447938824</v>
      </c>
      <c r="H642" s="1">
        <f t="shared" si="93"/>
        <v>0.51397986834869958</v>
      </c>
      <c r="I642" s="1">
        <f t="shared" si="94"/>
        <v>13.264758216323344</v>
      </c>
      <c r="K642" s="112">
        <f>C642/'CGE-Flood Weighted Av Calcs'!$D$3</f>
        <v>1.4392201404424204E-3</v>
      </c>
      <c r="L642" s="112">
        <f>D642/'CGE-Flood Weighted Av Calcs'!$D$4</f>
        <v>1.4106840914063494E-3</v>
      </c>
      <c r="M642" s="112">
        <f>E642/'CGE-Flood Weighted Av Calcs'!$D$5</f>
        <v>1.4104709243259123E-3</v>
      </c>
      <c r="N642" s="112">
        <f>F642/'CGE-Flood Weighted Av Calcs'!$D$6</f>
        <v>4.8700303020185833E-4</v>
      </c>
      <c r="O642" s="112">
        <f>G642/'CGE-Flood Weighted Av Calcs'!$D$7</f>
        <v>2.1689127334453893E-3</v>
      </c>
      <c r="P642" s="112">
        <f>H642/'CGE-Flood Weighted Av Calcs'!$D$8</f>
        <v>5.1938668372629032E-3</v>
      </c>
      <c r="R642" s="1">
        <f t="shared" si="95"/>
        <v>2.3029094125561395E-2</v>
      </c>
      <c r="S642" s="1">
        <f t="shared" si="96"/>
        <v>2.6713749185651225E-2</v>
      </c>
      <c r="T642" s="1">
        <f t="shared" si="97"/>
        <v>0.64481463551572027</v>
      </c>
    </row>
    <row r="643" spans="1:20">
      <c r="A643">
        <v>590</v>
      </c>
      <c r="B643">
        <v>0.36164308794082478</v>
      </c>
      <c r="C643" s="1">
        <f t="shared" si="91"/>
        <v>65.743669087516622</v>
      </c>
      <c r="D643" s="1">
        <f t="shared" si="100"/>
        <v>211.460844685186</v>
      </c>
      <c r="E643" s="1">
        <f t="shared" si="98"/>
        <v>253.52131580992426</v>
      </c>
      <c r="F643" s="1">
        <f t="shared" si="92"/>
        <v>13.566089745629123</v>
      </c>
      <c r="G643" s="1">
        <f t="shared" si="99"/>
        <v>10.116921683389332</v>
      </c>
      <c r="H643" s="1">
        <f t="shared" si="93"/>
        <v>3.957585611665654</v>
      </c>
      <c r="I643" s="1">
        <f t="shared" si="94"/>
        <v>102.13710592946802</v>
      </c>
      <c r="K643" s="112">
        <f>C643/'CGE-Flood Weighted Av Calcs'!$D$3</f>
        <v>1.1081828823634204E-2</v>
      </c>
      <c r="L643" s="112">
        <f>D643/'CGE-Flood Weighted Av Calcs'!$D$4</f>
        <v>1.086210454252225E-2</v>
      </c>
      <c r="M643" s="112">
        <f>E643/'CGE-Flood Weighted Av Calcs'!$D$5</f>
        <v>1.0860463180627824E-2</v>
      </c>
      <c r="N643" s="112">
        <f>F643/'CGE-Flood Weighted Av Calcs'!$D$6</f>
        <v>3.7498670742817384E-3</v>
      </c>
      <c r="O643" s="112">
        <f>G643/'CGE-Flood Weighted Av Calcs'!$D$7</f>
        <v>1.6700377496144427E-2</v>
      </c>
      <c r="P643" s="112">
        <f>H643/'CGE-Flood Weighted Av Calcs'!$D$8</f>
        <v>3.9992174654813147E-2</v>
      </c>
      <c r="R643" s="1">
        <f t="shared" si="95"/>
        <v>0.17732136446088198</v>
      </c>
      <c r="S643" s="1">
        <f t="shared" si="96"/>
        <v>0.20569278277462311</v>
      </c>
      <c r="T643" s="1">
        <f t="shared" si="97"/>
        <v>4.9649982049046963</v>
      </c>
    </row>
    <row r="644" spans="1:20">
      <c r="A644">
        <v>591</v>
      </c>
      <c r="B644">
        <v>0.58149663893271664</v>
      </c>
      <c r="C644" s="1">
        <f t="shared" si="91"/>
        <v>43.101196152585004</v>
      </c>
      <c r="D644" s="1">
        <f t="shared" si="100"/>
        <v>138.63259340203325</v>
      </c>
      <c r="E644" s="1">
        <f t="shared" si="98"/>
        <v>166.20721224182211</v>
      </c>
      <c r="F644" s="1">
        <f t="shared" si="92"/>
        <v>8.8938555341590764</v>
      </c>
      <c r="G644" s="1">
        <f t="shared" si="99"/>
        <v>6.6325994881064716</v>
      </c>
      <c r="H644" s="1">
        <f t="shared" si="93"/>
        <v>2.5945718592611748</v>
      </c>
      <c r="I644" s="1">
        <f t="shared" si="94"/>
        <v>66.960537770765328</v>
      </c>
      <c r="K644" s="112">
        <f>C644/'CGE-Flood Weighted Av Calcs'!$D$3</f>
        <v>7.265187423917633E-3</v>
      </c>
      <c r="L644" s="112">
        <f>D644/'CGE-Flood Weighted Av Calcs'!$D$4</f>
        <v>7.1211373660012532E-3</v>
      </c>
      <c r="M644" s="112">
        <f>E644/'CGE-Flood Weighted Av Calcs'!$D$5</f>
        <v>7.1200612979638138E-3</v>
      </c>
      <c r="N644" s="112">
        <f>F644/'CGE-Flood Weighted Av Calcs'!$D$6</f>
        <v>2.4583927024149962E-3</v>
      </c>
      <c r="O644" s="112">
        <f>G644/'CGE-Flood Weighted Av Calcs'!$D$7</f>
        <v>1.0948677739986583E-2</v>
      </c>
      <c r="P644" s="112">
        <f>H644/'CGE-Flood Weighted Av Calcs'!$D$8</f>
        <v>2.6218654788964877E-2</v>
      </c>
      <c r="R644" s="1">
        <f t="shared" si="95"/>
        <v>0.11625093362980093</v>
      </c>
      <c r="S644" s="1">
        <f t="shared" si="96"/>
        <v>0.13485108301056908</v>
      </c>
      <c r="T644" s="1">
        <f t="shared" si="97"/>
        <v>3.2550261416344264</v>
      </c>
    </row>
    <row r="645" spans="1:20">
      <c r="A645">
        <v>592</v>
      </c>
      <c r="B645">
        <v>0.11952497041329657</v>
      </c>
      <c r="C645" s="1">
        <f t="shared" si="91"/>
        <v>90.679144991546153</v>
      </c>
      <c r="D645" s="1">
        <f t="shared" si="100"/>
        <v>291.66441212335326</v>
      </c>
      <c r="E645" s="1">
        <f t="shared" si="98"/>
        <v>349.67771762438559</v>
      </c>
      <c r="F645" s="1">
        <f t="shared" si="92"/>
        <v>18.711481061007795</v>
      </c>
      <c r="G645" s="1">
        <f t="shared" si="99"/>
        <v>13.954101146605657</v>
      </c>
      <c r="H645" s="1">
        <f t="shared" si="93"/>
        <v>5.4586317508225131</v>
      </c>
      <c r="I645" s="1">
        <f t="shared" si="94"/>
        <v>140.87600473387255</v>
      </c>
      <c r="K645" s="112">
        <f>C645/'CGE-Flood Weighted Av Calcs'!$D$3</f>
        <v>1.5284981453227556E-2</v>
      </c>
      <c r="L645" s="112">
        <f>D645/'CGE-Flood Weighted Av Calcs'!$D$4</f>
        <v>1.4981919421222756E-2</v>
      </c>
      <c r="M645" s="112">
        <f>E645/'CGE-Flood Weighted Av Calcs'!$D$5</f>
        <v>1.4979655518169061E-2</v>
      </c>
      <c r="N645" s="112">
        <f>F645/'CGE-Flood Weighted Av Calcs'!$D$6</f>
        <v>5.1721290406711489E-3</v>
      </c>
      <c r="O645" s="112">
        <f>G645/'CGE-Flood Weighted Av Calcs'!$D$7</f>
        <v>2.3034551819286646E-2</v>
      </c>
      <c r="P645" s="112">
        <f>H645/'CGE-Flood Weighted Av Calcs'!$D$8</f>
        <v>5.516053871626142E-2</v>
      </c>
      <c r="R645" s="1">
        <f t="shared" si="95"/>
        <v>0.24457639710741763</v>
      </c>
      <c r="S645" s="1">
        <f t="shared" si="96"/>
        <v>0.28370862064460445</v>
      </c>
      <c r="T645" s="1">
        <f t="shared" si="97"/>
        <v>6.8481391190076932</v>
      </c>
    </row>
    <row r="646" spans="1:20">
      <c r="A646">
        <v>593</v>
      </c>
      <c r="B646">
        <v>0.33777197424166205</v>
      </c>
      <c r="C646" s="1">
        <f t="shared" si="91"/>
        <v>68.202128563933712</v>
      </c>
      <c r="D646" s="1">
        <f t="shared" si="100"/>
        <v>219.36834246745039</v>
      </c>
      <c r="E646" s="1">
        <f t="shared" si="98"/>
        <v>263.00164889715973</v>
      </c>
      <c r="F646" s="1">
        <f t="shared" si="92"/>
        <v>14.073388506954259</v>
      </c>
      <c r="G646" s="1">
        <f t="shared" si="99"/>
        <v>10.495240118151301</v>
      </c>
      <c r="H646" s="1">
        <f t="shared" si="93"/>
        <v>4.1055780189312054</v>
      </c>
      <c r="I646" s="1">
        <f t="shared" si="94"/>
        <v>105.95648412133406</v>
      </c>
      <c r="K646" s="112">
        <f>C646/'CGE-Flood Weighted Av Calcs'!$D$3</f>
        <v>1.1496229593558204E-2</v>
      </c>
      <c r="L646" s="112">
        <f>D646/'CGE-Flood Weighted Av Calcs'!$D$4</f>
        <v>1.1268288806604762E-2</v>
      </c>
      <c r="M646" s="112">
        <f>E646/'CGE-Flood Weighted Av Calcs'!$D$5</f>
        <v>1.1266586066607173E-2</v>
      </c>
      <c r="N646" s="112">
        <f>F646/'CGE-Flood Weighted Av Calcs'!$D$6</f>
        <v>3.8900919259218323E-3</v>
      </c>
      <c r="O646" s="112">
        <f>G646/'CGE-Flood Weighted Av Calcs'!$D$7</f>
        <v>1.7324881754653101E-2</v>
      </c>
      <c r="P646" s="112">
        <f>H646/'CGE-Flood Weighted Av Calcs'!$D$8</f>
        <v>4.1487666800707423E-2</v>
      </c>
      <c r="R646" s="1">
        <f t="shared" si="95"/>
        <v>0.18395222937731609</v>
      </c>
      <c r="S646" s="1">
        <f t="shared" si="96"/>
        <v>0.21338458607768668</v>
      </c>
      <c r="T646" s="1">
        <f t="shared" si="97"/>
        <v>5.1506624225648512</v>
      </c>
    </row>
    <row r="647" spans="1:20">
      <c r="A647">
        <v>594</v>
      </c>
      <c r="B647">
        <v>4.2980036478404537E-2</v>
      </c>
      <c r="C647" s="1">
        <f t="shared" si="91"/>
        <v>106.97350086215967</v>
      </c>
      <c r="D647" s="1">
        <f t="shared" si="100"/>
        <v>341.7786152676162</v>
      </c>
      <c r="E647" s="1">
        <f t="shared" si="98"/>
        <v>409.68547201363947</v>
      </c>
      <c r="F647" s="1">
        <f t="shared" si="92"/>
        <v>26.144862376955654</v>
      </c>
      <c r="G647" s="1">
        <f t="shared" si="99"/>
        <v>16.61747175346056</v>
      </c>
      <c r="H647" s="1">
        <f t="shared" si="93"/>
        <v>6.3402578964055269</v>
      </c>
      <c r="I647" s="1">
        <f t="shared" si="94"/>
        <v>237.13260708527258</v>
      </c>
      <c r="K647" s="112">
        <f>C647/'CGE-Flood Weighted Av Calcs'!$D$3</f>
        <v>1.8031576905774407E-2</v>
      </c>
      <c r="L647" s="112">
        <f>D647/'CGE-Flood Weighted Av Calcs'!$D$4</f>
        <v>1.7556134588236679E-2</v>
      </c>
      <c r="M647" s="112">
        <f>E647/'CGE-Flood Weighted Av Calcs'!$D$5</f>
        <v>1.7550295407026635E-2</v>
      </c>
      <c r="N647" s="112">
        <f>F647/'CGE-Flood Weighted Av Calcs'!$D$6</f>
        <v>7.2268251520716175E-3</v>
      </c>
      <c r="O647" s="112">
        <f>G647/'CGE-Flood Weighted Av Calcs'!$D$7</f>
        <v>2.7431076368808597E-2</v>
      </c>
      <c r="P647" s="112">
        <f>H647/'CGE-Flood Weighted Av Calcs'!$D$8</f>
        <v>6.4069542905703658E-2</v>
      </c>
      <c r="R647" s="1">
        <f t="shared" si="95"/>
        <v>0.28801330901439698</v>
      </c>
      <c r="S647" s="1">
        <f t="shared" si="96"/>
        <v>0.34701996352159542</v>
      </c>
      <c r="T647" s="1">
        <f t="shared" si="97"/>
        <v>7.9503327253599245</v>
      </c>
    </row>
    <row r="648" spans="1:20">
      <c r="A648">
        <v>595</v>
      </c>
      <c r="B648">
        <v>0.31769686764352789</v>
      </c>
      <c r="C648" s="1">
        <f t="shared" si="91"/>
        <v>70.269641486801561</v>
      </c>
      <c r="D648" s="1">
        <f t="shared" si="100"/>
        <v>226.01838246575323</v>
      </c>
      <c r="E648" s="1">
        <f t="shared" si="98"/>
        <v>270.97441044111503</v>
      </c>
      <c r="F648" s="1">
        <f t="shared" si="92"/>
        <v>14.500016138955388</v>
      </c>
      <c r="G648" s="1">
        <f t="shared" si="99"/>
        <v>10.813397997234764</v>
      </c>
      <c r="H648" s="1">
        <f t="shared" si="93"/>
        <v>4.2300365334777901</v>
      </c>
      <c r="I648" s="1">
        <f t="shared" si="94"/>
        <v>109.16850117703552</v>
      </c>
      <c r="K648" s="112">
        <f>C648/'CGE-Flood Weighted Av Calcs'!$D$3</f>
        <v>1.1844731960704361E-2</v>
      </c>
      <c r="L648" s="112">
        <f>D648/'CGE-Flood Weighted Av Calcs'!$D$4</f>
        <v>1.1609881264447527E-2</v>
      </c>
      <c r="M648" s="112">
        <f>E648/'CGE-Flood Weighted Av Calcs'!$D$5</f>
        <v>1.1608126906750851E-2</v>
      </c>
      <c r="N648" s="112">
        <f>F648/'CGE-Flood Weighted Av Calcs'!$D$6</f>
        <v>4.0080180888926514E-3</v>
      </c>
      <c r="O648" s="112">
        <f>G648/'CGE-Flood Weighted Av Calcs'!$D$7</f>
        <v>1.785007675470834E-2</v>
      </c>
      <c r="P648" s="112">
        <f>H648/'CGE-Flood Weighted Av Calcs'!$D$8</f>
        <v>4.2745344369666129E-2</v>
      </c>
      <c r="R648" s="1">
        <f t="shared" si="95"/>
        <v>0.1895286478767978</v>
      </c>
      <c r="S648" s="1">
        <f t="shared" si="96"/>
        <v>0.21985323153708544</v>
      </c>
      <c r="T648" s="1">
        <f t="shared" si="97"/>
        <v>5.3068021405503387</v>
      </c>
    </row>
    <row r="649" spans="1:20">
      <c r="A649">
        <v>596</v>
      </c>
      <c r="B649">
        <v>0.29488703489111179</v>
      </c>
      <c r="C649" s="1">
        <f t="shared" si="91"/>
        <v>72.618800817714288</v>
      </c>
      <c r="D649" s="1">
        <f t="shared" si="100"/>
        <v>233.57432242635414</v>
      </c>
      <c r="E649" s="1">
        <f t="shared" si="98"/>
        <v>280.03325934453346</v>
      </c>
      <c r="F649" s="1">
        <f t="shared" si="92"/>
        <v>14.984761008724078</v>
      </c>
      <c r="G649" s="1">
        <f t="shared" si="99"/>
        <v>11.174896850318399</v>
      </c>
      <c r="H649" s="1">
        <f t="shared" si="93"/>
        <v>4.3714493766696467</v>
      </c>
      <c r="I649" s="1">
        <f t="shared" si="94"/>
        <v>112.81807441742211</v>
      </c>
      <c r="K649" s="112">
        <f>C649/'CGE-Flood Weighted Av Calcs'!$D$3</f>
        <v>1.2240708971813421E-2</v>
      </c>
      <c r="L649" s="112">
        <f>D649/'CGE-Flood Weighted Av Calcs'!$D$4</f>
        <v>1.199800706566267E-2</v>
      </c>
      <c r="M649" s="112">
        <f>E649/'CGE-Flood Weighted Av Calcs'!$D$5</f>
        <v>1.1996194058659327E-2</v>
      </c>
      <c r="N649" s="112">
        <f>F649/'CGE-Flood Weighted Av Calcs'!$D$6</f>
        <v>4.1420087126210741E-3</v>
      </c>
      <c r="O649" s="112">
        <f>G649/'CGE-Flood Weighted Av Calcs'!$D$7</f>
        <v>1.8446816306506214E-2</v>
      </c>
      <c r="P649" s="112">
        <f>H649/'CGE-Flood Weighted Av Calcs'!$D$8</f>
        <v>4.4174348737049153E-2</v>
      </c>
      <c r="R649" s="1">
        <f t="shared" si="95"/>
        <v>0.19586471253024673</v>
      </c>
      <c r="S649" s="1">
        <f t="shared" si="96"/>
        <v>0.22720306653508621</v>
      </c>
      <c r="T649" s="1">
        <f t="shared" si="97"/>
        <v>5.4842119508469089</v>
      </c>
    </row>
    <row r="650" spans="1:20">
      <c r="A650">
        <v>597</v>
      </c>
      <c r="B650">
        <v>0.61187512169278901</v>
      </c>
      <c r="C650" s="1">
        <f t="shared" si="91"/>
        <v>39.972549966994883</v>
      </c>
      <c r="D650" s="1">
        <f t="shared" si="100"/>
        <v>128.56947745021009</v>
      </c>
      <c r="E650" s="1">
        <f t="shared" si="98"/>
        <v>154.14249926362425</v>
      </c>
      <c r="F650" s="1">
        <f t="shared" si="92"/>
        <v>8.248264931670251</v>
      </c>
      <c r="G650" s="1">
        <f t="shared" si="99"/>
        <v>6.1511498082518958</v>
      </c>
      <c r="H650" s="1">
        <f t="shared" si="93"/>
        <v>2.4062360803194554</v>
      </c>
      <c r="I650" s="1">
        <f t="shared" si="94"/>
        <v>62.09998052915374</v>
      </c>
      <c r="K650" s="112">
        <f>C650/'CGE-Flood Weighted Av Calcs'!$D$3</f>
        <v>6.7378192079412423E-3</v>
      </c>
      <c r="L650" s="112">
        <f>D650/'CGE-Flood Weighted Av Calcs'!$D$4</f>
        <v>6.604225510972216E-3</v>
      </c>
      <c r="M650" s="112">
        <f>E650/'CGE-Flood Weighted Av Calcs'!$D$5</f>
        <v>6.6032275529748991E-3</v>
      </c>
      <c r="N650" s="112">
        <f>F650/'CGE-Flood Weighted Av Calcs'!$D$6</f>
        <v>2.279941948429785E-3</v>
      </c>
      <c r="O650" s="112">
        <f>G650/'CGE-Flood Weighted Av Calcs'!$D$7</f>
        <v>1.0153930913768627E-2</v>
      </c>
      <c r="P650" s="112">
        <f>H650/'CGE-Flood Weighted Av Calcs'!$D$8</f>
        <v>2.4315485002066064E-2</v>
      </c>
      <c r="R650" s="1">
        <f t="shared" si="95"/>
        <v>0.10781246619644749</v>
      </c>
      <c r="S650" s="1">
        <f t="shared" si="96"/>
        <v>0.12506246078787908</v>
      </c>
      <c r="T650" s="1">
        <f t="shared" si="97"/>
        <v>3.0187490535005304</v>
      </c>
    </row>
    <row r="651" spans="1:20">
      <c r="A651">
        <v>598</v>
      </c>
      <c r="B651">
        <v>2.6204249132682156E-2</v>
      </c>
      <c r="C651" s="1">
        <f t="shared" si="91"/>
        <v>126.50981268128692</v>
      </c>
      <c r="D651" s="1">
        <f t="shared" si="100"/>
        <v>402.72978022033192</v>
      </c>
      <c r="E651" s="1">
        <f t="shared" si="98"/>
        <v>482.74438098665064</v>
      </c>
      <c r="F651" s="1">
        <f t="shared" si="92"/>
        <v>28.392778639975003</v>
      </c>
      <c r="G651" s="1">
        <f t="shared" si="99"/>
        <v>18.780438920594609</v>
      </c>
      <c r="H651" s="1">
        <f t="shared" si="93"/>
        <v>7.0957053633708007</v>
      </c>
      <c r="I651" s="1">
        <f t="shared" si="94"/>
        <v>282.46753587746571</v>
      </c>
      <c r="K651" s="112">
        <f>C651/'CGE-Flood Weighted Av Calcs'!$D$3</f>
        <v>2.132464019885761E-2</v>
      </c>
      <c r="L651" s="112">
        <f>D651/'CGE-Flood Weighted Av Calcs'!$D$4</f>
        <v>2.0687011733320253E-2</v>
      </c>
      <c r="M651" s="112">
        <f>E651/'CGE-Flood Weighted Av Calcs'!$D$5</f>
        <v>2.0680026681824504E-2</v>
      </c>
      <c r="N651" s="112">
        <f>F651/'CGE-Flood Weighted Av Calcs'!$D$6</f>
        <v>7.8481823256193288E-3</v>
      </c>
      <c r="O651" s="112">
        <f>G651/'CGE-Flood Weighted Av Calcs'!$D$7</f>
        <v>3.1001566418386917E-2</v>
      </c>
      <c r="P651" s="112">
        <f>H651/'CGE-Flood Weighted Av Calcs'!$D$8</f>
        <v>7.1703486932677182E-2</v>
      </c>
      <c r="R651" s="1">
        <f t="shared" si="95"/>
        <v>0.30839433448975712</v>
      </c>
      <c r="S651" s="1">
        <f t="shared" si="96"/>
        <v>0.36839433448975711</v>
      </c>
      <c r="T651" s="1">
        <f t="shared" si="97"/>
        <v>10.759150173463571</v>
      </c>
    </row>
    <row r="652" spans="1:20">
      <c r="A652">
        <v>599</v>
      </c>
      <c r="B652">
        <v>0.82138489623745792</v>
      </c>
      <c r="C652" s="1">
        <f t="shared" si="91"/>
        <v>18.395371075277822</v>
      </c>
      <c r="D652" s="1">
        <f t="shared" si="100"/>
        <v>59.167685038958325</v>
      </c>
      <c r="E652" s="1">
        <f t="shared" si="98"/>
        <v>70.936391968147348</v>
      </c>
      <c r="F652" s="1">
        <f t="shared" si="92"/>
        <v>3.7958522603776288</v>
      </c>
      <c r="G652" s="1">
        <f t="shared" si="99"/>
        <v>2.8307596927353185</v>
      </c>
      <c r="H652" s="1">
        <f t="shared" si="93"/>
        <v>1.107350059697132</v>
      </c>
      <c r="I652" s="1">
        <f t="shared" si="94"/>
        <v>28.578416602006712</v>
      </c>
      <c r="K652" s="112">
        <f>C652/'CGE-Flood Weighted Av Calcs'!$D$3</f>
        <v>3.1007450030221765E-3</v>
      </c>
      <c r="L652" s="112">
        <f>D652/'CGE-Flood Weighted Av Calcs'!$D$4</f>
        <v>3.039265171710622E-3</v>
      </c>
      <c r="M652" s="112">
        <f>E652/'CGE-Flood Weighted Av Calcs'!$D$5</f>
        <v>3.0388059113508662E-3</v>
      </c>
      <c r="N652" s="112">
        <f>F652/'CGE-Flood Weighted Av Calcs'!$D$6</f>
        <v>1.0492294888889435E-3</v>
      </c>
      <c r="O652" s="112">
        <f>G652/'CGE-Flood Weighted Av Calcs'!$D$7</f>
        <v>4.6728399160357861E-3</v>
      </c>
      <c r="P652" s="112">
        <f>H652/'CGE-Flood Weighted Av Calcs'!$D$8</f>
        <v>1.1189988375965118E-2</v>
      </c>
      <c r="R652" s="1">
        <f t="shared" si="95"/>
        <v>4.9615306600706122E-2</v>
      </c>
      <c r="S652" s="1">
        <f t="shared" si="96"/>
        <v>5.7553755656819111E-2</v>
      </c>
      <c r="T652" s="1">
        <f t="shared" si="97"/>
        <v>1.3892285848197723</v>
      </c>
    </row>
    <row r="653" spans="1:20">
      <c r="A653">
        <v>600</v>
      </c>
      <c r="B653">
        <v>0.92934869905540585</v>
      </c>
      <c r="C653" s="1">
        <f t="shared" si="91"/>
        <v>7.27629898283827</v>
      </c>
      <c r="D653" s="1">
        <f t="shared" si="100"/>
        <v>23.403809833684761</v>
      </c>
      <c r="E653" s="1">
        <f t="shared" si="98"/>
        <v>28.058928227749902</v>
      </c>
      <c r="F653" s="1">
        <f t="shared" si="92"/>
        <v>1.5014514155851515</v>
      </c>
      <c r="G653" s="1">
        <f t="shared" si="99"/>
        <v>1.1197085282281254</v>
      </c>
      <c r="H653" s="1">
        <f t="shared" si="93"/>
        <v>0.43801291531698272</v>
      </c>
      <c r="I653" s="1">
        <f t="shared" si="94"/>
        <v>11.304208151135043</v>
      </c>
      <c r="K653" s="112">
        <f>C653/'CGE-Flood Weighted Av Calcs'!$D$3</f>
        <v>1.2265013638052074E-3</v>
      </c>
      <c r="L653" s="112">
        <f>D653/'CGE-Flood Weighted Av Calcs'!$D$4</f>
        <v>1.2021829832622591E-3</v>
      </c>
      <c r="M653" s="112">
        <f>E653/'CGE-Flood Weighted Av Calcs'!$D$5</f>
        <v>1.2020013225784449E-3</v>
      </c>
      <c r="N653" s="112">
        <f>F653/'CGE-Flood Weighted Av Calcs'!$D$6</f>
        <v>4.150232920838875E-4</v>
      </c>
      <c r="O653" s="112">
        <f>G653/'CGE-Flood Weighted Av Calcs'!$D$7</f>
        <v>1.8483443573319557E-3</v>
      </c>
      <c r="P653" s="112">
        <f>H653/'CGE-Flood Weighted Av Calcs'!$D$8</f>
        <v>4.426205957184114E-3</v>
      </c>
      <c r="R653" s="1">
        <f t="shared" si="95"/>
        <v>1.9625361373498351E-2</v>
      </c>
      <c r="S653" s="1">
        <f t="shared" si="96"/>
        <v>2.2765419193258141E-2</v>
      </c>
      <c r="T653" s="1">
        <f t="shared" si="97"/>
        <v>0.54951011845795517</v>
      </c>
    </row>
    <row r="654" spans="1:20">
      <c r="A654">
        <v>601</v>
      </c>
      <c r="B654">
        <v>0.65341090622626119</v>
      </c>
      <c r="C654" s="1">
        <f t="shared" si="91"/>
        <v>35.694825668764288</v>
      </c>
      <c r="D654" s="1">
        <f t="shared" si="100"/>
        <v>114.81041584033795</v>
      </c>
      <c r="E654" s="1">
        <f t="shared" si="98"/>
        <v>137.64670114630516</v>
      </c>
      <c r="F654" s="1">
        <f t="shared" si="92"/>
        <v>7.3655640945812291</v>
      </c>
      <c r="G654" s="1">
        <f t="shared" si="99"/>
        <v>5.4928749916954835</v>
      </c>
      <c r="H654" s="1">
        <f t="shared" si="93"/>
        <v>2.148729002173059</v>
      </c>
      <c r="I654" s="1">
        <f t="shared" si="94"/>
        <v>55.454255003798195</v>
      </c>
      <c r="K654" s="112">
        <f>C654/'CGE-Flood Weighted Av Calcs'!$D$3</f>
        <v>6.0167610576182407E-3</v>
      </c>
      <c r="L654" s="112">
        <f>D654/'CGE-Flood Weighted Av Calcs'!$D$4</f>
        <v>5.8974640968866253E-3</v>
      </c>
      <c r="M654" s="112">
        <f>E654/'CGE-Flood Weighted Av Calcs'!$D$5</f>
        <v>5.8965729369088813E-3</v>
      </c>
      <c r="N654" s="112">
        <f>F654/'CGE-Flood Weighted Av Calcs'!$D$6</f>
        <v>2.0359504322666616E-3</v>
      </c>
      <c r="O654" s="112">
        <f>G654/'CGE-Flood Weighted Av Calcs'!$D$7</f>
        <v>9.0672922823015964E-3</v>
      </c>
      <c r="P654" s="112">
        <f>H654/'CGE-Flood Weighted Av Calcs'!$D$8</f>
        <v>2.1713325742712227E-2</v>
      </c>
      <c r="R654" s="1">
        <f t="shared" si="95"/>
        <v>9.627474827048299E-2</v>
      </c>
      <c r="S654" s="1">
        <f t="shared" si="96"/>
        <v>0.11167870799376028</v>
      </c>
      <c r="T654" s="1">
        <f t="shared" si="97"/>
        <v>2.6956929515735242</v>
      </c>
    </row>
    <row r="655" spans="1:20">
      <c r="A655">
        <v>602</v>
      </c>
      <c r="B655">
        <v>0.27974872755819491</v>
      </c>
      <c r="C655" s="1">
        <f t="shared" si="91"/>
        <v>74.177878269589911</v>
      </c>
      <c r="D655" s="1">
        <f t="shared" si="100"/>
        <v>238.58900809083053</v>
      </c>
      <c r="E655" s="1">
        <f t="shared" si="98"/>
        <v>286.04538754691492</v>
      </c>
      <c r="F655" s="1">
        <f t="shared" si="92"/>
        <v>15.306473881249893</v>
      </c>
      <c r="G655" s="1">
        <f t="shared" si="99"/>
        <v>11.414814468210507</v>
      </c>
      <c r="H655" s="1">
        <f t="shared" si="93"/>
        <v>4.4653014931799335</v>
      </c>
      <c r="I655" s="1">
        <f t="shared" si="94"/>
        <v>115.24020359068881</v>
      </c>
      <c r="K655" s="112">
        <f>C655/'CGE-Flood Weighted Av Calcs'!$D$3</f>
        <v>1.2503508868507261E-2</v>
      </c>
      <c r="L655" s="112">
        <f>D655/'CGE-Flood Weighted Av Calcs'!$D$4</f>
        <v>1.2255596313528027E-2</v>
      </c>
      <c r="M655" s="112">
        <f>E655/'CGE-Flood Weighted Av Calcs'!$D$5</f>
        <v>1.2253744382467728E-2</v>
      </c>
      <c r="N655" s="112">
        <f>F655/'CGE-Flood Weighted Av Calcs'!$D$6</f>
        <v>4.2309348903684851E-3</v>
      </c>
      <c r="O655" s="112">
        <f>G655/'CGE-Flood Weighted Av Calcs'!$D$7</f>
        <v>1.884285720829084E-2</v>
      </c>
      <c r="P655" s="112">
        <f>H655/'CGE-Flood Weighted Av Calcs'!$D$8</f>
        <v>4.5122742683130733E-2</v>
      </c>
      <c r="R655" s="1">
        <f t="shared" si="95"/>
        <v>0.20006979790050142</v>
      </c>
      <c r="S655" s="1">
        <f t="shared" si="96"/>
        <v>0.23208096556458163</v>
      </c>
      <c r="T655" s="1">
        <f t="shared" si="97"/>
        <v>5.6019543412140393</v>
      </c>
    </row>
    <row r="656" spans="1:20">
      <c r="A656">
        <v>603</v>
      </c>
      <c r="B656">
        <v>0.42805352042719813</v>
      </c>
      <c r="C656" s="1">
        <f t="shared" si="91"/>
        <v>58.904132435114455</v>
      </c>
      <c r="D656" s="1">
        <f t="shared" si="100"/>
        <v>189.46185652638741</v>
      </c>
      <c r="E656" s="1">
        <f t="shared" si="98"/>
        <v>227.14663432783388</v>
      </c>
      <c r="F656" s="1">
        <f t="shared" si="92"/>
        <v>12.15476346383166</v>
      </c>
      <c r="G656" s="1">
        <f t="shared" si="99"/>
        <v>9.0644240418154709</v>
      </c>
      <c r="H656" s="1">
        <f t="shared" si="93"/>
        <v>3.545864571119921</v>
      </c>
      <c r="I656" s="1">
        <f t="shared" si="94"/>
        <v>91.511436731648288</v>
      </c>
      <c r="K656" s="112">
        <f>C656/'CGE-Flood Weighted Av Calcs'!$D$3</f>
        <v>9.9289486228958373E-3</v>
      </c>
      <c r="L656" s="112">
        <f>D656/'CGE-Flood Weighted Av Calcs'!$D$4</f>
        <v>9.7320830032329025E-3</v>
      </c>
      <c r="M656" s="112">
        <f>E656/'CGE-Flood Weighted Av Calcs'!$D$5</f>
        <v>9.7306123977777305E-3</v>
      </c>
      <c r="N656" s="112">
        <f>F656/'CGE-Flood Weighted Av Calcs'!$D$6</f>
        <v>3.3597556969863092E-3</v>
      </c>
      <c r="O656" s="112">
        <f>G656/'CGE-Flood Weighted Av Calcs'!$D$7</f>
        <v>1.4962980639851221E-2</v>
      </c>
      <c r="P656" s="112">
        <f>H656/'CGE-Flood Weighted Av Calcs'!$D$8</f>
        <v>3.5831653221232239E-2</v>
      </c>
      <c r="R656" s="1">
        <f t="shared" si="95"/>
        <v>0.15887402210355606</v>
      </c>
      <c r="S656" s="1">
        <f t="shared" si="96"/>
        <v>0.18429386564012504</v>
      </c>
      <c r="T656" s="1">
        <f t="shared" si="97"/>
        <v>4.4484726188995705</v>
      </c>
    </row>
    <row r="657" spans="1:20">
      <c r="A657">
        <v>604</v>
      </c>
      <c r="B657">
        <v>7.7721394574752134E-2</v>
      </c>
      <c r="C657" s="1">
        <f t="shared" si="91"/>
        <v>98.270790659024584</v>
      </c>
      <c r="D657" s="1">
        <f t="shared" si="100"/>
        <v>315.18555690374052</v>
      </c>
      <c r="E657" s="1">
        <f t="shared" si="98"/>
        <v>377.84825808448795</v>
      </c>
      <c r="F657" s="1">
        <f t="shared" si="92"/>
        <v>21.868635349960012</v>
      </c>
      <c r="G657" s="1">
        <f t="shared" si="99"/>
        <v>15.18325868285894</v>
      </c>
      <c r="H657" s="1">
        <f t="shared" si="93"/>
        <v>5.8768496313345899</v>
      </c>
      <c r="I657" s="1">
        <f t="shared" si="94"/>
        <v>180.38838886123818</v>
      </c>
      <c r="K657" s="112">
        <f>C657/'CGE-Flood Weighted Av Calcs'!$D$3</f>
        <v>1.6564638018556895E-2</v>
      </c>
      <c r="L657" s="112">
        <f>D657/'CGE-Flood Weighted Av Calcs'!$D$4</f>
        <v>1.619012954610299E-2</v>
      </c>
      <c r="M657" s="112">
        <f>E657/'CGE-Flood Weighted Av Calcs'!$D$5</f>
        <v>1.6186438137089785E-2</v>
      </c>
      <c r="N657" s="112">
        <f>F657/'CGE-Flood Weighted Av Calcs'!$D$6</f>
        <v>6.0448130003496322E-3</v>
      </c>
      <c r="O657" s="112">
        <f>G657/'CGE-Flood Weighted Av Calcs'!$D$7</f>
        <v>2.5063567709699634E-2</v>
      </c>
      <c r="P657" s="112">
        <f>H657/'CGE-Flood Weighted Av Calcs'!$D$8</f>
        <v>5.9386711985110911E-2</v>
      </c>
      <c r="R657" s="1">
        <f t="shared" si="95"/>
        <v>0.26485240361683193</v>
      </c>
      <c r="S657" s="1">
        <f t="shared" si="96"/>
        <v>0.31227860542524788</v>
      </c>
      <c r="T657" s="1">
        <f t="shared" si="97"/>
        <v>7.3713100904207982</v>
      </c>
    </row>
    <row r="658" spans="1:20">
      <c r="A658">
        <v>605</v>
      </c>
      <c r="B658">
        <v>0.2618250438504337</v>
      </c>
      <c r="C658" s="1">
        <f t="shared" si="91"/>
        <v>76.023818539448115</v>
      </c>
      <c r="D658" s="1">
        <f t="shared" si="100"/>
        <v>244.52637200921782</v>
      </c>
      <c r="E658" s="1">
        <f t="shared" si="98"/>
        <v>293.16371867470775</v>
      </c>
      <c r="F658" s="1">
        <f t="shared" si="92"/>
        <v>15.687380388500523</v>
      </c>
      <c r="G658" s="1">
        <f t="shared" si="99"/>
        <v>11.698875783947386</v>
      </c>
      <c r="H658" s="1">
        <f t="shared" si="93"/>
        <v>4.5764219516724491</v>
      </c>
      <c r="I658" s="1">
        <f t="shared" si="94"/>
        <v>118.1079929839306</v>
      </c>
      <c r="K658" s="112">
        <f>C658/'CGE-Flood Weighted Av Calcs'!$D$3</f>
        <v>1.2814662693250304E-2</v>
      </c>
      <c r="L658" s="112">
        <f>D658/'CGE-Flood Weighted Av Calcs'!$D$4</f>
        <v>1.2560580754900781E-2</v>
      </c>
      <c r="M658" s="112">
        <f>E658/'CGE-Flood Weighted Av Calcs'!$D$5</f>
        <v>1.2558682737942629E-2</v>
      </c>
      <c r="N658" s="112">
        <f>F658/'CGE-Flood Weighted Av Calcs'!$D$6</f>
        <v>4.3362230608509928E-3</v>
      </c>
      <c r="O658" s="112">
        <f>G658/'CGE-Flood Weighted Av Calcs'!$D$7</f>
        <v>1.9311767747812587E-2</v>
      </c>
      <c r="P658" s="112">
        <f>H658/'CGE-Flood Weighted Av Calcs'!$D$8</f>
        <v>4.6245636593664548E-2</v>
      </c>
      <c r="R658" s="1">
        <f t="shared" si="95"/>
        <v>0.20504859893043509</v>
      </c>
      <c r="S658" s="1">
        <f t="shared" si="96"/>
        <v>0.23785637475930468</v>
      </c>
      <c r="T658" s="1">
        <f t="shared" si="97"/>
        <v>5.7413607700521823</v>
      </c>
    </row>
    <row r="659" spans="1:20">
      <c r="A659">
        <v>606</v>
      </c>
      <c r="B659">
        <v>0.66726862579731783</v>
      </c>
      <c r="C659" s="1">
        <f t="shared" si="91"/>
        <v>34.267634527607356</v>
      </c>
      <c r="D659" s="1">
        <f t="shared" si="100"/>
        <v>110.21993513816545</v>
      </c>
      <c r="E659" s="1">
        <f t="shared" si="98"/>
        <v>132.14315409698057</v>
      </c>
      <c r="F659" s="1">
        <f t="shared" si="92"/>
        <v>7.0710657288248502</v>
      </c>
      <c r="G659" s="1">
        <f t="shared" si="99"/>
        <v>5.2732526128000927</v>
      </c>
      <c r="H659" s="1">
        <f t="shared" si="93"/>
        <v>2.0628160739210544</v>
      </c>
      <c r="I659" s="1">
        <f t="shared" si="94"/>
        <v>53.23701987242913</v>
      </c>
      <c r="K659" s="112">
        <f>C659/'CGE-Flood Weighted Av Calcs'!$D$3</f>
        <v>5.7761920698446122E-3</v>
      </c>
      <c r="L659" s="112">
        <f>D659/'CGE-Flood Weighted Av Calcs'!$D$4</f>
        <v>5.6616649759587698E-3</v>
      </c>
      <c r="M659" s="112">
        <f>E659/'CGE-Flood Weighted Av Calcs'!$D$5</f>
        <v>5.6608094473534088E-3</v>
      </c>
      <c r="N659" s="112">
        <f>F659/'CGE-Flood Weighted Av Calcs'!$D$6</f>
        <v>1.9545467451404261E-3</v>
      </c>
      <c r="O659" s="112">
        <f>G659/'CGE-Flood Weighted Av Calcs'!$D$7</f>
        <v>8.7047534835505581E-3</v>
      </c>
      <c r="P659" s="112">
        <f>H659/'CGE-Flood Weighted Av Calcs'!$D$8</f>
        <v>2.0845158842763716E-2</v>
      </c>
      <c r="R659" s="1">
        <f t="shared" si="95"/>
        <v>9.242538172296727E-2</v>
      </c>
      <c r="S659" s="1">
        <f t="shared" si="96"/>
        <v>0.10721344279864203</v>
      </c>
      <c r="T659" s="1">
        <f t="shared" si="97"/>
        <v>2.5879106882430838</v>
      </c>
    </row>
    <row r="660" spans="1:20">
      <c r="A660">
        <v>607</v>
      </c>
      <c r="B660">
        <v>0.75139136148626717</v>
      </c>
      <c r="C660" s="1">
        <f t="shared" si="91"/>
        <v>25.603927448708788</v>
      </c>
      <c r="D660" s="1">
        <f t="shared" si="100"/>
        <v>82.35360454791271</v>
      </c>
      <c r="E660" s="1">
        <f t="shared" si="98"/>
        <v>98.734090548819438</v>
      </c>
      <c r="F660" s="1">
        <f t="shared" si="92"/>
        <v>5.2833251084204225</v>
      </c>
      <c r="G660" s="1">
        <f t="shared" si="99"/>
        <v>3.9400436936513206</v>
      </c>
      <c r="H660" s="1">
        <f t="shared" si="93"/>
        <v>1.5412850587674543</v>
      </c>
      <c r="I660" s="1">
        <f t="shared" si="94"/>
        <v>39.777382162197227</v>
      </c>
      <c r="K660" s="112">
        <f>C660/'CGE-Flood Weighted Av Calcs'!$D$3</f>
        <v>4.3158275943138095E-3</v>
      </c>
      <c r="L660" s="112">
        <f>D660/'CGE-Flood Weighted Av Calcs'!$D$4</f>
        <v>4.2302557874707601E-3</v>
      </c>
      <c r="M660" s="112">
        <f>E660/'CGE-Flood Weighted Av Calcs'!$D$5</f>
        <v>4.229616557694796E-3</v>
      </c>
      <c r="N660" s="112">
        <f>F660/'CGE-Flood Weighted Av Calcs'!$D$6</f>
        <v>1.4603888989585167E-3</v>
      </c>
      <c r="O660" s="112">
        <f>G660/'CGE-Flood Weighted Av Calcs'!$D$7</f>
        <v>6.5039761198621981E-3</v>
      </c>
      <c r="P660" s="112">
        <f>H660/'CGE-Flood Weighted Av Calcs'!$D$8</f>
        <v>1.55749861939536E-2</v>
      </c>
      <c r="R660" s="1">
        <f t="shared" si="95"/>
        <v>6.9057955142703548E-2</v>
      </c>
      <c r="S660" s="1">
        <f t="shared" si="96"/>
        <v>8.0107227965536126E-2</v>
      </c>
      <c r="T660" s="1">
        <f t="shared" si="97"/>
        <v>1.9336227439957003</v>
      </c>
    </row>
    <row r="661" spans="1:20">
      <c r="A661">
        <v>608</v>
      </c>
      <c r="B661">
        <v>0.31629591714805838</v>
      </c>
      <c r="C661" s="1">
        <f t="shared" si="91"/>
        <v>70.413923821718299</v>
      </c>
      <c r="D661" s="1">
        <f t="shared" si="100"/>
        <v>226.48245854848648</v>
      </c>
      <c r="E661" s="1">
        <f t="shared" si="98"/>
        <v>271.53079325186945</v>
      </c>
      <c r="F661" s="1">
        <f t="shared" si="92"/>
        <v>14.52978854337632</v>
      </c>
      <c r="G661" s="1">
        <f t="shared" si="99"/>
        <v>10.835600790338784</v>
      </c>
      <c r="H661" s="1">
        <f t="shared" si="93"/>
        <v>4.2387219278375721</v>
      </c>
      <c r="I661" s="1">
        <f t="shared" si="94"/>
        <v>109.39265325631065</v>
      </c>
      <c r="K661" s="112">
        <f>C661/'CGE-Flood Weighted Av Calcs'!$D$3</f>
        <v>1.1869052357786141E-2</v>
      </c>
      <c r="L661" s="112">
        <f>D661/'CGE-Flood Weighted Av Calcs'!$D$4</f>
        <v>1.1633719450348266E-2</v>
      </c>
      <c r="M661" s="112">
        <f>E661/'CGE-Flood Weighted Av Calcs'!$D$5</f>
        <v>1.1631961490486852E-2</v>
      </c>
      <c r="N661" s="112">
        <f>F661/'CGE-Flood Weighted Av Calcs'!$D$6</f>
        <v>4.0162476201100914E-3</v>
      </c>
      <c r="O661" s="112">
        <f>G661/'CGE-Flood Weighted Av Calcs'!$D$7</f>
        <v>1.7886727727989542E-2</v>
      </c>
      <c r="P661" s="112">
        <f>H661/'CGE-Flood Weighted Av Calcs'!$D$8</f>
        <v>4.2833111974025326E-2</v>
      </c>
      <c r="R661" s="1">
        <f t="shared" si="95"/>
        <v>0.18991780079220599</v>
      </c>
      <c r="S661" s="1">
        <f t="shared" si="96"/>
        <v>0.22030464891895896</v>
      </c>
      <c r="T661" s="1">
        <f t="shared" si="97"/>
        <v>5.3176984221817687</v>
      </c>
    </row>
    <row r="662" spans="1:20">
      <c r="A662">
        <v>609</v>
      </c>
      <c r="B662">
        <v>0.35621774049880151</v>
      </c>
      <c r="C662" s="1">
        <f t="shared" si="91"/>
        <v>66.302419592406764</v>
      </c>
      <c r="D662" s="1">
        <f t="shared" si="100"/>
        <v>213.2580345191617</v>
      </c>
      <c r="E662" s="1">
        <f t="shared" si="98"/>
        <v>255.67597442839354</v>
      </c>
      <c r="F662" s="1">
        <f t="shared" si="92"/>
        <v>13.68138692328839</v>
      </c>
      <c r="G662" s="1">
        <f t="shared" si="99"/>
        <v>10.202904640790187</v>
      </c>
      <c r="H662" s="1">
        <f t="shared" si="93"/>
        <v>3.9912208344841513</v>
      </c>
      <c r="I662" s="1">
        <f t="shared" si="94"/>
        <v>103.00516152019175</v>
      </c>
      <c r="K662" s="112">
        <f>C662/'CGE-Flood Weighted Av Calcs'!$D$3</f>
        <v>1.1176012454335879E-2</v>
      </c>
      <c r="L662" s="112">
        <f>D662/'CGE-Flood Weighted Av Calcs'!$D$4</f>
        <v>1.0954420753064513E-2</v>
      </c>
      <c r="M662" s="112">
        <f>E662/'CGE-Flood Weighted Av Calcs'!$D$5</f>
        <v>1.0952765441358644E-2</v>
      </c>
      <c r="N662" s="112">
        <f>F662/'CGE-Flood Weighted Av Calcs'!$D$6</f>
        <v>3.781736912854891E-3</v>
      </c>
      <c r="O662" s="112">
        <f>G662/'CGE-Flood Weighted Av Calcs'!$D$7</f>
        <v>1.6842312749946662E-2</v>
      </c>
      <c r="P662" s="112">
        <f>H662/'CGE-Flood Weighted Av Calcs'!$D$8</f>
        <v>4.0332065142979941E-2</v>
      </c>
      <c r="R662" s="1">
        <f t="shared" si="95"/>
        <v>0.17882840541699957</v>
      </c>
      <c r="S662" s="1">
        <f t="shared" si="96"/>
        <v>0.20744095028371951</v>
      </c>
      <c r="T662" s="1">
        <f t="shared" si="97"/>
        <v>5.0071953516759882</v>
      </c>
    </row>
    <row r="663" spans="1:20">
      <c r="A663">
        <v>610</v>
      </c>
      <c r="B663">
        <v>0.22281742779733404</v>
      </c>
      <c r="C663" s="1">
        <f t="shared" si="91"/>
        <v>80.041169574961231</v>
      </c>
      <c r="D663" s="1">
        <f t="shared" si="100"/>
        <v>257.44795754220138</v>
      </c>
      <c r="E663" s="1">
        <f t="shared" si="98"/>
        <v>308.65546312295055</v>
      </c>
      <c r="F663" s="1">
        <f t="shared" si="92"/>
        <v>16.516353663705445</v>
      </c>
      <c r="G663" s="1">
        <f t="shared" si="99"/>
        <v>12.317083230612187</v>
      </c>
      <c r="H663" s="1">
        <f t="shared" si="93"/>
        <v>4.8182552852211504</v>
      </c>
      <c r="I663" s="1">
        <f t="shared" si="94"/>
        <v>124.34921155242655</v>
      </c>
      <c r="K663" s="112">
        <f>C663/'CGE-Flood Weighted Av Calcs'!$D$3</f>
        <v>1.349183202556643E-2</v>
      </c>
      <c r="L663" s="112">
        <f>D663/'CGE-Flood Weighted Av Calcs'!$D$4</f>
        <v>1.3224323553825879E-2</v>
      </c>
      <c r="M663" s="112">
        <f>E663/'CGE-Flood Weighted Av Calcs'!$D$5</f>
        <v>1.3222325239348619E-2</v>
      </c>
      <c r="N663" s="112">
        <f>F663/'CGE-Flood Weighted Av Calcs'!$D$6</f>
        <v>4.5653634873435989E-3</v>
      </c>
      <c r="O663" s="112">
        <f>G663/'CGE-Flood Weighted Av Calcs'!$D$7</f>
        <v>2.0332265687139417E-2</v>
      </c>
      <c r="P663" s="112">
        <f>H663/'CGE-Flood Weighted Av Calcs'!$D$8</f>
        <v>4.8689409606212181E-2</v>
      </c>
      <c r="R663" s="1">
        <f t="shared" si="95"/>
        <v>0.21588404783407389</v>
      </c>
      <c r="S663" s="1">
        <f t="shared" si="96"/>
        <v>0.25042549548752568</v>
      </c>
      <c r="T663" s="1">
        <f t="shared" si="97"/>
        <v>6.0447533393540684</v>
      </c>
    </row>
    <row r="664" spans="1:20">
      <c r="A664">
        <v>611</v>
      </c>
      <c r="B664">
        <v>0.94269726834381196</v>
      </c>
      <c r="C664" s="1">
        <f t="shared" si="91"/>
        <v>5.9015446635689841</v>
      </c>
      <c r="D664" s="1">
        <f t="shared" si="100"/>
        <v>18.981989244384977</v>
      </c>
      <c r="E664" s="1">
        <f t="shared" si="98"/>
        <v>22.757588512855534</v>
      </c>
      <c r="F664" s="1">
        <f t="shared" si="92"/>
        <v>1.2177732952086942</v>
      </c>
      <c r="G664" s="1">
        <f t="shared" si="99"/>
        <v>0.90815535550461668</v>
      </c>
      <c r="H664" s="1">
        <f t="shared" si="93"/>
        <v>0.35525653756944919</v>
      </c>
      <c r="I664" s="1">
        <f t="shared" si="94"/>
        <v>9.1684370649900586</v>
      </c>
      <c r="K664" s="112">
        <f>C664/'CGE-Flood Weighted Av Calcs'!$D$3</f>
        <v>9.9477118731606498E-4</v>
      </c>
      <c r="L664" s="112">
        <f>D664/'CGE-Flood Weighted Av Calcs'!$D$4</f>
        <v>9.7504742263042181E-4</v>
      </c>
      <c r="M664" s="112">
        <f>E664/'CGE-Flood Weighted Av Calcs'!$D$5</f>
        <v>9.7490008417694992E-4</v>
      </c>
      <c r="N664" s="112">
        <f>F664/'CGE-Flood Weighted Av Calcs'!$D$6</f>
        <v>3.3661048019485062E-4</v>
      </c>
      <c r="O664" s="112">
        <f>G664/'CGE-Flood Weighted Av Calcs'!$D$7</f>
        <v>1.4991256962059735E-3</v>
      </c>
      <c r="P664" s="112">
        <f>H664/'CGE-Flood Weighted Av Calcs'!$D$8</f>
        <v>3.5899366158656538E-3</v>
      </c>
      <c r="R664" s="1">
        <f t="shared" si="95"/>
        <v>1.5917425460052231E-2</v>
      </c>
      <c r="S664" s="1">
        <f t="shared" si="96"/>
        <v>1.8464213533660567E-2</v>
      </c>
      <c r="T664" s="1">
        <f t="shared" si="97"/>
        <v>0.44568791288146326</v>
      </c>
    </row>
    <row r="665" spans="1:20">
      <c r="A665">
        <v>612</v>
      </c>
      <c r="B665">
        <v>0.96147518149972777</v>
      </c>
      <c r="C665" s="1">
        <f t="shared" si="91"/>
        <v>3.9676282519891686</v>
      </c>
      <c r="D665" s="1">
        <f t="shared" si="100"/>
        <v>12.761654973128714</v>
      </c>
      <c r="E665" s="1">
        <f t="shared" si="98"/>
        <v>15.300003012456045</v>
      </c>
      <c r="F665" s="1">
        <f t="shared" si="92"/>
        <v>0.81871306683731504</v>
      </c>
      <c r="G665" s="1">
        <f t="shared" si="99"/>
        <v>0.61055588851822939</v>
      </c>
      <c r="H665" s="1">
        <f t="shared" si="93"/>
        <v>0.23884016058805457</v>
      </c>
      <c r="I665" s="1">
        <f t="shared" si="94"/>
        <v>6.1639709600435424</v>
      </c>
      <c r="K665" s="112">
        <f>C665/'CGE-Flood Weighted Av Calcs'!$D$3</f>
        <v>6.6878800247410742E-4</v>
      </c>
      <c r="L665" s="112">
        <f>D665/'CGE-Flood Weighted Av Calcs'!$D$4</f>
        <v>6.5552764938630768E-4</v>
      </c>
      <c r="M665" s="112">
        <f>E665/'CGE-Flood Weighted Av Calcs'!$D$5</f>
        <v>6.5542859325033937E-4</v>
      </c>
      <c r="N665" s="112">
        <f>F665/'CGE-Flood Weighted Av Calcs'!$D$6</f>
        <v>2.2630435373661157E-4</v>
      </c>
      <c r="O665" s="112">
        <f>G665/'CGE-Flood Weighted Av Calcs'!$D$7</f>
        <v>1.0078672287727256E-3</v>
      </c>
      <c r="P665" s="112">
        <f>H665/'CGE-Flood Weighted Av Calcs'!$D$8</f>
        <v>2.4135264158697501E-3</v>
      </c>
      <c r="R665" s="1">
        <f t="shared" si="95"/>
        <v>1.0701338472297817E-2</v>
      </c>
      <c r="S665" s="1">
        <f t="shared" si="96"/>
        <v>1.2413552627865476E-2</v>
      </c>
      <c r="T665" s="1">
        <f t="shared" si="97"/>
        <v>0.29963747722434064</v>
      </c>
    </row>
    <row r="666" spans="1:20">
      <c r="A666">
        <v>613</v>
      </c>
      <c r="B666">
        <v>0.74846871544053217</v>
      </c>
      <c r="C666" s="1">
        <f t="shared" si="91"/>
        <v>25.904927517574535</v>
      </c>
      <c r="D666" s="1">
        <f t="shared" si="100"/>
        <v>83.321754480766657</v>
      </c>
      <c r="E666" s="1">
        <f t="shared" si="98"/>
        <v>99.894809665608307</v>
      </c>
      <c r="F666" s="1">
        <f t="shared" si="92"/>
        <v>5.345435939841126</v>
      </c>
      <c r="G666" s="1">
        <f t="shared" si="99"/>
        <v>3.9863628931373718</v>
      </c>
      <c r="H666" s="1">
        <f t="shared" si="93"/>
        <v>1.5594044238437741</v>
      </c>
      <c r="I666" s="1">
        <f t="shared" si="94"/>
        <v>40.245005529514827</v>
      </c>
      <c r="K666" s="112">
        <f>C666/'CGE-Flood Weighted Av Calcs'!$D$3</f>
        <v>4.3665645137064887E-3</v>
      </c>
      <c r="L666" s="112">
        <f>D666/'CGE-Flood Weighted Av Calcs'!$D$4</f>
        <v>4.2799867237069767E-3</v>
      </c>
      <c r="M666" s="112">
        <f>E666/'CGE-Flood Weighted Av Calcs'!$D$5</f>
        <v>4.2793399791383312E-3</v>
      </c>
      <c r="N666" s="112">
        <f>F666/'CGE-Flood Weighted Av Calcs'!$D$6</f>
        <v>1.477557247839284E-3</v>
      </c>
      <c r="O666" s="112">
        <f>G666/'CGE-Flood Weighted Av Calcs'!$D$7</f>
        <v>6.5804369387698243E-3</v>
      </c>
      <c r="P666" s="112">
        <f>H666/'CGE-Flood Weighted Av Calcs'!$D$8</f>
        <v>1.5758085912789887E-2</v>
      </c>
      <c r="R666" s="1">
        <f t="shared" si="95"/>
        <v>6.9869801266518816E-2</v>
      </c>
      <c r="S666" s="1">
        <f t="shared" si="96"/>
        <v>8.1048969469161847E-2</v>
      </c>
      <c r="T666" s="1">
        <f t="shared" si="97"/>
        <v>1.9563544354625284</v>
      </c>
    </row>
    <row r="667" spans="1:20">
      <c r="A667">
        <v>614</v>
      </c>
      <c r="B667">
        <v>0.75400042748866436</v>
      </c>
      <c r="C667" s="1">
        <f t="shared" si="91"/>
        <v>25.335222640084126</v>
      </c>
      <c r="D667" s="1">
        <f t="shared" si="100"/>
        <v>81.489330518315995</v>
      </c>
      <c r="E667" s="1">
        <f t="shared" si="98"/>
        <v>97.697908699031018</v>
      </c>
      <c r="F667" s="1">
        <f t="shared" si="92"/>
        <v>5.2278783467857508</v>
      </c>
      <c r="G667" s="1">
        <f t="shared" si="99"/>
        <v>3.8986942292460558</v>
      </c>
      <c r="H667" s="1">
        <f t="shared" si="93"/>
        <v>1.5251097783312089</v>
      </c>
      <c r="I667" s="1">
        <f t="shared" si="94"/>
        <v>39.359931601813685</v>
      </c>
      <c r="K667" s="112">
        <f>C667/'CGE-Flood Weighted Av Calcs'!$D$3</f>
        <v>4.2705344013022973E-3</v>
      </c>
      <c r="L667" s="112">
        <f>D667/'CGE-Flood Weighted Av Calcs'!$D$4</f>
        <v>4.1858606424648717E-3</v>
      </c>
      <c r="M667" s="112">
        <f>E667/'CGE-Flood Weighted Av Calcs'!$D$5</f>
        <v>4.1852281211954409E-3</v>
      </c>
      <c r="N667" s="112">
        <f>F667/'CGE-Flood Weighted Av Calcs'!$D$6</f>
        <v>1.4450625971480491E-3</v>
      </c>
      <c r="O667" s="112">
        <f>G667/'CGE-Flood Weighted Av Calcs'!$D$7</f>
        <v>6.435719026801459E-3</v>
      </c>
      <c r="P667" s="112">
        <f>H667/'CGE-Flood Weighted Av Calcs'!$D$8</f>
        <v>1.5411531829658839E-2</v>
      </c>
      <c r="R667" s="1">
        <f t="shared" si="95"/>
        <v>6.8333214586482116E-2</v>
      </c>
      <c r="S667" s="1">
        <f t="shared" si="96"/>
        <v>7.9266528920319268E-2</v>
      </c>
      <c r="T667" s="1">
        <f t="shared" si="97"/>
        <v>1.9133300084215001</v>
      </c>
    </row>
    <row r="668" spans="1:20">
      <c r="A668">
        <v>615</v>
      </c>
      <c r="B668">
        <v>0.4456941734862494</v>
      </c>
      <c r="C668" s="1">
        <f t="shared" si="91"/>
        <v>57.087341177288387</v>
      </c>
      <c r="D668" s="1">
        <f t="shared" si="100"/>
        <v>183.61824877937912</v>
      </c>
      <c r="E668" s="1">
        <f t="shared" si="98"/>
        <v>220.14070787698586</v>
      </c>
      <c r="F668" s="1">
        <f t="shared" si="92"/>
        <v>11.77987180361821</v>
      </c>
      <c r="G668" s="1">
        <f t="shared" si="99"/>
        <v>8.7848483028036242</v>
      </c>
      <c r="H668" s="1">
        <f t="shared" si="93"/>
        <v>3.4364988018957989</v>
      </c>
      <c r="I668" s="1">
        <f t="shared" si="94"/>
        <v>88.688932242200082</v>
      </c>
      <c r="K668" s="112">
        <f>C668/'CGE-Flood Weighted Av Calcs'!$D$3</f>
        <v>9.6227081893005897E-3</v>
      </c>
      <c r="L668" s="112">
        <f>D668/'CGE-Flood Weighted Av Calcs'!$D$4</f>
        <v>9.4319145330464052E-3</v>
      </c>
      <c r="M668" s="112">
        <f>E668/'CGE-Flood Weighted Av Calcs'!$D$5</f>
        <v>9.4304892857524376E-3</v>
      </c>
      <c r="N668" s="112">
        <f>F668/'CGE-Flood Weighted Av Calcs'!$D$6</f>
        <v>3.2561301188413494E-3</v>
      </c>
      <c r="O668" s="112">
        <f>G668/'CGE-Flood Weighted Av Calcs'!$D$7</f>
        <v>1.4501474608038471E-2</v>
      </c>
      <c r="P668" s="112">
        <f>H668/'CGE-Flood Weighted Av Calcs'!$D$8</f>
        <v>3.4726490788061719E-2</v>
      </c>
      <c r="R668" s="1">
        <f t="shared" si="95"/>
        <v>0.15397384069826403</v>
      </c>
      <c r="S668" s="1">
        <f t="shared" si="96"/>
        <v>0.17860965520998628</v>
      </c>
      <c r="T668" s="1">
        <f t="shared" si="97"/>
        <v>4.3112675395513937</v>
      </c>
    </row>
    <row r="669" spans="1:20">
      <c r="A669">
        <v>616</v>
      </c>
      <c r="B669">
        <v>0.15284710123936829</v>
      </c>
      <c r="C669" s="1">
        <f t="shared" si="91"/>
        <v>87.24733576235883</v>
      </c>
      <c r="D669" s="1">
        <f t="shared" si="100"/>
        <v>280.62618915109505</v>
      </c>
      <c r="E669" s="1">
        <f t="shared" si="98"/>
        <v>336.44394464718783</v>
      </c>
      <c r="F669" s="1">
        <f t="shared" si="92"/>
        <v>18.00333330109104</v>
      </c>
      <c r="G669" s="1">
        <f t="shared" si="99"/>
        <v>13.425999419307731</v>
      </c>
      <c r="H669" s="1">
        <f t="shared" si="93"/>
        <v>5.2520464017551607</v>
      </c>
      <c r="I669" s="1">
        <f t="shared" si="94"/>
        <v>135.54446380170108</v>
      </c>
      <c r="K669" s="112">
        <f>C669/'CGE-Flood Weighted Av Calcs'!$D$3</f>
        <v>1.4706511724338586E-2</v>
      </c>
      <c r="L669" s="112">
        <f>D669/'CGE-Flood Weighted Av Calcs'!$D$4</f>
        <v>1.4414919265393251E-2</v>
      </c>
      <c r="M669" s="112">
        <f>E669/'CGE-Flood Weighted Av Calcs'!$D$5</f>
        <v>1.4412741041173365E-2</v>
      </c>
      <c r="N669" s="112">
        <f>F669/'CGE-Flood Weighted Av Calcs'!$D$6</f>
        <v>4.9763865667210722E-3</v>
      </c>
      <c r="O669" s="112">
        <f>G669/'CGE-Flood Weighted Av Calcs'!$D$7</f>
        <v>2.2162794729704571E-2</v>
      </c>
      <c r="P669" s="112">
        <f>H669/'CGE-Flood Weighted Av Calcs'!$D$8</f>
        <v>5.3072953463102507E-2</v>
      </c>
      <c r="R669" s="1">
        <f t="shared" si="95"/>
        <v>0.23532024965573103</v>
      </c>
      <c r="S669" s="1">
        <f t="shared" si="96"/>
        <v>0.27297148960064799</v>
      </c>
      <c r="T669" s="1">
        <f t="shared" si="97"/>
        <v>6.5889669903604693</v>
      </c>
    </row>
    <row r="670" spans="1:20">
      <c r="A670">
        <v>617</v>
      </c>
      <c r="B670">
        <v>0.95366468466563148</v>
      </c>
      <c r="C670" s="1">
        <f t="shared" si="91"/>
        <v>4.77202264260292</v>
      </c>
      <c r="D670" s="1">
        <f t="shared" si="100"/>
        <v>15.34894466444149</v>
      </c>
      <c r="E670" s="1">
        <f t="shared" si="98"/>
        <v>18.401915746700524</v>
      </c>
      <c r="F670" s="1">
        <f t="shared" si="92"/>
        <v>0.98469842550995779</v>
      </c>
      <c r="G670" s="1">
        <f t="shared" si="99"/>
        <v>0.73433959522866488</v>
      </c>
      <c r="H670" s="1">
        <f t="shared" si="93"/>
        <v>0.2872624605689067</v>
      </c>
      <c r="I670" s="1">
        <f t="shared" si="94"/>
        <v>7.4136504534989456</v>
      </c>
      <c r="K670" s="112">
        <f>C670/'CGE-Flood Weighted Av Calcs'!$D$3</f>
        <v>8.0437765037779817E-4</v>
      </c>
      <c r="L670" s="112">
        <f>D670/'CGE-Flood Weighted Av Calcs'!$D$4</f>
        <v>7.8842890186483941E-4</v>
      </c>
      <c r="M670" s="112">
        <f>E670/'CGE-Flood Weighted Av Calcs'!$D$5</f>
        <v>7.8830976315180927E-4</v>
      </c>
      <c r="N670" s="112">
        <f>F670/'CGE-Flood Weighted Av Calcs'!$D$6</f>
        <v>2.7218515232855123E-4</v>
      </c>
      <c r="O670" s="112">
        <f>G670/'CGE-Flood Weighted Av Calcs'!$D$7</f>
        <v>1.2122015801328265E-3</v>
      </c>
      <c r="P670" s="112">
        <f>H670/'CGE-Flood Weighted Av Calcs'!$D$8</f>
        <v>2.9028432034368446E-3</v>
      </c>
      <c r="R670" s="1">
        <f t="shared" si="95"/>
        <v>1.2870920926213475E-2</v>
      </c>
      <c r="S670" s="1">
        <f t="shared" si="96"/>
        <v>1.4930268274407632E-2</v>
      </c>
      <c r="T670" s="1">
        <f t="shared" si="97"/>
        <v>0.3603857859339783</v>
      </c>
    </row>
    <row r="671" spans="1:20">
      <c r="A671">
        <v>618</v>
      </c>
      <c r="B671">
        <v>0.41184765087124831</v>
      </c>
      <c r="C671" s="1">
        <f t="shared" si="91"/>
        <v>60.573156934159996</v>
      </c>
      <c r="D671" s="1">
        <f t="shared" si="100"/>
        <v>194.83018073565268</v>
      </c>
      <c r="E671" s="1">
        <f t="shared" si="98"/>
        <v>233.58274130193294</v>
      </c>
      <c r="F671" s="1">
        <f t="shared" si="92"/>
        <v>12.499163714927548</v>
      </c>
      <c r="G671" s="1">
        <f t="shared" si="99"/>
        <v>9.3212607894272352</v>
      </c>
      <c r="H671" s="1">
        <f t="shared" si="93"/>
        <v>3.6463351933808612</v>
      </c>
      <c r="I671" s="1">
        <f t="shared" si="94"/>
        <v>94.104375860600257</v>
      </c>
      <c r="K671" s="112">
        <f>C671/'CGE-Flood Weighted Av Calcs'!$D$3</f>
        <v>1.0210281320896816E-2</v>
      </c>
      <c r="L671" s="112">
        <f>D671/'CGE-Flood Weighted Av Calcs'!$D$4</f>
        <v>1.0007837594424496E-2</v>
      </c>
      <c r="M671" s="112">
        <f>E671/'CGE-Flood Weighted Av Calcs'!$D$5</f>
        <v>1.0006325319965271E-2</v>
      </c>
      <c r="N671" s="112">
        <f>F671/'CGE-Flood Weighted Av Calcs'!$D$6</f>
        <v>3.4549530004226166E-3</v>
      </c>
      <c r="O671" s="112">
        <f>G671/'CGE-Flood Weighted Av Calcs'!$D$7</f>
        <v>1.5386950575987117E-2</v>
      </c>
      <c r="P671" s="112">
        <f>H671/'CGE-Flood Weighted Av Calcs'!$D$8</f>
        <v>3.6846928459067507E-2</v>
      </c>
      <c r="R671" s="1">
        <f t="shared" si="95"/>
        <v>0.16337565253576436</v>
      </c>
      <c r="S671" s="1">
        <f t="shared" si="96"/>
        <v>0.18951575694148665</v>
      </c>
      <c r="T671" s="1">
        <f t="shared" si="97"/>
        <v>4.5745182710014021</v>
      </c>
    </row>
    <row r="672" spans="1:20">
      <c r="A672">
        <v>619</v>
      </c>
      <c r="B672">
        <v>0.76640533003971145</v>
      </c>
      <c r="C672" s="1">
        <f t="shared" si="91"/>
        <v>24.057655509576833</v>
      </c>
      <c r="D672" s="1">
        <f t="shared" si="100"/>
        <v>77.380107100933031</v>
      </c>
      <c r="E672" s="1">
        <f t="shared" si="98"/>
        <v>92.771343077471954</v>
      </c>
      <c r="F672" s="1">
        <f t="shared" si="92"/>
        <v>4.9642546307826745</v>
      </c>
      <c r="G672" s="1">
        <f t="shared" si="99"/>
        <v>3.7020966437445662</v>
      </c>
      <c r="H672" s="1">
        <f t="shared" si="93"/>
        <v>1.4482037984276221</v>
      </c>
      <c r="I672" s="1">
        <f t="shared" si="94"/>
        <v>37.375147193646143</v>
      </c>
      <c r="K672" s="112">
        <f>C672/'CGE-Flood Weighted Av Calcs'!$D$3</f>
        <v>4.0551862096439217E-3</v>
      </c>
      <c r="L672" s="112">
        <f>D672/'CGE-Flood Weighted Av Calcs'!$D$4</f>
        <v>3.9747822538646338E-3</v>
      </c>
      <c r="M672" s="112">
        <f>E672/'CGE-Flood Weighted Av Calcs'!$D$5</f>
        <v>3.9741816284421293E-3</v>
      </c>
      <c r="N672" s="112">
        <f>F672/'CGE-Flood Weighted Av Calcs'!$D$6</f>
        <v>1.3721931180884518E-3</v>
      </c>
      <c r="O672" s="112">
        <f>G672/'CGE-Flood Weighted Av Calcs'!$D$7</f>
        <v>6.1111881076686084E-3</v>
      </c>
      <c r="P672" s="112">
        <f>H672/'CGE-Flood Weighted Av Calcs'!$D$8</f>
        <v>1.46343818998537E-2</v>
      </c>
      <c r="R672" s="1">
        <f t="shared" si="95"/>
        <v>6.4887408322302359E-2</v>
      </c>
      <c r="S672" s="1">
        <f t="shared" si="96"/>
        <v>7.5269393653870753E-2</v>
      </c>
      <c r="T672" s="1">
        <f t="shared" si="97"/>
        <v>1.8168474330244671</v>
      </c>
    </row>
    <row r="673" spans="1:20">
      <c r="A673">
        <v>620</v>
      </c>
      <c r="B673">
        <v>0.69953494392629523</v>
      </c>
      <c r="C673" s="1">
        <f t="shared" si="91"/>
        <v>30.944562274968561</v>
      </c>
      <c r="D673" s="1">
        <f t="shared" si="100"/>
        <v>99.531458586035654</v>
      </c>
      <c r="E673" s="1">
        <f t="shared" si="98"/>
        <v>119.32869360651179</v>
      </c>
      <c r="F673" s="1">
        <f t="shared" si="92"/>
        <v>6.3853556515473429</v>
      </c>
      <c r="G673" s="1">
        <f t="shared" si="99"/>
        <v>4.761883804292653</v>
      </c>
      <c r="H673" s="1">
        <f t="shared" si="93"/>
        <v>1.8627763877261465</v>
      </c>
      <c r="I673" s="1">
        <f t="shared" si="94"/>
        <v>48.074408971792749</v>
      </c>
      <c r="K673" s="112">
        <f>C673/'CGE-Flood Weighted Av Calcs'!$D$3</f>
        <v>5.2160511713606836E-3</v>
      </c>
      <c r="L673" s="112">
        <f>D673/'CGE-Flood Weighted Av Calcs'!$D$4</f>
        <v>5.1126302367739554E-3</v>
      </c>
      <c r="M673" s="112">
        <f>E673/'CGE-Flood Weighted Av Calcs'!$D$5</f>
        <v>5.1118576722660293E-3</v>
      </c>
      <c r="N673" s="112">
        <f>F673/'CGE-Flood Weighted Av Calcs'!$D$6</f>
        <v>1.7650063772452062E-3</v>
      </c>
      <c r="O673" s="112">
        <f>G673/'CGE-Flood Weighted Av Calcs'!$D$7</f>
        <v>7.8606180430390946E-3</v>
      </c>
      <c r="P673" s="112">
        <f>H673/'CGE-Flood Weighted Av Calcs'!$D$8</f>
        <v>1.8823718789863952E-2</v>
      </c>
      <c r="R673" s="1">
        <f t="shared" si="95"/>
        <v>8.34625155760291E-2</v>
      </c>
      <c r="S673" s="1">
        <f t="shared" si="96"/>
        <v>9.6816518068193747E-2</v>
      </c>
      <c r="T673" s="1">
        <f t="shared" si="97"/>
        <v>2.3369504361288156</v>
      </c>
    </row>
    <row r="674" spans="1:20">
      <c r="A674">
        <v>621</v>
      </c>
      <c r="B674">
        <v>0.77009696161131458</v>
      </c>
      <c r="C674" s="1">
        <f t="shared" si="91"/>
        <v>23.677458475830292</v>
      </c>
      <c r="D674" s="1">
        <f t="shared" si="100"/>
        <v>76.157224547849097</v>
      </c>
      <c r="E674" s="1">
        <f t="shared" si="98"/>
        <v>91.305223927137547</v>
      </c>
      <c r="F674" s="1">
        <f t="shared" si="92"/>
        <v>4.8858016458426086</v>
      </c>
      <c r="G674" s="1">
        <f t="shared" si="99"/>
        <v>3.6435902709172385</v>
      </c>
      <c r="H674" s="1">
        <f t="shared" si="93"/>
        <v>1.4253169968353605</v>
      </c>
      <c r="I674" s="1">
        <f t="shared" si="94"/>
        <v>36.78448614218965</v>
      </c>
      <c r="K674" s="112">
        <f>C674/'CGE-Flood Weighted Av Calcs'!$D$3</f>
        <v>3.9910997583443445E-3</v>
      </c>
      <c r="L674" s="112">
        <f>D674/'CGE-Flood Weighted Av Calcs'!$D$4</f>
        <v>3.9119664727463874E-3</v>
      </c>
      <c r="M674" s="112">
        <f>E674/'CGE-Flood Weighted Av Calcs'!$D$5</f>
        <v>3.9113753393545557E-3</v>
      </c>
      <c r="N674" s="112">
        <f>F674/'CGE-Flood Weighted Av Calcs'!$D$6</f>
        <v>1.3505075572067204E-3</v>
      </c>
      <c r="O674" s="112">
        <f>G674/'CGE-Flood Weighted Av Calcs'!$D$7</f>
        <v>6.0146094701418627E-3</v>
      </c>
      <c r="P674" s="112">
        <f>H674/'CGE-Flood Weighted Av Calcs'!$D$8</f>
        <v>1.4403106304988537E-2</v>
      </c>
      <c r="R674" s="1">
        <f t="shared" si="95"/>
        <v>6.386195510796816E-2</v>
      </c>
      <c r="S674" s="1">
        <f t="shared" si="96"/>
        <v>7.407986792524307E-2</v>
      </c>
      <c r="T674" s="1">
        <f t="shared" si="97"/>
        <v>1.7881347430231092</v>
      </c>
    </row>
    <row r="675" spans="1:20">
      <c r="A675">
        <v>622</v>
      </c>
      <c r="B675">
        <v>0.22301012289323952</v>
      </c>
      <c r="C675" s="1">
        <f t="shared" si="91"/>
        <v>80.021324121139585</v>
      </c>
      <c r="D675" s="1">
        <f t="shared" si="100"/>
        <v>257.38412574688891</v>
      </c>
      <c r="E675" s="1">
        <f t="shared" si="98"/>
        <v>308.5789349091234</v>
      </c>
      <c r="F675" s="1">
        <f t="shared" si="92"/>
        <v>16.512258589437096</v>
      </c>
      <c r="G675" s="1">
        <f t="shared" si="99"/>
        <v>12.314029325880805</v>
      </c>
      <c r="H675" s="1">
        <f t="shared" si="93"/>
        <v>4.81706064422238</v>
      </c>
      <c r="I675" s="1">
        <f t="shared" si="94"/>
        <v>124.31838033708168</v>
      </c>
      <c r="K675" s="112">
        <f>C675/'CGE-Flood Weighted Av Calcs'!$D$3</f>
        <v>1.3488486852940211E-2</v>
      </c>
      <c r="L675" s="112">
        <f>D675/'CGE-Flood Weighted Av Calcs'!$D$4</f>
        <v>1.3221044707404674E-2</v>
      </c>
      <c r="M675" s="112">
        <f>E675/'CGE-Flood Weighted Av Calcs'!$D$5</f>
        <v>1.321904688839066E-2</v>
      </c>
      <c r="N675" s="112">
        <f>F675/'CGE-Flood Weighted Av Calcs'!$D$6</f>
        <v>4.5642315484832824E-3</v>
      </c>
      <c r="O675" s="112">
        <f>G675/'CGE-Flood Weighted Av Calcs'!$D$7</f>
        <v>2.0327224493439648E-2</v>
      </c>
      <c r="P675" s="112">
        <f>H675/'CGE-Flood Weighted Av Calcs'!$D$8</f>
        <v>4.8677337525868093E-2</v>
      </c>
      <c r="R675" s="1">
        <f t="shared" si="95"/>
        <v>0.21583052141854459</v>
      </c>
      <c r="S675" s="1">
        <f t="shared" si="96"/>
        <v>0.25036340484551167</v>
      </c>
      <c r="T675" s="1">
        <f t="shared" si="97"/>
        <v>6.0432545997192486</v>
      </c>
    </row>
    <row r="676" spans="1:20">
      <c r="A676">
        <v>623</v>
      </c>
      <c r="B676">
        <v>0.24091257274820965</v>
      </c>
      <c r="C676" s="1">
        <f t="shared" si="91"/>
        <v>78.177570702187168</v>
      </c>
      <c r="D676" s="1">
        <f t="shared" si="100"/>
        <v>251.45379571246571</v>
      </c>
      <c r="E676" s="1">
        <f t="shared" si="98"/>
        <v>301.4690367350554</v>
      </c>
      <c r="F676" s="1">
        <f t="shared" si="92"/>
        <v>16.131803335000001</v>
      </c>
      <c r="G676" s="1">
        <f t="shared" si="99"/>
        <v>12.030304532270755</v>
      </c>
      <c r="H676" s="1">
        <f t="shared" si="93"/>
        <v>4.7060718280583158</v>
      </c>
      <c r="I676" s="1">
        <f t="shared" si="94"/>
        <v>121.45398836028644</v>
      </c>
      <c r="K676" s="112">
        <f>C676/'CGE-Flood Weighted Av Calcs'!$D$3</f>
        <v>1.3177701646312602E-2</v>
      </c>
      <c r="L676" s="112">
        <f>D676/'CGE-Flood Weighted Av Calcs'!$D$4</f>
        <v>1.2916421575394282E-2</v>
      </c>
      <c r="M676" s="112">
        <f>E676/'CGE-Flood Weighted Av Calcs'!$D$5</f>
        <v>1.2914469787681024E-2</v>
      </c>
      <c r="N676" s="112">
        <f>F676/'CGE-Flood Weighted Av Calcs'!$D$6</f>
        <v>4.4590681109267236E-3</v>
      </c>
      <c r="O676" s="112">
        <f>G676/'CGE-Flood Weighted Av Calcs'!$D$7</f>
        <v>1.9858869463462183E-2</v>
      </c>
      <c r="P676" s="112">
        <f>H676/'CGE-Flood Weighted Av Calcs'!$D$8</f>
        <v>4.7555773886744167E-2</v>
      </c>
      <c r="R676" s="1">
        <f t="shared" si="95"/>
        <v>0.21085761868105288</v>
      </c>
      <c r="S676" s="1">
        <f t="shared" si="96"/>
        <v>0.24459483767002133</v>
      </c>
      <c r="T676" s="1">
        <f t="shared" si="97"/>
        <v>5.9040133230694805</v>
      </c>
    </row>
    <row r="677" spans="1:20">
      <c r="A677">
        <v>624</v>
      </c>
      <c r="B677">
        <v>0.39626855645057224</v>
      </c>
      <c r="C677" s="1">
        <f t="shared" si="91"/>
        <v>62.177630558440512</v>
      </c>
      <c r="D677" s="1">
        <f t="shared" si="100"/>
        <v>199.99088065664148</v>
      </c>
      <c r="E677" s="1">
        <f t="shared" si="98"/>
        <v>239.76992662419465</v>
      </c>
      <c r="F677" s="1">
        <f t="shared" si="92"/>
        <v>12.830244007274924</v>
      </c>
      <c r="G677" s="1">
        <f t="shared" si="99"/>
        <v>9.5681641677327836</v>
      </c>
      <c r="H677" s="1">
        <f t="shared" si="93"/>
        <v>3.7429200329233092</v>
      </c>
      <c r="I677" s="1">
        <f t="shared" si="94"/>
        <v>96.597030967908438</v>
      </c>
      <c r="K677" s="112">
        <f>C677/'CGE-Flood Weighted Av Calcs'!$D$3</f>
        <v>1.0480733248863349E-2</v>
      </c>
      <c r="L677" s="112">
        <f>D677/'CGE-Flood Weighted Av Calcs'!$D$4</f>
        <v>1.0272927153381951E-2</v>
      </c>
      <c r="M677" s="112">
        <f>E677/'CGE-Flood Weighted Av Calcs'!$D$5</f>
        <v>1.0271374821501165E-2</v>
      </c>
      <c r="N677" s="112">
        <f>F677/'CGE-Flood Weighted Av Calcs'!$D$6</f>
        <v>3.5464684710184826E-3</v>
      </c>
      <c r="O677" s="112">
        <f>G677/'CGE-Flood Weighted Av Calcs'!$D$7</f>
        <v>1.5794523131337238E-2</v>
      </c>
      <c r="P677" s="112">
        <f>H677/'CGE-Flood Weighted Av Calcs'!$D$8</f>
        <v>3.7822937104490847E-2</v>
      </c>
      <c r="R677" s="1">
        <f t="shared" si="95"/>
        <v>0.16770317876372992</v>
      </c>
      <c r="S677" s="1">
        <f t="shared" si="96"/>
        <v>0.19453568736592669</v>
      </c>
      <c r="T677" s="1">
        <f t="shared" si="97"/>
        <v>4.6956890053844385</v>
      </c>
    </row>
    <row r="678" spans="1:20">
      <c r="A678">
        <v>625</v>
      </c>
      <c r="B678">
        <v>0.11241321924634862</v>
      </c>
      <c r="C678" s="1">
        <f t="shared" si="91"/>
        <v>91.411576342284377</v>
      </c>
      <c r="D678" s="1">
        <f t="shared" si="100"/>
        <v>294.02023671073431</v>
      </c>
      <c r="E678" s="1">
        <f t="shared" si="98"/>
        <v>352.5021258504068</v>
      </c>
      <c r="F678" s="1">
        <f t="shared" si="92"/>
        <v>18.862616973781392</v>
      </c>
      <c r="G678" s="1">
        <f t="shared" si="99"/>
        <v>14.066810867811112</v>
      </c>
      <c r="H678" s="1">
        <f t="shared" si="93"/>
        <v>5.5027220764074114</v>
      </c>
      <c r="I678" s="1">
        <f t="shared" si="94"/>
        <v>142.01388492058422</v>
      </c>
      <c r="K678" s="112">
        <f>C678/'CGE-Flood Weighted Av Calcs'!$D$3</f>
        <v>1.5408440927981534E-2</v>
      </c>
      <c r="L678" s="112">
        <f>D678/'CGE-Flood Weighted Av Calcs'!$D$4</f>
        <v>1.5102931010815494E-2</v>
      </c>
      <c r="M678" s="112">
        <f>E678/'CGE-Flood Weighted Av Calcs'!$D$5</f>
        <v>1.5100648821819961E-2</v>
      </c>
      <c r="N678" s="112">
        <f>F678/'CGE-Flood Weighted Av Calcs'!$D$6</f>
        <v>5.213905233640374E-3</v>
      </c>
      <c r="O678" s="112">
        <f>G678/'CGE-Flood Weighted Av Calcs'!$D$7</f>
        <v>2.3220605932437171E-2</v>
      </c>
      <c r="P678" s="112">
        <f>H678/'CGE-Flood Weighted Av Calcs'!$D$8</f>
        <v>5.5606080057472411E-2</v>
      </c>
      <c r="R678" s="1">
        <f t="shared" si="95"/>
        <v>0.24655188354268093</v>
      </c>
      <c r="S678" s="1">
        <f t="shared" si="96"/>
        <v>0.28600018490950985</v>
      </c>
      <c r="T678" s="1">
        <f t="shared" si="97"/>
        <v>6.9034527391950666</v>
      </c>
    </row>
    <row r="679" spans="1:20">
      <c r="A679">
        <v>626</v>
      </c>
      <c r="B679">
        <v>0.67720823206532466</v>
      </c>
      <c r="C679" s="1">
        <f t="shared" si="91"/>
        <v>33.243965522072294</v>
      </c>
      <c r="D679" s="1">
        <f t="shared" si="100"/>
        <v>106.92736087827234</v>
      </c>
      <c r="E679" s="1">
        <f t="shared" si="98"/>
        <v>128.1956726612911</v>
      </c>
      <c r="F679" s="1">
        <f t="shared" si="92"/>
        <v>6.85983344149356</v>
      </c>
      <c r="G679" s="1">
        <f t="shared" si="99"/>
        <v>5.1157259748370514</v>
      </c>
      <c r="H679" s="1">
        <f t="shared" si="93"/>
        <v>2.0011940533730272</v>
      </c>
      <c r="I679" s="1">
        <f t="shared" si="94"/>
        <v>51.64668286954803</v>
      </c>
      <c r="K679" s="112">
        <f>C679/'CGE-Flood Weighted Av Calcs'!$D$3</f>
        <v>5.6036412394932008E-3</v>
      </c>
      <c r="L679" s="112">
        <f>D679/'CGE-Flood Weighted Av Calcs'!$D$4</f>
        <v>5.4925353866098706E-3</v>
      </c>
      <c r="M679" s="112">
        <f>E679/'CGE-Flood Weighted Av Calcs'!$D$5</f>
        <v>5.4917054150097934E-3</v>
      </c>
      <c r="N679" s="112">
        <f>F679/'CGE-Flood Weighted Av Calcs'!$D$6</f>
        <v>1.8961590288462719E-3</v>
      </c>
      <c r="O679" s="112">
        <f>G679/'CGE-Flood Weighted Av Calcs'!$D$7</f>
        <v>8.4447184252580132E-3</v>
      </c>
      <c r="P679" s="112">
        <f>H679/'CGE-Flood Weighted Av Calcs'!$D$8</f>
        <v>2.022245630385339E-2</v>
      </c>
      <c r="R679" s="1">
        <f t="shared" si="95"/>
        <v>8.9664379981854253E-2</v>
      </c>
      <c r="S679" s="1">
        <f t="shared" si="96"/>
        <v>0.10401068077895093</v>
      </c>
      <c r="T679" s="1">
        <f t="shared" si="97"/>
        <v>2.5106026394919194</v>
      </c>
    </row>
    <row r="680" spans="1:20">
      <c r="A680">
        <v>627</v>
      </c>
      <c r="B680">
        <v>0.26267687442059506</v>
      </c>
      <c r="C680" s="1">
        <f t="shared" si="91"/>
        <v>75.936089455505609</v>
      </c>
      <c r="D680" s="1">
        <f t="shared" si="100"/>
        <v>244.2441963039154</v>
      </c>
      <c r="E680" s="1">
        <f t="shared" si="98"/>
        <v>292.82541700848498</v>
      </c>
      <c r="F680" s="1">
        <f t="shared" si="92"/>
        <v>15.669277647315184</v>
      </c>
      <c r="G680" s="1">
        <f t="shared" si="99"/>
        <v>11.685375651023252</v>
      </c>
      <c r="H680" s="1">
        <f t="shared" si="93"/>
        <v>4.5711409053731726</v>
      </c>
      <c r="I680" s="1">
        <f t="shared" si="94"/>
        <v>117.97170009270479</v>
      </c>
      <c r="K680" s="112">
        <f>C680/'CGE-Flood Weighted Av Calcs'!$D$3</f>
        <v>1.2799874977496094E-2</v>
      </c>
      <c r="L680" s="112">
        <f>D680/'CGE-Flood Weighted Av Calcs'!$D$4</f>
        <v>1.2546086241673438E-2</v>
      </c>
      <c r="M680" s="112">
        <f>E680/'CGE-Flood Weighted Av Calcs'!$D$5</f>
        <v>1.2544190414966867E-2</v>
      </c>
      <c r="N680" s="112">
        <f>F680/'CGE-Flood Weighted Av Calcs'!$D$6</f>
        <v>4.3312191964804932E-3</v>
      </c>
      <c r="O680" s="112">
        <f>G680/'CGE-Flood Weighted Av Calcs'!$D$7</f>
        <v>1.9289482578159513E-2</v>
      </c>
      <c r="P680" s="112">
        <f>H680/'CGE-Flood Weighted Av Calcs'!$D$8</f>
        <v>4.6192270590579669E-2</v>
      </c>
      <c r="R680" s="1">
        <f t="shared" si="95"/>
        <v>0.20481197932761247</v>
      </c>
      <c r="S680" s="1">
        <f t="shared" si="96"/>
        <v>0.23758189602003046</v>
      </c>
      <c r="T680" s="1">
        <f t="shared" si="97"/>
        <v>5.7347354211731494</v>
      </c>
    </row>
    <row r="681" spans="1:20">
      <c r="A681">
        <v>628</v>
      </c>
      <c r="B681">
        <v>0.13940856155815617</v>
      </c>
      <c r="C681" s="1">
        <f t="shared" si="91"/>
        <v>88.631356032416122</v>
      </c>
      <c r="D681" s="1">
        <f t="shared" si="100"/>
        <v>285.07781315428446</v>
      </c>
      <c r="E681" s="1">
        <f t="shared" si="98"/>
        <v>341.78101580312597</v>
      </c>
      <c r="F681" s="1">
        <f t="shared" si="92"/>
        <v>18.288923434011259</v>
      </c>
      <c r="G681" s="1">
        <f t="shared" si="99"/>
        <v>13.638978476831181</v>
      </c>
      <c r="H681" s="1">
        <f t="shared" si="93"/>
        <v>5.3353605639103163</v>
      </c>
      <c r="I681" s="1">
        <f t="shared" si="94"/>
        <v>137.69463015069502</v>
      </c>
      <c r="K681" s="112">
        <f>C681/'CGE-Flood Weighted Av Calcs'!$D$3</f>
        <v>1.4939803780198716E-2</v>
      </c>
      <c r="L681" s="112">
        <f>D681/'CGE-Flood Weighted Av Calcs'!$D$4</f>
        <v>1.4643585737328668E-2</v>
      </c>
      <c r="M681" s="112">
        <f>E681/'CGE-Flood Weighted Av Calcs'!$D$5</f>
        <v>1.4641372959543946E-2</v>
      </c>
      <c r="N681" s="112">
        <f>F681/'CGE-Flood Weighted Av Calcs'!$D$6</f>
        <v>5.0553278870467998E-3</v>
      </c>
      <c r="O681" s="112">
        <f>G681/'CGE-Flood Weighted Av Calcs'!$D$7</f>
        <v>2.2514367151704684E-2</v>
      </c>
      <c r="P681" s="112">
        <f>H681/'CGE-Flood Weighted Av Calcs'!$D$8</f>
        <v>5.3914859324673013E-2</v>
      </c>
      <c r="R681" s="1">
        <f t="shared" si="95"/>
        <v>0.23905317734495662</v>
      </c>
      <c r="S681" s="1">
        <f t="shared" si="96"/>
        <v>0.27730168572014968</v>
      </c>
      <c r="T681" s="1">
        <f t="shared" si="97"/>
        <v>6.6934889656587853</v>
      </c>
    </row>
    <row r="682" spans="1:20">
      <c r="A682">
        <v>629</v>
      </c>
      <c r="B682">
        <v>0.82720405621170101</v>
      </c>
      <c r="C682" s="1">
        <f t="shared" si="91"/>
        <v>17.79606225526382</v>
      </c>
      <c r="D682" s="1">
        <f t="shared" si="100"/>
        <v>57.240041646577225</v>
      </c>
      <c r="E682" s="1">
        <f t="shared" si="98"/>
        <v>68.625332017657172</v>
      </c>
      <c r="F682" s="1">
        <f t="shared" si="92"/>
        <v>3.6721859461834203</v>
      </c>
      <c r="G682" s="1">
        <f t="shared" si="99"/>
        <v>2.7385354454366944</v>
      </c>
      <c r="H682" s="1">
        <f t="shared" si="93"/>
        <v>1.071273339368755</v>
      </c>
      <c r="I682" s="1">
        <f t="shared" si="94"/>
        <v>27.64735100612782</v>
      </c>
      <c r="K682" s="112">
        <f>C682/'CGE-Flood Weighted Av Calcs'!$D$3</f>
        <v>2.9997248158609088E-3</v>
      </c>
      <c r="L682" s="112">
        <f>D682/'CGE-Flood Weighted Av Calcs'!$D$4</f>
        <v>2.9402479561125394E-3</v>
      </c>
      <c r="M682" s="112">
        <f>E682/'CGE-Flood Weighted Av Calcs'!$D$5</f>
        <v>2.9398036581464843E-3</v>
      </c>
      <c r="N682" s="112">
        <f>F682/'CGE-Flood Weighted Av Calcs'!$D$6</f>
        <v>1.0150462976754213E-3</v>
      </c>
      <c r="O682" s="112">
        <f>G682/'CGE-Flood Weighted Av Calcs'!$D$7</f>
        <v>4.5206019337339582E-3</v>
      </c>
      <c r="P682" s="112">
        <f>H682/'CGE-Flood Weighted Av Calcs'!$D$8</f>
        <v>1.0825426079171729E-2</v>
      </c>
      <c r="R682" s="1">
        <f t="shared" si="95"/>
        <v>4.7998873274527482E-2</v>
      </c>
      <c r="S682" s="1">
        <f t="shared" si="96"/>
        <v>5.5678692998451906E-2</v>
      </c>
      <c r="T682" s="1">
        <f t="shared" si="97"/>
        <v>1.34396845168677</v>
      </c>
    </row>
    <row r="683" spans="1:20">
      <c r="A683">
        <v>630</v>
      </c>
      <c r="B683">
        <v>0.2729742689993192</v>
      </c>
      <c r="C683" s="1">
        <f t="shared" si="91"/>
        <v>74.875572229392333</v>
      </c>
      <c r="D683" s="1">
        <f t="shared" si="100"/>
        <v>240.83310179778775</v>
      </c>
      <c r="E683" s="1">
        <f t="shared" si="98"/>
        <v>288.73584114004018</v>
      </c>
      <c r="F683" s="1">
        <f t="shared" si="92"/>
        <v>15.450441794891335</v>
      </c>
      <c r="G683" s="1">
        <f t="shared" si="99"/>
        <v>11.522178648644349</v>
      </c>
      <c r="H683" s="1">
        <f t="shared" si="93"/>
        <v>4.5073007246646339</v>
      </c>
      <c r="I683" s="1">
        <f t="shared" si="94"/>
        <v>116.32411696010892</v>
      </c>
      <c r="K683" s="112">
        <f>C683/'CGE-Flood Weighted Av Calcs'!$D$3</f>
        <v>1.2621112968508459E-2</v>
      </c>
      <c r="L683" s="112">
        <f>D683/'CGE-Flood Weighted Av Calcs'!$D$4</f>
        <v>1.2370868625451659E-2</v>
      </c>
      <c r="M683" s="112">
        <f>E683/'CGE-Flood Weighted Av Calcs'!$D$5</f>
        <v>1.2368999275706102E-2</v>
      </c>
      <c r="N683" s="112">
        <f>F683/'CGE-Flood Weighted Av Calcs'!$D$6</f>
        <v>4.2707297427717738E-3</v>
      </c>
      <c r="O683" s="112">
        <f>G683/'CGE-Flood Weighted Av Calcs'!$D$7</f>
        <v>1.9020087239215486E-2</v>
      </c>
      <c r="P683" s="112">
        <f>H683/'CGE-Flood Weighted Av Calcs'!$D$8</f>
        <v>4.5547153110526928E-2</v>
      </c>
      <c r="R683" s="1">
        <f t="shared" si="95"/>
        <v>0.20195159194463355</v>
      </c>
      <c r="S683" s="1">
        <f t="shared" si="96"/>
        <v>0.2342638466557749</v>
      </c>
      <c r="T683" s="1">
        <f t="shared" si="97"/>
        <v>5.6546445744497396</v>
      </c>
    </row>
    <row r="684" spans="1:20">
      <c r="A684">
        <v>631</v>
      </c>
      <c r="B684">
        <v>0.77129626475477187</v>
      </c>
      <c r="C684" s="1">
        <f t="shared" si="91"/>
        <v>23.553943577644674</v>
      </c>
      <c r="D684" s="1">
        <f t="shared" si="100"/>
        <v>75.759945767031951</v>
      </c>
      <c r="E684" s="1">
        <f t="shared" si="98"/>
        <v>90.828924688826703</v>
      </c>
      <c r="F684" s="1">
        <f t="shared" si="92"/>
        <v>4.8603145652314268</v>
      </c>
      <c r="G684" s="1">
        <f t="shared" si="99"/>
        <v>3.6245832612839255</v>
      </c>
      <c r="H684" s="1">
        <f t="shared" si="93"/>
        <v>1.4178817442753759</v>
      </c>
      <c r="I684" s="1">
        <f t="shared" si="94"/>
        <v>36.592597639236473</v>
      </c>
      <c r="K684" s="112">
        <f>C684/'CGE-Flood Weighted Av Calcs'!$D$3</f>
        <v>3.970279944393292E-3</v>
      </c>
      <c r="L684" s="112">
        <f>D684/'CGE-Flood Weighted Av Calcs'!$D$4</f>
        <v>3.89155946237912E-3</v>
      </c>
      <c r="M684" s="112">
        <f>E684/'CGE-Flood Weighted Av Calcs'!$D$5</f>
        <v>3.8909714126704803E-3</v>
      </c>
      <c r="N684" s="112">
        <f>F684/'CGE-Flood Weighted Av Calcs'!$D$6</f>
        <v>1.3434625526257779E-3</v>
      </c>
      <c r="O684" s="112">
        <f>G684/'CGE-Flood Weighted Av Calcs'!$D$7</f>
        <v>5.9832338950526181E-3</v>
      </c>
      <c r="P684" s="112">
        <f>H684/'CGE-Flood Weighted Av Calcs'!$D$8</f>
        <v>1.4327971627394942E-2</v>
      </c>
      <c r="R684" s="1">
        <f t="shared" si="95"/>
        <v>6.3528815345896689E-2</v>
      </c>
      <c r="S684" s="1">
        <f t="shared" si="96"/>
        <v>7.3693425801240164E-2</v>
      </c>
      <c r="T684" s="1">
        <f t="shared" si="97"/>
        <v>1.7788068296851085</v>
      </c>
    </row>
    <row r="685" spans="1:20">
      <c r="A685">
        <v>632</v>
      </c>
      <c r="B685">
        <v>0.42894577934364964</v>
      </c>
      <c r="C685" s="1">
        <f t="shared" si="91"/>
        <v>58.812239680707911</v>
      </c>
      <c r="D685" s="1">
        <f t="shared" si="100"/>
        <v>189.1662886072713</v>
      </c>
      <c r="E685" s="1">
        <f t="shared" si="98"/>
        <v>226.79227667889384</v>
      </c>
      <c r="F685" s="1">
        <f t="shared" si="92"/>
        <v>12.135801556616036</v>
      </c>
      <c r="G685" s="1">
        <f t="shared" si="99"/>
        <v>9.0502831851747452</v>
      </c>
      <c r="H685" s="1">
        <f t="shared" si="93"/>
        <v>3.5403328834653798</v>
      </c>
      <c r="I685" s="1">
        <f t="shared" si="94"/>
        <v>91.368675305016041</v>
      </c>
      <c r="K685" s="112">
        <f>C685/'CGE-Flood Weighted Av Calcs'!$D$3</f>
        <v>9.9134590740373764E-3</v>
      </c>
      <c r="L685" s="112">
        <f>D685/'CGE-Flood Weighted Av Calcs'!$D$4</f>
        <v>9.7169005724541246E-3</v>
      </c>
      <c r="M685" s="112">
        <f>E685/'CGE-Flood Weighted Av Calcs'!$D$5</f>
        <v>9.7154322612010777E-3</v>
      </c>
      <c r="N685" s="112">
        <f>F685/'CGE-Flood Weighted Av Calcs'!$D$6</f>
        <v>3.3545143464669847E-3</v>
      </c>
      <c r="O685" s="112">
        <f>G685/'CGE-Flood Weighted Av Calcs'!$D$7</f>
        <v>1.4939637803817735E-2</v>
      </c>
      <c r="P685" s="112">
        <f>H685/'CGE-Flood Weighted Av Calcs'!$D$8</f>
        <v>3.5775754438357101E-2</v>
      </c>
      <c r="R685" s="1">
        <f t="shared" si="95"/>
        <v>0.15862617240454174</v>
      </c>
      <c r="S685" s="1">
        <f t="shared" si="96"/>
        <v>0.18400635998926845</v>
      </c>
      <c r="T685" s="1">
        <f t="shared" si="97"/>
        <v>4.441532827327169</v>
      </c>
    </row>
    <row r="686" spans="1:20">
      <c r="A686">
        <v>633</v>
      </c>
      <c r="B686">
        <v>0.65953653007759339</v>
      </c>
      <c r="C686" s="1">
        <f t="shared" si="91"/>
        <v>35.063954474564305</v>
      </c>
      <c r="D686" s="1">
        <f t="shared" si="100"/>
        <v>112.78125383181825</v>
      </c>
      <c r="E686" s="1">
        <f t="shared" si="98"/>
        <v>135.21393009047543</v>
      </c>
      <c r="F686" s="1">
        <f t="shared" si="92"/>
        <v>7.2353849403412021</v>
      </c>
      <c r="G686" s="1">
        <f t="shared" si="99"/>
        <v>5.395793789009165</v>
      </c>
      <c r="H686" s="1">
        <f t="shared" si="93"/>
        <v>2.1107523149021286</v>
      </c>
      <c r="I686" s="1">
        <f t="shared" si="94"/>
        <v>54.47415518758504</v>
      </c>
      <c r="K686" s="112">
        <f>C686/'CGE-Flood Weighted Av Calcs'!$D$3</f>
        <v>5.9104206801960536E-3</v>
      </c>
      <c r="L686" s="112">
        <f>D686/'CGE-Flood Weighted Av Calcs'!$D$4</f>
        <v>5.7932321767736172E-3</v>
      </c>
      <c r="M686" s="112">
        <f>E686/'CGE-Flood Weighted Av Calcs'!$D$5</f>
        <v>5.7923567671784235E-3</v>
      </c>
      <c r="N686" s="112">
        <f>F686/'CGE-Flood Weighted Av Calcs'!$D$6</f>
        <v>1.9999669961110957E-3</v>
      </c>
      <c r="O686" s="112">
        <f>G686/'CGE-Flood Weighted Av Calcs'!$D$7</f>
        <v>8.9070367437712166E-3</v>
      </c>
      <c r="P686" s="112">
        <f>H686/'CGE-Flood Weighted Av Calcs'!$D$8</f>
        <v>2.132956390931728E-2</v>
      </c>
      <c r="R686" s="1">
        <f t="shared" si="95"/>
        <v>9.4573186089557393E-2</v>
      </c>
      <c r="S686" s="1">
        <f t="shared" si="96"/>
        <v>0.10970489586388657</v>
      </c>
      <c r="T686" s="1">
        <f t="shared" si="97"/>
        <v>2.6480492105076072</v>
      </c>
    </row>
    <row r="687" spans="1:20">
      <c r="A687">
        <v>634</v>
      </c>
      <c r="B687">
        <v>0.7873681949278668</v>
      </c>
      <c r="C687" s="1">
        <f t="shared" si="91"/>
        <v>21.898713346817814</v>
      </c>
      <c r="D687" s="1">
        <f t="shared" si="100"/>
        <v>70.43599005209964</v>
      </c>
      <c r="E687" s="1">
        <f t="shared" si="98"/>
        <v>84.446011293333413</v>
      </c>
      <c r="F687" s="1">
        <f t="shared" si="92"/>
        <v>4.5187607369657137</v>
      </c>
      <c r="G687" s="1">
        <f t="shared" si="99"/>
        <v>3.3698692356495794</v>
      </c>
      <c r="H687" s="1">
        <f t="shared" si="93"/>
        <v>1.3182414985082254</v>
      </c>
      <c r="I687" s="1">
        <f t="shared" si="94"/>
        <v>34.02108881154129</v>
      </c>
      <c r="K687" s="112">
        <f>C687/'CGE-Flood Weighted Av Calcs'!$D$3</f>
        <v>3.6912724241815742E-3</v>
      </c>
      <c r="L687" s="112">
        <f>D687/'CGE-Flood Weighted Av Calcs'!$D$4</f>
        <v>3.6180839466568243E-3</v>
      </c>
      <c r="M687" s="112">
        <f>E687/'CGE-Flood Weighted Av Calcs'!$D$5</f>
        <v>3.6175372215633936E-3</v>
      </c>
      <c r="N687" s="112">
        <f>F687/'CGE-Flood Weighted Av Calcs'!$D$6</f>
        <v>1.2490520423959503E-3</v>
      </c>
      <c r="O687" s="112">
        <f>G687/'CGE-Flood Weighted Av Calcs'!$D$7</f>
        <v>5.5627680147403878E-3</v>
      </c>
      <c r="P687" s="112">
        <f>H687/'CGE-Flood Weighted Av Calcs'!$D$8</f>
        <v>1.3321087506019923E-2</v>
      </c>
      <c r="R687" s="1">
        <f t="shared" si="95"/>
        <v>5.9064390297814767E-2</v>
      </c>
      <c r="S687" s="1">
        <f t="shared" si="96"/>
        <v>6.851469274546515E-2</v>
      </c>
      <c r="T687" s="1">
        <f t="shared" si="97"/>
        <v>1.6538029283388145</v>
      </c>
    </row>
    <row r="688" spans="1:20">
      <c r="A688">
        <v>635</v>
      </c>
      <c r="B688">
        <v>0.90528580156790517</v>
      </c>
      <c r="C688" s="1">
        <f t="shared" si="91"/>
        <v>9.7545100585232092</v>
      </c>
      <c r="D688" s="1">
        <f t="shared" si="100"/>
        <v>31.374837533324126</v>
      </c>
      <c r="E688" s="1">
        <f t="shared" si="98"/>
        <v>37.615427606055334</v>
      </c>
      <c r="F688" s="1">
        <f t="shared" si="92"/>
        <v>2.0128258844575875</v>
      </c>
      <c r="G688" s="1">
        <f t="shared" si="99"/>
        <v>1.5010664249746135</v>
      </c>
      <c r="H688" s="1">
        <f t="shared" si="93"/>
        <v>0.58719431379879339</v>
      </c>
      <c r="I688" s="1">
        <f t="shared" si="94"/>
        <v>15.154271749135148</v>
      </c>
      <c r="K688" s="112">
        <f>C688/'CGE-Flood Weighted Av Calcs'!$D$3</f>
        <v>1.6442314861233966E-3</v>
      </c>
      <c r="L688" s="112">
        <f>D688/'CGE-Flood Weighted Av Calcs'!$D$4</f>
        <v>1.6116305872086222E-3</v>
      </c>
      <c r="M688" s="112">
        <f>E688/'CGE-Flood Weighted Av Calcs'!$D$5</f>
        <v>1.6113870553015786E-3</v>
      </c>
      <c r="N688" s="112">
        <f>F688/'CGE-Flood Weighted Av Calcs'!$D$6</f>
        <v>5.563747293372707E-4</v>
      </c>
      <c r="O688" s="112">
        <f>G688/'CGE-Flood Weighted Av Calcs'!$D$7</f>
        <v>2.4778659683629867E-3</v>
      </c>
      <c r="P688" s="112">
        <f>H688/'CGE-Flood Weighted Av Calcs'!$D$8</f>
        <v>5.933713091268035E-3</v>
      </c>
      <c r="R688" s="1">
        <f t="shared" si="95"/>
        <v>2.6309499564470762E-2</v>
      </c>
      <c r="S688" s="1">
        <f t="shared" si="96"/>
        <v>3.0519019494786137E-2</v>
      </c>
      <c r="T688" s="1">
        <f t="shared" si="97"/>
        <v>0.73666598780518289</v>
      </c>
    </row>
    <row r="689" spans="1:20">
      <c r="A689">
        <v>636</v>
      </c>
      <c r="B689">
        <v>0.24807056872310629</v>
      </c>
      <c r="C689" s="1">
        <f t="shared" si="91"/>
        <v>77.440376650061424</v>
      </c>
      <c r="D689" s="1">
        <f t="shared" si="100"/>
        <v>249.08265216171725</v>
      </c>
      <c r="E689" s="1">
        <f t="shared" si="98"/>
        <v>298.62626253799351</v>
      </c>
      <c r="F689" s="1">
        <f t="shared" si="92"/>
        <v>15.979684647225383</v>
      </c>
      <c r="G689" s="1">
        <f t="shared" si="99"/>
        <v>11.916861905865337</v>
      </c>
      <c r="H689" s="1">
        <f t="shared" si="93"/>
        <v>4.661694801126421</v>
      </c>
      <c r="I689" s="1">
        <f t="shared" si="94"/>
        <v>120.30870900430298</v>
      </c>
      <c r="K689" s="112">
        <f>C689/'CGE-Flood Weighted Av Calcs'!$D$3</f>
        <v>1.3053439365109772E-2</v>
      </c>
      <c r="L689" s="112">
        <f>D689/'CGE-Flood Weighted Av Calcs'!$D$4</f>
        <v>1.2794623096948302E-2</v>
      </c>
      <c r="M689" s="112">
        <f>E689/'CGE-Flood Weighted Av Calcs'!$D$5</f>
        <v>1.2792689714082886E-2</v>
      </c>
      <c r="N689" s="112">
        <f>F689/'CGE-Flood Weighted Av Calcs'!$D$6</f>
        <v>4.4170202644680367E-3</v>
      </c>
      <c r="O689" s="112">
        <f>G689/'CGE-Flood Weighted Av Calcs'!$D$7</f>
        <v>1.9671605516540944E-2</v>
      </c>
      <c r="P689" s="112">
        <f>H689/'CGE-Flood Weighted Av Calcs'!$D$8</f>
        <v>4.7107335372491857E-2</v>
      </c>
      <c r="R689" s="1">
        <f t="shared" si="95"/>
        <v>0.2088692864658038</v>
      </c>
      <c r="S689" s="1">
        <f t="shared" si="96"/>
        <v>0.2422883723003324</v>
      </c>
      <c r="T689" s="1">
        <f t="shared" si="97"/>
        <v>5.8483400210425067</v>
      </c>
    </row>
    <row r="690" spans="1:20">
      <c r="A690">
        <v>637</v>
      </c>
      <c r="B690">
        <v>0.21623891403622786</v>
      </c>
      <c r="C690" s="1">
        <f t="shared" si="91"/>
        <v>80.718683397757829</v>
      </c>
      <c r="D690" s="1">
        <f t="shared" si="100"/>
        <v>259.62714296405153</v>
      </c>
      <c r="E690" s="1">
        <f t="shared" si="98"/>
        <v>311.2680978940059</v>
      </c>
      <c r="F690" s="1">
        <f t="shared" si="92"/>
        <v>16.656157441795887</v>
      </c>
      <c r="G690" s="1">
        <f t="shared" si="99"/>
        <v>12.421342003810905</v>
      </c>
      <c r="H690" s="1">
        <f t="shared" si="93"/>
        <v>4.8590397287123563</v>
      </c>
      <c r="I690" s="1">
        <f t="shared" si="94"/>
        <v>125.40177375420353</v>
      </c>
      <c r="K690" s="112">
        <f>C690/'CGE-Flood Weighted Av Calcs'!$D$3</f>
        <v>1.360603453835718E-2</v>
      </c>
      <c r="L690" s="112">
        <f>D690/'CGE-Flood Weighted Av Calcs'!$D$4</f>
        <v>1.3336261723300782E-2</v>
      </c>
      <c r="M690" s="112">
        <f>E690/'CGE-Flood Weighted Av Calcs'!$D$5</f>
        <v>1.3334246493957239E-2</v>
      </c>
      <c r="N690" s="112">
        <f>F690/'CGE-Flood Weighted Av Calcs'!$D$6</f>
        <v>4.6040073113305701E-3</v>
      </c>
      <c r="O690" s="112">
        <f>G690/'CGE-Flood Weighted Av Calcs'!$D$7</f>
        <v>2.0504369507272992E-2</v>
      </c>
      <c r="P690" s="112">
        <f>H690/'CGE-Flood Weighted Av Calcs'!$D$8</f>
        <v>4.910154436395231E-2</v>
      </c>
      <c r="R690" s="1">
        <f t="shared" si="95"/>
        <v>0.2177114127677145</v>
      </c>
      <c r="S690" s="1">
        <f t="shared" si="96"/>
        <v>0.2525452388105488</v>
      </c>
      <c r="T690" s="1">
        <f t="shared" si="97"/>
        <v>6.0959195574960052</v>
      </c>
    </row>
    <row r="691" spans="1:20">
      <c r="A691">
        <v>638</v>
      </c>
      <c r="B691">
        <v>0.16520155994677344</v>
      </c>
      <c r="C691" s="1">
        <f t="shared" si="91"/>
        <v>85.974963787259526</v>
      </c>
      <c r="D691" s="1">
        <f t="shared" si="100"/>
        <v>276.53367566131556</v>
      </c>
      <c r="E691" s="1">
        <f t="shared" si="98"/>
        <v>331.53741262967225</v>
      </c>
      <c r="F691" s="1">
        <f t="shared" si="92"/>
        <v>17.740781596210631</v>
      </c>
      <c r="G691" s="1">
        <f t="shared" si="99"/>
        <v>13.230201286911385</v>
      </c>
      <c r="H691" s="1">
        <f t="shared" si="93"/>
        <v>5.1754531557250907</v>
      </c>
      <c r="I691" s="1">
        <f t="shared" si="94"/>
        <v>133.56775040851625</v>
      </c>
      <c r="K691" s="112">
        <f>C691/'CGE-Flood Weighted Av Calcs'!$D$3</f>
        <v>1.4492039234078422E-2</v>
      </c>
      <c r="L691" s="112">
        <f>D691/'CGE-Flood Weighted Av Calcs'!$D$4</f>
        <v>1.4204699215275472E-2</v>
      </c>
      <c r="M691" s="112">
        <f>E691/'CGE-Flood Weighted Av Calcs'!$D$5</f>
        <v>1.4202552757199834E-2</v>
      </c>
      <c r="N691" s="112">
        <f>F691/'CGE-Flood Weighted Av Calcs'!$D$6</f>
        <v>4.9038134073296717E-3</v>
      </c>
      <c r="O691" s="112">
        <f>G691/'CGE-Flood Weighted Av Calcs'!$D$7</f>
        <v>2.1839583497435391E-2</v>
      </c>
      <c r="P691" s="112">
        <f>H691/'CGE-Flood Weighted Av Calcs'!$D$8</f>
        <v>5.2298963770097628E-2</v>
      </c>
      <c r="R691" s="1">
        <f t="shared" si="95"/>
        <v>0.23188845557034071</v>
      </c>
      <c r="S691" s="1">
        <f t="shared" si="96"/>
        <v>0.26899060846159523</v>
      </c>
      <c r="T691" s="1">
        <f t="shared" si="97"/>
        <v>6.4928767559695402</v>
      </c>
    </row>
    <row r="692" spans="1:20">
      <c r="A692">
        <v>639</v>
      </c>
      <c r="B692">
        <v>0.44499126712079717</v>
      </c>
      <c r="C692" s="1">
        <f t="shared" si="91"/>
        <v>57.159732722859239</v>
      </c>
      <c r="D692" s="1">
        <f t="shared" si="100"/>
        <v>183.85109214797939</v>
      </c>
      <c r="E692" s="1">
        <f t="shared" si="98"/>
        <v>220.41986479264577</v>
      </c>
      <c r="F692" s="1">
        <f t="shared" si="92"/>
        <v>11.794809670909</v>
      </c>
      <c r="G692" s="1">
        <f t="shared" si="99"/>
        <v>8.7959882286283442</v>
      </c>
      <c r="H692" s="1">
        <f t="shared" si="93"/>
        <v>3.4408565711401051</v>
      </c>
      <c r="I692" s="1">
        <f t="shared" si="94"/>
        <v>88.801397260672445</v>
      </c>
      <c r="K692" s="112">
        <f>C692/'CGE-Flood Weighted Av Calcs'!$D$3</f>
        <v>9.6349105918654143E-3</v>
      </c>
      <c r="L692" s="112">
        <f>D692/'CGE-Flood Weighted Av Calcs'!$D$4</f>
        <v>9.4438749932230139E-3</v>
      </c>
      <c r="M692" s="112">
        <f>E692/'CGE-Flood Weighted Av Calcs'!$D$5</f>
        <v>9.4424479385957164E-3</v>
      </c>
      <c r="N692" s="112">
        <f>F692/'CGE-Flood Weighted Av Calcs'!$D$6</f>
        <v>3.2602591654394505E-3</v>
      </c>
      <c r="O692" s="112">
        <f>G692/'CGE-Flood Weighted Av Calcs'!$D$7</f>
        <v>1.4519863696377202E-2</v>
      </c>
      <c r="P692" s="112">
        <f>H692/'CGE-Flood Weighted Av Calcs'!$D$8</f>
        <v>3.4770526896392498E-2</v>
      </c>
      <c r="R692" s="1">
        <f t="shared" si="95"/>
        <v>0.15416909246644522</v>
      </c>
      <c r="S692" s="1">
        <f t="shared" si="96"/>
        <v>0.17883614726107644</v>
      </c>
      <c r="T692" s="1">
        <f t="shared" si="97"/>
        <v>4.3167345890604665</v>
      </c>
    </row>
    <row r="693" spans="1:20">
      <c r="A693">
        <v>640</v>
      </c>
      <c r="B693">
        <v>0.92402557419013265</v>
      </c>
      <c r="C693" s="1">
        <f t="shared" si="91"/>
        <v>7.8245216981295727</v>
      </c>
      <c r="D693" s="1">
        <f t="shared" si="100"/>
        <v>25.167137619616312</v>
      </c>
      <c r="E693" s="1">
        <f t="shared" si="98"/>
        <v>30.172989491238638</v>
      </c>
      <c r="F693" s="1">
        <f t="shared" si="92"/>
        <v>1.6145762024955701</v>
      </c>
      <c r="G693" s="1">
        <f t="shared" si="99"/>
        <v>1.204071423585761</v>
      </c>
      <c r="H693" s="1">
        <f t="shared" si="93"/>
        <v>0.471014394548952</v>
      </c>
      <c r="I693" s="1">
        <f t="shared" si="94"/>
        <v>12.155908129578762</v>
      </c>
      <c r="K693" s="112">
        <f>C693/'CGE-Flood Weighted Av Calcs'!$D$3</f>
        <v>1.3189104181279717E-3</v>
      </c>
      <c r="L693" s="112">
        <f>D693/'CGE-Flood Weighted Av Calcs'!$D$4</f>
        <v>1.29275980272989E-3</v>
      </c>
      <c r="M693" s="112">
        <f>E693/'CGE-Flood Weighted Av Calcs'!$D$5</f>
        <v>1.2925644550723012E-3</v>
      </c>
      <c r="N693" s="112">
        <f>F693/'CGE-Flood Weighted Av Calcs'!$D$6</f>
        <v>4.4629264984832298E-4</v>
      </c>
      <c r="O693" s="112">
        <f>G693/'CGE-Flood Weighted Av Calcs'!$D$7</f>
        <v>1.9876053146895148E-3</v>
      </c>
      <c r="P693" s="112">
        <f>H693/'CGE-Flood Weighted Av Calcs'!$D$8</f>
        <v>4.7596923427778376E-3</v>
      </c>
      <c r="R693" s="1">
        <f t="shared" si="95"/>
        <v>2.1104007169407579E-2</v>
      </c>
      <c r="S693" s="1">
        <f t="shared" si="96"/>
        <v>2.448064831651281E-2</v>
      </c>
      <c r="T693" s="1">
        <f t="shared" si="97"/>
        <v>0.59091220074341333</v>
      </c>
    </row>
    <row r="694" spans="1:20">
      <c r="A694">
        <v>641</v>
      </c>
      <c r="B694">
        <v>0.56178806539784143</v>
      </c>
      <c r="C694" s="1">
        <f t="shared" si="91"/>
        <v>45.130960242526761</v>
      </c>
      <c r="D694" s="1">
        <f t="shared" si="100"/>
        <v>145.16121638471739</v>
      </c>
      <c r="E694" s="1">
        <f t="shared" si="98"/>
        <v>174.03440640375362</v>
      </c>
      <c r="F694" s="1">
        <f t="shared" si="92"/>
        <v>9.3126937613038052</v>
      </c>
      <c r="G694" s="1">
        <f t="shared" si="99"/>
        <v>6.9449484126296994</v>
      </c>
      <c r="H694" s="1">
        <f t="shared" si="93"/>
        <v>2.7167579992944582</v>
      </c>
      <c r="I694" s="1">
        <f t="shared" si="94"/>
        <v>70.113909536345361</v>
      </c>
      <c r="K694" s="112">
        <f>C694/'CGE-Flood Weighted Av Calcs'!$D$3</f>
        <v>7.607326804169613E-3</v>
      </c>
      <c r="L694" s="112">
        <f>D694/'CGE-Flood Weighted Av Calcs'!$D$4</f>
        <v>7.4564929986821078E-3</v>
      </c>
      <c r="M694" s="112">
        <f>E694/'CGE-Flood Weighted Av Calcs'!$D$5</f>
        <v>7.4553662553860749E-3</v>
      </c>
      <c r="N694" s="112">
        <f>F694/'CGE-Flood Weighted Av Calcs'!$D$6</f>
        <v>2.574165759122555E-3</v>
      </c>
      <c r="O694" s="112">
        <f>G694/'CGE-Flood Weighted Av Calcs'!$D$7</f>
        <v>1.146428368350369E-2</v>
      </c>
      <c r="P694" s="112">
        <f>H694/'CGE-Flood Weighted Av Calcs'!$D$8</f>
        <v>2.7453369570170055E-2</v>
      </c>
      <c r="R694" s="1">
        <f t="shared" si="95"/>
        <v>0.12172553738948849</v>
      </c>
      <c r="S694" s="1">
        <f t="shared" si="96"/>
        <v>0.14120162337180664</v>
      </c>
      <c r="T694" s="1">
        <f t="shared" si="97"/>
        <v>3.408315046905678</v>
      </c>
    </row>
    <row r="695" spans="1:20">
      <c r="A695">
        <v>642</v>
      </c>
      <c r="B695">
        <v>0.23753990689399174</v>
      </c>
      <c r="C695" s="1">
        <f t="shared" ref="C695:C758" si="101">IF($B695&lt;=0.005,$F$5,IF(B695&lt;=0.01,$F$5+($B695-0.005)*SLOPE($E$5:$F$5,$E$4:$F$4),IF($B695&lt;=0.04,$E$5+($B695-0.01)*SLOPE($D$5:$E$5,$D$4:$E$4),IF($B695&lt;=0.1,$D$5+($B695-0.04)*SLOPE($C$5:$D$5,$C$4:$D$4),IF($B695&lt;=1,$C$5+($B695-0.1)*SLOPE($B$5:$C$5,$B$4:$C$4),)))))</f>
        <v>78.524917811106562</v>
      </c>
      <c r="D695" s="1">
        <f t="shared" si="100"/>
        <v>252.57101831458846</v>
      </c>
      <c r="E695" s="1">
        <f t="shared" si="98"/>
        <v>302.80847971592704</v>
      </c>
      <c r="F695" s="1">
        <f t="shared" ref="F695:F758" si="102">IF($B695&lt;=0.005,$F$26,IF($B695&lt;=0.01,$F$26+($B695-0.005)*SLOPE($E$26:$F$26,$E$25:$F$25),IF($B695&lt;=0.04,$E$26+($B695-0.01)*SLOPE($D$26:$E$26,$D$25:$E$25),IF($B695&lt;=0.1,$D$26+($B695-0.04)*SLOPE($C$26:$D$26,$C$25:$D$25),IF($B695&lt;=1,$C$26+($B695-0.1)*SLOPE($B$26:$C$26,$B$25:$C$25),)))))</f>
        <v>16.203477796098493</v>
      </c>
      <c r="G695" s="1">
        <f t="shared" si="99"/>
        <v>12.083755815818854</v>
      </c>
      <c r="H695" s="1">
        <f t="shared" ref="H695:H758" si="103">IF($B695&lt;=0.005,$F$40,IF($B695&lt;=0.01,$F$40+($B695-0.005)*SLOPE($E$40:$F$40,$E$39:$F$39),IF($B695&lt;=0.04,$E$40+($B695-0.01)*SLOPE($D$40:$E$40,$D$39:$E$39),IF($B695&lt;=0.1,$D$40+($B695-0.04)*SLOPE($C$40:$D$40,$C$39:$D$39),IF($B695&lt;=1,$C$40+($B695-0.1)*SLOPE($B$40:$C$40,$B$39:$C$39),)))))</f>
        <v>4.726981155748609</v>
      </c>
      <c r="I695" s="1">
        <f t="shared" ref="I695:I758" si="104">IF($B695&lt;=0.005,$F$47,IF($B695&lt;=0.01,$F$47+($B695-0.005)*SLOPE($E$47:$F$47,$E$46:$F$46),IF($B695&lt;=0.04,$E$47+($B695-0.01)*SLOPE($D$47:$E$47,$D$46:$E$46),IF($B695&lt;=0.1,$D$47+($B695-0.04)*SLOPE($C$47:$D$47,$C$46:$D$46),IF($B695&lt;=1,$C$47+($B695-0.1)*SLOPE($B$47:$C$47,$B$46:$C$46),)))))</f>
        <v>121.99361489696132</v>
      </c>
      <c r="K695" s="112">
        <f>C695/'CGE-Flood Weighted Av Calcs'!$D$3</f>
        <v>1.3236250876327509E-2</v>
      </c>
      <c r="L695" s="112">
        <f>D695/'CGE-Flood Weighted Av Calcs'!$D$4</f>
        <v>1.2973809924143161E-2</v>
      </c>
      <c r="M695" s="112">
        <f>E695/'CGE-Flood Weighted Av Calcs'!$D$5</f>
        <v>1.297184946453318E-2</v>
      </c>
      <c r="N695" s="112">
        <f>F695/'CGE-Flood Weighted Av Calcs'!$D$6</f>
        <v>4.478879987950957E-3</v>
      </c>
      <c r="O695" s="112">
        <f>G695/'CGE-Flood Weighted Av Calcs'!$D$7</f>
        <v>1.994710347780395E-2</v>
      </c>
      <c r="P695" s="112">
        <f>H695/'CGE-Flood Weighted Av Calcs'!$D$8</f>
        <v>4.7767066722062768E-2</v>
      </c>
      <c r="R695" s="1">
        <f t="shared" ref="R695:R758" si="105">IF($B695&lt;=0.005,$F$13,IF($B695&lt;=0.01,$F$13+($B695-0.005)*SLOPE($E$13:$F$13,$E$10:$F$10),IF($B695&lt;=0.04,$E$13+($B695-0.01)*SLOPE($D$13:$E$13,$D$10:$E$10),IF($B695&lt;=0.1,$D$13+($B695-0.04)*SLOPE($C$13:$D$13,$C$10:$D$10),IF($B695&lt;=1,$C$13+($B695-0.1)*SLOPE($B$13:$C$13,$B$10:$C$10),)))))</f>
        <v>0.21179447030722451</v>
      </c>
      <c r="S695" s="1">
        <f t="shared" ref="S695:S758" si="106">IF($B695&lt;=0.005,$F$21,IF($B695&lt;=0.01,$F$21+($B695-0.005)*SLOPE($E$21:$F$21,$E$18:$F$18),IF($B695&lt;=0.04,$E$21+($B695-0.01)*SLOPE($D$21:$E$21,$D$18:$E$18),IF($B695&lt;=0.1,$D$21+($B695-0.04)*SLOPE($C$21:$D$21,$C$18:$D$18),IF($B695&lt;=1,$C$21+($B695-0.1)*SLOPE($B$21:$C$21,$B$18:$C$18),)))))</f>
        <v>0.24568158555638042</v>
      </c>
      <c r="T695" s="1">
        <f t="shared" ref="T695:T758" si="107">IF($B695&lt;=0.005,$F$14,IF($B695&lt;=0.01,$F$14+($B695-0.005)*SLOPE($E$14:$F$14,$E$10:$F$10),IF($B695&lt;=0.04,$E$14+($B695-0.01)*SLOPE($D$14:$E$14,$D$10:$E$10),IF($B695&lt;=0.1,$D$14+($B695-0.04)*SLOPE($C$14:$D$14,$C$10:$D$10),IF($B695&lt;=1,$C$14+($B695-0.1)*SLOPE($B$14:$C$14,$B$10:$C$10),)))))</f>
        <v>5.930245168602287</v>
      </c>
    </row>
    <row r="696" spans="1:20">
      <c r="A696">
        <v>643</v>
      </c>
      <c r="B696">
        <v>0.63106558231229126</v>
      </c>
      <c r="C696" s="1">
        <f t="shared" si="101"/>
        <v>37.996145750526367</v>
      </c>
      <c r="D696" s="1">
        <f t="shared" si="100"/>
        <v>122.2124835243394</v>
      </c>
      <c r="E696" s="1">
        <f t="shared" ref="E696:E759" si="108">IF($B696&lt;=0.005,$F$19,IF($B696&lt;=0.01,$F$19+($B696-0.005)*SLOPE($E$19:$F$19,$E$18:$F$18),IF($B696&lt;=0.04,$E$19+($B696-0.01)*SLOPE($D$19:$E$19,$D$18:$E$18),IF($B696&lt;=0.1,$D$19+($B696-0.04)*SLOPE($C$19:$D$19,$C$18:$D$18),IF($B696&lt;=1,$C$19+($B696-0.1)*SLOPE($B$19:$C$19,$B$18:$C$18),)))))</f>
        <v>146.52107191577758</v>
      </c>
      <c r="F696" s="1">
        <f t="shared" si="102"/>
        <v>7.840437419966273</v>
      </c>
      <c r="G696" s="1">
        <f t="shared" ref="G696:G759" si="109">IF($B696&lt;=0.005,$F$33,IF($B696&lt;=0.01,$F$33+($B696-0.005)*SLOPE($E$33:$F$33,$E$32:$F$32),IF($B696&lt;=0.04,$E$33+($B696-0.01)*SLOPE($D$33:$E$33,$D$32:$E$32),IF($B696&lt;=0.1,$D$33+($B696-0.04)*SLOPE($C$33:$D$33,$C$32:$D$32),IF($B696&lt;=1,$C$33+($B696-0.1)*SLOPE($B$33:$C$33,$B$32:$C$32),)))))</f>
        <v>5.8470121330924023</v>
      </c>
      <c r="H696" s="1">
        <f t="shared" si="103"/>
        <v>2.2872620559229935</v>
      </c>
      <c r="I696" s="1">
        <f t="shared" si="104"/>
        <v>59.029506830033384</v>
      </c>
      <c r="K696" s="112">
        <f>C696/'CGE-Flood Weighted Av Calcs'!$D$3</f>
        <v>6.4046742296155383E-3</v>
      </c>
      <c r="L696" s="112">
        <f>D696/'CGE-Flood Weighted Av Calcs'!$D$4</f>
        <v>6.2776859442652665E-3</v>
      </c>
      <c r="M696" s="112">
        <f>E696/'CGE-Flood Weighted Av Calcs'!$D$5</f>
        <v>6.2767373293395158E-3</v>
      </c>
      <c r="N696" s="112">
        <f>F696/'CGE-Flood Weighted Av Calcs'!$D$6</f>
        <v>2.1672124156904247E-3</v>
      </c>
      <c r="O696" s="112">
        <f>G696/'CGE-Flood Weighted Av Calcs'!$D$7</f>
        <v>9.6518795838366478E-3</v>
      </c>
      <c r="P696" s="112">
        <f>H696/'CGE-Flood Weighted Av Calcs'!$D$8</f>
        <v>2.3113229275993026E-2</v>
      </c>
      <c r="R696" s="1">
        <f t="shared" si="105"/>
        <v>0.1024817826910302</v>
      </c>
      <c r="S696" s="1">
        <f t="shared" si="106"/>
        <v>0.11887886792159502</v>
      </c>
      <c r="T696" s="1">
        <f t="shared" si="107"/>
        <v>2.8694899153488462</v>
      </c>
    </row>
    <row r="697" spans="1:20">
      <c r="A697">
        <v>644</v>
      </c>
      <c r="B697">
        <v>0.77213402062683223</v>
      </c>
      <c r="C697" s="1">
        <f t="shared" si="101"/>
        <v>23.467664031221034</v>
      </c>
      <c r="D697" s="1">
        <f t="shared" ref="D697:D760" si="110">IF($B697&lt;=0.005,$F$11,IF($B697&lt;=0.01,$F$11+($B697-0.005)*SLOPE($E$11:$F$11,$E$10:$F$10),IF($B697&lt;=0.04,$E$11+($B697-0.01)*SLOPE($D$11:$E$11,$D$10:$E$10),IF($B697&lt;=0.1,$D$11+($B697-0.04)*SLOPE($C$11:$D$11,$C$10:$D$10),IF($B697&lt;=1,$C$11+($B697-0.1)*SLOPE($B$11:$C$11,$B$10:$C$10),)))))</f>
        <v>75.482432418309173</v>
      </c>
      <c r="E697" s="1">
        <f t="shared" si="108"/>
        <v>90.496212741951808</v>
      </c>
      <c r="F697" s="1">
        <f t="shared" si="102"/>
        <v>4.8425109335473309</v>
      </c>
      <c r="G697" s="1">
        <f t="shared" si="109"/>
        <v>3.6113061894964602</v>
      </c>
      <c r="H697" s="1">
        <f t="shared" si="103"/>
        <v>1.4126879560939969</v>
      </c>
      <c r="I697" s="1">
        <f t="shared" si="104"/>
        <v>36.458556699706818</v>
      </c>
      <c r="K697" s="112">
        <f>C697/'CGE-Flood Weighted Av Calcs'!$D$3</f>
        <v>3.9557365643581015E-3</v>
      </c>
      <c r="L697" s="112">
        <f>D697/'CGE-Flood Weighted Av Calcs'!$D$4</f>
        <v>3.8773044403193156E-3</v>
      </c>
      <c r="M697" s="112">
        <f>E697/'CGE-Flood Weighted Av Calcs'!$D$5</f>
        <v>3.8767185446729868E-3</v>
      </c>
      <c r="N697" s="112">
        <f>F697/'CGE-Flood Weighted Av Calcs'!$D$6</f>
        <v>1.3385413665281893E-3</v>
      </c>
      <c r="O697" s="112">
        <f>G697/'CGE-Flood Weighted Av Calcs'!$D$7</f>
        <v>5.9613169406831749E-3</v>
      </c>
      <c r="P697" s="112">
        <f>H697/'CGE-Flood Weighted Av Calcs'!$D$8</f>
        <v>1.4275487384613801E-2</v>
      </c>
      <c r="R697" s="1">
        <f t="shared" si="105"/>
        <v>6.3296105381435486E-2</v>
      </c>
      <c r="S697" s="1">
        <f t="shared" si="106"/>
        <v>7.3423482242465171E-2</v>
      </c>
      <c r="T697" s="1">
        <f t="shared" si="107"/>
        <v>1.772290950680194</v>
      </c>
    </row>
    <row r="698" spans="1:20">
      <c r="A698">
        <v>645</v>
      </c>
      <c r="B698">
        <v>0.20894181602032358</v>
      </c>
      <c r="C698" s="1">
        <f t="shared" si="101"/>
        <v>81.470203414529124</v>
      </c>
      <c r="D698" s="1">
        <f t="shared" si="110"/>
        <v>262.04436518103392</v>
      </c>
      <c r="E698" s="1">
        <f t="shared" si="108"/>
        <v>314.16611600211803</v>
      </c>
      <c r="F698" s="1">
        <f t="shared" si="102"/>
        <v>16.811232267017225</v>
      </c>
      <c r="G698" s="1">
        <f t="shared" si="109"/>
        <v>12.536989171951969</v>
      </c>
      <c r="H698" s="1">
        <f t="shared" si="103"/>
        <v>4.9042791387807787</v>
      </c>
      <c r="I698" s="1">
        <f t="shared" si="104"/>
        <v>126.56930943674823</v>
      </c>
      <c r="K698" s="112">
        <f>C698/'CGE-Flood Weighted Av Calcs'!$D$3</f>
        <v>1.3732711620713321E-2</v>
      </c>
      <c r="L698" s="112">
        <f>D698/'CGE-Flood Weighted Av Calcs'!$D$4</f>
        <v>1.3460427123578356E-2</v>
      </c>
      <c r="M698" s="112">
        <f>E698/'CGE-Flood Weighted Av Calcs'!$D$5</f>
        <v>1.3458393131723752E-2</v>
      </c>
      <c r="N698" s="112">
        <f>F698/'CGE-Flood Weighted Av Calcs'!$D$6</f>
        <v>4.6468722777321704E-3</v>
      </c>
      <c r="O698" s="112">
        <f>G698/'CGE-Flood Weighted Av Calcs'!$D$7</f>
        <v>2.0695272572924563E-2</v>
      </c>
      <c r="P698" s="112">
        <f>H698/'CGE-Flood Weighted Av Calcs'!$D$8</f>
        <v>4.9558697428033621E-2</v>
      </c>
      <c r="R698" s="1">
        <f t="shared" si="105"/>
        <v>0.21973838443879901</v>
      </c>
      <c r="S698" s="1">
        <f t="shared" si="106"/>
        <v>0.2548965259490068</v>
      </c>
      <c r="T698" s="1">
        <f t="shared" si="107"/>
        <v>6.1526747642863722</v>
      </c>
    </row>
    <row r="699" spans="1:20">
      <c r="A699">
        <v>646</v>
      </c>
      <c r="B699">
        <v>0.30057001442991993</v>
      </c>
      <c r="C699" s="1">
        <f t="shared" si="101"/>
        <v>72.03351706943414</v>
      </c>
      <c r="D699" s="1">
        <f t="shared" si="110"/>
        <v>231.69178989493918</v>
      </c>
      <c r="E699" s="1">
        <f t="shared" si="108"/>
        <v>277.77628299919706</v>
      </c>
      <c r="F699" s="1">
        <f t="shared" si="102"/>
        <v>14.863988743256858</v>
      </c>
      <c r="G699" s="1">
        <f t="shared" si="109"/>
        <v>11.084830842045747</v>
      </c>
      <c r="H699" s="1">
        <f t="shared" si="103"/>
        <v>4.3362169265632833</v>
      </c>
      <c r="I699" s="1">
        <f t="shared" si="104"/>
        <v>111.90879769121281</v>
      </c>
      <c r="K699" s="112">
        <f>C699/'CGE-Flood Weighted Av Calcs'!$D$3</f>
        <v>1.2142052866948607E-2</v>
      </c>
      <c r="L699" s="112">
        <f>D699/'CGE-Flood Weighted Av Calcs'!$D$4</f>
        <v>1.1901307058664348E-2</v>
      </c>
      <c r="M699" s="112">
        <f>E699/'CGE-Flood Weighted Av Calcs'!$D$5</f>
        <v>1.18995086639036E-2</v>
      </c>
      <c r="N699" s="112">
        <f>F699/'CGE-Flood Weighted Av Calcs'!$D$6</f>
        <v>4.1086254791135807E-3</v>
      </c>
      <c r="O699" s="112">
        <f>G699/'CGE-Flood Weighted Av Calcs'!$D$7</f>
        <v>1.8298141009336154E-2</v>
      </c>
      <c r="P699" s="112">
        <f>H699/'CGE-Flood Weighted Av Calcs'!$D$8</f>
        <v>4.3818317955550114E-2</v>
      </c>
      <c r="R699" s="1">
        <f t="shared" si="105"/>
        <v>0.19428610710280003</v>
      </c>
      <c r="S699" s="1">
        <f t="shared" si="106"/>
        <v>0.225371884239248</v>
      </c>
      <c r="T699" s="1">
        <f t="shared" si="107"/>
        <v>5.4400109988784013</v>
      </c>
    </row>
    <row r="700" spans="1:20">
      <c r="A700">
        <v>647</v>
      </c>
      <c r="B700">
        <v>0.88642009998238169</v>
      </c>
      <c r="C700" s="1">
        <f t="shared" si="101"/>
        <v>11.697467702925621</v>
      </c>
      <c r="D700" s="1">
        <f t="shared" si="110"/>
        <v>37.624252425668317</v>
      </c>
      <c r="E700" s="1">
        <f t="shared" si="108"/>
        <v>45.107877988101052</v>
      </c>
      <c r="F700" s="1">
        <f t="shared" si="102"/>
        <v>2.413751755218339</v>
      </c>
      <c r="G700" s="1">
        <f t="shared" si="109"/>
        <v>1.8000571961832481</v>
      </c>
      <c r="H700" s="1">
        <f t="shared" si="103"/>
        <v>0.70415494779271892</v>
      </c>
      <c r="I700" s="1">
        <f t="shared" si="104"/>
        <v>18.172784002818901</v>
      </c>
      <c r="K700" s="112">
        <f>C700/'CGE-Flood Weighted Av Calcs'!$D$3</f>
        <v>1.9717386716164476E-3</v>
      </c>
      <c r="L700" s="112">
        <f>D700/'CGE-Flood Weighted Av Calcs'!$D$4</f>
        <v>1.9326441440744222E-3</v>
      </c>
      <c r="M700" s="112">
        <f>E700/'CGE-Flood Weighted Av Calcs'!$D$5</f>
        <v>1.9323521041257022E-3</v>
      </c>
      <c r="N700" s="112">
        <f>F700/'CGE-Flood Weighted Av Calcs'!$D$6</f>
        <v>6.6719654683835758E-4</v>
      </c>
      <c r="O700" s="112">
        <f>G700/'CGE-Flood Weighted Av Calcs'!$D$7</f>
        <v>2.9714211132294164E-3</v>
      </c>
      <c r="P700" s="112">
        <f>H700/'CGE-Flood Weighted Av Calcs'!$D$8</f>
        <v>7.1156231145496516E-3</v>
      </c>
      <c r="R700" s="1">
        <f t="shared" si="105"/>
        <v>3.1549972227116169E-2</v>
      </c>
      <c r="S700" s="1">
        <f t="shared" si="106"/>
        <v>3.659796778345481E-2</v>
      </c>
      <c r="T700" s="1">
        <f t="shared" si="107"/>
        <v>0.88339922235925439</v>
      </c>
    </row>
    <row r="701" spans="1:20">
      <c r="A701">
        <v>648</v>
      </c>
      <c r="B701">
        <v>5.7095291397078918E-2</v>
      </c>
      <c r="C701" s="1">
        <f t="shared" si="101"/>
        <v>103.43762950503174</v>
      </c>
      <c r="D701" s="1">
        <f t="shared" si="110"/>
        <v>330.97397726721647</v>
      </c>
      <c r="E701" s="1">
        <f t="shared" si="108"/>
        <v>396.75015758914122</v>
      </c>
      <c r="F701" s="1">
        <f t="shared" si="102"/>
        <v>24.407450891521691</v>
      </c>
      <c r="G701" s="1">
        <f t="shared" si="109"/>
        <v>16.034757541681806</v>
      </c>
      <c r="H701" s="1">
        <f t="shared" si="103"/>
        <v>6.1519772375217689</v>
      </c>
      <c r="I701" s="1">
        <f t="shared" si="104"/>
        <v>214.07769071810444</v>
      </c>
      <c r="K701" s="112">
        <f>C701/'CGE-Flood Weighted Av Calcs'!$D$3</f>
        <v>1.7435566344363208E-2</v>
      </c>
      <c r="L701" s="112">
        <f>D701/'CGE-Flood Weighted Av Calcs'!$D$4</f>
        <v>1.7001132986501983E-2</v>
      </c>
      <c r="M701" s="112">
        <f>E701/'CGE-Flood Weighted Av Calcs'!$D$5</f>
        <v>1.6996166435313528E-2</v>
      </c>
      <c r="N701" s="112">
        <f>F701/'CGE-Flood Weighted Av Calcs'!$D$6</f>
        <v>6.7465790202924257E-3</v>
      </c>
      <c r="O701" s="112">
        <f>G701/'CGE-Flood Weighted Av Calcs'!$D$7</f>
        <v>2.646916842747785E-2</v>
      </c>
      <c r="P701" s="112">
        <f>H701/'CGE-Flood Weighted Av Calcs'!$D$8</f>
        <v>6.2166930117743407E-2</v>
      </c>
      <c r="R701" s="1">
        <f t="shared" si="105"/>
        <v>0.27860313906861406</v>
      </c>
      <c r="S701" s="1">
        <f t="shared" si="106"/>
        <v>0.33290470860292104</v>
      </c>
      <c r="T701" s="1">
        <f t="shared" si="107"/>
        <v>7.7150784767153517</v>
      </c>
    </row>
    <row r="702" spans="1:20">
      <c r="A702">
        <v>649</v>
      </c>
      <c r="B702">
        <v>0.50122044911074548</v>
      </c>
      <c r="C702" s="1">
        <f t="shared" si="101"/>
        <v>51.368751746583342</v>
      </c>
      <c r="D702" s="1">
        <f t="shared" si="110"/>
        <v>165.22472483694557</v>
      </c>
      <c r="E702" s="1">
        <f t="shared" si="108"/>
        <v>198.08863294458217</v>
      </c>
      <c r="F702" s="1">
        <f t="shared" si="102"/>
        <v>10.599850996868295</v>
      </c>
      <c r="G702" s="1">
        <f t="shared" si="109"/>
        <v>7.9048468941069769</v>
      </c>
      <c r="H702" s="1">
        <f t="shared" si="103"/>
        <v>3.0922556593377744</v>
      </c>
      <c r="I702" s="1">
        <f t="shared" si="104"/>
        <v>79.804728142280709</v>
      </c>
      <c r="K702" s="112">
        <f>C702/'CGE-Flood Weighted Av Calcs'!$D$3</f>
        <v>8.6587761474281322E-3</v>
      </c>
      <c r="L702" s="112">
        <f>D702/'CGE-Flood Weighted Av Calcs'!$D$4</f>
        <v>8.487094794595338E-3</v>
      </c>
      <c r="M702" s="112">
        <f>E702/'CGE-Flood Weighted Av Calcs'!$D$5</f>
        <v>8.4858123180793273E-3</v>
      </c>
      <c r="N702" s="112">
        <f>F702/'CGE-Flood Weighted Av Calcs'!$D$6</f>
        <v>2.9299549826622188E-3</v>
      </c>
      <c r="O702" s="112">
        <f>G702/'CGE-Flood Weighted Av Calcs'!$D$7</f>
        <v>1.3048823675047422E-2</v>
      </c>
      <c r="P702" s="112">
        <f>H702/'CGE-Flood Weighted Av Calcs'!$D$8</f>
        <v>3.1247846677288318E-2</v>
      </c>
      <c r="R702" s="1">
        <f t="shared" si="105"/>
        <v>0.13854987524701512</v>
      </c>
      <c r="S702" s="1">
        <f t="shared" si="106"/>
        <v>0.16071785528653756</v>
      </c>
      <c r="T702" s="1">
        <f t="shared" si="107"/>
        <v>3.8793965069164242</v>
      </c>
    </row>
    <row r="703" spans="1:20">
      <c r="A703">
        <v>650</v>
      </c>
      <c r="B703">
        <v>2.6075018301361941E-2</v>
      </c>
      <c r="C703" s="1">
        <f t="shared" si="101"/>
        <v>126.68582507354505</v>
      </c>
      <c r="D703" s="1">
        <f t="shared" si="110"/>
        <v>403.27936843690122</v>
      </c>
      <c r="E703" s="1">
        <f t="shared" si="108"/>
        <v>483.4031739630957</v>
      </c>
      <c r="F703" s="1">
        <f t="shared" si="102"/>
        <v>28.410399829455653</v>
      </c>
      <c r="G703" s="1">
        <f t="shared" si="109"/>
        <v>18.799547963976789</v>
      </c>
      <c r="H703" s="1">
        <f t="shared" si="103"/>
        <v>7.1024096132948706</v>
      </c>
      <c r="I703" s="1">
        <f t="shared" si="104"/>
        <v>282.84661298267167</v>
      </c>
      <c r="K703" s="112">
        <f>C703/'CGE-Flood Weighted Av Calcs'!$D$3</f>
        <v>2.1354309051066733E-2</v>
      </c>
      <c r="L703" s="112">
        <f>D703/'CGE-Flood Weighted Av Calcs'!$D$4</f>
        <v>2.0715242419112708E-2</v>
      </c>
      <c r="M703" s="112">
        <f>E703/'CGE-Flood Weighted Av Calcs'!$D$5</f>
        <v>2.0708248359522414E-2</v>
      </c>
      <c r="N703" s="112">
        <f>F703/'CGE-Flood Weighted Av Calcs'!$D$6</f>
        <v>7.8530530820039718E-3</v>
      </c>
      <c r="O703" s="112">
        <f>G703/'CGE-Flood Weighted Av Calcs'!$D$7</f>
        <v>3.1033110424366184E-2</v>
      </c>
      <c r="P703" s="112">
        <f>H703/'CGE-Flood Weighted Av Calcs'!$D$8</f>
        <v>7.1771234686030291E-2</v>
      </c>
      <c r="R703" s="1">
        <f t="shared" si="105"/>
        <v>0.30856664226485075</v>
      </c>
      <c r="S703" s="1">
        <f t="shared" si="106"/>
        <v>0.36856664226485075</v>
      </c>
      <c r="T703" s="1">
        <f t="shared" si="107"/>
        <v>10.784996339727613</v>
      </c>
    </row>
    <row r="704" spans="1:20">
      <c r="A704">
        <v>651</v>
      </c>
      <c r="B704">
        <v>0.69684210283043568</v>
      </c>
      <c r="C704" s="1">
        <f t="shared" si="101"/>
        <v>31.221894987385475</v>
      </c>
      <c r="D704" s="1">
        <f t="shared" si="110"/>
        <v>100.42348378694811</v>
      </c>
      <c r="E704" s="1">
        <f t="shared" si="108"/>
        <v>120.39814645489901</v>
      </c>
      <c r="F704" s="1">
        <f t="shared" si="102"/>
        <v>6.442582765857594</v>
      </c>
      <c r="G704" s="1">
        <f t="shared" si="109"/>
        <v>4.8045609680516268</v>
      </c>
      <c r="H704" s="1">
        <f t="shared" si="103"/>
        <v>1.8794710439194953</v>
      </c>
      <c r="I704" s="1">
        <f t="shared" si="104"/>
        <v>48.505263547130269</v>
      </c>
      <c r="K704" s="112">
        <f>C704/'CGE-Flood Weighted Av Calcs'!$D$3</f>
        <v>5.2627986938043611E-3</v>
      </c>
      <c r="L704" s="112">
        <f>D704/'CGE-Flood Weighted Av Calcs'!$D$4</f>
        <v>5.1584508755844194E-3</v>
      </c>
      <c r="M704" s="112">
        <f>E704/'CGE-Flood Weighted Av Calcs'!$D$5</f>
        <v>5.1576713871649962E-3</v>
      </c>
      <c r="N704" s="112">
        <f>F704/'CGE-Flood Weighted Av Calcs'!$D$6</f>
        <v>1.78082479476506E-3</v>
      </c>
      <c r="O704" s="112">
        <f>G704/'CGE-Flood Weighted Av Calcs'!$D$7</f>
        <v>7.9310668186196986E-3</v>
      </c>
      <c r="P704" s="112">
        <f>H704/'CGE-Flood Weighted Av Calcs'!$D$8</f>
        <v>1.8992421547504475E-2</v>
      </c>
      <c r="R704" s="1">
        <f t="shared" si="105"/>
        <v>8.4210526991545631E-2</v>
      </c>
      <c r="S704" s="1">
        <f t="shared" si="106"/>
        <v>9.7684211310192948E-2</v>
      </c>
      <c r="T704" s="1">
        <f t="shared" si="107"/>
        <v>2.3578947557632786</v>
      </c>
    </row>
    <row r="705" spans="1:20">
      <c r="A705">
        <v>652</v>
      </c>
      <c r="B705">
        <v>0.65713385728219675</v>
      </c>
      <c r="C705" s="1">
        <f t="shared" si="101"/>
        <v>35.311403076125764</v>
      </c>
      <c r="D705" s="1">
        <f t="shared" si="110"/>
        <v>113.57715845698755</v>
      </c>
      <c r="E705" s="1">
        <f t="shared" si="108"/>
        <v>136.1681435673606</v>
      </c>
      <c r="F705" s="1">
        <f t="shared" si="102"/>
        <v>7.2864455212732544</v>
      </c>
      <c r="G705" s="1">
        <f t="shared" si="109"/>
        <v>5.4338722558396206</v>
      </c>
      <c r="H705" s="1">
        <f t="shared" si="103"/>
        <v>2.1256480309270858</v>
      </c>
      <c r="I705" s="1">
        <f t="shared" si="104"/>
        <v>54.858582834848505</v>
      </c>
      <c r="K705" s="112">
        <f>C705/'CGE-Flood Weighted Av Calcs'!$D$3</f>
        <v>5.9521309023849219E-3</v>
      </c>
      <c r="L705" s="112">
        <f>D705/'CGE-Flood Weighted Av Calcs'!$D$4</f>
        <v>5.834115392091028E-3</v>
      </c>
      <c r="M705" s="112">
        <f>E705/'CGE-Flood Weighted Av Calcs'!$D$5</f>
        <v>5.8332338046735276E-3</v>
      </c>
      <c r="N705" s="112">
        <f>F705/'CGE-Flood Weighted Av Calcs'!$D$6</f>
        <v>2.0140808929539566E-3</v>
      </c>
      <c r="O705" s="112">
        <f>G705/'CGE-Flood Weighted Av Calcs'!$D$7</f>
        <v>8.9698942799313636E-3</v>
      </c>
      <c r="P705" s="112">
        <f>H705/'CGE-Flood Weighted Av Calcs'!$D$8</f>
        <v>2.1480088025617537E-2</v>
      </c>
      <c r="R705" s="1">
        <f t="shared" si="105"/>
        <v>9.5240595199389766E-2</v>
      </c>
      <c r="S705" s="1">
        <f t="shared" si="106"/>
        <v>0.11047909043129214</v>
      </c>
      <c r="T705" s="1">
        <f t="shared" si="107"/>
        <v>2.6667366655829143</v>
      </c>
    </row>
    <row r="706" spans="1:20">
      <c r="A706">
        <v>653</v>
      </c>
      <c r="B706">
        <v>0.18217713035120686</v>
      </c>
      <c r="C706" s="1">
        <f t="shared" si="101"/>
        <v>84.226668653051817</v>
      </c>
      <c r="D706" s="1">
        <f t="shared" si="110"/>
        <v>270.91038187546934</v>
      </c>
      <c r="E706" s="1">
        <f t="shared" si="108"/>
        <v>324.79562153403981</v>
      </c>
      <c r="F706" s="1">
        <f t="shared" si="102"/>
        <v>17.380023989863226</v>
      </c>
      <c r="G706" s="1">
        <f t="shared" si="109"/>
        <v>12.961166029255093</v>
      </c>
      <c r="H706" s="1">
        <f t="shared" si="103"/>
        <v>5.0702106622026335</v>
      </c>
      <c r="I706" s="1">
        <f t="shared" si="104"/>
        <v>130.8516591438069</v>
      </c>
      <c r="K706" s="112">
        <f>C706/'CGE-Flood Weighted Av Calcs'!$D$3</f>
        <v>1.4197344586222797E-2</v>
      </c>
      <c r="L706" s="112">
        <f>D706/'CGE-Flood Weighted Av Calcs'!$D$4</f>
        <v>1.3915847607470199E-2</v>
      </c>
      <c r="M706" s="112">
        <f>E706/'CGE-Flood Weighted Av Calcs'!$D$5</f>
        <v>1.3913744797475864E-2</v>
      </c>
      <c r="N706" s="112">
        <f>F706/'CGE-Flood Weighted Av Calcs'!$D$6</f>
        <v>4.8040946899096659E-3</v>
      </c>
      <c r="O706" s="112">
        <f>G706/'CGE-Flood Weighted Av Calcs'!$D$7</f>
        <v>2.1395477028764247E-2</v>
      </c>
      <c r="P706" s="112">
        <f>H706/'CGE-Flood Weighted Av Calcs'!$D$8</f>
        <v>5.1235467842264314E-2</v>
      </c>
      <c r="R706" s="1">
        <f t="shared" si="105"/>
        <v>0.227173019346887</v>
      </c>
      <c r="S706" s="1">
        <f t="shared" si="106"/>
        <v>0.2635207024423889</v>
      </c>
      <c r="T706" s="1">
        <f t="shared" si="107"/>
        <v>6.3608445417128356</v>
      </c>
    </row>
    <row r="707" spans="1:20">
      <c r="A707">
        <v>654</v>
      </c>
      <c r="B707">
        <v>3.6850673829232128E-2</v>
      </c>
      <c r="C707" s="1">
        <f t="shared" si="101"/>
        <v>112.00938224458585</v>
      </c>
      <c r="D707" s="1">
        <f t="shared" si="110"/>
        <v>357.45304941204444</v>
      </c>
      <c r="E707" s="1">
        <f t="shared" si="108"/>
        <v>428.47103349917052</v>
      </c>
      <c r="F707" s="1">
        <f t="shared" si="102"/>
        <v>26.941092034287973</v>
      </c>
      <c r="G707" s="1">
        <f t="shared" si="109"/>
        <v>17.20617843404424</v>
      </c>
      <c r="H707" s="1">
        <f t="shared" si="103"/>
        <v>6.5433890837780293</v>
      </c>
      <c r="I707" s="1">
        <f t="shared" si="104"/>
        <v>251.23802343425245</v>
      </c>
      <c r="K707" s="112">
        <f>C707/'CGE-Flood Weighted Av Calcs'!$D$3</f>
        <v>1.8880430890207259E-2</v>
      </c>
      <c r="L707" s="112">
        <f>D707/'CGE-Flood Weighted Av Calcs'!$D$4</f>
        <v>1.8361282901037244E-2</v>
      </c>
      <c r="M707" s="112">
        <f>E707/'CGE-Flood Weighted Av Calcs'!$D$5</f>
        <v>1.83550399634725E-2</v>
      </c>
      <c r="N707" s="112">
        <f>F707/'CGE-Flood Weighted Av Calcs'!$D$6</f>
        <v>7.4469147601739878E-3</v>
      </c>
      <c r="O707" s="112">
        <f>G707/'CGE-Flood Weighted Av Calcs'!$D$7</f>
        <v>2.8402876300441145E-2</v>
      </c>
      <c r="P707" s="112">
        <f>H707/'CGE-Flood Weighted Av Calcs'!$D$8</f>
        <v>6.6122223181095507E-2</v>
      </c>
      <c r="R707" s="1">
        <f t="shared" si="105"/>
        <v>0.2941991015610238</v>
      </c>
      <c r="S707" s="1">
        <f t="shared" si="106"/>
        <v>0.3541991015610238</v>
      </c>
      <c r="T707" s="1">
        <f t="shared" si="107"/>
        <v>8.6298652341535753</v>
      </c>
    </row>
    <row r="708" spans="1:20">
      <c r="A708">
        <v>655</v>
      </c>
      <c r="B708">
        <v>0.60263771084123463</v>
      </c>
      <c r="C708" s="1">
        <f t="shared" si="101"/>
        <v>40.923900646806629</v>
      </c>
      <c r="D708" s="1">
        <f t="shared" si="110"/>
        <v>131.62944384905862</v>
      </c>
      <c r="E708" s="1">
        <f t="shared" si="108"/>
        <v>157.81110613467484</v>
      </c>
      <c r="F708" s="1">
        <f t="shared" si="102"/>
        <v>8.4445744604966873</v>
      </c>
      <c r="G708" s="1">
        <f t="shared" si="109"/>
        <v>6.2975477877787531</v>
      </c>
      <c r="H708" s="1">
        <f t="shared" si="103"/>
        <v>2.46350473925389</v>
      </c>
      <c r="I708" s="1">
        <f t="shared" si="104"/>
        <v>63.577966265402438</v>
      </c>
      <c r="K708" s="112">
        <f>C708/'CGE-Flood Weighted Av Calcs'!$D$3</f>
        <v>6.8981799777499304E-3</v>
      </c>
      <c r="L708" s="112">
        <f>D708/'CGE-Flood Weighted Av Calcs'!$D$4</f>
        <v>6.7614067374559229E-3</v>
      </c>
      <c r="M708" s="112">
        <f>E708/'CGE-Flood Weighted Av Calcs'!$D$5</f>
        <v>6.7603850279586396E-3</v>
      </c>
      <c r="N708" s="112">
        <f>F708/'CGE-Flood Weighted Av Calcs'!$D$6</f>
        <v>2.3342047944168677E-3</v>
      </c>
      <c r="O708" s="112">
        <f>G708/'CGE-Flood Weighted Av Calcs'!$D$7</f>
        <v>1.03955954832182E-2</v>
      </c>
      <c r="P708" s="112">
        <f>H708/'CGE-Flood Weighted Av Calcs'!$D$8</f>
        <v>2.4894195972613813E-2</v>
      </c>
      <c r="R708" s="1">
        <f t="shared" si="105"/>
        <v>0.11037841365521259</v>
      </c>
      <c r="S708" s="1">
        <f t="shared" si="106"/>
        <v>0.1280389598400466</v>
      </c>
      <c r="T708" s="1">
        <f t="shared" si="107"/>
        <v>3.0905955823459532</v>
      </c>
    </row>
    <row r="709" spans="1:20">
      <c r="A709">
        <v>656</v>
      </c>
      <c r="B709">
        <v>0.19744020205216561</v>
      </c>
      <c r="C709" s="1">
        <f t="shared" si="101"/>
        <v>82.654741857538639</v>
      </c>
      <c r="D709" s="1">
        <f t="shared" si="110"/>
        <v>265.8543670138709</v>
      </c>
      <c r="E709" s="1">
        <f t="shared" si="108"/>
        <v>318.73394357954533</v>
      </c>
      <c r="F709" s="1">
        <f t="shared" si="102"/>
        <v>17.055659678021978</v>
      </c>
      <c r="G709" s="1">
        <f t="shared" si="109"/>
        <v>12.719271098489086</v>
      </c>
      <c r="H709" s="1">
        <f t="shared" si="103"/>
        <v>4.9755850510242654</v>
      </c>
      <c r="I709" s="1">
        <f t="shared" si="104"/>
        <v>128.40956767165349</v>
      </c>
      <c r="K709" s="112">
        <f>C709/'CGE-Flood Weighted Av Calcs'!$D$3</f>
        <v>1.3932378789318885E-2</v>
      </c>
      <c r="L709" s="112">
        <f>D709/'CGE-Flood Weighted Av Calcs'!$D$4</f>
        <v>1.3656135403648307E-2</v>
      </c>
      <c r="M709" s="112">
        <f>E709/'CGE-Flood Weighted Av Calcs'!$D$5</f>
        <v>1.3654071838508705E-2</v>
      </c>
      <c r="N709" s="112">
        <f>F709/'CGE-Flood Weighted Av Calcs'!$D$6</f>
        <v>4.7144356152719327E-3</v>
      </c>
      <c r="O709" s="112">
        <f>G709/'CGE-Flood Weighted Av Calcs'!$D$7</f>
        <v>2.0996172103351141E-2</v>
      </c>
      <c r="P709" s="112">
        <f>H709/'CGE-Flood Weighted Av Calcs'!$D$8</f>
        <v>5.0279257581667819E-2</v>
      </c>
      <c r="R709" s="1">
        <f t="shared" si="105"/>
        <v>0.22293327720773176</v>
      </c>
      <c r="S709" s="1">
        <f t="shared" si="106"/>
        <v>0.25860260156096881</v>
      </c>
      <c r="T709" s="1">
        <f t="shared" si="107"/>
        <v>6.2421317618164895</v>
      </c>
    </row>
    <row r="710" spans="1:20">
      <c r="A710">
        <v>657</v>
      </c>
      <c r="B710">
        <v>0.14125988485193641</v>
      </c>
      <c r="C710" s="1">
        <f t="shared" si="101"/>
        <v>88.440690303415565</v>
      </c>
      <c r="D710" s="1">
        <f t="shared" si="110"/>
        <v>284.46454747157208</v>
      </c>
      <c r="E710" s="1">
        <f t="shared" si="108"/>
        <v>341.04576893955755</v>
      </c>
      <c r="F710" s="1">
        <f t="shared" si="102"/>
        <v>18.249579898322764</v>
      </c>
      <c r="G710" s="1">
        <f t="shared" si="109"/>
        <v>13.609638005348868</v>
      </c>
      <c r="H710" s="1">
        <f t="shared" si="103"/>
        <v>5.3238830185252874</v>
      </c>
      <c r="I710" s="1">
        <f t="shared" si="104"/>
        <v>137.39841842369017</v>
      </c>
      <c r="K710" s="112">
        <f>C710/'CGE-Flood Weighted Av Calcs'!$D$3</f>
        <v>1.4907664944617378E-2</v>
      </c>
      <c r="L710" s="112">
        <f>D710/'CGE-Flood Weighted Av Calcs'!$D$4</f>
        <v>1.4612084132538049E-2</v>
      </c>
      <c r="M710" s="112">
        <f>E710/'CGE-Flood Weighted Av Calcs'!$D$5</f>
        <v>1.460987611492973E-2</v>
      </c>
      <c r="N710" s="112">
        <f>F710/'CGE-Flood Weighted Av Calcs'!$D$6</f>
        <v>5.0444527541359582E-3</v>
      </c>
      <c r="O710" s="112">
        <f>G710/'CGE-Flood Weighted Av Calcs'!$D$7</f>
        <v>2.2465933748244224E-2</v>
      </c>
      <c r="P710" s="112">
        <f>H710/'CGE-Flood Weighted Av Calcs'!$D$8</f>
        <v>5.3798876489508665E-2</v>
      </c>
      <c r="R710" s="1">
        <f t="shared" si="105"/>
        <v>0.2385389208744621</v>
      </c>
      <c r="S710" s="1">
        <f t="shared" si="106"/>
        <v>0.27670514821437603</v>
      </c>
      <c r="T710" s="1">
        <f t="shared" si="107"/>
        <v>6.6790897844849395</v>
      </c>
    </row>
    <row r="711" spans="1:20">
      <c r="A711">
        <v>658</v>
      </c>
      <c r="B711">
        <v>0.6546788620406383</v>
      </c>
      <c r="C711" s="1">
        <f t="shared" si="101"/>
        <v>35.564240308281384</v>
      </c>
      <c r="D711" s="1">
        <f t="shared" si="110"/>
        <v>114.39039531190539</v>
      </c>
      <c r="E711" s="1">
        <f t="shared" si="108"/>
        <v>137.14313672900636</v>
      </c>
      <c r="F711" s="1">
        <f t="shared" si="102"/>
        <v>7.3386180365901819</v>
      </c>
      <c r="G711" s="1">
        <f t="shared" si="109"/>
        <v>5.4727799485781894</v>
      </c>
      <c r="H711" s="1">
        <f t="shared" si="103"/>
        <v>2.1408681274924359</v>
      </c>
      <c r="I711" s="1">
        <f t="shared" si="104"/>
        <v>55.251382073497851</v>
      </c>
      <c r="K711" s="112">
        <f>C711/'CGE-Flood Weighted Av Calcs'!$D$3</f>
        <v>5.9947494383729306E-3</v>
      </c>
      <c r="L711" s="112">
        <f>D711/'CGE-Flood Weighted Av Calcs'!$D$4</f>
        <v>5.875888911671452E-3</v>
      </c>
      <c r="M711" s="112">
        <f>E711/'CGE-Flood Weighted Av Calcs'!$D$5</f>
        <v>5.8750010118986456E-3</v>
      </c>
      <c r="N711" s="112">
        <f>F711/'CGE-Flood Weighted Av Calcs'!$D$6</f>
        <v>2.0285021448428761E-3</v>
      </c>
      <c r="O711" s="112">
        <f>G711/'CGE-Flood Weighted Av Calcs'!$D$7</f>
        <v>9.0341206500242494E-3</v>
      </c>
      <c r="P711" s="112">
        <f>H711/'CGE-Flood Weighted Av Calcs'!$D$8</f>
        <v>2.1633890070558881E-2</v>
      </c>
      <c r="R711" s="1">
        <f t="shared" si="105"/>
        <v>9.5922538322044892E-2</v>
      </c>
      <c r="S711" s="1">
        <f t="shared" si="106"/>
        <v>0.11127014445357208</v>
      </c>
      <c r="T711" s="1">
        <f t="shared" si="107"/>
        <v>2.6858310730172583</v>
      </c>
    </row>
    <row r="712" spans="1:20">
      <c r="A712">
        <v>659</v>
      </c>
      <c r="B712">
        <v>0.55315409279416416</v>
      </c>
      <c r="C712" s="1">
        <f t="shared" si="101"/>
        <v>46.020163487676591</v>
      </c>
      <c r="D712" s="1">
        <f t="shared" si="110"/>
        <v>148.02128902632623</v>
      </c>
      <c r="E712" s="1">
        <f t="shared" si="108"/>
        <v>177.46335978986215</v>
      </c>
      <c r="F712" s="1">
        <f t="shared" si="102"/>
        <v>9.4961792769927627</v>
      </c>
      <c r="G712" s="1">
        <f t="shared" si="109"/>
        <v>7.0817828746646851</v>
      </c>
      <c r="H712" s="1">
        <f t="shared" si="103"/>
        <v>2.7702855559047657</v>
      </c>
      <c r="I712" s="1">
        <f t="shared" si="104"/>
        <v>71.495345152933723</v>
      </c>
      <c r="K712" s="112">
        <f>C712/'CGE-Flood Weighted Av Calcs'!$D$3</f>
        <v>7.7572119305846449E-3</v>
      </c>
      <c r="L712" s="112">
        <f>D712/'CGE-Flood Weighted Av Calcs'!$D$4</f>
        <v>7.6034062869488475E-3</v>
      </c>
      <c r="M712" s="112">
        <f>E712/'CGE-Flood Weighted Av Calcs'!$D$5</f>
        <v>7.6022573437308566E-3</v>
      </c>
      <c r="N712" s="112">
        <f>F712/'CGE-Flood Weighted Av Calcs'!$D$6</f>
        <v>2.6248838589428298E-3</v>
      </c>
      <c r="O712" s="112">
        <f>G712/'CGE-Flood Weighted Av Calcs'!$D$7</f>
        <v>1.1690161400261948E-2</v>
      </c>
      <c r="P712" s="112">
        <f>H712/'CGE-Flood Weighted Av Calcs'!$D$8</f>
        <v>2.7994275971915297E-2</v>
      </c>
      <c r="R712" s="1">
        <f t="shared" si="105"/>
        <v>0.12412386311273216</v>
      </c>
      <c r="S712" s="1">
        <f t="shared" si="106"/>
        <v>0.14398368121076932</v>
      </c>
      <c r="T712" s="1">
        <f t="shared" si="107"/>
        <v>3.4754681671565013</v>
      </c>
    </row>
    <row r="713" spans="1:20">
      <c r="A713">
        <v>660</v>
      </c>
      <c r="B713">
        <v>0.93992348618586685</v>
      </c>
      <c r="C713" s="1">
        <f t="shared" si="101"/>
        <v>6.1872134060355677</v>
      </c>
      <c r="D713" s="1">
        <f t="shared" si="110"/>
        <v>19.900826820999782</v>
      </c>
      <c r="E713" s="1">
        <f t="shared" si="108"/>
        <v>23.859186833744616</v>
      </c>
      <c r="F713" s="1">
        <f t="shared" si="102"/>
        <v>1.2767205345643795</v>
      </c>
      <c r="G713" s="1">
        <f t="shared" si="109"/>
        <v>0.9521153038165906</v>
      </c>
      <c r="H713" s="1">
        <f t="shared" si="103"/>
        <v>0.37245299953422695</v>
      </c>
      <c r="I713" s="1">
        <f t="shared" si="104"/>
        <v>9.6122422102612859</v>
      </c>
      <c r="K713" s="112">
        <f>C713/'CGE-Flood Weighted Av Calcs'!$D$3</f>
        <v>1.0429238406166189E-3</v>
      </c>
      <c r="L713" s="112">
        <f>D713/'CGE-Flood Weighted Av Calcs'!$D$4</f>
        <v>1.0222453321519051E-3</v>
      </c>
      <c r="M713" s="112">
        <f>E713/'CGE-Flood Weighted Av Calcs'!$D$5</f>
        <v>1.0220908616689187E-3</v>
      </c>
      <c r="N713" s="112">
        <f>F713/'CGE-Flood Weighted Av Calcs'!$D$6</f>
        <v>3.5290436561978729E-4</v>
      </c>
      <c r="O713" s="112">
        <f>G713/'CGE-Flood Weighted Av Calcs'!$D$7</f>
        <v>1.5716920117806346E-3</v>
      </c>
      <c r="P713" s="112">
        <f>H713/'CGE-Flood Weighted Av Calcs'!$D$8</f>
        <v>3.7637102187191361E-3</v>
      </c>
      <c r="R713" s="1">
        <f t="shared" si="105"/>
        <v>1.6687920503925868E-2</v>
      </c>
      <c r="S713" s="1">
        <f t="shared" si="106"/>
        <v>1.9357987784553998E-2</v>
      </c>
      <c r="T713" s="1">
        <f t="shared" si="107"/>
        <v>0.4672617741099252</v>
      </c>
    </row>
    <row r="714" spans="1:20">
      <c r="A714">
        <v>661</v>
      </c>
      <c r="B714">
        <v>0.96455925812962295</v>
      </c>
      <c r="C714" s="1">
        <f t="shared" si="101"/>
        <v>3.6500026266280656</v>
      </c>
      <c r="D714" s="1">
        <f t="shared" si="110"/>
        <v>11.740029865118572</v>
      </c>
      <c r="E714" s="1">
        <f t="shared" si="108"/>
        <v>14.075172278270827</v>
      </c>
      <c r="F714" s="1">
        <f t="shared" si="102"/>
        <v>0.75317158126211581</v>
      </c>
      <c r="G714" s="1">
        <f t="shared" si="109"/>
        <v>0.5616782761029846</v>
      </c>
      <c r="H714" s="1">
        <f t="shared" si="103"/>
        <v>0.21971998335620579</v>
      </c>
      <c r="I714" s="1">
        <f t="shared" si="104"/>
        <v>5.6705186992602989</v>
      </c>
      <c r="K714" s="112">
        <f>C714/'CGE-Flood Weighted Av Calcs'!$D$3</f>
        <v>6.1524866006889526E-4</v>
      </c>
      <c r="L714" s="112">
        <f>D714/'CGE-Flood Weighted Av Calcs'!$D$4</f>
        <v>6.0304985500790869E-4</v>
      </c>
      <c r="M714" s="112">
        <f>E714/'CGE-Flood Weighted Av Calcs'!$D$5</f>
        <v>6.0295872873964416E-4</v>
      </c>
      <c r="N714" s="112">
        <f>F714/'CGE-Flood Weighted Av Calcs'!$D$6</f>
        <v>2.081877215038684E-4</v>
      </c>
      <c r="O714" s="112">
        <f>G714/'CGE-Flood Weighted Av Calcs'!$D$7</f>
        <v>9.2718314284320411E-4</v>
      </c>
      <c r="P714" s="112">
        <f>H714/'CGE-Flood Weighted Av Calcs'!$D$8</f>
        <v>2.2203132949626192E-3</v>
      </c>
      <c r="R714" s="1">
        <f t="shared" si="105"/>
        <v>9.844650519549164E-3</v>
      </c>
      <c r="S714" s="1">
        <f t="shared" si="106"/>
        <v>1.1419794602677058E-2</v>
      </c>
      <c r="T714" s="1">
        <f t="shared" si="107"/>
        <v>0.27565021454737781</v>
      </c>
    </row>
    <row r="715" spans="1:20">
      <c r="A715">
        <v>662</v>
      </c>
      <c r="B715">
        <v>0.57104008278609697</v>
      </c>
      <c r="C715" s="1">
        <f t="shared" si="101"/>
        <v>44.17810525172964</v>
      </c>
      <c r="D715" s="1">
        <f t="shared" si="110"/>
        <v>142.09641145348922</v>
      </c>
      <c r="E715" s="1">
        <f t="shared" si="108"/>
        <v>170.35999859543116</v>
      </c>
      <c r="F715" s="1">
        <f t="shared" si="102"/>
        <v>9.1160738205682676</v>
      </c>
      <c r="G715" s="1">
        <f t="shared" si="109"/>
        <v>6.7983189431869677</v>
      </c>
      <c r="H715" s="1">
        <f t="shared" si="103"/>
        <v>2.6593987850321299</v>
      </c>
      <c r="I715" s="1">
        <f t="shared" si="104"/>
        <v>68.633586754224467</v>
      </c>
      <c r="K715" s="112">
        <f>C715/'CGE-Flood Weighted Av Calcs'!$D$3</f>
        <v>7.4467124659631035E-3</v>
      </c>
      <c r="L715" s="112">
        <f>D715/'CGE-Flood Weighted Av Calcs'!$D$4</f>
        <v>7.2990632314124315E-3</v>
      </c>
      <c r="M715" s="112">
        <f>E715/'CGE-Flood Weighted Av Calcs'!$D$5</f>
        <v>7.297960277173117E-3</v>
      </c>
      <c r="N715" s="112">
        <f>F715/'CGE-Flood Weighted Av Calcs'!$D$6</f>
        <v>2.5198171107105121E-3</v>
      </c>
      <c r="O715" s="112">
        <f>G715/'CGE-Flood Weighted Av Calcs'!$D$7</f>
        <v>1.1222236985072333E-2</v>
      </c>
      <c r="P715" s="112">
        <f>H715/'CGE-Flood Weighted Av Calcs'!$D$8</f>
        <v>2.6873743520368337E-2</v>
      </c>
      <c r="R715" s="1">
        <f t="shared" si="105"/>
        <v>0.11915553255941749</v>
      </c>
      <c r="S715" s="1">
        <f t="shared" si="106"/>
        <v>0.1382204177689243</v>
      </c>
      <c r="T715" s="1">
        <f t="shared" si="107"/>
        <v>3.3363549116636904</v>
      </c>
    </row>
    <row r="716" spans="1:20">
      <c r="A716">
        <v>663</v>
      </c>
      <c r="B716">
        <v>0.1081555727428164</v>
      </c>
      <c r="C716" s="1">
        <f t="shared" si="101"/>
        <v>91.850066624964825</v>
      </c>
      <c r="D716" s="1">
        <f t="shared" si="110"/>
        <v>295.43061624763578</v>
      </c>
      <c r="E716" s="1">
        <f t="shared" si="108"/>
        <v>354.19303594073091</v>
      </c>
      <c r="F716" s="1">
        <f t="shared" si="102"/>
        <v>18.953098667456118</v>
      </c>
      <c r="G716" s="1">
        <f t="shared" si="109"/>
        <v>14.134287659270681</v>
      </c>
      <c r="H716" s="1">
        <f t="shared" si="103"/>
        <v>5.5291179690869221</v>
      </c>
      <c r="I716" s="1">
        <f t="shared" si="104"/>
        <v>142.69510836114938</v>
      </c>
      <c r="K716" s="112">
        <f>C716/'CGE-Flood Weighted Av Calcs'!$D$3</f>
        <v>1.5482353356675211E-2</v>
      </c>
      <c r="L716" s="112">
        <f>D716/'CGE-Flood Weighted Av Calcs'!$D$4</f>
        <v>1.5175377945363899E-2</v>
      </c>
      <c r="M716" s="112">
        <f>E716/'CGE-Flood Weighted Av Calcs'!$D$5</f>
        <v>1.51730848089836E-2</v>
      </c>
      <c r="N716" s="112">
        <f>F716/'CGE-Flood Weighted Av Calcs'!$D$6</f>
        <v>5.2389157068347897E-3</v>
      </c>
      <c r="O716" s="112">
        <f>G716/'CGE-Flood Weighted Av Calcs'!$D$7</f>
        <v>2.3331992372390899E-2</v>
      </c>
      <c r="P716" s="112">
        <f>H716/'CGE-Flood Weighted Av Calcs'!$D$8</f>
        <v>5.5872815702330485E-2</v>
      </c>
      <c r="R716" s="1">
        <f t="shared" si="105"/>
        <v>0.24773456312699543</v>
      </c>
      <c r="S716" s="1">
        <f t="shared" si="106"/>
        <v>0.28737209322731472</v>
      </c>
      <c r="T716" s="1">
        <f t="shared" si="107"/>
        <v>6.9365677675558723</v>
      </c>
    </row>
    <row r="717" spans="1:20">
      <c r="A717">
        <v>664</v>
      </c>
      <c r="B717">
        <v>0.5175116169213867</v>
      </c>
      <c r="C717" s="1">
        <f t="shared" si="101"/>
        <v>49.690942475062968</v>
      </c>
      <c r="D717" s="1">
        <f t="shared" si="110"/>
        <v>159.8281448969966</v>
      </c>
      <c r="E717" s="1">
        <f t="shared" si="108"/>
        <v>191.61865005348881</v>
      </c>
      <c r="F717" s="1">
        <f t="shared" si="102"/>
        <v>10.253638023521848</v>
      </c>
      <c r="G717" s="1">
        <f t="shared" si="109"/>
        <v>7.6466583075064882</v>
      </c>
      <c r="H717" s="1">
        <f t="shared" si="103"/>
        <v>2.9912562182623281</v>
      </c>
      <c r="I717" s="1">
        <f t="shared" si="104"/>
        <v>77.198141292578114</v>
      </c>
      <c r="K717" s="112">
        <f>C717/'CGE-Flood Weighted Av Calcs'!$D$3</f>
        <v>8.3759626780286027E-3</v>
      </c>
      <c r="L717" s="112">
        <f>D717/'CGE-Flood Weighted Av Calcs'!$D$4</f>
        <v>8.2098887919092502E-3</v>
      </c>
      <c r="M717" s="112">
        <f>E717/'CGE-Flood Weighted Av Calcs'!$D$5</f>
        <v>8.2086482037186485E-3</v>
      </c>
      <c r="N717" s="112">
        <f>F717/'CGE-Flood Weighted Av Calcs'!$D$6</f>
        <v>2.8342566160891019E-3</v>
      </c>
      <c r="O717" s="112">
        <f>G717/'CGE-Flood Weighted Av Calcs'!$D$7</f>
        <v>1.2622622208201668E-2</v>
      </c>
      <c r="P717" s="112">
        <f>H717/'CGE-Flood Weighted Av Calcs'!$D$8</f>
        <v>3.0227227622170075E-2</v>
      </c>
      <c r="R717" s="1">
        <f t="shared" si="105"/>
        <v>0.13402455085517034</v>
      </c>
      <c r="S717" s="1">
        <f t="shared" si="106"/>
        <v>0.15546847899199762</v>
      </c>
      <c r="T717" s="1">
        <f t="shared" si="107"/>
        <v>3.7526874239447703</v>
      </c>
    </row>
    <row r="718" spans="1:20">
      <c r="A718">
        <v>665</v>
      </c>
      <c r="B718">
        <v>0.48605654346853377</v>
      </c>
      <c r="C718" s="1">
        <f t="shared" si="101"/>
        <v>52.930465539890676</v>
      </c>
      <c r="D718" s="1">
        <f t="shared" si="110"/>
        <v>170.2478901465918</v>
      </c>
      <c r="E718" s="1">
        <f t="shared" si="108"/>
        <v>204.11092743001365</v>
      </c>
      <c r="F718" s="1">
        <f t="shared" si="102"/>
        <v>10.922107873782045</v>
      </c>
      <c r="G718" s="1">
        <f t="shared" si="109"/>
        <v>8.145170203682639</v>
      </c>
      <c r="H718" s="1">
        <f t="shared" si="103"/>
        <v>3.1862664762531705</v>
      </c>
      <c r="I718" s="1">
        <f t="shared" si="104"/>
        <v>82.230953045034582</v>
      </c>
      <c r="K718" s="112">
        <f>C718/'CGE-Flood Weighted Av Calcs'!$D$3</f>
        <v>8.9220204288798129E-3</v>
      </c>
      <c r="L718" s="112">
        <f>D718/'CGE-Flood Weighted Av Calcs'!$D$4</f>
        <v>8.7451196162070099E-3</v>
      </c>
      <c r="M718" s="112">
        <f>E718/'CGE-Flood Weighted Av Calcs'!$D$5</f>
        <v>8.7437981498149249E-3</v>
      </c>
      <c r="N718" s="112">
        <f>F718/'CGE-Flood Weighted Av Calcs'!$D$6</f>
        <v>3.0190315312372479E-3</v>
      </c>
      <c r="O718" s="112">
        <f>G718/'CGE-Flood Weighted Av Calcs'!$D$7</f>
        <v>1.3445534267126627E-2</v>
      </c>
      <c r="P718" s="112">
        <f>H718/'CGE-Flood Weighted Av Calcs'!$D$8</f>
        <v>3.2197844321922929E-2</v>
      </c>
      <c r="R718" s="1">
        <f t="shared" si="105"/>
        <v>0.1427620712587406</v>
      </c>
      <c r="S718" s="1">
        <f t="shared" si="106"/>
        <v>0.16560400266013908</v>
      </c>
      <c r="T718" s="1">
        <f t="shared" si="107"/>
        <v>3.9973379952447377</v>
      </c>
    </row>
    <row r="719" spans="1:20">
      <c r="A719">
        <v>666</v>
      </c>
      <c r="B719">
        <v>7.0403918630289941E-2</v>
      </c>
      <c r="C719" s="1">
        <f t="shared" si="101"/>
        <v>100.10381838311237</v>
      </c>
      <c r="D719" s="1">
        <f t="shared" si="110"/>
        <v>320.786779064592</v>
      </c>
      <c r="E719" s="1">
        <f t="shared" si="108"/>
        <v>384.55404219399736</v>
      </c>
      <c r="F719" s="1">
        <f t="shared" si="102"/>
        <v>22.769325193929856</v>
      </c>
      <c r="G719" s="1">
        <f t="shared" si="109"/>
        <v>15.485343005937374</v>
      </c>
      <c r="H719" s="1">
        <f t="shared" si="103"/>
        <v>5.9744560295277003</v>
      </c>
      <c r="I719" s="1">
        <f t="shared" si="104"/>
        <v>192.34026623719311</v>
      </c>
      <c r="K719" s="112">
        <f>C719/'CGE-Flood Weighted Av Calcs'!$D$3</f>
        <v>1.6873615289665328E-2</v>
      </c>
      <c r="L719" s="112">
        <f>D719/'CGE-Flood Weighted Av Calcs'!$D$4</f>
        <v>1.6477847401234223E-2</v>
      </c>
      <c r="M719" s="112">
        <f>E719/'CGE-Flood Weighted Av Calcs'!$D$5</f>
        <v>1.6473703612917341E-2</v>
      </c>
      <c r="N719" s="112">
        <f>F719/'CGE-Flood Weighted Av Calcs'!$D$6</f>
        <v>6.2937769430458437E-3</v>
      </c>
      <c r="O719" s="112">
        <f>G719/'CGE-Flood Weighted Av Calcs'!$D$7</f>
        <v>2.5562229495266306E-2</v>
      </c>
      <c r="P719" s="112">
        <f>H719/'CGE-Flood Weighted Av Calcs'!$D$8</f>
        <v>6.0373043679985659E-2</v>
      </c>
      <c r="R719" s="1">
        <f t="shared" si="105"/>
        <v>0.26973072091314004</v>
      </c>
      <c r="S719" s="1">
        <f t="shared" si="106"/>
        <v>0.31959608136971007</v>
      </c>
      <c r="T719" s="1">
        <f t="shared" si="107"/>
        <v>7.4932680228285014</v>
      </c>
    </row>
    <row r="720" spans="1:20">
      <c r="A720">
        <v>667</v>
      </c>
      <c r="B720">
        <v>0.46140838280600727</v>
      </c>
      <c r="C720" s="1">
        <f t="shared" si="101"/>
        <v>55.468952219679103</v>
      </c>
      <c r="D720" s="1">
        <f t="shared" si="110"/>
        <v>178.41279096488336</v>
      </c>
      <c r="E720" s="1">
        <f t="shared" si="108"/>
        <v>213.89986212377454</v>
      </c>
      <c r="F720" s="1">
        <f t="shared" si="102"/>
        <v>11.445920106869487</v>
      </c>
      <c r="G720" s="1">
        <f t="shared" si="109"/>
        <v>8.5358035724950732</v>
      </c>
      <c r="H720" s="1">
        <f t="shared" si="103"/>
        <v>3.339076298077416</v>
      </c>
      <c r="I720" s="1">
        <f t="shared" si="104"/>
        <v>86.174658751038834</v>
      </c>
      <c r="K720" s="112">
        <f>C720/'CGE-Flood Weighted Av Calcs'!$D$3</f>
        <v>9.3499106766699591E-3</v>
      </c>
      <c r="L720" s="112">
        <f>D720/'CGE-Flood Weighted Av Calcs'!$D$4</f>
        <v>9.1645258963608759E-3</v>
      </c>
      <c r="M720" s="112">
        <f>E720/'CGE-Flood Weighted Av Calcs'!$D$5</f>
        <v>9.1631410538998322E-3</v>
      </c>
      <c r="N720" s="112">
        <f>F720/'CGE-Flood Weighted Av Calcs'!$D$6</f>
        <v>3.1638209497646791E-3</v>
      </c>
      <c r="O720" s="112">
        <f>G720/'CGE-Flood Weighted Av Calcs'!$D$7</f>
        <v>1.4090367243591135E-2</v>
      </c>
      <c r="P720" s="112">
        <f>H720/'CGE-Flood Weighted Av Calcs'!$D$8</f>
        <v>3.3742017381717844E-2</v>
      </c>
      <c r="R720" s="1">
        <f t="shared" si="105"/>
        <v>0.14960878255388688</v>
      </c>
      <c r="S720" s="1">
        <f t="shared" si="106"/>
        <v>0.17354618776250874</v>
      </c>
      <c r="T720" s="1">
        <f t="shared" si="107"/>
        <v>4.189045911508833</v>
      </c>
    </row>
    <row r="721" spans="1:20">
      <c r="A721">
        <v>668</v>
      </c>
      <c r="B721">
        <v>0.28374340318950142</v>
      </c>
      <c r="C721" s="1">
        <f t="shared" si="101"/>
        <v>73.766471064850123</v>
      </c>
      <c r="D721" s="1">
        <f t="shared" si="110"/>
        <v>237.26573976353291</v>
      </c>
      <c r="E721" s="1">
        <f t="shared" si="108"/>
        <v>284.45891546029515</v>
      </c>
      <c r="F721" s="1">
        <f t="shared" si="102"/>
        <v>15.221580732769411</v>
      </c>
      <c r="G721" s="1">
        <f t="shared" si="109"/>
        <v>11.351505338554329</v>
      </c>
      <c r="H721" s="1">
        <f t="shared" si="103"/>
        <v>4.4405359262955191</v>
      </c>
      <c r="I721" s="1">
        <f t="shared" si="104"/>
        <v>114.60105548967977</v>
      </c>
      <c r="K721" s="112">
        <f>C721/'CGE-Flood Weighted Av Calcs'!$D$3</f>
        <v>1.2434161594723879E-2</v>
      </c>
      <c r="L721" s="112">
        <f>D721/'CGE-Flood Weighted Av Calcs'!$D$4</f>
        <v>1.2187624018561013E-2</v>
      </c>
      <c r="M721" s="112">
        <f>E721/'CGE-Flood Weighted Av Calcs'!$D$5</f>
        <v>1.2185782358727106E-2</v>
      </c>
      <c r="N721" s="112">
        <f>F721/'CGE-Flood Weighted Av Calcs'!$D$6</f>
        <v>4.2074691734015433E-3</v>
      </c>
      <c r="O721" s="112">
        <f>G721/'CGE-Flood Weighted Av Calcs'!$D$7</f>
        <v>1.8738350482104905E-2</v>
      </c>
      <c r="P721" s="112">
        <f>H721/'CGE-Flood Weighted Av Calcs'!$D$8</f>
        <v>4.4872481798477346E-2</v>
      </c>
      <c r="R721" s="1">
        <f t="shared" si="105"/>
        <v>0.19896016578069406</v>
      </c>
      <c r="S721" s="1">
        <f t="shared" si="106"/>
        <v>0.23079379230560509</v>
      </c>
      <c r="T721" s="1">
        <f t="shared" si="107"/>
        <v>5.5708846418594336</v>
      </c>
    </row>
    <row r="722" spans="1:20">
      <c r="A722">
        <v>669</v>
      </c>
      <c r="B722">
        <v>0.49334791462454741</v>
      </c>
      <c r="C722" s="1">
        <f t="shared" si="101"/>
        <v>52.179535326056339</v>
      </c>
      <c r="D722" s="1">
        <f t="shared" si="110"/>
        <v>167.83256499785915</v>
      </c>
      <c r="E722" s="1">
        <f t="shared" si="108"/>
        <v>201.21518372518204</v>
      </c>
      <c r="F722" s="1">
        <f t="shared" si="102"/>
        <v>10.767154753352759</v>
      </c>
      <c r="G722" s="1">
        <f t="shared" si="109"/>
        <v>8.0296137969822503</v>
      </c>
      <c r="H722" s="1">
        <f t="shared" si="103"/>
        <v>3.1410625706774153</v>
      </c>
      <c r="I722" s="1">
        <f t="shared" si="104"/>
        <v>81.064333660072407</v>
      </c>
      <c r="K722" s="112">
        <f>C722/'CGE-Flood Weighted Av Calcs'!$D$3</f>
        <v>8.7954427643882008E-3</v>
      </c>
      <c r="L722" s="112">
        <f>D722/'CGE-Flood Weighted Av Calcs'!$D$4</f>
        <v>8.6210516625923553E-3</v>
      </c>
      <c r="M722" s="112">
        <f>E722/'CGE-Flood Weighted Av Calcs'!$D$5</f>
        <v>8.6197489439862642E-3</v>
      </c>
      <c r="N722" s="112">
        <f>F722/'CGE-Flood Weighted Av Calcs'!$D$6</f>
        <v>2.976200205833242E-3</v>
      </c>
      <c r="O722" s="112">
        <f>G722/'CGE-Flood Weighted Av Calcs'!$D$7</f>
        <v>1.3254781024748264E-2</v>
      </c>
      <c r="P722" s="112">
        <f>H722/'CGE-Flood Weighted Av Calcs'!$D$8</f>
        <v>3.1741050037666266E-2</v>
      </c>
      <c r="R722" s="1">
        <f t="shared" si="105"/>
        <v>0.14073669038207015</v>
      </c>
      <c r="S722" s="1">
        <f t="shared" si="106"/>
        <v>0.16325456084320136</v>
      </c>
      <c r="T722" s="1">
        <f t="shared" si="107"/>
        <v>3.9406273306979647</v>
      </c>
    </row>
    <row r="723" spans="1:20">
      <c r="A723">
        <v>670</v>
      </c>
      <c r="B723">
        <v>0.65008771717603564</v>
      </c>
      <c r="C723" s="1">
        <f t="shared" si="101"/>
        <v>36.03707721661474</v>
      </c>
      <c r="D723" s="1">
        <f t="shared" si="110"/>
        <v>115.91124885449369</v>
      </c>
      <c r="E723" s="1">
        <f t="shared" si="108"/>
        <v>138.96649457970062</v>
      </c>
      <c r="F723" s="1">
        <f t="shared" si="102"/>
        <v>7.4361870956726186</v>
      </c>
      <c r="G723" s="1">
        <f t="shared" si="109"/>
        <v>5.545542148148412</v>
      </c>
      <c r="H723" s="1">
        <f t="shared" si="103"/>
        <v>2.1693315912914146</v>
      </c>
      <c r="I723" s="1">
        <f t="shared" si="104"/>
        <v>55.985965251834273</v>
      </c>
      <c r="K723" s="112">
        <f>C723/'CGE-Flood Weighted Av Calcs'!$D$3</f>
        <v>6.0744513739718004E-3</v>
      </c>
      <c r="L723" s="112">
        <f>D723/'CGE-Flood Weighted Av Calcs'!$D$4</f>
        <v>5.9540105620320806E-3</v>
      </c>
      <c r="M723" s="112">
        <f>E723/'CGE-Flood Weighted Av Calcs'!$D$5</f>
        <v>5.9531108573738101E-3</v>
      </c>
      <c r="N723" s="112">
        <f>F723/'CGE-Flood Weighted Av Calcs'!$D$6</f>
        <v>2.0554716702538191E-3</v>
      </c>
      <c r="O723" s="112">
        <f>G723/'CGE-Flood Weighted Av Calcs'!$D$7</f>
        <v>9.1542319089922448E-3</v>
      </c>
      <c r="P723" s="112">
        <f>H723/'CGE-Flood Weighted Av Calcs'!$D$8</f>
        <v>2.1921518924922594E-2</v>
      </c>
      <c r="R723" s="1">
        <f t="shared" si="105"/>
        <v>9.7197856339990091E-2</v>
      </c>
      <c r="S723" s="1">
        <f t="shared" si="106"/>
        <v>0.11274951335438851</v>
      </c>
      <c r="T723" s="1">
        <f t="shared" si="107"/>
        <v>2.7215399775197229</v>
      </c>
    </row>
    <row r="724" spans="1:20">
      <c r="A724">
        <v>671</v>
      </c>
      <c r="B724">
        <v>0.43134248709667755</v>
      </c>
      <c r="C724" s="1">
        <f t="shared" si="101"/>
        <v>58.565405412232181</v>
      </c>
      <c r="D724" s="1">
        <f t="shared" si="110"/>
        <v>188.37235995020706</v>
      </c>
      <c r="E724" s="1">
        <f t="shared" si="108"/>
        <v>225.84043219866496</v>
      </c>
      <c r="F724" s="1">
        <f t="shared" si="102"/>
        <v>12.084867742228814</v>
      </c>
      <c r="G724" s="1">
        <f t="shared" si="109"/>
        <v>9.0122992545909284</v>
      </c>
      <c r="H724" s="1">
        <f t="shared" si="103"/>
        <v>3.525474148579665</v>
      </c>
      <c r="I724" s="1">
        <f t="shared" si="104"/>
        <v>90.985202064531578</v>
      </c>
      <c r="K724" s="112">
        <f>C724/'CGE-Flood Weighted Av Calcs'!$D$3</f>
        <v>9.8718524045432587E-3</v>
      </c>
      <c r="L724" s="112">
        <f>D724/'CGE-Flood Weighted Av Calcs'!$D$4</f>
        <v>9.6761188566467614E-3</v>
      </c>
      <c r="M724" s="112">
        <f>E724/'CGE-Flood Weighted Av Calcs'!$D$5</f>
        <v>9.6746567078785321E-3</v>
      </c>
      <c r="N724" s="112">
        <f>F724/'CGE-Flood Weighted Av Calcs'!$D$6</f>
        <v>3.3404354897647614E-3</v>
      </c>
      <c r="O724" s="112">
        <f>G724/'CGE-Flood Weighted Av Calcs'!$D$7</f>
        <v>1.487693632214287E-2</v>
      </c>
      <c r="P724" s="112">
        <f>H724/'CGE-Flood Weighted Av Calcs'!$D$8</f>
        <v>3.5625604023683199E-2</v>
      </c>
      <c r="R724" s="1">
        <f t="shared" si="105"/>
        <v>0.15796042025092288</v>
      </c>
      <c r="S724" s="1">
        <f t="shared" si="106"/>
        <v>0.18323408749107056</v>
      </c>
      <c r="T724" s="1">
        <f t="shared" si="107"/>
        <v>4.4228917670258419</v>
      </c>
    </row>
    <row r="725" spans="1:20">
      <c r="A725">
        <v>672</v>
      </c>
      <c r="B725">
        <v>0.28138658933868033</v>
      </c>
      <c r="C725" s="1">
        <f t="shared" si="101"/>
        <v>74.009196704664134</v>
      </c>
      <c r="D725" s="1">
        <f t="shared" si="110"/>
        <v>238.04645324567059</v>
      </c>
      <c r="E725" s="1">
        <f t="shared" si="108"/>
        <v>285.39491621048961</v>
      </c>
      <c r="F725" s="1">
        <f t="shared" si="102"/>
        <v>15.271666738904825</v>
      </c>
      <c r="G725" s="1">
        <f t="shared" si="109"/>
        <v>11.388857015493441</v>
      </c>
      <c r="H725" s="1">
        <f t="shared" si="103"/>
        <v>4.455147333189033</v>
      </c>
      <c r="I725" s="1">
        <f t="shared" si="104"/>
        <v>114.97814570581114</v>
      </c>
      <c r="K725" s="112">
        <f>C725/'CGE-Flood Weighted Av Calcs'!$D$3</f>
        <v>1.2475075709023543E-2</v>
      </c>
      <c r="L725" s="112">
        <f>D725/'CGE-Flood Weighted Av Calcs'!$D$4</f>
        <v>1.222772691076955E-2</v>
      </c>
      <c r="M725" s="112">
        <f>E725/'CGE-Flood Weighted Av Calcs'!$D$5</f>
        <v>1.2225879191027189E-2</v>
      </c>
      <c r="N725" s="112">
        <f>F725/'CGE-Flood Weighted Av Calcs'!$D$6</f>
        <v>4.221313683412246E-3</v>
      </c>
      <c r="O725" s="112">
        <f>G725/'CGE-Flood Weighted Av Calcs'!$D$7</f>
        <v>1.8800008279260868E-2</v>
      </c>
      <c r="P725" s="112">
        <f>H725/'CGE-Flood Weighted Av Calcs'!$D$8</f>
        <v>4.502013291554112E-2</v>
      </c>
      <c r="R725" s="1">
        <f t="shared" si="105"/>
        <v>0.19961483629481103</v>
      </c>
      <c r="S725" s="1">
        <f t="shared" si="106"/>
        <v>0.23155321010198077</v>
      </c>
      <c r="T725" s="1">
        <f t="shared" si="107"/>
        <v>5.5892154162547083</v>
      </c>
    </row>
    <row r="726" spans="1:20">
      <c r="A726">
        <v>673</v>
      </c>
      <c r="B726">
        <v>0.79751303222359238</v>
      </c>
      <c r="C726" s="1">
        <f t="shared" si="101"/>
        <v>20.853907825772481</v>
      </c>
      <c r="D726" s="1">
        <f t="shared" si="110"/>
        <v>67.075431368983118</v>
      </c>
      <c r="E726" s="1">
        <f t="shared" si="108"/>
        <v>80.4170230403613</v>
      </c>
      <c r="F726" s="1">
        <f t="shared" si="102"/>
        <v>4.3031669670718884</v>
      </c>
      <c r="G726" s="1">
        <f t="shared" si="109"/>
        <v>3.2090900187683662</v>
      </c>
      <c r="H726" s="1">
        <f t="shared" si="103"/>
        <v>1.2553471186467426</v>
      </c>
      <c r="I726" s="1">
        <f t="shared" si="104"/>
        <v>32.397914844225198</v>
      </c>
      <c r="K726" s="112">
        <f>C726/'CGE-Flood Weighted Av Calcs'!$D$3</f>
        <v>3.5151587983539762E-3</v>
      </c>
      <c r="L726" s="112">
        <f>D726/'CGE-Flood Weighted Av Calcs'!$D$4</f>
        <v>3.4454622029404577E-3</v>
      </c>
      <c r="M726" s="112">
        <f>E726/'CGE-Flood Weighted Av Calcs'!$D$5</f>
        <v>3.4449415625483074E-3</v>
      </c>
      <c r="N726" s="112">
        <f>F726/'CGE-Flood Weighted Av Calcs'!$D$6</f>
        <v>1.1894587480639853E-3</v>
      </c>
      <c r="O726" s="112">
        <f>G726/'CGE-Flood Weighted Av Calcs'!$D$7</f>
        <v>5.2973638039062491E-3</v>
      </c>
      <c r="P726" s="112">
        <f>H726/'CGE-Flood Weighted Av Calcs'!$D$8</f>
        <v>1.2685527528034264E-2</v>
      </c>
      <c r="R726" s="1">
        <f t="shared" si="105"/>
        <v>5.6246379937891E-2</v>
      </c>
      <c r="S726" s="1">
        <f t="shared" si="106"/>
        <v>6.5245800727953551E-2</v>
      </c>
      <c r="T726" s="1">
        <f t="shared" si="107"/>
        <v>1.5748986382609491</v>
      </c>
    </row>
    <row r="727" spans="1:20">
      <c r="A727">
        <v>674</v>
      </c>
      <c r="B727">
        <v>0.21810475953258091</v>
      </c>
      <c r="C727" s="1">
        <f t="shared" si="101"/>
        <v>80.526522043250083</v>
      </c>
      <c r="D727" s="1">
        <f t="shared" si="110"/>
        <v>259.00906668531564</v>
      </c>
      <c r="E727" s="1">
        <f t="shared" si="108"/>
        <v>310.52708358618304</v>
      </c>
      <c r="F727" s="1">
        <f t="shared" si="102"/>
        <v>16.616505286431341</v>
      </c>
      <c r="G727" s="1">
        <f t="shared" si="109"/>
        <v>12.391771378971866</v>
      </c>
      <c r="H727" s="1">
        <f t="shared" si="103"/>
        <v>4.8474721508410079</v>
      </c>
      <c r="I727" s="1">
        <f t="shared" si="104"/>
        <v>125.10323847478705</v>
      </c>
      <c r="K727" s="112">
        <f>C727/'CGE-Flood Weighted Av Calcs'!$D$3</f>
        <v>1.3573643598412259E-2</v>
      </c>
      <c r="L727" s="112">
        <f>D727/'CGE-Flood Weighted Av Calcs'!$D$4</f>
        <v>1.3304513012730383E-2</v>
      </c>
      <c r="M727" s="112">
        <f>E727/'CGE-Flood Weighted Av Calcs'!$D$5</f>
        <v>1.3302502580903149E-2</v>
      </c>
      <c r="N727" s="112">
        <f>F727/'CGE-Flood Weighted Av Calcs'!$D$6</f>
        <v>4.593046871394388E-3</v>
      </c>
      <c r="O727" s="112">
        <f>G727/'CGE-Flood Weighted Av Calcs'!$D$7</f>
        <v>2.0455556181138458E-2</v>
      </c>
      <c r="P727" s="112">
        <f>H727/'CGE-Flood Weighted Av Calcs'!$D$8</f>
        <v>4.8984651732950094E-2</v>
      </c>
      <c r="R727" s="1">
        <f t="shared" si="105"/>
        <v>0.21719312235206087</v>
      </c>
      <c r="S727" s="1">
        <f t="shared" si="106"/>
        <v>0.2519440219283906</v>
      </c>
      <c r="T727" s="1">
        <f t="shared" si="107"/>
        <v>6.0814074258577042</v>
      </c>
    </row>
    <row r="728" spans="1:20">
      <c r="A728">
        <v>675</v>
      </c>
      <c r="B728">
        <v>0.6782332482771749</v>
      </c>
      <c r="C728" s="1">
        <f t="shared" si="101"/>
        <v>33.138400241320738</v>
      </c>
      <c r="D728" s="1">
        <f t="shared" si="110"/>
        <v>106.58781604076964</v>
      </c>
      <c r="E728" s="1">
        <f t="shared" si="108"/>
        <v>127.78859089583088</v>
      </c>
      <c r="F728" s="1">
        <f t="shared" si="102"/>
        <v>6.8380502326679053</v>
      </c>
      <c r="G728" s="1">
        <f t="shared" si="109"/>
        <v>5.0994811303878205</v>
      </c>
      <c r="H728" s="1">
        <f t="shared" si="103"/>
        <v>1.9948393177461234</v>
      </c>
      <c r="I728" s="1">
        <f t="shared" si="104"/>
        <v>51.482680275652001</v>
      </c>
      <c r="K728" s="112">
        <f>C728/'CGE-Flood Weighted Av Calcs'!$D$3</f>
        <v>5.5858470337963699E-3</v>
      </c>
      <c r="L728" s="112">
        <f>D728/'CGE-Flood Weighted Av Calcs'!$D$4</f>
        <v>5.47509399443479E-3</v>
      </c>
      <c r="M728" s="112">
        <f>E728/'CGE-Flood Weighted Av Calcs'!$D$5</f>
        <v>5.4742666583862658E-3</v>
      </c>
      <c r="N728" s="112">
        <f>F728/'CGE-Flood Weighted Av Calcs'!$D$6</f>
        <v>1.8901378289958254E-3</v>
      </c>
      <c r="O728" s="112">
        <f>G728/'CGE-Flood Weighted Av Calcs'!$D$7</f>
        <v>8.417902458587664E-3</v>
      </c>
      <c r="P728" s="112">
        <f>H728/'CGE-Flood Weighted Av Calcs'!$D$8</f>
        <v>2.0158240460656673E-2</v>
      </c>
      <c r="R728" s="1">
        <f t="shared" si="105"/>
        <v>8.9379653256340286E-2</v>
      </c>
      <c r="S728" s="1">
        <f t="shared" si="106"/>
        <v>0.10368039777735474</v>
      </c>
      <c r="T728" s="1">
        <f t="shared" si="107"/>
        <v>2.5026302911775291</v>
      </c>
    </row>
    <row r="729" spans="1:20">
      <c r="A729">
        <v>676</v>
      </c>
      <c r="B729">
        <v>0.92768898569434688</v>
      </c>
      <c r="C729" s="1">
        <f t="shared" si="101"/>
        <v>7.447231017767777</v>
      </c>
      <c r="D729" s="1">
        <f t="shared" si="110"/>
        <v>23.953603190088927</v>
      </c>
      <c r="E729" s="1">
        <f t="shared" si="108"/>
        <v>28.718077846425899</v>
      </c>
      <c r="F729" s="1">
        <f t="shared" si="102"/>
        <v>1.5367229384320105</v>
      </c>
      <c r="G729" s="1">
        <f t="shared" si="109"/>
        <v>1.1460122930554615</v>
      </c>
      <c r="H729" s="1">
        <f t="shared" si="103"/>
        <v>0.44830254732868546</v>
      </c>
      <c r="I729" s="1">
        <f t="shared" si="104"/>
        <v>11.569762288904485</v>
      </c>
      <c r="K729" s="112">
        <f>C729/'CGE-Flood Weighted Av Calcs'!$D$3</f>
        <v>1.2553138651130167E-3</v>
      </c>
      <c r="L729" s="112">
        <f>D729/'CGE-Flood Weighted Av Calcs'!$D$4</f>
        <v>1.2304242064680824E-3</v>
      </c>
      <c r="M729" s="112">
        <f>E729/'CGE-Flood Weighted Av Calcs'!$D$5</f>
        <v>1.2302382782809101E-3</v>
      </c>
      <c r="N729" s="112">
        <f>F729/'CGE-Flood Weighted Av Calcs'!$D$6</f>
        <v>4.2477286065251851E-4</v>
      </c>
      <c r="O729" s="112">
        <f>G729/'CGE-Flood Weighted Av Calcs'!$D$7</f>
        <v>1.891764956594631E-3</v>
      </c>
      <c r="P729" s="112">
        <f>H729/'CGE-Flood Weighted Av Calcs'!$D$8</f>
        <v>4.5301846959719229E-3</v>
      </c>
      <c r="R729" s="1">
        <f t="shared" si="105"/>
        <v>2.0086392862681407E-2</v>
      </c>
      <c r="S729" s="1">
        <f t="shared" si="106"/>
        <v>2.3300215720710449E-2</v>
      </c>
      <c r="T729" s="1">
        <f t="shared" si="107"/>
        <v>0.56241900015508062</v>
      </c>
    </row>
    <row r="730" spans="1:20">
      <c r="A730">
        <v>677</v>
      </c>
      <c r="B730">
        <v>0.18589990032140735</v>
      </c>
      <c r="C730" s="1">
        <f t="shared" si="101"/>
        <v>83.843264710231949</v>
      </c>
      <c r="D730" s="1">
        <f t="shared" si="110"/>
        <v>269.6771844782204</v>
      </c>
      <c r="E730" s="1">
        <f t="shared" si="108"/>
        <v>323.31713587269019</v>
      </c>
      <c r="F730" s="1">
        <f t="shared" si="102"/>
        <v>17.300909264912317</v>
      </c>
      <c r="G730" s="1">
        <f t="shared" si="109"/>
        <v>12.902166163314421</v>
      </c>
      <c r="H730" s="1">
        <f t="shared" si="103"/>
        <v>5.0471308136237552</v>
      </c>
      <c r="I730" s="1">
        <f t="shared" si="104"/>
        <v>130.25601594857483</v>
      </c>
      <c r="K730" s="112">
        <f>C730/'CGE-Flood Weighted Av Calcs'!$D$3</f>
        <v>1.4132717574624459E-2</v>
      </c>
      <c r="L730" s="112">
        <f>D730/'CGE-Flood Weighted Av Calcs'!$D$4</f>
        <v>1.3852501983979351E-2</v>
      </c>
      <c r="M730" s="112">
        <f>E730/'CGE-Flood Weighted Av Calcs'!$D$5</f>
        <v>1.3850408746079648E-2</v>
      </c>
      <c r="N730" s="112">
        <f>F730/'CGE-Flood Weighted Av Calcs'!$D$6</f>
        <v>4.7822262143395518E-3</v>
      </c>
      <c r="O730" s="112">
        <f>G730/'CGE-Flood Weighted Av Calcs'!$D$7</f>
        <v>2.1298083763869363E-2</v>
      </c>
      <c r="P730" s="112">
        <f>H730/'CGE-Flood Weighted Av Calcs'!$D$8</f>
        <v>5.1002241469939626E-2</v>
      </c>
      <c r="R730" s="1">
        <f t="shared" si="105"/>
        <v>0.22613891657738686</v>
      </c>
      <c r="S730" s="1">
        <f t="shared" si="106"/>
        <v>0.26232114322976874</v>
      </c>
      <c r="T730" s="1">
        <f t="shared" si="107"/>
        <v>6.3318896641668321</v>
      </c>
    </row>
    <row r="731" spans="1:20">
      <c r="A731">
        <v>678</v>
      </c>
      <c r="B731">
        <v>0.95722829155158429</v>
      </c>
      <c r="C731" s="1">
        <f t="shared" si="101"/>
        <v>4.4050107289818499</v>
      </c>
      <c r="D731" s="1">
        <f t="shared" si="110"/>
        <v>14.168471314824728</v>
      </c>
      <c r="E731" s="1">
        <f t="shared" si="108"/>
        <v>16.986641172729435</v>
      </c>
      <c r="F731" s="1">
        <f t="shared" si="102"/>
        <v>0.90896616676926101</v>
      </c>
      <c r="G731" s="1">
        <f t="shared" si="109"/>
        <v>0.67786220602130953</v>
      </c>
      <c r="H731" s="1">
        <f t="shared" si="103"/>
        <v>0.26516936645328748</v>
      </c>
      <c r="I731" s="1">
        <f t="shared" si="104"/>
        <v>6.8434733517464963</v>
      </c>
      <c r="K731" s="112">
        <f>C731/'CGE-Flood Weighted Av Calcs'!$D$3</f>
        <v>7.4251369816106085E-4</v>
      </c>
      <c r="L731" s="112">
        <f>D731/'CGE-Flood Weighted Av Calcs'!$D$4</f>
        <v>7.2779155336522396E-4</v>
      </c>
      <c r="M731" s="112">
        <f>E731/'CGE-Flood Weighted Av Calcs'!$D$5</f>
        <v>7.2768157750206417E-4</v>
      </c>
      <c r="N731" s="112">
        <f>F731/'CGE-Flood Weighted Av Calcs'!$D$6</f>
        <v>2.51251640252662E-4</v>
      </c>
      <c r="O731" s="112">
        <f>G731/'CGE-Flood Weighted Av Calcs'!$D$7</f>
        <v>1.1189722610497196E-3</v>
      </c>
      <c r="P731" s="112">
        <f>H731/'CGE-Flood Weighted Av Calcs'!$D$8</f>
        <v>2.6795881774602363E-3</v>
      </c>
      <c r="R731" s="1">
        <f t="shared" si="105"/>
        <v>1.1881030124559905E-2</v>
      </c>
      <c r="S731" s="1">
        <f t="shared" si="106"/>
        <v>1.3781994944489506E-2</v>
      </c>
      <c r="T731" s="1">
        <f t="shared" si="107"/>
        <v>0.33266884348767878</v>
      </c>
    </row>
    <row r="732" spans="1:20">
      <c r="A732">
        <v>679</v>
      </c>
      <c r="B732">
        <v>0.34872691556762725</v>
      </c>
      <c r="C732" s="1">
        <f t="shared" si="101"/>
        <v>67.073891328929591</v>
      </c>
      <c r="D732" s="1">
        <f t="shared" si="110"/>
        <v>215.73943032989291</v>
      </c>
      <c r="E732" s="1">
        <f t="shared" si="108"/>
        <v>258.65093053394764</v>
      </c>
      <c r="F732" s="1">
        <f t="shared" si="102"/>
        <v>13.84057875056461</v>
      </c>
      <c r="G732" s="1">
        <f t="shared" si="109"/>
        <v>10.321622066326022</v>
      </c>
      <c r="H732" s="1">
        <f t="shared" si="103"/>
        <v>4.0376612824640947</v>
      </c>
      <c r="I732" s="1">
        <f t="shared" si="104"/>
        <v>104.20369350917963</v>
      </c>
      <c r="K732" s="112">
        <f>C732/'CGE-Flood Weighted Av Calcs'!$D$3</f>
        <v>1.1306052621626164E-2</v>
      </c>
      <c r="L732" s="112">
        <f>D732/'CGE-Flood Weighted Av Calcs'!$D$4</f>
        <v>1.1081882556916028E-2</v>
      </c>
      <c r="M732" s="112">
        <f>E732/'CGE-Flood Weighted Av Calcs'!$D$5</f>
        <v>1.1080207984582813E-2</v>
      </c>
      <c r="N732" s="112">
        <f>F732/'CGE-Flood Weighted Av Calcs'!$D$6</f>
        <v>3.825739879280067E-3</v>
      </c>
      <c r="O732" s="112">
        <f>G732/'CGE-Flood Weighted Av Calcs'!$D$7</f>
        <v>1.7038284003245387E-2</v>
      </c>
      <c r="P732" s="112">
        <f>H732/'CGE-Flood Weighted Av Calcs'!$D$8</f>
        <v>4.0801354929456593E-2</v>
      </c>
      <c r="R732" s="1">
        <f t="shared" si="105"/>
        <v>0.18090919012010354</v>
      </c>
      <c r="S732" s="1">
        <f t="shared" si="106"/>
        <v>0.20985466053932011</v>
      </c>
      <c r="T732" s="1">
        <f t="shared" si="107"/>
        <v>5.0654573233628994</v>
      </c>
    </row>
    <row r="733" spans="1:20">
      <c r="A733">
        <v>680</v>
      </c>
      <c r="B733">
        <v>9.0529495498425927E-3</v>
      </c>
      <c r="C733" s="1">
        <f t="shared" si="101"/>
        <v>149.65584931137883</v>
      </c>
      <c r="D733" s="1">
        <f t="shared" si="110"/>
        <v>475.22894793672759</v>
      </c>
      <c r="E733" s="1">
        <f t="shared" si="108"/>
        <v>569.65397783633841</v>
      </c>
      <c r="F733" s="1">
        <f t="shared" si="102"/>
        <v>30.837945992481977</v>
      </c>
      <c r="G733" s="1">
        <f t="shared" si="109"/>
        <v>21.337096747506322</v>
      </c>
      <c r="H733" s="1">
        <f t="shared" si="103"/>
        <v>7.9952728932686687</v>
      </c>
      <c r="I733" s="1">
        <f t="shared" si="104"/>
        <v>369.77611890661115</v>
      </c>
      <c r="K733" s="112">
        <f>C733/'CGE-Flood Weighted Av Calcs'!$D$3</f>
        <v>2.5226162876863269E-2</v>
      </c>
      <c r="L733" s="112">
        <f>D733/'CGE-Flood Weighted Av Calcs'!$D$4</f>
        <v>2.4411074881529708E-2</v>
      </c>
      <c r="M733" s="112">
        <f>E733/'CGE-Flood Weighted Av Calcs'!$D$5</f>
        <v>2.4403100118919267E-2</v>
      </c>
      <c r="N733" s="112">
        <f>F733/'CGE-Flood Weighted Av Calcs'!$D$6</f>
        <v>8.5240626063928463E-3</v>
      </c>
      <c r="O733" s="112">
        <f>G733/'CGE-Flood Weighted Av Calcs'!$D$7</f>
        <v>3.5221936227911199E-2</v>
      </c>
      <c r="P733" s="112">
        <f>H733/'CGE-Flood Weighted Av Calcs'!$D$8</f>
        <v>8.0793792310640461E-2</v>
      </c>
      <c r="R733" s="1">
        <f t="shared" si="105"/>
        <v>0.33189410090031485</v>
      </c>
      <c r="S733" s="1">
        <f t="shared" si="106"/>
        <v>0.39189410090031485</v>
      </c>
      <c r="T733" s="1">
        <f t="shared" si="107"/>
        <v>15.32587063022037</v>
      </c>
    </row>
    <row r="734" spans="1:20">
      <c r="A734">
        <v>681</v>
      </c>
      <c r="B734">
        <v>0.33491673100032027</v>
      </c>
      <c r="C734" s="1">
        <f t="shared" si="101"/>
        <v>68.496186892867016</v>
      </c>
      <c r="D734" s="1">
        <f t="shared" si="110"/>
        <v>220.31416468099576</v>
      </c>
      <c r="E734" s="1">
        <f t="shared" si="108"/>
        <v>264.13559921527775</v>
      </c>
      <c r="F734" s="1">
        <f t="shared" si="102"/>
        <v>14.134066922627234</v>
      </c>
      <c r="G734" s="1">
        <f t="shared" si="109"/>
        <v>10.540491092510617</v>
      </c>
      <c r="H734" s="1">
        <f t="shared" si="103"/>
        <v>4.1232795106144229</v>
      </c>
      <c r="I734" s="1">
        <f t="shared" si="104"/>
        <v>106.41332303994875</v>
      </c>
      <c r="K734" s="112">
        <f>C734/'CGE-Flood Weighted Av Calcs'!$D$3</f>
        <v>1.1545796405247173E-2</v>
      </c>
      <c r="L734" s="112">
        <f>D734/'CGE-Flood Weighted Av Calcs'!$D$4</f>
        <v>1.1316872835375974E-2</v>
      </c>
      <c r="M734" s="112">
        <f>E734/'CGE-Flood Weighted Av Calcs'!$D$5</f>
        <v>1.1315162753893758E-2</v>
      </c>
      <c r="N734" s="112">
        <f>F734/'CGE-Flood Weighted Av Calcs'!$D$6</f>
        <v>3.9068643339862106E-3</v>
      </c>
      <c r="O734" s="112">
        <f>G734/'CGE-Flood Weighted Av Calcs'!$D$7</f>
        <v>1.7399579214761911E-2</v>
      </c>
      <c r="P734" s="112">
        <f>H734/'CGE-Flood Weighted Av Calcs'!$D$8</f>
        <v>4.1666543827387333E-2</v>
      </c>
      <c r="R734" s="1">
        <f t="shared" si="105"/>
        <v>0.18474535249991103</v>
      </c>
      <c r="S734" s="1">
        <f t="shared" si="106"/>
        <v>0.21430460889989678</v>
      </c>
      <c r="T734" s="1">
        <f t="shared" si="107"/>
        <v>5.1728698699975091</v>
      </c>
    </row>
    <row r="735" spans="1:20">
      <c r="A735">
        <v>682</v>
      </c>
      <c r="B735">
        <v>0.86202396703514861</v>
      </c>
      <c r="C735" s="1">
        <f t="shared" si="101"/>
        <v>14.209998328346757</v>
      </c>
      <c r="D735" s="1">
        <f t="shared" si="110"/>
        <v>45.705667042818675</v>
      </c>
      <c r="E735" s="1">
        <f t="shared" si="108"/>
        <v>54.796720716388222</v>
      </c>
      <c r="F735" s="1">
        <f t="shared" si="102"/>
        <v>2.9322080024310004</v>
      </c>
      <c r="G735" s="1">
        <f t="shared" si="109"/>
        <v>2.1866963344805885</v>
      </c>
      <c r="H735" s="1">
        <f t="shared" si="103"/>
        <v>0.85540228749929081</v>
      </c>
      <c r="I735" s="1">
        <f t="shared" si="104"/>
        <v>22.076165274376194</v>
      </c>
      <c r="K735" s="112">
        <f>C735/'CGE-Flood Weighted Av Calcs'!$D$3</f>
        <v>2.3952537368920257E-3</v>
      </c>
      <c r="L735" s="112">
        <f>D735/'CGE-Flood Weighted Av Calcs'!$D$4</f>
        <v>2.3477619903766039E-3</v>
      </c>
      <c r="M735" s="112">
        <f>E735/'CGE-Flood Weighted Av Calcs'!$D$5</f>
        <v>2.3474072223799336E-3</v>
      </c>
      <c r="N735" s="112">
        <f>F735/'CGE-Flood Weighted Av Calcs'!$D$6</f>
        <v>8.1050549196050076E-4</v>
      </c>
      <c r="O735" s="112">
        <f>G735/'CGE-Flood Weighted Av Calcs'!$D$7</f>
        <v>3.6096606653800633E-3</v>
      </c>
      <c r="P735" s="112">
        <f>H735/'CGE-Flood Weighted Av Calcs'!$D$8</f>
        <v>8.6440069877352331E-3</v>
      </c>
      <c r="R735" s="1">
        <f t="shared" si="105"/>
        <v>3.8326675823569828E-2</v>
      </c>
      <c r="S735" s="1">
        <f t="shared" si="106"/>
        <v>4.4458943955341002E-2</v>
      </c>
      <c r="T735" s="1">
        <f t="shared" si="107"/>
        <v>1.073146923059956</v>
      </c>
    </row>
    <row r="736" spans="1:20">
      <c r="A736">
        <v>683</v>
      </c>
      <c r="B736">
        <v>0.66980454576108484</v>
      </c>
      <c r="C736" s="1">
        <f t="shared" si="101"/>
        <v>34.006462948227835</v>
      </c>
      <c r="D736" s="1">
        <f t="shared" si="110"/>
        <v>109.37989132026053</v>
      </c>
      <c r="E736" s="1">
        <f t="shared" si="108"/>
        <v>131.13602195216052</v>
      </c>
      <c r="F736" s="1">
        <f t="shared" si="102"/>
        <v>7.0171734357106068</v>
      </c>
      <c r="G736" s="1">
        <f t="shared" si="109"/>
        <v>5.2330623944690728</v>
      </c>
      <c r="H736" s="1">
        <f t="shared" si="103"/>
        <v>2.0470942728856962</v>
      </c>
      <c r="I736" s="1">
        <f t="shared" si="104"/>
        <v>52.831272678226412</v>
      </c>
      <c r="K736" s="112">
        <f>C736/'CGE-Flood Weighted Av Calcs'!$D$3</f>
        <v>5.7321686866587838E-3</v>
      </c>
      <c r="L736" s="112">
        <f>D736/'CGE-Flood Weighted Av Calcs'!$D$4</f>
        <v>5.618514463702152E-3</v>
      </c>
      <c r="M736" s="112">
        <f>E736/'CGE-Flood Weighted Av Calcs'!$D$5</f>
        <v>5.6176654555280996E-3</v>
      </c>
      <c r="N736" s="112">
        <f>F736/'CGE-Flood Weighted Av Calcs'!$D$6</f>
        <v>1.9396501213309193E-3</v>
      </c>
      <c r="O736" s="112">
        <f>G736/'CGE-Flood Weighted Av Calcs'!$D$7</f>
        <v>8.6384100009393901E-3</v>
      </c>
      <c r="P736" s="112">
        <f>H736/'CGE-Flood Weighted Av Calcs'!$D$8</f>
        <v>2.0686286976280041E-2</v>
      </c>
      <c r="R736" s="1">
        <f t="shared" si="105"/>
        <v>9.1720959510809746E-2</v>
      </c>
      <c r="S736" s="1">
        <f t="shared" si="106"/>
        <v>0.10639631303253932</v>
      </c>
      <c r="T736" s="1">
        <f t="shared" si="107"/>
        <v>2.5681868663026739</v>
      </c>
    </row>
    <row r="737" spans="1:20">
      <c r="A737">
        <v>684</v>
      </c>
      <c r="B737">
        <v>0.61330276314060928</v>
      </c>
      <c r="C737" s="1">
        <f t="shared" si="101"/>
        <v>39.82551876055215</v>
      </c>
      <c r="D737" s="1">
        <f t="shared" si="110"/>
        <v>128.09655977553521</v>
      </c>
      <c r="E737" s="1">
        <f t="shared" si="108"/>
        <v>153.57551623027905</v>
      </c>
      <c r="F737" s="1">
        <f t="shared" si="102"/>
        <v>8.2179253024756136</v>
      </c>
      <c r="G737" s="1">
        <f t="shared" si="109"/>
        <v>6.1285240068440796</v>
      </c>
      <c r="H737" s="1">
        <f t="shared" si="103"/>
        <v>2.3973852115565788</v>
      </c>
      <c r="I737" s="1">
        <f t="shared" si="104"/>
        <v>61.871557897502498</v>
      </c>
      <c r="K737" s="112">
        <f>C737/'CGE-Flood Weighted Av Calcs'!$D$3</f>
        <v>6.7130354578989106E-3</v>
      </c>
      <c r="L737" s="112">
        <f>D737/'CGE-Flood Weighted Av Calcs'!$D$4</f>
        <v>6.5799331592133244E-3</v>
      </c>
      <c r="M737" s="112">
        <f>E737/'CGE-Flood Weighted Av Calcs'!$D$5</f>
        <v>6.5789388720092993E-3</v>
      </c>
      <c r="N737" s="112">
        <f>F737/'CGE-Flood Weighted Av Calcs'!$D$6</f>
        <v>2.2715556279279954E-3</v>
      </c>
      <c r="O737" s="112">
        <f>G737/'CGE-Flood Weighted Av Calcs'!$D$7</f>
        <v>1.0116581665006157E-2</v>
      </c>
      <c r="P737" s="112">
        <f>H737/'CGE-Flood Weighted Av Calcs'!$D$8</f>
        <v>2.4226045246582718E-2</v>
      </c>
      <c r="R737" s="1">
        <f t="shared" si="105"/>
        <v>0.10741589912760852</v>
      </c>
      <c r="S737" s="1">
        <f t="shared" si="106"/>
        <v>0.12460244298802589</v>
      </c>
      <c r="T737" s="1">
        <f t="shared" si="107"/>
        <v>3.0076451755730393</v>
      </c>
    </row>
    <row r="738" spans="1:20">
      <c r="A738">
        <v>685</v>
      </c>
      <c r="B738">
        <v>0.62767067009462807</v>
      </c>
      <c r="C738" s="1">
        <f t="shared" si="101"/>
        <v>38.345783987698809</v>
      </c>
      <c r="D738" s="1">
        <f t="shared" si="110"/>
        <v>123.33707541269757</v>
      </c>
      <c r="E738" s="1">
        <f t="shared" si="108"/>
        <v>147.86934996559899</v>
      </c>
      <c r="F738" s="1">
        <f t="shared" si="102"/>
        <v>7.9125846513243356</v>
      </c>
      <c r="G738" s="1">
        <f t="shared" si="109"/>
        <v>5.9008159854189763</v>
      </c>
      <c r="H738" s="1">
        <f t="shared" si="103"/>
        <v>2.3083093031473587</v>
      </c>
      <c r="I738" s="1">
        <f t="shared" si="104"/>
        <v>59.572692784859484</v>
      </c>
      <c r="K738" s="112">
        <f>C738/'CGE-Flood Weighted Av Calcs'!$D$3</f>
        <v>6.4636096548560187E-3</v>
      </c>
      <c r="L738" s="112">
        <f>D738/'CGE-Flood Weighted Av Calcs'!$D$4</f>
        <v>6.3354528309775785E-3</v>
      </c>
      <c r="M738" s="112">
        <f>E738/'CGE-Flood Weighted Av Calcs'!$D$5</f>
        <v>6.3344954869546041E-3</v>
      </c>
      <c r="N738" s="112">
        <f>F738/'CGE-Flood Weighted Av Calcs'!$D$6</f>
        <v>2.1871549733797069E-3</v>
      </c>
      <c r="O738" s="112">
        <f>G738/'CGE-Flood Weighted Av Calcs'!$D$7</f>
        <v>9.7406955965251597E-3</v>
      </c>
      <c r="P738" s="112">
        <f>H738/'CGE-Flood Weighted Av Calcs'!$D$8</f>
        <v>2.3325915815108872E-2</v>
      </c>
      <c r="R738" s="1">
        <f t="shared" si="105"/>
        <v>0.1034248138626033</v>
      </c>
      <c r="S738" s="1">
        <f t="shared" si="106"/>
        <v>0.11997278408061984</v>
      </c>
      <c r="T738" s="1">
        <f t="shared" si="107"/>
        <v>2.8958947881528934</v>
      </c>
    </row>
    <row r="739" spans="1:20">
      <c r="A739">
        <v>686</v>
      </c>
      <c r="B739">
        <v>0.81803111613746193</v>
      </c>
      <c r="C739" s="1">
        <f t="shared" si="101"/>
        <v>18.74077316135407</v>
      </c>
      <c r="D739" s="1">
        <f t="shared" si="110"/>
        <v>60.278651583592193</v>
      </c>
      <c r="E739" s="1">
        <f t="shared" si="108"/>
        <v>72.268334534799294</v>
      </c>
      <c r="F739" s="1">
        <f t="shared" si="102"/>
        <v>3.8671253694552554</v>
      </c>
      <c r="G739" s="1">
        <f t="shared" si="109"/>
        <v>2.8839116677104464</v>
      </c>
      <c r="H739" s="1">
        <f t="shared" si="103"/>
        <v>1.1281423024342239</v>
      </c>
      <c r="I739" s="1">
        <f t="shared" si="104"/>
        <v>29.115021418006066</v>
      </c>
      <c r="K739" s="112">
        <f>C739/'CGE-Flood Weighted Av Calcs'!$D$3</f>
        <v>3.1589663777393043E-3</v>
      </c>
      <c r="L739" s="112">
        <f>D739/'CGE-Flood Weighted Av Calcs'!$D$4</f>
        <v>3.0963321656925255E-3</v>
      </c>
      <c r="M739" s="112">
        <f>E739/'CGE-Flood Weighted Av Calcs'!$D$5</f>
        <v>3.0958642819956437E-3</v>
      </c>
      <c r="N739" s="112">
        <f>F739/'CGE-Flood Weighted Av Calcs'!$D$6</f>
        <v>1.0689304263015089E-3</v>
      </c>
      <c r="O739" s="112">
        <f>G739/'CGE-Flood Weighted Av Calcs'!$D$7</f>
        <v>4.7605798506255414E-3</v>
      </c>
      <c r="P739" s="112">
        <f>H739/'CGE-Flood Weighted Av Calcs'!$D$8</f>
        <v>1.1400098044990592E-2</v>
      </c>
      <c r="R739" s="1">
        <f t="shared" si="105"/>
        <v>5.054691218403834E-2</v>
      </c>
      <c r="S739" s="1">
        <f t="shared" si="106"/>
        <v>5.8634418133484495E-2</v>
      </c>
      <c r="T739" s="1">
        <f t="shared" si="107"/>
        <v>1.4153135411530746</v>
      </c>
    </row>
    <row r="740" spans="1:20">
      <c r="A740">
        <v>687</v>
      </c>
      <c r="B740">
        <v>0.12939074767079095</v>
      </c>
      <c r="C740" s="1">
        <f t="shared" si="101"/>
        <v>89.663079553771539</v>
      </c>
      <c r="D740" s="1">
        <f t="shared" si="110"/>
        <v>288.39629431506319</v>
      </c>
      <c r="E740" s="1">
        <f t="shared" si="108"/>
        <v>345.7595571336667</v>
      </c>
      <c r="F740" s="1">
        <f t="shared" si="102"/>
        <v>18.501817756425062</v>
      </c>
      <c r="G740" s="1">
        <f t="shared" si="109"/>
        <v>13.797744578713459</v>
      </c>
      <c r="H740" s="1">
        <f t="shared" si="103"/>
        <v>5.3974674438579182</v>
      </c>
      <c r="I740" s="1">
        <f t="shared" si="104"/>
        <v>139.29748037267345</v>
      </c>
      <c r="K740" s="112">
        <f>C740/'CGE-Flood Weighted Av Calcs'!$D$3</f>
        <v>1.511371228904324E-2</v>
      </c>
      <c r="L740" s="112">
        <f>D740/'CGE-Flood Weighted Av Calcs'!$D$4</f>
        <v>1.4814046085883657E-2</v>
      </c>
      <c r="M740" s="112">
        <f>E740/'CGE-Flood Weighted Av Calcs'!$D$5</f>
        <v>1.4811807550003941E-2</v>
      </c>
      <c r="N740" s="112">
        <f>F740/'CGE-Flood Weighted Av Calcs'!$D$6</f>
        <v>5.1141750143244482E-3</v>
      </c>
      <c r="O740" s="112">
        <f>G740/'CGE-Flood Weighted Av Calcs'!$D$7</f>
        <v>2.277644823901593E-2</v>
      </c>
      <c r="P740" s="112">
        <f>H740/'CGE-Flood Weighted Av Calcs'!$D$8</f>
        <v>5.4542461462402804E-2</v>
      </c>
      <c r="R740" s="1">
        <f t="shared" si="105"/>
        <v>0.24183590342478029</v>
      </c>
      <c r="S740" s="1">
        <f t="shared" si="106"/>
        <v>0.2805296479727451</v>
      </c>
      <c r="T740" s="1">
        <f t="shared" si="107"/>
        <v>6.7714052958938487</v>
      </c>
    </row>
    <row r="741" spans="1:20">
      <c r="A741">
        <v>688</v>
      </c>
      <c r="B741">
        <v>0.82069626791380712</v>
      </c>
      <c r="C741" s="1">
        <f t="shared" si="101"/>
        <v>18.466292141188035</v>
      </c>
      <c r="D741" s="1">
        <f t="shared" si="110"/>
        <v>59.395798691747984</v>
      </c>
      <c r="E741" s="1">
        <f t="shared" si="108"/>
        <v>71.20987840718783</v>
      </c>
      <c r="F741" s="1">
        <f t="shared" si="102"/>
        <v>3.8104866967932907</v>
      </c>
      <c r="G741" s="1">
        <f t="shared" si="109"/>
        <v>2.8416733347555265</v>
      </c>
      <c r="H741" s="1">
        <f t="shared" si="103"/>
        <v>1.1116193101649845</v>
      </c>
      <c r="I741" s="1">
        <f t="shared" si="104"/>
        <v>28.688597133790836</v>
      </c>
      <c r="K741" s="112">
        <f>C741/'CGE-Flood Weighted Av Calcs'!$D$3</f>
        <v>3.1126995398363666E-3</v>
      </c>
      <c r="L741" s="112">
        <f>D741/'CGE-Flood Weighted Av Calcs'!$D$4</f>
        <v>3.0509826806795603E-3</v>
      </c>
      <c r="M741" s="112">
        <f>E741/'CGE-Flood Weighted Av Calcs'!$D$5</f>
        <v>3.0505216496985918E-3</v>
      </c>
      <c r="N741" s="112">
        <f>F741/'CGE-Flood Weighted Av Calcs'!$D$6</f>
        <v>1.0532746627227257E-3</v>
      </c>
      <c r="O741" s="112">
        <f>G741/'CGE-Flood Weighted Av Calcs'!$D$7</f>
        <v>4.6908554693136676E-3</v>
      </c>
      <c r="P741" s="112">
        <f>H741/'CGE-Flood Weighted Av Calcs'!$D$8</f>
        <v>1.1233129984791526E-2</v>
      </c>
      <c r="R741" s="1">
        <f t="shared" si="105"/>
        <v>4.9806592246164683E-2</v>
      </c>
      <c r="S741" s="1">
        <f t="shared" si="106"/>
        <v>5.7775647005551045E-2</v>
      </c>
      <c r="T741" s="1">
        <f t="shared" si="107"/>
        <v>1.3945845828926116</v>
      </c>
    </row>
    <row r="742" spans="1:20">
      <c r="A742">
        <v>689</v>
      </c>
      <c r="B742">
        <v>0.62034868963326861</v>
      </c>
      <c r="C742" s="1">
        <f t="shared" si="101"/>
        <v>39.099866619880373</v>
      </c>
      <c r="D742" s="1">
        <f t="shared" si="110"/>
        <v>125.76254013921402</v>
      </c>
      <c r="E742" s="1">
        <f t="shared" si="108"/>
        <v>150.77725005382788</v>
      </c>
      <c r="F742" s="1">
        <f t="shared" si="102"/>
        <v>8.0681882676995862</v>
      </c>
      <c r="G742" s="1">
        <f t="shared" si="109"/>
        <v>6.0168574999628248</v>
      </c>
      <c r="H742" s="1">
        <f t="shared" si="103"/>
        <v>2.3537029755199184</v>
      </c>
      <c r="I742" s="1">
        <f t="shared" si="104"/>
        <v>60.744209658677008</v>
      </c>
      <c r="K742" s="112">
        <f>C742/'CGE-Flood Weighted Av Calcs'!$D$3</f>
        <v>6.5907186946266381E-3</v>
      </c>
      <c r="L742" s="112">
        <f>D742/'CGE-Flood Weighted Av Calcs'!$D$4</f>
        <v>6.4600416240604966E-3</v>
      </c>
      <c r="M742" s="112">
        <f>E742/'CGE-Flood Weighted Av Calcs'!$D$5</f>
        <v>6.4590654535479934E-3</v>
      </c>
      <c r="N742" s="112">
        <f>F742/'CGE-Flood Weighted Av Calcs'!$D$6</f>
        <v>2.2301661054469051E-3</v>
      </c>
      <c r="O742" s="112">
        <f>G742/'CGE-Flood Weighted Av Calcs'!$D$7</f>
        <v>9.932249624395954E-3</v>
      </c>
      <c r="P742" s="112">
        <f>H742/'CGE-Flood Weighted Av Calcs'!$D$8</f>
        <v>2.3784627729867103E-2</v>
      </c>
      <c r="R742" s="1">
        <f t="shared" si="105"/>
        <v>0.10545869732409205</v>
      </c>
      <c r="S742" s="1">
        <f t="shared" si="106"/>
        <v>0.12233208889594677</v>
      </c>
      <c r="T742" s="1">
        <f t="shared" si="107"/>
        <v>2.9528435250745781</v>
      </c>
    </row>
    <row r="743" spans="1:20">
      <c r="A743">
        <v>690</v>
      </c>
      <c r="B743">
        <v>0.91552734194255991</v>
      </c>
      <c r="C743" s="1">
        <f t="shared" si="101"/>
        <v>8.6997451948268179</v>
      </c>
      <c r="D743" s="1">
        <f t="shared" si="110"/>
        <v>27.982245180065206</v>
      </c>
      <c r="E743" s="1">
        <f t="shared" si="108"/>
        <v>33.548034048229738</v>
      </c>
      <c r="F743" s="1">
        <f t="shared" si="102"/>
        <v>1.7951770218364018</v>
      </c>
      <c r="G743" s="1">
        <f t="shared" si="109"/>
        <v>1.3387546211383814</v>
      </c>
      <c r="H743" s="1">
        <f t="shared" si="103"/>
        <v>0.52370040927243444</v>
      </c>
      <c r="I743" s="1">
        <f t="shared" si="104"/>
        <v>13.515625289190382</v>
      </c>
      <c r="K743" s="112">
        <f>C743/'CGE-Flood Weighted Av Calcs'!$D$3</f>
        <v>1.4664391019912077E-3</v>
      </c>
      <c r="L743" s="112">
        <f>D743/'CGE-Flood Weighted Av Calcs'!$D$4</f>
        <v>1.4373633706649556E-3</v>
      </c>
      <c r="M743" s="112">
        <f>E743/'CGE-Flood Weighted Av Calcs'!$D$5</f>
        <v>1.4371461721049694E-3</v>
      </c>
      <c r="N743" s="112">
        <f>F743/'CGE-Flood Weighted Av Calcs'!$D$6</f>
        <v>4.9621337709787453E-4</v>
      </c>
      <c r="O743" s="112">
        <f>G743/'CGE-Flood Weighted Av Calcs'!$D$7</f>
        <v>2.2099318594535756E-3</v>
      </c>
      <c r="P743" s="112">
        <f>H743/'CGE-Flood Weighted Av Calcs'!$D$8</f>
        <v>5.292094799588057E-3</v>
      </c>
      <c r="R743" s="1">
        <f t="shared" si="105"/>
        <v>2.3464627238177799E-2</v>
      </c>
      <c r="S743" s="1">
        <f t="shared" si="106"/>
        <v>2.7218967596286225E-2</v>
      </c>
      <c r="T743" s="1">
        <f t="shared" si="107"/>
        <v>0.65700956266897936</v>
      </c>
    </row>
    <row r="744" spans="1:20">
      <c r="A744">
        <v>691</v>
      </c>
      <c r="B744">
        <v>0.71806411400517534</v>
      </c>
      <c r="C744" s="1">
        <f t="shared" si="101"/>
        <v>29.03626363651145</v>
      </c>
      <c r="D744" s="1">
        <f t="shared" si="110"/>
        <v>93.393522453165446</v>
      </c>
      <c r="E744" s="1">
        <f t="shared" si="108"/>
        <v>111.96989558847122</v>
      </c>
      <c r="F744" s="1">
        <f t="shared" si="102"/>
        <v>5.9915816053147068</v>
      </c>
      <c r="G744" s="1">
        <f t="shared" si="109"/>
        <v>4.4682265116324391</v>
      </c>
      <c r="H744" s="1">
        <f t="shared" si="103"/>
        <v>1.7479021292744985</v>
      </c>
      <c r="I744" s="1">
        <f t="shared" si="104"/>
        <v>45.109741759171925</v>
      </c>
      <c r="K744" s="112">
        <f>C744/'CGE-Flood Weighted Av Calcs'!$D$3</f>
        <v>4.8943861479558461E-3</v>
      </c>
      <c r="L744" s="112">
        <f>D744/'CGE-Flood Weighted Av Calcs'!$D$4</f>
        <v>4.7973430068859926E-3</v>
      </c>
      <c r="M744" s="112">
        <f>E744/'CGE-Flood Weighted Av Calcs'!$D$5</f>
        <v>4.7966180851201261E-3</v>
      </c>
      <c r="N744" s="112">
        <f>F744/'CGE-Flood Weighted Av Calcs'!$D$6</f>
        <v>1.6561614294111995E-3</v>
      </c>
      <c r="O744" s="112">
        <f>G744/'CGE-Flood Weighted Av Calcs'!$D$7</f>
        <v>7.3758670688397615E-3</v>
      </c>
      <c r="P744" s="112">
        <f>H744/'CGE-Flood Weighted Av Calcs'!$D$8</f>
        <v>1.7662891998448841E-2</v>
      </c>
      <c r="R744" s="1">
        <f t="shared" si="105"/>
        <v>7.8315523887451277E-2</v>
      </c>
      <c r="S744" s="1">
        <f t="shared" si="106"/>
        <v>9.084600770944351E-2</v>
      </c>
      <c r="T744" s="1">
        <f t="shared" si="107"/>
        <v>2.1928346688486364</v>
      </c>
    </row>
    <row r="745" spans="1:20">
      <c r="A745">
        <v>692</v>
      </c>
      <c r="B745">
        <v>0.5940218974438648</v>
      </c>
      <c r="C745" s="1">
        <f t="shared" si="101"/>
        <v>41.811233695475757</v>
      </c>
      <c r="D745" s="1">
        <f t="shared" si="110"/>
        <v>134.48350110799981</v>
      </c>
      <c r="E745" s="1">
        <f t="shared" si="108"/>
        <v>161.23284765264165</v>
      </c>
      <c r="F745" s="1">
        <f t="shared" si="102"/>
        <v>8.6276740644522221</v>
      </c>
      <c r="G745" s="1">
        <f t="shared" si="109"/>
        <v>6.4340944558467994</v>
      </c>
      <c r="H745" s="1">
        <f t="shared" si="103"/>
        <v>2.5169197152494287</v>
      </c>
      <c r="I745" s="1">
        <f t="shared" si="104"/>
        <v>64.956496408981621</v>
      </c>
      <c r="K745" s="112">
        <f>C745/'CGE-Flood Weighted Av Calcs'!$D$3</f>
        <v>7.0477498616852924E-3</v>
      </c>
      <c r="L745" s="112">
        <f>D745/'CGE-Flood Weighted Av Calcs'!$D$4</f>
        <v>6.9080110336939178E-3</v>
      </c>
      <c r="M745" s="112">
        <f>E745/'CGE-Flood Weighted Av Calcs'!$D$5</f>
        <v>6.9069671709661561E-3</v>
      </c>
      <c r="N745" s="112">
        <f>F745/'CGE-Flood Weighted Av Calcs'!$D$6</f>
        <v>2.3848162225484043E-3</v>
      </c>
      <c r="O745" s="112">
        <f>G745/'CGE-Flood Weighted Av Calcs'!$D$7</f>
        <v>1.0620998127811287E-2</v>
      </c>
      <c r="P745" s="112">
        <f>H745/'CGE-Flood Weighted Av Calcs'!$D$8</f>
        <v>2.5433964725284502E-2</v>
      </c>
      <c r="R745" s="1">
        <f t="shared" si="105"/>
        <v>0.11277169515448199</v>
      </c>
      <c r="S745" s="1">
        <f t="shared" si="106"/>
        <v>0.1308151663791991</v>
      </c>
      <c r="T745" s="1">
        <f t="shared" si="107"/>
        <v>3.1576074643254963</v>
      </c>
    </row>
    <row r="746" spans="1:20">
      <c r="A746">
        <v>693</v>
      </c>
      <c r="B746">
        <v>0.54573698416836136</v>
      </c>
      <c r="C746" s="1">
        <f t="shared" si="101"/>
        <v>46.784043263816208</v>
      </c>
      <c r="D746" s="1">
        <f t="shared" si="110"/>
        <v>150.47826571993591</v>
      </c>
      <c r="E746" s="1">
        <f t="shared" si="108"/>
        <v>180.40903971091603</v>
      </c>
      <c r="F746" s="1">
        <f t="shared" si="102"/>
        <v>9.6538045166821753</v>
      </c>
      <c r="G746" s="1">
        <f t="shared" si="109"/>
        <v>7.1993320163233605</v>
      </c>
      <c r="H746" s="1">
        <f t="shared" si="103"/>
        <v>2.8162689890330301</v>
      </c>
      <c r="I746" s="1">
        <f t="shared" si="104"/>
        <v>72.682082533062172</v>
      </c>
      <c r="K746" s="112">
        <f>C746/'CGE-Flood Weighted Av Calcs'!$D$3</f>
        <v>7.8859723882607532E-3</v>
      </c>
      <c r="L746" s="112">
        <f>D746/'CGE-Flood Weighted Av Calcs'!$D$4</f>
        <v>7.7296137545500524E-3</v>
      </c>
      <c r="M746" s="112">
        <f>E746/'CGE-Flood Weighted Av Calcs'!$D$5</f>
        <v>7.7284457402462233E-3</v>
      </c>
      <c r="N746" s="112">
        <f>F746/'CGE-Flood Weighted Av Calcs'!$D$6</f>
        <v>2.6684537974785479E-3</v>
      </c>
      <c r="O746" s="112">
        <f>G746/'CGE-Flood Weighted Av Calcs'!$D$7</f>
        <v>1.1884204124074945E-2</v>
      </c>
      <c r="P746" s="112">
        <f>H746/'CGE-Flood Weighted Av Calcs'!$D$8</f>
        <v>2.8458947534160919E-2</v>
      </c>
      <c r="R746" s="1">
        <f t="shared" si="105"/>
        <v>0.12618417106434404</v>
      </c>
      <c r="S746" s="1">
        <f t="shared" si="106"/>
        <v>0.1463736384346391</v>
      </c>
      <c r="T746" s="1">
        <f t="shared" si="107"/>
        <v>3.5331567898016343</v>
      </c>
    </row>
    <row r="747" spans="1:20">
      <c r="A747">
        <v>694</v>
      </c>
      <c r="B747">
        <v>0.36215129121290968</v>
      </c>
      <c r="C747" s="1">
        <f t="shared" si="101"/>
        <v>65.691329797194896</v>
      </c>
      <c r="D747" s="1">
        <f t="shared" si="110"/>
        <v>211.29249827715512</v>
      </c>
      <c r="E747" s="1">
        <f t="shared" si="108"/>
        <v>253.31948457757764</v>
      </c>
      <c r="F747" s="1">
        <f t="shared" si="102"/>
        <v>13.55528962571519</v>
      </c>
      <c r="G747" s="1">
        <f t="shared" si="109"/>
        <v>10.108867485798928</v>
      </c>
      <c r="H747" s="1">
        <f t="shared" si="103"/>
        <v>3.9544349322895713</v>
      </c>
      <c r="I747" s="1">
        <f t="shared" si="104"/>
        <v>102.05579340593444</v>
      </c>
      <c r="K747" s="112">
        <f>C747/'CGE-Flood Weighted Av Calcs'!$D$3</f>
        <v>1.107300645238316E-2</v>
      </c>
      <c r="L747" s="112">
        <f>D747/'CGE-Flood Weighted Av Calcs'!$D$4</f>
        <v>1.085345709629592E-2</v>
      </c>
      <c r="M747" s="112">
        <f>E747/'CGE-Flood Weighted Av Calcs'!$D$5</f>
        <v>1.0851817041108556E-2</v>
      </c>
      <c r="N747" s="112">
        <f>F747/'CGE-Flood Weighted Av Calcs'!$D$6</f>
        <v>3.7468817620198466E-3</v>
      </c>
      <c r="O747" s="112">
        <f>G747/'CGE-Flood Weighted Av Calcs'!$D$7</f>
        <v>1.6687082133740948E-2</v>
      </c>
      <c r="P747" s="112">
        <f>H747/'CGE-Flood Weighted Av Calcs'!$D$8</f>
        <v>3.996033642508081E-2</v>
      </c>
      <c r="R747" s="1">
        <f t="shared" si="105"/>
        <v>0.17718019688530284</v>
      </c>
      <c r="S747" s="1">
        <f t="shared" si="106"/>
        <v>0.20552902838695131</v>
      </c>
      <c r="T747" s="1">
        <f t="shared" si="107"/>
        <v>4.9610455127884805</v>
      </c>
    </row>
    <row r="748" spans="1:20">
      <c r="A748">
        <v>695</v>
      </c>
      <c r="B748">
        <v>0.76524800764022316</v>
      </c>
      <c r="C748" s="1">
        <f t="shared" si="101"/>
        <v>24.176846857586355</v>
      </c>
      <c r="D748" s="1">
        <f t="shared" si="110"/>
        <v>77.763479423760174</v>
      </c>
      <c r="E748" s="1">
        <f t="shared" si="108"/>
        <v>93.230969803511641</v>
      </c>
      <c r="F748" s="1">
        <f t="shared" si="102"/>
        <v>4.9888495544679845</v>
      </c>
      <c r="G748" s="1">
        <f t="shared" si="109"/>
        <v>3.7204383266759642</v>
      </c>
      <c r="H748" s="1">
        <f t="shared" si="103"/>
        <v>1.4553787853193576</v>
      </c>
      <c r="I748" s="1">
        <f t="shared" si="104"/>
        <v>37.560318777564277</v>
      </c>
      <c r="K748" s="112">
        <f>C748/'CGE-Flood Weighted Av Calcs'!$D$3</f>
        <v>4.0752772409817289E-3</v>
      </c>
      <c r="L748" s="112">
        <f>D748/'CGE-Flood Weighted Av Calcs'!$D$4</f>
        <v>3.9944749315112098E-3</v>
      </c>
      <c r="M748" s="112">
        <f>E748/'CGE-Flood Weighted Av Calcs'!$D$5</f>
        <v>3.9938713303476255E-3</v>
      </c>
      <c r="N748" s="112">
        <f>F748/'CGE-Flood Weighted Av Calcs'!$D$6</f>
        <v>1.3789915173509756E-3</v>
      </c>
      <c r="O748" s="112">
        <f>G748/'CGE-Flood Weighted Av Calcs'!$D$7</f>
        <v>6.1414654033179229E-3</v>
      </c>
      <c r="P748" s="112">
        <f>H748/'CGE-Flood Weighted Av Calcs'!$D$8</f>
        <v>1.4706886542096806E-2</v>
      </c>
      <c r="R748" s="1">
        <f t="shared" si="105"/>
        <v>6.5208886766604662E-2</v>
      </c>
      <c r="S748" s="1">
        <f t="shared" si="106"/>
        <v>7.5642308649261414E-2</v>
      </c>
      <c r="T748" s="1">
        <f t="shared" si="107"/>
        <v>1.8258488294649311</v>
      </c>
    </row>
    <row r="749" spans="1:20">
      <c r="A749">
        <v>696</v>
      </c>
      <c r="B749">
        <v>0.23022665762263805</v>
      </c>
      <c r="C749" s="1">
        <f t="shared" si="101"/>
        <v>79.278101227730758</v>
      </c>
      <c r="D749" s="1">
        <f t="shared" si="110"/>
        <v>254.99359076441948</v>
      </c>
      <c r="E749" s="1">
        <f t="shared" si="108"/>
        <v>305.71291224120324</v>
      </c>
      <c r="F749" s="1">
        <f t="shared" si="102"/>
        <v>16.358895860935153</v>
      </c>
      <c r="G749" s="1">
        <f t="shared" si="109"/>
        <v>12.199658955162525</v>
      </c>
      <c r="H749" s="1">
        <f t="shared" si="103"/>
        <v>4.7723206978512733</v>
      </c>
      <c r="I749" s="1">
        <f t="shared" si="104"/>
        <v>123.16373478037791</v>
      </c>
      <c r="K749" s="112">
        <f>C749/'CGE-Flood Weighted Av Calcs'!$D$3</f>
        <v>1.3363208343284798E-2</v>
      </c>
      <c r="L749" s="112">
        <f>D749/'CGE-Flood Weighted Av Calcs'!$D$4</f>
        <v>1.3098250149713404E-2</v>
      </c>
      <c r="M749" s="112">
        <f>E749/'CGE-Flood Weighted Av Calcs'!$D$5</f>
        <v>1.3096270886063783E-2</v>
      </c>
      <c r="N749" s="112">
        <f>F749/'CGE-Flood Weighted Av Calcs'!$D$6</f>
        <v>4.5218398308391663E-3</v>
      </c>
      <c r="O749" s="112">
        <f>G749/'CGE-Flood Weighted Av Calcs'!$D$7</f>
        <v>2.0138429084604441E-2</v>
      </c>
      <c r="P749" s="112">
        <f>H749/'CGE-Flood Weighted Av Calcs'!$D$8</f>
        <v>4.8225231639883931E-2</v>
      </c>
      <c r="R749" s="1">
        <f t="shared" si="105"/>
        <v>0.21382592843815609</v>
      </c>
      <c r="S749" s="1">
        <f t="shared" si="106"/>
        <v>0.24803807698826105</v>
      </c>
      <c r="T749" s="1">
        <f t="shared" si="107"/>
        <v>5.9871259962683707</v>
      </c>
    </row>
    <row r="750" spans="1:20">
      <c r="A750">
        <v>697</v>
      </c>
      <c r="B750">
        <v>0.90793111681554994</v>
      </c>
      <c r="C750" s="1">
        <f t="shared" si="101"/>
        <v>9.4820719804074258</v>
      </c>
      <c r="D750" s="1">
        <f t="shared" si="110"/>
        <v>30.498555650637002</v>
      </c>
      <c r="E750" s="1">
        <f t="shared" si="108"/>
        <v>36.564849489572453</v>
      </c>
      <c r="F750" s="1">
        <f t="shared" si="102"/>
        <v>1.9566087692715541</v>
      </c>
      <c r="G750" s="1">
        <f t="shared" si="109"/>
        <v>1.4591424688260553</v>
      </c>
      <c r="H750" s="1">
        <f t="shared" si="103"/>
        <v>0.57079430094606476</v>
      </c>
      <c r="I750" s="1">
        <f t="shared" si="104"/>
        <v>14.731021309511988</v>
      </c>
      <c r="K750" s="112">
        <f>C750/'CGE-Flood Weighted Av Calcs'!$D$3</f>
        <v>1.5983090088929274E-3</v>
      </c>
      <c r="L750" s="112">
        <f>D750/'CGE-Flood Weighted Av Calcs'!$D$4</f>
        <v>1.5666186350780226E-3</v>
      </c>
      <c r="M750" s="112">
        <f>E750/'CGE-Flood Weighted Av Calcs'!$D$5</f>
        <v>1.566381904882629E-3</v>
      </c>
      <c r="N750" s="112">
        <f>F750/'CGE-Flood Weighted Av Calcs'!$D$6</f>
        <v>5.4083549045562233E-4</v>
      </c>
      <c r="O750" s="112">
        <f>G750/'CGE-Flood Weighted Av Calcs'!$D$7</f>
        <v>2.408660540494322E-3</v>
      </c>
      <c r="P750" s="112">
        <f>H750/'CGE-Flood Weighted Av Calcs'!$D$8</f>
        <v>5.767987762063732E-3</v>
      </c>
      <c r="R750" s="1">
        <f t="shared" si="105"/>
        <v>2.5574689773458337E-2</v>
      </c>
      <c r="S750" s="1">
        <f t="shared" si="106"/>
        <v>2.9666640137211708E-2</v>
      </c>
      <c r="T750" s="1">
        <f t="shared" si="107"/>
        <v>0.71609131365683432</v>
      </c>
    </row>
    <row r="751" spans="1:20">
      <c r="A751">
        <v>698</v>
      </c>
      <c r="B751">
        <v>0.63001052461370166</v>
      </c>
      <c r="C751" s="1">
        <f t="shared" si="101"/>
        <v>38.104804970617778</v>
      </c>
      <c r="D751" s="1">
        <f t="shared" si="110"/>
        <v>122.56197984516044</v>
      </c>
      <c r="E751" s="1">
        <f t="shared" si="108"/>
        <v>146.94008455737176</v>
      </c>
      <c r="F751" s="1">
        <f t="shared" si="102"/>
        <v>7.8628590576982322</v>
      </c>
      <c r="G751" s="1">
        <f t="shared" si="109"/>
        <v>5.8637330863811457</v>
      </c>
      <c r="H751" s="1">
        <f t="shared" si="103"/>
        <v>2.2938030380734746</v>
      </c>
      <c r="I751" s="1">
        <f t="shared" si="104"/>
        <v>59.198316061807716</v>
      </c>
      <c r="K751" s="112">
        <f>C751/'CGE-Flood Weighted Av Calcs'!$D$3</f>
        <v>6.4229899533023264E-3</v>
      </c>
      <c r="L751" s="112">
        <f>D751/'CGE-Flood Weighted Av Calcs'!$D$4</f>
        <v>6.2956385140643546E-3</v>
      </c>
      <c r="M751" s="112">
        <f>E751/'CGE-Flood Weighted Av Calcs'!$D$5</f>
        <v>6.2946871863435051E-3</v>
      </c>
      <c r="N751" s="112">
        <f>F751/'CGE-Flood Weighted Av Calcs'!$D$6</f>
        <v>2.1734100866965182E-3</v>
      </c>
      <c r="O751" s="112">
        <f>G751/'CGE-Flood Weighted Av Calcs'!$D$7</f>
        <v>9.6794814810101625E-3</v>
      </c>
      <c r="P751" s="112">
        <f>H751/'CGE-Flood Weighted Av Calcs'!$D$8</f>
        <v>2.3179327176643609E-2</v>
      </c>
      <c r="R751" s="1">
        <f t="shared" si="105"/>
        <v>0.10277485427397176</v>
      </c>
      <c r="S751" s="1">
        <f t="shared" si="106"/>
        <v>0.11921883095780722</v>
      </c>
      <c r="T751" s="1">
        <f t="shared" si="107"/>
        <v>2.8776959196712095</v>
      </c>
    </row>
    <row r="752" spans="1:20">
      <c r="A752">
        <v>699</v>
      </c>
      <c r="B752">
        <v>0.61206083171081582</v>
      </c>
      <c r="C752" s="1">
        <f t="shared" si="101"/>
        <v>39.953423898582763</v>
      </c>
      <c r="D752" s="1">
        <f t="shared" si="110"/>
        <v>128.50795951794274</v>
      </c>
      <c r="E752" s="1">
        <f t="shared" si="108"/>
        <v>154.06874515014974</v>
      </c>
      <c r="F752" s="1">
        <f t="shared" si="102"/>
        <v>8.2443183013077999</v>
      </c>
      <c r="G752" s="1">
        <f t="shared" si="109"/>
        <v>6.1482066056755542</v>
      </c>
      <c r="H752" s="1">
        <f t="shared" si="103"/>
        <v>2.4050847443169765</v>
      </c>
      <c r="I752" s="1">
        <f t="shared" si="104"/>
        <v>62.070266926269454</v>
      </c>
      <c r="K752" s="112">
        <f>C752/'CGE-Flood Weighted Av Calcs'!$D$3</f>
        <v>6.7345952957508521E-3</v>
      </c>
      <c r="L752" s="112">
        <f>D752/'CGE-Flood Weighted Av Calcs'!$D$4</f>
        <v>6.6010655207029891E-3</v>
      </c>
      <c r="M752" s="112">
        <f>E752/'CGE-Flood Weighted Av Calcs'!$D$5</f>
        <v>6.6000680402086816E-3</v>
      </c>
      <c r="N752" s="112">
        <f>F752/'CGE-Flood Weighted Av Calcs'!$D$6</f>
        <v>2.278851041652076E-3</v>
      </c>
      <c r="O752" s="112">
        <f>G752/'CGE-Flood Weighted Av Calcs'!$D$7</f>
        <v>1.0149072460218152E-2</v>
      </c>
      <c r="P752" s="112">
        <f>H752/'CGE-Flood Weighted Av Calcs'!$D$8</f>
        <v>2.4303850527157476E-2</v>
      </c>
      <c r="R752" s="1">
        <f t="shared" si="105"/>
        <v>0.10776088008032891</v>
      </c>
      <c r="S752" s="1">
        <f t="shared" si="106"/>
        <v>0.12500262089318157</v>
      </c>
      <c r="T752" s="1">
        <f t="shared" si="107"/>
        <v>3.0173046422492105</v>
      </c>
    </row>
    <row r="753" spans="1:20">
      <c r="A753">
        <v>700</v>
      </c>
      <c r="B753">
        <v>0.89047300957870357</v>
      </c>
      <c r="C753" s="1">
        <f t="shared" si="101"/>
        <v>11.280063046833305</v>
      </c>
      <c r="D753" s="1">
        <f t="shared" si="110"/>
        <v>36.281693630610619</v>
      </c>
      <c r="E753" s="1">
        <f t="shared" si="108"/>
        <v>43.498278476749761</v>
      </c>
      <c r="F753" s="1">
        <f t="shared" si="102"/>
        <v>2.3276210432671398</v>
      </c>
      <c r="G753" s="1">
        <f t="shared" si="109"/>
        <v>1.7358251526332218</v>
      </c>
      <c r="H753" s="1">
        <f t="shared" si="103"/>
        <v>0.67902835105540937</v>
      </c>
      <c r="I753" s="1">
        <f t="shared" si="104"/>
        <v>17.524318467407397</v>
      </c>
      <c r="K753" s="112">
        <f>C753/'CGE-Flood Weighted Av Calcs'!$D$3</f>
        <v>1.901380460503444E-3</v>
      </c>
      <c r="L753" s="112">
        <f>D753/'CGE-Flood Weighted Av Calcs'!$D$4</f>
        <v>1.86368095607567E-3</v>
      </c>
      <c r="M753" s="112">
        <f>E753/'CGE-Flood Weighted Av Calcs'!$D$5</f>
        <v>1.86339933708621E-3</v>
      </c>
      <c r="N753" s="112">
        <f>F753/'CGE-Flood Weighted Av Calcs'!$D$6</f>
        <v>6.433887490951422E-4</v>
      </c>
      <c r="O753" s="112">
        <f>G753/'CGE-Flood Weighted Av Calcs'!$D$7</f>
        <v>2.8653908988811668E-3</v>
      </c>
      <c r="P753" s="112">
        <f>H753/'CGE-Flood Weighted Av Calcs'!$D$8</f>
        <v>6.8617139528027718E-3</v>
      </c>
      <c r="R753" s="1">
        <f t="shared" si="105"/>
        <v>3.042416400591566E-2</v>
      </c>
      <c r="S753" s="1">
        <f t="shared" si="106"/>
        <v>3.5292030246862172E-2</v>
      </c>
      <c r="T753" s="1">
        <f t="shared" si="107"/>
        <v>0.85187659216563993</v>
      </c>
    </row>
    <row r="754" spans="1:20">
      <c r="A754">
        <v>701</v>
      </c>
      <c r="B754">
        <v>0.40172114510620816</v>
      </c>
      <c r="C754" s="1">
        <f t="shared" si="101"/>
        <v>61.616074511228405</v>
      </c>
      <c r="D754" s="1">
        <f t="shared" si="110"/>
        <v>198.18466695226985</v>
      </c>
      <c r="E754" s="1">
        <f t="shared" si="108"/>
        <v>237.60444924871206</v>
      </c>
      <c r="F754" s="1">
        <f t="shared" si="102"/>
        <v>12.714367910923517</v>
      </c>
      <c r="G754" s="1">
        <f t="shared" si="109"/>
        <v>9.4817494812796159</v>
      </c>
      <c r="H754" s="1">
        <f t="shared" si="103"/>
        <v>3.7091159242777749</v>
      </c>
      <c r="I754" s="1">
        <f t="shared" si="104"/>
        <v>95.724616783006681</v>
      </c>
      <c r="K754" s="112">
        <f>C754/'CGE-Flood Weighted Av Calcs'!$D$3</f>
        <v>1.0386076712706275E-2</v>
      </c>
      <c r="L754" s="112">
        <f>D754/'CGE-Flood Weighted Av Calcs'!$D$4</f>
        <v>1.0180147413888195E-2</v>
      </c>
      <c r="M754" s="112">
        <f>E754/'CGE-Flood Weighted Av Calcs'!$D$5</f>
        <v>1.0178609101862253E-2</v>
      </c>
      <c r="N754" s="112">
        <f>F754/'CGE-Flood Weighted Av Calcs'!$D$6</f>
        <v>3.5144386107896397E-3</v>
      </c>
      <c r="O754" s="112">
        <f>G754/'CGE-Flood Weighted Av Calcs'!$D$7</f>
        <v>1.5651875206391021E-2</v>
      </c>
      <c r="P754" s="112">
        <f>H754/'CGE-Flood Weighted Av Calcs'!$D$8</f>
        <v>3.7481339992095464E-2</v>
      </c>
      <c r="R754" s="1">
        <f t="shared" si="105"/>
        <v>0.16618857080383106</v>
      </c>
      <c r="S754" s="1">
        <f t="shared" si="106"/>
        <v>0.192778742132444</v>
      </c>
      <c r="T754" s="1">
        <f t="shared" si="107"/>
        <v>4.6532799825072697</v>
      </c>
    </row>
    <row r="755" spans="1:20">
      <c r="A755">
        <v>702</v>
      </c>
      <c r="B755">
        <v>0.31904954636433525</v>
      </c>
      <c r="C755" s="1">
        <f t="shared" si="101"/>
        <v>70.13033060832197</v>
      </c>
      <c r="D755" s="1">
        <f t="shared" si="110"/>
        <v>225.57029679536092</v>
      </c>
      <c r="E755" s="1">
        <f t="shared" si="108"/>
        <v>270.43719860446248</v>
      </c>
      <c r="F755" s="1">
        <f t="shared" si="102"/>
        <v>14.471269585770461</v>
      </c>
      <c r="G755" s="1">
        <f t="shared" si="109"/>
        <v>10.79196023346551</v>
      </c>
      <c r="H755" s="1">
        <f t="shared" si="103"/>
        <v>4.2216504069370675</v>
      </c>
      <c r="I755" s="1">
        <f t="shared" si="104"/>
        <v>108.95207258170635</v>
      </c>
      <c r="K755" s="112">
        <f>C755/'CGE-Flood Weighted Av Calcs'!$D$3</f>
        <v>1.1821249558063799E-2</v>
      </c>
      <c r="L755" s="112">
        <f>D755/'CGE-Flood Weighted Av Calcs'!$D$4</f>
        <v>1.1586864457704637E-2</v>
      </c>
      <c r="M755" s="112">
        <f>E755/'CGE-Flood Weighted Av Calcs'!$D$5</f>
        <v>1.1585113578054905E-2</v>
      </c>
      <c r="N755" s="112">
        <f>F755/'CGE-Flood Weighted Av Calcs'!$D$6</f>
        <v>4.000072118070663E-3</v>
      </c>
      <c r="O755" s="112">
        <f>G755/'CGE-Flood Weighted Av Calcs'!$D$7</f>
        <v>1.7814688643697504E-2</v>
      </c>
      <c r="P755" s="112">
        <f>H755/'CGE-Flood Weighted Av Calcs'!$D$8</f>
        <v>4.2660600924999931E-2</v>
      </c>
      <c r="R755" s="1">
        <f t="shared" si="105"/>
        <v>0.18915290378768465</v>
      </c>
      <c r="S755" s="1">
        <f t="shared" si="106"/>
        <v>0.21941736839371417</v>
      </c>
      <c r="T755" s="1">
        <f t="shared" si="107"/>
        <v>5.296281306055171</v>
      </c>
    </row>
    <row r="756" spans="1:20">
      <c r="A756">
        <v>703</v>
      </c>
      <c r="B756">
        <v>0.51422569305365229</v>
      </c>
      <c r="C756" s="1">
        <f t="shared" si="101"/>
        <v>50.029356123174416</v>
      </c>
      <c r="D756" s="1">
        <f t="shared" si="110"/>
        <v>160.91663352070546</v>
      </c>
      <c r="E756" s="1">
        <f t="shared" si="108"/>
        <v>192.92364374410627</v>
      </c>
      <c r="F756" s="1">
        <f t="shared" si="102"/>
        <v>10.323469080795428</v>
      </c>
      <c r="G756" s="1">
        <f t="shared" si="109"/>
        <v>7.6987348712585968</v>
      </c>
      <c r="H756" s="1">
        <f t="shared" si="103"/>
        <v>3.0116277765149455</v>
      </c>
      <c r="I756" s="1">
        <f t="shared" si="104"/>
        <v>77.723889111415616</v>
      </c>
      <c r="K756" s="112">
        <f>C756/'CGE-Flood Weighted Av Calcs'!$D$3</f>
        <v>8.4330060735677299E-3</v>
      </c>
      <c r="L756" s="112">
        <f>D756/'CGE-Flood Weighted Av Calcs'!$D$4</f>
        <v>8.2658011630230305E-3</v>
      </c>
      <c r="M756" s="112">
        <f>E756/'CGE-Flood Weighted Av Calcs'!$D$5</f>
        <v>8.2645521259692278E-3</v>
      </c>
      <c r="N756" s="112">
        <f>F756/'CGE-Flood Weighted Av Calcs'!$D$6</f>
        <v>2.8535589491373442E-3</v>
      </c>
      <c r="O756" s="112">
        <f>G756/'CGE-Flood Weighted Av Calcs'!$D$7</f>
        <v>1.2708586921637196E-2</v>
      </c>
      <c r="P756" s="112">
        <f>H756/'CGE-Flood Weighted Av Calcs'!$D$8</f>
        <v>3.0433086192412473E-2</v>
      </c>
      <c r="R756" s="1">
        <f t="shared" si="105"/>
        <v>0.13493730748509658</v>
      </c>
      <c r="S756" s="1">
        <f t="shared" si="106"/>
        <v>0.15652727668271202</v>
      </c>
      <c r="T756" s="1">
        <f t="shared" si="107"/>
        <v>3.7782446095827047</v>
      </c>
    </row>
    <row r="757" spans="1:20">
      <c r="A757">
        <v>704</v>
      </c>
      <c r="B757">
        <v>0.38111255222531548</v>
      </c>
      <c r="C757" s="1">
        <f t="shared" si="101"/>
        <v>63.738530593595016</v>
      </c>
      <c r="D757" s="1">
        <f t="shared" si="110"/>
        <v>205.01142855857748</v>
      </c>
      <c r="E757" s="1">
        <f t="shared" si="108"/>
        <v>245.78908308826954</v>
      </c>
      <c r="F757" s="1">
        <f t="shared" si="102"/>
        <v>13.152332966634244</v>
      </c>
      <c r="G757" s="1">
        <f t="shared" si="109"/>
        <v>9.8083622526652867</v>
      </c>
      <c r="H757" s="1">
        <f t="shared" si="103"/>
        <v>3.8368818638663411</v>
      </c>
      <c r="I757" s="1">
        <f t="shared" si="104"/>
        <v>99.021991643949519</v>
      </c>
      <c r="K757" s="112">
        <f>C757/'CGE-Flood Weighted Av Calcs'!$D$3</f>
        <v>1.0743840362300546E-2</v>
      </c>
      <c r="L757" s="112">
        <f>D757/'CGE-Flood Weighted Av Calcs'!$D$4</f>
        <v>1.0530817526669531E-2</v>
      </c>
      <c r="M757" s="112">
        <f>E757/'CGE-Flood Weighted Av Calcs'!$D$5</f>
        <v>1.0529226225229026E-2</v>
      </c>
      <c r="N757" s="112">
        <f>F757/'CGE-Flood Weighted Av Calcs'!$D$6</f>
        <v>3.6354986047075454E-3</v>
      </c>
      <c r="O757" s="112">
        <f>G757/'CGE-Flood Weighted Av Calcs'!$D$7</f>
        <v>1.6191027010457895E-2</v>
      </c>
      <c r="P757" s="112">
        <f>H757/'CGE-Flood Weighted Av Calcs'!$D$8</f>
        <v>3.8772439736318491E-2</v>
      </c>
      <c r="R757" s="1">
        <f t="shared" si="105"/>
        <v>0.17191317993741234</v>
      </c>
      <c r="S757" s="1">
        <f t="shared" si="106"/>
        <v>0.19941928872739834</v>
      </c>
      <c r="T757" s="1">
        <f t="shared" si="107"/>
        <v>4.8135690382475467</v>
      </c>
    </row>
    <row r="758" spans="1:20">
      <c r="A758">
        <v>705</v>
      </c>
      <c r="B758">
        <v>0.57237832390261012</v>
      </c>
      <c r="C758" s="1">
        <f t="shared" si="101"/>
        <v>44.040281286074524</v>
      </c>
      <c r="D758" s="1">
        <f t="shared" si="110"/>
        <v>141.65310835526245</v>
      </c>
      <c r="E758" s="1">
        <f t="shared" si="108"/>
        <v>169.82852060510919</v>
      </c>
      <c r="F758" s="1">
        <f t="shared" si="102"/>
        <v>9.0876340892127381</v>
      </c>
      <c r="G758" s="1">
        <f t="shared" si="109"/>
        <v>6.7771099920289357</v>
      </c>
      <c r="H758" s="1">
        <f t="shared" si="103"/>
        <v>2.6511021664985139</v>
      </c>
      <c r="I758" s="1">
        <f t="shared" si="104"/>
        <v>68.419468175582367</v>
      </c>
      <c r="K758" s="112">
        <f>C758/'CGE-Flood Weighted Av Calcs'!$D$3</f>
        <v>7.4234806990662594E-3</v>
      </c>
      <c r="L758" s="112">
        <f>D758/'CGE-Flood Weighted Av Calcs'!$D$4</f>
        <v>7.2762920909484278E-3</v>
      </c>
      <c r="M758" s="112">
        <f>E758/'CGE-Flood Weighted Av Calcs'!$D$5</f>
        <v>7.275192577633669E-3</v>
      </c>
      <c r="N758" s="112">
        <f>F758/'CGE-Flood Weighted Av Calcs'!$D$6</f>
        <v>2.511955949962561E-3</v>
      </c>
      <c r="O758" s="112">
        <f>G758/'CGE-Flood Weighted Av Calcs'!$D$7</f>
        <v>1.1187226583517285E-2</v>
      </c>
      <c r="P758" s="112">
        <f>H758/'CGE-Flood Weighted Av Calcs'!$D$8</f>
        <v>2.6789904571575242E-2</v>
      </c>
      <c r="R758" s="1">
        <f t="shared" si="105"/>
        <v>0.11878379891594162</v>
      </c>
      <c r="S758" s="1">
        <f t="shared" si="106"/>
        <v>0.13778920674249229</v>
      </c>
      <c r="T758" s="1">
        <f t="shared" si="107"/>
        <v>3.325946369646366</v>
      </c>
    </row>
    <row r="759" spans="1:20">
      <c r="A759">
        <v>706</v>
      </c>
      <c r="B759">
        <v>0.47882900051728816</v>
      </c>
      <c r="C759" s="1">
        <f t="shared" ref="C759:C822" si="111">IF($B759&lt;=0.005,$F$5,IF(B759&lt;=0.01,$F$5+($B759-0.005)*SLOPE($E$5:$F$5,$E$4:$F$4),IF($B759&lt;=0.04,$E$5+($B759-0.01)*SLOPE($D$5:$E$5,$D$4:$E$4),IF($B759&lt;=0.1,$D$5+($B759-0.04)*SLOPE($C$5:$D$5,$C$4:$D$4),IF($B759&lt;=1,$C$5+($B759-0.1)*SLOPE($B$5:$C$5,$B$4:$C$4),)))))</f>
        <v>53.674822157836182</v>
      </c>
      <c r="D759" s="1">
        <f t="shared" si="110"/>
        <v>172.6420716907985</v>
      </c>
      <c r="E759" s="1">
        <f t="shared" si="108"/>
        <v>206.98132197647809</v>
      </c>
      <c r="F759" s="1">
        <f t="shared" ref="F759:F822" si="112">IF($B759&lt;=0.005,$F$26,IF($B759&lt;=0.01,$F$26+($B759-0.005)*SLOPE($E$26:$F$26,$E$25:$F$25),IF($B759&lt;=0.04,$E$26+($B759-0.01)*SLOPE($D$26:$E$26,$D$25:$E$25),IF($B759&lt;=0.1,$D$26+($B759-0.04)*SLOPE($C$26:$D$26,$C$25:$D$25),IF($B759&lt;=1,$C$26+($B759-0.1)*SLOPE($B$26:$C$26,$B$25:$C$25),)))))</f>
        <v>11.075704544335364</v>
      </c>
      <c r="G759" s="1">
        <f t="shared" si="109"/>
        <v>8.2597150368625876</v>
      </c>
      <c r="H759" s="1">
        <f t="shared" ref="H759:H822" si="113">IF($B759&lt;=0.005,$F$40,IF($B759&lt;=0.01,$F$40+($B759-0.005)*SLOPE($E$40:$F$40,$E$39:$F$39),IF($B759&lt;=0.04,$E$40+($B759-0.01)*SLOPE($D$40:$E$40,$D$39:$E$39),IF($B759&lt;=0.1,$D$40+($B759-0.04)*SLOPE($C$40:$D$40,$C$39:$D$39),IF($B759&lt;=1,$C$40+($B759-0.1)*SLOPE($B$40:$C$40,$B$39:$C$39),)))))</f>
        <v>3.2310746696810089</v>
      </c>
      <c r="I759" s="1">
        <f t="shared" ref="I759:I822" si="114">IF($B759&lt;=0.005,$F$47,IF($B759&lt;=0.01,$F$47+($B759-0.005)*SLOPE($E$47:$F$47,$E$46:$F$46),IF($B759&lt;=0.04,$E$47+($B759-0.01)*SLOPE($D$47:$E$47,$D$46:$E$46),IF($B759&lt;=0.1,$D$47+($B759-0.04)*SLOPE($C$47:$D$47,$C$46:$D$46),IF($B759&lt;=1,$C$47+($B759-0.1)*SLOPE($B$47:$C$47,$B$46:$C$46),)))))</f>
        <v>83.38735991723388</v>
      </c>
      <c r="K759" s="112">
        <f>C759/'CGE-Flood Weighted Av Calcs'!$D$3</f>
        <v>9.047490040453068E-3</v>
      </c>
      <c r="L759" s="112">
        <f>D759/'CGE-Flood Weighted Av Calcs'!$D$4</f>
        <v>8.868101486754567E-3</v>
      </c>
      <c r="M759" s="112">
        <f>E759/'CGE-Flood Weighted Av Calcs'!$D$5</f>
        <v>8.8667614366934305E-3</v>
      </c>
      <c r="N759" s="112">
        <f>F759/'CGE-Flood Weighted Av Calcs'!$D$6</f>
        <v>3.0614879139110218E-3</v>
      </c>
      <c r="O759" s="112">
        <f>G759/'CGE-Flood Weighted Av Calcs'!$D$7</f>
        <v>1.363461766761186E-2</v>
      </c>
      <c r="P759" s="112">
        <f>H759/'CGE-Flood Weighted Av Calcs'!$D$8</f>
        <v>3.265063985772905E-2</v>
      </c>
      <c r="R759" s="1">
        <f t="shared" ref="R759:R822" si="115">IF($B759&lt;=0.005,$F$13,IF($B759&lt;=0.01,$F$13+($B759-0.005)*SLOPE($E$13:$F$13,$E$10:$F$10),IF($B759&lt;=0.04,$E$13+($B759-0.01)*SLOPE($D$13:$E$13,$D$10:$E$10),IF($B759&lt;=0.1,$D$13+($B759-0.04)*SLOPE($C$13:$D$13,$C$10:$D$10),IF($B759&lt;=1,$C$13+($B759-0.1)*SLOPE($B$13:$C$13,$B$10:$C$10),)))))</f>
        <v>0.14476972207853106</v>
      </c>
      <c r="S759" s="1">
        <f t="shared" ref="S759:S822" si="116">IF($B759&lt;=0.005,$F$21,IF($B759&lt;=0.01,$F$21+($B759-0.005)*SLOPE($E$21:$F$21,$E$18:$F$18),IF($B759&lt;=0.04,$E$21+($B759-0.01)*SLOPE($D$21:$E$21,$D$18:$E$18),IF($B759&lt;=0.1,$D$21+($B759-0.04)*SLOPE($C$21:$D$21,$C$18:$D$18),IF($B759&lt;=1,$C$21+($B759-0.1)*SLOPE($B$21:$C$21,$B$18:$C$18),)))))</f>
        <v>0.16793287761109604</v>
      </c>
      <c r="T759" s="1">
        <f t="shared" ref="T759:T822" si="117">IF($B759&lt;=0.005,$F$14,IF($B759&lt;=0.01,$F$14+($B759-0.005)*SLOPE($E$14:$F$14,$E$10:$F$10),IF($B759&lt;=0.04,$E$14+($B759-0.01)*SLOPE($D$14:$E$14,$D$10:$E$10),IF($B759&lt;=0.1,$D$14+($B759-0.04)*SLOPE($C$14:$D$14,$C$10:$D$10),IF($B759&lt;=1,$C$14+($B759-0.1)*SLOPE($B$14:$C$14,$B$10:$C$10),)))))</f>
        <v>4.0535522181988703</v>
      </c>
    </row>
    <row r="760" spans="1:20">
      <c r="A760">
        <v>707</v>
      </c>
      <c r="B760">
        <v>0.69313661579686059</v>
      </c>
      <c r="C760" s="1">
        <f t="shared" si="111"/>
        <v>31.603518979765553</v>
      </c>
      <c r="D760" s="1">
        <f t="shared" si="110"/>
        <v>101.6509560728864</v>
      </c>
      <c r="E760" s="1">
        <f t="shared" ref="E760:E823" si="118">IF($B760&lt;=0.005,$F$19,IF($B760&lt;=0.01,$F$19+($B760-0.005)*SLOPE($E$19:$F$19,$E$18:$F$18),IF($B760&lt;=0.04,$E$19+($B760-0.01)*SLOPE($D$19:$E$19,$D$18:$E$18),IF($B760&lt;=0.1,$D$19+($B760-0.04)*SLOPE($C$19:$D$19,$C$18:$D$18),IF($B760&lt;=1,$C$19+($B760-0.1)*SLOPE($B$19:$C$19,$B$18:$C$18),)))))</f>
        <v>121.86976825568476</v>
      </c>
      <c r="F760" s="1">
        <f t="shared" si="112"/>
        <v>6.5213302011858811</v>
      </c>
      <c r="G760" s="1">
        <f t="shared" ref="G760:G823" si="119">IF($B760&lt;=0.005,$F$33,IF($B760&lt;=0.01,$F$33+($B760-0.005)*SLOPE($E$33:$F$33,$E$32:$F$32),IF($B760&lt;=0.04,$E$33+($B760-0.01)*SLOPE($D$33:$E$33,$D$32:$E$32),IF($B760&lt;=0.1,$D$33+($B760-0.04)*SLOPE($C$33:$D$33,$C$32:$D$32),IF($B760&lt;=1,$C$33+($B760-0.1)*SLOPE($B$33:$C$33,$B$32:$C$32),)))))</f>
        <v>4.8632869274785673</v>
      </c>
      <c r="H760" s="1">
        <f t="shared" si="113"/>
        <v>1.9024437444436986</v>
      </c>
      <c r="I760" s="1">
        <f t="shared" si="114"/>
        <v>49.098141472502292</v>
      </c>
      <c r="K760" s="112">
        <f>C760/'CGE-Flood Weighted Av Calcs'!$D$3</f>
        <v>5.3271256748999591E-3</v>
      </c>
      <c r="L760" s="112">
        <f>D760/'CGE-Flood Weighted Av Calcs'!$D$4</f>
        <v>5.2215024174089115E-3</v>
      </c>
      <c r="M760" s="112">
        <f>E760/'CGE-Flood Weighted Av Calcs'!$D$5</f>
        <v>5.2207134013332471E-3</v>
      </c>
      <c r="N760" s="112">
        <f>F760/'CGE-Flood Weighted Av Calcs'!$D$6</f>
        <v>1.8025917460722202E-3</v>
      </c>
      <c r="O760" s="112">
        <f>G760/'CGE-Flood Weighted Av Calcs'!$D$7</f>
        <v>8.0280079358830084E-3</v>
      </c>
      <c r="P760" s="112">
        <f>H760/'CGE-Flood Weighted Av Calcs'!$D$8</f>
        <v>1.9224565167834141E-2</v>
      </c>
      <c r="R760" s="1">
        <f t="shared" si="115"/>
        <v>8.5239828945316481E-2</v>
      </c>
      <c r="S760" s="1">
        <f t="shared" si="116"/>
        <v>9.8878201576567126E-2</v>
      </c>
      <c r="T760" s="1">
        <f t="shared" si="117"/>
        <v>2.3867152104688625</v>
      </c>
    </row>
    <row r="761" spans="1:20">
      <c r="A761">
        <v>708</v>
      </c>
      <c r="B761">
        <v>0.81936044495179861</v>
      </c>
      <c r="C761" s="1">
        <f t="shared" si="111"/>
        <v>18.603867063797551</v>
      </c>
      <c r="D761" s="1">
        <f t="shared" ref="D761:D824" si="120">IF($B761&lt;=0.005,$F$11,IF($B761&lt;=0.01,$F$11+($B761-0.005)*SLOPE($E$11:$F$11,$E$10:$F$10),IF($B761&lt;=0.04,$E$11+($B761-0.01)*SLOPE($D$11:$E$11,$D$10:$E$10),IF($B761&lt;=0.1,$D$11+($B761-0.04)*SLOPE($C$11:$D$11,$C$10:$D$10),IF($B761&lt;=1,$C$11+($B761-0.1)*SLOPE($B$11:$C$11,$B$10:$C$10),)))))</f>
        <v>59.838300756909291</v>
      </c>
      <c r="E761" s="1">
        <f t="shared" si="118"/>
        <v>71.740396035523815</v>
      </c>
      <c r="F761" s="1">
        <f t="shared" si="112"/>
        <v>3.8388750385571857</v>
      </c>
      <c r="G761" s="1">
        <f t="shared" si="119"/>
        <v>2.8628439620867461</v>
      </c>
      <c r="H761" s="1">
        <f t="shared" si="113"/>
        <v>1.1199009370014892</v>
      </c>
      <c r="I761" s="1">
        <f t="shared" si="114"/>
        <v>28.902328807712195</v>
      </c>
      <c r="K761" s="112">
        <f>C761/'CGE-Flood Weighted Av Calcs'!$D$3</f>
        <v>3.1358893277496926E-3</v>
      </c>
      <c r="L761" s="112">
        <f>D761/'CGE-Flood Weighted Av Calcs'!$D$4</f>
        <v>3.0737126744957667E-3</v>
      </c>
      <c r="M761" s="112">
        <f>E761/'CGE-Flood Weighted Av Calcs'!$D$5</f>
        <v>3.0732482088078727E-3</v>
      </c>
      <c r="N761" s="112">
        <f>F761/'CGE-Flood Weighted Av Calcs'!$D$6</f>
        <v>1.0611216186304283E-3</v>
      </c>
      <c r="O761" s="112">
        <f>G761/'CGE-Flood Weighted Av Calcs'!$D$7</f>
        <v>4.7258026083077404E-3</v>
      </c>
      <c r="P761" s="112">
        <f>H761/'CGE-Flood Weighted Av Calcs'!$D$8</f>
        <v>1.1316817439560721E-2</v>
      </c>
      <c r="R761" s="1">
        <f t="shared" si="115"/>
        <v>5.0177654180055931E-2</v>
      </c>
      <c r="S761" s="1">
        <f t="shared" si="116"/>
        <v>5.8206078848864889E-2</v>
      </c>
      <c r="T761" s="1">
        <f t="shared" si="117"/>
        <v>1.4049743170415665</v>
      </c>
    </row>
    <row r="762" spans="1:20">
      <c r="A762">
        <v>709</v>
      </c>
      <c r="B762">
        <v>0.87991029619952388</v>
      </c>
      <c r="C762" s="1">
        <f t="shared" si="111"/>
        <v>12.367905161406824</v>
      </c>
      <c r="D762" s="1">
        <f t="shared" si="120"/>
        <v>39.780677116391018</v>
      </c>
      <c r="E762" s="1">
        <f t="shared" si="118"/>
        <v>47.693224820754381</v>
      </c>
      <c r="F762" s="1">
        <f t="shared" si="112"/>
        <v>2.5520953380579314</v>
      </c>
      <c r="G762" s="1">
        <f t="shared" si="119"/>
        <v>1.9032270276697734</v>
      </c>
      <c r="H762" s="1">
        <f t="shared" si="113"/>
        <v>0.74451341387825032</v>
      </c>
      <c r="I762" s="1">
        <f t="shared" si="114"/>
        <v>19.214352608076155</v>
      </c>
      <c r="K762" s="112">
        <f>C762/'CGE-Flood Weighted Av Calcs'!$D$3</f>
        <v>2.0847483842619469E-3</v>
      </c>
      <c r="L762" s="112">
        <f>D762/'CGE-Flood Weighted Av Calcs'!$D$4</f>
        <v>2.0434131635757762E-3</v>
      </c>
      <c r="M762" s="112">
        <f>E762/'CGE-Flood Weighted Av Calcs'!$D$5</f>
        <v>2.0431043854298729E-3</v>
      </c>
      <c r="N762" s="112">
        <f>F762/'CGE-Flood Weighted Av Calcs'!$D$6</f>
        <v>7.0543675134500253E-4</v>
      </c>
      <c r="O762" s="112">
        <f>G762/'CGE-Flood Weighted Av Calcs'!$D$7</f>
        <v>3.1417273769289251E-3</v>
      </c>
      <c r="P762" s="112">
        <f>H762/'CGE-Flood Weighted Av Calcs'!$D$8</f>
        <v>7.5234532875054355E-3</v>
      </c>
      <c r="R762" s="1">
        <f t="shared" si="115"/>
        <v>3.3358251055687793E-2</v>
      </c>
      <c r="S762" s="1">
        <f t="shared" si="116"/>
        <v>3.869557122459788E-2</v>
      </c>
      <c r="T762" s="1">
        <f t="shared" si="117"/>
        <v>0.9340310295592591</v>
      </c>
    </row>
    <row r="763" spans="1:20">
      <c r="A763">
        <v>710</v>
      </c>
      <c r="B763">
        <v>0.46412954934093931</v>
      </c>
      <c r="C763" s="1">
        <f t="shared" si="111"/>
        <v>55.18870230176482</v>
      </c>
      <c r="D763" s="1">
        <f t="shared" si="120"/>
        <v>177.51138273519939</v>
      </c>
      <c r="E763" s="1">
        <f t="shared" si="118"/>
        <v>212.81915992185347</v>
      </c>
      <c r="F763" s="1">
        <f t="shared" si="112"/>
        <v>11.3880910323685</v>
      </c>
      <c r="G763" s="1">
        <f t="shared" si="119"/>
        <v>8.4926774964687901</v>
      </c>
      <c r="H763" s="1">
        <f t="shared" si="113"/>
        <v>3.3222060342451436</v>
      </c>
      <c r="I763" s="1">
        <f t="shared" si="114"/>
        <v>85.7392721054497</v>
      </c>
      <c r="K763" s="112">
        <f>C763/'CGE-Flood Weighted Av Calcs'!$D$3</f>
        <v>9.3026714266970165E-3</v>
      </c>
      <c r="L763" s="112">
        <f>D763/'CGE-Flood Weighted Av Calcs'!$D$4</f>
        <v>9.118223279718566E-3</v>
      </c>
      <c r="M763" s="112">
        <f>E763/'CGE-Flood Weighted Av Calcs'!$D$5</f>
        <v>9.1168454340002144E-3</v>
      </c>
      <c r="N763" s="112">
        <f>F763/'CGE-Flood Weighted Av Calcs'!$D$6</f>
        <v>3.1478361415794537E-3</v>
      </c>
      <c r="O763" s="112">
        <f>G763/'CGE-Flood Weighted Av Calcs'!$D$7</f>
        <v>1.4019177431896847E-2</v>
      </c>
      <c r="P763" s="112">
        <f>H763/'CGE-Flood Weighted Av Calcs'!$D$8</f>
        <v>3.3571540074628321E-2</v>
      </c>
      <c r="R763" s="1">
        <f t="shared" si="115"/>
        <v>0.14885290296085019</v>
      </c>
      <c r="S763" s="1">
        <f t="shared" si="116"/>
        <v>0.17266936743458622</v>
      </c>
      <c r="T763" s="1">
        <f t="shared" si="117"/>
        <v>4.1678812829038057</v>
      </c>
    </row>
    <row r="764" spans="1:20">
      <c r="A764">
        <v>711</v>
      </c>
      <c r="B764">
        <v>0.91427633838871913</v>
      </c>
      <c r="C764" s="1">
        <f t="shared" si="111"/>
        <v>8.8285846608329308</v>
      </c>
      <c r="D764" s="1">
        <f t="shared" si="120"/>
        <v>28.396650136292635</v>
      </c>
      <c r="E764" s="1">
        <f t="shared" si="118"/>
        <v>34.044865931869197</v>
      </c>
      <c r="F764" s="1">
        <f t="shared" si="112"/>
        <v>1.8217628175925107</v>
      </c>
      <c r="G764" s="1">
        <f t="shared" si="119"/>
        <v>1.3585809984216208</v>
      </c>
      <c r="H764" s="1">
        <f t="shared" si="113"/>
        <v>0.53145618597241917</v>
      </c>
      <c r="I764" s="1">
        <f t="shared" si="114"/>
        <v>13.715785857804917</v>
      </c>
      <c r="K764" s="112">
        <f>C764/'CGE-Flood Weighted Av Calcs'!$D$3</f>
        <v>1.4881564312462505E-3</v>
      </c>
      <c r="L764" s="112">
        <f>D764/'CGE-Flood Weighted Av Calcs'!$D$4</f>
        <v>1.4586501009065899E-3</v>
      </c>
      <c r="M764" s="112">
        <f>E764/'CGE-Flood Weighted Av Calcs'!$D$5</f>
        <v>1.4584296857298111E-3</v>
      </c>
      <c r="N764" s="112">
        <f>F764/'CGE-Flood Weighted Av Calcs'!$D$6</f>
        <v>5.035620827321957E-4</v>
      </c>
      <c r="O764" s="112">
        <f>G764/'CGE-Flood Weighted Av Calcs'!$D$7</f>
        <v>2.2426599950834793E-3</v>
      </c>
      <c r="P764" s="112">
        <f>H764/'CGE-Flood Weighted Av Calcs'!$D$8</f>
        <v>5.3704684361444563E-3</v>
      </c>
      <c r="R764" s="1">
        <f t="shared" si="115"/>
        <v>2.3812128225355778E-2</v>
      </c>
      <c r="S764" s="1">
        <f t="shared" si="116"/>
        <v>2.7622068741412709E-2</v>
      </c>
      <c r="T764" s="1">
        <f t="shared" si="117"/>
        <v>0.66673959030996333</v>
      </c>
    </row>
    <row r="765" spans="1:20">
      <c r="A765">
        <v>712</v>
      </c>
      <c r="B765">
        <v>0.77895309251732936</v>
      </c>
      <c r="C765" s="1">
        <f t="shared" si="111"/>
        <v>22.765375393965286</v>
      </c>
      <c r="D765" s="1">
        <f t="shared" si="120"/>
        <v>73.223560187597201</v>
      </c>
      <c r="E765" s="1">
        <f t="shared" si="118"/>
        <v>87.78804111316083</v>
      </c>
      <c r="F765" s="1">
        <f t="shared" si="112"/>
        <v>4.697594916346274</v>
      </c>
      <c r="G765" s="1">
        <f t="shared" si="119"/>
        <v>3.5032349601162949</v>
      </c>
      <c r="H765" s="1">
        <f t="shared" si="113"/>
        <v>1.3704121378347542</v>
      </c>
      <c r="I765" s="1">
        <f t="shared" si="114"/>
        <v>35.367505197227274</v>
      </c>
      <c r="K765" s="112">
        <f>C765/'CGE-Flood Weighted Av Calcs'!$D$3</f>
        <v>3.8373579802165403E-3</v>
      </c>
      <c r="L765" s="112">
        <f>D765/'CGE-Flood Weighted Av Calcs'!$D$4</f>
        <v>3.7612730002920983E-3</v>
      </c>
      <c r="M765" s="112">
        <f>E765/'CGE-Flood Weighted Av Calcs'!$D$5</f>
        <v>3.7607046380421266E-3</v>
      </c>
      <c r="N765" s="112">
        <f>F765/'CGE-Flood Weighted Av Calcs'!$D$6</f>
        <v>1.2984844443326557E-3</v>
      </c>
      <c r="O765" s="112">
        <f>G765/'CGE-Flood Weighted Av Calcs'!$D$7</f>
        <v>5.7829197578637727E-3</v>
      </c>
      <c r="P765" s="112">
        <f>H765/'CGE-Flood Weighted Av Calcs'!$D$8</f>
        <v>1.3848281993904086E-2</v>
      </c>
      <c r="R765" s="1">
        <f t="shared" si="115"/>
        <v>6.1401918745186274E-2</v>
      </c>
      <c r="S765" s="1">
        <f t="shared" si="116"/>
        <v>7.1226225744416088E-2</v>
      </c>
      <c r="T765" s="1">
        <f t="shared" si="117"/>
        <v>1.7192537248652169</v>
      </c>
    </row>
    <row r="766" spans="1:20">
      <c r="A766">
        <v>713</v>
      </c>
      <c r="B766">
        <v>0.7612734215107243</v>
      </c>
      <c r="C766" s="1">
        <f t="shared" si="111"/>
        <v>24.586185066856643</v>
      </c>
      <c r="D766" s="1">
        <f t="shared" si="120"/>
        <v>79.080092942530911</v>
      </c>
      <c r="E766" s="1">
        <f t="shared" si="118"/>
        <v>94.809463411578065</v>
      </c>
      <c r="F766" s="1">
        <f t="shared" si="112"/>
        <v>5.0733157693955917</v>
      </c>
      <c r="G766" s="1">
        <f t="shared" si="119"/>
        <v>3.7834290703123354</v>
      </c>
      <c r="H766" s="1">
        <f t="shared" si="113"/>
        <v>1.4800198044440513</v>
      </c>
      <c r="I766" s="1">
        <f t="shared" si="114"/>
        <v>38.196252558284087</v>
      </c>
      <c r="K766" s="112">
        <f>C766/'CGE-Flood Weighted Av Calcs'!$D$3</f>
        <v>4.1442757624981924E-3</v>
      </c>
      <c r="L766" s="112">
        <f>D766/'CGE-Flood Weighted Av Calcs'!$D$4</f>
        <v>4.0621053890754783E-3</v>
      </c>
      <c r="M766" s="112">
        <f>E766/'CGE-Flood Weighted Av Calcs'!$D$5</f>
        <v>4.0614915683402164E-3</v>
      </c>
      <c r="N766" s="112">
        <f>F766/'CGE-Flood Weighted Av Calcs'!$D$6</f>
        <v>1.4023392235939106E-3</v>
      </c>
      <c r="O766" s="112">
        <f>G766/'CGE-Flood Weighted Av Calcs'!$D$7</f>
        <v>6.2454465579034578E-3</v>
      </c>
      <c r="P766" s="112">
        <f>H766/'CGE-Flood Weighted Av Calcs'!$D$8</f>
        <v>1.4955888847341338E-2</v>
      </c>
      <c r="R766" s="1">
        <f t="shared" si="115"/>
        <v>6.6312938469243243E-2</v>
      </c>
      <c r="S766" s="1">
        <f t="shared" si="116"/>
        <v>7.6923008624322164E-2</v>
      </c>
      <c r="T766" s="1">
        <f t="shared" si="117"/>
        <v>1.8567622771388113</v>
      </c>
    </row>
    <row r="767" spans="1:20">
      <c r="A767">
        <v>714</v>
      </c>
      <c r="B767">
        <v>0.99813146097639183</v>
      </c>
      <c r="C767" s="1">
        <f t="shared" si="111"/>
        <v>0.19243875788694709</v>
      </c>
      <c r="D767" s="1">
        <f t="shared" si="120"/>
        <v>0.61896853123255369</v>
      </c>
      <c r="E767" s="1">
        <f t="shared" si="118"/>
        <v>0.74208403317709326</v>
      </c>
      <c r="F767" s="1">
        <f t="shared" si="112"/>
        <v>3.9709397060821772E-2</v>
      </c>
      <c r="G767" s="1">
        <f t="shared" si="119"/>
        <v>2.9613312877309284E-2</v>
      </c>
      <c r="H767" s="1">
        <f t="shared" si="113"/>
        <v>1.1584276781484881E-2</v>
      </c>
      <c r="I767" s="1">
        <f t="shared" si="114"/>
        <v>0.29896624377727221</v>
      </c>
      <c r="K767" s="112">
        <f>C767/'CGE-Flood Weighted Av Calcs'!$D$3</f>
        <v>3.2437699379039777E-5</v>
      </c>
      <c r="L767" s="112">
        <f>D767/'CGE-Flood Weighted Av Calcs'!$D$4</f>
        <v>3.1794542884706686E-5</v>
      </c>
      <c r="M767" s="112">
        <f>E767/'CGE-Flood Weighted Av Calcs'!$D$5</f>
        <v>3.1789738442719648E-5</v>
      </c>
      <c r="N767" s="112">
        <f>F767/'CGE-Flood Weighted Av Calcs'!$D$6</f>
        <v>1.0976262384371406E-5</v>
      </c>
      <c r="O767" s="112">
        <f>G767/'CGE-Flood Weighted Av Calcs'!$D$7</f>
        <v>4.8883792861072789E-5</v>
      </c>
      <c r="P767" s="112">
        <f>H767/'CGE-Flood Weighted Av Calcs'!$D$8</f>
        <v>1.1706137674678283E-4</v>
      </c>
      <c r="R767" s="1">
        <f t="shared" si="115"/>
        <v>5.1903861766891546E-4</v>
      </c>
      <c r="S767" s="1">
        <f t="shared" si="116"/>
        <v>6.0208479649598301E-4</v>
      </c>
      <c r="T767" s="1">
        <f t="shared" si="117"/>
        <v>1.4533081294731076E-2</v>
      </c>
    </row>
    <row r="768" spans="1:20">
      <c r="A768">
        <v>715</v>
      </c>
      <c r="B768">
        <v>0.91850818087096398</v>
      </c>
      <c r="C768" s="1">
        <f t="shared" si="111"/>
        <v>8.3927519056337303</v>
      </c>
      <c r="D768" s="1">
        <f t="shared" si="120"/>
        <v>26.994818388307749</v>
      </c>
      <c r="E768" s="1">
        <f t="shared" si="118"/>
        <v>32.364203822425964</v>
      </c>
      <c r="F768" s="1">
        <f t="shared" si="112"/>
        <v>1.7318295000095461</v>
      </c>
      <c r="G768" s="1">
        <f t="shared" si="119"/>
        <v>1.2915131588470388</v>
      </c>
      <c r="H768" s="1">
        <f t="shared" si="113"/>
        <v>0.50522026903914252</v>
      </c>
      <c r="I768" s="1">
        <f t="shared" si="114"/>
        <v>13.038691060645732</v>
      </c>
      <c r="K768" s="112">
        <f>C768/'CGE-Flood Weighted Av Calcs'!$D$3</f>
        <v>1.4146919584554021E-3</v>
      </c>
      <c r="L768" s="112">
        <f>D768/'CGE-Flood Weighted Av Calcs'!$D$4</f>
        <v>1.3866422404428353E-3</v>
      </c>
      <c r="M768" s="112">
        <f>E768/'CGE-Flood Weighted Av Calcs'!$D$5</f>
        <v>1.386432706302766E-3</v>
      </c>
      <c r="N768" s="112">
        <f>F768/'CGE-Flood Weighted Av Calcs'!$D$6</f>
        <v>4.7870318876874269E-4</v>
      </c>
      <c r="O768" s="112">
        <f>G768/'CGE-Flood Weighted Av Calcs'!$D$7</f>
        <v>2.1319486271596409E-3</v>
      </c>
      <c r="P768" s="112">
        <f>H768/'CGE-Flood Weighted Av Calcs'!$D$8</f>
        <v>5.1053493774102666E-3</v>
      </c>
      <c r="R768" s="1">
        <f t="shared" si="115"/>
        <v>2.263661642473222E-2</v>
      </c>
      <c r="S768" s="1">
        <f t="shared" si="116"/>
        <v>2.6258475052689412E-2</v>
      </c>
      <c r="T768" s="1">
        <f t="shared" si="117"/>
        <v>0.63382525989250293</v>
      </c>
    </row>
    <row r="769" spans="1:20">
      <c r="A769">
        <v>716</v>
      </c>
      <c r="B769">
        <v>0.28226107464543992</v>
      </c>
      <c r="C769" s="1">
        <f t="shared" si="111"/>
        <v>73.919134434571305</v>
      </c>
      <c r="D769" s="1">
        <f t="shared" si="120"/>
        <v>237.75677297725201</v>
      </c>
      <c r="E769" s="1">
        <f t="shared" si="118"/>
        <v>285.04761729128313</v>
      </c>
      <c r="F769" s="1">
        <f t="shared" si="112"/>
        <v>15.253082548887258</v>
      </c>
      <c r="G769" s="1">
        <f t="shared" si="119"/>
        <v>11.374997841738711</v>
      </c>
      <c r="H769" s="1">
        <f t="shared" si="113"/>
        <v>4.4497258355875093</v>
      </c>
      <c r="I769" s="1">
        <f t="shared" si="114"/>
        <v>114.8382280567296</v>
      </c>
      <c r="K769" s="112">
        <f>C769/'CGE-Flood Weighted Av Calcs'!$D$3</f>
        <v>1.2459894708715998E-2</v>
      </c>
      <c r="L769" s="112">
        <f>D769/'CGE-Flood Weighted Av Calcs'!$D$4</f>
        <v>1.2212846910814226E-2</v>
      </c>
      <c r="M769" s="112">
        <f>E769/'CGE-Flood Weighted Av Calcs'!$D$5</f>
        <v>1.2211001439573968E-2</v>
      </c>
      <c r="N769" s="112">
        <f>F769/'CGE-Flood Weighted Av Calcs'!$D$6</f>
        <v>4.2161767394913556E-3</v>
      </c>
      <c r="O769" s="112">
        <f>G769/'CGE-Flood Weighted Av Calcs'!$D$7</f>
        <v>1.8777130427604802E-2</v>
      </c>
      <c r="P769" s="112">
        <f>H769/'CGE-Flood Weighted Av Calcs'!$D$8</f>
        <v>4.4965347624647684E-2</v>
      </c>
      <c r="R769" s="1">
        <f t="shared" si="115"/>
        <v>0.19937192370960002</v>
      </c>
      <c r="S769" s="1">
        <f t="shared" si="116"/>
        <v>0.231271431503136</v>
      </c>
      <c r="T769" s="1">
        <f t="shared" si="117"/>
        <v>5.5824138638688012</v>
      </c>
    </row>
    <row r="770" spans="1:20">
      <c r="A770">
        <v>717</v>
      </c>
      <c r="B770">
        <v>0.20285667148071751</v>
      </c>
      <c r="C770" s="1">
        <f t="shared" si="111"/>
        <v>82.096905689391434</v>
      </c>
      <c r="D770" s="1">
        <f t="shared" si="120"/>
        <v>264.06011809303067</v>
      </c>
      <c r="E770" s="1">
        <f t="shared" si="118"/>
        <v>316.58281083447775</v>
      </c>
      <c r="F770" s="1">
        <f t="shared" si="112"/>
        <v>16.940551172131187</v>
      </c>
      <c r="G770" s="1">
        <f t="shared" si="119"/>
        <v>12.6334288432022</v>
      </c>
      <c r="H770" s="1">
        <f t="shared" si="113"/>
        <v>4.9420048687288842</v>
      </c>
      <c r="I770" s="1">
        <f t="shared" si="114"/>
        <v>127.5429325630852</v>
      </c>
      <c r="K770" s="112">
        <f>C770/'CGE-Flood Weighted Av Calcs'!$D$3</f>
        <v>1.3838349280275053E-2</v>
      </c>
      <c r="L770" s="112">
        <f>D770/'CGE-Flood Weighted Av Calcs'!$D$4</f>
        <v>1.3563970258926175E-2</v>
      </c>
      <c r="M770" s="112">
        <f>E770/'CGE-Flood Weighted Av Calcs'!$D$5</f>
        <v>1.3561920620770607E-2</v>
      </c>
      <c r="N770" s="112">
        <f>F770/'CGE-Flood Weighted Av Calcs'!$D$6</f>
        <v>4.6826179283552798E-3</v>
      </c>
      <c r="O770" s="112">
        <f>G770/'CGE-Flood Weighted Av Calcs'!$D$7</f>
        <v>2.0854469111742022E-2</v>
      </c>
      <c r="P770" s="112">
        <f>H770/'CGE-Flood Weighted Av Calcs'!$D$8</f>
        <v>4.9939923288724472E-2</v>
      </c>
      <c r="R770" s="1">
        <f t="shared" si="115"/>
        <v>0.22142870236646736</v>
      </c>
      <c r="S770" s="1">
        <f t="shared" si="116"/>
        <v>0.2568572947451021</v>
      </c>
      <c r="T770" s="1">
        <f t="shared" si="117"/>
        <v>6.200003666261086</v>
      </c>
    </row>
    <row r="771" spans="1:20">
      <c r="A771">
        <v>718</v>
      </c>
      <c r="B771">
        <v>0.69420823078687977</v>
      </c>
      <c r="C771" s="1">
        <f t="shared" si="111"/>
        <v>31.493154542626804</v>
      </c>
      <c r="D771" s="1">
        <f t="shared" si="120"/>
        <v>101.2959750165432</v>
      </c>
      <c r="E771" s="1">
        <f t="shared" si="118"/>
        <v>121.44417994109295</v>
      </c>
      <c r="F771" s="1">
        <f t="shared" si="112"/>
        <v>6.4985566949345479</v>
      </c>
      <c r="G771" s="1">
        <f t="shared" si="119"/>
        <v>4.8463035679754984</v>
      </c>
      <c r="H771" s="1">
        <f t="shared" si="113"/>
        <v>1.8958001129804396</v>
      </c>
      <c r="I771" s="1">
        <f t="shared" si="114"/>
        <v>48.926683074099216</v>
      </c>
      <c r="K771" s="112">
        <f>C771/'CGE-Flood Weighted Av Calcs'!$D$3</f>
        <v>5.3085225178574119E-3</v>
      </c>
      <c r="L771" s="112">
        <f>D771/'CGE-Flood Weighted Av Calcs'!$D$4</f>
        <v>5.2032681133212903E-3</v>
      </c>
      <c r="M771" s="112">
        <f>E771/'CGE-Flood Weighted Av Calcs'!$D$5</f>
        <v>5.202481852613316E-3</v>
      </c>
      <c r="N771" s="112">
        <f>F771/'CGE-Flood Weighted Av Calcs'!$D$6</f>
        <v>1.7962968134233087E-3</v>
      </c>
      <c r="O771" s="112">
        <f>G771/'CGE-Flood Weighted Av Calcs'!$D$7</f>
        <v>7.9999728750482814E-3</v>
      </c>
      <c r="P771" s="112">
        <f>H771/'CGE-Flood Weighted Av Calcs'!$D$8</f>
        <v>1.9157429975853027E-2</v>
      </c>
      <c r="R771" s="1">
        <f t="shared" si="115"/>
        <v>8.4942158114755612E-2</v>
      </c>
      <c r="S771" s="1">
        <f t="shared" si="116"/>
        <v>9.8532903413116518E-2</v>
      </c>
      <c r="T771" s="1">
        <f t="shared" si="117"/>
        <v>2.3783804272131581</v>
      </c>
    </row>
    <row r="772" spans="1:20">
      <c r="A772">
        <v>719</v>
      </c>
      <c r="B772">
        <v>0.41865948315848045</v>
      </c>
      <c r="C772" s="1">
        <f t="shared" si="111"/>
        <v>59.871613895600497</v>
      </c>
      <c r="D772" s="1">
        <f t="shared" si="120"/>
        <v>192.57370668156051</v>
      </c>
      <c r="E772" s="1">
        <f t="shared" si="118"/>
        <v>230.87744485740171</v>
      </c>
      <c r="F772" s="1">
        <f t="shared" si="112"/>
        <v>12.354401550697705</v>
      </c>
      <c r="G772" s="1">
        <f t="shared" si="119"/>
        <v>9.2133042960166627</v>
      </c>
      <c r="H772" s="1">
        <f t="shared" si="113"/>
        <v>3.604104258084698</v>
      </c>
      <c r="I772" s="1">
        <f t="shared" si="114"/>
        <v>93.014482694643107</v>
      </c>
      <c r="K772" s="112">
        <f>C772/'CGE-Flood Weighted Av Calcs'!$D$3</f>
        <v>1.0092028415732982E-2</v>
      </c>
      <c r="L772" s="112">
        <f>D772/'CGE-Flood Weighted Av Calcs'!$D$4</f>
        <v>9.8919293414827872E-3</v>
      </c>
      <c r="M772" s="112">
        <f>E772/'CGE-Flood Weighted Av Calcs'!$D$5</f>
        <v>9.8904345818052394E-3</v>
      </c>
      <c r="N772" s="112">
        <f>F772/'CGE-Flood Weighted Av Calcs'!$D$6</f>
        <v>3.4149386054550357E-3</v>
      </c>
      <c r="O772" s="112">
        <f>G772/'CGE-Flood Weighted Av Calcs'!$D$7</f>
        <v>1.5208742792084159E-2</v>
      </c>
      <c r="P772" s="112">
        <f>H772/'CGE-Flood Weighted Av Calcs'!$D$8</f>
        <v>3.6420176619455513E-2</v>
      </c>
      <c r="R772" s="1">
        <f t="shared" si="115"/>
        <v>0.16148347690042208</v>
      </c>
      <c r="S772" s="1">
        <f t="shared" si="116"/>
        <v>0.18732083320448961</v>
      </c>
      <c r="T772" s="1">
        <f t="shared" si="117"/>
        <v>4.5215373532118193</v>
      </c>
    </row>
    <row r="773" spans="1:20">
      <c r="A773">
        <v>720</v>
      </c>
      <c r="B773">
        <v>6.062971397601824E-2</v>
      </c>
      <c r="C773" s="1">
        <f t="shared" si="111"/>
        <v>102.55225664900743</v>
      </c>
      <c r="D773" s="1">
        <f t="shared" si="120"/>
        <v>328.26852442729961</v>
      </c>
      <c r="E773" s="1">
        <f t="shared" si="118"/>
        <v>393.51118899586839</v>
      </c>
      <c r="F773" s="1">
        <f t="shared" si="112"/>
        <v>23.972407640910458</v>
      </c>
      <c r="G773" s="1">
        <f t="shared" si="119"/>
        <v>15.88884744094003</v>
      </c>
      <c r="H773" s="1">
        <f t="shared" si="113"/>
        <v>6.1048322574438023</v>
      </c>
      <c r="I773" s="1">
        <f t="shared" si="114"/>
        <v>208.30480050583688</v>
      </c>
      <c r="K773" s="112">
        <f>C773/'CGE-Flood Weighted Av Calcs'!$D$3</f>
        <v>1.7286326872764921E-2</v>
      </c>
      <c r="L773" s="112">
        <f>D773/'CGE-Flood Weighted Av Calcs'!$D$4</f>
        <v>1.6862162050176675E-2</v>
      </c>
      <c r="M773" s="112">
        <f>E773/'CGE-Flood Weighted Av Calcs'!$D$5</f>
        <v>1.6857414003242598E-2</v>
      </c>
      <c r="N773" s="112">
        <f>F773/'CGE-Flood Weighted Av Calcs'!$D$6</f>
        <v>6.6263266563508436E-3</v>
      </c>
      <c r="O773" s="112">
        <f>G773/'CGE-Flood Weighted Av Calcs'!$D$7</f>
        <v>2.6228309217616715E-2</v>
      </c>
      <c r="P773" s="112">
        <f>H773/'CGE-Flood Weighted Av Calcs'!$D$8</f>
        <v>6.1690520896975548E-2</v>
      </c>
      <c r="R773" s="1">
        <f t="shared" si="115"/>
        <v>0.27624685734932114</v>
      </c>
      <c r="S773" s="1">
        <f t="shared" si="116"/>
        <v>0.32937028602398172</v>
      </c>
      <c r="T773" s="1">
        <f t="shared" si="117"/>
        <v>7.6561714337330296</v>
      </c>
    </row>
    <row r="774" spans="1:20">
      <c r="A774">
        <v>721</v>
      </c>
      <c r="B774">
        <v>0.65725407364657129</v>
      </c>
      <c r="C774" s="1">
        <f t="shared" si="111"/>
        <v>35.299022126332574</v>
      </c>
      <c r="D774" s="1">
        <f t="shared" si="120"/>
        <v>113.5373358225406</v>
      </c>
      <c r="E774" s="1">
        <f t="shared" si="118"/>
        <v>136.12040003971583</v>
      </c>
      <c r="F774" s="1">
        <f t="shared" si="112"/>
        <v>7.2838907341985166</v>
      </c>
      <c r="G774" s="1">
        <f t="shared" si="119"/>
        <v>5.4319670214472868</v>
      </c>
      <c r="H774" s="1">
        <f t="shared" si="113"/>
        <v>2.1249027322627372</v>
      </c>
      <c r="I774" s="1">
        <f t="shared" si="114"/>
        <v>54.839348216548572</v>
      </c>
      <c r="K774" s="112">
        <f>C774/'CGE-Flood Weighted Av Calcs'!$D$3</f>
        <v>5.9500439551824543E-3</v>
      </c>
      <c r="L774" s="112">
        <f>D774/'CGE-Flood Weighted Av Calcs'!$D$4</f>
        <v>5.8320698237061793E-3</v>
      </c>
      <c r="M774" s="112">
        <f>E774/'CGE-Flood Weighted Av Calcs'!$D$5</f>
        <v>5.831188545392497E-3</v>
      </c>
      <c r="N774" s="112">
        <f>F774/'CGE-Flood Weighted Av Calcs'!$D$6</f>
        <v>2.0133747121669357E-3</v>
      </c>
      <c r="O774" s="112">
        <f>G774/'CGE-Flood Weighted Av Calcs'!$D$7</f>
        <v>8.9667492389232037E-3</v>
      </c>
      <c r="P774" s="112">
        <f>H774/'CGE-Flood Weighted Av Calcs'!$D$8</f>
        <v>2.1472556637220842E-2</v>
      </c>
      <c r="R774" s="1">
        <f t="shared" si="115"/>
        <v>9.5207201764841293E-2</v>
      </c>
      <c r="S774" s="1">
        <f t="shared" si="116"/>
        <v>0.11044035404721592</v>
      </c>
      <c r="T774" s="1">
        <f t="shared" si="117"/>
        <v>2.665801649415557</v>
      </c>
    </row>
    <row r="775" spans="1:20">
      <c r="A775">
        <v>722</v>
      </c>
      <c r="B775">
        <v>0.23104365001916705</v>
      </c>
      <c r="C775" s="1">
        <f t="shared" si="111"/>
        <v>79.193960088581562</v>
      </c>
      <c r="D775" s="1">
        <f t="shared" si="120"/>
        <v>254.72295548342268</v>
      </c>
      <c r="E775" s="1">
        <f t="shared" si="118"/>
        <v>305.38844643929531</v>
      </c>
      <c r="F775" s="1">
        <f t="shared" si="112"/>
        <v>16.341533485807016</v>
      </c>
      <c r="G775" s="1">
        <f t="shared" si="119"/>
        <v>12.186710950785246</v>
      </c>
      <c r="H775" s="1">
        <f t="shared" si="113"/>
        <v>4.7672556358267801</v>
      </c>
      <c r="I775" s="1">
        <f t="shared" si="114"/>
        <v>123.03301599693327</v>
      </c>
      <c r="K775" s="112">
        <f>C775/'CGE-Flood Weighted Av Calcs'!$D$3</f>
        <v>1.3349025415650568E-2</v>
      </c>
      <c r="L775" s="112">
        <f>D775/'CGE-Flood Weighted Av Calcs'!$D$4</f>
        <v>1.3084348433206699E-2</v>
      </c>
      <c r="M775" s="112">
        <f>E775/'CGE-Flood Weighted Av Calcs'!$D$5</f>
        <v>1.3082371270231733E-2</v>
      </c>
      <c r="N775" s="112">
        <f>F775/'CGE-Flood Weighted Av Calcs'!$D$6</f>
        <v>4.517040614554658E-3</v>
      </c>
      <c r="O775" s="112">
        <f>G775/'CGE-Flood Weighted Av Calcs'!$D$7</f>
        <v>2.0117055334002289E-2</v>
      </c>
      <c r="P775" s="112">
        <f>H775/'CGE-Flood Weighted Av Calcs'!$D$8</f>
        <v>4.8174048200030122E-2</v>
      </c>
      <c r="R775" s="1">
        <f t="shared" si="115"/>
        <v>0.21359898610578693</v>
      </c>
      <c r="S775" s="1">
        <f t="shared" si="116"/>
        <v>0.24777482388271282</v>
      </c>
      <c r="T775" s="1">
        <f t="shared" si="117"/>
        <v>5.9807716109620346</v>
      </c>
    </row>
    <row r="776" spans="1:20">
      <c r="A776">
        <v>723</v>
      </c>
      <c r="B776">
        <v>0.32242798291800012</v>
      </c>
      <c r="C776" s="1">
        <f t="shared" si="111"/>
        <v>69.782389181478408</v>
      </c>
      <c r="D776" s="1">
        <f t="shared" si="120"/>
        <v>224.45116260278394</v>
      </c>
      <c r="E776" s="1">
        <f t="shared" si="118"/>
        <v>269.09546380957693</v>
      </c>
      <c r="F776" s="1">
        <f t="shared" si="112"/>
        <v>14.399472488220301</v>
      </c>
      <c r="G776" s="1">
        <f t="shared" si="119"/>
        <v>10.73841749369087</v>
      </c>
      <c r="H776" s="1">
        <f t="shared" si="113"/>
        <v>4.2007053029644643</v>
      </c>
      <c r="I776" s="1">
        <f t="shared" si="114"/>
        <v>108.41152273311997</v>
      </c>
      <c r="K776" s="112">
        <f>C776/'CGE-Flood Weighted Av Calcs'!$D$3</f>
        <v>1.17626001491329E-2</v>
      </c>
      <c r="L776" s="112">
        <f>D776/'CGE-Flood Weighted Av Calcs'!$D$4</f>
        <v>1.1529377916331079E-2</v>
      </c>
      <c r="M776" s="112">
        <f>E776/'CGE-Flood Weighted Av Calcs'!$D$5</f>
        <v>1.1527635723415862E-2</v>
      </c>
      <c r="N776" s="112">
        <f>F776/'CGE-Flood Weighted Av Calcs'!$D$6</f>
        <v>3.9802263425243907E-3</v>
      </c>
      <c r="O776" s="112">
        <f>G776/'CGE-Flood Weighted Av Calcs'!$D$7</f>
        <v>1.7726303659173756E-2</v>
      </c>
      <c r="P776" s="112">
        <f>H776/'CGE-Flood Weighted Av Calcs'!$D$8</f>
        <v>4.2448946563369325E-2</v>
      </c>
      <c r="R776" s="1">
        <f t="shared" si="115"/>
        <v>0.18821444918944441</v>
      </c>
      <c r="S776" s="1">
        <f t="shared" si="116"/>
        <v>0.21832876105975552</v>
      </c>
      <c r="T776" s="1">
        <f t="shared" si="117"/>
        <v>5.2700045773044435</v>
      </c>
    </row>
    <row r="777" spans="1:20">
      <c r="A777">
        <v>724</v>
      </c>
      <c r="B777">
        <v>0.63549477340642158</v>
      </c>
      <c r="C777" s="1">
        <f t="shared" si="111"/>
        <v>37.539988281065327</v>
      </c>
      <c r="D777" s="1">
        <f t="shared" si="120"/>
        <v>120.74527846656744</v>
      </c>
      <c r="E777" s="1">
        <f t="shared" si="118"/>
        <v>144.76203346417634</v>
      </c>
      <c r="F777" s="1">
        <f t="shared" si="112"/>
        <v>7.746310133571443</v>
      </c>
      <c r="G777" s="1">
        <f t="shared" si="119"/>
        <v>5.7768166381058474</v>
      </c>
      <c r="H777" s="1">
        <f t="shared" si="113"/>
        <v>2.259802647848435</v>
      </c>
      <c r="I777" s="1">
        <f t="shared" si="114"/>
        <v>58.320836254972534</v>
      </c>
      <c r="K777" s="112">
        <f>C777/'CGE-Flood Weighted Av Calcs'!$D$3</f>
        <v>6.3277837995049189E-3</v>
      </c>
      <c r="L777" s="112">
        <f>D777/'CGE-Flood Weighted Av Calcs'!$D$4</f>
        <v>6.2023200544403072E-3</v>
      </c>
      <c r="M777" s="112">
        <f>E777/'CGE-Flood Weighted Av Calcs'!$D$5</f>
        <v>6.201382827979769E-3</v>
      </c>
      <c r="N777" s="112">
        <f>F777/'CGE-Flood Weighted Av Calcs'!$D$6</f>
        <v>2.1411942469578183E-3</v>
      </c>
      <c r="O777" s="112">
        <f>G777/'CGE-Flood Weighted Av Calcs'!$D$7</f>
        <v>9.5360052792318253E-3</v>
      </c>
      <c r="P777" s="112">
        <f>H777/'CGE-Flood Weighted Av Calcs'!$D$8</f>
        <v>2.2835746600596563E-2</v>
      </c>
      <c r="R777" s="1">
        <f t="shared" si="115"/>
        <v>0.10125145183154954</v>
      </c>
      <c r="S777" s="1">
        <f t="shared" si="116"/>
        <v>0.11745168412459747</v>
      </c>
      <c r="T777" s="1">
        <f t="shared" si="117"/>
        <v>2.8350406512833883</v>
      </c>
    </row>
    <row r="778" spans="1:20">
      <c r="A778">
        <v>725</v>
      </c>
      <c r="B778">
        <v>0.61678528413846778</v>
      </c>
      <c r="C778" s="1">
        <f t="shared" si="111"/>
        <v>39.466857792450476</v>
      </c>
      <c r="D778" s="1">
        <f t="shared" si="120"/>
        <v>126.94294677639721</v>
      </c>
      <c r="E778" s="1">
        <f t="shared" si="118"/>
        <v>152.19244464597554</v>
      </c>
      <c r="F778" s="1">
        <f t="shared" si="112"/>
        <v>8.1439162465611279</v>
      </c>
      <c r="G778" s="1">
        <f t="shared" si="119"/>
        <v>6.073331697447065</v>
      </c>
      <c r="H778" s="1">
        <f t="shared" si="113"/>
        <v>2.3757948210820872</v>
      </c>
      <c r="I778" s="1">
        <f t="shared" si="114"/>
        <v>61.314354537845134</v>
      </c>
      <c r="K778" s="112">
        <f>C778/'CGE-Flood Weighted Av Calcs'!$D$3</f>
        <v>6.6525791507078599E-3</v>
      </c>
      <c r="L778" s="112">
        <f>D778/'CGE-Flood Weighted Av Calcs'!$D$4</f>
        <v>6.5206755457440091E-3</v>
      </c>
      <c r="M778" s="112">
        <f>E778/'CGE-Flood Weighted Av Calcs'!$D$5</f>
        <v>6.5196902128994575E-3</v>
      </c>
      <c r="N778" s="112">
        <f>F778/'CGE-Flood Weighted Av Calcs'!$D$6</f>
        <v>2.2510984345011404E-3</v>
      </c>
      <c r="O778" s="112">
        <f>G778/'CGE-Flood Weighted Av Calcs'!$D$7</f>
        <v>1.0025473674783448E-2</v>
      </c>
      <c r="P778" s="112">
        <f>H778/'CGE-Flood Weighted Av Calcs'!$D$8</f>
        <v>2.4007870138967526E-2</v>
      </c>
      <c r="R778" s="1">
        <f t="shared" si="115"/>
        <v>0.10644853218375894</v>
      </c>
      <c r="S778" s="1">
        <f t="shared" si="116"/>
        <v>0.12348029733316038</v>
      </c>
      <c r="T778" s="1">
        <f t="shared" si="117"/>
        <v>2.9805589011452511</v>
      </c>
    </row>
    <row r="779" spans="1:20">
      <c r="A779">
        <v>726</v>
      </c>
      <c r="B779">
        <v>0.14342109063218322</v>
      </c>
      <c r="C779" s="1">
        <f t="shared" si="111"/>
        <v>88.218110121447708</v>
      </c>
      <c r="D779" s="1">
        <f t="shared" si="120"/>
        <v>283.74863073095861</v>
      </c>
      <c r="E779" s="1">
        <f t="shared" si="118"/>
        <v>340.18745328135196</v>
      </c>
      <c r="F779" s="1">
        <f t="shared" si="112"/>
        <v>18.20365087175513</v>
      </c>
      <c r="G779" s="1">
        <f t="shared" si="119"/>
        <v>13.575386399064985</v>
      </c>
      <c r="H779" s="1">
        <f t="shared" si="113"/>
        <v>5.3104843120365253</v>
      </c>
      <c r="I779" s="1">
        <f t="shared" si="114"/>
        <v>137.05262549885069</v>
      </c>
      <c r="K779" s="112">
        <f>C779/'CGE-Flood Weighted Av Calcs'!$D$3</f>
        <v>1.4870146571968938E-2</v>
      </c>
      <c r="L779" s="112">
        <f>D779/'CGE-Flood Weighted Av Calcs'!$D$4</f>
        <v>1.4575309653121482E-2</v>
      </c>
      <c r="M779" s="112">
        <f>E779/'CGE-Flood Weighted Av Calcs'!$D$5</f>
        <v>1.4573107192468444E-2</v>
      </c>
      <c r="N779" s="112">
        <f>F779/'CGE-Flood Weighted Av Calcs'!$D$6</f>
        <v>5.0317572945223826E-3</v>
      </c>
      <c r="O779" s="112">
        <f>G779/'CGE-Flood Weighted Av Calcs'!$D$7</f>
        <v>2.2409393352589159E-2</v>
      </c>
      <c r="P779" s="112">
        <f>H779/'CGE-Flood Weighted Av Calcs'!$D$8</f>
        <v>5.3663479946609464E-2</v>
      </c>
      <c r="R779" s="1">
        <f t="shared" si="115"/>
        <v>0.23793858593550465</v>
      </c>
      <c r="S779" s="1">
        <f t="shared" si="116"/>
        <v>0.2760087596851854</v>
      </c>
      <c r="T779" s="1">
        <f t="shared" si="117"/>
        <v>6.6622804061941308</v>
      </c>
    </row>
    <row r="780" spans="1:20">
      <c r="A780">
        <v>727</v>
      </c>
      <c r="B780">
        <v>0.90672713826603446</v>
      </c>
      <c r="C780" s="1">
        <f t="shared" si="111"/>
        <v>9.6060683934680924</v>
      </c>
      <c r="D780" s="1">
        <f t="shared" si="120"/>
        <v>30.897383197192596</v>
      </c>
      <c r="E780" s="1">
        <f t="shared" si="118"/>
        <v>37.043005549785676</v>
      </c>
      <c r="F780" s="1">
        <f t="shared" si="112"/>
        <v>1.9821952096248872</v>
      </c>
      <c r="G780" s="1">
        <f t="shared" si="119"/>
        <v>1.4782235760621898</v>
      </c>
      <c r="H780" s="1">
        <f t="shared" si="113"/>
        <v>0.5782585393592532</v>
      </c>
      <c r="I780" s="1">
        <f t="shared" si="114"/>
        <v>14.923657877434465</v>
      </c>
      <c r="K780" s="112">
        <f>C780/'CGE-Flood Weighted Av Calcs'!$D$3</f>
        <v>1.6192099875476744E-3</v>
      </c>
      <c r="L780" s="112">
        <f>D780/'CGE-Flood Weighted Av Calcs'!$D$4</f>
        <v>1.587105200860799E-3</v>
      </c>
      <c r="M780" s="112">
        <f>E780/'CGE-Flood Weighted Av Calcs'!$D$5</f>
        <v>1.5868653749606762E-3</v>
      </c>
      <c r="N780" s="112">
        <f>F780/'CGE-Flood Weighted Av Calcs'!$D$6</f>
        <v>5.4790795953315815E-4</v>
      </c>
      <c r="O780" s="112">
        <f>G780/'CGE-Flood Weighted Av Calcs'!$D$7</f>
        <v>2.4401584312421631E-3</v>
      </c>
      <c r="P780" s="112">
        <f>H780/'CGE-Flood Weighted Av Calcs'!$D$8</f>
        <v>5.8434153473585354E-3</v>
      </c>
      <c r="R780" s="1">
        <f t="shared" si="115"/>
        <v>2.5909128259434866E-2</v>
      </c>
      <c r="S780" s="1">
        <f t="shared" si="116"/>
        <v>3.0054588780944469E-2</v>
      </c>
      <c r="T780" s="1">
        <f t="shared" si="117"/>
        <v>0.72545559126417736</v>
      </c>
    </row>
    <row r="781" spans="1:20">
      <c r="A781">
        <v>728</v>
      </c>
      <c r="B781">
        <v>0.30258010541584501</v>
      </c>
      <c r="C781" s="1">
        <f t="shared" si="111"/>
        <v>71.82650003222814</v>
      </c>
      <c r="D781" s="1">
        <f t="shared" si="120"/>
        <v>231.02593114139853</v>
      </c>
      <c r="E781" s="1">
        <f t="shared" si="118"/>
        <v>276.9779820769034</v>
      </c>
      <c r="F781" s="1">
        <f t="shared" si="112"/>
        <v>14.821271144063051</v>
      </c>
      <c r="G781" s="1">
        <f t="shared" si="119"/>
        <v>11.052974160153649</v>
      </c>
      <c r="H781" s="1">
        <f t="shared" si="113"/>
        <v>4.3237550780052807</v>
      </c>
      <c r="I781" s="1">
        <f t="shared" si="114"/>
        <v>111.58718313346479</v>
      </c>
      <c r="K781" s="112">
        <f>C781/'CGE-Flood Weighted Av Calcs'!$D$3</f>
        <v>1.210715783596336E-2</v>
      </c>
      <c r="L781" s="112">
        <f>D781/'CGE-Flood Weighted Av Calcs'!$D$4</f>
        <v>1.1867103906765094E-2</v>
      </c>
      <c r="M781" s="112">
        <f>E781/'CGE-Flood Weighted Av Calcs'!$D$5</f>
        <v>1.1865310680408863E-2</v>
      </c>
      <c r="N781" s="112">
        <f>F781/'CGE-Flood Weighted Av Calcs'!$D$6</f>
        <v>4.0968177053399453E-3</v>
      </c>
      <c r="O781" s="112">
        <f>G781/'CGE-Flood Weighted Av Calcs'!$D$7</f>
        <v>1.8245554004116361E-2</v>
      </c>
      <c r="P781" s="112">
        <f>H781/'CGE-Flood Weighted Av Calcs'!$D$8</f>
        <v>4.3692388544804221E-2</v>
      </c>
      <c r="R781" s="1">
        <f t="shared" si="115"/>
        <v>0.1937277484955986</v>
      </c>
      <c r="S781" s="1">
        <f t="shared" si="116"/>
        <v>0.22472418825489437</v>
      </c>
      <c r="T781" s="1">
        <f t="shared" si="117"/>
        <v>5.4243769578767616</v>
      </c>
    </row>
    <row r="782" spans="1:20">
      <c r="A782">
        <v>729</v>
      </c>
      <c r="B782">
        <v>0.44792120702245586</v>
      </c>
      <c r="C782" s="1">
        <f t="shared" si="111"/>
        <v>56.857981467876186</v>
      </c>
      <c r="D782" s="1">
        <f t="shared" si="120"/>
        <v>182.88052606687751</v>
      </c>
      <c r="E782" s="1">
        <f t="shared" si="118"/>
        <v>219.25624894533487</v>
      </c>
      <c r="F782" s="1">
        <f t="shared" si="112"/>
        <v>11.732543833562641</v>
      </c>
      <c r="G782" s="1">
        <f t="shared" si="119"/>
        <v>8.7495534333560556</v>
      </c>
      <c r="H782" s="1">
        <f t="shared" si="113"/>
        <v>3.4226919867535348</v>
      </c>
      <c r="I782" s="1">
        <f t="shared" si="114"/>
        <v>88.332606876407056</v>
      </c>
      <c r="K782" s="112">
        <f>C782/'CGE-Flood Weighted Av Calcs'!$D$3</f>
        <v>9.5840470516728588E-3</v>
      </c>
      <c r="L782" s="112">
        <f>D782/'CGE-Flood Weighted Av Calcs'!$D$4</f>
        <v>9.3940199467530648E-3</v>
      </c>
      <c r="M782" s="112">
        <f>E782/'CGE-Flood Weighted Av Calcs'!$D$5</f>
        <v>9.3926004256726214E-3</v>
      </c>
      <c r="N782" s="112">
        <f>F782/'CGE-Flood Weighted Av Calcs'!$D$6</f>
        <v>3.2430479706371364E-3</v>
      </c>
      <c r="O782" s="112">
        <f>G782/'CGE-Flood Weighted Av Calcs'!$D$7</f>
        <v>1.4443212059221935E-2</v>
      </c>
      <c r="P782" s="112">
        <f>H782/'CGE-Flood Weighted Av Calcs'!$D$8</f>
        <v>3.4586970227604714E-2</v>
      </c>
      <c r="R782" s="1">
        <f t="shared" si="115"/>
        <v>0.15335522027154003</v>
      </c>
      <c r="S782" s="1">
        <f t="shared" si="116"/>
        <v>0.17789205551498644</v>
      </c>
      <c r="T782" s="1">
        <f t="shared" si="117"/>
        <v>4.2939461676031208</v>
      </c>
    </row>
    <row r="783" spans="1:20">
      <c r="A783">
        <v>730</v>
      </c>
      <c r="B783">
        <v>0.26047513510896692</v>
      </c>
      <c r="C783" s="1">
        <f t="shared" si="111"/>
        <v>76.162844140833172</v>
      </c>
      <c r="D783" s="1">
        <f t="shared" si="120"/>
        <v>244.97354010174726</v>
      </c>
      <c r="E783" s="1">
        <f t="shared" si="118"/>
        <v>293.69983042331563</v>
      </c>
      <c r="F783" s="1">
        <f t="shared" si="112"/>
        <v>15.716068075261955</v>
      </c>
      <c r="G783" s="1">
        <f t="shared" si="119"/>
        <v>11.720269648036817</v>
      </c>
      <c r="H783" s="1">
        <f t="shared" si="113"/>
        <v>4.5847909053273215</v>
      </c>
      <c r="I783" s="1">
        <f t="shared" si="114"/>
        <v>118.32397838256529</v>
      </c>
      <c r="K783" s="112">
        <f>C783/'CGE-Flood Weighted Av Calcs'!$D$3</f>
        <v>1.2838097009254194E-2</v>
      </c>
      <c r="L783" s="112">
        <f>D783/'CGE-Flood Weighted Av Calcs'!$D$4</f>
        <v>1.258355042844184E-2</v>
      </c>
      <c r="M783" s="112">
        <f>E783/'CGE-Flood Weighted Av Calcs'!$D$5</f>
        <v>1.2581648940558993E-2</v>
      </c>
      <c r="N783" s="112">
        <f>F783/'CGE-Flood Weighted Av Calcs'!$D$6</f>
        <v>4.3441527601262506E-3</v>
      </c>
      <c r="O783" s="112">
        <f>G783/'CGE-Flood Weighted Av Calcs'!$D$7</f>
        <v>1.9347083391995274E-2</v>
      </c>
      <c r="P783" s="112">
        <f>H783/'CGE-Flood Weighted Av Calcs'!$D$8</f>
        <v>4.633020650296913E-2</v>
      </c>
      <c r="R783" s="1">
        <f t="shared" si="115"/>
        <v>0.20542357358084251</v>
      </c>
      <c r="S783" s="1">
        <f t="shared" si="116"/>
        <v>0.23829134535377733</v>
      </c>
      <c r="T783" s="1">
        <f t="shared" si="117"/>
        <v>5.7518600602635903</v>
      </c>
    </row>
    <row r="784" spans="1:20">
      <c r="A784">
        <v>731</v>
      </c>
      <c r="B784">
        <v>0.77997428243359235</v>
      </c>
      <c r="C784" s="1">
        <f t="shared" si="111"/>
        <v>22.660204179144813</v>
      </c>
      <c r="D784" s="1">
        <f t="shared" si="120"/>
        <v>72.885282841182317</v>
      </c>
      <c r="E784" s="1">
        <f t="shared" si="118"/>
        <v>87.382478948215009</v>
      </c>
      <c r="F784" s="1">
        <f t="shared" si="112"/>
        <v>4.675893022327978</v>
      </c>
      <c r="G784" s="1">
        <f t="shared" si="119"/>
        <v>3.4870507562461235</v>
      </c>
      <c r="H784" s="1">
        <f t="shared" si="113"/>
        <v>1.3640811238784014</v>
      </c>
      <c r="I784" s="1">
        <f t="shared" si="114"/>
        <v>35.2041148106252</v>
      </c>
      <c r="K784" s="112">
        <f>C784/'CGE-Flood Weighted Av Calcs'!$D$3</f>
        <v>3.8196301987283689E-3</v>
      </c>
      <c r="L784" s="112">
        <f>D784/'CGE-Flood Weighted Av Calcs'!$D$4</f>
        <v>3.7438967153037555E-3</v>
      </c>
      <c r="M784" s="112">
        <f>E784/'CGE-Flood Weighted Av Calcs'!$D$5</f>
        <v>3.743330978767054E-3</v>
      </c>
      <c r="N784" s="112">
        <f>F784/'CGE-Flood Weighted Av Calcs'!$D$6</f>
        <v>1.2924857210929706E-3</v>
      </c>
      <c r="O784" s="112">
        <f>G784/'CGE-Flood Weighted Av Calcs'!$D$7</f>
        <v>5.7562038928442591E-3</v>
      </c>
      <c r="P784" s="112">
        <f>H784/'CGE-Flood Weighted Av Calcs'!$D$8</f>
        <v>1.378430586281593E-2</v>
      </c>
      <c r="R784" s="1">
        <f t="shared" si="115"/>
        <v>6.111825487955766E-2</v>
      </c>
      <c r="S784" s="1">
        <f t="shared" si="116"/>
        <v>7.0897175660286915E-2</v>
      </c>
      <c r="T784" s="1">
        <f t="shared" si="117"/>
        <v>1.7113111366276152</v>
      </c>
    </row>
    <row r="785" spans="1:20">
      <c r="A785">
        <v>732</v>
      </c>
      <c r="B785">
        <v>0.43827918236956886</v>
      </c>
      <c r="C785" s="1">
        <f t="shared" si="111"/>
        <v>57.851002873516293</v>
      </c>
      <c r="D785" s="1">
        <f t="shared" si="120"/>
        <v>186.07452403111645</v>
      </c>
      <c r="E785" s="1">
        <f t="shared" si="118"/>
        <v>223.08554683636331</v>
      </c>
      <c r="F785" s="1">
        <f t="shared" si="112"/>
        <v>11.937452042903855</v>
      </c>
      <c r="G785" s="1">
        <f t="shared" si="119"/>
        <v>8.9023638853771736</v>
      </c>
      <c r="H785" s="1">
        <f t="shared" si="113"/>
        <v>3.4824691072212985</v>
      </c>
      <c r="I785" s="1">
        <f t="shared" si="114"/>
        <v>89.875330820868967</v>
      </c>
      <c r="K785" s="112">
        <f>C785/'CGE-Flood Weighted Av Calcs'!$D$3</f>
        <v>9.7514318871748037E-3</v>
      </c>
      <c r="L785" s="112">
        <f>D785/'CGE-Flood Weighted Av Calcs'!$D$4</f>
        <v>9.5580859696984318E-3</v>
      </c>
      <c r="M785" s="112">
        <f>E785/'CGE-Flood Weighted Av Calcs'!$D$5</f>
        <v>9.5566416567632265E-3</v>
      </c>
      <c r="N785" s="112">
        <f>F785/'CGE-Flood Weighted Av Calcs'!$D$6</f>
        <v>3.2996876186024769E-3</v>
      </c>
      <c r="O785" s="112">
        <f>G785/'CGE-Flood Weighted Av Calcs'!$D$7</f>
        <v>1.4695461934626147E-2</v>
      </c>
      <c r="P785" s="112">
        <f>H785/'CGE-Flood Weighted Av Calcs'!$D$8</f>
        <v>3.5191029691299419E-2</v>
      </c>
      <c r="R785" s="1">
        <f t="shared" si="115"/>
        <v>0.15603356045289751</v>
      </c>
      <c r="S785" s="1">
        <f t="shared" si="116"/>
        <v>0.18099893012536111</v>
      </c>
      <c r="T785" s="1">
        <f t="shared" si="117"/>
        <v>4.3689396926811312</v>
      </c>
    </row>
    <row r="786" spans="1:20">
      <c r="A786">
        <v>733</v>
      </c>
      <c r="B786">
        <v>0.20974725418622331</v>
      </c>
      <c r="C786" s="1">
        <f t="shared" si="111"/>
        <v>81.387252232754406</v>
      </c>
      <c r="D786" s="1">
        <f t="shared" si="120"/>
        <v>261.77755733156073</v>
      </c>
      <c r="E786" s="1">
        <f t="shared" si="118"/>
        <v>313.84623892431881</v>
      </c>
      <c r="F786" s="1">
        <f t="shared" si="112"/>
        <v>16.794115437487012</v>
      </c>
      <c r="G786" s="1">
        <f t="shared" si="119"/>
        <v>12.524224283389966</v>
      </c>
      <c r="H786" s="1">
        <f t="shared" si="113"/>
        <v>4.8992857088730979</v>
      </c>
      <c r="I786" s="1">
        <f t="shared" si="114"/>
        <v>126.44043933020427</v>
      </c>
      <c r="K786" s="112">
        <f>C786/'CGE-Flood Weighted Av Calcs'!$D$3</f>
        <v>1.3718729273669046E-2</v>
      </c>
      <c r="L786" s="112">
        <f>D786/'CGE-Flood Weighted Av Calcs'!$D$4</f>
        <v>1.3446722010662262E-2</v>
      </c>
      <c r="M786" s="112">
        <f>E786/'CGE-Flood Weighted Av Calcs'!$D$5</f>
        <v>1.3444690089773741E-2</v>
      </c>
      <c r="N786" s="112">
        <f>F786/'CGE-Flood Weighted Av Calcs'!$D$6</f>
        <v>4.6421409338685401E-3</v>
      </c>
      <c r="O786" s="112">
        <f>G786/'CGE-Flood Weighted Av Calcs'!$D$7</f>
        <v>2.0674201098383874E-2</v>
      </c>
      <c r="P786" s="112">
        <f>H786/'CGE-Flood Weighted Av Calcs'!$D$8</f>
        <v>4.9508237844694249E-2</v>
      </c>
      <c r="R786" s="1">
        <f t="shared" si="115"/>
        <v>0.21951465161493797</v>
      </c>
      <c r="S786" s="1">
        <f t="shared" si="116"/>
        <v>0.25463699587332805</v>
      </c>
      <c r="T786" s="1">
        <f t="shared" si="117"/>
        <v>6.146410245218263</v>
      </c>
    </row>
    <row r="787" spans="1:20">
      <c r="A787">
        <v>734</v>
      </c>
      <c r="B787">
        <v>0.4833509982691313</v>
      </c>
      <c r="C787" s="1">
        <f t="shared" si="111"/>
        <v>53.2091066338158</v>
      </c>
      <c r="D787" s="1">
        <f t="shared" si="120"/>
        <v>171.14412368364884</v>
      </c>
      <c r="E787" s="1">
        <f t="shared" si="118"/>
        <v>205.18542567069716</v>
      </c>
      <c r="F787" s="1">
        <f t="shared" si="112"/>
        <v>10.979604970300596</v>
      </c>
      <c r="G787" s="1">
        <f t="shared" si="119"/>
        <v>8.1880487068775523</v>
      </c>
      <c r="H787" s="1">
        <f t="shared" si="113"/>
        <v>3.2030398933660624</v>
      </c>
      <c r="I787" s="1">
        <f t="shared" si="114"/>
        <v>82.66384027693897</v>
      </c>
      <c r="K787" s="112">
        <f>C787/'CGE-Flood Weighted Av Calcs'!$D$3</f>
        <v>8.9689884936222583E-3</v>
      </c>
      <c r="L787" s="112">
        <f>D787/'CGE-Flood Weighted Av Calcs'!$D$4</f>
        <v>8.7911564245273452E-3</v>
      </c>
      <c r="M787" s="112">
        <f>E787/'CGE-Flood Weighted Av Calcs'!$D$5</f>
        <v>8.7898280015586017E-3</v>
      </c>
      <c r="N787" s="112">
        <f>F787/'CGE-Flood Weighted Av Calcs'!$D$6</f>
        <v>3.0349245758171115E-3</v>
      </c>
      <c r="O787" s="112">
        <f>G787/'CGE-Flood Weighted Av Calcs'!$D$7</f>
        <v>1.3516315401174586E-2</v>
      </c>
      <c r="P787" s="112">
        <f>H787/'CGE-Flood Weighted Av Calcs'!$D$8</f>
        <v>3.2367342974020177E-2</v>
      </c>
      <c r="R787" s="1">
        <f t="shared" si="115"/>
        <v>0.14351361159190795</v>
      </c>
      <c r="S787" s="1">
        <f t="shared" si="116"/>
        <v>0.16647578944661323</v>
      </c>
      <c r="T787" s="1">
        <f t="shared" si="117"/>
        <v>4.0183811245734233</v>
      </c>
    </row>
    <row r="788" spans="1:20">
      <c r="A788">
        <v>735</v>
      </c>
      <c r="B788">
        <v>0.77903944143062631</v>
      </c>
      <c r="C788" s="1">
        <f t="shared" si="111"/>
        <v>22.756482415328065</v>
      </c>
      <c r="D788" s="1">
        <f t="shared" si="120"/>
        <v>73.194956417827512</v>
      </c>
      <c r="E788" s="1">
        <f t="shared" si="118"/>
        <v>87.753747930610018</v>
      </c>
      <c r="F788" s="1">
        <f t="shared" si="112"/>
        <v>4.6957598659456359</v>
      </c>
      <c r="G788" s="1">
        <f t="shared" si="119"/>
        <v>3.5018664698927733</v>
      </c>
      <c r="H788" s="1">
        <f t="shared" si="113"/>
        <v>1.3698768053109083</v>
      </c>
      <c r="I788" s="1">
        <f t="shared" si="114"/>
        <v>35.353689371099762</v>
      </c>
      <c r="K788" s="112">
        <f>C788/'CGE-Flood Weighted Av Calcs'!$D$3</f>
        <v>3.8358589694622316E-3</v>
      </c>
      <c r="L788" s="112">
        <f>D788/'CGE-Flood Weighted Av Calcs'!$D$4</f>
        <v>3.7598037110815534E-3</v>
      </c>
      <c r="M788" s="112">
        <f>E788/'CGE-Flood Weighted Av Calcs'!$D$5</f>
        <v>3.7592355708544237E-3</v>
      </c>
      <c r="N788" s="112">
        <f>F788/'CGE-Flood Weighted Av Calcs'!$D$6</f>
        <v>1.2979772093662043E-3</v>
      </c>
      <c r="O788" s="112">
        <f>G788/'CGE-Flood Weighted Av Calcs'!$D$7</f>
        <v>5.7806607403436397E-3</v>
      </c>
      <c r="P788" s="112">
        <f>H788/'CGE-Flood Weighted Av Calcs'!$D$8</f>
        <v>1.3842872354317529E-2</v>
      </c>
      <c r="R788" s="1">
        <f t="shared" si="115"/>
        <v>6.137793293593713E-2</v>
      </c>
      <c r="S788" s="1">
        <f t="shared" si="116"/>
        <v>7.1198402205687072E-2</v>
      </c>
      <c r="T788" s="1">
        <f t="shared" si="117"/>
        <v>1.7185821222062403</v>
      </c>
    </row>
    <row r="789" spans="1:20">
      <c r="A789">
        <v>736</v>
      </c>
      <c r="B789">
        <v>0.54767649453448675</v>
      </c>
      <c r="C789" s="1">
        <f t="shared" si="111"/>
        <v>46.584295246220478</v>
      </c>
      <c r="D789" s="1">
        <f t="shared" si="120"/>
        <v>149.83578736253304</v>
      </c>
      <c r="E789" s="1">
        <f t="shared" si="118"/>
        <v>179.63876964606945</v>
      </c>
      <c r="F789" s="1">
        <f t="shared" si="112"/>
        <v>9.6125868668183081</v>
      </c>
      <c r="G789" s="1">
        <f t="shared" si="119"/>
        <v>7.1685939227779851</v>
      </c>
      <c r="H789" s="1">
        <f t="shared" si="113"/>
        <v>2.8042447151924068</v>
      </c>
      <c r="I789" s="1">
        <f t="shared" si="114"/>
        <v>72.371760874482106</v>
      </c>
      <c r="K789" s="112">
        <f>C789/'CGE-Flood Weighted Av Calcs'!$D$3</f>
        <v>7.8523026316198591E-3</v>
      </c>
      <c r="L789" s="112">
        <f>D789/'CGE-Flood Weighted Av Calcs'!$D$4</f>
        <v>7.6966115829432587E-3</v>
      </c>
      <c r="M789" s="112">
        <f>E789/'CGE-Flood Weighted Av Calcs'!$D$5</f>
        <v>7.6954485555650026E-3</v>
      </c>
      <c r="N789" s="112">
        <f>F789/'CGE-Flood Weighted Av Calcs'!$D$6</f>
        <v>2.6570606317983941E-3</v>
      </c>
      <c r="O789" s="112">
        <f>G789/'CGE-Flood Weighted Av Calcs'!$D$7</f>
        <v>1.1833463614087367E-2</v>
      </c>
      <c r="P789" s="112">
        <f>H789/'CGE-Flood Weighted Av Calcs'!$D$8</f>
        <v>2.8337439901296568E-2</v>
      </c>
      <c r="R789" s="1">
        <f t="shared" si="115"/>
        <v>0.1256454181848648</v>
      </c>
      <c r="S789" s="1">
        <f t="shared" si="116"/>
        <v>0.14574868509444314</v>
      </c>
      <c r="T789" s="1">
        <f t="shared" si="117"/>
        <v>3.5180717091762146</v>
      </c>
    </row>
    <row r="790" spans="1:20">
      <c r="A790">
        <v>737</v>
      </c>
      <c r="B790">
        <v>0.42873832812169843</v>
      </c>
      <c r="C790" s="1">
        <f t="shared" si="111"/>
        <v>58.833604851555307</v>
      </c>
      <c r="D790" s="1">
        <f t="shared" si="120"/>
        <v>189.23500848763302</v>
      </c>
      <c r="E790" s="1">
        <f t="shared" si="118"/>
        <v>226.87466523890143</v>
      </c>
      <c r="F790" s="1">
        <f t="shared" si="112"/>
        <v>12.140210221802651</v>
      </c>
      <c r="G790" s="1">
        <f t="shared" si="119"/>
        <v>9.0535709505704922</v>
      </c>
      <c r="H790" s="1">
        <f t="shared" si="113"/>
        <v>3.5416190071927285</v>
      </c>
      <c r="I790" s="1">
        <f t="shared" si="114"/>
        <v>91.40186750052824</v>
      </c>
      <c r="K790" s="112">
        <f>C790/'CGE-Flood Weighted Av Calcs'!$D$3</f>
        <v>9.9170604119213843E-3</v>
      </c>
      <c r="L790" s="112">
        <f>D790/'CGE-Flood Weighted Av Calcs'!$D$4</f>
        <v>9.7204305050321866E-3</v>
      </c>
      <c r="M790" s="112">
        <f>E790/'CGE-Flood Weighted Av Calcs'!$D$5</f>
        <v>9.7189616603745119E-3</v>
      </c>
      <c r="N790" s="112">
        <f>F790/'CGE-Flood Weighted Av Calcs'!$D$6</f>
        <v>3.3557329664772313E-3</v>
      </c>
      <c r="O790" s="112">
        <f>G790/'CGE-Flood Weighted Av Calcs'!$D$7</f>
        <v>1.4945065039981664E-2</v>
      </c>
      <c r="P790" s="112">
        <f>H790/'CGE-Flood Weighted Av Calcs'!$D$8</f>
        <v>3.5788750969519993E-2</v>
      </c>
      <c r="R790" s="1">
        <f t="shared" si="115"/>
        <v>0.15868379774397265</v>
      </c>
      <c r="S790" s="1">
        <f t="shared" si="116"/>
        <v>0.18407320538300825</v>
      </c>
      <c r="T790" s="1">
        <f t="shared" si="117"/>
        <v>4.4431463368312345</v>
      </c>
    </row>
    <row r="791" spans="1:20">
      <c r="A791">
        <v>738</v>
      </c>
      <c r="B791">
        <v>0.88307188341760712</v>
      </c>
      <c r="C791" s="1">
        <f t="shared" si="111"/>
        <v>12.042296806691127</v>
      </c>
      <c r="D791" s="1">
        <f t="shared" si="120"/>
        <v>38.733376004658453</v>
      </c>
      <c r="E791" s="1">
        <f t="shared" si="118"/>
        <v>46.437611015319476</v>
      </c>
      <c r="F791" s="1">
        <f t="shared" si="112"/>
        <v>2.4849066304103573</v>
      </c>
      <c r="G791" s="1">
        <f t="shared" si="119"/>
        <v>1.8531209981488033</v>
      </c>
      <c r="H791" s="1">
        <f t="shared" si="113"/>
        <v>0.72491269859195206</v>
      </c>
      <c r="I791" s="1">
        <f t="shared" si="114"/>
        <v>18.708498653182829</v>
      </c>
      <c r="K791" s="112">
        <f>C791/'CGE-Flood Weighted Av Calcs'!$D$3</f>
        <v>2.0298634637732353E-3</v>
      </c>
      <c r="L791" s="112">
        <f>D791/'CGE-Flood Weighted Av Calcs'!$D$4</f>
        <v>1.9896164704807742E-3</v>
      </c>
      <c r="M791" s="112">
        <f>E791/'CGE-Flood Weighted Av Calcs'!$D$5</f>
        <v>1.9893158215000548E-3</v>
      </c>
      <c r="N791" s="112">
        <f>F791/'CGE-Flood Weighted Av Calcs'!$D$6</f>
        <v>6.8686480266300629E-4</v>
      </c>
      <c r="O791" s="112">
        <f>G791/'CGE-Flood Weighted Av Calcs'!$D$7</f>
        <v>3.0590154973650992E-3</v>
      </c>
      <c r="P791" s="112">
        <f>H791/'CGE-Flood Weighted Av Calcs'!$D$8</f>
        <v>7.3253842358143488E-3</v>
      </c>
      <c r="R791" s="1">
        <f t="shared" si="115"/>
        <v>3.248003238399802E-2</v>
      </c>
      <c r="S791" s="1">
        <f t="shared" si="116"/>
        <v>3.7676837565437715E-2</v>
      </c>
      <c r="T791" s="1">
        <f t="shared" si="117"/>
        <v>0.90944090675194555</v>
      </c>
    </row>
    <row r="792" spans="1:20">
      <c r="A792">
        <v>739</v>
      </c>
      <c r="B792">
        <v>0.28544354799795901</v>
      </c>
      <c r="C792" s="1">
        <f t="shared" si="111"/>
        <v>73.591375040076869</v>
      </c>
      <c r="D792" s="1">
        <f t="shared" si="120"/>
        <v>236.70255316604801</v>
      </c>
      <c r="E792" s="1">
        <f t="shared" si="118"/>
        <v>283.78370862730696</v>
      </c>
      <c r="F792" s="1">
        <f t="shared" si="112"/>
        <v>15.185449977988824</v>
      </c>
      <c r="G792" s="1">
        <f t="shared" si="119"/>
        <v>11.324560800862862</v>
      </c>
      <c r="H792" s="1">
        <f t="shared" si="113"/>
        <v>4.4299956337027817</v>
      </c>
      <c r="I792" s="1">
        <f t="shared" si="114"/>
        <v>114.32903232032655</v>
      </c>
      <c r="K792" s="112">
        <f>C792/'CGE-Flood Weighted Av Calcs'!$D$3</f>
        <v>1.2404647206476806E-2</v>
      </c>
      <c r="L792" s="112">
        <f>D792/'CGE-Flood Weighted Av Calcs'!$D$4</f>
        <v>1.2158694825036152E-2</v>
      </c>
      <c r="M792" s="112">
        <f>E792/'CGE-Flood Weighted Av Calcs'!$D$5</f>
        <v>1.2156857536664119E-2</v>
      </c>
      <c r="N792" s="112">
        <f>F792/'CGE-Flood Weighted Av Calcs'!$D$6</f>
        <v>4.1974821004674041E-3</v>
      </c>
      <c r="O792" s="112">
        <f>G792/'CGE-Flood Weighted Av Calcs'!$D$7</f>
        <v>1.8693872135332149E-2</v>
      </c>
      <c r="P792" s="112">
        <f>H792/'CGE-Flood Weighted Av Calcs'!$D$8</f>
        <v>4.4765970085619118E-2</v>
      </c>
      <c r="R792" s="1">
        <f t="shared" si="115"/>
        <v>0.19848790333390026</v>
      </c>
      <c r="S792" s="1">
        <f t="shared" si="116"/>
        <v>0.23024596786732432</v>
      </c>
      <c r="T792" s="1">
        <f t="shared" si="117"/>
        <v>5.5576612933492076</v>
      </c>
    </row>
    <row r="793" spans="1:20">
      <c r="A793">
        <v>740</v>
      </c>
      <c r="B793">
        <v>0.37464817280480733</v>
      </c>
      <c r="C793" s="1">
        <f t="shared" si="111"/>
        <v>64.404289847469343</v>
      </c>
      <c r="D793" s="1">
        <f t="shared" si="120"/>
        <v>207.15280606511487</v>
      </c>
      <c r="E793" s="1">
        <f t="shared" si="118"/>
        <v>248.35638978711188</v>
      </c>
      <c r="F793" s="1">
        <f t="shared" si="112"/>
        <v>13.289711210233934</v>
      </c>
      <c r="G793" s="1">
        <f t="shared" si="119"/>
        <v>9.9108121816838857</v>
      </c>
      <c r="H793" s="1">
        <f t="shared" si="113"/>
        <v>3.8769587150755265</v>
      </c>
      <c r="I793" s="1">
        <f t="shared" si="114"/>
        <v>100.05629235123081</v>
      </c>
      <c r="K793" s="112">
        <f>C793/'CGE-Flood Weighted Av Calcs'!$D$3</f>
        <v>1.085606151137217E-2</v>
      </c>
      <c r="L793" s="112">
        <f>D793/'CGE-Flood Weighted Av Calcs'!$D$4</f>
        <v>1.0640813617792892E-2</v>
      </c>
      <c r="M793" s="112">
        <f>E793/'CGE-Flood Weighted Av Calcs'!$D$5</f>
        <v>1.0639205694951645E-2</v>
      </c>
      <c r="N793" s="112">
        <f>F793/'CGE-Flood Weighted Av Calcs'!$D$6</f>
        <v>3.6734719752259813E-3</v>
      </c>
      <c r="O793" s="112">
        <f>G793/'CGE-Flood Weighted Av Calcs'!$D$7</f>
        <v>1.6360144904478263E-2</v>
      </c>
      <c r="P793" s="112">
        <f>H793/'CGE-Flood Weighted Av Calcs'!$D$8</f>
        <v>3.9177424136011142E-2</v>
      </c>
      <c r="R793" s="1">
        <f t="shared" si="115"/>
        <v>0.17370884088755351</v>
      </c>
      <c r="S793" s="1">
        <f t="shared" si="116"/>
        <v>0.20150225542956207</v>
      </c>
      <c r="T793" s="1">
        <f t="shared" si="117"/>
        <v>4.8638475448514988</v>
      </c>
    </row>
    <row r="794" spans="1:20">
      <c r="A794">
        <v>741</v>
      </c>
      <c r="B794">
        <v>0.58820693606352892</v>
      </c>
      <c r="C794" s="1">
        <f t="shared" si="111"/>
        <v>42.410110106968347</v>
      </c>
      <c r="D794" s="1">
        <f t="shared" si="120"/>
        <v>136.40975368248994</v>
      </c>
      <c r="E794" s="1">
        <f t="shared" si="118"/>
        <v>163.54224014558295</v>
      </c>
      <c r="F794" s="1">
        <f t="shared" si="112"/>
        <v>8.7512511519134311</v>
      </c>
      <c r="G794" s="1">
        <f t="shared" si="119"/>
        <v>6.5262521622418355</v>
      </c>
      <c r="H794" s="1">
        <f t="shared" si="113"/>
        <v>2.5529704057902016</v>
      </c>
      <c r="I794" s="1">
        <f t="shared" si="114"/>
        <v>65.886890229835359</v>
      </c>
      <c r="K794" s="112">
        <f>C794/'CGE-Flood Weighted Av Calcs'!$D$3</f>
        <v>7.1486971615665734E-3</v>
      </c>
      <c r="L794" s="112">
        <f>D794/'CGE-Flood Weighted Av Calcs'!$D$4</f>
        <v>7.0069568071800866E-3</v>
      </c>
      <c r="M794" s="112">
        <f>E794/'CGE-Flood Weighted Av Calcs'!$D$5</f>
        <v>7.0058979928541735E-3</v>
      </c>
      <c r="N794" s="112">
        <f>F794/'CGE-Flood Weighted Av Calcs'!$D$6</f>
        <v>2.4189747501783521E-3</v>
      </c>
      <c r="O794" s="112">
        <f>G794/'CGE-Flood Weighted Av Calcs'!$D$7</f>
        <v>1.0773126268577949E-2</v>
      </c>
      <c r="P794" s="112">
        <f>H794/'CGE-Flood Weighted Av Calcs'!$D$8</f>
        <v>2.5798263985996241E-2</v>
      </c>
      <c r="R794" s="1">
        <f t="shared" si="115"/>
        <v>0.11438696220457528</v>
      </c>
      <c r="S794" s="1">
        <f t="shared" si="116"/>
        <v>0.13268887615730734</v>
      </c>
      <c r="T794" s="1">
        <f t="shared" si="117"/>
        <v>3.2028349417281086</v>
      </c>
    </row>
    <row r="795" spans="1:20">
      <c r="A795">
        <v>742</v>
      </c>
      <c r="B795">
        <v>0.67740680115809304</v>
      </c>
      <c r="C795" s="1">
        <f t="shared" si="111"/>
        <v>33.223515111840406</v>
      </c>
      <c r="D795" s="1">
        <f t="shared" si="120"/>
        <v>106.8615832744085</v>
      </c>
      <c r="E795" s="1">
        <f t="shared" si="118"/>
        <v>128.11681160922629</v>
      </c>
      <c r="F795" s="1">
        <f t="shared" si="112"/>
        <v>6.855613535540769</v>
      </c>
      <c r="G795" s="1">
        <f t="shared" si="119"/>
        <v>5.1125789767826255</v>
      </c>
      <c r="H795" s="1">
        <f t="shared" si="113"/>
        <v>1.99996299568474</v>
      </c>
      <c r="I795" s="1">
        <f t="shared" si="114"/>
        <v>51.614911814705096</v>
      </c>
      <c r="K795" s="112">
        <f>C795/'CGE-Flood Weighted Av Calcs'!$D$3</f>
        <v>5.6001940947154856E-3</v>
      </c>
      <c r="L795" s="112">
        <f>D795/'CGE-Flood Weighted Av Calcs'!$D$4</f>
        <v>5.4891565898837471E-3</v>
      </c>
      <c r="M795" s="112">
        <f>E795/'CGE-Flood Weighted Av Calcs'!$D$5</f>
        <v>5.4883271288503066E-3</v>
      </c>
      <c r="N795" s="112">
        <f>F795/'CGE-Flood Weighted Av Calcs'!$D$6</f>
        <v>1.8949925846692361E-3</v>
      </c>
      <c r="O795" s="112">
        <f>G795/'CGE-Flood Weighted Av Calcs'!$D$7</f>
        <v>8.4395235589604083E-3</v>
      </c>
      <c r="P795" s="112">
        <f>H795/'CGE-Flood Weighted Av Calcs'!$D$8</f>
        <v>2.0210016225757538E-2</v>
      </c>
      <c r="R795" s="1">
        <f t="shared" si="115"/>
        <v>8.9609221900529695E-2</v>
      </c>
      <c r="S795" s="1">
        <f t="shared" si="116"/>
        <v>0.10394669740461446</v>
      </c>
      <c r="T795" s="1">
        <f t="shared" si="117"/>
        <v>2.509058213214832</v>
      </c>
    </row>
    <row r="796" spans="1:20">
      <c r="A796">
        <v>743</v>
      </c>
      <c r="B796">
        <v>0.24376770869716191</v>
      </c>
      <c r="C796" s="1">
        <f t="shared" si="111"/>
        <v>77.883523423177849</v>
      </c>
      <c r="D796" s="1">
        <f t="shared" si="120"/>
        <v>250.50800904038448</v>
      </c>
      <c r="E796" s="1">
        <f t="shared" si="118"/>
        <v>300.33512902775158</v>
      </c>
      <c r="F796" s="1">
        <f t="shared" si="112"/>
        <v>16.071127199459283</v>
      </c>
      <c r="G796" s="1">
        <f t="shared" si="119"/>
        <v>11.985055258321793</v>
      </c>
      <c r="H796" s="1">
        <f t="shared" si="113"/>
        <v>4.6883710015497195</v>
      </c>
      <c r="I796" s="1">
        <f t="shared" si="114"/>
        <v>120.99716660845409</v>
      </c>
      <c r="K796" s="112">
        <f>C796/'CGE-Flood Weighted Av Calcs'!$D$3</f>
        <v>1.3128136697211587E-2</v>
      </c>
      <c r="L796" s="112">
        <f>D796/'CGE-Flood Weighted Av Calcs'!$D$4</f>
        <v>1.2867839372280676E-2</v>
      </c>
      <c r="M796" s="112">
        <f>E796/'CGE-Flood Weighted Av Calcs'!$D$5</f>
        <v>1.2865894925776172E-2</v>
      </c>
      <c r="N796" s="112">
        <f>F796/'CGE-Flood Weighted Av Calcs'!$D$6</f>
        <v>4.4422963331244942E-3</v>
      </c>
      <c r="O796" s="112">
        <f>G796/'CGE-Flood Weighted Av Calcs'!$D$7</f>
        <v>1.9784174810283751E-2</v>
      </c>
      <c r="P796" s="112">
        <f>H796/'CGE-Flood Weighted Av Calcs'!$D$8</f>
        <v>4.7376903581783571E-2</v>
      </c>
      <c r="R796" s="1">
        <f t="shared" si="115"/>
        <v>0.21006452536189946</v>
      </c>
      <c r="S796" s="1">
        <f t="shared" si="116"/>
        <v>0.24367484941980339</v>
      </c>
      <c r="T796" s="1">
        <f t="shared" si="117"/>
        <v>5.8818067101331852</v>
      </c>
    </row>
    <row r="797" spans="1:20">
      <c r="A797">
        <v>744</v>
      </c>
      <c r="B797">
        <v>0.84275602233162461</v>
      </c>
      <c r="C797" s="1">
        <f t="shared" si="111"/>
        <v>16.194382544535245</v>
      </c>
      <c r="D797" s="1">
        <f t="shared" si="120"/>
        <v>52.088328192694263</v>
      </c>
      <c r="E797" s="1">
        <f t="shared" si="118"/>
        <v>62.448920609443405</v>
      </c>
      <c r="F797" s="1">
        <f t="shared" si="112"/>
        <v>3.3416821729520745</v>
      </c>
      <c r="G797" s="1">
        <f t="shared" si="119"/>
        <v>2.4920620066977612</v>
      </c>
      <c r="H797" s="1">
        <f t="shared" si="113"/>
        <v>0.97485668563380479</v>
      </c>
      <c r="I797" s="1">
        <f t="shared" si="114"/>
        <v>25.159036426940034</v>
      </c>
      <c r="K797" s="112">
        <f>C797/'CGE-Flood Weighted Av Calcs'!$D$3</f>
        <v>2.7297438331908637E-3</v>
      </c>
      <c r="L797" s="112">
        <f>D797/'CGE-Flood Weighted Av Calcs'!$D$4</f>
        <v>2.6756200048126014E-3</v>
      </c>
      <c r="M797" s="112">
        <f>E797/'CGE-Flood Weighted Av Calcs'!$D$5</f>
        <v>2.6752156945150278E-3</v>
      </c>
      <c r="N797" s="112">
        <f>F797/'CGE-Flood Weighted Av Calcs'!$D$6</f>
        <v>9.2369018545705663E-4</v>
      </c>
      <c r="O797" s="112">
        <f>G797/'CGE-Flood Weighted Av Calcs'!$D$7</f>
        <v>4.1137390955574725E-3</v>
      </c>
      <c r="P797" s="112">
        <f>H797/'CGE-Flood Weighted Av Calcs'!$D$8</f>
        <v>9.8511169841429772E-3</v>
      </c>
      <c r="R797" s="1">
        <f t="shared" si="115"/>
        <v>4.3678882685659809E-2</v>
      </c>
      <c r="S797" s="1">
        <f t="shared" si="116"/>
        <v>5.0667503915365397E-2</v>
      </c>
      <c r="T797" s="1">
        <f t="shared" si="117"/>
        <v>1.2230087151984756</v>
      </c>
    </row>
    <row r="798" spans="1:20">
      <c r="A798">
        <v>745</v>
      </c>
      <c r="B798">
        <v>0.72377416808808548</v>
      </c>
      <c r="C798" s="1">
        <f t="shared" si="111"/>
        <v>28.448191511017072</v>
      </c>
      <c r="D798" s="1">
        <f t="shared" si="120"/>
        <v>91.502021261966064</v>
      </c>
      <c r="E798" s="1">
        <f t="shared" si="118"/>
        <v>109.7021666783611</v>
      </c>
      <c r="F798" s="1">
        <f t="shared" si="112"/>
        <v>5.8702339631449387</v>
      </c>
      <c r="G798" s="1">
        <f t="shared" si="119"/>
        <v>4.3777314157488938</v>
      </c>
      <c r="H798" s="1">
        <f t="shared" si="113"/>
        <v>1.712501826632733</v>
      </c>
      <c r="I798" s="1">
        <f t="shared" si="114"/>
        <v>44.196133105906299</v>
      </c>
      <c r="K798" s="112">
        <f>C798/'CGE-Flood Weighted Av Calcs'!$D$3</f>
        <v>4.7952600310060258E-3</v>
      </c>
      <c r="L798" s="112">
        <f>D798/'CGE-Flood Weighted Av Calcs'!$D$4</f>
        <v>4.7001823069384415E-3</v>
      </c>
      <c r="M798" s="112">
        <f>E798/'CGE-Flood Weighted Av Calcs'!$D$5</f>
        <v>4.6994720670300279E-3</v>
      </c>
      <c r="N798" s="112">
        <f>F798/'CGE-Flood Weighted Av Calcs'!$D$6</f>
        <v>1.6226191533061231E-3</v>
      </c>
      <c r="O798" s="112">
        <f>G798/'CGE-Flood Weighted Av Calcs'!$D$7</f>
        <v>7.2264834608509448E-3</v>
      </c>
      <c r="P798" s="112">
        <f>H798/'CGE-Flood Weighted Av Calcs'!$D$8</f>
        <v>1.7305165034334758E-2</v>
      </c>
      <c r="R798" s="1">
        <f t="shared" si="115"/>
        <v>7.6729397753309586E-2</v>
      </c>
      <c r="S798" s="1">
        <f t="shared" si="116"/>
        <v>8.9006101393839104E-2</v>
      </c>
      <c r="T798" s="1">
        <f t="shared" si="117"/>
        <v>2.148423137092669</v>
      </c>
    </row>
    <row r="799" spans="1:20">
      <c r="A799">
        <v>746</v>
      </c>
      <c r="B799">
        <v>8.3427580164211368E-2</v>
      </c>
      <c r="C799" s="1">
        <f t="shared" si="111"/>
        <v>96.841391168865044</v>
      </c>
      <c r="D799" s="1">
        <f t="shared" si="120"/>
        <v>310.81771020083488</v>
      </c>
      <c r="E799" s="1">
        <f t="shared" si="118"/>
        <v>372.61907127989514</v>
      </c>
      <c r="F799" s="1">
        <f t="shared" si="112"/>
        <v>21.166275212770561</v>
      </c>
      <c r="G799" s="1">
        <f t="shared" si="119"/>
        <v>14.947692590912137</v>
      </c>
      <c r="H799" s="1">
        <f t="shared" si="113"/>
        <v>5.8007359239530105</v>
      </c>
      <c r="I799" s="1">
        <f t="shared" si="114"/>
        <v>171.06828573178811</v>
      </c>
      <c r="K799" s="112">
        <f>C799/'CGE-Flood Weighted Av Calcs'!$D$3</f>
        <v>1.6323696788923793E-2</v>
      </c>
      <c r="L799" s="112">
        <f>D799/'CGE-Flood Weighted Av Calcs'!$D$4</f>
        <v>1.5965766460902489E-2</v>
      </c>
      <c r="M799" s="112">
        <f>E799/'CGE-Flood Weighted Av Calcs'!$D$5</f>
        <v>1.596242781837369E-2</v>
      </c>
      <c r="N799" s="112">
        <f>F799/'CGE-Flood Weighted Av Calcs'!$D$6</f>
        <v>5.8506703105901678E-3</v>
      </c>
      <c r="O799" s="112">
        <f>G799/'CGE-Flood Weighted Av Calcs'!$D$7</f>
        <v>2.4674710033034779E-2</v>
      </c>
      <c r="P799" s="112">
        <f>H799/'CGE-Flood Weighted Av Calcs'!$D$8</f>
        <v>5.8617568123697804E-2</v>
      </c>
      <c r="R799" s="1">
        <f t="shared" si="115"/>
        <v>0.26104827989052576</v>
      </c>
      <c r="S799" s="1">
        <f t="shared" si="116"/>
        <v>0.30657241983578865</v>
      </c>
      <c r="T799" s="1">
        <f t="shared" si="117"/>
        <v>7.2762069972631442</v>
      </c>
    </row>
    <row r="800" spans="1:20">
      <c r="A800">
        <v>747</v>
      </c>
      <c r="B800">
        <v>0.95513452848925273</v>
      </c>
      <c r="C800" s="1">
        <f t="shared" si="111"/>
        <v>4.620645060367977</v>
      </c>
      <c r="D800" s="1">
        <f t="shared" si="120"/>
        <v>14.862047114455493</v>
      </c>
      <c r="E800" s="1">
        <f t="shared" si="118"/>
        <v>17.818172180742238</v>
      </c>
      <c r="F800" s="1">
        <f t="shared" si="112"/>
        <v>0.95346192936396434</v>
      </c>
      <c r="G800" s="1">
        <f t="shared" si="119"/>
        <v>0.71104495461386819</v>
      </c>
      <c r="H800" s="1">
        <f t="shared" si="113"/>
        <v>0.27814995209931848</v>
      </c>
      <c r="I800" s="1">
        <f t="shared" si="114"/>
        <v>7.1784754417195415</v>
      </c>
      <c r="K800" s="112">
        <f>C800/'CGE-Flood Weighted Av Calcs'!$D$3</f>
        <v>7.7886127020999614E-4</v>
      </c>
      <c r="L800" s="112">
        <f>D800/'CGE-Flood Weighted Av Calcs'!$D$4</f>
        <v>7.634184461593423E-4</v>
      </c>
      <c r="M800" s="112">
        <f>E800/'CGE-Flood Weighted Av Calcs'!$D$5</f>
        <v>7.6330308675158292E-4</v>
      </c>
      <c r="N800" s="112">
        <f>F800/'CGE-Flood Weighted Av Calcs'!$D$6</f>
        <v>2.6355092458790638E-4</v>
      </c>
      <c r="O800" s="112">
        <f>G800/'CGE-Flood Weighted Av Calcs'!$D$7</f>
        <v>1.1737482537081633E-3</v>
      </c>
      <c r="P800" s="112">
        <f>H800/'CGE-Flood Weighted Av Calcs'!$D$8</f>
        <v>2.8107595276762954E-3</v>
      </c>
      <c r="R800" s="1">
        <f t="shared" si="115"/>
        <v>1.2462630975207556E-2</v>
      </c>
      <c r="S800" s="1">
        <f t="shared" si="116"/>
        <v>1.4456651931240794E-2</v>
      </c>
      <c r="T800" s="1">
        <f t="shared" si="117"/>
        <v>0.34895366730581312</v>
      </c>
    </row>
    <row r="801" spans="1:20">
      <c r="A801">
        <v>748</v>
      </c>
      <c r="B801">
        <v>0.1843295742170995</v>
      </c>
      <c r="C801" s="1">
        <f t="shared" si="111"/>
        <v>84.004990850907831</v>
      </c>
      <c r="D801" s="1">
        <f t="shared" si="120"/>
        <v>270.19736758922801</v>
      </c>
      <c r="E801" s="1">
        <f t="shared" si="118"/>
        <v>323.94078564085919</v>
      </c>
      <c r="F801" s="1">
        <f t="shared" si="112"/>
        <v>17.334281167774975</v>
      </c>
      <c r="G801" s="1">
        <f t="shared" si="119"/>
        <v>12.927053285102478</v>
      </c>
      <c r="H801" s="1">
        <f t="shared" si="113"/>
        <v>5.0568662764637899</v>
      </c>
      <c r="I801" s="1">
        <f t="shared" si="114"/>
        <v>130.50726812526409</v>
      </c>
      <c r="K801" s="112">
        <f>C801/'CGE-Flood Weighted Av Calcs'!$D$3</f>
        <v>1.4159978319760106E-2</v>
      </c>
      <c r="L801" s="112">
        <f>D801/'CGE-Flood Weighted Av Calcs'!$D$4</f>
        <v>1.3879222218363315E-2</v>
      </c>
      <c r="M801" s="112">
        <f>E801/'CGE-Flood Weighted Av Calcs'!$D$5</f>
        <v>1.3877124942795369E-2</v>
      </c>
      <c r="N801" s="112">
        <f>F801/'CGE-Flood Weighted Av Calcs'!$D$6</f>
        <v>4.7914506999575338E-3</v>
      </c>
      <c r="O801" s="112">
        <f>G801/'CGE-Flood Weighted Av Calcs'!$D$7</f>
        <v>2.1339165857974674E-2</v>
      </c>
      <c r="P801" s="112">
        <f>H801/'CGE-Flood Weighted Av Calcs'!$D$8</f>
        <v>5.1100620221139974E-2</v>
      </c>
      <c r="R801" s="1">
        <f t="shared" si="115"/>
        <v>0.22657511827302793</v>
      </c>
      <c r="S801" s="1">
        <f t="shared" si="116"/>
        <v>0.26282713719671236</v>
      </c>
      <c r="T801" s="1">
        <f t="shared" si="117"/>
        <v>6.3441033116447816</v>
      </c>
    </row>
    <row r="802" spans="1:20">
      <c r="A802">
        <v>749</v>
      </c>
      <c r="B802">
        <v>0.87864240625986534</v>
      </c>
      <c r="C802" s="1">
        <f t="shared" si="111"/>
        <v>12.49848373752566</v>
      </c>
      <c r="D802" s="1">
        <f t="shared" si="120"/>
        <v>40.200675823295001</v>
      </c>
      <c r="E802" s="1">
        <f t="shared" si="118"/>
        <v>48.196763076128661</v>
      </c>
      <c r="F802" s="1">
        <f t="shared" si="112"/>
        <v>2.5790399961074613</v>
      </c>
      <c r="G802" s="1">
        <f t="shared" si="119"/>
        <v>1.9233210267796217</v>
      </c>
      <c r="H802" s="1">
        <f t="shared" si="113"/>
        <v>0.7523738801590687</v>
      </c>
      <c r="I802" s="1">
        <f t="shared" si="114"/>
        <v>19.417214998421514</v>
      </c>
      <c r="K802" s="112">
        <f>C802/'CGE-Flood Weighted Av Calcs'!$D$3</f>
        <v>2.1067588599270114E-3</v>
      </c>
      <c r="L802" s="112">
        <f>D802/'CGE-Flood Weighted Av Calcs'!$D$4</f>
        <v>2.0649872278849729E-3</v>
      </c>
      <c r="M802" s="112">
        <f>E802/'CGE-Flood Weighted Av Calcs'!$D$5</f>
        <v>2.0646751897035066E-3</v>
      </c>
      <c r="N802" s="112">
        <f>F802/'CGE-Flood Weighted Av Calcs'!$D$6</f>
        <v>7.1288465180432731E-4</v>
      </c>
      <c r="O802" s="112">
        <f>G802/'CGE-Flood Weighted Av Calcs'!$D$7</f>
        <v>3.1748972858244968E-3</v>
      </c>
      <c r="P802" s="112">
        <f>H802/'CGE-Flood Weighted Av Calcs'!$D$8</f>
        <v>7.6028848326990849E-3</v>
      </c>
      <c r="R802" s="1">
        <f t="shared" si="115"/>
        <v>3.3710442705592952E-2</v>
      </c>
      <c r="S802" s="1">
        <f t="shared" si="116"/>
        <v>3.9104113538487861E-2</v>
      </c>
      <c r="T802" s="1">
        <f t="shared" si="117"/>
        <v>0.94389239575660344</v>
      </c>
    </row>
    <row r="803" spans="1:20">
      <c r="A803">
        <v>750</v>
      </c>
      <c r="B803">
        <v>0.93783873652078076</v>
      </c>
      <c r="C803" s="1">
        <f t="shared" si="111"/>
        <v>6.4019194576542731</v>
      </c>
      <c r="D803" s="1">
        <f t="shared" si="120"/>
        <v>20.591416860534594</v>
      </c>
      <c r="E803" s="1">
        <f t="shared" si="118"/>
        <v>24.68713820114192</v>
      </c>
      <c r="F803" s="1">
        <f t="shared" si="112"/>
        <v>1.3210247482721904</v>
      </c>
      <c r="G803" s="1">
        <f t="shared" si="119"/>
        <v>0.98515520468194495</v>
      </c>
      <c r="H803" s="1">
        <f t="shared" si="113"/>
        <v>0.3853777053259364</v>
      </c>
      <c r="I803" s="1">
        <f t="shared" si="114"/>
        <v>9.9458021566750574</v>
      </c>
      <c r="K803" s="112">
        <f>C803/'CGE-Flood Weighted Av Calcs'!$D$3</f>
        <v>1.0791149407553948E-3</v>
      </c>
      <c r="L803" s="112">
        <f>D803/'CGE-Flood Weighted Av Calcs'!$D$4</f>
        <v>1.0577188554730629E-3</v>
      </c>
      <c r="M803" s="112">
        <f>E803/'CGE-Flood Weighted Av Calcs'!$D$5</f>
        <v>1.057559024620986E-3</v>
      </c>
      <c r="N803" s="112">
        <f>F803/'CGE-Flood Weighted Av Calcs'!$D$6</f>
        <v>3.6515070302061342E-4</v>
      </c>
      <c r="O803" s="112">
        <f>G803/'CGE-Flood Weighted Av Calcs'!$D$7</f>
        <v>1.626232200402689E-3</v>
      </c>
      <c r="P803" s="112">
        <f>H803/'CGE-Flood Weighted Av Calcs'!$D$8</f>
        <v>3.8943168921061898E-3</v>
      </c>
      <c r="R803" s="1">
        <f t="shared" si="115"/>
        <v>1.7267017633116444E-2</v>
      </c>
      <c r="S803" s="1">
        <f t="shared" si="116"/>
        <v>2.0029740454415079E-2</v>
      </c>
      <c r="T803" s="1">
        <f t="shared" si="117"/>
        <v>0.48347649372726131</v>
      </c>
    </row>
    <row r="804" spans="1:20">
      <c r="A804">
        <v>751</v>
      </c>
      <c r="B804">
        <v>0.77020237740139752</v>
      </c>
      <c r="C804" s="1">
        <f t="shared" si="111"/>
        <v>23.666601820738308</v>
      </c>
      <c r="D804" s="1">
        <f t="shared" si="120"/>
        <v>76.122304722289158</v>
      </c>
      <c r="E804" s="1">
        <f t="shared" si="118"/>
        <v>91.263358398145726</v>
      </c>
      <c r="F804" s="1">
        <f t="shared" si="112"/>
        <v>4.8835613942813634</v>
      </c>
      <c r="G804" s="1">
        <f t="shared" si="119"/>
        <v>3.641919601621872</v>
      </c>
      <c r="H804" s="1">
        <f t="shared" si="113"/>
        <v>1.4246634564628922</v>
      </c>
      <c r="I804" s="1">
        <f t="shared" si="114"/>
        <v>36.767619615776368</v>
      </c>
      <c r="K804" s="112">
        <f>C804/'CGE-Flood Weighted Av Calcs'!$D$3</f>
        <v>3.989269748017929E-3</v>
      </c>
      <c r="L804" s="112">
        <f>D804/'CGE-Flood Weighted Av Calcs'!$D$4</f>
        <v>3.9101727468374443E-3</v>
      </c>
      <c r="M804" s="112">
        <f>E804/'CGE-Flood Weighted Av Calcs'!$D$5</f>
        <v>3.9095818844937661E-3</v>
      </c>
      <c r="N804" s="112">
        <f>F804/'CGE-Flood Weighted Av Calcs'!$D$6</f>
        <v>1.3498883186696669E-3</v>
      </c>
      <c r="O804" s="112">
        <f>G804/'CGE-Flood Weighted Av Calcs'!$D$7</f>
        <v>6.0118516344308624E-3</v>
      </c>
      <c r="P804" s="112">
        <f>H804/'CGE-Flood Weighted Av Calcs'!$D$8</f>
        <v>1.4396502152031572E-2</v>
      </c>
      <c r="R804" s="1">
        <f t="shared" si="115"/>
        <v>6.3832672944056229E-2</v>
      </c>
      <c r="S804" s="1">
        <f t="shared" si="116"/>
        <v>7.4045900615105242E-2</v>
      </c>
      <c r="T804" s="1">
        <f t="shared" si="117"/>
        <v>1.7873148424335756</v>
      </c>
    </row>
    <row r="805" spans="1:20">
      <c r="A805">
        <v>752</v>
      </c>
      <c r="B805">
        <v>0.17400052807775979</v>
      </c>
      <c r="C805" s="1">
        <f t="shared" si="111"/>
        <v>85.068767836080497</v>
      </c>
      <c r="D805" s="1">
        <f t="shared" si="120"/>
        <v>273.6189469285531</v>
      </c>
      <c r="E805" s="1">
        <f t="shared" si="118"/>
        <v>328.042931820901</v>
      </c>
      <c r="F805" s="1">
        <f t="shared" si="112"/>
        <v>17.553789665710745</v>
      </c>
      <c r="G805" s="1">
        <f t="shared" si="119"/>
        <v>13.090751913380396</v>
      </c>
      <c r="H805" s="1">
        <f t="shared" si="113"/>
        <v>5.1209026855807833</v>
      </c>
      <c r="I805" s="1">
        <f t="shared" si="114"/>
        <v>132.15991550755842</v>
      </c>
      <c r="K805" s="112">
        <f>C805/'CGE-Flood Weighted Av Calcs'!$D$3</f>
        <v>1.4339289797501216E-2</v>
      </c>
      <c r="L805" s="112">
        <f>D805/'CGE-Flood Weighted Av Calcs'!$D$4</f>
        <v>1.4054978408780571E-2</v>
      </c>
      <c r="M805" s="112">
        <f>E805/'CGE-Flood Weighted Av Calcs'!$D$5</f>
        <v>1.4052854574868196E-2</v>
      </c>
      <c r="N805" s="112">
        <f>F805/'CGE-Flood Weighted Av Calcs'!$D$6</f>
        <v>4.8521260827958049E-3</v>
      </c>
      <c r="O805" s="112">
        <f>G805/'CGE-Flood Weighted Av Calcs'!$D$7</f>
        <v>2.1609389249377501E-2</v>
      </c>
      <c r="P805" s="112">
        <f>H805/'CGE-Flood Weighted Av Calcs'!$D$8</f>
        <v>5.1747720627540537E-2</v>
      </c>
      <c r="R805" s="1">
        <f t="shared" si="115"/>
        <v>0.22944429775617783</v>
      </c>
      <c r="S805" s="1">
        <f t="shared" si="116"/>
        <v>0.26615538539716627</v>
      </c>
      <c r="T805" s="1">
        <f t="shared" si="117"/>
        <v>6.4244403371729799</v>
      </c>
    </row>
    <row r="806" spans="1:20">
      <c r="A806">
        <v>753</v>
      </c>
      <c r="B806">
        <v>0.24230131051179593</v>
      </c>
      <c r="C806" s="1">
        <f t="shared" si="111"/>
        <v>78.034546142957367</v>
      </c>
      <c r="D806" s="1">
        <f t="shared" si="120"/>
        <v>250.99376519507553</v>
      </c>
      <c r="E806" s="1">
        <f t="shared" si="118"/>
        <v>300.9175041699836</v>
      </c>
      <c r="F806" s="1">
        <f t="shared" si="112"/>
        <v>16.102290470365727</v>
      </c>
      <c r="G806" s="1">
        <f t="shared" si="119"/>
        <v>12.008295291158841</v>
      </c>
      <c r="H806" s="1">
        <f t="shared" si="113"/>
        <v>4.6974621482887073</v>
      </c>
      <c r="I806" s="1">
        <f t="shared" si="114"/>
        <v>121.23179031811264</v>
      </c>
      <c r="K806" s="112">
        <f>C806/'CGE-Flood Weighted Av Calcs'!$D$3</f>
        <v>1.3153593261353885E-2</v>
      </c>
      <c r="L806" s="112">
        <f>D806/'CGE-Flood Weighted Av Calcs'!$D$4</f>
        <v>1.2892791197959243E-2</v>
      </c>
      <c r="M806" s="112">
        <f>E806/'CGE-Flood Weighted Av Calcs'!$D$5</f>
        <v>1.2890842981008994E-2</v>
      </c>
      <c r="N806" s="112">
        <f>F806/'CGE-Flood Weighted Av Calcs'!$D$6</f>
        <v>4.4509103203301034E-3</v>
      </c>
      <c r="O806" s="112">
        <f>G806/'CGE-Flood Weighted Av Calcs'!$D$7</f>
        <v>1.9822537993626245E-2</v>
      </c>
      <c r="P806" s="112">
        <f>H806/'CGE-Flood Weighted Av Calcs'!$D$8</f>
        <v>4.7468771393089138E-2</v>
      </c>
      <c r="R806" s="1">
        <f t="shared" si="115"/>
        <v>0.21047185819116779</v>
      </c>
      <c r="S806" s="1">
        <f t="shared" si="116"/>
        <v>0.24414735550175465</v>
      </c>
      <c r="T806" s="1">
        <f t="shared" si="117"/>
        <v>5.8932120293526982</v>
      </c>
    </row>
    <row r="807" spans="1:20">
      <c r="A807">
        <v>754</v>
      </c>
      <c r="B807">
        <v>0.14020853774331909</v>
      </c>
      <c r="C807" s="1">
        <f t="shared" si="111"/>
        <v>88.548967373968608</v>
      </c>
      <c r="D807" s="1">
        <f t="shared" si="120"/>
        <v>284.81281462971782</v>
      </c>
      <c r="E807" s="1">
        <f t="shared" si="118"/>
        <v>341.46330793273592</v>
      </c>
      <c r="F807" s="1">
        <f t="shared" si="112"/>
        <v>18.271922680173912</v>
      </c>
      <c r="G807" s="1">
        <f t="shared" si="119"/>
        <v>13.626300151804882</v>
      </c>
      <c r="H807" s="1">
        <f t="shared" si="113"/>
        <v>5.3304009963388408</v>
      </c>
      <c r="I807" s="1">
        <f t="shared" si="114"/>
        <v>137.56663396106893</v>
      </c>
      <c r="K807" s="112">
        <f>C807/'CGE-Flood Weighted Av Calcs'!$D$3</f>
        <v>1.4925916252736432E-2</v>
      </c>
      <c r="L807" s="112">
        <f>D807/'CGE-Flood Weighted Av Calcs'!$D$4</f>
        <v>1.462997356396512E-2</v>
      </c>
      <c r="M807" s="112">
        <f>E807/'CGE-Flood Weighted Av Calcs'!$D$5</f>
        <v>1.4627762843102481E-2</v>
      </c>
      <c r="N807" s="112">
        <f>F807/'CGE-Flood Weighted Av Calcs'!$D$6</f>
        <v>5.050628628214815E-3</v>
      </c>
      <c r="O807" s="112">
        <f>G807/'CGE-Flood Weighted Av Calcs'!$D$7</f>
        <v>2.2493438570799919E-2</v>
      </c>
      <c r="P807" s="112">
        <f>H807/'CGE-Flood Weighted Av Calcs'!$D$8</f>
        <v>5.3864741926846892E-2</v>
      </c>
      <c r="R807" s="1">
        <f t="shared" si="115"/>
        <v>0.23883096173796692</v>
      </c>
      <c r="S807" s="1">
        <f t="shared" si="116"/>
        <v>0.27704391561604158</v>
      </c>
      <c r="T807" s="1">
        <f t="shared" si="117"/>
        <v>6.6872669286630737</v>
      </c>
    </row>
    <row r="808" spans="1:20">
      <c r="A808">
        <v>755</v>
      </c>
      <c r="B808">
        <v>0.82389315819203024</v>
      </c>
      <c r="C808" s="1">
        <f t="shared" si="111"/>
        <v>18.137047963534144</v>
      </c>
      <c r="D808" s="1">
        <f t="shared" si="120"/>
        <v>58.336803158327257</v>
      </c>
      <c r="E808" s="1">
        <f t="shared" si="118"/>
        <v>69.940244109314108</v>
      </c>
      <c r="F808" s="1">
        <f t="shared" si="112"/>
        <v>3.7425477435180685</v>
      </c>
      <c r="G808" s="1">
        <f t="shared" si="119"/>
        <v>2.7910078089905692</v>
      </c>
      <c r="H808" s="1">
        <f t="shared" si="113"/>
        <v>1.0917997284730472</v>
      </c>
      <c r="I808" s="1">
        <f t="shared" si="114"/>
        <v>28.177094689275137</v>
      </c>
      <c r="K808" s="112">
        <f>C808/'CGE-Flood Weighted Av Calcs'!$D$3</f>
        <v>3.0572017608322521E-3</v>
      </c>
      <c r="L808" s="112">
        <f>D808/'CGE-Flood Weighted Av Calcs'!$D$4</f>
        <v>2.996585280483769E-3</v>
      </c>
      <c r="M808" s="112">
        <f>E808/'CGE-Flood Weighted Av Calcs'!$D$5</f>
        <v>2.9961324694402426E-3</v>
      </c>
      <c r="N808" s="112">
        <f>F808/'CGE-Flood Weighted Av Calcs'!$D$6</f>
        <v>1.0344953350959125E-3</v>
      </c>
      <c r="O808" s="112">
        <f>G808/'CGE-Flood Weighted Av Calcs'!$D$7</f>
        <v>4.6072200085682654E-3</v>
      </c>
      <c r="P808" s="112">
        <f>H808/'CGE-Flood Weighted Av Calcs'!$D$8</f>
        <v>1.1032849245374825E-2</v>
      </c>
      <c r="R808" s="1">
        <f t="shared" si="115"/>
        <v>4.8918567168880461E-2</v>
      </c>
      <c r="S808" s="1">
        <f t="shared" si="116"/>
        <v>5.6745537915901367E-2</v>
      </c>
      <c r="T808" s="1">
        <f t="shared" si="117"/>
        <v>1.3697198807286544</v>
      </c>
    </row>
    <row r="809" spans="1:20">
      <c r="A809">
        <v>756</v>
      </c>
      <c r="B809">
        <v>0.98210824832975152</v>
      </c>
      <c r="C809" s="1">
        <f t="shared" si="111"/>
        <v>1.8426516247948257</v>
      </c>
      <c r="D809" s="1">
        <f t="shared" si="120"/>
        <v>5.9267861749692088</v>
      </c>
      <c r="E809" s="1">
        <f t="shared" si="118"/>
        <v>7.1056494257327358</v>
      </c>
      <c r="F809" s="1">
        <f t="shared" si="112"/>
        <v>0.38022790116291461</v>
      </c>
      <c r="G809" s="1">
        <f t="shared" si="119"/>
        <v>0.2835552447339591</v>
      </c>
      <c r="H809" s="1">
        <f t="shared" si="113"/>
        <v>0.11092249122714382</v>
      </c>
      <c r="I809" s="1">
        <f t="shared" si="114"/>
        <v>2.8626802672397389</v>
      </c>
      <c r="K809" s="112">
        <f>C809/'CGE-Flood Weighted Av Calcs'!$D$3</f>
        <v>3.1059948693135884E-4</v>
      </c>
      <c r="L809" s="112">
        <f>D809/'CGE-Flood Weighted Av Calcs'!$D$4</f>
        <v>3.044410946600229E-4</v>
      </c>
      <c r="M809" s="112">
        <f>E809/'CGE-Flood Weighted Av Calcs'!$D$5</f>
        <v>3.0439509086674886E-4</v>
      </c>
      <c r="N809" s="112">
        <f>F809/'CGE-Flood Weighted Av Calcs'!$D$6</f>
        <v>1.0510059376198999E-4</v>
      </c>
      <c r="O809" s="112">
        <f>G809/'CGE-Flood Weighted Av Calcs'!$D$7</f>
        <v>4.6807514936522411E-4</v>
      </c>
      <c r="P809" s="112">
        <f>H809/'CGE-Flood Weighted Av Calcs'!$D$8</f>
        <v>1.1208934126976204E-3</v>
      </c>
      <c r="R809" s="1">
        <f t="shared" si="115"/>
        <v>4.9699310195134572E-3</v>
      </c>
      <c r="S809" s="1">
        <f t="shared" si="116"/>
        <v>5.7651199826356248E-3</v>
      </c>
      <c r="T809" s="1">
        <f t="shared" si="117"/>
        <v>0.13915806854637758</v>
      </c>
    </row>
    <row r="810" spans="1:20">
      <c r="A810">
        <v>757</v>
      </c>
      <c r="B810">
        <v>0.71279493616406098</v>
      </c>
      <c r="C810" s="1">
        <f t="shared" si="111"/>
        <v>29.578930407725771</v>
      </c>
      <c r="D810" s="1">
        <f t="shared" si="120"/>
        <v>95.138979854863038</v>
      </c>
      <c r="E810" s="1">
        <f t="shared" si="118"/>
        <v>114.06253197147316</v>
      </c>
      <c r="F810" s="1">
        <f t="shared" si="112"/>
        <v>6.1035599329992216</v>
      </c>
      <c r="G810" s="1">
        <f t="shared" si="119"/>
        <v>4.5517344341556676</v>
      </c>
      <c r="H810" s="1">
        <f t="shared" si="113"/>
        <v>1.780569156160813</v>
      </c>
      <c r="I810" s="1">
        <f t="shared" si="114"/>
        <v>45.952810213750226</v>
      </c>
      <c r="K810" s="112">
        <f>C810/'CGE-Flood Weighted Av Calcs'!$D$3</f>
        <v>4.9858586859254867E-3</v>
      </c>
      <c r="L810" s="112">
        <f>D810/'CGE-Flood Weighted Av Calcs'!$D$4</f>
        <v>4.8870018787210336E-3</v>
      </c>
      <c r="M810" s="112">
        <f>E810/'CGE-Flood Weighted Av Calcs'!$D$5</f>
        <v>4.8862634086915538E-3</v>
      </c>
      <c r="N810" s="112">
        <f>F810/'CGE-Flood Weighted Av Calcs'!$D$6</f>
        <v>1.6871138889548629E-3</v>
      </c>
      <c r="O810" s="112">
        <f>G810/'CGE-Flood Weighted Av Calcs'!$D$7</f>
        <v>7.5137166908593204E-3</v>
      </c>
      <c r="P810" s="112">
        <f>H810/'CGE-Flood Weighted Av Calcs'!$D$8</f>
        <v>1.7992998677844492E-2</v>
      </c>
      <c r="R810" s="1">
        <f t="shared" si="115"/>
        <v>7.9779184398871938E-2</v>
      </c>
      <c r="S810" s="1">
        <f t="shared" si="116"/>
        <v>9.2543853902691459E-2</v>
      </c>
      <c r="T810" s="1">
        <f t="shared" si="117"/>
        <v>2.2338171631684149</v>
      </c>
    </row>
    <row r="811" spans="1:20">
      <c r="A811">
        <v>758</v>
      </c>
      <c r="B811">
        <v>0.30746228689433697</v>
      </c>
      <c r="C811" s="1">
        <f t="shared" si="111"/>
        <v>71.323689586404342</v>
      </c>
      <c r="D811" s="1">
        <f t="shared" si="120"/>
        <v>229.40866938728348</v>
      </c>
      <c r="E811" s="1">
        <f t="shared" si="118"/>
        <v>275.03904000692955</v>
      </c>
      <c r="F811" s="1">
        <f t="shared" si="112"/>
        <v>14.717517098574577</v>
      </c>
      <c r="G811" s="1">
        <f t="shared" si="119"/>
        <v>10.975599502295449</v>
      </c>
      <c r="H811" s="1">
        <f t="shared" si="113"/>
        <v>4.2934872908037702</v>
      </c>
      <c r="I811" s="1">
        <f t="shared" si="114"/>
        <v>110.80603409690607</v>
      </c>
      <c r="K811" s="112">
        <f>C811/'CGE-Flood Weighted Av Calcs'!$D$3</f>
        <v>1.2022403526252759E-2</v>
      </c>
      <c r="L811" s="112">
        <f>D811/'CGE-Flood Weighted Av Calcs'!$D$4</f>
        <v>1.1784030057930463E-2</v>
      </c>
      <c r="M811" s="112">
        <f>E811/'CGE-Flood Weighted Av Calcs'!$D$5</f>
        <v>1.1782249384781521E-2</v>
      </c>
      <c r="N811" s="112">
        <f>F811/'CGE-Flood Weighted Av Calcs'!$D$6</f>
        <v>4.0681385585632475E-3</v>
      </c>
      <c r="O811" s="112">
        <f>G811/'CGE-Flood Weighted Av Calcs'!$D$7</f>
        <v>1.8117828789341931E-2</v>
      </c>
      <c r="P811" s="112">
        <f>H811/'CGE-Flood Weighted Av Calcs'!$D$8</f>
        <v>4.338652665046909E-2</v>
      </c>
      <c r="R811" s="1">
        <f t="shared" si="115"/>
        <v>0.19237158697379528</v>
      </c>
      <c r="S811" s="1">
        <f t="shared" si="116"/>
        <v>0.22315104088960253</v>
      </c>
      <c r="T811" s="1">
        <f t="shared" si="117"/>
        <v>5.3864044352662681</v>
      </c>
    </row>
    <row r="812" spans="1:20">
      <c r="A812">
        <v>759</v>
      </c>
      <c r="B812">
        <v>0.16900000140106453</v>
      </c>
      <c r="C812" s="1">
        <f t="shared" si="111"/>
        <v>85.583766522372585</v>
      </c>
      <c r="D812" s="1">
        <f t="shared" si="120"/>
        <v>275.27541147832017</v>
      </c>
      <c r="E812" s="1">
        <f t="shared" si="118"/>
        <v>330.02887429112354</v>
      </c>
      <c r="F812" s="1">
        <f t="shared" si="112"/>
        <v>17.660058733045872</v>
      </c>
      <c r="G812" s="1">
        <f t="shared" si="119"/>
        <v>13.170002150682025</v>
      </c>
      <c r="H812" s="1">
        <f t="shared" si="113"/>
        <v>5.1519041708824806</v>
      </c>
      <c r="I812" s="1">
        <f t="shared" si="114"/>
        <v>132.95999977582969</v>
      </c>
      <c r="K812" s="112">
        <f>C812/'CGE-Flood Weighted Av Calcs'!$D$3</f>
        <v>1.4426098571107816E-2</v>
      </c>
      <c r="L812" s="112">
        <f>D812/'CGE-Flood Weighted Av Calcs'!$D$4</f>
        <v>1.414006598675435E-2</v>
      </c>
      <c r="M812" s="112">
        <f>E812/'CGE-Flood Weighted Av Calcs'!$D$5</f>
        <v>1.4137929295342067E-2</v>
      </c>
      <c r="N812" s="112">
        <f>F812/'CGE-Flood Weighted Av Calcs'!$D$6</f>
        <v>4.8815004186646216E-3</v>
      </c>
      <c r="O812" s="112">
        <f>G812/'CGE-Flood Weighted Av Calcs'!$D$7</f>
        <v>2.1740210552637095E-2</v>
      </c>
      <c r="P812" s="112">
        <f>H812/'CGE-Flood Weighted Av Calcs'!$D$8</f>
        <v>5.2060996684308462E-2</v>
      </c>
      <c r="R812" s="1">
        <f t="shared" si="115"/>
        <v>0.23083333294414873</v>
      </c>
      <c r="S812" s="1">
        <f t="shared" si="116"/>
        <v>0.2677666662152125</v>
      </c>
      <c r="T812" s="1">
        <f t="shared" si="117"/>
        <v>6.4633333224361653</v>
      </c>
    </row>
    <row r="813" spans="1:20">
      <c r="A813">
        <v>760</v>
      </c>
      <c r="B813">
        <v>0.75125857763217696</v>
      </c>
      <c r="C813" s="1">
        <f t="shared" si="111"/>
        <v>25.617602710303913</v>
      </c>
      <c r="D813" s="1">
        <f t="shared" si="120"/>
        <v>82.397590264078787</v>
      </c>
      <c r="E813" s="1">
        <f t="shared" si="118"/>
        <v>98.786825213035172</v>
      </c>
      <c r="F813" s="1">
        <f t="shared" si="112"/>
        <v>5.286146974444474</v>
      </c>
      <c r="G813" s="1">
        <f t="shared" si="119"/>
        <v>3.9421481023720091</v>
      </c>
      <c r="H813" s="1">
        <f t="shared" si="113"/>
        <v>1.54210827139425</v>
      </c>
      <c r="I813" s="1">
        <f t="shared" si="114"/>
        <v>39.798627578851665</v>
      </c>
      <c r="K813" s="112">
        <f>C813/'CGE-Flood Weighted Av Calcs'!$D$3</f>
        <v>4.3181327122090987E-3</v>
      </c>
      <c r="L813" s="112">
        <f>D813/'CGE-Flood Weighted Av Calcs'!$D$4</f>
        <v>4.2325152007824064E-3</v>
      </c>
      <c r="M813" s="112">
        <f>E813/'CGE-Flood Weighted Av Calcs'!$D$5</f>
        <v>4.2318756295887236E-3</v>
      </c>
      <c r="N813" s="112">
        <f>F813/'CGE-Flood Weighted Av Calcs'!$D$6</f>
        <v>1.4611689043019897E-3</v>
      </c>
      <c r="O813" s="112">
        <f>G813/'CGE-Flood Weighted Av Calcs'!$D$7</f>
        <v>6.5074499453143982E-3</v>
      </c>
      <c r="P813" s="112">
        <f>H813/'CGE-Flood Weighted Av Calcs'!$D$8</f>
        <v>1.5583304918140342E-2</v>
      </c>
      <c r="R813" s="1">
        <f t="shared" si="115"/>
        <v>6.9094839546617492E-2</v>
      </c>
      <c r="S813" s="1">
        <f t="shared" si="116"/>
        <v>8.0150013874076304E-2</v>
      </c>
      <c r="T813" s="1">
        <f t="shared" si="117"/>
        <v>1.9346555073052905</v>
      </c>
    </row>
    <row r="814" spans="1:20">
      <c r="A814">
        <v>761</v>
      </c>
      <c r="B814">
        <v>0.86923099872439824</v>
      </c>
      <c r="C814" s="1">
        <f t="shared" si="111"/>
        <v>13.467754142483926</v>
      </c>
      <c r="D814" s="1">
        <f t="shared" si="120"/>
        <v>43.318280018582385</v>
      </c>
      <c r="E814" s="1">
        <f t="shared" si="118"/>
        <v>51.93447214912743</v>
      </c>
      <c r="F814" s="1">
        <f t="shared" si="112"/>
        <v>2.779047228498797</v>
      </c>
      <c r="G814" s="1">
        <f t="shared" si="119"/>
        <v>2.0724765715353666</v>
      </c>
      <c r="H814" s="1">
        <f t="shared" si="113"/>
        <v>0.81072125659420191</v>
      </c>
      <c r="I814" s="1">
        <f t="shared" si="114"/>
        <v>20.923040204096253</v>
      </c>
      <c r="K814" s="112">
        <f>C814/'CGE-Flood Weighted Av Calcs'!$D$3</f>
        <v>2.2701401993113941E-3</v>
      </c>
      <c r="L814" s="112">
        <f>D814/'CGE-Flood Weighted Av Calcs'!$D$4</f>
        <v>2.2251291337864292E-3</v>
      </c>
      <c r="M814" s="112">
        <f>E814/'CGE-Flood Weighted Av Calcs'!$D$5</f>
        <v>2.2247928967196544E-3</v>
      </c>
      <c r="N814" s="112">
        <f>F814/'CGE-Flood Weighted Av Calcs'!$D$6</f>
        <v>7.681695975348485E-4</v>
      </c>
      <c r="O814" s="112">
        <f>G814/'CGE-Flood Weighted Av Calcs'!$D$7</f>
        <v>3.4211138703764783E-3</v>
      </c>
      <c r="P814" s="112">
        <f>H814/'CGE-Flood Weighted Av Calcs'!$D$8</f>
        <v>8.192496454028456E-3</v>
      </c>
      <c r="R814" s="1">
        <f t="shared" si="115"/>
        <v>3.6324722576556029E-2</v>
      </c>
      <c r="S814" s="1">
        <f t="shared" si="116"/>
        <v>4.213667818880501E-2</v>
      </c>
      <c r="T814" s="1">
        <f t="shared" si="117"/>
        <v>1.01709223214357</v>
      </c>
    </row>
    <row r="815" spans="1:20">
      <c r="A815">
        <v>762</v>
      </c>
      <c r="B815">
        <v>0.18394637614616083</v>
      </c>
      <c r="C815" s="1">
        <f t="shared" si="111"/>
        <v>84.044455994458175</v>
      </c>
      <c r="D815" s="1">
        <f t="shared" si="120"/>
        <v>270.32430502224025</v>
      </c>
      <c r="E815" s="1">
        <f t="shared" si="118"/>
        <v>324.09297147502969</v>
      </c>
      <c r="F815" s="1">
        <f t="shared" si="112"/>
        <v>17.342424730290713</v>
      </c>
      <c r="G815" s="1">
        <f t="shared" si="119"/>
        <v>12.933126353004894</v>
      </c>
      <c r="H815" s="1">
        <f t="shared" si="113"/>
        <v>5.0592419680922758</v>
      </c>
      <c r="I815" s="1">
        <f t="shared" si="114"/>
        <v>130.56857981661426</v>
      </c>
      <c r="K815" s="112">
        <f>C815/'CGE-Flood Weighted Av Calcs'!$D$3</f>
        <v>1.4166630609956184E-2</v>
      </c>
      <c r="L815" s="112">
        <f>D815/'CGE-Flood Weighted Av Calcs'!$D$4</f>
        <v>1.3885742610683658E-2</v>
      </c>
      <c r="M815" s="112">
        <f>E815/'CGE-Flood Weighted Av Calcs'!$D$5</f>
        <v>1.3883644349825667E-2</v>
      </c>
      <c r="N815" s="112">
        <f>F815/'CGE-Flood Weighted Av Calcs'!$D$6</f>
        <v>4.7937017006156237E-3</v>
      </c>
      <c r="O815" s="112">
        <f>G815/'CGE-Flood Weighted Av Calcs'!$D$7</f>
        <v>2.1349190896193228E-2</v>
      </c>
      <c r="P815" s="112">
        <f>H815/'CGE-Flood Weighted Av Calcs'!$D$8</f>
        <v>5.1124627048497621E-2</v>
      </c>
      <c r="R815" s="1">
        <f t="shared" si="115"/>
        <v>0.226681562181622</v>
      </c>
      <c r="S815" s="1">
        <f t="shared" si="116"/>
        <v>0.26295061213068149</v>
      </c>
      <c r="T815" s="1">
        <f t="shared" si="117"/>
        <v>6.3470837410854157</v>
      </c>
    </row>
    <row r="816" spans="1:20">
      <c r="A816">
        <v>763</v>
      </c>
      <c r="B816">
        <v>0.93190637372637186</v>
      </c>
      <c r="C816" s="1">
        <f t="shared" si="111"/>
        <v>7.0128869103362348</v>
      </c>
      <c r="D816" s="1">
        <f t="shared" si="120"/>
        <v>22.556559594617511</v>
      </c>
      <c r="E816" s="1">
        <f t="shared" si="118"/>
        <v>27.043156273616319</v>
      </c>
      <c r="F816" s="1">
        <f t="shared" si="112"/>
        <v>1.447096800680896</v>
      </c>
      <c r="G816" s="1">
        <f t="shared" si="119"/>
        <v>1.0791735330726979</v>
      </c>
      <c r="H816" s="1">
        <f t="shared" si="113"/>
        <v>0.42215624284125841</v>
      </c>
      <c r="I816" s="1">
        <f t="shared" si="114"/>
        <v>10.894980203780477</v>
      </c>
      <c r="K816" s="112">
        <f>C816/'CGE-Flood Weighted Av Calcs'!$D$3</f>
        <v>1.1821003205099137E-3</v>
      </c>
      <c r="L816" s="112">
        <f>D816/'CGE-Flood Weighted Av Calcs'!$D$4</f>
        <v>1.1586622989288244E-3</v>
      </c>
      <c r="M816" s="112">
        <f>E816/'CGE-Flood Weighted Av Calcs'!$D$5</f>
        <v>1.158487214612655E-3</v>
      </c>
      <c r="N816" s="112">
        <f>F816/'CGE-Flood Weighted Av Calcs'!$D$6</f>
        <v>3.9999887572025547E-4</v>
      </c>
      <c r="O816" s="112">
        <f>G816/'CGE-Flood Weighted Av Calcs'!$D$7</f>
        <v>1.7814317388413444E-3</v>
      </c>
      <c r="P816" s="112">
        <f>H816/'CGE-Flood Weighted Av Calcs'!$D$8</f>
        <v>4.2659711884847108E-3</v>
      </c>
      <c r="R816" s="1">
        <f t="shared" si="115"/>
        <v>1.8914896187118918E-2</v>
      </c>
      <c r="S816" s="1">
        <f t="shared" si="116"/>
        <v>2.1941279577057937E-2</v>
      </c>
      <c r="T816" s="1">
        <f t="shared" si="117"/>
        <v>0.52961709323933093</v>
      </c>
    </row>
    <row r="817" spans="1:20">
      <c r="A817">
        <v>764</v>
      </c>
      <c r="B817">
        <v>0.57202781513928014</v>
      </c>
      <c r="C817" s="1">
        <f t="shared" si="111"/>
        <v>44.076379794155699</v>
      </c>
      <c r="D817" s="1">
        <f t="shared" si="120"/>
        <v>141.7692171930664</v>
      </c>
      <c r="E817" s="1">
        <f t="shared" si="118"/>
        <v>169.96772398992988</v>
      </c>
      <c r="F817" s="1">
        <f t="shared" si="112"/>
        <v>9.0950829524585757</v>
      </c>
      <c r="G817" s="1">
        <f t="shared" si="119"/>
        <v>6.7826649874256528</v>
      </c>
      <c r="H817" s="1">
        <f t="shared" si="113"/>
        <v>2.6532751960566068</v>
      </c>
      <c r="I817" s="1">
        <f t="shared" si="114"/>
        <v>68.475549577715157</v>
      </c>
      <c r="K817" s="112">
        <f>C817/'CGE-Flood Weighted Av Calcs'!$D$3</f>
        <v>7.4295655052977402E-3</v>
      </c>
      <c r="L817" s="112">
        <f>D817/'CGE-Flood Weighted Av Calcs'!$D$4</f>
        <v>7.2822562510576659E-3</v>
      </c>
      <c r="M817" s="112">
        <f>E817/'CGE-Flood Weighted Av Calcs'!$D$5</f>
        <v>7.281155836504561E-3</v>
      </c>
      <c r="N817" s="112">
        <f>F817/'CGE-Flood Weighted Av Calcs'!$D$6</f>
        <v>2.5140149255074777E-3</v>
      </c>
      <c r="O817" s="112">
        <f>G817/'CGE-Flood Weighted Av Calcs'!$D$7</f>
        <v>1.1196396420253971E-2</v>
      </c>
      <c r="P817" s="112">
        <f>H817/'CGE-Flood Weighted Av Calcs'!$D$8</f>
        <v>2.6811863459176095E-2</v>
      </c>
      <c r="R817" s="1">
        <f t="shared" si="115"/>
        <v>0.11888116246131106</v>
      </c>
      <c r="S817" s="1">
        <f t="shared" si="116"/>
        <v>0.13790214845512083</v>
      </c>
      <c r="T817" s="1">
        <f t="shared" si="117"/>
        <v>3.3286725489167104</v>
      </c>
    </row>
    <row r="818" spans="1:20">
      <c r="A818">
        <v>765</v>
      </c>
      <c r="B818">
        <v>9.7999221213034393E-2</v>
      </c>
      <c r="C818" s="1">
        <f t="shared" si="111"/>
        <v>93.191195086134883</v>
      </c>
      <c r="D818" s="1">
        <f t="shared" si="120"/>
        <v>299.66372768253092</v>
      </c>
      <c r="E818" s="1">
        <f t="shared" si="118"/>
        <v>359.26552154002593</v>
      </c>
      <c r="F818" s="1">
        <f t="shared" si="112"/>
        <v>19.372688298066524</v>
      </c>
      <c r="G818" s="1">
        <f t="shared" si="119"/>
        <v>14.346137579896771</v>
      </c>
      <c r="H818" s="1">
        <f t="shared" si="113"/>
        <v>5.6063676186338975</v>
      </c>
      <c r="I818" s="1">
        <f t="shared" si="114"/>
        <v>147.26793868537715</v>
      </c>
      <c r="K818" s="112">
        <f>C818/'CGE-Flood Weighted Av Calcs'!$D$3</f>
        <v>1.5708415519670803E-2</v>
      </c>
      <c r="L818" s="112">
        <f>D818/'CGE-Flood Weighted Av Calcs'!$D$4</f>
        <v>1.5392820087025779E-2</v>
      </c>
      <c r="M818" s="112">
        <f>E818/'CGE-Flood Weighted Av Calcs'!$D$5</f>
        <v>1.5390382289116244E-2</v>
      </c>
      <c r="N818" s="112">
        <f>F818/'CGE-Flood Weighted Av Calcs'!$D$6</f>
        <v>5.3548964625306558E-3</v>
      </c>
      <c r="O818" s="112">
        <f>G818/'CGE-Flood Weighted Av Calcs'!$D$7</f>
        <v>2.3681700886275397E-2</v>
      </c>
      <c r="P818" s="112">
        <f>H818/'CGE-Flood Weighted Av Calcs'!$D$8</f>
        <v>5.6653438480925418E-2</v>
      </c>
      <c r="R818" s="1">
        <f t="shared" si="115"/>
        <v>0.25133385252464374</v>
      </c>
      <c r="S818" s="1">
        <f t="shared" si="116"/>
        <v>0.29200077878696562</v>
      </c>
      <c r="T818" s="1">
        <f t="shared" si="117"/>
        <v>7.0333463131160938</v>
      </c>
    </row>
    <row r="819" spans="1:20">
      <c r="A819">
        <v>766</v>
      </c>
      <c r="B819">
        <v>0.95724470340048284</v>
      </c>
      <c r="C819" s="1">
        <f t="shared" si="111"/>
        <v>4.4033204908991763</v>
      </c>
      <c r="D819" s="1">
        <f t="shared" si="120"/>
        <v>14.163034758306935</v>
      </c>
      <c r="E819" s="1">
        <f t="shared" si="118"/>
        <v>16.980123261747281</v>
      </c>
      <c r="F819" s="1">
        <f t="shared" si="112"/>
        <v>0.90861738913273271</v>
      </c>
      <c r="G819" s="1">
        <f t="shared" si="119"/>
        <v>0.67760210483520211</v>
      </c>
      <c r="H819" s="1">
        <f t="shared" si="113"/>
        <v>0.26506761883242724</v>
      </c>
      <c r="I819" s="1">
        <f t="shared" si="114"/>
        <v>6.8408474559227272</v>
      </c>
      <c r="K819" s="112">
        <f>C819/'CGE-Flood Weighted Av Calcs'!$D$3</f>
        <v>7.4222878967689272E-4</v>
      </c>
      <c r="L819" s="112">
        <f>D819/'CGE-Flood Weighted Av Calcs'!$D$4</f>
        <v>7.2751229388654589E-4</v>
      </c>
      <c r="M819" s="112">
        <f>E819/'CGE-Flood Weighted Av Calcs'!$D$5</f>
        <v>7.274023602220096E-4</v>
      </c>
      <c r="N819" s="112">
        <f>F819/'CGE-Flood Weighted Av Calcs'!$D$6</f>
        <v>2.511552329754004E-4</v>
      </c>
      <c r="O819" s="112">
        <f>G819/'CGE-Flood Weighted Av Calcs'!$D$7</f>
        <v>1.118542902383998E-3</v>
      </c>
      <c r="P819" s="112">
        <f>H819/'CGE-Flood Weighted Av Calcs'!$D$8</f>
        <v>2.678559997902437E-3</v>
      </c>
      <c r="R819" s="1">
        <f t="shared" si="115"/>
        <v>1.187647127764363E-2</v>
      </c>
      <c r="S819" s="1">
        <f t="shared" si="116"/>
        <v>1.3776706682066653E-2</v>
      </c>
      <c r="T819" s="1">
        <f t="shared" si="117"/>
        <v>0.33254119577402275</v>
      </c>
    </row>
    <row r="820" spans="1:20">
      <c r="A820">
        <v>767</v>
      </c>
      <c r="B820">
        <v>0.97840745428712284</v>
      </c>
      <c r="C820" s="1">
        <f t="shared" si="111"/>
        <v>2.2237922912517831</v>
      </c>
      <c r="D820" s="1">
        <f t="shared" si="120"/>
        <v>7.1527038700338039</v>
      </c>
      <c r="E820" s="1">
        <f t="shared" si="118"/>
        <v>8.575407420836541</v>
      </c>
      <c r="F820" s="1">
        <f t="shared" si="112"/>
        <v>0.45887560304248254</v>
      </c>
      <c r="G820" s="1">
        <f t="shared" si="119"/>
        <v>0.34220682786612144</v>
      </c>
      <c r="H820" s="1">
        <f t="shared" si="113"/>
        <v>0.13386609687809603</v>
      </c>
      <c r="I820" s="1">
        <f t="shared" si="114"/>
        <v>3.4548073140603037</v>
      </c>
      <c r="K820" s="112">
        <f>C820/'CGE-Flood Weighted Av Calcs'!$D$3</f>
        <v>3.7484499805090575E-4</v>
      </c>
      <c r="L820" s="112">
        <f>D820/'CGE-Flood Weighted Av Calcs'!$D$4</f>
        <v>3.674127818494121E-4</v>
      </c>
      <c r="M820" s="112">
        <f>E820/'CGE-Flood Weighted Av Calcs'!$D$5</f>
        <v>3.6735726246665416E-4</v>
      </c>
      <c r="N820" s="112">
        <f>F820/'CGE-Flood Weighted Av Calcs'!$D$6</f>
        <v>1.268399772745558E-4</v>
      </c>
      <c r="O820" s="112">
        <f>G820/'CGE-Flood Weighted Av Calcs'!$D$7</f>
        <v>5.6489349092279744E-4</v>
      </c>
      <c r="P820" s="112">
        <f>H820/'CGE-Flood Weighted Av Calcs'!$D$8</f>
        <v>1.3527430236572322E-3</v>
      </c>
      <c r="R820" s="1">
        <f t="shared" si="115"/>
        <v>5.9979293646880705E-3</v>
      </c>
      <c r="S820" s="1">
        <f t="shared" si="116"/>
        <v>6.9575980630381951E-3</v>
      </c>
      <c r="T820" s="1">
        <f t="shared" si="117"/>
        <v>0.16794202221126753</v>
      </c>
    </row>
    <row r="821" spans="1:20">
      <c r="A821">
        <v>768</v>
      </c>
      <c r="B821">
        <v>0.47958117277352152</v>
      </c>
      <c r="C821" s="1">
        <f t="shared" si="111"/>
        <v>53.597356772913656</v>
      </c>
      <c r="D821" s="1">
        <f t="shared" si="120"/>
        <v>172.39290860092331</v>
      </c>
      <c r="E821" s="1">
        <f t="shared" si="118"/>
        <v>206.68259927681956</v>
      </c>
      <c r="F821" s="1">
        <f t="shared" si="112"/>
        <v>11.059719699275384</v>
      </c>
      <c r="G821" s="1">
        <f t="shared" si="119"/>
        <v>8.2477943265750078</v>
      </c>
      <c r="H821" s="1">
        <f t="shared" si="113"/>
        <v>3.2264114694515933</v>
      </c>
      <c r="I821" s="1">
        <f t="shared" si="114"/>
        <v>83.267012356236535</v>
      </c>
      <c r="K821" s="112">
        <f>C821/'CGE-Flood Weighted Av Calcs'!$D$3</f>
        <v>9.0344323856646567E-3</v>
      </c>
      <c r="L821" s="112">
        <f>D821/'CGE-Flood Weighted Av Calcs'!$D$4</f>
        <v>8.8553027318153642E-3</v>
      </c>
      <c r="M821" s="112">
        <f>E821/'CGE-Flood Weighted Av Calcs'!$D$5</f>
        <v>8.8539646157614529E-3</v>
      </c>
      <c r="N821" s="112">
        <f>F821/'CGE-Flood Weighted Av Calcs'!$D$6</f>
        <v>3.0570694672324402E-3</v>
      </c>
      <c r="O821" s="112">
        <f>G821/'CGE-Flood Weighted Av Calcs'!$D$7</f>
        <v>1.3614939709429024E-2</v>
      </c>
      <c r="P821" s="112">
        <f>H821/'CGE-Flood Weighted Av Calcs'!$D$8</f>
        <v>3.260351730971002E-2</v>
      </c>
      <c r="R821" s="1">
        <f t="shared" si="115"/>
        <v>0.14456078534068845</v>
      </c>
      <c r="S821" s="1">
        <f t="shared" si="116"/>
        <v>0.16769051099519861</v>
      </c>
      <c r="T821" s="1">
        <f t="shared" si="117"/>
        <v>4.0477019895392772</v>
      </c>
    </row>
    <row r="822" spans="1:20">
      <c r="A822">
        <v>769</v>
      </c>
      <c r="B822">
        <v>0.99322695426122787</v>
      </c>
      <c r="C822" s="1">
        <f t="shared" si="111"/>
        <v>0.69754845502977503</v>
      </c>
      <c r="D822" s="1">
        <f t="shared" si="120"/>
        <v>2.2436256989716981</v>
      </c>
      <c r="E822" s="1">
        <f t="shared" si="118"/>
        <v>2.6898924963393256</v>
      </c>
      <c r="F822" s="1">
        <f t="shared" si="112"/>
        <v>0.14393788898915361</v>
      </c>
      <c r="G822" s="1">
        <f t="shared" si="119"/>
        <v>0.1073417895267017</v>
      </c>
      <c r="H822" s="1">
        <f t="shared" si="113"/>
        <v>4.1990472502996035E-2</v>
      </c>
      <c r="I822" s="1">
        <f t="shared" si="114"/>
        <v>1.0836873182035163</v>
      </c>
      <c r="K822" s="112">
        <f>C822/'CGE-Flood Weighted Av Calcs'!$D$3</f>
        <v>1.1757957354859982E-4</v>
      </c>
      <c r="L822" s="112">
        <f>D822/'CGE-Flood Weighted Av Calcs'!$D$4</f>
        <v>1.1524827176776821E-4</v>
      </c>
      <c r="M822" s="112">
        <f>E822/'CGE-Flood Weighted Av Calcs'!$D$5</f>
        <v>1.1523085671519196E-4</v>
      </c>
      <c r="N822" s="112">
        <f>F822/'CGE-Flood Weighted Av Calcs'!$D$6</f>
        <v>3.9786553147044399E-5</v>
      </c>
      <c r="O822" s="112">
        <f>G822/'CGE-Flood Weighted Av Calcs'!$D$7</f>
        <v>1.7719306942455589E-4</v>
      </c>
      <c r="P822" s="112">
        <f>H822/'CGE-Flood Weighted Av Calcs'!$D$8</f>
        <v>4.2432191617736679E-4</v>
      </c>
      <c r="R822" s="1">
        <f t="shared" si="115"/>
        <v>1.8814015941033546E-3</v>
      </c>
      <c r="S822" s="1">
        <f t="shared" si="116"/>
        <v>2.1824258491598969E-3</v>
      </c>
      <c r="T822" s="1">
        <f t="shared" si="117"/>
        <v>5.2679244634894928E-2</v>
      </c>
    </row>
    <row r="823" spans="1:20">
      <c r="A823">
        <v>770</v>
      </c>
      <c r="B823">
        <v>0.50140832472698504</v>
      </c>
      <c r="C823" s="1">
        <f t="shared" ref="C823:C886" si="121">IF($B823&lt;=0.005,$F$5,IF(B823&lt;=0.01,$F$5+($B823-0.005)*SLOPE($E$5:$F$5,$E$4:$F$4),IF($B823&lt;=0.04,$E$5+($B823-0.01)*SLOPE($D$5:$E$5,$D$4:$E$4),IF($B823&lt;=0.1,$D$5+($B823-0.04)*SLOPE($C$5:$D$5,$C$4:$D$4),IF($B823&lt;=1,$C$5+($B823-0.1)*SLOPE($B$5:$C$5,$B$4:$C$4),)))))</f>
        <v>51.349402645617509</v>
      </c>
      <c r="D823" s="1">
        <f t="shared" si="120"/>
        <v>165.16248953290912</v>
      </c>
      <c r="E823" s="1">
        <f t="shared" si="118"/>
        <v>198.01401877100957</v>
      </c>
      <c r="F823" s="1">
        <f t="shared" ref="F823:F886" si="122">IF($B823&lt;=0.005,$F$26,IF($B823&lt;=0.01,$F$26+($B823-0.005)*SLOPE($E$26:$F$26,$E$25:$F$25),IF($B823&lt;=0.04,$E$26+($B823-0.01)*SLOPE($D$26:$E$26,$D$25:$E$25),IF($B823&lt;=0.1,$D$26+($B823-0.04)*SLOPE($C$26:$D$26,$C$25:$D$25),IF($B823&lt;=1,$C$26+($B823-0.1)*SLOPE($B$26:$C$26,$B$25:$C$25),)))))</f>
        <v>10.595858344133166</v>
      </c>
      <c r="G823" s="1">
        <f t="shared" si="119"/>
        <v>7.9018693703114202</v>
      </c>
      <c r="H823" s="1">
        <f t="shared" ref="H823:H886" si="123">IF($B823&lt;=0.005,$F$40,IF($B823&lt;=0.01,$F$40+($B823-0.005)*SLOPE($E$40:$F$40,$E$39:$F$39),IF($B823&lt;=0.04,$E$40+($B823-0.01)*SLOPE($D$40:$E$40,$D$39:$E$39),IF($B823&lt;=0.1,$D$40+($B823-0.04)*SLOPE($C$40:$D$40,$C$39:$D$39),IF($B823&lt;=1,$C$40+($B823-0.1)*SLOPE($B$40:$C$40,$B$39:$C$39),)))))</f>
        <v>3.0910908973972884</v>
      </c>
      <c r="I823" s="1">
        <f t="shared" ref="I823:I886" si="124">IF($B823&lt;=0.005,$F$47,IF($B823&lt;=0.01,$F$47+($B823-0.005)*SLOPE($E$47:$F$47,$E$46:$F$46),IF($B823&lt;=0.04,$E$47+($B823-0.01)*SLOPE($D$47:$E$47,$D$46:$E$46),IF($B823&lt;=0.1,$D$47+($B823-0.04)*SLOPE($C$47:$D$47,$C$46:$D$46),IF($B823&lt;=1,$C$47+($B823-0.1)*SLOPE($B$47:$C$47,$B$46:$C$46),)))))</f>
        <v>79.774668043682382</v>
      </c>
      <c r="K823" s="112">
        <f>C823/'CGE-Flood Weighted Av Calcs'!$D$3</f>
        <v>8.6555146406127898E-3</v>
      </c>
      <c r="L823" s="112">
        <f>D823/'CGE-Flood Weighted Av Calcs'!$D$4</f>
        <v>8.4838979551062777E-3</v>
      </c>
      <c r="M823" s="112">
        <f>E823/'CGE-Flood Weighted Av Calcs'!$D$5</f>
        <v>8.4826159616615271E-3</v>
      </c>
      <c r="N823" s="112">
        <f>F823/'CGE-Flood Weighted Av Calcs'!$D$6</f>
        <v>2.9288513546226564E-3</v>
      </c>
      <c r="O823" s="112">
        <f>G823/'CGE-Flood Weighted Av Calcs'!$D$7</f>
        <v>1.3043908566188648E-2</v>
      </c>
      <c r="P823" s="112">
        <f>H823/'CGE-Flood Weighted Av Calcs'!$D$8</f>
        <v>3.1236076530657027E-2</v>
      </c>
      <c r="R823" s="1">
        <f t="shared" ref="R823:R886" si="125">IF($B823&lt;=0.005,$F$13,IF($B823&lt;=0.01,$F$13+($B823-0.005)*SLOPE($E$13:$F$13,$E$10:$F$10),IF($B823&lt;=0.04,$E$13+($B823-0.01)*SLOPE($D$13:$E$13,$D$10:$E$10),IF($B823&lt;=0.1,$D$13+($B823-0.04)*SLOPE($C$13:$D$13,$C$10:$D$10),IF($B823&lt;=1,$C$13+($B823-0.1)*SLOPE($B$13:$C$13,$B$10:$C$10),)))))</f>
        <v>0.13849768757583747</v>
      </c>
      <c r="S823" s="1">
        <f t="shared" ref="S823:S886" si="126">IF($B823&lt;=0.005,$F$21,IF($B823&lt;=0.01,$F$21+($B823-0.005)*SLOPE($E$21:$F$21,$E$18:$F$18),IF($B823&lt;=0.04,$E$21+($B823-0.01)*SLOPE($D$21:$E$21,$D$18:$E$18),IF($B823&lt;=0.1,$D$21+($B823-0.04)*SLOPE($C$21:$D$21,$C$18:$D$18),IF($B823&lt;=1,$C$21+($B823-0.1)*SLOPE($B$21:$C$21,$B$18:$C$18),)))))</f>
        <v>0.16065731758797147</v>
      </c>
      <c r="T823" s="1">
        <f t="shared" ref="T823:T886" si="127">IF($B823&lt;=0.005,$F$14,IF($B823&lt;=0.01,$F$14+($B823-0.005)*SLOPE($E$14:$F$14,$E$10:$F$10),IF($B823&lt;=0.04,$E$14+($B823-0.01)*SLOPE($D$14:$E$14,$D$10:$E$10),IF($B823&lt;=0.1,$D$14+($B823-0.04)*SLOPE($C$14:$D$14,$C$10:$D$10),IF($B823&lt;=1,$C$14+($B823-0.1)*SLOPE($B$14:$C$14,$B$10:$C$10),)))))</f>
        <v>3.87793525212345</v>
      </c>
    </row>
    <row r="824" spans="1:20">
      <c r="A824">
        <v>771</v>
      </c>
      <c r="B824">
        <v>6.9819294121842734E-2</v>
      </c>
      <c r="C824" s="1">
        <f t="shared" si="121"/>
        <v>100.25026682247839</v>
      </c>
      <c r="D824" s="1">
        <f t="shared" si="120"/>
        <v>321.234284704152</v>
      </c>
      <c r="E824" s="1">
        <f t="shared" ref="E824:E887" si="128">IF($B824&lt;=0.005,$F$19,IF($B824&lt;=0.01,$F$19+($B824-0.005)*SLOPE($E$19:$F$19,$E$18:$F$18),IF($B824&lt;=0.04,$E$19+($B824-0.01)*SLOPE($D$19:$E$19,$D$18:$E$18),IF($B824&lt;=0.1,$D$19+($B824-0.04)*SLOPE($C$19:$D$19,$C$18:$D$18),IF($B824&lt;=1,$C$19+($B824-0.1)*SLOPE($B$19:$C$19,$B$18:$C$18),)))))</f>
        <v>385.08979602066239</v>
      </c>
      <c r="F824" s="1">
        <f t="shared" si="122"/>
        <v>22.841285165003317</v>
      </c>
      <c r="G824" s="1">
        <f t="shared" ref="G824:G887" si="129">IF($B824&lt;=0.005,$F$33,IF($B824&lt;=0.01,$F$33+($B824-0.005)*SLOPE($E$33:$F$33,$E$32:$F$32),IF($B824&lt;=0.04,$E$33+($B824-0.01)*SLOPE($D$33:$E$33,$D$32:$E$32),IF($B824&lt;=0.1,$D$33+($B824-0.04)*SLOPE($C$33:$D$33,$C$32:$D$32),IF($B824&lt;=1,$C$33+($B824-0.1)*SLOPE($B$33:$C$33,$B$32:$C$32),)))))</f>
        <v>15.509477816933643</v>
      </c>
      <c r="H824" s="1">
        <f t="shared" si="123"/>
        <v>5.9822542229208926</v>
      </c>
      <c r="I824" s="1">
        <f t="shared" si="124"/>
        <v>193.29515293432354</v>
      </c>
      <c r="K824" s="112">
        <f>C824/'CGE-Flood Weighted Av Calcs'!$D$3</f>
        <v>1.6898300807815861E-2</v>
      </c>
      <c r="L824" s="112">
        <f>D824/'CGE-Flood Weighted Av Calcs'!$D$4</f>
        <v>1.6500834413546151E-2</v>
      </c>
      <c r="M824" s="112">
        <f>E824/'CGE-Flood Weighted Av Calcs'!$D$5</f>
        <v>1.6496654482708258E-2</v>
      </c>
      <c r="N824" s="112">
        <f>F824/'CGE-Flood Weighted Av Calcs'!$D$6</f>
        <v>6.3136677392335644E-3</v>
      </c>
      <c r="O824" s="112">
        <f>G824/'CGE-Flood Weighted Av Calcs'!$D$7</f>
        <v>2.5602069722071418E-2</v>
      </c>
      <c r="P824" s="112">
        <f>H824/'CGE-Flood Weighted Av Calcs'!$D$8</f>
        <v>6.0451845945501605E-2</v>
      </c>
      <c r="R824" s="1">
        <f t="shared" si="125"/>
        <v>0.2701204705854382</v>
      </c>
      <c r="S824" s="1">
        <f t="shared" si="126"/>
        <v>0.32018070587815728</v>
      </c>
      <c r="T824" s="1">
        <f t="shared" si="127"/>
        <v>7.5030117646359544</v>
      </c>
    </row>
    <row r="825" spans="1:20">
      <c r="A825">
        <v>772</v>
      </c>
      <c r="B825">
        <v>0.40091665739591908</v>
      </c>
      <c r="C825" s="1">
        <f t="shared" si="121"/>
        <v>61.698927806635851</v>
      </c>
      <c r="D825" s="1">
        <f t="shared" ref="D825:D888" si="130">IF($B825&lt;=0.005,$F$11,IF($B825&lt;=0.01,$F$11+($B825-0.005)*SLOPE($E$11:$F$11,$E$10:$F$10),IF($B825&lt;=0.04,$E$11+($B825-0.01)*SLOPE($D$11:$E$11,$D$10:$E$10),IF($B825&lt;=0.1,$D$11+($B825-0.04)*SLOPE($C$11:$D$11,$C$10:$D$10),IF($B825&lt;=1,$C$11+($B825-0.1)*SLOPE($B$11:$C$11,$B$10:$C$10),)))))</f>
        <v>198.45115995570239</v>
      </c>
      <c r="E825" s="1">
        <f t="shared" si="128"/>
        <v>237.92394885623958</v>
      </c>
      <c r="F825" s="1">
        <f t="shared" si="122"/>
        <v>12.731464541775107</v>
      </c>
      <c r="G825" s="1">
        <f t="shared" si="129"/>
        <v>9.4944993066617673</v>
      </c>
      <c r="H825" s="1">
        <f t="shared" si="123"/>
        <v>3.7141034616990147</v>
      </c>
      <c r="I825" s="1">
        <f t="shared" si="124"/>
        <v>95.853334816652932</v>
      </c>
      <c r="K825" s="112">
        <f>C825/'CGE-Flood Weighted Av Calcs'!$D$3</f>
        <v>1.0400042559911381E-2</v>
      </c>
      <c r="L825" s="112">
        <f>D825/'CGE-Flood Weighted Av Calcs'!$D$4</f>
        <v>1.0193836354114668E-2</v>
      </c>
      <c r="M825" s="112">
        <f>E825/'CGE-Flood Weighted Av Calcs'!$D$5</f>
        <v>1.0192295973566481E-2</v>
      </c>
      <c r="N825" s="112">
        <f>F825/'CGE-Flood Weighted Av Calcs'!$D$6</f>
        <v>3.5191643714409123E-3</v>
      </c>
      <c r="O825" s="112">
        <f>G825/'CGE-Flood Weighted Av Calcs'!$D$7</f>
        <v>1.5672921815582573E-2</v>
      </c>
      <c r="P825" s="112">
        <f>H825/'CGE-Flood Weighted Av Calcs'!$D$8</f>
        <v>3.7531740030709838E-2</v>
      </c>
      <c r="R825" s="1">
        <f t="shared" si="125"/>
        <v>0.16641203961224468</v>
      </c>
      <c r="S825" s="1">
        <f t="shared" si="126"/>
        <v>0.19303796595020384</v>
      </c>
      <c r="T825" s="1">
        <f t="shared" si="127"/>
        <v>4.6595371091428515</v>
      </c>
    </row>
    <row r="826" spans="1:20">
      <c r="A826">
        <v>773</v>
      </c>
      <c r="B826">
        <v>0.41163685621339841</v>
      </c>
      <c r="C826" s="1">
        <f t="shared" si="121"/>
        <v>60.59486644175567</v>
      </c>
      <c r="D826" s="1">
        <f t="shared" si="130"/>
        <v>194.90000815595943</v>
      </c>
      <c r="E826" s="1">
        <f t="shared" si="128"/>
        <v>233.66645769634218</v>
      </c>
      <c r="F826" s="1">
        <f t="shared" si="122"/>
        <v>12.503643433392671</v>
      </c>
      <c r="G826" s="1">
        <f t="shared" si="129"/>
        <v>9.3246015428591456</v>
      </c>
      <c r="H826" s="1">
        <f t="shared" si="123"/>
        <v>3.6476420452205813</v>
      </c>
      <c r="I826" s="1">
        <f t="shared" si="124"/>
        <v>94.138103005856237</v>
      </c>
      <c r="K826" s="112">
        <f>C826/'CGE-Flood Weighted Av Calcs'!$D$3</f>
        <v>1.0213940700580969E-2</v>
      </c>
      <c r="L826" s="112">
        <f>D826/'CGE-Flood Weighted Av Calcs'!$D$4</f>
        <v>1.0011424417982473E-2</v>
      </c>
      <c r="M826" s="112">
        <f>E826/'CGE-Flood Weighted Av Calcs'!$D$5</f>
        <v>1.0009911601521881E-2</v>
      </c>
      <c r="N826" s="112">
        <f>F826/'CGE-Flood Weighted Av Calcs'!$D$6</f>
        <v>3.4561912606058676E-3</v>
      </c>
      <c r="O826" s="112">
        <f>G826/'CGE-Flood Weighted Av Calcs'!$D$7</f>
        <v>1.5392465281465765E-2</v>
      </c>
      <c r="P826" s="112">
        <f>H826/'CGE-Flood Weighted Av Calcs'!$D$8</f>
        <v>3.6860134451849574E-2</v>
      </c>
      <c r="R826" s="1">
        <f t="shared" si="125"/>
        <v>0.16343420660738933</v>
      </c>
      <c r="S826" s="1">
        <f t="shared" si="126"/>
        <v>0.18958367966457162</v>
      </c>
      <c r="T826" s="1">
        <f t="shared" si="127"/>
        <v>4.5761577850069015</v>
      </c>
    </row>
    <row r="827" spans="1:20">
      <c r="A827">
        <v>774</v>
      </c>
      <c r="B827">
        <v>0.92434654364751034</v>
      </c>
      <c r="C827" s="1">
        <f t="shared" si="121"/>
        <v>7.7914654103469729</v>
      </c>
      <c r="D827" s="1">
        <f t="shared" si="130"/>
        <v>25.060813913719073</v>
      </c>
      <c r="E827" s="1">
        <f t="shared" si="128"/>
        <v>30.045517543129392</v>
      </c>
      <c r="F827" s="1">
        <f t="shared" si="122"/>
        <v>1.6077550960234142</v>
      </c>
      <c r="G827" s="1">
        <f t="shared" si="129"/>
        <v>1.1989845782775834</v>
      </c>
      <c r="H827" s="1">
        <f t="shared" si="123"/>
        <v>0.46902449817232306</v>
      </c>
      <c r="I827" s="1">
        <f t="shared" si="124"/>
        <v>12.104553016398313</v>
      </c>
      <c r="K827" s="112">
        <f>C827/'CGE-Flood Weighted Av Calcs'!$D$3</f>
        <v>1.3133384120650926E-3</v>
      </c>
      <c r="L827" s="112">
        <f>D827/'CGE-Flood Weighted Av Calcs'!$D$4</f>
        <v>1.2872982752753696E-3</v>
      </c>
      <c r="M827" s="112">
        <f>E827/'CGE-Flood Weighted Av Calcs'!$D$5</f>
        <v>1.2871037529038046E-3</v>
      </c>
      <c r="N827" s="112">
        <f>F827/'CGE-Flood Weighted Av Calcs'!$D$6</f>
        <v>4.4440719552436435E-4</v>
      </c>
      <c r="O827" s="112">
        <f>G827/'CGE-Flood Weighted Av Calcs'!$D$7</f>
        <v>1.9792082706508586E-3</v>
      </c>
      <c r="P827" s="112">
        <f>H827/'CGE-Flood Weighted Av Calcs'!$D$8</f>
        <v>4.7395840517014433E-3</v>
      </c>
      <c r="R827" s="1">
        <f t="shared" si="125"/>
        <v>2.101484898680267E-2</v>
      </c>
      <c r="S827" s="1">
        <f t="shared" si="126"/>
        <v>2.4377224824691124E-2</v>
      </c>
      <c r="T827" s="1">
        <f t="shared" si="127"/>
        <v>0.58841577163047543</v>
      </c>
    </row>
    <row r="828" spans="1:20">
      <c r="A828">
        <v>775</v>
      </c>
      <c r="B828">
        <v>0.76422447106133717</v>
      </c>
      <c r="C828" s="1">
        <f t="shared" si="121"/>
        <v>24.282259752582959</v>
      </c>
      <c r="D828" s="1">
        <f t="shared" si="130"/>
        <v>78.102534120981574</v>
      </c>
      <c r="E828" s="1">
        <f t="shared" si="128"/>
        <v>93.637463937681389</v>
      </c>
      <c r="F828" s="1">
        <f t="shared" si="122"/>
        <v>5.0106013187628378</v>
      </c>
      <c r="G828" s="1">
        <f t="shared" si="129"/>
        <v>3.7366597213425798</v>
      </c>
      <c r="H828" s="1">
        <f t="shared" si="123"/>
        <v>1.4617243477486044</v>
      </c>
      <c r="I828" s="1">
        <f t="shared" si="124"/>
        <v>37.724084630186027</v>
      </c>
      <c r="K828" s="112">
        <f>C828/'CGE-Flood Weighted Av Calcs'!$D$3</f>
        <v>4.0930457603596338E-3</v>
      </c>
      <c r="L828" s="112">
        <f>D828/'CGE-Flood Weighted Av Calcs'!$D$4</f>
        <v>4.0118911466612769E-3</v>
      </c>
      <c r="M828" s="112">
        <f>E828/'CGE-Flood Weighted Av Calcs'!$D$5</f>
        <v>4.0112849137506146E-3</v>
      </c>
      <c r="N828" s="112">
        <f>F828/'CGE-Flood Weighted Av Calcs'!$D$6</f>
        <v>1.3850040254698378E-3</v>
      </c>
      <c r="O828" s="112">
        <f>G828/'CGE-Flood Weighted Av Calcs'!$D$7</f>
        <v>6.1682426605631988E-3</v>
      </c>
      <c r="P828" s="112">
        <f>H828/'CGE-Flood Weighted Av Calcs'!$D$8</f>
        <v>1.4771009688341682E-2</v>
      </c>
      <c r="R828" s="1">
        <f t="shared" si="125"/>
        <v>6.5493202482961893E-2</v>
      </c>
      <c r="S828" s="1">
        <f t="shared" si="126"/>
        <v>7.5972114880235808E-2</v>
      </c>
      <c r="T828" s="1">
        <f t="shared" si="127"/>
        <v>1.8338096695229336</v>
      </c>
    </row>
    <row r="829" spans="1:20">
      <c r="A829">
        <v>776</v>
      </c>
      <c r="B829">
        <v>4.9960427981828426E-2</v>
      </c>
      <c r="C829" s="1">
        <f t="shared" si="121"/>
        <v>105.22491279055198</v>
      </c>
      <c r="D829" s="1">
        <f t="shared" si="130"/>
        <v>336.43541716527233</v>
      </c>
      <c r="E829" s="1">
        <f t="shared" si="128"/>
        <v>403.28859435020979</v>
      </c>
      <c r="F829" s="1">
        <f t="shared" si="122"/>
        <v>25.28566341521184</v>
      </c>
      <c r="G829" s="1">
        <f t="shared" si="129"/>
        <v>16.32930314749062</v>
      </c>
      <c r="H829" s="1">
        <f t="shared" si="123"/>
        <v>6.2471478024608214</v>
      </c>
      <c r="I829" s="1">
        <f t="shared" si="124"/>
        <v>225.73130096301358</v>
      </c>
      <c r="K829" s="112">
        <f>C829/'CGE-Flood Weighted Av Calcs'!$D$3</f>
        <v>1.7736832880052174E-2</v>
      </c>
      <c r="L829" s="112">
        <f>D829/'CGE-Flood Weighted Av Calcs'!$D$4</f>
        <v>1.7281670649224846E-2</v>
      </c>
      <c r="M829" s="112">
        <f>E829/'CGE-Flood Weighted Av Calcs'!$D$5</f>
        <v>1.7276263008162211E-2</v>
      </c>
      <c r="N829" s="112">
        <f>F829/'CGE-Flood Weighted Av Calcs'!$D$6</f>
        <v>6.9893299005059813E-3</v>
      </c>
      <c r="O829" s="112">
        <f>G829/'CGE-Flood Weighted Av Calcs'!$D$7</f>
        <v>2.6955385773107216E-2</v>
      </c>
      <c r="P829" s="112">
        <f>H829/'CGE-Flood Weighted Av Calcs'!$D$8</f>
        <v>6.3128647242401623E-2</v>
      </c>
      <c r="R829" s="1">
        <f t="shared" si="125"/>
        <v>0.28335971467878102</v>
      </c>
      <c r="S829" s="1">
        <f t="shared" si="126"/>
        <v>0.34003957201817153</v>
      </c>
      <c r="T829" s="1">
        <f t="shared" si="127"/>
        <v>7.8339928669695267</v>
      </c>
    </row>
    <row r="830" spans="1:20">
      <c r="A830">
        <v>777</v>
      </c>
      <c r="B830">
        <v>0.93072725585878735</v>
      </c>
      <c r="C830" s="1">
        <f t="shared" si="121"/>
        <v>7.1343229493877942</v>
      </c>
      <c r="D830" s="1">
        <f t="shared" si="130"/>
        <v>22.947151840980951</v>
      </c>
      <c r="E830" s="1">
        <f t="shared" si="128"/>
        <v>27.511438997023731</v>
      </c>
      <c r="F830" s="1">
        <f t="shared" si="122"/>
        <v>1.472154912389481</v>
      </c>
      <c r="G830" s="1">
        <f t="shared" si="129"/>
        <v>1.0978606388226115</v>
      </c>
      <c r="H830" s="1">
        <f t="shared" si="123"/>
        <v>0.4294663538764123</v>
      </c>
      <c r="I830" s="1">
        <f t="shared" si="124"/>
        <v>11.083639062593988</v>
      </c>
      <c r="K830" s="112">
        <f>C830/'CGE-Flood Weighted Av Calcs'!$D$3</f>
        <v>1.2025697195633515E-3</v>
      </c>
      <c r="L830" s="112">
        <f>D830/'CGE-Flood Weighted Av Calcs'!$D$4</f>
        <v>1.1787258422283633E-3</v>
      </c>
      <c r="M830" s="112">
        <f>E830/'CGE-Flood Weighted Av Calcs'!$D$5</f>
        <v>1.178547726129972E-3</v>
      </c>
      <c r="N830" s="112">
        <f>F830/'CGE-Flood Weighted Av Calcs'!$D$6</f>
        <v>4.0692530697654074E-4</v>
      </c>
      <c r="O830" s="112">
        <f>G830/'CGE-Flood Weighted Av Calcs'!$D$7</f>
        <v>1.8122792367365121E-3</v>
      </c>
      <c r="P830" s="112">
        <f>H830/'CGE-Flood Weighted Av Calcs'!$D$8</f>
        <v>4.3398412865571839E-3</v>
      </c>
      <c r="R830" s="1">
        <f t="shared" si="125"/>
        <v>1.9242428928114619E-2</v>
      </c>
      <c r="S830" s="1">
        <f t="shared" si="126"/>
        <v>2.2321217556612982E-2</v>
      </c>
      <c r="T830" s="1">
        <f t="shared" si="127"/>
        <v>0.53878800998721044</v>
      </c>
    </row>
    <row r="831" spans="1:20">
      <c r="A831">
        <v>778</v>
      </c>
      <c r="B831">
        <v>0.50230969774388401</v>
      </c>
      <c r="C831" s="1">
        <f t="shared" si="121"/>
        <v>51.256571240132665</v>
      </c>
      <c r="D831" s="1">
        <f t="shared" si="130"/>
        <v>164.86390249495406</v>
      </c>
      <c r="E831" s="1">
        <f t="shared" si="128"/>
        <v>197.65604148751365</v>
      </c>
      <c r="F831" s="1">
        <f t="shared" si="122"/>
        <v>10.576702747929007</v>
      </c>
      <c r="G831" s="1">
        <f t="shared" si="129"/>
        <v>7.8875840699610702</v>
      </c>
      <c r="H831" s="1">
        <f t="shared" si="123"/>
        <v>3.085502705564422</v>
      </c>
      <c r="I831" s="1">
        <f t="shared" si="124"/>
        <v>79.630448360978548</v>
      </c>
      <c r="K831" s="112">
        <f>C831/'CGE-Flood Weighted Av Calcs'!$D$3</f>
        <v>8.6398668716440238E-3</v>
      </c>
      <c r="L831" s="112">
        <f>D831/'CGE-Flood Weighted Av Calcs'!$D$4</f>
        <v>8.4685604413167227E-3</v>
      </c>
      <c r="M831" s="112">
        <f>E831/'CGE-Flood Weighted Av Calcs'!$D$5</f>
        <v>8.4672807655085391E-3</v>
      </c>
      <c r="N831" s="112">
        <f>F831/'CGE-Flood Weighted Av Calcs'!$D$6</f>
        <v>2.9235564656132896E-3</v>
      </c>
      <c r="O831" s="112">
        <f>G831/'CGE-Flood Weighted Av Calcs'!$D$7</f>
        <v>1.3020327291571453E-2</v>
      </c>
      <c r="P831" s="112">
        <f>H831/'CGE-Flood Weighted Av Calcs'!$D$8</f>
        <v>3.1179606762037029E-2</v>
      </c>
      <c r="R831" s="1">
        <f t="shared" si="125"/>
        <v>0.13824730618225445</v>
      </c>
      <c r="S831" s="1">
        <f t="shared" si="126"/>
        <v>0.16036687517141515</v>
      </c>
      <c r="T831" s="1">
        <f t="shared" si="127"/>
        <v>3.8709245731031245</v>
      </c>
    </row>
    <row r="832" spans="1:20">
      <c r="A832">
        <v>779</v>
      </c>
      <c r="B832">
        <v>0.46420542502710083</v>
      </c>
      <c r="C832" s="1">
        <f t="shared" si="121"/>
        <v>55.180887949153366</v>
      </c>
      <c r="D832" s="1">
        <f t="shared" si="130"/>
        <v>177.48624830587985</v>
      </c>
      <c r="E832" s="1">
        <f t="shared" si="128"/>
        <v>212.78902614648382</v>
      </c>
      <c r="F832" s="1">
        <f t="shared" si="122"/>
        <v>11.386478554539039</v>
      </c>
      <c r="G832" s="1">
        <f t="shared" si="129"/>
        <v>8.4914749899084825</v>
      </c>
      <c r="H832" s="1">
        <f t="shared" si="123"/>
        <v>3.321735632001265</v>
      </c>
      <c r="I832" s="1">
        <f t="shared" si="124"/>
        <v>85.727131995663854</v>
      </c>
      <c r="K832" s="112">
        <f>C832/'CGE-Flood Weighted Av Calcs'!$D$3</f>
        <v>9.3013542303918874E-3</v>
      </c>
      <c r="L832" s="112">
        <f>D832/'CGE-Flood Weighted Av Calcs'!$D$4</f>
        <v>9.1169322000423641E-3</v>
      </c>
      <c r="M832" s="112">
        <f>E832/'CGE-Flood Weighted Av Calcs'!$D$5</f>
        <v>9.1155545494177887E-3</v>
      </c>
      <c r="N832" s="112">
        <f>F832/'CGE-Flood Weighted Av Calcs'!$D$6</f>
        <v>3.1473904289508275E-3</v>
      </c>
      <c r="O832" s="112">
        <f>G832/'CGE-Flood Weighted Av Calcs'!$D$7</f>
        <v>1.4017192409759955E-2</v>
      </c>
      <c r="P832" s="112">
        <f>H832/'CGE-Flood Weighted Av Calcs'!$D$8</f>
        <v>3.3566786568187484E-2</v>
      </c>
      <c r="R832" s="1">
        <f t="shared" si="125"/>
        <v>0.14883182638136089</v>
      </c>
      <c r="S832" s="1">
        <f t="shared" si="126"/>
        <v>0.17264491860237863</v>
      </c>
      <c r="T832" s="1">
        <f t="shared" si="127"/>
        <v>4.1672911386781051</v>
      </c>
    </row>
    <row r="833" spans="1:20">
      <c r="A833">
        <v>780</v>
      </c>
      <c r="B833">
        <v>0.18060192472137238</v>
      </c>
      <c r="C833" s="1">
        <f t="shared" si="121"/>
        <v>84.388897330639992</v>
      </c>
      <c r="D833" s="1">
        <f t="shared" si="130"/>
        <v>271.43218136842569</v>
      </c>
      <c r="E833" s="1">
        <f t="shared" si="128"/>
        <v>325.42120918947637</v>
      </c>
      <c r="F833" s="1">
        <f t="shared" si="122"/>
        <v>17.413499590328211</v>
      </c>
      <c r="G833" s="1">
        <f t="shared" si="129"/>
        <v>12.986130483608479</v>
      </c>
      <c r="H833" s="1">
        <f t="shared" si="123"/>
        <v>5.0799763763639145</v>
      </c>
      <c r="I833" s="1">
        <f t="shared" si="124"/>
        <v>131.10369204458041</v>
      </c>
      <c r="K833" s="112">
        <f>C833/'CGE-Flood Weighted Av Calcs'!$D$3</f>
        <v>1.4224690039561026E-2</v>
      </c>
      <c r="L833" s="112">
        <f>D833/'CGE-Flood Weighted Av Calcs'!$D$4</f>
        <v>1.3942650870510054E-2</v>
      </c>
      <c r="M833" s="112">
        <f>E833/'CGE-Flood Weighted Av Calcs'!$D$5</f>
        <v>1.3940544010301099E-2</v>
      </c>
      <c r="N833" s="112">
        <f>F833/'CGE-Flood Weighted Av Calcs'!$D$6</f>
        <v>4.8133478390727036E-3</v>
      </c>
      <c r="O833" s="112">
        <f>G833/'CGE-Flood Weighted Av Calcs'!$D$7</f>
        <v>2.1436686778600635E-2</v>
      </c>
      <c r="P833" s="112">
        <f>H833/'CGE-Flood Weighted Av Calcs'!$D$8</f>
        <v>5.1334152288967302E-2</v>
      </c>
      <c r="R833" s="1">
        <f t="shared" si="125"/>
        <v>0.22761057646628546</v>
      </c>
      <c r="S833" s="1">
        <f t="shared" si="126"/>
        <v>0.26402826870089113</v>
      </c>
      <c r="T833" s="1">
        <f t="shared" si="127"/>
        <v>6.373096141055993</v>
      </c>
    </row>
    <row r="834" spans="1:20">
      <c r="A834">
        <v>781</v>
      </c>
      <c r="B834">
        <v>0.94845026155465595</v>
      </c>
      <c r="C834" s="1">
        <f t="shared" si="121"/>
        <v>5.3090502849988326</v>
      </c>
      <c r="D834" s="1">
        <f t="shared" si="130"/>
        <v>17.076264122824114</v>
      </c>
      <c r="E834" s="1">
        <f t="shared" si="128"/>
        <v>20.472806471483125</v>
      </c>
      <c r="F834" s="1">
        <f t="shared" si="122"/>
        <v>1.0955131289444182</v>
      </c>
      <c r="G834" s="1">
        <f t="shared" si="129"/>
        <v>0.81697974408774776</v>
      </c>
      <c r="H834" s="1">
        <f t="shared" si="123"/>
        <v>0.31959002762001809</v>
      </c>
      <c r="I834" s="1">
        <f t="shared" si="124"/>
        <v>8.247958151255034</v>
      </c>
      <c r="K834" s="112">
        <f>C834/'CGE-Flood Weighted Av Calcs'!$D$3</f>
        <v>8.9489965027818655E-4</v>
      </c>
      <c r="L834" s="112">
        <f>D834/'CGE-Flood Weighted Av Calcs'!$D$4</f>
        <v>8.7715608236587977E-4</v>
      </c>
      <c r="M834" s="112">
        <f>E834/'CGE-Flood Weighted Av Calcs'!$D$5</f>
        <v>8.7702353617619448E-4</v>
      </c>
      <c r="N834" s="112">
        <f>F834/'CGE-Flood Weighted Av Calcs'!$D$6</f>
        <v>3.0281596898587597E-4</v>
      </c>
      <c r="O834" s="112">
        <f>G834/'CGE-Flood Weighted Av Calcs'!$D$7</f>
        <v>1.3486187360104126E-3</v>
      </c>
      <c r="P834" s="112">
        <f>H834/'CGE-Flood Weighted Av Calcs'!$D$8</f>
        <v>3.2295195749756779E-3</v>
      </c>
      <c r="R834" s="1">
        <f t="shared" si="125"/>
        <v>1.431937179037332E-2</v>
      </c>
      <c r="S834" s="1">
        <f t="shared" si="126"/>
        <v>1.6610471276833072E-2</v>
      </c>
      <c r="T834" s="1">
        <f t="shared" si="127"/>
        <v>0.40094241013045462</v>
      </c>
    </row>
    <row r="835" spans="1:20">
      <c r="A835">
        <v>782</v>
      </c>
      <c r="B835">
        <v>0.69799310054910046</v>
      </c>
      <c r="C835" s="1">
        <f t="shared" si="121"/>
        <v>31.10335501122654</v>
      </c>
      <c r="D835" s="1">
        <f t="shared" si="130"/>
        <v>100.04220656534733</v>
      </c>
      <c r="E835" s="1">
        <f t="shared" si="128"/>
        <v>119.94103155472686</v>
      </c>
      <c r="F835" s="1">
        <f t="shared" si="122"/>
        <v>6.4181222516006837</v>
      </c>
      <c r="G835" s="1">
        <f t="shared" si="129"/>
        <v>4.786319521053068</v>
      </c>
      <c r="H835" s="1">
        <f t="shared" si="123"/>
        <v>1.8723352677973981</v>
      </c>
      <c r="I835" s="1">
        <f t="shared" si="124"/>
        <v>48.321103912143911</v>
      </c>
      <c r="K835" s="112">
        <f>C835/'CGE-Flood Weighted Av Calcs'!$D$3</f>
        <v>5.2428174584583037E-3</v>
      </c>
      <c r="L835" s="112">
        <f>D835/'CGE-Flood Weighted Av Calcs'!$D$4</f>
        <v>5.1388658169563041E-3</v>
      </c>
      <c r="M835" s="112">
        <f>E835/'CGE-Flood Weighted Av Calcs'!$D$5</f>
        <v>5.1380892880157555E-3</v>
      </c>
      <c r="N835" s="112">
        <f>F835/'CGE-Flood Weighted Av Calcs'!$D$6</f>
        <v>1.774063548248794E-3</v>
      </c>
      <c r="O835" s="112">
        <f>G835/'CGE-Flood Weighted Av Calcs'!$D$7</f>
        <v>7.9009549861388736E-3</v>
      </c>
      <c r="P835" s="112">
        <f>H835/'CGE-Flood Weighted Av Calcs'!$D$8</f>
        <v>1.8920313137737833E-2</v>
      </c>
      <c r="R835" s="1">
        <f t="shared" si="125"/>
        <v>8.3890805403027624E-2</v>
      </c>
      <c r="S835" s="1">
        <f t="shared" si="126"/>
        <v>9.7313334267512069E-2</v>
      </c>
      <c r="T835" s="1">
        <f t="shared" si="127"/>
        <v>2.3489425512847744</v>
      </c>
    </row>
    <row r="836" spans="1:20">
      <c r="A836">
        <v>783</v>
      </c>
      <c r="B836">
        <v>0.89542647425840938</v>
      </c>
      <c r="C836" s="1">
        <f t="shared" si="121"/>
        <v>10.769911223320051</v>
      </c>
      <c r="D836" s="1">
        <f t="shared" si="130"/>
        <v>34.640818744631872</v>
      </c>
      <c r="E836" s="1">
        <f t="shared" si="128"/>
        <v>41.531026521466458</v>
      </c>
      <c r="F836" s="1">
        <f t="shared" si="122"/>
        <v>2.2223521174871621</v>
      </c>
      <c r="G836" s="1">
        <f t="shared" si="129"/>
        <v>1.6573207716524241</v>
      </c>
      <c r="H836" s="1">
        <f t="shared" si="123"/>
        <v>0.64831863338185691</v>
      </c>
      <c r="I836" s="1">
        <f t="shared" si="124"/>
        <v>16.731764118654468</v>
      </c>
      <c r="K836" s="112">
        <f>C836/'CGE-Flood Weighted Av Calcs'!$D$3</f>
        <v>1.8153886796870582E-3</v>
      </c>
      <c r="L836" s="112">
        <f>D836/'CGE-Flood Weighted Av Calcs'!$D$4</f>
        <v>1.7793941720176799E-3</v>
      </c>
      <c r="M836" s="112">
        <f>E836/'CGE-Flood Weighted Av Calcs'!$D$5</f>
        <v>1.7791252895209518E-3</v>
      </c>
      <c r="N836" s="112">
        <f>F836/'CGE-Flood Weighted Av Calcs'!$D$6</f>
        <v>6.1429086708720919E-4</v>
      </c>
      <c r="O836" s="112">
        <f>G836/'CGE-Flood Weighted Av Calcs'!$D$7</f>
        <v>2.7358008082874002E-3</v>
      </c>
      <c r="P836" s="112">
        <f>H836/'CGE-Flood Weighted Av Calcs'!$D$8</f>
        <v>6.5513862648355079E-3</v>
      </c>
      <c r="R836" s="1">
        <f t="shared" si="125"/>
        <v>2.9048201594886275E-2</v>
      </c>
      <c r="S836" s="1">
        <f t="shared" si="126"/>
        <v>3.3695913850068093E-2</v>
      </c>
      <c r="T836" s="1">
        <f t="shared" si="127"/>
        <v>0.81334964465681647</v>
      </c>
    </row>
    <row r="837" spans="1:20">
      <c r="A837">
        <v>784</v>
      </c>
      <c r="B837">
        <v>0.84890572391075314</v>
      </c>
      <c r="C837" s="1">
        <f t="shared" si="121"/>
        <v>15.561031611902564</v>
      </c>
      <c r="D837" s="1">
        <f t="shared" si="130"/>
        <v>50.051190243816251</v>
      </c>
      <c r="E837" s="1">
        <f t="shared" si="128"/>
        <v>60.006587164427742</v>
      </c>
      <c r="F837" s="1">
        <f t="shared" si="122"/>
        <v>3.2109913290757568</v>
      </c>
      <c r="G837" s="1">
        <f t="shared" si="129"/>
        <v>2.394599211078356</v>
      </c>
      <c r="H837" s="1">
        <f t="shared" si="123"/>
        <v>0.93673072502175714</v>
      </c>
      <c r="I837" s="1">
        <f t="shared" si="124"/>
        <v>24.175084174279476</v>
      </c>
      <c r="K837" s="112">
        <f>C837/'CGE-Flood Weighted Av Calcs'!$D$3</f>
        <v>2.6229854681932953E-3</v>
      </c>
      <c r="L837" s="112">
        <f>D837/'CGE-Flood Weighted Av Calcs'!$D$4</f>
        <v>2.5709783847472178E-3</v>
      </c>
      <c r="M837" s="112">
        <f>E837/'CGE-Flood Weighted Av Calcs'!$D$5</f>
        <v>2.570589886741549E-3</v>
      </c>
      <c r="N837" s="112">
        <f>F837/'CGE-Flood Weighted Av Calcs'!$D$6</f>
        <v>8.8756531074731968E-4</v>
      </c>
      <c r="O837" s="112">
        <f>G837/'CGE-Flood Weighted Av Calcs'!$D$7</f>
        <v>3.9528536474328661E-3</v>
      </c>
      <c r="P837" s="112">
        <f>H837/'CGE-Flood Weighted Av Calcs'!$D$8</f>
        <v>9.465846714515681E-3</v>
      </c>
      <c r="R837" s="1">
        <f t="shared" si="125"/>
        <v>4.1970632247013001E-2</v>
      </c>
      <c r="S837" s="1">
        <f t="shared" si="126"/>
        <v>4.8685933406535098E-2</v>
      </c>
      <c r="T837" s="1">
        <f t="shared" si="127"/>
        <v>1.1751777029163648</v>
      </c>
    </row>
    <row r="838" spans="1:20">
      <c r="A838">
        <v>785</v>
      </c>
      <c r="B838">
        <v>0.69322909738575822</v>
      </c>
      <c r="C838" s="1">
        <f t="shared" si="121"/>
        <v>31.593994403682309</v>
      </c>
      <c r="D838" s="1">
        <f t="shared" si="130"/>
        <v>101.62032080515971</v>
      </c>
      <c r="E838" s="1">
        <f t="shared" si="128"/>
        <v>121.83303950149946</v>
      </c>
      <c r="F838" s="1">
        <f t="shared" si="122"/>
        <v>6.5193648217702229</v>
      </c>
      <c r="G838" s="1">
        <f t="shared" si="129"/>
        <v>4.8618212442935693</v>
      </c>
      <c r="H838" s="1">
        <f t="shared" si="123"/>
        <v>1.9018703915142461</v>
      </c>
      <c r="I838" s="1">
        <f t="shared" si="124"/>
        <v>49.083344418278671</v>
      </c>
      <c r="K838" s="112">
        <f>C838/'CGE-Flood Weighted Av Calcs'!$D$3</f>
        <v>5.3255202013503811E-3</v>
      </c>
      <c r="L838" s="112">
        <f>D838/'CGE-Flood Weighted Av Calcs'!$D$4</f>
        <v>5.2199287762876396E-3</v>
      </c>
      <c r="M838" s="112">
        <f>E838/'CGE-Flood Weighted Av Calcs'!$D$5</f>
        <v>5.2191399980033321E-3</v>
      </c>
      <c r="N838" s="112">
        <f>F838/'CGE-Flood Weighted Av Calcs'!$D$6</f>
        <v>1.8020484862458857E-3</v>
      </c>
      <c r="O838" s="112">
        <f>G838/'CGE-Flood Weighted Av Calcs'!$D$7</f>
        <v>8.0255884783399685E-3</v>
      </c>
      <c r="P838" s="112">
        <f>H838/'CGE-Flood Weighted Av Calcs'!$D$8</f>
        <v>1.9218771324631879E-2</v>
      </c>
      <c r="R838" s="1">
        <f t="shared" si="125"/>
        <v>8.5214139615067158E-2</v>
      </c>
      <c r="S838" s="1">
        <f t="shared" si="126"/>
        <v>9.884840195347791E-2</v>
      </c>
      <c r="T838" s="1">
        <f t="shared" si="127"/>
        <v>2.3859959092218812</v>
      </c>
    </row>
    <row r="839" spans="1:20">
      <c r="A839">
        <v>786</v>
      </c>
      <c r="B839">
        <v>0.41972519091104843</v>
      </c>
      <c r="C839" s="1">
        <f t="shared" si="121"/>
        <v>59.761857838283248</v>
      </c>
      <c r="D839" s="1">
        <f t="shared" si="130"/>
        <v>192.22068244498001</v>
      </c>
      <c r="E839" s="1">
        <f t="shared" si="128"/>
        <v>230.45420258243621</v>
      </c>
      <c r="F839" s="1">
        <f t="shared" si="122"/>
        <v>12.331753582545666</v>
      </c>
      <c r="G839" s="1">
        <f t="shared" si="129"/>
        <v>9.1964145566460473</v>
      </c>
      <c r="H839" s="1">
        <f t="shared" si="123"/>
        <v>3.5974972493907709</v>
      </c>
      <c r="I839" s="1">
        <f t="shared" si="124"/>
        <v>92.843969454232237</v>
      </c>
      <c r="K839" s="112">
        <f>C839/'CGE-Flood Weighted Av Calcs'!$D$3</f>
        <v>1.0073527807896086E-2</v>
      </c>
      <c r="L839" s="112">
        <f>D839/'CGE-Flood Weighted Av Calcs'!$D$4</f>
        <v>9.8737955533127354E-3</v>
      </c>
      <c r="M839" s="112">
        <f>E839/'CGE-Flood Weighted Av Calcs'!$D$5</f>
        <v>9.8723035338140145E-3</v>
      </c>
      <c r="N839" s="112">
        <f>F839/'CGE-Flood Weighted Av Calcs'!$D$6</f>
        <v>3.4086783733863163E-3</v>
      </c>
      <c r="O839" s="112">
        <f>G839/'CGE-Flood Weighted Av Calcs'!$D$7</f>
        <v>1.5180862273471084E-2</v>
      </c>
      <c r="P839" s="112">
        <f>H839/'CGE-Flood Weighted Av Calcs'!$D$8</f>
        <v>3.6353411507702903E-2</v>
      </c>
      <c r="R839" s="1">
        <f t="shared" si="125"/>
        <v>0.16118744696915321</v>
      </c>
      <c r="S839" s="1">
        <f t="shared" si="126"/>
        <v>0.18697743848421772</v>
      </c>
      <c r="T839" s="1">
        <f t="shared" si="127"/>
        <v>4.51324851513629</v>
      </c>
    </row>
    <row r="840" spans="1:20">
      <c r="A840">
        <v>787</v>
      </c>
      <c r="B840">
        <v>0.61663708790005334</v>
      </c>
      <c r="C840" s="1">
        <f t="shared" si="121"/>
        <v>39.482120358382289</v>
      </c>
      <c r="D840" s="1">
        <f t="shared" si="130"/>
        <v>126.99203796842832</v>
      </c>
      <c r="E840" s="1">
        <f t="shared" si="128"/>
        <v>152.25130028715552</v>
      </c>
      <c r="F840" s="1">
        <f t="shared" si="122"/>
        <v>8.1470656500254215</v>
      </c>
      <c r="G840" s="1">
        <f t="shared" si="129"/>
        <v>6.0756803674614233</v>
      </c>
      <c r="H840" s="1">
        <f t="shared" si="123"/>
        <v>2.3767135850051719</v>
      </c>
      <c r="I840" s="1">
        <f t="shared" si="124"/>
        <v>61.338065935991452</v>
      </c>
      <c r="K840" s="112">
        <f>C840/'CGE-Flood Weighted Av Calcs'!$D$3</f>
        <v>6.6551518264561611E-3</v>
      </c>
      <c r="L840" s="112">
        <f>D840/'CGE-Flood Weighted Av Calcs'!$D$4</f>
        <v>6.5231972119217489E-3</v>
      </c>
      <c r="M840" s="112">
        <f>E840/'CGE-Flood Weighted Av Calcs'!$D$5</f>
        <v>6.5222114980307104E-3</v>
      </c>
      <c r="N840" s="112">
        <f>F840/'CGE-Flood Weighted Av Calcs'!$D$6</f>
        <v>2.2519689760186908E-3</v>
      </c>
      <c r="O840" s="112">
        <f>G840/'CGE-Flood Weighted Av Calcs'!$D$7</f>
        <v>1.0029350711403991E-2</v>
      </c>
      <c r="P840" s="112">
        <f>H840/'CGE-Flood Weighted Av Calcs'!$D$8</f>
        <v>2.4017154427643492E-2</v>
      </c>
      <c r="R840" s="1">
        <f t="shared" si="125"/>
        <v>0.10648969780554074</v>
      </c>
      <c r="S840" s="1">
        <f t="shared" si="126"/>
        <v>0.12352804945442725</v>
      </c>
      <c r="T840" s="1">
        <f t="shared" si="127"/>
        <v>2.9817115385551407</v>
      </c>
    </row>
    <row r="841" spans="1:20">
      <c r="A841">
        <v>788</v>
      </c>
      <c r="B841">
        <v>3.2592773765517946E-2</v>
      </c>
      <c r="C841" s="1">
        <f t="shared" si="121"/>
        <v>117.80864213136456</v>
      </c>
      <c r="D841" s="1">
        <f t="shared" si="130"/>
        <v>375.56089317069609</v>
      </c>
      <c r="E841" s="1">
        <f t="shared" si="128"/>
        <v>450.17695791150487</v>
      </c>
      <c r="F841" s="1">
        <f t="shared" si="122"/>
        <v>27.521675344368667</v>
      </c>
      <c r="G841" s="1">
        <f t="shared" si="129"/>
        <v>17.835783584791013</v>
      </c>
      <c r="H841" s="1">
        <f t="shared" si="123"/>
        <v>6.7642808468908164</v>
      </c>
      <c r="I841" s="1">
        <f t="shared" si="124"/>
        <v>263.72786362114738</v>
      </c>
      <c r="K841" s="112">
        <f>C841/'CGE-Flood Weighted Av Calcs'!$D$3</f>
        <v>1.9857960837364599E-2</v>
      </c>
      <c r="L841" s="112">
        <f>D841/'CGE-Flood Weighted Av Calcs'!$D$4</f>
        <v>1.9291428111792248E-2</v>
      </c>
      <c r="M841" s="112">
        <f>E841/'CGE-Flood Weighted Av Calcs'!$D$5</f>
        <v>1.9284888375344856E-2</v>
      </c>
      <c r="N841" s="112">
        <f>F841/'CGE-Flood Weighted Av Calcs'!$D$6</f>
        <v>7.6073965407880773E-3</v>
      </c>
      <c r="O841" s="112">
        <f>G841/'CGE-Flood Weighted Av Calcs'!$D$7</f>
        <v>2.9442188852227692E-2</v>
      </c>
      <c r="P841" s="112">
        <f>H841/'CGE-Flood Weighted Av Calcs'!$D$8</f>
        <v>6.83543775390901E-2</v>
      </c>
      <c r="R841" s="1">
        <f t="shared" si="125"/>
        <v>0.29987630164597606</v>
      </c>
      <c r="S841" s="1">
        <f t="shared" si="126"/>
        <v>0.35987630164597606</v>
      </c>
      <c r="T841" s="1">
        <f t="shared" si="127"/>
        <v>9.4814452468964117</v>
      </c>
    </row>
    <row r="842" spans="1:20">
      <c r="A842">
        <v>789</v>
      </c>
      <c r="B842">
        <v>0.47549171878423702</v>
      </c>
      <c r="C842" s="1">
        <f t="shared" si="121"/>
        <v>54.018525095432302</v>
      </c>
      <c r="D842" s="1">
        <f t="shared" si="130"/>
        <v>173.74757301911814</v>
      </c>
      <c r="E842" s="1">
        <f t="shared" si="128"/>
        <v>208.30671227179477</v>
      </c>
      <c r="F842" s="1">
        <f t="shared" si="122"/>
        <v>11.146627037131719</v>
      </c>
      <c r="G842" s="1">
        <f t="shared" si="129"/>
        <v>8.3126055394809004</v>
      </c>
      <c r="H842" s="1">
        <f t="shared" si="123"/>
        <v>3.2517646284161521</v>
      </c>
      <c r="I842" s="1">
        <f t="shared" si="124"/>
        <v>83.921324994522053</v>
      </c>
      <c r="K842" s="112">
        <f>C842/'CGE-Flood Weighted Av Calcs'!$D$3</f>
        <v>9.1054250047391365E-3</v>
      </c>
      <c r="L842" s="112">
        <f>D842/'CGE-Flood Weighted Av Calcs'!$D$4</f>
        <v>8.9248877490906604E-3</v>
      </c>
      <c r="M842" s="112">
        <f>E842/'CGE-Flood Weighted Av Calcs'!$D$5</f>
        <v>8.9235391181134837E-3</v>
      </c>
      <c r="N842" s="112">
        <f>F842/'CGE-Flood Weighted Av Calcs'!$D$6</f>
        <v>3.0810919358178297E-3</v>
      </c>
      <c r="O842" s="112">
        <f>G842/'CGE-Flood Weighted Av Calcs'!$D$7</f>
        <v>1.3721925980093598E-2</v>
      </c>
      <c r="P842" s="112">
        <f>H842/'CGE-Flood Weighted Av Calcs'!$D$8</f>
        <v>3.2859715926961193E-2</v>
      </c>
      <c r="R842" s="1">
        <f t="shared" si="125"/>
        <v>0.14569674478215638</v>
      </c>
      <c r="S842" s="1">
        <f t="shared" si="126"/>
        <v>0.16900822394730139</v>
      </c>
      <c r="T842" s="1">
        <f t="shared" si="127"/>
        <v>4.0795088539003785</v>
      </c>
    </row>
    <row r="843" spans="1:20">
      <c r="A843">
        <v>790</v>
      </c>
      <c r="B843">
        <v>0.50710363071592113</v>
      </c>
      <c r="C843" s="1">
        <f t="shared" si="121"/>
        <v>50.762849409934752</v>
      </c>
      <c r="D843" s="1">
        <f t="shared" si="130"/>
        <v>163.27587376607087</v>
      </c>
      <c r="E843" s="1">
        <f t="shared" si="128"/>
        <v>195.75214701716951</v>
      </c>
      <c r="F843" s="1">
        <f t="shared" si="122"/>
        <v>10.47482412218749</v>
      </c>
      <c r="G843" s="1">
        <f t="shared" si="129"/>
        <v>7.811608007796929</v>
      </c>
      <c r="H843" s="1">
        <f t="shared" si="123"/>
        <v>3.0557820276881169</v>
      </c>
      <c r="I843" s="1">
        <f t="shared" si="124"/>
        <v>78.863419085452605</v>
      </c>
      <c r="K843" s="112">
        <f>C843/'CGE-Flood Weighted Av Calcs'!$D$3</f>
        <v>8.5566445494845884E-3</v>
      </c>
      <c r="L843" s="112">
        <f>D843/'CGE-Flood Weighted Av Calcs'!$D$4</f>
        <v>8.3869882046440757E-3</v>
      </c>
      <c r="M843" s="112">
        <f>E843/'CGE-Flood Weighted Av Calcs'!$D$5</f>
        <v>8.3857208551360481E-3</v>
      </c>
      <c r="N843" s="112">
        <f>F843/'CGE-Flood Weighted Av Calcs'!$D$6</f>
        <v>2.895395712485125E-3</v>
      </c>
      <c r="O843" s="112">
        <f>G843/'CGE-Flood Weighted Av Calcs'!$D$7</f>
        <v>1.2894910790532907E-2</v>
      </c>
      <c r="P843" s="112">
        <f>H843/'CGE-Flood Weighted Av Calcs'!$D$8</f>
        <v>3.0879273514163617E-2</v>
      </c>
      <c r="R843" s="1">
        <f t="shared" si="125"/>
        <v>0.13691565813446632</v>
      </c>
      <c r="S843" s="1">
        <f t="shared" si="126"/>
        <v>0.15882216343598096</v>
      </c>
      <c r="T843" s="1">
        <f t="shared" si="127"/>
        <v>3.8336384277650581</v>
      </c>
    </row>
    <row r="844" spans="1:20">
      <c r="A844">
        <v>791</v>
      </c>
      <c r="B844">
        <v>0.49379164622296701</v>
      </c>
      <c r="C844" s="1">
        <f t="shared" si="121"/>
        <v>52.133835901770212</v>
      </c>
      <c r="D844" s="1">
        <f t="shared" si="130"/>
        <v>167.68557534858499</v>
      </c>
      <c r="E844" s="1">
        <f t="shared" si="128"/>
        <v>201.03895720272629</v>
      </c>
      <c r="F844" s="1">
        <f t="shared" si="122"/>
        <v>10.757724758042277</v>
      </c>
      <c r="G844" s="1">
        <f t="shared" si="129"/>
        <v>8.022581370850645</v>
      </c>
      <c r="H844" s="1">
        <f t="shared" si="123"/>
        <v>3.1383115927273497</v>
      </c>
      <c r="I844" s="1">
        <f t="shared" si="124"/>
        <v>80.993336604325265</v>
      </c>
      <c r="K844" s="112">
        <f>C844/'CGE-Flood Weighted Av Calcs'!$D$3</f>
        <v>8.7877396166280222E-3</v>
      </c>
      <c r="L844" s="112">
        <f>D844/'CGE-Flood Weighted Av Calcs'!$D$4</f>
        <v>8.6135012485217908E-3</v>
      </c>
      <c r="M844" s="112">
        <f>E844/'CGE-Flood Weighted Av Calcs'!$D$5</f>
        <v>8.6121996708513147E-3</v>
      </c>
      <c r="N844" s="112">
        <f>F844/'CGE-Flood Weighted Av Calcs'!$D$6</f>
        <v>2.9735936161977279E-3</v>
      </c>
      <c r="O844" s="112">
        <f>G844/'CGE-Flood Weighted Av Calcs'!$D$7</f>
        <v>1.324317233835264E-2</v>
      </c>
      <c r="P844" s="112">
        <f>H844/'CGE-Flood Weighted Av Calcs'!$D$8</f>
        <v>3.1713250868817898E-2</v>
      </c>
      <c r="R844" s="1">
        <f t="shared" si="125"/>
        <v>0.14061343160473139</v>
      </c>
      <c r="S844" s="1">
        <f t="shared" si="126"/>
        <v>0.1631115806614884</v>
      </c>
      <c r="T844" s="1">
        <f t="shared" si="127"/>
        <v>3.9371760849324788</v>
      </c>
    </row>
    <row r="845" spans="1:20">
      <c r="A845">
        <v>792</v>
      </c>
      <c r="B845">
        <v>0.77227900279749173</v>
      </c>
      <c r="C845" s="1">
        <f t="shared" si="121"/>
        <v>23.452732478556115</v>
      </c>
      <c r="D845" s="1">
        <f t="shared" si="130"/>
        <v>75.434405911988364</v>
      </c>
      <c r="E845" s="1">
        <f t="shared" si="128"/>
        <v>90.43863355704724</v>
      </c>
      <c r="F845" s="1">
        <f t="shared" si="122"/>
        <v>4.8394298340847453</v>
      </c>
      <c r="G845" s="1">
        <f t="shared" si="129"/>
        <v>3.6090084572430126</v>
      </c>
      <c r="H845" s="1">
        <f t="shared" si="123"/>
        <v>1.4117891182468441</v>
      </c>
      <c r="I845" s="1">
        <f t="shared" si="124"/>
        <v>36.435359552401295</v>
      </c>
      <c r="K845" s="112">
        <f>C845/'CGE-Flood Weighted Av Calcs'!$D$3</f>
        <v>3.9532196845885308E-3</v>
      </c>
      <c r="L845" s="112">
        <f>D845/'CGE-Flood Weighted Av Calcs'!$D$4</f>
        <v>3.8748374638289617E-3</v>
      </c>
      <c r="M845" s="112">
        <f>E845/'CGE-Flood Weighted Av Calcs'!$D$5</f>
        <v>3.8742519409650151E-3</v>
      </c>
      <c r="N845" s="112">
        <f>F845/'CGE-Flood Weighted Av Calcs'!$D$6</f>
        <v>1.3376897052430308E-3</v>
      </c>
      <c r="O845" s="112">
        <f>G845/'CGE-Flood Weighted Av Calcs'!$D$7</f>
        <v>5.9575239889120201E-3</v>
      </c>
      <c r="P845" s="112">
        <f>H845/'CGE-Flood Weighted Av Calcs'!$D$8</f>
        <v>1.4266404452822323E-2</v>
      </c>
      <c r="R845" s="1">
        <f t="shared" si="125"/>
        <v>6.3255832556252278E-2</v>
      </c>
      <c r="S845" s="1">
        <f t="shared" si="126"/>
        <v>7.3376765765252649E-2</v>
      </c>
      <c r="T845" s="1">
        <f t="shared" si="127"/>
        <v>1.7711633115750649</v>
      </c>
    </row>
    <row r="846" spans="1:20">
      <c r="A846">
        <v>793</v>
      </c>
      <c r="B846">
        <v>0.74535106918772842</v>
      </c>
      <c r="C846" s="1">
        <f t="shared" si="121"/>
        <v>26.226010441099405</v>
      </c>
      <c r="D846" s="1">
        <f t="shared" si="130"/>
        <v>84.354499795485481</v>
      </c>
      <c r="E846" s="1">
        <f t="shared" si="128"/>
        <v>101.13297246342478</v>
      </c>
      <c r="F846" s="1">
        <f t="shared" si="122"/>
        <v>5.4116908327727771</v>
      </c>
      <c r="G846" s="1">
        <f t="shared" si="129"/>
        <v>4.0357725296280051</v>
      </c>
      <c r="H846" s="1">
        <f t="shared" si="123"/>
        <v>1.5787327207875004</v>
      </c>
      <c r="I846" s="1">
        <f t="shared" si="124"/>
        <v>40.743828929963428</v>
      </c>
      <c r="K846" s="112">
        <f>C846/'CGE-Flood Weighted Av Calcs'!$D$3</f>
        <v>4.420686622284853E-3</v>
      </c>
      <c r="L846" s="112">
        <f>D846/'CGE-Flood Weighted Av Calcs'!$D$4</f>
        <v>4.3330357294979853E-3</v>
      </c>
      <c r="M846" s="112">
        <f>E846/'CGE-Flood Weighted Av Calcs'!$D$5</f>
        <v>4.3323809687464427E-3</v>
      </c>
      <c r="N846" s="112">
        <f>F846/'CGE-Flood Weighted Av Calcs'!$D$6</f>
        <v>1.4958710763759489E-3</v>
      </c>
      <c r="O846" s="112">
        <f>G846/'CGE-Flood Weighted Av Calcs'!$D$7</f>
        <v>6.6619992565542605E-3</v>
      </c>
      <c r="P846" s="112">
        <f>H846/'CGE-Flood Weighted Av Calcs'!$D$8</f>
        <v>1.5953402123985695E-2</v>
      </c>
      <c r="R846" s="1">
        <f t="shared" si="125"/>
        <v>7.0735814114519874E-2</v>
      </c>
      <c r="S846" s="1">
        <f t="shared" si="126"/>
        <v>8.2053544372843068E-2</v>
      </c>
      <c r="T846" s="1">
        <f t="shared" si="127"/>
        <v>1.9806027952065568</v>
      </c>
    </row>
    <row r="847" spans="1:20">
      <c r="A847">
        <v>794</v>
      </c>
      <c r="B847">
        <v>0.69401012872903634</v>
      </c>
      <c r="C847" s="1">
        <f t="shared" si="121"/>
        <v>31.513556853450702</v>
      </c>
      <c r="D847" s="1">
        <f t="shared" si="130"/>
        <v>101.36159791134401</v>
      </c>
      <c r="E847" s="1">
        <f t="shared" si="128"/>
        <v>121.52285551179699</v>
      </c>
      <c r="F847" s="1">
        <f t="shared" si="122"/>
        <v>6.5027666756596378</v>
      </c>
      <c r="G847" s="1">
        <f t="shared" si="129"/>
        <v>4.8494431642838638</v>
      </c>
      <c r="H847" s="1">
        <f t="shared" si="123"/>
        <v>1.8970282752184477</v>
      </c>
      <c r="I847" s="1">
        <f t="shared" si="124"/>
        <v>48.958379403354172</v>
      </c>
      <c r="K847" s="112">
        <f>C847/'CGE-Flood Weighted Av Calcs'!$D$3</f>
        <v>5.31196155494334E-3</v>
      </c>
      <c r="L847" s="112">
        <f>D847/'CGE-Flood Weighted Av Calcs'!$D$4</f>
        <v>5.2066389631103879E-3</v>
      </c>
      <c r="M847" s="112">
        <f>E847/'CGE-Flood Weighted Av Calcs'!$D$5</f>
        <v>5.2058521930366305E-3</v>
      </c>
      <c r="N847" s="112">
        <f>F847/'CGE-Flood Weighted Av Calcs'!$D$6</f>
        <v>1.7974605141211802E-3</v>
      </c>
      <c r="O847" s="112">
        <f>G847/'CGE-Flood Weighted Av Calcs'!$D$7</f>
        <v>8.0051555230093996E-3</v>
      </c>
      <c r="P847" s="112">
        <f>H847/'CGE-Flood Weighted Av Calcs'!$D$8</f>
        <v>1.916984079485896E-2</v>
      </c>
      <c r="R847" s="1">
        <f t="shared" si="125"/>
        <v>8.4997186464156549E-2</v>
      </c>
      <c r="S847" s="1">
        <f t="shared" si="126"/>
        <v>9.8596736298421611E-2</v>
      </c>
      <c r="T847" s="1">
        <f t="shared" si="127"/>
        <v>2.3799212209963843</v>
      </c>
    </row>
    <row r="848" spans="1:20">
      <c r="A848">
        <v>795</v>
      </c>
      <c r="B848">
        <v>0.77889648155146485</v>
      </c>
      <c r="C848" s="1">
        <f t="shared" si="121"/>
        <v>22.771205694438592</v>
      </c>
      <c r="D848" s="1">
        <f t="shared" si="130"/>
        <v>73.242313023877358</v>
      </c>
      <c r="E848" s="1">
        <f t="shared" si="128"/>
        <v>87.810523969199664</v>
      </c>
      <c r="F848" s="1">
        <f t="shared" si="122"/>
        <v>4.6987979885289306</v>
      </c>
      <c r="G848" s="1">
        <f t="shared" si="129"/>
        <v>3.5041321521060009</v>
      </c>
      <c r="H848" s="1">
        <f t="shared" si="123"/>
        <v>1.3707631056706706</v>
      </c>
      <c r="I848" s="1">
        <f t="shared" si="124"/>
        <v>35.376562951765607</v>
      </c>
      <c r="K848" s="112">
        <f>C848/'CGE-Flood Weighted Av Calcs'!$D$3</f>
        <v>3.8383407424008283E-3</v>
      </c>
      <c r="L848" s="112">
        <f>D848/'CGE-Flood Weighted Av Calcs'!$D$4</f>
        <v>3.7622362768194718E-3</v>
      </c>
      <c r="M848" s="112">
        <f>E848/'CGE-Flood Weighted Av Calcs'!$D$5</f>
        <v>3.7616677690097342E-3</v>
      </c>
      <c r="N848" s="112">
        <f>F848/'CGE-Flood Weighted Av Calcs'!$D$6</f>
        <v>1.2988169912087504E-3</v>
      </c>
      <c r="O848" s="112">
        <f>G848/'CGE-Flood Weighted Av Calcs'!$D$7</f>
        <v>5.7844007859258178E-3</v>
      </c>
      <c r="P848" s="112">
        <f>H848/'CGE-Flood Weighted Av Calcs'!$D$8</f>
        <v>1.3851828592353104E-2</v>
      </c>
      <c r="R848" s="1">
        <f t="shared" si="125"/>
        <v>6.1417644013481959E-2</v>
      </c>
      <c r="S848" s="1">
        <f t="shared" si="126"/>
        <v>7.124446705563911E-2</v>
      </c>
      <c r="T848" s="1">
        <f t="shared" si="127"/>
        <v>1.7196940323774959</v>
      </c>
    </row>
    <row r="849" spans="1:20">
      <c r="A849">
        <v>796</v>
      </c>
      <c r="B849">
        <v>0.22849941988756928</v>
      </c>
      <c r="C849" s="1">
        <f t="shared" si="121"/>
        <v>79.455987522912451</v>
      </c>
      <c r="D849" s="1">
        <f t="shared" si="130"/>
        <v>255.56575211104234</v>
      </c>
      <c r="E849" s="1">
        <f t="shared" si="128"/>
        <v>306.39887893951732</v>
      </c>
      <c r="F849" s="1">
        <f t="shared" si="122"/>
        <v>16.395602383075556</v>
      </c>
      <c r="G849" s="1">
        <f t="shared" si="129"/>
        <v>12.22703287179784</v>
      </c>
      <c r="H849" s="1">
        <f t="shared" si="123"/>
        <v>4.7830289569444249</v>
      </c>
      <c r="I849" s="1">
        <f t="shared" si="124"/>
        <v>123.44009281798891</v>
      </c>
      <c r="K849" s="112">
        <f>C849/'CGE-Flood Weighted Av Calcs'!$D$3</f>
        <v>1.339319306273588E-2</v>
      </c>
      <c r="L849" s="112">
        <f>D849/'CGE-Flood Weighted Av Calcs'!$D$4</f>
        <v>1.3127640348979185E-2</v>
      </c>
      <c r="M849" s="112">
        <f>E849/'CGE-Flood Weighted Av Calcs'!$D$5</f>
        <v>1.3125656644205567E-2</v>
      </c>
      <c r="N849" s="112">
        <f>F849/'CGE-Flood Weighted Av Calcs'!$D$6</f>
        <v>4.5319860543543127E-3</v>
      </c>
      <c r="O849" s="112">
        <f>G849/'CGE-Flood Weighted Av Calcs'!$D$7</f>
        <v>2.0183616223110056E-2</v>
      </c>
      <c r="P849" s="112">
        <f>H849/'CGE-Flood Weighted Av Calcs'!$D$8</f>
        <v>4.8333440686995882E-2</v>
      </c>
      <c r="R849" s="1">
        <f t="shared" si="125"/>
        <v>0.21430571669789741</v>
      </c>
      <c r="S849" s="1">
        <f t="shared" si="126"/>
        <v>0.248594631369561</v>
      </c>
      <c r="T849" s="1">
        <f t="shared" si="127"/>
        <v>6.0005600675411284</v>
      </c>
    </row>
    <row r="850" spans="1:20">
      <c r="A850">
        <v>797</v>
      </c>
      <c r="B850">
        <v>0.62003688468586826</v>
      </c>
      <c r="C850" s="1">
        <f t="shared" si="121"/>
        <v>39.131979064963197</v>
      </c>
      <c r="D850" s="1">
        <f t="shared" si="130"/>
        <v>125.86582802771139</v>
      </c>
      <c r="E850" s="1">
        <f t="shared" si="128"/>
        <v>150.90108234740481</v>
      </c>
      <c r="F850" s="1">
        <f t="shared" si="122"/>
        <v>8.0748146139013048</v>
      </c>
      <c r="G850" s="1">
        <f t="shared" si="129"/>
        <v>6.0217991026520892</v>
      </c>
      <c r="H850" s="1">
        <f t="shared" si="123"/>
        <v>2.3556360551970807</v>
      </c>
      <c r="I850" s="1">
        <f t="shared" si="124"/>
        <v>60.79409845026106</v>
      </c>
      <c r="K850" s="112">
        <f>C850/'CGE-Flood Weighted Av Calcs'!$D$3</f>
        <v>6.5961316054734985E-3</v>
      </c>
      <c r="L850" s="112">
        <f>D850/'CGE-Flood Weighted Av Calcs'!$D$4</f>
        <v>6.465347210749631E-3</v>
      </c>
      <c r="M850" s="112">
        <f>E850/'CGE-Flood Weighted Av Calcs'!$D$5</f>
        <v>6.4643702385151604E-3</v>
      </c>
      <c r="N850" s="112">
        <f>F850/'CGE-Flood Weighted Av Calcs'!$D$6</f>
        <v>2.2319977251627206E-3</v>
      </c>
      <c r="O850" s="112">
        <f>G850/'CGE-Flood Weighted Av Calcs'!$D$7</f>
        <v>9.9404069110617371E-3</v>
      </c>
      <c r="P850" s="112">
        <f>H850/'CGE-Flood Weighted Av Calcs'!$D$8</f>
        <v>2.380416187711154E-2</v>
      </c>
      <c r="R850" s="1">
        <f t="shared" si="125"/>
        <v>0.10554530980948101</v>
      </c>
      <c r="S850" s="1">
        <f t="shared" si="126"/>
        <v>0.122432559378998</v>
      </c>
      <c r="T850" s="1">
        <f t="shared" si="127"/>
        <v>2.9552686746654695</v>
      </c>
    </row>
    <row r="851" spans="1:20">
      <c r="A851">
        <v>798</v>
      </c>
      <c r="B851">
        <v>0.10207543458484025</v>
      </c>
      <c r="C851" s="1">
        <f t="shared" si="121"/>
        <v>92.476253298145735</v>
      </c>
      <c r="D851" s="1">
        <f t="shared" si="130"/>
        <v>297.44471075558261</v>
      </c>
      <c r="E851" s="1">
        <f t="shared" si="128"/>
        <v>356.6077425053453</v>
      </c>
      <c r="F851" s="1">
        <f t="shared" si="122"/>
        <v>19.082311179075766</v>
      </c>
      <c r="G851" s="1">
        <f t="shared" si="129"/>
        <v>14.230647987492098</v>
      </c>
      <c r="H851" s="1">
        <f t="shared" si="123"/>
        <v>5.5668126612510997</v>
      </c>
      <c r="I851" s="1">
        <f t="shared" si="124"/>
        <v>143.66793046642556</v>
      </c>
      <c r="K851" s="112">
        <f>C851/'CGE-Flood Weighted Av Calcs'!$D$3</f>
        <v>1.5587904105821785E-2</v>
      </c>
      <c r="L851" s="112">
        <f>D851/'CGE-Flood Weighted Av Calcs'!$D$4</f>
        <v>1.5278835893507481E-2</v>
      </c>
      <c r="M851" s="112">
        <f>E851/'CGE-Flood Weighted Av Calcs'!$D$5</f>
        <v>1.5276527123698773E-2</v>
      </c>
      <c r="N851" s="112">
        <f>F851/'CGE-Flood Weighted Av Calcs'!$D$6</f>
        <v>5.2746319487285811E-3</v>
      </c>
      <c r="O851" s="112">
        <f>G851/'CGE-Flood Weighted Av Calcs'!$D$7</f>
        <v>2.3491057936730713E-2</v>
      </c>
      <c r="P851" s="112">
        <f>H851/'CGE-Flood Weighted Av Calcs'!$D$8</f>
        <v>5.6253727920159868E-2</v>
      </c>
      <c r="R851" s="1">
        <f t="shared" si="125"/>
        <v>0.24942349039309994</v>
      </c>
      <c r="S851" s="1">
        <f t="shared" si="126"/>
        <v>0.28933124885599593</v>
      </c>
      <c r="T851" s="1">
        <f t="shared" si="127"/>
        <v>6.9838577310067977</v>
      </c>
    </row>
    <row r="852" spans="1:20">
      <c r="A852">
        <v>799</v>
      </c>
      <c r="B852">
        <v>0.10530151908364016</v>
      </c>
      <c r="C852" s="1">
        <f t="shared" si="121"/>
        <v>92.144002440152661</v>
      </c>
      <c r="D852" s="1">
        <f t="shared" si="130"/>
        <v>296.37604440255222</v>
      </c>
      <c r="E852" s="1">
        <f t="shared" si="128"/>
        <v>355.32651382026455</v>
      </c>
      <c r="F852" s="1">
        <f t="shared" si="122"/>
        <v>19.013751802634573</v>
      </c>
      <c r="G852" s="1">
        <f t="shared" si="129"/>
        <v>14.179519780682098</v>
      </c>
      <c r="H852" s="1">
        <f t="shared" si="123"/>
        <v>5.5468120857841816</v>
      </c>
      <c r="I852" s="1">
        <f t="shared" si="124"/>
        <v>143.15175694661758</v>
      </c>
      <c r="K852" s="112">
        <f>C852/'CGE-Flood Weighted Av Calcs'!$D$3</f>
        <v>1.5531899517305688E-2</v>
      </c>
      <c r="L852" s="112">
        <f>D852/'CGE-Flood Weighted Av Calcs'!$D$4</f>
        <v>1.5223941732534213E-2</v>
      </c>
      <c r="M852" s="112">
        <f>E852/'CGE-Flood Weighted Av Calcs'!$D$5</f>
        <v>1.5221641257727977E-2</v>
      </c>
      <c r="N852" s="112">
        <f>F852/'CGE-Flood Weighted Av Calcs'!$D$6</f>
        <v>5.2556811269980266E-3</v>
      </c>
      <c r="O852" s="112">
        <f>G852/'CGE-Flood Weighted Av Calcs'!$D$7</f>
        <v>2.3406658711240032E-2</v>
      </c>
      <c r="P852" s="112">
        <f>H852/'CGE-Flood Weighted Av Calcs'!$D$8</f>
        <v>5.605161820333858E-2</v>
      </c>
      <c r="R852" s="1">
        <f t="shared" si="125"/>
        <v>0.24852735581009996</v>
      </c>
      <c r="S852" s="1">
        <f t="shared" si="126"/>
        <v>0.28829173273971592</v>
      </c>
      <c r="T852" s="1">
        <f t="shared" si="127"/>
        <v>6.9587659626827989</v>
      </c>
    </row>
    <row r="853" spans="1:20">
      <c r="A853">
        <v>800</v>
      </c>
      <c r="B853">
        <v>0.1107424234460691</v>
      </c>
      <c r="C853" s="1">
        <f t="shared" si="121"/>
        <v>91.583649745315398</v>
      </c>
      <c r="D853" s="1">
        <f t="shared" si="130"/>
        <v>294.57370121397577</v>
      </c>
      <c r="E853" s="1">
        <f t="shared" si="128"/>
        <v>353.16567682280902</v>
      </c>
      <c r="F853" s="1">
        <f t="shared" si="122"/>
        <v>18.898124015915702</v>
      </c>
      <c r="G853" s="1">
        <f t="shared" si="129"/>
        <v>14.09329027132511</v>
      </c>
      <c r="H853" s="1">
        <f t="shared" si="123"/>
        <v>5.513080415597142</v>
      </c>
      <c r="I853" s="1">
        <f t="shared" si="124"/>
        <v>142.28121224862895</v>
      </c>
      <c r="K853" s="112">
        <f>C853/'CGE-Flood Weighted Av Calcs'!$D$3</f>
        <v>1.5437445819615307E-2</v>
      </c>
      <c r="L853" s="112">
        <f>D853/'CGE-Flood Weighted Av Calcs'!$D$4</f>
        <v>1.5131360809739895E-2</v>
      </c>
      <c r="M853" s="112">
        <f>E853/'CGE-Flood Weighted Av Calcs'!$D$5</f>
        <v>1.5129074324745509E-2</v>
      </c>
      <c r="N853" s="112">
        <f>F853/'CGE-Flood Weighted Av Calcs'!$D$6</f>
        <v>5.2237199032099512E-3</v>
      </c>
      <c r="O853" s="112">
        <f>G853/'CGE-Flood Weighted Av Calcs'!$D$7</f>
        <v>2.3264316464988048E-2</v>
      </c>
      <c r="P853" s="112">
        <f>H853/'CGE-Flood Weighted Av Calcs'!$D$8</f>
        <v>5.5710753095697639E-2</v>
      </c>
      <c r="R853" s="1">
        <f t="shared" si="125"/>
        <v>0.24701599348720302</v>
      </c>
      <c r="S853" s="1">
        <f t="shared" si="126"/>
        <v>0.28653855244515547</v>
      </c>
      <c r="T853" s="1">
        <f t="shared" si="127"/>
        <v>6.9164478176416848</v>
      </c>
    </row>
    <row r="854" spans="1:20">
      <c r="A854">
        <v>801</v>
      </c>
      <c r="B854">
        <v>0.94933337794703754</v>
      </c>
      <c r="C854" s="1">
        <f t="shared" si="121"/>
        <v>5.2180991089879001</v>
      </c>
      <c r="D854" s="1">
        <f t="shared" si="130"/>
        <v>16.783724738099693</v>
      </c>
      <c r="E854" s="1">
        <f t="shared" si="128"/>
        <v>20.12207974544566</v>
      </c>
      <c r="F854" s="1">
        <f t="shared" si="122"/>
        <v>1.0767455147640703</v>
      </c>
      <c r="G854" s="1">
        <f t="shared" si="129"/>
        <v>0.80298378162495965</v>
      </c>
      <c r="H854" s="1">
        <f t="shared" si="123"/>
        <v>0.31411502036014305</v>
      </c>
      <c r="I854" s="1">
        <f t="shared" si="124"/>
        <v>8.1066595284739549</v>
      </c>
      <c r="K854" s="112">
        <f>C854/'CGE-Flood Weighted Av Calcs'!$D$3</f>
        <v>8.7956881496201829E-4</v>
      </c>
      <c r="L854" s="112">
        <f>D854/'CGE-Flood Weighted Av Calcs'!$D$4</f>
        <v>8.6212921824636651E-4</v>
      </c>
      <c r="M854" s="112">
        <f>E854/'CGE-Flood Weighted Av Calcs'!$D$5</f>
        <v>8.6199894275128567E-4</v>
      </c>
      <c r="N854" s="112">
        <f>F854/'CGE-Flood Weighted Av Calcs'!$D$6</f>
        <v>2.9762832392401248E-4</v>
      </c>
      <c r="O854" s="112">
        <f>G854/'CGE-Flood Weighted Av Calcs'!$D$7</f>
        <v>1.3255150821653704E-3</v>
      </c>
      <c r="P854" s="112">
        <f>H854/'CGE-Flood Weighted Av Calcs'!$D$8</f>
        <v>3.1741935585458936E-3</v>
      </c>
      <c r="R854" s="1">
        <f t="shared" si="125"/>
        <v>1.4074061681378452E-2</v>
      </c>
      <c r="S854" s="1">
        <f t="shared" si="126"/>
        <v>1.632591155039903E-2</v>
      </c>
      <c r="T854" s="1">
        <f t="shared" si="127"/>
        <v>0.39407372707859789</v>
      </c>
    </row>
    <row r="855" spans="1:20">
      <c r="A855">
        <v>802</v>
      </c>
      <c r="B855">
        <v>0.39424411037298124</v>
      </c>
      <c r="C855" s="1">
        <f t="shared" si="121"/>
        <v>62.386126010587077</v>
      </c>
      <c r="D855" s="1">
        <f t="shared" si="130"/>
        <v>200.66149464937806</v>
      </c>
      <c r="E855" s="1">
        <f t="shared" si="128"/>
        <v>240.57392862320415</v>
      </c>
      <c r="F855" s="1">
        <f t="shared" si="122"/>
        <v>12.873266674774827</v>
      </c>
      <c r="G855" s="1">
        <f t="shared" si="129"/>
        <v>9.6002483545447745</v>
      </c>
      <c r="H855" s="1">
        <f t="shared" si="123"/>
        <v>3.7554708779394974</v>
      </c>
      <c r="I855" s="1">
        <f t="shared" si="124"/>
        <v>96.920942340322995</v>
      </c>
      <c r="K855" s="112">
        <f>C855/'CGE-Flood Weighted Av Calcs'!$D$3</f>
        <v>1.0515877483179184E-2</v>
      </c>
      <c r="L855" s="112">
        <f>D855/'CGE-Flood Weighted Av Calcs'!$D$4</f>
        <v>1.0307374567548046E-2</v>
      </c>
      <c r="M855" s="112">
        <f>E855/'CGE-Flood Weighted Av Calcs'!$D$5</f>
        <v>1.0305817030352512E-2</v>
      </c>
      <c r="N855" s="112">
        <f>F855/'CGE-Flood Weighted Av Calcs'!$D$6</f>
        <v>3.5583605701664804E-3</v>
      </c>
      <c r="O855" s="112">
        <f>G855/'CGE-Flood Weighted Av Calcs'!$D$7</f>
        <v>1.5847485687358283E-2</v>
      </c>
      <c r="P855" s="112">
        <f>H855/'CGE-Flood Weighted Av Calcs'!$D$8</f>
        <v>3.7949765841808203E-2</v>
      </c>
      <c r="R855" s="1">
        <f t="shared" si="125"/>
        <v>0.1682655248963941</v>
      </c>
      <c r="S855" s="1">
        <f t="shared" si="126"/>
        <v>0.19518800887981713</v>
      </c>
      <c r="T855" s="1">
        <f t="shared" si="127"/>
        <v>4.7114346970990351</v>
      </c>
    </row>
    <row r="856" spans="1:20">
      <c r="A856">
        <v>803</v>
      </c>
      <c r="B856">
        <v>0.91199939997383883</v>
      </c>
      <c r="C856" s="1">
        <f t="shared" si="121"/>
        <v>9.0630840182498815</v>
      </c>
      <c r="D856" s="1">
        <f t="shared" si="130"/>
        <v>29.150904239931265</v>
      </c>
      <c r="E856" s="1">
        <f t="shared" si="128"/>
        <v>34.949144419426489</v>
      </c>
      <c r="F856" s="1">
        <f t="shared" si="122"/>
        <v>1.8701513449163478</v>
      </c>
      <c r="G856" s="1">
        <f t="shared" si="129"/>
        <v>1.3946667792537539</v>
      </c>
      <c r="H856" s="1">
        <f t="shared" si="123"/>
        <v>0.54557239359725962</v>
      </c>
      <c r="I856" s="1">
        <f t="shared" si="124"/>
        <v>14.080096004185748</v>
      </c>
      <c r="K856" s="112">
        <f>C856/'CGE-Flood Weighted Av Calcs'!$D$3</f>
        <v>1.5276839138801685E-3</v>
      </c>
      <c r="L856" s="112">
        <f>D856/'CGE-Flood Weighted Av Calcs'!$D$4</f>
        <v>1.4973938548036591E-3</v>
      </c>
      <c r="M856" s="112">
        <f>E856/'CGE-Flood Weighted Av Calcs'!$D$5</f>
        <v>1.4971675850964778E-3</v>
      </c>
      <c r="N856" s="112">
        <f>F856/'CGE-Flood Weighted Av Calcs'!$D$6</f>
        <v>5.1693738459050026E-4</v>
      </c>
      <c r="O856" s="112">
        <f>G856/'CGE-Flood Weighted Av Calcs'!$D$7</f>
        <v>2.3022281306290201E-3</v>
      </c>
      <c r="P856" s="112">
        <f>H856/'CGE-Flood Weighted Av Calcs'!$D$8</f>
        <v>5.5131154679944191E-3</v>
      </c>
      <c r="R856" s="1">
        <f t="shared" si="125"/>
        <v>2.444461111837809E-2</v>
      </c>
      <c r="S856" s="1">
        <f t="shared" si="126"/>
        <v>2.8355748897318622E-2</v>
      </c>
      <c r="T856" s="1">
        <f t="shared" si="127"/>
        <v>0.68444911131458763</v>
      </c>
    </row>
    <row r="857" spans="1:20">
      <c r="A857">
        <v>804</v>
      </c>
      <c r="B857">
        <v>0.73035332618855009</v>
      </c>
      <c r="C857" s="1">
        <f t="shared" si="121"/>
        <v>27.770611328425886</v>
      </c>
      <c r="D857" s="1">
        <f t="shared" si="130"/>
        <v>89.322622397537913</v>
      </c>
      <c r="E857" s="1">
        <f t="shared" si="128"/>
        <v>107.08927601008133</v>
      </c>
      <c r="F857" s="1">
        <f t="shared" si="122"/>
        <v>5.7304164918283398</v>
      </c>
      <c r="G857" s="1">
        <f t="shared" si="129"/>
        <v>4.2734624308164229</v>
      </c>
      <c r="H857" s="1">
        <f t="shared" si="123"/>
        <v>1.6717133884668769</v>
      </c>
      <c r="I857" s="1">
        <f t="shared" si="124"/>
        <v>43.143467809831961</v>
      </c>
      <c r="K857" s="112">
        <f>C857/'CGE-Flood Weighted Av Calcs'!$D$3</f>
        <v>4.6810463325316267E-3</v>
      </c>
      <c r="L857" s="112">
        <f>D857/'CGE-Flood Weighted Av Calcs'!$D$4</f>
        <v>4.5882331735633431E-3</v>
      </c>
      <c r="M857" s="112">
        <f>E857/'CGE-Flood Weighted Av Calcs'!$D$5</f>
        <v>4.5875398501779591E-3</v>
      </c>
      <c r="N857" s="112">
        <f>F857/'CGE-Flood Weighted Av Calcs'!$D$6</f>
        <v>1.583971544309701E-3</v>
      </c>
      <c r="O857" s="112">
        <f>G857/'CGE-Flood Weighted Av Calcs'!$D$7</f>
        <v>7.0543627838300779E-3</v>
      </c>
      <c r="P857" s="112">
        <f>H857/'CGE-Flood Weighted Av Calcs'!$D$8</f>
        <v>1.6892989909627999E-2</v>
      </c>
      <c r="R857" s="1">
        <f t="shared" si="125"/>
        <v>7.4901853836513849E-2</v>
      </c>
      <c r="S857" s="1">
        <f t="shared" si="126"/>
        <v>8.6886150450356081E-2</v>
      </c>
      <c r="T857" s="1">
        <f t="shared" si="127"/>
        <v>2.0972519074223888</v>
      </c>
    </row>
    <row r="858" spans="1:20">
      <c r="A858">
        <v>805</v>
      </c>
      <c r="B858">
        <v>0.66829397938572732</v>
      </c>
      <c r="C858" s="1">
        <f t="shared" si="121"/>
        <v>34.162034500818827</v>
      </c>
      <c r="D858" s="1">
        <f t="shared" si="130"/>
        <v>109.88027854197284</v>
      </c>
      <c r="E858" s="1">
        <f t="shared" si="128"/>
        <v>131.73593834354654</v>
      </c>
      <c r="F858" s="1">
        <f t="shared" si="122"/>
        <v>7.049275350215968</v>
      </c>
      <c r="G858" s="1">
        <f t="shared" si="129"/>
        <v>5.2570024214795996</v>
      </c>
      <c r="H858" s="1">
        <f t="shared" si="123"/>
        <v>2.0564592466795832</v>
      </c>
      <c r="I858" s="1">
        <f t="shared" si="124"/>
        <v>53.072963298283611</v>
      </c>
      <c r="K858" s="112">
        <f>C858/'CGE-Flood Weighted Av Calcs'!$D$3</f>
        <v>5.7583920073156431E-3</v>
      </c>
      <c r="L858" s="112">
        <f>D858/'CGE-Flood Weighted Av Calcs'!$D$4</f>
        <v>5.6442178430775314E-3</v>
      </c>
      <c r="M858" s="112">
        <f>E858/'CGE-Flood Weighted Av Calcs'!$D$5</f>
        <v>5.6433649508911953E-3</v>
      </c>
      <c r="N858" s="112">
        <f>F858/'CGE-Flood Weighted Av Calcs'!$D$6</f>
        <v>1.9485235634562632E-3</v>
      </c>
      <c r="O858" s="112">
        <f>G858/'CGE-Flood Weighted Av Calcs'!$D$7</f>
        <v>8.6779286906016936E-3</v>
      </c>
      <c r="P858" s="112">
        <f>H858/'CGE-Flood Weighted Av Calcs'!$D$8</f>
        <v>2.0780921863393764E-2</v>
      </c>
      <c r="R858" s="1">
        <f t="shared" si="125"/>
        <v>9.2140561281742389E-2</v>
      </c>
      <c r="S858" s="1">
        <f t="shared" si="126"/>
        <v>0.1068830510868212</v>
      </c>
      <c r="T858" s="1">
        <f t="shared" si="127"/>
        <v>2.5799357158887881</v>
      </c>
    </row>
    <row r="859" spans="1:20">
      <c r="A859">
        <v>806</v>
      </c>
      <c r="B859">
        <v>0.81328479079670413</v>
      </c>
      <c r="C859" s="1">
        <f t="shared" si="121"/>
        <v>19.229591934503901</v>
      </c>
      <c r="D859" s="1">
        <f t="shared" si="130"/>
        <v>61.850909902954299</v>
      </c>
      <c r="E859" s="1">
        <f t="shared" si="128"/>
        <v>74.153321793368207</v>
      </c>
      <c r="F859" s="1">
        <f t="shared" si="122"/>
        <v>3.9679922580536289</v>
      </c>
      <c r="G859" s="1">
        <f t="shared" si="129"/>
        <v>2.9591332261352434</v>
      </c>
      <c r="H859" s="1">
        <f t="shared" si="123"/>
        <v>1.1575678299440222</v>
      </c>
      <c r="I859" s="1">
        <f t="shared" si="124"/>
        <v>29.874433472527315</v>
      </c>
      <c r="K859" s="112">
        <f>C859/'CGE-Flood Weighted Av Calcs'!$D$3</f>
        <v>3.2413622349375735E-3</v>
      </c>
      <c r="L859" s="112">
        <f>D859/'CGE-Flood Weighted Av Calcs'!$D$4</f>
        <v>3.1770943240873178E-3</v>
      </c>
      <c r="M859" s="112">
        <f>E859/'CGE-Flood Weighted Av Calcs'!$D$5</f>
        <v>3.1766142365004116E-3</v>
      </c>
      <c r="N859" s="112">
        <f>F859/'CGE-Flood Weighted Av Calcs'!$D$6</f>
        <v>1.0968115203774307E-3</v>
      </c>
      <c r="O859" s="112">
        <f>G859/'CGE-Flood Weighted Av Calcs'!$D$7</f>
        <v>4.8847508643840992E-3</v>
      </c>
      <c r="P859" s="112">
        <f>H859/'CGE-Flood Weighted Av Calcs'!$D$8</f>
        <v>1.1697448740832287E-2</v>
      </c>
      <c r="R859" s="1">
        <f t="shared" si="125"/>
        <v>5.1865335889804381E-2</v>
      </c>
      <c r="S859" s="1">
        <f t="shared" si="126"/>
        <v>6.0163789632173115E-2</v>
      </c>
      <c r="T859" s="1">
        <f t="shared" si="127"/>
        <v>1.4522294049145241</v>
      </c>
    </row>
    <row r="860" spans="1:20">
      <c r="A860">
        <v>807</v>
      </c>
      <c r="B860">
        <v>0.26202172090167619</v>
      </c>
      <c r="C860" s="1">
        <f t="shared" si="121"/>
        <v>76.003562988470705</v>
      </c>
      <c r="D860" s="1">
        <f t="shared" si="130"/>
        <v>244.46122115927753</v>
      </c>
      <c r="E860" s="1">
        <f t="shared" si="128"/>
        <v>293.08560904061642</v>
      </c>
      <c r="F860" s="1">
        <f t="shared" si="122"/>
        <v>15.683200691409981</v>
      </c>
      <c r="G860" s="1">
        <f t="shared" si="129"/>
        <v>11.69575877168238</v>
      </c>
      <c r="H860" s="1">
        <f t="shared" si="123"/>
        <v>4.5752026239680914</v>
      </c>
      <c r="I860" s="1">
        <f t="shared" si="124"/>
        <v>118.0765246557318</v>
      </c>
      <c r="K860" s="112">
        <f>C860/'CGE-Flood Weighted Av Calcs'!$D$3</f>
        <v>1.281124839417367E-2</v>
      </c>
      <c r="L860" s="112">
        <f>D860/'CGE-Flood Weighted Av Calcs'!$D$4</f>
        <v>1.2557234152629618E-2</v>
      </c>
      <c r="M860" s="112">
        <f>E860/'CGE-Flood Weighted Av Calcs'!$D$5</f>
        <v>1.2555336641373229E-2</v>
      </c>
      <c r="N860" s="112">
        <f>F860/'CGE-Flood Weighted Av Calcs'!$D$6</f>
        <v>4.3350677309958773E-3</v>
      </c>
      <c r="O860" s="112">
        <f>G860/'CGE-Flood Weighted Av Calcs'!$D$7</f>
        <v>1.9306622380168673E-2</v>
      </c>
      <c r="P860" s="112">
        <f>H860/'CGE-Flood Weighted Av Calcs'!$D$8</f>
        <v>4.6233315049344595E-2</v>
      </c>
      <c r="R860" s="1">
        <f t="shared" si="125"/>
        <v>0.20499396641620105</v>
      </c>
      <c r="S860" s="1">
        <f t="shared" si="126"/>
        <v>0.23779300104279322</v>
      </c>
      <c r="T860" s="1">
        <f t="shared" si="127"/>
        <v>5.7398310596536302</v>
      </c>
    </row>
    <row r="861" spans="1:20">
      <c r="A861">
        <v>808</v>
      </c>
      <c r="B861">
        <v>0.78689830672995942</v>
      </c>
      <c r="C861" s="1">
        <f t="shared" si="121"/>
        <v>21.947106610222306</v>
      </c>
      <c r="D861" s="1">
        <f t="shared" si="130"/>
        <v>70.591644284645781</v>
      </c>
      <c r="E861" s="1">
        <f t="shared" si="128"/>
        <v>84.632625821924876</v>
      </c>
      <c r="F861" s="1">
        <f t="shared" si="122"/>
        <v>4.5287466012099991</v>
      </c>
      <c r="G861" s="1">
        <f t="shared" si="129"/>
        <v>3.3773162014587896</v>
      </c>
      <c r="H861" s="1">
        <f t="shared" si="123"/>
        <v>1.3211546380638559</v>
      </c>
      <c r="I861" s="1">
        <f t="shared" si="124"/>
        <v>34.096270923206475</v>
      </c>
      <c r="K861" s="112">
        <f>C861/'CGE-Flood Weighted Av Calcs'!$D$3</f>
        <v>3.6994296485760897E-3</v>
      </c>
      <c r="L861" s="112">
        <f>D861/'CGE-Flood Weighted Av Calcs'!$D$4</f>
        <v>3.6260794341851153E-3</v>
      </c>
      <c r="M861" s="112">
        <f>E861/'CGE-Flood Weighted Av Calcs'!$D$5</f>
        <v>3.6255315009014561E-3</v>
      </c>
      <c r="N861" s="112">
        <f>F861/'CGE-Flood Weighted Av Calcs'!$D$6</f>
        <v>1.2518122823943593E-3</v>
      </c>
      <c r="O861" s="112">
        <f>G861/'CGE-Flood Weighted Av Calcs'!$D$7</f>
        <v>5.575060997142227E-3</v>
      </c>
      <c r="P861" s="112">
        <f>H861/'CGE-Flood Weighted Av Calcs'!$D$8</f>
        <v>1.3350525349527138E-2</v>
      </c>
      <c r="R861" s="1">
        <f t="shared" si="125"/>
        <v>5.9194914797233489E-2</v>
      </c>
      <c r="S861" s="1">
        <f t="shared" si="126"/>
        <v>6.8666101164790855E-2</v>
      </c>
      <c r="T861" s="1">
        <f t="shared" si="127"/>
        <v>1.6574576143225386</v>
      </c>
    </row>
    <row r="862" spans="1:20">
      <c r="A862">
        <v>809</v>
      </c>
      <c r="B862">
        <v>0.45594559089811448</v>
      </c>
      <c r="C862" s="1">
        <f t="shared" si="121"/>
        <v>56.031559088504189</v>
      </c>
      <c r="D862" s="1">
        <f t="shared" si="130"/>
        <v>180.22238457836227</v>
      </c>
      <c r="E862" s="1">
        <f t="shared" si="128"/>
        <v>216.06939168681686</v>
      </c>
      <c r="F862" s="1">
        <f t="shared" si="122"/>
        <v>11.56201303840071</v>
      </c>
      <c r="G862" s="1">
        <f t="shared" si="129"/>
        <v>8.6223799639475107</v>
      </c>
      <c r="H862" s="1">
        <f t="shared" si="123"/>
        <v>3.3729436632547762</v>
      </c>
      <c r="I862" s="1">
        <f t="shared" si="124"/>
        <v>87.048705456301661</v>
      </c>
      <c r="K862" s="112">
        <f>C862/'CGE-Flood Weighted Av Calcs'!$D$3</f>
        <v>9.444744340532267E-3</v>
      </c>
      <c r="L862" s="112">
        <f>D862/'CGE-Flood Weighted Av Calcs'!$D$4</f>
        <v>9.2574792515711588E-3</v>
      </c>
      <c r="M862" s="112">
        <f>E862/'CGE-Flood Weighted Av Calcs'!$D$5</f>
        <v>9.2560803630203723E-3</v>
      </c>
      <c r="N862" s="112">
        <f>F862/'CGE-Flood Weighted Av Calcs'!$D$6</f>
        <v>3.1959107464318462E-3</v>
      </c>
      <c r="O862" s="112">
        <f>G862/'CGE-Flood Weighted Av Calcs'!$D$7</f>
        <v>1.4233282100971478E-2</v>
      </c>
      <c r="P862" s="112">
        <f>H862/'CGE-Flood Weighted Av Calcs'!$D$8</f>
        <v>3.4084253713707463E-2</v>
      </c>
      <c r="R862" s="1">
        <f t="shared" si="125"/>
        <v>0.15112622475052373</v>
      </c>
      <c r="S862" s="1">
        <f t="shared" si="126"/>
        <v>0.17530642071060754</v>
      </c>
      <c r="T862" s="1">
        <f t="shared" si="127"/>
        <v>4.2315342930146649</v>
      </c>
    </row>
    <row r="863" spans="1:20">
      <c r="A863">
        <v>810</v>
      </c>
      <c r="B863">
        <v>0.62664185982034026</v>
      </c>
      <c r="C863" s="1">
        <f t="shared" si="121"/>
        <v>38.451740014725189</v>
      </c>
      <c r="D863" s="1">
        <f t="shared" si="130"/>
        <v>123.67787706379886</v>
      </c>
      <c r="E863" s="1">
        <f t="shared" si="128"/>
        <v>148.27793853028587</v>
      </c>
      <c r="F863" s="1">
        <f t="shared" si="122"/>
        <v>7.9344484899521532</v>
      </c>
      <c r="G863" s="1">
        <f t="shared" si="129"/>
        <v>5.9171209596041248</v>
      </c>
      <c r="H863" s="1">
        <f t="shared" si="123"/>
        <v>2.3146875606107598</v>
      </c>
      <c r="I863" s="1">
        <f t="shared" si="124"/>
        <v>59.737302428745537</v>
      </c>
      <c r="K863" s="112">
        <f>C863/'CGE-Flood Weighted Av Calcs'!$D$3</f>
        <v>6.4814697251964135E-3</v>
      </c>
      <c r="L863" s="112">
        <f>D863/'CGE-Flood Weighted Av Calcs'!$D$4</f>
        <v>6.3529587818690423E-3</v>
      </c>
      <c r="M863" s="112">
        <f>E863/'CGE-Flood Weighted Av Calcs'!$D$5</f>
        <v>6.3519987925391109E-3</v>
      </c>
      <c r="N863" s="112">
        <f>F863/'CGE-Flood Weighted Av Calcs'!$D$6</f>
        <v>2.1931984604953866E-3</v>
      </c>
      <c r="O863" s="112">
        <f>G863/'CGE-Flood Weighted Av Calcs'!$D$7</f>
        <v>9.7676108215786414E-3</v>
      </c>
      <c r="P863" s="112">
        <f>H863/'CGE-Flood Weighted Av Calcs'!$D$8</f>
        <v>2.3390369351052053E-2</v>
      </c>
      <c r="R863" s="1">
        <f t="shared" si="125"/>
        <v>0.10371059449434991</v>
      </c>
      <c r="S863" s="1">
        <f t="shared" si="126"/>
        <v>0.12030428961344591</v>
      </c>
      <c r="T863" s="1">
        <f t="shared" si="127"/>
        <v>2.9038966458417983</v>
      </c>
    </row>
    <row r="864" spans="1:20">
      <c r="A864">
        <v>811</v>
      </c>
      <c r="B864">
        <v>0.69906418340094167</v>
      </c>
      <c r="C864" s="1">
        <f t="shared" si="121"/>
        <v>30.993045378407473</v>
      </c>
      <c r="D864" s="1">
        <f t="shared" si="130"/>
        <v>99.687401784041583</v>
      </c>
      <c r="E864" s="1">
        <f t="shared" si="128"/>
        <v>119.51565457703535</v>
      </c>
      <c r="F864" s="1">
        <f t="shared" si="122"/>
        <v>6.3953600541237101</v>
      </c>
      <c r="G864" s="1">
        <f t="shared" si="129"/>
        <v>4.7693445950770279</v>
      </c>
      <c r="H864" s="1">
        <f t="shared" si="123"/>
        <v>1.8656949354014114</v>
      </c>
      <c r="I864" s="1">
        <f t="shared" si="124"/>
        <v>48.149730655849311</v>
      </c>
      <c r="K864" s="112">
        <f>C864/'CGE-Flood Weighted Av Calcs'!$D$3</f>
        <v>5.224223539295204E-3</v>
      </c>
      <c r="L864" s="112">
        <f>D864/'CGE-Flood Weighted Av Calcs'!$D$4</f>
        <v>5.1206405675846426E-3</v>
      </c>
      <c r="M864" s="112">
        <f>E864/'CGE-Flood Weighted Av Calcs'!$D$5</f>
        <v>5.1198667926435357E-3</v>
      </c>
      <c r="N864" s="112">
        <f>F864/'CGE-Flood Weighted Av Calcs'!$D$6</f>
        <v>1.7677717415117272E-3</v>
      </c>
      <c r="O864" s="112">
        <f>G864/'CGE-Flood Weighted Av Calcs'!$D$7</f>
        <v>7.8729338468397098E-3</v>
      </c>
      <c r="P864" s="112">
        <f>H864/'CGE-Flood Weighted Av Calcs'!$D$8</f>
        <v>1.8853211283475092E-2</v>
      </c>
      <c r="R864" s="1">
        <f t="shared" si="125"/>
        <v>8.3593282388627288E-2</v>
      </c>
      <c r="S864" s="1">
        <f t="shared" si="126"/>
        <v>9.696820757080768E-2</v>
      </c>
      <c r="T864" s="1">
        <f t="shared" si="127"/>
        <v>2.3406119068815654</v>
      </c>
    </row>
    <row r="865" spans="1:20">
      <c r="A865">
        <v>812</v>
      </c>
      <c r="B865">
        <v>0.12337905544055239</v>
      </c>
      <c r="C865" s="1">
        <f t="shared" si="121"/>
        <v>90.282217056905779</v>
      </c>
      <c r="D865" s="1">
        <f t="shared" si="130"/>
        <v>290.38771556073107</v>
      </c>
      <c r="E865" s="1">
        <f t="shared" si="128"/>
        <v>348.14708062665756</v>
      </c>
      <c r="F865" s="1">
        <f t="shared" si="122"/>
        <v>18.629575684283072</v>
      </c>
      <c r="G865" s="1">
        <f t="shared" si="129"/>
        <v>13.893020149995008</v>
      </c>
      <c r="H865" s="1">
        <f t="shared" si="123"/>
        <v>5.4347377956355913</v>
      </c>
      <c r="I865" s="1">
        <f t="shared" si="124"/>
        <v>140.25935112951163</v>
      </c>
      <c r="K865" s="112">
        <f>C865/'CGE-Flood Weighted Av Calcs'!$D$3</f>
        <v>1.5218074821941921E-2</v>
      </c>
      <c r="L865" s="112">
        <f>D865/'CGE-Flood Weighted Av Calcs'!$D$4</f>
        <v>1.4916339377064101E-2</v>
      </c>
      <c r="M865" s="112">
        <f>E865/'CGE-Flood Weighted Av Calcs'!$D$5</f>
        <v>1.4914085383746141E-2</v>
      </c>
      <c r="N865" s="112">
        <f>F865/'CGE-Flood Weighted Av Calcs'!$D$6</f>
        <v>5.1494891878362051E-3</v>
      </c>
      <c r="O865" s="112">
        <f>G865/'CGE-Flood Weighted Av Calcs'!$D$7</f>
        <v>2.2933723154880421E-2</v>
      </c>
      <c r="P865" s="112">
        <f>H865/'CGE-Flood Weighted Av Calcs'!$D$8</f>
        <v>5.4919085637845894E-2</v>
      </c>
      <c r="R865" s="1">
        <f t="shared" si="125"/>
        <v>0.24350581793317988</v>
      </c>
      <c r="S865" s="1">
        <f t="shared" si="126"/>
        <v>0.28246674880248868</v>
      </c>
      <c r="T865" s="1">
        <f t="shared" si="127"/>
        <v>6.8181629021290373</v>
      </c>
    </row>
    <row r="866" spans="1:20">
      <c r="A866">
        <v>813</v>
      </c>
      <c r="B866">
        <v>0.45141310554290448</v>
      </c>
      <c r="C866" s="1">
        <f t="shared" si="121"/>
        <v>56.498354719142426</v>
      </c>
      <c r="D866" s="1">
        <f t="shared" si="130"/>
        <v>181.72380668820401</v>
      </c>
      <c r="E866" s="1">
        <f t="shared" si="128"/>
        <v>217.86945310925125</v>
      </c>
      <c r="F866" s="1">
        <f t="shared" si="122"/>
        <v>11.658335490524216</v>
      </c>
      <c r="G866" s="1">
        <f t="shared" si="129"/>
        <v>8.6942125054357078</v>
      </c>
      <c r="H866" s="1">
        <f t="shared" si="123"/>
        <v>3.4010434589772069</v>
      </c>
      <c r="I866" s="1">
        <f t="shared" si="124"/>
        <v>87.773903113135276</v>
      </c>
      <c r="K866" s="112">
        <f>C866/'CGE-Flood Weighted Av Calcs'!$D$3</f>
        <v>9.5234279513825709E-3</v>
      </c>
      <c r="L866" s="112">
        <f>D866/'CGE-Flood Weighted Av Calcs'!$D$4</f>
        <v>9.334602767954699E-3</v>
      </c>
      <c r="M866" s="112">
        <f>E866/'CGE-Flood Weighted Av Calcs'!$D$5</f>
        <v>9.3331922253454894E-3</v>
      </c>
      <c r="N866" s="112">
        <f>F866/'CGE-Flood Weighted Av Calcs'!$D$6</f>
        <v>3.2225356913131368E-3</v>
      </c>
      <c r="O866" s="112">
        <f>G866/'CGE-Flood Weighted Av Calcs'!$D$7</f>
        <v>1.4351858738895835E-2</v>
      </c>
      <c r="P866" s="112">
        <f>H866/'CGE-Flood Weighted Av Calcs'!$D$8</f>
        <v>3.4368207631213003E-2</v>
      </c>
      <c r="R866" s="1">
        <f t="shared" si="125"/>
        <v>0.1523852484603043</v>
      </c>
      <c r="S866" s="1">
        <f t="shared" si="126"/>
        <v>0.17676688821395298</v>
      </c>
      <c r="T866" s="1">
        <f t="shared" si="127"/>
        <v>4.2667869568885211</v>
      </c>
    </row>
    <row r="867" spans="1:20">
      <c r="A867">
        <v>814</v>
      </c>
      <c r="B867">
        <v>0.58494618303853252</v>
      </c>
      <c r="C867" s="1">
        <f t="shared" si="121"/>
        <v>42.745931437953807</v>
      </c>
      <c r="D867" s="1">
        <f t="shared" si="130"/>
        <v>137.48990426275279</v>
      </c>
      <c r="E867" s="1">
        <f t="shared" si="128"/>
        <v>164.83723732006587</v>
      </c>
      <c r="F867" s="1">
        <f t="shared" si="122"/>
        <v>8.8205472891366341</v>
      </c>
      <c r="G867" s="1">
        <f t="shared" si="129"/>
        <v>6.5779298089619918</v>
      </c>
      <c r="H867" s="1">
        <f t="shared" si="123"/>
        <v>2.5731859137781918</v>
      </c>
      <c r="I867" s="1">
        <f t="shared" si="124"/>
        <v>66.408610713834776</v>
      </c>
      <c r="K867" s="112">
        <f>C867/'CGE-Flood Weighted Av Calcs'!$D$3</f>
        <v>7.2053035931357009E-3</v>
      </c>
      <c r="L867" s="112">
        <f>D867/'CGE-Flood Weighted Av Calcs'!$D$4</f>
        <v>7.0624408782001772E-3</v>
      </c>
      <c r="M867" s="112">
        <f>E867/'CGE-Flood Weighted Av Calcs'!$D$5</f>
        <v>7.0613736797310641E-3</v>
      </c>
      <c r="N867" s="112">
        <f>F867/'CGE-Flood Weighted Av Calcs'!$D$6</f>
        <v>2.4381292234437173E-3</v>
      </c>
      <c r="O867" s="112">
        <f>G867/'CGE-Flood Weighted Av Calcs'!$D$7</f>
        <v>1.0858432474887323E-2</v>
      </c>
      <c r="P867" s="112">
        <f>H867/'CGE-Flood Weighted Av Calcs'!$D$8</f>
        <v>2.600254563787217E-2</v>
      </c>
      <c r="R867" s="1">
        <f t="shared" si="125"/>
        <v>0.11529272693374096</v>
      </c>
      <c r="S867" s="1">
        <f t="shared" si="126"/>
        <v>0.13373956324313951</v>
      </c>
      <c r="T867" s="1">
        <f t="shared" si="127"/>
        <v>3.2281963541447474</v>
      </c>
    </row>
    <row r="868" spans="1:20">
      <c r="A868">
        <v>815</v>
      </c>
      <c r="B868">
        <v>8.8292451812081563E-2</v>
      </c>
      <c r="C868" s="1">
        <f t="shared" si="121"/>
        <v>95.622740821073563</v>
      </c>
      <c r="D868" s="1">
        <f t="shared" si="130"/>
        <v>307.09385417581154</v>
      </c>
      <c r="E868" s="1">
        <f t="shared" si="128"/>
        <v>368.1608702227698</v>
      </c>
      <c r="F868" s="1">
        <f t="shared" si="122"/>
        <v>20.567470308086236</v>
      </c>
      <c r="G868" s="1">
        <f t="shared" si="129"/>
        <v>14.746858113318464</v>
      </c>
      <c r="H868" s="1">
        <f t="shared" si="123"/>
        <v>5.7358443407316475</v>
      </c>
      <c r="I868" s="1">
        <f t="shared" si="124"/>
        <v>163.12232870693344</v>
      </c>
      <c r="K868" s="112">
        <f>C868/'CGE-Flood Weighted Av Calcs'!$D$3</f>
        <v>1.6118279678234246E-2</v>
      </c>
      <c r="L868" s="112">
        <f>D868/'CGE-Flood Weighted Av Calcs'!$D$4</f>
        <v>1.5774483230641474E-2</v>
      </c>
      <c r="M868" s="112">
        <f>E868/'CGE-Flood Weighted Av Calcs'!$D$5</f>
        <v>1.5771445343081367E-2</v>
      </c>
      <c r="N868" s="112">
        <f>F868/'CGE-Flood Weighted Av Calcs'!$D$6</f>
        <v>5.6851518127697008E-3</v>
      </c>
      <c r="O868" s="112">
        <f>G868/'CGE-Flood Weighted Av Calcs'!$D$7</f>
        <v>2.434318511913116E-2</v>
      </c>
      <c r="P868" s="112">
        <f>H868/'CGE-Flood Weighted Av Calcs'!$D$8</f>
        <v>5.7961826016144545E-2</v>
      </c>
      <c r="R868" s="1">
        <f t="shared" si="125"/>
        <v>0.25780503212527894</v>
      </c>
      <c r="S868" s="1">
        <f t="shared" si="126"/>
        <v>0.30170754818791845</v>
      </c>
      <c r="T868" s="1">
        <f t="shared" si="127"/>
        <v>7.1951258031319743</v>
      </c>
    </row>
    <row r="869" spans="1:20">
      <c r="A869">
        <v>816</v>
      </c>
      <c r="B869">
        <v>0.93678507851578963</v>
      </c>
      <c r="C869" s="1">
        <f t="shared" si="121"/>
        <v>6.5104345248571889</v>
      </c>
      <c r="D869" s="1">
        <f t="shared" si="130"/>
        <v>20.940449521630114</v>
      </c>
      <c r="E869" s="1">
        <f t="shared" si="128"/>
        <v>25.1055949590978</v>
      </c>
      <c r="F869" s="1">
        <f t="shared" si="122"/>
        <v>1.343416640310771</v>
      </c>
      <c r="G869" s="1">
        <f t="shared" si="129"/>
        <v>1.0018539750973634</v>
      </c>
      <c r="H869" s="1">
        <f t="shared" si="123"/>
        <v>0.39191000987437175</v>
      </c>
      <c r="I869" s="1">
        <f t="shared" si="124"/>
        <v>10.114387437473624</v>
      </c>
      <c r="K869" s="112">
        <f>C869/'CGE-Flood Weighted Av Calcs'!$D$3</f>
        <v>1.0974063658647398E-3</v>
      </c>
      <c r="L869" s="112">
        <f>D869/'CGE-Flood Weighted Av Calcs'!$D$4</f>
        <v>1.0756476084732625E-3</v>
      </c>
      <c r="M869" s="112">
        <f>E869/'CGE-Flood Weighted Av Calcs'!$D$5</f>
        <v>1.0754850684250188E-3</v>
      </c>
      <c r="N869" s="112">
        <f>F869/'CGE-Flood Weighted Av Calcs'!$D$6</f>
        <v>3.7134015187881503E-4</v>
      </c>
      <c r="O869" s="112">
        <f>G869/'CGE-Flood Weighted Av Calcs'!$D$7</f>
        <v>1.65379747948524E-3</v>
      </c>
      <c r="P869" s="112">
        <f>H869/'CGE-Flood Weighted Av Calcs'!$D$8</f>
        <v>3.9603271038952679E-3</v>
      </c>
      <c r="R869" s="1">
        <f t="shared" si="125"/>
        <v>1.7559700412280638E-2</v>
      </c>
      <c r="S869" s="1">
        <f t="shared" si="126"/>
        <v>2.0369252478245559E-2</v>
      </c>
      <c r="T869" s="1">
        <f t="shared" si="127"/>
        <v>0.4916716115438593</v>
      </c>
    </row>
    <row r="870" spans="1:20">
      <c r="A870">
        <v>817</v>
      </c>
      <c r="B870">
        <v>0.79219541217741951</v>
      </c>
      <c r="C870" s="1">
        <f t="shared" si="121"/>
        <v>21.401563605861099</v>
      </c>
      <c r="D870" s="1">
        <f t="shared" si="130"/>
        <v>68.836935639456755</v>
      </c>
      <c r="E870" s="1">
        <f t="shared" si="128"/>
        <v>82.528898083327874</v>
      </c>
      <c r="F870" s="1">
        <f t="shared" si="122"/>
        <v>4.416174767906746</v>
      </c>
      <c r="G870" s="1">
        <f t="shared" si="129"/>
        <v>3.2933656716717152</v>
      </c>
      <c r="H870" s="1">
        <f t="shared" si="123"/>
        <v>1.2883144699599027</v>
      </c>
      <c r="I870" s="1">
        <f t="shared" si="124"/>
        <v>33.248734051612857</v>
      </c>
      <c r="K870" s="112">
        <f>C870/'CGE-Flood Weighted Av Calcs'!$D$3</f>
        <v>3.6074722894239219E-3</v>
      </c>
      <c r="L870" s="112">
        <f>D870/'CGE-Flood Weighted Av Calcs'!$D$4</f>
        <v>3.5359453539298025E-3</v>
      </c>
      <c r="M870" s="112">
        <f>E870/'CGE-Flood Weighted Av Calcs'!$D$5</f>
        <v>3.5354110407180297E-3</v>
      </c>
      <c r="N870" s="112">
        <f>F870/'CGE-Flood Weighted Av Calcs'!$D$6</f>
        <v>1.2206957691535852E-3</v>
      </c>
      <c r="O870" s="112">
        <f>G870/'CGE-Flood Weighted Av Calcs'!$D$7</f>
        <v>5.4364807469118263E-3</v>
      </c>
      <c r="P870" s="112">
        <f>H870/'CGE-Flood Weighted Av Calcs'!$D$8</f>
        <v>1.3018669044350719E-2</v>
      </c>
      <c r="R870" s="1">
        <f t="shared" si="125"/>
        <v>5.7723496617383463E-2</v>
      </c>
      <c r="S870" s="1">
        <f t="shared" si="126"/>
        <v>6.6959256076164819E-2</v>
      </c>
      <c r="T870" s="1">
        <f t="shared" si="127"/>
        <v>1.6162579052867381</v>
      </c>
    </row>
    <row r="871" spans="1:20">
      <c r="A871">
        <v>818</v>
      </c>
      <c r="B871">
        <v>6.3340076644482268E-2</v>
      </c>
      <c r="C871" s="1">
        <f t="shared" si="121"/>
        <v>101.87331080055719</v>
      </c>
      <c r="D871" s="1">
        <f t="shared" si="130"/>
        <v>326.19385502520413</v>
      </c>
      <c r="E871" s="1">
        <f t="shared" si="128"/>
        <v>391.02739444004914</v>
      </c>
      <c r="F871" s="1">
        <f t="shared" si="122"/>
        <v>23.638795867193863</v>
      </c>
      <c r="G871" s="1">
        <f t="shared" si="129"/>
        <v>15.776956663544356</v>
      </c>
      <c r="H871" s="1">
        <f t="shared" si="123"/>
        <v>6.0686792533377822</v>
      </c>
      <c r="I871" s="1">
        <f t="shared" si="124"/>
        <v>203.8778748140123</v>
      </c>
      <c r="K871" s="112">
        <f>C871/'CGE-Flood Weighted Av Calcs'!$D$3</f>
        <v>1.7171882976075387E-2</v>
      </c>
      <c r="L871" s="112">
        <f>D871/'CGE-Flood Weighted Av Calcs'!$D$4</f>
        <v>1.6755592552782098E-2</v>
      </c>
      <c r="M871" s="112">
        <f>E871/'CGE-Flood Weighted Av Calcs'!$D$5</f>
        <v>1.67510120652614E-2</v>
      </c>
      <c r="N871" s="112">
        <f>F871/'CGE-Flood Weighted Av Calcs'!$D$6</f>
        <v>6.5341114470083249E-3</v>
      </c>
      <c r="O871" s="112">
        <f>G871/'CGE-Flood Weighted Av Calcs'!$D$7</f>
        <v>2.6043606965358221E-2</v>
      </c>
      <c r="P871" s="112">
        <f>H871/'CGE-Flood Weighted Av Calcs'!$D$8</f>
        <v>6.132518773772757E-2</v>
      </c>
      <c r="R871" s="1">
        <f t="shared" si="125"/>
        <v>0.27443994890367845</v>
      </c>
      <c r="S871" s="1">
        <f t="shared" si="126"/>
        <v>0.32665992335551769</v>
      </c>
      <c r="T871" s="1">
        <f t="shared" si="127"/>
        <v>7.6109987225919626</v>
      </c>
    </row>
    <row r="872" spans="1:20">
      <c r="A872">
        <v>819</v>
      </c>
      <c r="B872">
        <v>0.13889400509941008</v>
      </c>
      <c r="C872" s="1">
        <f t="shared" si="121"/>
        <v>88.684349630372978</v>
      </c>
      <c r="D872" s="1">
        <f t="shared" si="130"/>
        <v>285.24826410632897</v>
      </c>
      <c r="E872" s="1">
        <f t="shared" si="128"/>
        <v>341.98537018233839</v>
      </c>
      <c r="F872" s="1">
        <f t="shared" si="122"/>
        <v>18.299858569147535</v>
      </c>
      <c r="G872" s="1">
        <f t="shared" si="129"/>
        <v>13.647133362125714</v>
      </c>
      <c r="H872" s="1">
        <f t="shared" si="123"/>
        <v>5.3385506307820831</v>
      </c>
      <c r="I872" s="1">
        <f t="shared" si="124"/>
        <v>137.77695918409438</v>
      </c>
      <c r="K872" s="112">
        <f>C872/'CGE-Flood Weighted Av Calcs'!$D$3</f>
        <v>1.4948736442300745E-2</v>
      </c>
      <c r="L872" s="112">
        <f>D872/'CGE-Flood Weighted Av Calcs'!$D$4</f>
        <v>1.4652341287620906E-2</v>
      </c>
      <c r="M872" s="112">
        <f>E872/'CGE-Flood Weighted Av Calcs'!$D$5</f>
        <v>1.4650127186793621E-2</v>
      </c>
      <c r="N872" s="112">
        <f>F872/'CGE-Flood Weighted Av Calcs'!$D$6</f>
        <v>5.0583505195053204E-3</v>
      </c>
      <c r="O872" s="112">
        <f>G872/'CGE-Flood Weighted Av Calcs'!$D$7</f>
        <v>2.2527828723032266E-2</v>
      </c>
      <c r="P872" s="112">
        <f>H872/'CGE-Flood Weighted Av Calcs'!$D$8</f>
        <v>5.3947095572732987E-2</v>
      </c>
      <c r="R872" s="1">
        <f t="shared" si="125"/>
        <v>0.23919610969460831</v>
      </c>
      <c r="S872" s="1">
        <f t="shared" si="126"/>
        <v>0.2774674872457456</v>
      </c>
      <c r="T872" s="1">
        <f t="shared" si="127"/>
        <v>6.6974910714490328</v>
      </c>
    </row>
    <row r="873" spans="1:20">
      <c r="A873">
        <v>820</v>
      </c>
      <c r="B873">
        <v>0.68288196588144201</v>
      </c>
      <c r="C873" s="1">
        <f t="shared" si="121"/>
        <v>32.659633980499052</v>
      </c>
      <c r="D873" s="1">
        <f t="shared" si="130"/>
        <v>105.0478910666196</v>
      </c>
      <c r="E873" s="1">
        <f t="shared" si="128"/>
        <v>125.94236822384499</v>
      </c>
      <c r="F873" s="1">
        <f t="shared" si="122"/>
        <v>6.7392576621948415</v>
      </c>
      <c r="G873" s="1">
        <f t="shared" si="129"/>
        <v>5.0258064962730984</v>
      </c>
      <c r="H873" s="1">
        <f t="shared" si="123"/>
        <v>1.9660189234560419</v>
      </c>
      <c r="I873" s="1">
        <f t="shared" si="124"/>
        <v>50.738885458969264</v>
      </c>
      <c r="K873" s="112">
        <f>C873/'CGE-Flood Weighted Av Calcs'!$D$3</f>
        <v>5.5051456396911121E-3</v>
      </c>
      <c r="L873" s="112">
        <f>D873/'CGE-Flood Weighted Av Calcs'!$D$4</f>
        <v>5.3959927022699892E-3</v>
      </c>
      <c r="M873" s="112">
        <f>E873/'CGE-Flood Weighted Av Calcs'!$D$5</f>
        <v>5.3951773191396367E-3</v>
      </c>
      <c r="N873" s="112">
        <f>F873/'CGE-Flood Weighted Av Calcs'!$D$6</f>
        <v>1.8628301070105747E-3</v>
      </c>
      <c r="O873" s="112">
        <f>G873/'CGE-Flood Weighted Av Calcs'!$D$7</f>
        <v>8.2962850101076253E-3</v>
      </c>
      <c r="P873" s="112">
        <f>H873/'CGE-Flood Weighted Av Calcs'!$D$8</f>
        <v>1.9867004754050083E-2</v>
      </c>
      <c r="R873" s="1">
        <f t="shared" si="125"/>
        <v>8.808834281071054E-2</v>
      </c>
      <c r="S873" s="1">
        <f t="shared" si="126"/>
        <v>0.10218247766042424</v>
      </c>
      <c r="T873" s="1">
        <f t="shared" si="127"/>
        <v>2.4664735986998956</v>
      </c>
    </row>
    <row r="874" spans="1:20">
      <c r="A874">
        <v>821</v>
      </c>
      <c r="B874">
        <v>6.3941786576618642E-2</v>
      </c>
      <c r="C874" s="1">
        <f t="shared" si="121"/>
        <v>101.72258246255703</v>
      </c>
      <c r="D874" s="1">
        <f t="shared" si="130"/>
        <v>325.7332712075235</v>
      </c>
      <c r="E874" s="1">
        <f t="shared" si="128"/>
        <v>390.47598341634665</v>
      </c>
      <c r="F874" s="1">
        <f t="shared" si="122"/>
        <v>23.564732893976824</v>
      </c>
      <c r="G874" s="1">
        <f t="shared" si="129"/>
        <v>15.752116522091407</v>
      </c>
      <c r="H874" s="1">
        <f t="shared" si="123"/>
        <v>6.0606531607781893</v>
      </c>
      <c r="I874" s="1">
        <f t="shared" si="124"/>
        <v>202.89508192485621</v>
      </c>
      <c r="K874" s="112">
        <f>C874/'CGE-Flood Weighted Av Calcs'!$D$3</f>
        <v>1.7146476033265957E-2</v>
      </c>
      <c r="L874" s="112">
        <f>D874/'CGE-Flood Weighted Av Calcs'!$D$4</f>
        <v>1.6731933753983248E-2</v>
      </c>
      <c r="M874" s="112">
        <f>E874/'CGE-Flood Weighted Av Calcs'!$D$5</f>
        <v>1.6727390465234668E-2</v>
      </c>
      <c r="N874" s="112">
        <f>F874/'CGE-Flood Weighted Av Calcs'!$D$6</f>
        <v>6.5136393500446832E-3</v>
      </c>
      <c r="O874" s="112">
        <f>G874/'CGE-Flood Weighted Av Calcs'!$D$7</f>
        <v>2.6002602423432886E-2</v>
      </c>
      <c r="P874" s="112">
        <f>H874/'CGE-Flood Weighted Av Calcs'!$D$8</f>
        <v>6.1244082506676401E-2</v>
      </c>
      <c r="R874" s="1">
        <f t="shared" si="125"/>
        <v>0.27403880894892091</v>
      </c>
      <c r="S874" s="1">
        <f t="shared" si="126"/>
        <v>0.32605821342338137</v>
      </c>
      <c r="T874" s="1">
        <f t="shared" si="127"/>
        <v>7.6009702237230226</v>
      </c>
    </row>
    <row r="875" spans="1:20">
      <c r="A875">
        <v>822</v>
      </c>
      <c r="B875">
        <v>3.6222264844661289E-2</v>
      </c>
      <c r="C875" s="1">
        <f t="shared" si="121"/>
        <v>112.86527528157133</v>
      </c>
      <c r="D875" s="1">
        <f t="shared" si="130"/>
        <v>360.12552446755706</v>
      </c>
      <c r="E875" s="1">
        <f t="shared" si="128"/>
        <v>431.67453703730382</v>
      </c>
      <c r="F875" s="1">
        <f t="shared" si="122"/>
        <v>27.026778349816087</v>
      </c>
      <c r="G875" s="1">
        <f t="shared" si="129"/>
        <v>17.299099716258699</v>
      </c>
      <c r="H875" s="1">
        <f t="shared" si="123"/>
        <v>6.5759897475983742</v>
      </c>
      <c r="I875" s="1">
        <f t="shared" si="124"/>
        <v>253.08135645566023</v>
      </c>
      <c r="K875" s="112">
        <f>C875/'CGE-Flood Weighted Av Calcs'!$D$3</f>
        <v>1.9024701209446476E-2</v>
      </c>
      <c r="L875" s="112">
        <f>D875/'CGE-Flood Weighted Av Calcs'!$D$4</f>
        <v>1.8498559868238798E-2</v>
      </c>
      <c r="M875" s="112">
        <f>E875/'CGE-Flood Weighted Av Calcs'!$D$5</f>
        <v>1.8492273127136704E-2</v>
      </c>
      <c r="N875" s="112">
        <f>F875/'CGE-Flood Weighted Av Calcs'!$D$6</f>
        <v>7.4705997201985896E-3</v>
      </c>
      <c r="O875" s="112">
        <f>G875/'CGE-Flood Weighted Av Calcs'!$D$7</f>
        <v>2.8556264904106538E-2</v>
      </c>
      <c r="P875" s="112">
        <f>H875/'CGE-Flood Weighted Av Calcs'!$D$8</f>
        <v>6.6451659248763381E-2</v>
      </c>
      <c r="R875" s="1">
        <f t="shared" si="125"/>
        <v>0.29503698020711827</v>
      </c>
      <c r="S875" s="1">
        <f t="shared" si="126"/>
        <v>0.35503698020711827</v>
      </c>
      <c r="T875" s="1">
        <f t="shared" si="127"/>
        <v>8.7555470310677421</v>
      </c>
    </row>
    <row r="876" spans="1:20">
      <c r="A876">
        <v>823</v>
      </c>
      <c r="B876">
        <v>0.33673114289843342</v>
      </c>
      <c r="C876" s="1">
        <f t="shared" si="121"/>
        <v>68.309322627493572</v>
      </c>
      <c r="D876" s="1">
        <f t="shared" si="130"/>
        <v>219.71312619400857</v>
      </c>
      <c r="E876" s="1">
        <f t="shared" si="128"/>
        <v>263.41501158923165</v>
      </c>
      <c r="F876" s="1">
        <f t="shared" si="122"/>
        <v>14.095507812229354</v>
      </c>
      <c r="G876" s="1">
        <f t="shared" si="129"/>
        <v>10.511735606781782</v>
      </c>
      <c r="H876" s="1">
        <f t="shared" si="123"/>
        <v>4.1120308027427646</v>
      </c>
      <c r="I876" s="1">
        <f t="shared" si="124"/>
        <v>106.12301713625064</v>
      </c>
      <c r="K876" s="112">
        <f>C876/'CGE-Flood Weighted Av Calcs'!$D$3</f>
        <v>1.1514298348767148E-2</v>
      </c>
      <c r="L876" s="112">
        <f>D876/'CGE-Flood Weighted Av Calcs'!$D$4</f>
        <v>1.1285999304678345E-2</v>
      </c>
      <c r="M876" s="112">
        <f>E876/'CGE-Flood Weighted Av Calcs'!$D$5</f>
        <v>1.1284293888464875E-2</v>
      </c>
      <c r="N876" s="112">
        <f>F876/'CGE-Flood Weighted Av Calcs'!$D$6</f>
        <v>3.8962060277825976E-3</v>
      </c>
      <c r="O876" s="112">
        <f>G876/'CGE-Flood Weighted Av Calcs'!$D$7</f>
        <v>1.7352111468960832E-2</v>
      </c>
      <c r="P876" s="112">
        <f>H876/'CGE-Flood Weighted Av Calcs'!$D$8</f>
        <v>4.1552873439937396E-2</v>
      </c>
      <c r="R876" s="1">
        <f t="shared" si="125"/>
        <v>0.18424134919487961</v>
      </c>
      <c r="S876" s="1">
        <f t="shared" si="126"/>
        <v>0.21371996506606034</v>
      </c>
      <c r="T876" s="1">
        <f t="shared" si="127"/>
        <v>5.1587577774566293</v>
      </c>
    </row>
    <row r="877" spans="1:20">
      <c r="A877">
        <v>824</v>
      </c>
      <c r="B877">
        <v>0.76110591572951491</v>
      </c>
      <c r="C877" s="1">
        <f t="shared" si="121"/>
        <v>24.603436301145862</v>
      </c>
      <c r="D877" s="1">
        <f t="shared" si="130"/>
        <v>79.135580575413144</v>
      </c>
      <c r="E877" s="1">
        <f t="shared" si="128"/>
        <v>94.875987773194197</v>
      </c>
      <c r="F877" s="1">
        <f t="shared" si="122"/>
        <v>5.0768755310553626</v>
      </c>
      <c r="G877" s="1">
        <f t="shared" si="129"/>
        <v>3.7860837652611909</v>
      </c>
      <c r="H877" s="1">
        <f t="shared" si="123"/>
        <v>1.4810582806586297</v>
      </c>
      <c r="I877" s="1">
        <f t="shared" si="124"/>
        <v>38.223053483277596</v>
      </c>
      <c r="K877" s="112">
        <f>C877/'CGE-Flood Weighted Av Calcs'!$D$3</f>
        <v>4.1471836504825858E-3</v>
      </c>
      <c r="L877" s="112">
        <f>D877/'CGE-Flood Weighted Av Calcs'!$D$4</f>
        <v>4.0649556210892637E-3</v>
      </c>
      <c r="M877" s="112">
        <f>E877/'CGE-Flood Weighted Av Calcs'!$D$5</f>
        <v>4.064341369658258E-3</v>
      </c>
      <c r="N877" s="112">
        <f>F877/'CGE-Flood Weighted Av Calcs'!$D$6</f>
        <v>1.4033231941624797E-3</v>
      </c>
      <c r="O877" s="112">
        <f>G877/'CGE-Flood Weighted Av Calcs'!$D$7</f>
        <v>6.2498287612228511E-3</v>
      </c>
      <c r="P877" s="112">
        <f>H877/'CGE-Flood Weighted Av Calcs'!$D$8</f>
        <v>1.4966382852076413E-2</v>
      </c>
      <c r="R877" s="1">
        <f t="shared" si="125"/>
        <v>6.6359467852912496E-2</v>
      </c>
      <c r="S877" s="1">
        <f t="shared" si="126"/>
        <v>7.6976982709378527E-2</v>
      </c>
      <c r="T877" s="1">
        <f t="shared" si="127"/>
        <v>1.8580650998815509</v>
      </c>
    </row>
    <row r="878" spans="1:20">
      <c r="A878">
        <v>825</v>
      </c>
      <c r="B878">
        <v>6.1113731206242305E-2</v>
      </c>
      <c r="C878" s="1">
        <f t="shared" si="121"/>
        <v>102.43101033283631</v>
      </c>
      <c r="D878" s="1">
        <f t="shared" si="130"/>
        <v>327.89802945652804</v>
      </c>
      <c r="E878" s="1">
        <f t="shared" si="128"/>
        <v>393.06763235478076</v>
      </c>
      <c r="F878" s="1">
        <f t="shared" si="122"/>
        <v>23.912831168520526</v>
      </c>
      <c r="G878" s="1">
        <f t="shared" si="129"/>
        <v>15.868865958464342</v>
      </c>
      <c r="H878" s="1">
        <f t="shared" si="123"/>
        <v>6.0983760451017135</v>
      </c>
      <c r="I878" s="1">
        <f t="shared" si="124"/>
        <v>207.51423902980423</v>
      </c>
      <c r="K878" s="112">
        <f>C878/'CGE-Flood Weighted Av Calcs'!$D$3</f>
        <v>1.7265889453619423E-2</v>
      </c>
      <c r="L878" s="112">
        <f>D878/'CGE-Flood Weighted Av Calcs'!$D$4</f>
        <v>1.6843130843188964E-2</v>
      </c>
      <c r="M878" s="112">
        <f>E878/'CGE-Flood Weighted Av Calcs'!$D$5</f>
        <v>1.6838412719056034E-2</v>
      </c>
      <c r="N878" s="112">
        <f>F878/'CGE-Flood Weighted Av Calcs'!$D$6</f>
        <v>6.6098588416447796E-3</v>
      </c>
      <c r="O878" s="112">
        <f>G878/'CGE-Flood Weighted Av Calcs'!$D$7</f>
        <v>2.6195325044098355E-2</v>
      </c>
      <c r="P878" s="112">
        <f>H878/'CGE-Flood Weighted Av Calcs'!$D$8</f>
        <v>6.1625279611775725E-2</v>
      </c>
      <c r="R878" s="1">
        <f t="shared" si="125"/>
        <v>0.27592417919583845</v>
      </c>
      <c r="S878" s="1">
        <f t="shared" si="126"/>
        <v>0.32888626879375765</v>
      </c>
      <c r="T878" s="1">
        <f t="shared" si="127"/>
        <v>7.6481044798959612</v>
      </c>
    </row>
    <row r="879" spans="1:20">
      <c r="A879">
        <v>826</v>
      </c>
      <c r="B879">
        <v>0.988097952567348</v>
      </c>
      <c r="C879" s="1">
        <f t="shared" si="121"/>
        <v>1.2257786405916988</v>
      </c>
      <c r="D879" s="1">
        <f t="shared" si="130"/>
        <v>3.9426486281367943</v>
      </c>
      <c r="E879" s="1">
        <f t="shared" si="128"/>
        <v>4.7268583905900527</v>
      </c>
      <c r="F879" s="1">
        <f t="shared" si="122"/>
        <v>0.25293725277799339</v>
      </c>
      <c r="G879" s="1">
        <f t="shared" si="129"/>
        <v>0.18862814747271628</v>
      </c>
      <c r="H879" s="1">
        <f t="shared" si="123"/>
        <v>7.3788457176537925E-2</v>
      </c>
      <c r="I879" s="1">
        <f t="shared" si="124"/>
        <v>1.9043275892242946</v>
      </c>
      <c r="K879" s="112">
        <f>C879/'CGE-Flood Weighted Av Calcs'!$D$3</f>
        <v>2.0661866396020083E-4</v>
      </c>
      <c r="L879" s="112">
        <f>D879/'CGE-Flood Weighted Av Calcs'!$D$4</f>
        <v>2.0252194507692681E-4</v>
      </c>
      <c r="M879" s="112">
        <f>E879/'CGE-Flood Weighted Av Calcs'!$D$5</f>
        <v>2.0249134218573421E-4</v>
      </c>
      <c r="N879" s="112">
        <f>F879/'CGE-Flood Weighted Av Calcs'!$D$6</f>
        <v>6.9915583181002252E-5</v>
      </c>
      <c r="O879" s="112">
        <f>G879/'CGE-Flood Weighted Av Calcs'!$D$7</f>
        <v>3.1137547247844349E-4</v>
      </c>
      <c r="P879" s="112">
        <f>H879/'CGE-Flood Weighted Av Calcs'!$D$8</f>
        <v>7.4564675447951108E-4</v>
      </c>
      <c r="R879" s="1">
        <f t="shared" si="125"/>
        <v>3.3061242868477614E-3</v>
      </c>
      <c r="S879" s="1">
        <f t="shared" si="126"/>
        <v>3.8351041727434088E-3</v>
      </c>
      <c r="T879" s="1">
        <f t="shared" si="127"/>
        <v>9.2571480031738318E-2</v>
      </c>
    </row>
    <row r="880" spans="1:20">
      <c r="A880">
        <v>827</v>
      </c>
      <c r="B880">
        <v>0.98041770003978834</v>
      </c>
      <c r="C880" s="1">
        <f t="shared" si="121"/>
        <v>2.0167593147911447</v>
      </c>
      <c r="D880" s="1">
        <f t="shared" si="130"/>
        <v>6.4867938487696506</v>
      </c>
      <c r="E880" s="1">
        <f t="shared" si="128"/>
        <v>7.7770450334487577</v>
      </c>
      <c r="F880" s="1">
        <f t="shared" si="122"/>
        <v>0.41615471481169308</v>
      </c>
      <c r="G880" s="1">
        <f t="shared" si="129"/>
        <v>0.31034769317220956</v>
      </c>
      <c r="H880" s="1">
        <f t="shared" si="123"/>
        <v>0.12140328882139606</v>
      </c>
      <c r="I880" s="1">
        <f t="shared" si="124"/>
        <v>3.1331679936338332</v>
      </c>
      <c r="K880" s="112">
        <f>C880/'CGE-Flood Weighted Av Calcs'!$D$3</f>
        <v>3.3994728032647883E-4</v>
      </c>
      <c r="L880" s="112">
        <f>D880/'CGE-Flood Weighted Av Calcs'!$D$4</f>
        <v>3.3320699648213569E-4</v>
      </c>
      <c r="M880" s="112">
        <f>E880/'CGE-Flood Weighted Av Calcs'!$D$5</f>
        <v>3.3315664590183699E-4</v>
      </c>
      <c r="N880" s="112">
        <f>F880/'CGE-Flood Weighted Av Calcs'!$D$6</f>
        <v>1.1503129436264142E-4</v>
      </c>
      <c r="O880" s="112">
        <f>G880/'CGE-Flood Weighted Av Calcs'!$D$7</f>
        <v>5.1230243677216462E-4</v>
      </c>
      <c r="P880" s="112">
        <f>H880/'CGE-Flood Weighted Av Calcs'!$D$8</f>
        <v>1.2268039169898248E-3</v>
      </c>
      <c r="R880" s="1">
        <f t="shared" si="125"/>
        <v>5.4395277667254327E-3</v>
      </c>
      <c r="S880" s="1">
        <f t="shared" si="126"/>
        <v>6.3098522094015563E-3</v>
      </c>
      <c r="T880" s="1">
        <f t="shared" si="127"/>
        <v>0.152306777468314</v>
      </c>
    </row>
    <row r="881" spans="1:20">
      <c r="A881">
        <v>828</v>
      </c>
      <c r="B881">
        <v>0.85434795218769699</v>
      </c>
      <c r="C881" s="1">
        <f t="shared" si="121"/>
        <v>15.000542568580414</v>
      </c>
      <c r="D881" s="1">
        <f t="shared" si="130"/>
        <v>48.248408497943217</v>
      </c>
      <c r="E881" s="1">
        <f t="shared" si="128"/>
        <v>57.845224378743865</v>
      </c>
      <c r="F881" s="1">
        <f t="shared" si="122"/>
        <v>3.0953354070883776</v>
      </c>
      <c r="G881" s="1">
        <f t="shared" si="129"/>
        <v>2.3083487198236075</v>
      </c>
      <c r="H881" s="1">
        <f t="shared" si="123"/>
        <v>0.90299084703601284</v>
      </c>
      <c r="I881" s="1">
        <f t="shared" si="124"/>
        <v>23.304327649968457</v>
      </c>
      <c r="K881" s="112">
        <f>C881/'CGE-Flood Weighted Av Calcs'!$D$3</f>
        <v>2.5285087874447614E-3</v>
      </c>
      <c r="L881" s="112">
        <f>D881/'CGE-Flood Weighted Av Calcs'!$D$4</f>
        <v>2.4783749345899252E-3</v>
      </c>
      <c r="M881" s="112">
        <f>E881/'CGE-Flood Weighted Av Calcs'!$D$5</f>
        <v>2.478000429800193E-3</v>
      </c>
      <c r="N881" s="112">
        <f>F881/'CGE-Flood Weighted Av Calcs'!$D$6</f>
        <v>8.5559630995651306E-4</v>
      </c>
      <c r="O881" s="112">
        <f>G881/'CGE-Flood Weighted Av Calcs'!$D$7</f>
        <v>3.8104767655847862E-3</v>
      </c>
      <c r="P881" s="112">
        <f>H881/'CGE-Flood Weighted Av Calcs'!$D$8</f>
        <v>9.1248986654676473E-3</v>
      </c>
      <c r="R881" s="1">
        <f t="shared" si="125"/>
        <v>4.045890217008416E-2</v>
      </c>
      <c r="S881" s="1">
        <f t="shared" si="126"/>
        <v>4.6932326517297646E-2</v>
      </c>
      <c r="T881" s="1">
        <f t="shared" si="127"/>
        <v>1.1328492607623577</v>
      </c>
    </row>
    <row r="882" spans="1:20">
      <c r="A882">
        <v>829</v>
      </c>
      <c r="B882">
        <v>0.22867698315495444</v>
      </c>
      <c r="C882" s="1">
        <f t="shared" si="121"/>
        <v>79.437700479296979</v>
      </c>
      <c r="D882" s="1">
        <f t="shared" si="130"/>
        <v>255.5069328552357</v>
      </c>
      <c r="E882" s="1">
        <f t="shared" si="128"/>
        <v>306.32836028085376</v>
      </c>
      <c r="F882" s="1">
        <f t="shared" si="122"/>
        <v>16.391828883994762</v>
      </c>
      <c r="G882" s="1">
        <f t="shared" si="129"/>
        <v>12.224218782005678</v>
      </c>
      <c r="H882" s="1">
        <f t="shared" si="123"/>
        <v>4.7819281278958341</v>
      </c>
      <c r="I882" s="1">
        <f t="shared" si="124"/>
        <v>123.41168269520729</v>
      </c>
      <c r="K882" s="112">
        <f>C882/'CGE-Flood Weighted Av Calcs'!$D$3</f>
        <v>1.3390110577534647E-2</v>
      </c>
      <c r="L882" s="112">
        <f>D882/'CGE-Flood Weighted Av Calcs'!$D$4</f>
        <v>1.3124618981564161E-2</v>
      </c>
      <c r="M882" s="112">
        <f>E882/'CGE-Flood Weighted Av Calcs'!$D$5</f>
        <v>1.3122635733346389E-2</v>
      </c>
      <c r="N882" s="112">
        <f>F882/'CGE-Flood Weighted Av Calcs'!$D$6</f>
        <v>4.5309430036135894E-3</v>
      </c>
      <c r="O882" s="112">
        <f>G882/'CGE-Flood Weighted Av Calcs'!$D$7</f>
        <v>2.0178970900816585E-2</v>
      </c>
      <c r="P882" s="112">
        <f>H882/'CGE-Flood Weighted Av Calcs'!$D$8</f>
        <v>4.8322316594709272E-2</v>
      </c>
      <c r="R882" s="1">
        <f t="shared" si="125"/>
        <v>0.21425639356806822</v>
      </c>
      <c r="S882" s="1">
        <f t="shared" si="126"/>
        <v>0.24853741653895911</v>
      </c>
      <c r="T882" s="1">
        <f t="shared" si="127"/>
        <v>5.9991790199059096</v>
      </c>
    </row>
    <row r="883" spans="1:20">
      <c r="A883">
        <v>830</v>
      </c>
      <c r="B883">
        <v>0.57043799643333182</v>
      </c>
      <c r="C883" s="1">
        <f t="shared" si="121"/>
        <v>44.240113456216086</v>
      </c>
      <c r="D883" s="1">
        <f t="shared" si="130"/>
        <v>142.29585738463524</v>
      </c>
      <c r="E883" s="1">
        <f t="shared" si="128"/>
        <v>170.59911517974422</v>
      </c>
      <c r="F883" s="1">
        <f t="shared" si="122"/>
        <v>9.1288691038054814</v>
      </c>
      <c r="G883" s="1">
        <f t="shared" si="129"/>
        <v>6.8078610353339988</v>
      </c>
      <c r="H883" s="1">
        <f t="shared" si="123"/>
        <v>2.663131506087812</v>
      </c>
      <c r="I883" s="1">
        <f t="shared" si="124"/>
        <v>68.729920570666891</v>
      </c>
      <c r="K883" s="112">
        <f>C883/'CGE-Flood Weighted Av Calcs'!$D$3</f>
        <v>7.4571646405575112E-3</v>
      </c>
      <c r="L883" s="112">
        <f>D883/'CGE-Flood Weighted Av Calcs'!$D$4</f>
        <v>7.309308166156327E-3</v>
      </c>
      <c r="M883" s="112">
        <f>E883/'CGE-Flood Weighted Av Calcs'!$D$5</f>
        <v>7.3082036638150369E-3</v>
      </c>
      <c r="N883" s="112">
        <f>F883/'CGE-Flood Weighted Av Calcs'!$D$6</f>
        <v>2.5233539155096103E-3</v>
      </c>
      <c r="O883" s="112">
        <f>G883/'CGE-Flood Weighted Av Calcs'!$D$7</f>
        <v>1.1237988470153022E-2</v>
      </c>
      <c r="P883" s="112">
        <f>H883/'CGE-Flood Weighted Av Calcs'!$D$8</f>
        <v>2.6911463394818182E-2</v>
      </c>
      <c r="R883" s="1">
        <f t="shared" si="125"/>
        <v>0.11932277876851893</v>
      </c>
      <c r="S883" s="1">
        <f t="shared" si="126"/>
        <v>0.13841442337148196</v>
      </c>
      <c r="T883" s="1">
        <f t="shared" si="127"/>
        <v>3.3410378055185306</v>
      </c>
    </row>
    <row r="884" spans="1:20">
      <c r="A884">
        <v>831</v>
      </c>
      <c r="B884">
        <v>0.61939127149471374</v>
      </c>
      <c r="C884" s="1">
        <f t="shared" si="121"/>
        <v>39.198470050172212</v>
      </c>
      <c r="D884" s="1">
        <f t="shared" si="130"/>
        <v>126.07969257301889</v>
      </c>
      <c r="E884" s="1">
        <f t="shared" si="128"/>
        <v>151.15748547022488</v>
      </c>
      <c r="F884" s="1">
        <f t="shared" si="122"/>
        <v>8.0885349110058069</v>
      </c>
      <c r="G884" s="1">
        <f t="shared" si="129"/>
        <v>6.0320310245899353</v>
      </c>
      <c r="H884" s="1">
        <f t="shared" si="123"/>
        <v>2.3596386271560386</v>
      </c>
      <c r="I884" s="1">
        <f t="shared" si="124"/>
        <v>60.897396560845777</v>
      </c>
      <c r="K884" s="112">
        <f>C884/'CGE-Flood Weighted Av Calcs'!$D$3</f>
        <v>6.6073394027660439E-3</v>
      </c>
      <c r="L884" s="112">
        <f>D884/'CGE-Flood Weighted Av Calcs'!$D$4</f>
        <v>6.4763327861289757E-3</v>
      </c>
      <c r="M884" s="112">
        <f>E884/'CGE-Flood Weighted Av Calcs'!$D$5</f>
        <v>6.4753541538750551E-3</v>
      </c>
      <c r="N884" s="112">
        <f>F884/'CGE-Flood Weighted Av Calcs'!$D$6</f>
        <v>2.2357902174229248E-3</v>
      </c>
      <c r="O884" s="112">
        <f>G884/'CGE-Flood Weighted Av Calcs'!$D$7</f>
        <v>9.9572971237391443E-3</v>
      </c>
      <c r="P884" s="112">
        <f>H884/'CGE-Flood Weighted Av Calcs'!$D$8</f>
        <v>2.3844608647581714E-2</v>
      </c>
      <c r="R884" s="1">
        <f t="shared" si="125"/>
        <v>0.10572464680702395</v>
      </c>
      <c r="S884" s="1">
        <f t="shared" si="126"/>
        <v>0.12264059029614779</v>
      </c>
      <c r="T884" s="1">
        <f t="shared" si="127"/>
        <v>2.960290110596671</v>
      </c>
    </row>
    <row r="885" spans="1:20">
      <c r="A885">
        <v>832</v>
      </c>
      <c r="B885">
        <v>0.93893013022219463</v>
      </c>
      <c r="C885" s="1">
        <f t="shared" si="121"/>
        <v>6.2895180330053222</v>
      </c>
      <c r="D885" s="1">
        <f t="shared" si="130"/>
        <v>20.229883947480346</v>
      </c>
      <c r="E885" s="1">
        <f t="shared" si="128"/>
        <v>24.25369483737137</v>
      </c>
      <c r="F885" s="1">
        <f t="shared" si="122"/>
        <v>1.2978309132537298</v>
      </c>
      <c r="G885" s="1">
        <f t="shared" si="129"/>
        <v>0.96785838468303353</v>
      </c>
      <c r="H885" s="1">
        <f t="shared" si="123"/>
        <v>0.37861145289288167</v>
      </c>
      <c r="I885" s="1">
        <f t="shared" si="124"/>
        <v>9.7711791644488244</v>
      </c>
      <c r="K885" s="112">
        <f>C885/'CGE-Flood Weighted Av Calcs'!$D$3</f>
        <v>1.0601684267445299E-3</v>
      </c>
      <c r="L885" s="112">
        <f>D885/'CGE-Flood Weighted Av Calcs'!$D$4</f>
        <v>1.0391480023063493E-3</v>
      </c>
      <c r="M885" s="112">
        <f>E885/'CGE-Flood Weighted Av Calcs'!$D$5</f>
        <v>1.0389909776775611E-3</v>
      </c>
      <c r="N885" s="112">
        <f>F885/'CGE-Flood Weighted Av Calcs'!$D$6</f>
        <v>3.587395853077831E-4</v>
      </c>
      <c r="O885" s="112">
        <f>G885/'CGE-Flood Weighted Av Calcs'!$D$7</f>
        <v>1.5976796987124805E-3</v>
      </c>
      <c r="P885" s="112">
        <f>H885/'CGE-Flood Weighted Av Calcs'!$D$8</f>
        <v>3.8259425913042947E-3</v>
      </c>
      <c r="R885" s="1">
        <f t="shared" si="125"/>
        <v>1.6963852716057021E-2</v>
      </c>
      <c r="S885" s="1">
        <f t="shared" si="126"/>
        <v>1.9678069150626198E-2</v>
      </c>
      <c r="T885" s="1">
        <f t="shared" si="127"/>
        <v>0.4749878760495978</v>
      </c>
    </row>
    <row r="886" spans="1:20">
      <c r="A886">
        <v>833</v>
      </c>
      <c r="B886">
        <v>0.65970131852544533</v>
      </c>
      <c r="C886" s="1">
        <f t="shared" si="121"/>
        <v>35.046983095418312</v>
      </c>
      <c r="D886" s="1">
        <f t="shared" si="130"/>
        <v>112.7266663373949</v>
      </c>
      <c r="E886" s="1">
        <f t="shared" si="128"/>
        <v>135.1484849087276</v>
      </c>
      <c r="F886" s="1">
        <f t="shared" si="122"/>
        <v>7.2318829262948725</v>
      </c>
      <c r="G886" s="1">
        <f t="shared" si="129"/>
        <v>5.39318215938669</v>
      </c>
      <c r="H886" s="1">
        <f t="shared" si="123"/>
        <v>2.1097306851870465</v>
      </c>
      <c r="I886" s="1">
        <f t="shared" si="124"/>
        <v>54.447789035928722</v>
      </c>
      <c r="K886" s="112">
        <f>C886/'CGE-Flood Weighted Av Calcs'!$D$3</f>
        <v>5.9075599649179552E-3</v>
      </c>
      <c r="L886" s="112">
        <f>D886/'CGE-Flood Weighted Av Calcs'!$D$4</f>
        <v>5.7904281821521851E-3</v>
      </c>
      <c r="M886" s="112">
        <f>E886/'CGE-Flood Weighted Av Calcs'!$D$5</f>
        <v>5.789553196265851E-3</v>
      </c>
      <c r="N886" s="112">
        <f>F886/'CGE-Flood Weighted Av Calcs'!$D$6</f>
        <v>1.9989989878336748E-3</v>
      </c>
      <c r="O886" s="112">
        <f>G886/'CGE-Flood Weighted Av Calcs'!$D$7</f>
        <v>8.9027256299818256E-3</v>
      </c>
      <c r="P886" s="112">
        <f>H886/'CGE-Flood Weighted Av Calcs'!$D$8</f>
        <v>2.1319240141746045E-2</v>
      </c>
      <c r="R886" s="1">
        <f t="shared" si="125"/>
        <v>9.452741152070962E-2</v>
      </c>
      <c r="S886" s="1">
        <f t="shared" si="126"/>
        <v>0.10965179736402317</v>
      </c>
      <c r="T886" s="1">
        <f t="shared" si="127"/>
        <v>2.6467675225798697</v>
      </c>
    </row>
    <row r="887" spans="1:20">
      <c r="A887">
        <v>834</v>
      </c>
      <c r="B887">
        <v>0.89223427464082805</v>
      </c>
      <c r="C887" s="1">
        <f t="shared" ref="C887:C950" si="131">IF($B887&lt;=0.005,$F$5,IF(B887&lt;=0.01,$F$5+($B887-0.005)*SLOPE($E$5:$F$5,$E$4:$F$4),IF($B887&lt;=0.04,$E$5+($B887-0.01)*SLOPE($D$5:$E$5,$D$4:$E$4),IF($B887&lt;=0.1,$D$5+($B887-0.04)*SLOPE($C$5:$D$5,$C$4:$D$4),IF($B887&lt;=1,$C$5+($B887-0.1)*SLOPE($B$5:$C$5,$B$4:$C$4),)))))</f>
        <v>11.098672315046286</v>
      </c>
      <c r="D887" s="1">
        <f t="shared" si="130"/>
        <v>35.698260459111054</v>
      </c>
      <c r="E887" s="1">
        <f t="shared" si="128"/>
        <v>42.798797939130907</v>
      </c>
      <c r="F887" s="1">
        <f t="shared" ref="F887:F950" si="132">IF($B887&lt;=0.005,$F$26,IF($B887&lt;=0.01,$F$26+($B887-0.005)*SLOPE($E$26:$F$26,$E$25:$F$25),IF($B887&lt;=0.04,$E$26+($B887-0.01)*SLOPE($D$26:$E$26,$D$25:$E$25),IF($B887&lt;=0.1,$D$26+($B887-0.04)*SLOPE($C$26:$D$26,$C$25:$D$25),IF($B887&lt;=1,$C$26+($B887-0.1)*SLOPE($B$26:$C$26,$B$25:$C$25),)))))</f>
        <v>2.2901913868363089</v>
      </c>
      <c r="G887" s="1">
        <f t="shared" si="129"/>
        <v>1.7079119580541491</v>
      </c>
      <c r="H887" s="1">
        <f t="shared" ref="H887:H950" si="133">IF($B887&lt;=0.005,$F$40,IF($B887&lt;=0.01,$F$40+($B887-0.005)*SLOPE($E$40:$F$40,$E$39:$F$39),IF($B887&lt;=0.04,$E$40+($B887-0.01)*SLOPE($D$40:$E$40,$D$39:$E$39),IF($B887&lt;=0.1,$D$40+($B887-0.04)*SLOPE($C$40:$D$40,$C$39:$D$39),IF($B887&lt;=1,$C$40+($B887-0.1)*SLOPE($B$40:$C$40,$B$39:$C$39),)))))</f>
        <v>0.66810913464760269</v>
      </c>
      <c r="I887" s="1">
        <f t="shared" ref="I887:I950" si="134">IF($B887&lt;=0.005,$F$47,IF($B887&lt;=0.01,$F$47+($B887-0.005)*SLOPE($E$47:$F$47,$E$46:$F$46),IF($B887&lt;=0.04,$E$47+($B887-0.01)*SLOPE($D$47:$E$47,$D$46:$E$46),IF($B887&lt;=0.1,$D$47+($B887-0.04)*SLOPE($C$47:$D$47,$C$46:$D$46),IF($B887&lt;=1,$C$47+($B887-0.1)*SLOPE($B$47:$C$47,$B$46:$C$46),)))))</f>
        <v>17.242516057467483</v>
      </c>
      <c r="K887" s="112">
        <f>C887/'CGE-Flood Weighted Av Calcs'!$D$3</f>
        <v>1.8708050291690347E-3</v>
      </c>
      <c r="L887" s="112">
        <f>D887/'CGE-Flood Weighted Av Calcs'!$D$4</f>
        <v>1.8337117572301896E-3</v>
      </c>
      <c r="M887" s="112">
        <f>E887/'CGE-Flood Weighted Av Calcs'!$D$5</f>
        <v>1.8334346668567808E-3</v>
      </c>
      <c r="N887" s="112">
        <f>F887/'CGE-Flood Weighted Av Calcs'!$D$6</f>
        <v>6.3304264060821643E-4</v>
      </c>
      <c r="O887" s="112">
        <f>G887/'CGE-Flood Weighted Av Calcs'!$D$7</f>
        <v>2.8193135542913372E-3</v>
      </c>
      <c r="P887" s="112">
        <f>H887/'CGE-Flood Weighted Av Calcs'!$D$8</f>
        <v>6.7513731408725105E-3</v>
      </c>
      <c r="R887" s="1">
        <f t="shared" ref="R887:R950" si="135">IF($B887&lt;=0.005,$F$13,IF($B887&lt;=0.01,$F$13+($B887-0.005)*SLOPE($E$13:$F$13,$E$10:$F$10),IF($B887&lt;=0.04,$E$13+($B887-0.01)*SLOPE($D$13:$E$13,$D$10:$E$10),IF($B887&lt;=0.1,$D$13+($B887-0.04)*SLOPE($C$13:$D$13,$C$10:$D$10),IF($B887&lt;=1,$C$13+($B887-0.1)*SLOPE($B$13:$C$13,$B$10:$C$10),)))))</f>
        <v>2.9934923710881078E-2</v>
      </c>
      <c r="S887" s="1">
        <f t="shared" ref="S887:S950" si="136">IF($B887&lt;=0.005,$F$21,IF($B887&lt;=0.01,$F$21+($B887-0.005)*SLOPE($E$21:$F$21,$E$18:$F$18),IF($B887&lt;=0.04,$E$21+($B887-0.01)*SLOPE($D$21:$E$21,$D$18:$E$18),IF($B887&lt;=0.1,$D$21+($B887-0.04)*SLOPE($C$21:$D$21,$C$18:$D$18),IF($B887&lt;=1,$C$21+($B887-0.1)*SLOPE($B$21:$C$21,$B$18:$C$18),)))))</f>
        <v>3.472451150462208E-2</v>
      </c>
      <c r="T887" s="1">
        <f t="shared" ref="T887:T950" si="137">IF($B887&lt;=0.005,$F$14,IF($B887&lt;=0.01,$F$14+($B887-0.005)*SLOPE($E$14:$F$14,$E$10:$F$10),IF($B887&lt;=0.04,$E$14+($B887-0.01)*SLOPE($D$14:$E$14,$D$10:$E$10),IF($B887&lt;=0.1,$D$14+($B887-0.04)*SLOPE($C$14:$D$14,$C$10:$D$10),IF($B887&lt;=1,$C$14+($B887-0.1)*SLOPE($B$14:$C$14,$B$10:$C$10),)))))</f>
        <v>0.83817786390467131</v>
      </c>
    </row>
    <row r="888" spans="1:20">
      <c r="A888">
        <v>835</v>
      </c>
      <c r="B888">
        <v>0.49750531301127277</v>
      </c>
      <c r="C888" s="1">
        <f t="shared" si="131"/>
        <v>51.751369485539037</v>
      </c>
      <c r="D888" s="1">
        <f t="shared" si="130"/>
        <v>166.45539345331687</v>
      </c>
      <c r="E888" s="1">
        <f t="shared" ref="E888:E951" si="138">IF($B888&lt;=0.005,$F$19,IF($B888&lt;=0.01,$F$19+($B888-0.005)*SLOPE($E$19:$F$19,$E$18:$F$18),IF($B888&lt;=0.04,$E$19+($B888-0.01)*SLOPE($D$19:$E$19,$D$18:$E$18),IF($B888&lt;=0.1,$D$19+($B888-0.04)*SLOPE($C$19:$D$19,$C$18:$D$18),IF($B888&lt;=1,$C$19+($B888-0.1)*SLOPE($B$19:$C$19,$B$18:$C$18),)))))</f>
        <v>199.5640868396658</v>
      </c>
      <c r="F888" s="1">
        <f t="shared" si="132"/>
        <v>10.678803490043462</v>
      </c>
      <c r="G888" s="1">
        <f t="shared" ref="G888:G951" si="139">IF($B888&lt;=0.005,$F$33,IF($B888&lt;=0.01,$F$33+($B888-0.005)*SLOPE($E$33:$F$33,$E$32:$F$32),IF($B888&lt;=0.04,$E$33+($B888-0.01)*SLOPE($D$33:$E$33,$D$32:$E$32),IF($B888&lt;=0.1,$D$33+($B888-0.04)*SLOPE($C$33:$D$33,$C$32:$D$32),IF($B888&lt;=1,$C$33+($B888-0.1)*SLOPE($B$33:$C$33,$B$32:$C$32),)))))</f>
        <v>7.9637257755782462</v>
      </c>
      <c r="H888" s="1">
        <f t="shared" si="133"/>
        <v>3.1152881806356558</v>
      </c>
      <c r="I888" s="1">
        <f t="shared" si="134"/>
        <v>80.399149918196343</v>
      </c>
      <c r="K888" s="112">
        <f>C888/'CGE-Flood Weighted Av Calcs'!$D$3</f>
        <v>8.7232706355947209E-3</v>
      </c>
      <c r="L888" s="112">
        <f>D888/'CGE-Flood Weighted Av Calcs'!$D$4</f>
        <v>8.5503105222546477E-3</v>
      </c>
      <c r="M888" s="112">
        <f>E888/'CGE-Flood Weighted Av Calcs'!$D$5</f>
        <v>8.549018493272437E-3</v>
      </c>
      <c r="N888" s="112">
        <f>F888/'CGE-Flood Weighted Av Calcs'!$D$6</f>
        <v>2.9517786149793647E-3</v>
      </c>
      <c r="O888" s="112">
        <f>G888/'CGE-Flood Weighted Av Calcs'!$D$7</f>
        <v>1.3146017226395693E-2</v>
      </c>
      <c r="P888" s="112">
        <f>H888/'CGE-Flood Weighted Av Calcs'!$D$8</f>
        <v>3.1480594798205884E-2</v>
      </c>
      <c r="R888" s="1">
        <f t="shared" si="135"/>
        <v>0.13958185749686866</v>
      </c>
      <c r="S888" s="1">
        <f t="shared" si="136"/>
        <v>0.16191495469636766</v>
      </c>
      <c r="T888" s="1">
        <f t="shared" si="137"/>
        <v>3.9082920099123233</v>
      </c>
    </row>
    <row r="889" spans="1:20">
      <c r="A889">
        <v>836</v>
      </c>
      <c r="B889">
        <v>0.69614910339732827</v>
      </c>
      <c r="C889" s="1">
        <f t="shared" si="131"/>
        <v>31.293266229001837</v>
      </c>
      <c r="D889" s="1">
        <f t="shared" ref="D889:D952" si="140">IF($B889&lt;=0.005,$F$11,IF($B889&lt;=0.01,$F$11+($B889-0.005)*SLOPE($E$11:$F$11,$E$10:$F$10),IF($B889&lt;=0.04,$E$11+($B889-0.01)*SLOPE($D$11:$E$11,$D$10:$E$10),IF($B889&lt;=0.1,$D$11+($B889-0.04)*SLOPE($C$11:$D$11,$C$10:$D$10),IF($B889&lt;=1,$C$11+($B889-0.1)*SLOPE($B$11:$C$11,$B$10:$C$10),)))))</f>
        <v>100.65304540478746</v>
      </c>
      <c r="E889" s="1">
        <f t="shared" si="138"/>
        <v>120.67336886546269</v>
      </c>
      <c r="F889" s="1">
        <f t="shared" si="132"/>
        <v>6.45731009523338</v>
      </c>
      <c r="G889" s="1">
        <f t="shared" si="139"/>
        <v>4.815543885067072</v>
      </c>
      <c r="H889" s="1">
        <f t="shared" si="133"/>
        <v>1.8837673937099462</v>
      </c>
      <c r="I889" s="1">
        <f t="shared" si="134"/>
        <v>48.616143456427451</v>
      </c>
      <c r="K889" s="112">
        <f>C889/'CGE-Flood Weighted Av Calcs'!$D$3</f>
        <v>5.2748291127557266E-3</v>
      </c>
      <c r="L889" s="112">
        <f>D889/'CGE-Flood Weighted Av Calcs'!$D$4</f>
        <v>5.1702427621421118E-3</v>
      </c>
      <c r="M889" s="112">
        <f>E889/'CGE-Flood Weighted Av Calcs'!$D$5</f>
        <v>5.1694614918623523E-3</v>
      </c>
      <c r="N889" s="112">
        <f>F889/'CGE-Flood Weighted Av Calcs'!$D$6</f>
        <v>1.7848956455816082E-3</v>
      </c>
      <c r="O889" s="112">
        <f>G889/'CGE-Flood Weighted Av Calcs'!$D$7</f>
        <v>7.9491967266991405E-3</v>
      </c>
      <c r="P889" s="112">
        <f>H889/'CGE-Flood Weighted Av Calcs'!$D$8</f>
        <v>1.9035837000272299E-2</v>
      </c>
      <c r="R889" s="1">
        <f t="shared" si="135"/>
        <v>8.4403026834075467E-2</v>
      </c>
      <c r="S889" s="1">
        <f t="shared" si="136"/>
        <v>9.7907511127527547E-2</v>
      </c>
      <c r="T889" s="1">
        <f t="shared" si="137"/>
        <v>2.3632847513541142</v>
      </c>
    </row>
    <row r="890" spans="1:20">
      <c r="A890">
        <v>837</v>
      </c>
      <c r="B890">
        <v>0.53603420833446913</v>
      </c>
      <c r="C890" s="1">
        <f t="shared" si="131"/>
        <v>47.783321366086732</v>
      </c>
      <c r="D890" s="1">
        <f t="shared" si="140"/>
        <v>153.69238799991157</v>
      </c>
      <c r="E890" s="1">
        <f t="shared" si="138"/>
        <v>184.2624647306001</v>
      </c>
      <c r="F890" s="1">
        <f t="shared" si="132"/>
        <v>9.8600037842983177</v>
      </c>
      <c r="G890" s="1">
        <f t="shared" si="139"/>
        <v>7.3531052760290079</v>
      </c>
      <c r="H890" s="1">
        <f t="shared" si="133"/>
        <v>2.8764227451967441</v>
      </c>
      <c r="I890" s="1">
        <f t="shared" si="134"/>
        <v>74.234526666484925</v>
      </c>
      <c r="K890" s="112">
        <f>C890/'CGE-Flood Weighted Av Calcs'!$D$3</f>
        <v>8.0544118597758989E-3</v>
      </c>
      <c r="L890" s="112">
        <f>D890/'CGE-Flood Weighted Av Calcs'!$D$4</f>
        <v>7.8947135027777737E-3</v>
      </c>
      <c r="M890" s="112">
        <f>E890/'CGE-Flood Weighted Av Calcs'!$D$5</f>
        <v>7.8935205404139751E-3</v>
      </c>
      <c r="N890" s="112">
        <f>F890/'CGE-Flood Weighted Av Calcs'!$D$6</f>
        <v>2.7254503129721819E-3</v>
      </c>
      <c r="O890" s="112">
        <f>G890/'CGE-Flood Weighted Av Calcs'!$D$7</f>
        <v>1.2138043341799977E-2</v>
      </c>
      <c r="P890" s="112">
        <f>H890/'CGE-Flood Weighted Av Calcs'!$D$8</f>
        <v>2.9066812975037586E-2</v>
      </c>
      <c r="R890" s="1">
        <f t="shared" si="135"/>
        <v>0.12887938657375858</v>
      </c>
      <c r="S890" s="1">
        <f t="shared" si="136"/>
        <v>0.14950008842555992</v>
      </c>
      <c r="T890" s="1">
        <f t="shared" si="137"/>
        <v>3.6086228240652405</v>
      </c>
    </row>
    <row r="891" spans="1:20">
      <c r="A891">
        <v>838</v>
      </c>
      <c r="B891">
        <v>0.26787516703200198</v>
      </c>
      <c r="C891" s="1">
        <f t="shared" si="131"/>
        <v>75.400723075337481</v>
      </c>
      <c r="D891" s="1">
        <f t="shared" si="140"/>
        <v>242.52222020282954</v>
      </c>
      <c r="E891" s="1">
        <f t="shared" si="138"/>
        <v>290.76093245773774</v>
      </c>
      <c r="F891" s="1">
        <f t="shared" si="132"/>
        <v>15.558805742400885</v>
      </c>
      <c r="G891" s="1">
        <f t="shared" si="139"/>
        <v>11.602991144419725</v>
      </c>
      <c r="H891" s="1">
        <f t="shared" si="133"/>
        <v>4.5389133416772314</v>
      </c>
      <c r="I891" s="1">
        <f t="shared" si="134"/>
        <v>117.13997327487968</v>
      </c>
      <c r="K891" s="112">
        <f>C891/'CGE-Flood Weighted Av Calcs'!$D$3</f>
        <v>1.2709633001876294E-2</v>
      </c>
      <c r="L891" s="112">
        <f>D891/'CGE-Flood Weighted Av Calcs'!$D$4</f>
        <v>1.2457633533288746E-2</v>
      </c>
      <c r="M891" s="112">
        <f>E891/'CGE-Flood Weighted Av Calcs'!$D$5</f>
        <v>1.2455751072583619E-2</v>
      </c>
      <c r="N891" s="112">
        <f>F891/'CGE-Flood Weighted Av Calcs'!$D$6</f>
        <v>4.3006831343845768E-3</v>
      </c>
      <c r="O891" s="112">
        <f>G891/'CGE-Flood Weighted Av Calcs'!$D$7</f>
        <v>1.9153487420425767E-2</v>
      </c>
      <c r="P891" s="112">
        <f>H891/'CGE-Flood Weighted Av Calcs'!$D$8</f>
        <v>4.5866604772453558E-2</v>
      </c>
      <c r="R891" s="1">
        <f t="shared" si="135"/>
        <v>0.20336800915777722</v>
      </c>
      <c r="S891" s="1">
        <f t="shared" si="136"/>
        <v>0.23590689062302156</v>
      </c>
      <c r="T891" s="1">
        <f t="shared" si="137"/>
        <v>5.6943042564177624</v>
      </c>
    </row>
    <row r="892" spans="1:20">
      <c r="A892">
        <v>839</v>
      </c>
      <c r="B892">
        <v>0.67048065552313629</v>
      </c>
      <c r="C892" s="1">
        <f t="shared" si="131"/>
        <v>33.936831155067225</v>
      </c>
      <c r="D892" s="1">
        <f t="shared" si="140"/>
        <v>109.15592454135918</v>
      </c>
      <c r="E892" s="1">
        <f t="shared" si="138"/>
        <v>130.86750721805308</v>
      </c>
      <c r="F892" s="1">
        <f t="shared" si="132"/>
        <v>7.0028050384447287</v>
      </c>
      <c r="G892" s="1">
        <f t="shared" si="139"/>
        <v>5.2223471513459341</v>
      </c>
      <c r="H892" s="1">
        <f t="shared" si="133"/>
        <v>2.0429026330433855</v>
      </c>
      <c r="I892" s="1">
        <f t="shared" si="134"/>
        <v>52.723095116298168</v>
      </c>
      <c r="K892" s="112">
        <f>C892/'CGE-Flood Weighted Av Calcs'!$D$3</f>
        <v>5.7204314711489313E-3</v>
      </c>
      <c r="L892" s="112">
        <f>D892/'CGE-Flood Weighted Av Calcs'!$D$4</f>
        <v>5.6070099671127237E-3</v>
      </c>
      <c r="M892" s="112">
        <f>E892/'CGE-Flood Weighted Av Calcs'!$D$5</f>
        <v>5.6061626973717945E-3</v>
      </c>
      <c r="N892" s="112">
        <f>F892/'CGE-Flood Weighted Av Calcs'!$D$6</f>
        <v>1.9356784846376802E-3</v>
      </c>
      <c r="O892" s="112">
        <f>G892/'CGE-Flood Weighted Av Calcs'!$D$7</f>
        <v>8.6207219520723927E-3</v>
      </c>
      <c r="P892" s="112">
        <f>H892/'CGE-Flood Weighted Av Calcs'!$D$8</f>
        <v>2.0643929637965075E-2</v>
      </c>
      <c r="R892" s="1">
        <f t="shared" si="135"/>
        <v>9.1533151243573252E-2</v>
      </c>
      <c r="S892" s="1">
        <f t="shared" si="136"/>
        <v>0.10617845544254498</v>
      </c>
      <c r="T892" s="1">
        <f t="shared" si="137"/>
        <v>2.5629282348200517</v>
      </c>
    </row>
    <row r="893" spans="1:20">
      <c r="A893">
        <v>840</v>
      </c>
      <c r="B893">
        <v>0.12798616297796694</v>
      </c>
      <c r="C893" s="1">
        <f t="shared" si="131"/>
        <v>89.80773617063582</v>
      </c>
      <c r="D893" s="1">
        <f t="shared" si="140"/>
        <v>288.86157425480462</v>
      </c>
      <c r="E893" s="1">
        <f t="shared" si="138"/>
        <v>346.31738325376392</v>
      </c>
      <c r="F893" s="1">
        <f t="shared" si="132"/>
        <v>18.531667393263366</v>
      </c>
      <c r="G893" s="1">
        <f t="shared" si="139"/>
        <v>13.820004967951119</v>
      </c>
      <c r="H893" s="1">
        <f t="shared" si="133"/>
        <v>5.4061753689475909</v>
      </c>
      <c r="I893" s="1">
        <f t="shared" si="134"/>
        <v>139.5222139235253</v>
      </c>
      <c r="K893" s="112">
        <f>C893/'CGE-Flood Weighted Av Calcs'!$D$3</f>
        <v>1.5138095775522555E-2</v>
      </c>
      <c r="L893" s="112">
        <f>D893/'CGE-Flood Weighted Av Calcs'!$D$4</f>
        <v>1.483794611028077E-2</v>
      </c>
      <c r="M893" s="112">
        <f>E893/'CGE-Flood Weighted Av Calcs'!$D$5</f>
        <v>1.4835703962891963E-2</v>
      </c>
      <c r="N893" s="112">
        <f>F893/'CGE-Flood Weighted Av Calcs'!$D$6</f>
        <v>5.1224258937199113E-3</v>
      </c>
      <c r="O893" s="112">
        <f>G893/'CGE-Flood Weighted Av Calcs'!$D$7</f>
        <v>2.2813194288369105E-2</v>
      </c>
      <c r="P893" s="112">
        <f>H893/'CGE-Flood Weighted Av Calcs'!$D$8</f>
        <v>5.4630456744182855E-2</v>
      </c>
      <c r="R893" s="1">
        <f t="shared" si="135"/>
        <v>0.24222606583945364</v>
      </c>
      <c r="S893" s="1">
        <f t="shared" si="136"/>
        <v>0.28098223637376618</v>
      </c>
      <c r="T893" s="1">
        <f t="shared" si="137"/>
        <v>6.7823298435047015</v>
      </c>
    </row>
    <row r="894" spans="1:20">
      <c r="A894">
        <v>841</v>
      </c>
      <c r="B894">
        <v>0.74248261820652339</v>
      </c>
      <c r="C894" s="1">
        <f t="shared" si="131"/>
        <v>26.521429020485954</v>
      </c>
      <c r="D894" s="1">
        <f t="shared" si="140"/>
        <v>85.304697178744078</v>
      </c>
      <c r="E894" s="1">
        <f t="shared" si="138"/>
        <v>102.27216819132187</v>
      </c>
      <c r="F894" s="1">
        <f t="shared" si="132"/>
        <v>5.4726499337190493</v>
      </c>
      <c r="G894" s="1">
        <f t="shared" si="139"/>
        <v>4.081232825242072</v>
      </c>
      <c r="H894" s="1">
        <f t="shared" si="133"/>
        <v>1.5965160957561615</v>
      </c>
      <c r="I894" s="1">
        <f t="shared" si="134"/>
        <v>41.202781086956236</v>
      </c>
      <c r="K894" s="112">
        <f>C894/'CGE-Flood Weighted Av Calcs'!$D$3</f>
        <v>4.470482719361896E-3</v>
      </c>
      <c r="L894" s="112">
        <f>D894/'CGE-Flood Weighted Av Calcs'!$D$4</f>
        <v>4.3818444975153061E-3</v>
      </c>
      <c r="M894" s="112">
        <f>E894/'CGE-Flood Weighted Av Calcs'!$D$5</f>
        <v>4.3811823613190137E-3</v>
      </c>
      <c r="N894" s="112">
        <f>F894/'CGE-Flood Weighted Av Calcs'!$D$6</f>
        <v>1.51272106998519E-3</v>
      </c>
      <c r="O894" s="112">
        <f>G894/'CGE-Flood Weighted Av Calcs'!$D$7</f>
        <v>6.7370422510144969E-3</v>
      </c>
      <c r="P894" s="112">
        <f>H894/'CGE-Flood Weighted Av Calcs'!$D$8</f>
        <v>1.6133106597238874E-2</v>
      </c>
      <c r="R894" s="1">
        <f t="shared" si="135"/>
        <v>7.153260605374348E-2</v>
      </c>
      <c r="S894" s="1">
        <f t="shared" si="136"/>
        <v>8.2977823022342467E-2</v>
      </c>
      <c r="T894" s="1">
        <f t="shared" si="137"/>
        <v>2.0029129695048189</v>
      </c>
    </row>
    <row r="895" spans="1:20">
      <c r="A895">
        <v>842</v>
      </c>
      <c r="B895">
        <v>0.71994897811300118</v>
      </c>
      <c r="C895" s="1">
        <f t="shared" si="131"/>
        <v>28.842143576339922</v>
      </c>
      <c r="D895" s="1">
        <f t="shared" si="140"/>
        <v>92.769146106911194</v>
      </c>
      <c r="E895" s="1">
        <f t="shared" si="138"/>
        <v>111.22132810261525</v>
      </c>
      <c r="F895" s="1">
        <f t="shared" si="132"/>
        <v>5.9515252745034708</v>
      </c>
      <c r="G895" s="1">
        <f t="shared" si="139"/>
        <v>4.4383544726484896</v>
      </c>
      <c r="H895" s="1">
        <f t="shared" si="133"/>
        <v>1.7362166427822885</v>
      </c>
      <c r="I895" s="1">
        <f t="shared" si="134"/>
        <v>44.808163501919793</v>
      </c>
      <c r="K895" s="112">
        <f>C895/'CGE-Flood Weighted Av Calcs'!$D$3</f>
        <v>4.8616650463210896E-3</v>
      </c>
      <c r="L895" s="112">
        <f>D895/'CGE-Flood Weighted Av Calcs'!$D$4</f>
        <v>4.765270680886404E-3</v>
      </c>
      <c r="M895" s="112">
        <f>E895/'CGE-Flood Weighted Av Calcs'!$D$5</f>
        <v>4.7645506055380574E-3</v>
      </c>
      <c r="N895" s="112">
        <f>F895/'CGE-Flood Weighted Av Calcs'!$D$6</f>
        <v>1.6450892694268541E-3</v>
      </c>
      <c r="O895" s="112">
        <f>G895/'CGE-Flood Weighted Av Calcs'!$D$7</f>
        <v>7.3265561872075963E-3</v>
      </c>
      <c r="P895" s="112">
        <f>H895/'CGE-Flood Weighted Av Calcs'!$D$8</f>
        <v>1.7544807877831109E-2</v>
      </c>
      <c r="R895" s="1">
        <f t="shared" si="135"/>
        <v>7.779195052416632E-2</v>
      </c>
      <c r="S895" s="1">
        <f t="shared" si="136"/>
        <v>9.0238662608032955E-2</v>
      </c>
      <c r="T895" s="1">
        <f t="shared" si="137"/>
        <v>2.1781746146766583</v>
      </c>
    </row>
    <row r="896" spans="1:20">
      <c r="A896">
        <v>843</v>
      </c>
      <c r="B896">
        <v>0.1179506701848495</v>
      </c>
      <c r="C896" s="1">
        <f t="shared" si="131"/>
        <v>90.84128042285144</v>
      </c>
      <c r="D896" s="1">
        <f t="shared" si="140"/>
        <v>292.18591169484159</v>
      </c>
      <c r="E896" s="1">
        <f t="shared" si="138"/>
        <v>350.30294570268484</v>
      </c>
      <c r="F896" s="1">
        <f t="shared" si="132"/>
        <v>18.744937420267359</v>
      </c>
      <c r="G896" s="1">
        <f t="shared" si="139"/>
        <v>13.979051251815553</v>
      </c>
      <c r="H896" s="1">
        <f t="shared" si="133"/>
        <v>5.468391851817497</v>
      </c>
      <c r="I896" s="1">
        <f t="shared" si="134"/>
        <v>141.12789277042407</v>
      </c>
      <c r="K896" s="112">
        <f>C896/'CGE-Flood Weighted Av Calcs'!$D$3</f>
        <v>1.5312311188864603E-2</v>
      </c>
      <c r="L896" s="112">
        <f>D896/'CGE-Flood Weighted Av Calcs'!$D$4</f>
        <v>1.5008707278203182E-2</v>
      </c>
      <c r="M896" s="112">
        <f>E896/'CGE-Flood Weighted Av Calcs'!$D$5</f>
        <v>1.5006439327262868E-2</v>
      </c>
      <c r="N896" s="112">
        <f>F896/'CGE-Flood Weighted Av Calcs'!$D$6</f>
        <v>5.1813768712815275E-3</v>
      </c>
      <c r="O896" s="112">
        <f>G896/'CGE-Flood Weighted Av Calcs'!$D$7</f>
        <v>2.3075737882460184E-2</v>
      </c>
      <c r="P896" s="112">
        <f>H896/'CGE-Flood Weighted Av Calcs'!$D$8</f>
        <v>5.5259166440823952E-2</v>
      </c>
      <c r="R896" s="1">
        <f t="shared" si="135"/>
        <v>0.24501370272643069</v>
      </c>
      <c r="S896" s="1">
        <f t="shared" si="136"/>
        <v>0.2842158951626596</v>
      </c>
      <c r="T896" s="1">
        <f t="shared" si="137"/>
        <v>6.8603836763400592</v>
      </c>
    </row>
    <row r="897" spans="1:20">
      <c r="A897">
        <v>844</v>
      </c>
      <c r="B897">
        <v>0.9565330763372174</v>
      </c>
      <c r="C897" s="1">
        <f t="shared" si="131"/>
        <v>4.4766101714481437</v>
      </c>
      <c r="D897" s="1">
        <f t="shared" si="140"/>
        <v>14.398766927969689</v>
      </c>
      <c r="E897" s="1">
        <f t="shared" si="138"/>
        <v>17.262743573420664</v>
      </c>
      <c r="F897" s="1">
        <f t="shared" si="132"/>
        <v>0.92374058498650058</v>
      </c>
      <c r="G897" s="1">
        <f t="shared" si="139"/>
        <v>0.68888023957586597</v>
      </c>
      <c r="H897" s="1">
        <f t="shared" si="133"/>
        <v>0.26947945329877054</v>
      </c>
      <c r="I897" s="1">
        <f t="shared" si="134"/>
        <v>6.9547077860451907</v>
      </c>
      <c r="K897" s="112">
        <f>C897/'CGE-Flood Weighted Av Calcs'!$D$3</f>
        <v>7.5458258291136106E-4</v>
      </c>
      <c r="L897" s="112">
        <f>D897/'CGE-Flood Weighted Av Calcs'!$D$4</f>
        <v>7.3962114304358228E-4</v>
      </c>
      <c r="M897" s="112">
        <f>E897/'CGE-Flood Weighted Av Calcs'!$D$5</f>
        <v>7.3950937962280667E-4</v>
      </c>
      <c r="N897" s="112">
        <f>F897/'CGE-Flood Weighted Av Calcs'!$D$6</f>
        <v>2.553355071187459E-4</v>
      </c>
      <c r="O897" s="112">
        <f>G897/'CGE-Flood Weighted Av Calcs'!$D$7</f>
        <v>1.1371601373014841E-3</v>
      </c>
      <c r="P897" s="112">
        <f>H897/'CGE-Flood Weighted Av Calcs'!$D$8</f>
        <v>2.7231424458489936E-3</v>
      </c>
      <c r="R897" s="1">
        <f t="shared" si="135"/>
        <v>1.2074145461884039E-2</v>
      </c>
      <c r="S897" s="1">
        <f t="shared" si="136"/>
        <v>1.4006008735785502E-2</v>
      </c>
      <c r="T897" s="1">
        <f t="shared" si="137"/>
        <v>0.3380760729327541</v>
      </c>
    </row>
    <row r="898" spans="1:20">
      <c r="A898">
        <v>845</v>
      </c>
      <c r="B898">
        <v>0.1908316168729941</v>
      </c>
      <c r="C898" s="1">
        <f t="shared" si="131"/>
        <v>83.335352702269091</v>
      </c>
      <c r="D898" s="1">
        <f t="shared" si="140"/>
        <v>268.04351383403105</v>
      </c>
      <c r="E898" s="1">
        <f t="shared" si="138"/>
        <v>321.35852111386077</v>
      </c>
      <c r="F898" s="1">
        <f t="shared" si="132"/>
        <v>17.196102521106546</v>
      </c>
      <c r="G898" s="1">
        <f t="shared" si="139"/>
        <v>12.824006454890284</v>
      </c>
      <c r="H898" s="1">
        <f t="shared" si="133"/>
        <v>5.0165559266026154</v>
      </c>
      <c r="I898" s="1">
        <f t="shared" si="134"/>
        <v>129.46694130032094</v>
      </c>
      <c r="K898" s="112">
        <f>C898/'CGE-Flood Weighted Av Calcs'!$D$3</f>
        <v>1.40471033397052E-2</v>
      </c>
      <c r="L898" s="112">
        <f>D898/'CGE-Flood Weighted Av Calcs'!$D$4</f>
        <v>1.3768585260050377E-2</v>
      </c>
      <c r="M898" s="112">
        <f>E898/'CGE-Flood Weighted Av Calcs'!$D$5</f>
        <v>1.3766504702723982E-2</v>
      </c>
      <c r="N898" s="112">
        <f>F898/'CGE-Flood Weighted Av Calcs'!$D$6</f>
        <v>4.7532560862385961E-3</v>
      </c>
      <c r="O898" s="112">
        <f>G898/'CGE-Flood Weighted Av Calcs'!$D$7</f>
        <v>2.1169062637036409E-2</v>
      </c>
      <c r="P898" s="112">
        <f>H898/'CGE-Flood Weighted Av Calcs'!$D$8</f>
        <v>5.0693276272017869E-2</v>
      </c>
      <c r="R898" s="1">
        <f t="shared" si="135"/>
        <v>0.22476899531305719</v>
      </c>
      <c r="S898" s="1">
        <f t="shared" si="136"/>
        <v>0.26073203456314631</v>
      </c>
      <c r="T898" s="1">
        <f t="shared" si="137"/>
        <v>6.2935318687656014</v>
      </c>
    </row>
    <row r="899" spans="1:20">
      <c r="A899">
        <v>846</v>
      </c>
      <c r="B899">
        <v>0.78016421401309355</v>
      </c>
      <c r="C899" s="1">
        <f t="shared" si="131"/>
        <v>22.640643336807074</v>
      </c>
      <c r="D899" s="1">
        <f t="shared" si="140"/>
        <v>72.822366482833274</v>
      </c>
      <c r="E899" s="1">
        <f t="shared" si="138"/>
        <v>87.307048255699044</v>
      </c>
      <c r="F899" s="1">
        <f t="shared" si="132"/>
        <v>4.6718566771355512</v>
      </c>
      <c r="G899" s="1">
        <f t="shared" si="139"/>
        <v>3.4840406487675057</v>
      </c>
      <c r="H899" s="1">
        <f t="shared" si="133"/>
        <v>1.3629036156975785</v>
      </c>
      <c r="I899" s="1">
        <f t="shared" si="134"/>
        <v>35.173725757905004</v>
      </c>
      <c r="K899" s="112">
        <f>C899/'CGE-Flood Weighted Av Calcs'!$D$3</f>
        <v>3.8163330005427255E-3</v>
      </c>
      <c r="L899" s="112">
        <f>D899/'CGE-Flood Weighted Av Calcs'!$D$4</f>
        <v>3.7406648921128496E-3</v>
      </c>
      <c r="M899" s="112">
        <f>E899/'CGE-Flood Weighted Av Calcs'!$D$5</f>
        <v>3.7400996439337607E-3</v>
      </c>
      <c r="N899" s="112">
        <f>F899/'CGE-Flood Weighted Av Calcs'!$D$6</f>
        <v>1.2913700158144917E-3</v>
      </c>
      <c r="O899" s="112">
        <f>G899/'CGE-Flood Weighted Av Calcs'!$D$7</f>
        <v>5.7512349968924974E-3</v>
      </c>
      <c r="P899" s="112">
        <f>H899/'CGE-Flood Weighted Av Calcs'!$D$8</f>
        <v>1.3772406912939485E-2</v>
      </c>
      <c r="R899" s="1">
        <f t="shared" si="135"/>
        <v>6.1065496107473999E-2</v>
      </c>
      <c r="S899" s="1">
        <f t="shared" si="136"/>
        <v>7.0835975484669855E-2</v>
      </c>
      <c r="T899" s="1">
        <f t="shared" si="137"/>
        <v>1.7098338910092732</v>
      </c>
    </row>
    <row r="900" spans="1:20">
      <c r="A900">
        <v>847</v>
      </c>
      <c r="B900">
        <v>0.40133294120106611</v>
      </c>
      <c r="C900" s="1">
        <f t="shared" si="131"/>
        <v>61.656055200081312</v>
      </c>
      <c r="D900" s="1">
        <f t="shared" si="140"/>
        <v>198.31326260799264</v>
      </c>
      <c r="E900" s="1">
        <f t="shared" si="138"/>
        <v>237.7586231332192</v>
      </c>
      <c r="F900" s="1">
        <f t="shared" si="132"/>
        <v>12.722617855299889</v>
      </c>
      <c r="G900" s="1">
        <f t="shared" si="139"/>
        <v>9.4879018835350237</v>
      </c>
      <c r="H900" s="1">
        <f t="shared" si="133"/>
        <v>3.7115226502963385</v>
      </c>
      <c r="I900" s="1">
        <f t="shared" si="134"/>
        <v>95.786729407829412</v>
      </c>
      <c r="K900" s="112">
        <f>C900/'CGE-Flood Weighted Av Calcs'!$D$3</f>
        <v>1.039281590381423E-2</v>
      </c>
      <c r="L900" s="112">
        <f>D900/'CGE-Flood Weighted Av Calcs'!$D$4</f>
        <v>1.0186752984097918E-2</v>
      </c>
      <c r="M900" s="112">
        <f>E900/'CGE-Flood Weighted Av Calcs'!$D$5</f>
        <v>1.0185213673910782E-2</v>
      </c>
      <c r="N900" s="112">
        <f>F900/'CGE-Flood Weighted Av Calcs'!$D$6</f>
        <v>3.5167190169613284E-3</v>
      </c>
      <c r="O900" s="112">
        <f>G900/'CGE-Flood Weighted Av Calcs'!$D$7</f>
        <v>1.5662031204765718E-2</v>
      </c>
      <c r="P900" s="112">
        <f>H900/'CGE-Flood Weighted Av Calcs'!$D$8</f>
        <v>3.7505660428019068E-2</v>
      </c>
      <c r="R900" s="1">
        <f t="shared" si="135"/>
        <v>0.16629640522192607</v>
      </c>
      <c r="S900" s="1">
        <f t="shared" si="136"/>
        <v>0.19290383005743422</v>
      </c>
      <c r="T900" s="1">
        <f t="shared" si="137"/>
        <v>4.656299346213931</v>
      </c>
    </row>
    <row r="901" spans="1:20">
      <c r="A901">
        <v>848</v>
      </c>
      <c r="B901">
        <v>0.90557778609739814</v>
      </c>
      <c r="C901" s="1">
        <f t="shared" si="131"/>
        <v>9.7244388962579791</v>
      </c>
      <c r="D901" s="1">
        <f t="shared" si="140"/>
        <v>31.278115317154459</v>
      </c>
      <c r="E901" s="1">
        <f t="shared" si="138"/>
        <v>37.499466925259355</v>
      </c>
      <c r="F901" s="1">
        <f t="shared" si="132"/>
        <v>2.0066207533520739</v>
      </c>
      <c r="G901" s="1">
        <f t="shared" si="139"/>
        <v>1.4964389437617722</v>
      </c>
      <c r="H901" s="1">
        <f t="shared" si="133"/>
        <v>0.58538411365695975</v>
      </c>
      <c r="I901" s="1">
        <f t="shared" si="134"/>
        <v>15.107554224416276</v>
      </c>
      <c r="K901" s="112">
        <f>C901/'CGE-Flood Weighted Av Calcs'!$D$3</f>
        <v>1.6391626562668306E-3</v>
      </c>
      <c r="L901" s="112">
        <f>D901/'CGE-Flood Weighted Av Calcs'!$D$4</f>
        <v>1.6066622592650567E-3</v>
      </c>
      <c r="M901" s="112">
        <f>E901/'CGE-Flood Weighted Av Calcs'!$D$5</f>
        <v>1.6064194781171437E-3</v>
      </c>
      <c r="N901" s="112">
        <f>F901/'CGE-Flood Weighted Av Calcs'!$D$6</f>
        <v>5.5465953967978935E-4</v>
      </c>
      <c r="O901" s="112">
        <f>G901/'CGE-Flood Weighted Av Calcs'!$D$7</f>
        <v>2.4702272136578225E-3</v>
      </c>
      <c r="P901" s="112">
        <f>H901/'CGE-Flood Weighted Av Calcs'!$D$8</f>
        <v>5.9154206656995304E-3</v>
      </c>
      <c r="R901" s="1">
        <f t="shared" si="135"/>
        <v>2.6228392750722723E-2</v>
      </c>
      <c r="S901" s="1">
        <f t="shared" si="136"/>
        <v>3.0424935590838365E-2</v>
      </c>
      <c r="T901" s="1">
        <f t="shared" si="137"/>
        <v>0.73439499702023703</v>
      </c>
    </row>
    <row r="902" spans="1:20">
      <c r="A902">
        <v>849</v>
      </c>
      <c r="B902">
        <v>0.25145750303975856</v>
      </c>
      <c r="C902" s="1">
        <f t="shared" si="131"/>
        <v>77.091560048049757</v>
      </c>
      <c r="D902" s="1">
        <f t="shared" si="140"/>
        <v>247.96070301702602</v>
      </c>
      <c r="E902" s="1">
        <f t="shared" si="138"/>
        <v>297.28115288491614</v>
      </c>
      <c r="F902" s="1">
        <f t="shared" si="132"/>
        <v>15.907706958828399</v>
      </c>
      <c r="G902" s="1">
        <f t="shared" si="139"/>
        <v>11.863184490330157</v>
      </c>
      <c r="H902" s="1">
        <f t="shared" si="133"/>
        <v>4.6406970140483397</v>
      </c>
      <c r="I902" s="1">
        <f t="shared" si="134"/>
        <v>119.76679951363863</v>
      </c>
      <c r="K902" s="112">
        <f>C902/'CGE-Flood Weighted Av Calcs'!$D$3</f>
        <v>1.2994642435641334E-2</v>
      </c>
      <c r="L902" s="112">
        <f>D902/'CGE-Flood Weighted Av Calcs'!$D$4</f>
        <v>1.2736991959991612E-2</v>
      </c>
      <c r="M902" s="112">
        <f>E902/'CGE-Flood Weighted Av Calcs'!$D$5</f>
        <v>1.2735067285710406E-2</v>
      </c>
      <c r="N902" s="112">
        <f>F902/'CGE-Flood Weighted Av Calcs'!$D$6</f>
        <v>4.3971245709510656E-3</v>
      </c>
      <c r="O902" s="112">
        <f>G902/'CGE-Flood Weighted Av Calcs'!$D$7</f>
        <v>1.9582998217748986E-2</v>
      </c>
      <c r="P902" s="112">
        <f>H902/'CGE-Flood Weighted Av Calcs'!$D$8</f>
        <v>4.6895148637802933E-2</v>
      </c>
      <c r="R902" s="1">
        <f t="shared" si="135"/>
        <v>0.20792847137784484</v>
      </c>
      <c r="S902" s="1">
        <f t="shared" si="136"/>
        <v>0.24119702679830002</v>
      </c>
      <c r="T902" s="1">
        <f t="shared" si="137"/>
        <v>5.8219971985796555</v>
      </c>
    </row>
    <row r="903" spans="1:20">
      <c r="A903">
        <v>850</v>
      </c>
      <c r="B903">
        <v>0.22488184998927307</v>
      </c>
      <c r="C903" s="1">
        <f t="shared" si="131"/>
        <v>79.828557027215865</v>
      </c>
      <c r="D903" s="1">
        <f t="shared" si="140"/>
        <v>256.76410114110735</v>
      </c>
      <c r="E903" s="1">
        <f t="shared" si="138"/>
        <v>307.83558474362928</v>
      </c>
      <c r="F903" s="1">
        <f t="shared" si="132"/>
        <v>16.472481440816257</v>
      </c>
      <c r="G903" s="1">
        <f t="shared" si="139"/>
        <v>12.284365487226397</v>
      </c>
      <c r="H903" s="1">
        <f t="shared" si="133"/>
        <v>4.8054566025267524</v>
      </c>
      <c r="I903" s="1">
        <f t="shared" si="134"/>
        <v>124.01890400171631</v>
      </c>
      <c r="K903" s="112">
        <f>C903/'CGE-Flood Weighted Av Calcs'!$D$3</f>
        <v>1.3455993808859442E-2</v>
      </c>
      <c r="L903" s="112">
        <f>D903/'CGE-Flood Weighted Av Calcs'!$D$4</f>
        <v>1.3189195917161913E-2</v>
      </c>
      <c r="M903" s="112">
        <f>E903/'CGE-Flood Weighted Av Calcs'!$D$5</f>
        <v>1.3187202910787153E-2</v>
      </c>
      <c r="N903" s="112">
        <f>F903/'CGE-Flood Weighted Av Calcs'!$D$6</f>
        <v>4.5532365585695418E-3</v>
      </c>
      <c r="O903" s="112">
        <f>G903/'CGE-Flood Weighted Av Calcs'!$D$7</f>
        <v>2.0278257295806134E-2</v>
      </c>
      <c r="P903" s="112">
        <f>H903/'CGE-Flood Weighted Av Calcs'!$D$8</f>
        <v>4.8560076420808146E-2</v>
      </c>
      <c r="R903" s="1">
        <f t="shared" si="135"/>
        <v>0.21531059722520193</v>
      </c>
      <c r="S903" s="1">
        <f t="shared" si="136"/>
        <v>0.24976029278123421</v>
      </c>
      <c r="T903" s="1">
        <f t="shared" si="137"/>
        <v>6.0286967223056536</v>
      </c>
    </row>
    <row r="904" spans="1:20">
      <c r="A904">
        <v>851</v>
      </c>
      <c r="B904">
        <v>0.65350190910293604</v>
      </c>
      <c r="C904" s="1">
        <f t="shared" si="131"/>
        <v>35.685453383609854</v>
      </c>
      <c r="D904" s="1">
        <f t="shared" si="140"/>
        <v>114.78027040788956</v>
      </c>
      <c r="E904" s="1">
        <f t="shared" si="138"/>
        <v>137.61055965774091</v>
      </c>
      <c r="F904" s="1">
        <f t="shared" si="132"/>
        <v>7.3636301401291675</v>
      </c>
      <c r="G904" s="1">
        <f t="shared" si="139"/>
        <v>5.4914327437008428</v>
      </c>
      <c r="H904" s="1">
        <f t="shared" si="133"/>
        <v>2.1481648167329941</v>
      </c>
      <c r="I904" s="1">
        <f t="shared" si="134"/>
        <v>55.439694543530209</v>
      </c>
      <c r="K904" s="112">
        <f>C904/'CGE-Flood Weighted Av Calcs'!$D$3</f>
        <v>6.0151812544035855E-3</v>
      </c>
      <c r="L904" s="112">
        <f>D904/'CGE-Flood Weighted Av Calcs'!$D$4</f>
        <v>5.8959156171232846E-3</v>
      </c>
      <c r="M904" s="112">
        <f>E904/'CGE-Flood Weighted Av Calcs'!$D$5</f>
        <v>5.8950246911347879E-3</v>
      </c>
      <c r="N904" s="112">
        <f>F904/'CGE-Flood Weighted Av Calcs'!$D$6</f>
        <v>2.0354158587632476E-3</v>
      </c>
      <c r="O904" s="112">
        <f>G904/'CGE-Flood Weighted Av Calcs'!$D$7</f>
        <v>9.0649115100956482E-3</v>
      </c>
      <c r="P904" s="112">
        <f>H904/'CGE-Flood Weighted Av Calcs'!$D$8</f>
        <v>2.1707624538778628E-2</v>
      </c>
      <c r="R904" s="1">
        <f t="shared" si="135"/>
        <v>9.6249469693628853E-2</v>
      </c>
      <c r="S904" s="1">
        <f t="shared" si="136"/>
        <v>0.11164938484460948</v>
      </c>
      <c r="T904" s="1">
        <f t="shared" si="137"/>
        <v>2.6949851514216085</v>
      </c>
    </row>
    <row r="905" spans="1:20">
      <c r="A905">
        <v>852</v>
      </c>
      <c r="B905">
        <v>0.93462735166060118</v>
      </c>
      <c r="C905" s="1">
        <f t="shared" si="131"/>
        <v>6.7326564161987648</v>
      </c>
      <c r="D905" s="1">
        <f t="shared" si="140"/>
        <v>21.655213840428246</v>
      </c>
      <c r="E905" s="1">
        <f t="shared" si="138"/>
        <v>25.96252897383448</v>
      </c>
      <c r="F905" s="1">
        <f t="shared" si="132"/>
        <v>1.3892717342418734</v>
      </c>
      <c r="G905" s="1">
        <f t="shared" si="139"/>
        <v>1.0360504460616564</v>
      </c>
      <c r="H905" s="1">
        <f t="shared" si="133"/>
        <v>0.40528714826620416</v>
      </c>
      <c r="I905" s="1">
        <f t="shared" si="134"/>
        <v>10.45962373430379</v>
      </c>
      <c r="K905" s="112">
        <f>C905/'CGE-Flood Weighted Av Calcs'!$D$3</f>
        <v>1.1348643446312335E-3</v>
      </c>
      <c r="L905" s="112">
        <f>D905/'CGE-Flood Weighted Av Calcs'!$D$4</f>
        <v>1.1123628914638725E-3</v>
      </c>
      <c r="M905" s="112">
        <f>E905/'CGE-Flood Weighted Av Calcs'!$D$5</f>
        <v>1.1121948034054608E-3</v>
      </c>
      <c r="N905" s="112">
        <f>F905/'CGE-Flood Weighted Av Calcs'!$D$6</f>
        <v>3.8401517542240748E-4</v>
      </c>
      <c r="O905" s="112">
        <f>G905/'CGE-Flood Weighted Av Calcs'!$D$7</f>
        <v>1.7102468612252703E-3</v>
      </c>
      <c r="P905" s="112">
        <f>H905/'CGE-Flood Weighted Av Calcs'!$D$8</f>
        <v>4.0955056969674735E-3</v>
      </c>
      <c r="R905" s="1">
        <f t="shared" si="135"/>
        <v>1.8159068983166327E-2</v>
      </c>
      <c r="S905" s="1">
        <f t="shared" si="136"/>
        <v>2.1064520020472932E-2</v>
      </c>
      <c r="T905" s="1">
        <f t="shared" si="137"/>
        <v>0.50845393152865803</v>
      </c>
    </row>
    <row r="906" spans="1:20">
      <c r="A906">
        <v>853</v>
      </c>
      <c r="B906">
        <v>0.51025977934181677</v>
      </c>
      <c r="C906" s="1">
        <f t="shared" si="131"/>
        <v>50.437801169785565</v>
      </c>
      <c r="D906" s="1">
        <f t="shared" si="140"/>
        <v>162.23037423160039</v>
      </c>
      <c r="E906" s="1">
        <f t="shared" si="138"/>
        <v>194.49869313045951</v>
      </c>
      <c r="F906" s="1">
        <f t="shared" si="132"/>
        <v>10.40775099318928</v>
      </c>
      <c r="G906" s="1">
        <f t="shared" si="139"/>
        <v>7.7615881711410939</v>
      </c>
      <c r="H906" s="1">
        <f t="shared" si="133"/>
        <v>3.0362150297373449</v>
      </c>
      <c r="I906" s="1">
        <f t="shared" si="134"/>
        <v>78.3584353053093</v>
      </c>
      <c r="K906" s="112">
        <f>C906/'CGE-Flood Weighted Av Calcs'!$D$3</f>
        <v>8.5018540425543816E-3</v>
      </c>
      <c r="L906" s="112">
        <f>D906/'CGE-Flood Weighted Av Calcs'!$D$4</f>
        <v>8.3332840531285396E-3</v>
      </c>
      <c r="M906" s="112">
        <f>E906/'CGE-Flood Weighted Av Calcs'!$D$5</f>
        <v>8.3320248188018288E-3</v>
      </c>
      <c r="N906" s="112">
        <f>F906/'CGE-Flood Weighted Av Calcs'!$D$6</f>
        <v>2.8768557114446282E-3</v>
      </c>
      <c r="O906" s="112">
        <f>G906/'CGE-Flood Weighted Av Calcs'!$D$7</f>
        <v>1.2812341192725358E-2</v>
      </c>
      <c r="P906" s="112">
        <f>H906/'CGE-Flood Weighted Av Calcs'!$D$8</f>
        <v>3.0681545182725627E-2</v>
      </c>
      <c r="R906" s="1">
        <f t="shared" si="135"/>
        <v>0.13603895018282866</v>
      </c>
      <c r="S906" s="1">
        <f t="shared" si="136"/>
        <v>0.15780518221208126</v>
      </c>
      <c r="T906" s="1">
        <f t="shared" si="137"/>
        <v>3.8090906051192031</v>
      </c>
    </row>
    <row r="907" spans="1:20">
      <c r="A907">
        <v>854</v>
      </c>
      <c r="B907">
        <v>0.22338896981020795</v>
      </c>
      <c r="C907" s="1">
        <f t="shared" si="131"/>
        <v>79.982307098102027</v>
      </c>
      <c r="D907" s="1">
        <f t="shared" si="140"/>
        <v>257.2586296685115</v>
      </c>
      <c r="E907" s="1">
        <f t="shared" si="138"/>
        <v>308.42847712122142</v>
      </c>
      <c r="F907" s="1">
        <f t="shared" si="132"/>
        <v>16.504207495795967</v>
      </c>
      <c r="G907" s="1">
        <f t="shared" si="139"/>
        <v>12.308025216711531</v>
      </c>
      <c r="H907" s="1">
        <f t="shared" si="133"/>
        <v>4.8147119281995812</v>
      </c>
      <c r="I907" s="1">
        <f t="shared" si="134"/>
        <v>124.25776483036672</v>
      </c>
      <c r="K907" s="112">
        <f>C907/'CGE-Flood Weighted Av Calcs'!$D$3</f>
        <v>1.348191009845554E-2</v>
      </c>
      <c r="L907" s="112">
        <f>D907/'CGE-Flood Weighted Av Calcs'!$D$4</f>
        <v>1.3214598353116051E-2</v>
      </c>
      <c r="M907" s="112">
        <f>E907/'CGE-Flood Weighted Av Calcs'!$D$5</f>
        <v>1.3212601508204271E-2</v>
      </c>
      <c r="N907" s="112">
        <f>F907/'CGE-Flood Weighted Av Calcs'!$D$6</f>
        <v>4.5620061075844738E-3</v>
      </c>
      <c r="O907" s="112">
        <f>G907/'CGE-Flood Weighted Av Calcs'!$D$7</f>
        <v>2.0317313287957099E-2</v>
      </c>
      <c r="P907" s="112">
        <f>H907/'CGE-Flood Weighted Av Calcs'!$D$8</f>
        <v>4.8653603292268331E-2</v>
      </c>
      <c r="R907" s="1">
        <f t="shared" si="135"/>
        <v>0.21572528616383113</v>
      </c>
      <c r="S907" s="1">
        <f t="shared" si="136"/>
        <v>0.25024133195004411</v>
      </c>
      <c r="T907" s="1">
        <f t="shared" si="137"/>
        <v>6.0403080125872712</v>
      </c>
    </row>
    <row r="908" spans="1:20">
      <c r="A908">
        <v>855</v>
      </c>
      <c r="B908">
        <v>0.42207708236717523</v>
      </c>
      <c r="C908" s="1">
        <f t="shared" si="131"/>
        <v>59.519639150429477</v>
      </c>
      <c r="D908" s="1">
        <f t="shared" si="140"/>
        <v>191.44159954554658</v>
      </c>
      <c r="E908" s="1">
        <f t="shared" si="138"/>
        <v>229.52015674485608</v>
      </c>
      <c r="F908" s="1">
        <f t="shared" si="132"/>
        <v>12.281772185049906</v>
      </c>
      <c r="G908" s="1">
        <f t="shared" si="139"/>
        <v>9.1591408916790371</v>
      </c>
      <c r="H908" s="1">
        <f t="shared" si="133"/>
        <v>3.5829163595920805</v>
      </c>
      <c r="I908" s="1">
        <f t="shared" si="134"/>
        <v>92.467666821251953</v>
      </c>
      <c r="K908" s="112">
        <f>C908/'CGE-Flood Weighted Av Calcs'!$D$3</f>
        <v>1.0032699146004588E-2</v>
      </c>
      <c r="L908" s="112">
        <f>D908/'CGE-Flood Weighted Av Calcs'!$D$4</f>
        <v>9.8337764192099851E-3</v>
      </c>
      <c r="M908" s="112">
        <f>E908/'CGE-Flood Weighted Av Calcs'!$D$5</f>
        <v>9.8322904469631128E-3</v>
      </c>
      <c r="N908" s="112">
        <f>F908/'CGE-Flood Weighted Av Calcs'!$D$6</f>
        <v>3.394862778744808E-3</v>
      </c>
      <c r="O908" s="112">
        <f>G908/'CGE-Flood Weighted Av Calcs'!$D$7</f>
        <v>1.511933325356813E-2</v>
      </c>
      <c r="P908" s="112">
        <f>H908/'CGE-Flood Weighted Av Calcs'!$D$8</f>
        <v>3.6206068771835617E-2</v>
      </c>
      <c r="R908" s="1">
        <f t="shared" si="135"/>
        <v>0.16053414378689576</v>
      </c>
      <c r="S908" s="1">
        <f t="shared" si="136"/>
        <v>0.18621960679279909</v>
      </c>
      <c r="T908" s="1">
        <f t="shared" si="137"/>
        <v>4.4949560260330816</v>
      </c>
    </row>
    <row r="909" spans="1:20">
      <c r="A909">
        <v>856</v>
      </c>
      <c r="B909">
        <v>0.85249507661792356</v>
      </c>
      <c r="C909" s="1">
        <f t="shared" si="131"/>
        <v>15.191368164760746</v>
      </c>
      <c r="D909" s="1">
        <f t="shared" si="140"/>
        <v>48.862188384522568</v>
      </c>
      <c r="E909" s="1">
        <f t="shared" si="138"/>
        <v>58.581087723539099</v>
      </c>
      <c r="F909" s="1">
        <f t="shared" si="132"/>
        <v>3.1347119310864429</v>
      </c>
      <c r="G909" s="1">
        <f t="shared" si="139"/>
        <v>2.337713792362722</v>
      </c>
      <c r="H909" s="1">
        <f t="shared" si="133"/>
        <v>0.91447801597961842</v>
      </c>
      <c r="I909" s="1">
        <f t="shared" si="134"/>
        <v>23.600787741132208</v>
      </c>
      <c r="K909" s="112">
        <f>C909/'CGE-Flood Weighted Av Calcs'!$D$3</f>
        <v>2.5606745704226377E-3</v>
      </c>
      <c r="L909" s="112">
        <f>D909/'CGE-Flood Weighted Av Calcs'!$D$4</f>
        <v>2.5099029524792314E-3</v>
      </c>
      <c r="M909" s="112">
        <f>E909/'CGE-Flood Weighted Av Calcs'!$D$5</f>
        <v>2.5095236835218407E-3</v>
      </c>
      <c r="N909" s="112">
        <f>F909/'CGE-Flood Weighted Av Calcs'!$D$6</f>
        <v>8.664805613221347E-4</v>
      </c>
      <c r="O909" s="112">
        <f>G909/'CGE-Flood Weighted Av Calcs'!$D$7</f>
        <v>3.8589507789212798E-3</v>
      </c>
      <c r="P909" s="112">
        <f>H909/'CGE-Flood Weighted Av Calcs'!$D$8</f>
        <v>9.2409787485687855E-3</v>
      </c>
      <c r="R909" s="1">
        <f t="shared" si="135"/>
        <v>4.0973589828354556E-2</v>
      </c>
      <c r="S909" s="1">
        <f t="shared" si="136"/>
        <v>4.7529364200891294E-2</v>
      </c>
      <c r="T909" s="1">
        <f t="shared" si="137"/>
        <v>1.1472605151939286</v>
      </c>
    </row>
    <row r="910" spans="1:20">
      <c r="A910">
        <v>857</v>
      </c>
      <c r="B910">
        <v>0.65361416629977065</v>
      </c>
      <c r="C910" s="1">
        <f t="shared" si="131"/>
        <v>35.67389213963807</v>
      </c>
      <c r="D910" s="1">
        <f t="shared" si="140"/>
        <v>114.74308431149709</v>
      </c>
      <c r="E910" s="1">
        <f t="shared" si="138"/>
        <v>137.56597708690472</v>
      </c>
      <c r="F910" s="1">
        <f t="shared" si="132"/>
        <v>7.3612444978997456</v>
      </c>
      <c r="G910" s="1">
        <f t="shared" si="139"/>
        <v>5.4896536492047723</v>
      </c>
      <c r="H910" s="1">
        <f t="shared" si="133"/>
        <v>2.1474688620740787</v>
      </c>
      <c r="I910" s="1">
        <f t="shared" si="134"/>
        <v>55.421733392036671</v>
      </c>
      <c r="K910" s="112">
        <f>C910/'CGE-Flood Weighted Av Calcs'!$D$3</f>
        <v>6.0132324777614869E-3</v>
      </c>
      <c r="L910" s="112">
        <f>D910/'CGE-Flood Weighted Av Calcs'!$D$4</f>
        <v>5.8940054797304983E-3</v>
      </c>
      <c r="M910" s="112">
        <f>E910/'CGE-Flood Weighted Av Calcs'!$D$5</f>
        <v>5.8931148423809771E-3</v>
      </c>
      <c r="N910" s="112">
        <f>F910/'CGE-Flood Weighted Av Calcs'!$D$6</f>
        <v>2.0347564321034758E-3</v>
      </c>
      <c r="O910" s="112">
        <f>G910/'CGE-Flood Weighted Av Calcs'!$D$7</f>
        <v>9.0619746928882489E-3</v>
      </c>
      <c r="P910" s="112">
        <f>H910/'CGE-Flood Weighted Av Calcs'!$D$8</f>
        <v>2.1700591781182905E-2</v>
      </c>
      <c r="R910" s="1">
        <f t="shared" si="135"/>
        <v>9.6218287138952585E-2</v>
      </c>
      <c r="S910" s="1">
        <f t="shared" si="136"/>
        <v>0.11161321308118499</v>
      </c>
      <c r="T910" s="1">
        <f t="shared" si="137"/>
        <v>2.6941120398906735</v>
      </c>
    </row>
    <row r="911" spans="1:20">
      <c r="A911">
        <v>858</v>
      </c>
      <c r="B911">
        <v>0.8957817042415539</v>
      </c>
      <c r="C911" s="1">
        <f t="shared" si="131"/>
        <v>10.733326482055986</v>
      </c>
      <c r="D911" s="1">
        <f t="shared" si="140"/>
        <v>34.523145964915386</v>
      </c>
      <c r="E911" s="1">
        <f t="shared" si="138"/>
        <v>41.389948119963094</v>
      </c>
      <c r="F911" s="1">
        <f t="shared" si="132"/>
        <v>2.2148029208846971</v>
      </c>
      <c r="G911" s="1">
        <f t="shared" si="139"/>
        <v>1.6516909525791537</v>
      </c>
      <c r="H911" s="1">
        <f t="shared" si="133"/>
        <v>0.6461163339415803</v>
      </c>
      <c r="I911" s="1">
        <f t="shared" si="134"/>
        <v>16.674927321351348</v>
      </c>
      <c r="K911" s="112">
        <f>C911/'CGE-Flood Weighted Av Calcs'!$D$3</f>
        <v>1.8092219134284604E-3</v>
      </c>
      <c r="L911" s="112">
        <f>D911/'CGE-Flood Weighted Av Calcs'!$D$4</f>
        <v>1.7733496769387325E-3</v>
      </c>
      <c r="M911" s="112">
        <f>E911/'CGE-Flood Weighted Av Calcs'!$D$5</f>
        <v>1.7730817078196882E-3</v>
      </c>
      <c r="N911" s="112">
        <f>F911/'CGE-Flood Weighted Av Calcs'!$D$6</f>
        <v>6.1220415792431402E-4</v>
      </c>
      <c r="O911" s="112">
        <f>G911/'CGE-Flood Weighted Av Calcs'!$D$7</f>
        <v>2.7265074573353037E-3</v>
      </c>
      <c r="P911" s="112">
        <f>H911/'CGE-Flood Weighted Av Calcs'!$D$8</f>
        <v>6.5291315993651951E-3</v>
      </c>
      <c r="R911" s="1">
        <f t="shared" si="135"/>
        <v>2.8949526599568343E-2</v>
      </c>
      <c r="S911" s="1">
        <f t="shared" si="136"/>
        <v>3.3581450855499295E-2</v>
      </c>
      <c r="T911" s="1">
        <f t="shared" si="137"/>
        <v>0.8105867447879147</v>
      </c>
    </row>
    <row r="912" spans="1:20">
      <c r="A912">
        <v>859</v>
      </c>
      <c r="B912">
        <v>0.87380882495409518</v>
      </c>
      <c r="C912" s="1">
        <f t="shared" si="131"/>
        <v>12.99628890556103</v>
      </c>
      <c r="D912" s="1">
        <f t="shared" si="140"/>
        <v>41.801838380579113</v>
      </c>
      <c r="E912" s="1">
        <f t="shared" si="138"/>
        <v>50.116403749807944</v>
      </c>
      <c r="F912" s="1">
        <f t="shared" si="132"/>
        <v>2.6817612113839608</v>
      </c>
      <c r="G912" s="1">
        <f t="shared" si="139"/>
        <v>1.9999254507264546</v>
      </c>
      <c r="H912" s="1">
        <f t="shared" si="133"/>
        <v>0.78234036359045422</v>
      </c>
      <c r="I912" s="1">
        <f t="shared" si="134"/>
        <v>20.190588007344743</v>
      </c>
      <c r="K912" s="112">
        <f>C912/'CGE-Flood Weighted Av Calcs'!$D$3</f>
        <v>2.1906694742303426E-3</v>
      </c>
      <c r="L912" s="112">
        <f>D912/'CGE-Flood Weighted Av Calcs'!$D$4</f>
        <v>2.147234109631259E-3</v>
      </c>
      <c r="M912" s="112">
        <f>E912/'CGE-Flood Weighted Av Calcs'!$D$5</f>
        <v>2.1469096432046877E-3</v>
      </c>
      <c r="N912" s="112">
        <f>F912/'CGE-Flood Weighted Av Calcs'!$D$6</f>
        <v>7.4127830909379478E-4</v>
      </c>
      <c r="O912" s="112">
        <f>G912/'CGE-Flood Weighted Av Calcs'!$D$7</f>
        <v>3.3013510469411095E-3</v>
      </c>
      <c r="P912" s="112">
        <f>H912/'CGE-Flood Weighted Av Calcs'!$D$8</f>
        <v>7.9057019936585281E-3</v>
      </c>
      <c r="R912" s="1">
        <f t="shared" si="135"/>
        <v>3.5053104179417982E-2</v>
      </c>
      <c r="S912" s="1">
        <f t="shared" si="136"/>
        <v>4.0661600848124896E-2</v>
      </c>
      <c r="T912" s="1">
        <f t="shared" si="137"/>
        <v>0.98148691702370439</v>
      </c>
    </row>
    <row r="913" spans="1:20">
      <c r="A913">
        <v>860</v>
      </c>
      <c r="B913">
        <v>0.27355906344920067</v>
      </c>
      <c r="C913" s="1">
        <f t="shared" si="131"/>
        <v>74.815344898770661</v>
      </c>
      <c r="D913" s="1">
        <f t="shared" si="140"/>
        <v>240.6393839480973</v>
      </c>
      <c r="E913" s="1">
        <f t="shared" si="138"/>
        <v>288.50359197721053</v>
      </c>
      <c r="F913" s="1">
        <f t="shared" si="132"/>
        <v>15.438013991823851</v>
      </c>
      <c r="G913" s="1">
        <f t="shared" si="139"/>
        <v>11.512910605111701</v>
      </c>
      <c r="H913" s="1">
        <f t="shared" si="133"/>
        <v>4.5036752072512369</v>
      </c>
      <c r="I913" s="1">
        <f t="shared" si="134"/>
        <v>116.23054984812789</v>
      </c>
      <c r="K913" s="112">
        <f>C913/'CGE-Flood Weighted Av Calcs'!$D$3</f>
        <v>1.2610960980070375E-2</v>
      </c>
      <c r="L913" s="112">
        <f>D913/'CGE-Flood Weighted Av Calcs'!$D$4</f>
        <v>1.2360917924941487E-2</v>
      </c>
      <c r="M913" s="112">
        <f>E913/'CGE-Flood Weighted Av Calcs'!$D$5</f>
        <v>1.2359050078836462E-2</v>
      </c>
      <c r="N913" s="112">
        <f>F913/'CGE-Flood Weighted Av Calcs'!$D$6</f>
        <v>4.2672945149056576E-3</v>
      </c>
      <c r="O913" s="112">
        <f>G913/'CGE-Flood Weighted Av Calcs'!$D$7</f>
        <v>1.9004788136337183E-2</v>
      </c>
      <c r="P913" s="112">
        <f>H913/'CGE-Flood Weighted Av Calcs'!$D$8</f>
        <v>4.5510516549795751E-2</v>
      </c>
      <c r="R913" s="1">
        <f t="shared" si="135"/>
        <v>0.20178914904188872</v>
      </c>
      <c r="S913" s="1">
        <f t="shared" si="136"/>
        <v>0.23407541288859088</v>
      </c>
      <c r="T913" s="1">
        <f t="shared" si="137"/>
        <v>5.6500961731728836</v>
      </c>
    </row>
    <row r="914" spans="1:20">
      <c r="A914">
        <v>861</v>
      </c>
      <c r="B914">
        <v>0.78374898592234377</v>
      </c>
      <c r="C914" s="1">
        <f t="shared" si="131"/>
        <v>22.271451660953289</v>
      </c>
      <c r="D914" s="1">
        <f t="shared" si="140"/>
        <v>71.634882049573918</v>
      </c>
      <c r="E914" s="1">
        <f t="shared" si="138"/>
        <v>85.883368063406635</v>
      </c>
      <c r="F914" s="1">
        <f t="shared" si="132"/>
        <v>4.5956746283164556</v>
      </c>
      <c r="G914" s="1">
        <f t="shared" si="139"/>
        <v>3.4272278282691566</v>
      </c>
      <c r="H914" s="1">
        <f t="shared" si="133"/>
        <v>1.3406793059718671</v>
      </c>
      <c r="I914" s="1">
        <f t="shared" si="134"/>
        <v>34.60016225242498</v>
      </c>
      <c r="K914" s="112">
        <f>C914/'CGE-Flood Weighted Av Calcs'!$D$3</f>
        <v>3.7541016250854779E-3</v>
      </c>
      <c r="L914" s="112">
        <f>D914/'CGE-Flood Weighted Av Calcs'!$D$4</f>
        <v>3.6796674054344826E-3</v>
      </c>
      <c r="M914" s="112">
        <f>E914/'CGE-Flood Weighted Av Calcs'!$D$5</f>
        <v>3.6791113745253878E-3</v>
      </c>
      <c r="N914" s="112">
        <f>F914/'CGE-Flood Weighted Av Calcs'!$D$6</f>
        <v>1.270312175134196E-3</v>
      </c>
      <c r="O914" s="112">
        <f>G914/'CGE-Flood Weighted Av Calcs'!$D$7</f>
        <v>5.6574519689482445E-3</v>
      </c>
      <c r="P914" s="112">
        <f>H914/'CGE-Flood Weighted Av Calcs'!$D$8</f>
        <v>1.3547825927625252E-2</v>
      </c>
      <c r="R914" s="1">
        <f t="shared" si="135"/>
        <v>6.0069726132682272E-2</v>
      </c>
      <c r="S914" s="1">
        <f t="shared" si="136"/>
        <v>6.9680882313911452E-2</v>
      </c>
      <c r="T914" s="1">
        <f t="shared" si="137"/>
        <v>1.6819523317151042</v>
      </c>
    </row>
    <row r="915" spans="1:20">
      <c r="A915">
        <v>862</v>
      </c>
      <c r="B915">
        <v>0.11492968188030384</v>
      </c>
      <c r="C915" s="1">
        <f t="shared" si="131"/>
        <v>91.152408651682933</v>
      </c>
      <c r="D915" s="1">
        <f t="shared" si="140"/>
        <v>293.18663828931466</v>
      </c>
      <c r="E915" s="1">
        <f t="shared" si="138"/>
        <v>351.50272111914308</v>
      </c>
      <c r="F915" s="1">
        <f t="shared" si="132"/>
        <v>18.809138179569491</v>
      </c>
      <c r="G915" s="1">
        <f t="shared" si="139"/>
        <v>14.026929016599105</v>
      </c>
      <c r="H915" s="1">
        <f t="shared" si="133"/>
        <v>5.4871209038904416</v>
      </c>
      <c r="I915" s="1">
        <f t="shared" si="134"/>
        <v>141.6112508991514</v>
      </c>
      <c r="K915" s="112">
        <f>C915/'CGE-Flood Weighted Av Calcs'!$D$3</f>
        <v>1.5364755322603493E-2</v>
      </c>
      <c r="L915" s="112">
        <f>D915/'CGE-Flood Weighted Av Calcs'!$D$4</f>
        <v>1.5060111579097901E-2</v>
      </c>
      <c r="M915" s="112">
        <f>E915/'CGE-Flood Weighted Av Calcs'!$D$5</f>
        <v>1.5057835860504422E-2</v>
      </c>
      <c r="N915" s="112">
        <f>F915/'CGE-Flood Weighted Av Calcs'!$D$6</f>
        <v>5.1991229070195355E-3</v>
      </c>
      <c r="O915" s="112">
        <f>G915/'CGE-Flood Weighted Av Calcs'!$D$7</f>
        <v>2.3154771482855621E-2</v>
      </c>
      <c r="P915" s="112">
        <f>H915/'CGE-Flood Weighted Av Calcs'!$D$8</f>
        <v>5.5448427165699352E-2</v>
      </c>
      <c r="R915" s="1">
        <f t="shared" si="135"/>
        <v>0.24585286614436005</v>
      </c>
      <c r="S915" s="1">
        <f t="shared" si="136"/>
        <v>0.28518932472745762</v>
      </c>
      <c r="T915" s="1">
        <f t="shared" si="137"/>
        <v>6.883880252042081</v>
      </c>
    </row>
    <row r="916" spans="1:20">
      <c r="A916">
        <v>863</v>
      </c>
      <c r="B916">
        <v>0.21595343516255372</v>
      </c>
      <c r="C916" s="1">
        <f t="shared" si="131"/>
        <v>80.748084549758772</v>
      </c>
      <c r="D916" s="1">
        <f t="shared" si="140"/>
        <v>259.72171012957676</v>
      </c>
      <c r="E916" s="1">
        <f t="shared" si="138"/>
        <v>311.38147487531927</v>
      </c>
      <c r="F916" s="1">
        <f t="shared" si="132"/>
        <v>16.662224317469331</v>
      </c>
      <c r="G916" s="1">
        <f t="shared" si="139"/>
        <v>12.425866380930762</v>
      </c>
      <c r="H916" s="1">
        <f t="shared" si="133"/>
        <v>4.8608095961040059</v>
      </c>
      <c r="I916" s="1">
        <f t="shared" si="134"/>
        <v>125.4474503739914</v>
      </c>
      <c r="K916" s="112">
        <f>C916/'CGE-Flood Weighted Av Calcs'!$D$3</f>
        <v>1.3610990430509447E-2</v>
      </c>
      <c r="L916" s="112">
        <f>D916/'CGE-Flood Weighted Av Calcs'!$D$4</f>
        <v>1.3341119352805452E-2</v>
      </c>
      <c r="M916" s="112">
        <f>E916/'CGE-Flood Weighted Av Calcs'!$D$5</f>
        <v>1.3339103389430311E-2</v>
      </c>
      <c r="N916" s="112">
        <f>F916/'CGE-Flood Weighted Av Calcs'!$D$6</f>
        <v>4.605684285149716E-3</v>
      </c>
      <c r="O916" s="112">
        <f>G916/'CGE-Flood Weighted Av Calcs'!$D$7</f>
        <v>2.0511838064231437E-2</v>
      </c>
      <c r="P916" s="112">
        <f>H916/'CGE-Flood Weighted Av Calcs'!$D$8</f>
        <v>4.9119429219212064E-2</v>
      </c>
      <c r="R916" s="1">
        <f t="shared" si="135"/>
        <v>0.21779071245484619</v>
      </c>
      <c r="S916" s="1">
        <f t="shared" si="136"/>
        <v>0.25263722644762154</v>
      </c>
      <c r="T916" s="1">
        <f t="shared" si="137"/>
        <v>6.0981399487356933</v>
      </c>
    </row>
    <row r="917" spans="1:20">
      <c r="A917">
        <v>864</v>
      </c>
      <c r="B917">
        <v>0.94463958577392115</v>
      </c>
      <c r="C917" s="1">
        <f t="shared" si="131"/>
        <v>5.7015075495725114</v>
      </c>
      <c r="D917" s="1">
        <f t="shared" si="140"/>
        <v>18.33858102453388</v>
      </c>
      <c r="E917" s="1">
        <f t="shared" si="138"/>
        <v>21.986203631922024</v>
      </c>
      <c r="F917" s="1">
        <f t="shared" si="132"/>
        <v>1.1764959908142565</v>
      </c>
      <c r="G917" s="1">
        <f t="shared" si="139"/>
        <v>0.87737277454797002</v>
      </c>
      <c r="H917" s="1">
        <f t="shared" si="133"/>
        <v>0.34321486093138809</v>
      </c>
      <c r="I917" s="1">
        <f t="shared" si="134"/>
        <v>8.85766627617258</v>
      </c>
      <c r="K917" s="112">
        <f>C917/'CGE-Flood Weighted Av Calcs'!$D$3</f>
        <v>9.6105270025183102E-4</v>
      </c>
      <c r="L917" s="112">
        <f>D917/'CGE-Flood Weighted Av Calcs'!$D$4</f>
        <v>9.4199748679977039E-4</v>
      </c>
      <c r="M917" s="112">
        <f>E917/'CGE-Flood Weighted Av Calcs'!$D$5</f>
        <v>9.4185514248947303E-4</v>
      </c>
      <c r="N917" s="112">
        <f>F917/'CGE-Flood Weighted Av Calcs'!$D$6</f>
        <v>3.2520082512355958E-4</v>
      </c>
      <c r="O917" s="112">
        <f>G917/'CGE-Flood Weighted Av Calcs'!$D$7</f>
        <v>1.4483117492001686E-3</v>
      </c>
      <c r="P917" s="112">
        <f>H917/'CGE-Flood Weighted Av Calcs'!$D$8</f>
        <v>3.4682531243382425E-3</v>
      </c>
      <c r="R917" s="1">
        <f t="shared" si="135"/>
        <v>1.5377892840577445E-2</v>
      </c>
      <c r="S917" s="1">
        <f t="shared" si="136"/>
        <v>1.7838355695069863E-2</v>
      </c>
      <c r="T917" s="1">
        <f t="shared" si="137"/>
        <v>0.43058099953616935</v>
      </c>
    </row>
    <row r="918" spans="1:20">
      <c r="A918">
        <v>865</v>
      </c>
      <c r="B918">
        <v>0.98397548886743968</v>
      </c>
      <c r="C918" s="1">
        <f t="shared" si="131"/>
        <v>1.6503465965300279</v>
      </c>
      <c r="D918" s="1">
        <f t="shared" si="140"/>
        <v>5.3082477776073347</v>
      </c>
      <c r="E918" s="1">
        <f t="shared" si="138"/>
        <v>6.3640810819024978</v>
      </c>
      <c r="F918" s="1">
        <f t="shared" si="132"/>
        <v>0.34054609897291144</v>
      </c>
      <c r="G918" s="1">
        <f t="shared" si="139"/>
        <v>0.25396251075242482</v>
      </c>
      <c r="H918" s="1">
        <f t="shared" si="133"/>
        <v>9.9346264596126055E-2</v>
      </c>
      <c r="I918" s="1">
        <f t="shared" si="134"/>
        <v>2.5639217812096149</v>
      </c>
      <c r="K918" s="112">
        <f>C918/'CGE-Flood Weighted Av Calcs'!$D$3</f>
        <v>2.7818432917194383E-4</v>
      </c>
      <c r="L918" s="112">
        <f>D918/'CGE-Flood Weighted Av Calcs'!$D$4</f>
        <v>2.7266864645235942E-4</v>
      </c>
      <c r="M918" s="112">
        <f>E918/'CGE-Flood Weighted Av Calcs'!$D$5</f>
        <v>2.7262744376237001E-4</v>
      </c>
      <c r="N918" s="112">
        <f>F918/'CGE-Flood Weighted Av Calcs'!$D$6</f>
        <v>9.4131959006466846E-5</v>
      </c>
      <c r="O918" s="112">
        <f>G918/'CGE-Flood Weighted Av Calcs'!$D$7</f>
        <v>4.1922532684993949E-4</v>
      </c>
      <c r="P918" s="112">
        <f>H918/'CGE-Flood Weighted Av Calcs'!$D$8</f>
        <v>1.0039133842917377E-3</v>
      </c>
      <c r="R918" s="1">
        <f t="shared" si="135"/>
        <v>4.4512530923778437E-3</v>
      </c>
      <c r="S918" s="1">
        <f t="shared" si="136"/>
        <v>5.1634535871583065E-3</v>
      </c>
      <c r="T918" s="1">
        <f t="shared" si="137"/>
        <v>0.12463508658658107</v>
      </c>
    </row>
    <row r="919" spans="1:20">
      <c r="A919">
        <v>866</v>
      </c>
      <c r="B919">
        <v>0.54263344743620157</v>
      </c>
      <c r="C919" s="1">
        <f t="shared" si="131"/>
        <v>47.1036730634872</v>
      </c>
      <c r="D919" s="1">
        <f t="shared" si="140"/>
        <v>151.50633714282853</v>
      </c>
      <c r="E919" s="1">
        <f t="shared" si="138"/>
        <v>181.64159895972801</v>
      </c>
      <c r="F919" s="1">
        <f t="shared" si="132"/>
        <v>9.7197595600787032</v>
      </c>
      <c r="G919" s="1">
        <f t="shared" si="139"/>
        <v>7.2485180397964992</v>
      </c>
      <c r="H919" s="1">
        <f t="shared" si="133"/>
        <v>2.8355098119714879</v>
      </c>
      <c r="I919" s="1">
        <f t="shared" si="134"/>
        <v>73.178648410207728</v>
      </c>
      <c r="K919" s="112">
        <f>C919/'CGE-Flood Weighted Av Calcs'!$D$3</f>
        <v>7.9398495566033248E-3</v>
      </c>
      <c r="L919" s="112">
        <f>D919/'CGE-Flood Weighted Av Calcs'!$D$4</f>
        <v>7.782422676642765E-3</v>
      </c>
      <c r="M919" s="112">
        <f>E919/'CGE-Flood Weighted Av Calcs'!$D$5</f>
        <v>7.781246682434852E-3</v>
      </c>
      <c r="N919" s="112">
        <f>F919/'CGE-Flood Weighted Av Calcs'!$D$6</f>
        <v>2.6866847431860352E-3</v>
      </c>
      <c r="O919" s="112">
        <f>G919/'CGE-Flood Weighted Av Calcs'!$D$7</f>
        <v>1.1965397315565625E-2</v>
      </c>
      <c r="P919" s="112">
        <f>H919/'CGE-Flood Weighted Av Calcs'!$D$8</f>
        <v>2.8653379803468996E-2</v>
      </c>
      <c r="R919" s="1">
        <f t="shared" si="135"/>
        <v>0.12704626460105511</v>
      </c>
      <c r="S919" s="1">
        <f t="shared" si="136"/>
        <v>0.14737366693722392</v>
      </c>
      <c r="T919" s="1">
        <f t="shared" si="137"/>
        <v>3.5572954088295434</v>
      </c>
    </row>
    <row r="920" spans="1:20">
      <c r="A920">
        <v>867</v>
      </c>
      <c r="B920">
        <v>0.49638150514769996</v>
      </c>
      <c r="C920" s="1">
        <f t="shared" si="131"/>
        <v>51.867109208732991</v>
      </c>
      <c r="D920" s="1">
        <f t="shared" si="140"/>
        <v>166.82766381744341</v>
      </c>
      <c r="E920" s="1">
        <f t="shared" si="138"/>
        <v>200.01040337968959</v>
      </c>
      <c r="F920" s="1">
        <f t="shared" si="132"/>
        <v>10.70268617705768</v>
      </c>
      <c r="G920" s="1">
        <f t="shared" si="139"/>
        <v>7.9815363074737471</v>
      </c>
      <c r="H920" s="1">
        <f t="shared" si="133"/>
        <v>3.1222553893352623</v>
      </c>
      <c r="I920" s="1">
        <f t="shared" si="134"/>
        <v>80.578959176367988</v>
      </c>
      <c r="K920" s="112">
        <f>C920/'CGE-Flood Weighted Av Calcs'!$D$3</f>
        <v>8.7427798570655045E-3</v>
      </c>
      <c r="L920" s="112">
        <f>D920/'CGE-Flood Weighted Av Calcs'!$D$4</f>
        <v>8.5694329258336425E-3</v>
      </c>
      <c r="M920" s="112">
        <f>E920/'CGE-Flood Weighted Av Calcs'!$D$5</f>
        <v>8.5681380072839038E-3</v>
      </c>
      <c r="N920" s="112">
        <f>F920/'CGE-Flood Weighted Av Calcs'!$D$6</f>
        <v>2.9583801415326481E-3</v>
      </c>
      <c r="O920" s="112">
        <f>G920/'CGE-Flood Weighted Av Calcs'!$D$7</f>
        <v>1.317541773134873E-2</v>
      </c>
      <c r="P920" s="112">
        <f>H920/'CGE-Flood Weighted Av Calcs'!$D$8</f>
        <v>3.1550999801283994E-2</v>
      </c>
      <c r="R920" s="1">
        <f t="shared" si="135"/>
        <v>0.13989402634786111</v>
      </c>
      <c r="S920" s="1">
        <f t="shared" si="136"/>
        <v>0.16227707056351889</v>
      </c>
      <c r="T920" s="1">
        <f t="shared" si="137"/>
        <v>3.9170327377401115</v>
      </c>
    </row>
    <row r="921" spans="1:20">
      <c r="A921">
        <v>868</v>
      </c>
      <c r="B921">
        <v>0.94139043615610596</v>
      </c>
      <c r="C921" s="1">
        <f t="shared" si="131"/>
        <v>6.0361338585450568</v>
      </c>
      <c r="D921" s="1">
        <f t="shared" si="140"/>
        <v>19.41488788314598</v>
      </c>
      <c r="E921" s="1">
        <f t="shared" si="138"/>
        <v>23.276592551992906</v>
      </c>
      <c r="F921" s="1">
        <f t="shared" si="132"/>
        <v>1.2455455373603606</v>
      </c>
      <c r="G921" s="1">
        <f t="shared" si="139"/>
        <v>0.92886652608426346</v>
      </c>
      <c r="H921" s="1">
        <f t="shared" si="133"/>
        <v>0.36335843192545081</v>
      </c>
      <c r="I921" s="1">
        <f t="shared" si="134"/>
        <v>9.3775302150230289</v>
      </c>
      <c r="K921" s="112">
        <f>C921/'CGE-Flood Weighted Av Calcs'!$D$3</f>
        <v>1.0174576975296968E-3</v>
      </c>
      <c r="L921" s="112">
        <f>D921/'CGE-Flood Weighted Av Calcs'!$D$4</f>
        <v>9.972841174546482E-4</v>
      </c>
      <c r="M921" s="112">
        <f>E921/'CGE-Flood Weighted Av Calcs'!$D$5</f>
        <v>9.9713341883617265E-4</v>
      </c>
      <c r="N921" s="112">
        <f>F921/'CGE-Flood Weighted Av Calcs'!$D$6</f>
        <v>3.4428713709276529E-4</v>
      </c>
      <c r="O921" s="112">
        <f>G921/'CGE-Flood Weighted Av Calcs'!$D$7</f>
        <v>1.5333143929154715E-3</v>
      </c>
      <c r="P921" s="112">
        <f>H921/'CGE-Flood Weighted Av Calcs'!$D$8</f>
        <v>3.6718078388570099E-3</v>
      </c>
      <c r="R921" s="1">
        <f t="shared" si="135"/>
        <v>1.628043440108165E-2</v>
      </c>
      <c r="S921" s="1">
        <f t="shared" si="136"/>
        <v>1.8885303905254724E-2</v>
      </c>
      <c r="T921" s="1">
        <f t="shared" si="137"/>
        <v>0.45585216323028721</v>
      </c>
    </row>
    <row r="922" spans="1:20">
      <c r="A922">
        <v>869</v>
      </c>
      <c r="B922">
        <v>0.84636811586102723</v>
      </c>
      <c r="C922" s="1">
        <f t="shared" si="131"/>
        <v>15.822377045379326</v>
      </c>
      <c r="D922" s="1">
        <f t="shared" si="140"/>
        <v>50.891793253728082</v>
      </c>
      <c r="E922" s="1">
        <f t="shared" si="138"/>
        <v>61.014389726948991</v>
      </c>
      <c r="F922" s="1">
        <f t="shared" si="132"/>
        <v>3.2649194966752351</v>
      </c>
      <c r="G922" s="1">
        <f t="shared" si="139"/>
        <v>2.4348161828338597</v>
      </c>
      <c r="H922" s="1">
        <f t="shared" si="133"/>
        <v>0.95246299158913317</v>
      </c>
      <c r="I922" s="1">
        <f t="shared" si="134"/>
        <v>24.581101462235623</v>
      </c>
      <c r="K922" s="112">
        <f>C922/'CGE-Flood Weighted Av Calcs'!$D$3</f>
        <v>2.6670381564266312E-3</v>
      </c>
      <c r="L922" s="112">
        <f>D922/'CGE-Flood Weighted Av Calcs'!$D$4</f>
        <v>2.6141576210073143E-3</v>
      </c>
      <c r="M922" s="112">
        <f>E922/'CGE-Flood Weighted Av Calcs'!$D$5</f>
        <v>2.6137625982298822E-3</v>
      </c>
      <c r="N922" s="112">
        <f>F922/'CGE-Flood Weighted Av Calcs'!$D$6</f>
        <v>9.0247185079308232E-4</v>
      </c>
      <c r="O922" s="112">
        <f>G922/'CGE-Flood Weighted Av Calcs'!$D$7</f>
        <v>4.0192412929131545E-3</v>
      </c>
      <c r="P922" s="112">
        <f>H922/'CGE-Flood Weighted Av Calcs'!$D$8</f>
        <v>9.6248243372420213E-3</v>
      </c>
      <c r="R922" s="1">
        <f t="shared" si="135"/>
        <v>4.2675523371936863E-2</v>
      </c>
      <c r="S922" s="1">
        <f t="shared" si="136"/>
        <v>4.9503607111446774E-2</v>
      </c>
      <c r="T922" s="1">
        <f t="shared" si="137"/>
        <v>1.1949146544142328</v>
      </c>
    </row>
    <row r="923" spans="1:20">
      <c r="A923">
        <v>870</v>
      </c>
      <c r="B923">
        <v>0.64907920479743497</v>
      </c>
      <c r="C923" s="1">
        <f t="shared" si="131"/>
        <v>36.14094278591751</v>
      </c>
      <c r="D923" s="1">
        <f t="shared" si="140"/>
        <v>116.24532666492493</v>
      </c>
      <c r="E923" s="1">
        <f t="shared" si="138"/>
        <v>139.36702190290089</v>
      </c>
      <c r="F923" s="1">
        <f t="shared" si="132"/>
        <v>7.4576195720494187</v>
      </c>
      <c r="G923" s="1">
        <f t="shared" si="139"/>
        <v>5.5615254336087663</v>
      </c>
      <c r="H923" s="1">
        <f t="shared" si="133"/>
        <v>2.1755840090272263</v>
      </c>
      <c r="I923" s="1">
        <f t="shared" si="134"/>
        <v>56.14732723241039</v>
      </c>
      <c r="K923" s="112">
        <f>C923/'CGE-Flood Weighted Av Calcs'!$D$3</f>
        <v>6.0919590743429251E-3</v>
      </c>
      <c r="L923" s="112">
        <f>D923/'CGE-Flood Weighted Av Calcs'!$D$4</f>
        <v>5.9711711295482254E-3</v>
      </c>
      <c r="M923" s="112">
        <f>E923/'CGE-Flood Weighted Av Calcs'!$D$5</f>
        <v>5.970268831773538E-3</v>
      </c>
      <c r="N923" s="112">
        <f>F923/'CGE-Flood Weighted Av Calcs'!$D$6</f>
        <v>2.061395922488077E-3</v>
      </c>
      <c r="O923" s="112">
        <f>G923/'CGE-Flood Weighted Av Calcs'!$D$7</f>
        <v>9.1806161105478252E-3</v>
      </c>
      <c r="P923" s="112">
        <f>H923/'CGE-Flood Weighted Av Calcs'!$D$8</f>
        <v>2.1984700825869567E-2</v>
      </c>
      <c r="R923" s="1">
        <f t="shared" si="135"/>
        <v>9.7477998667379162E-2</v>
      </c>
      <c r="S923" s="1">
        <f t="shared" si="136"/>
        <v>0.11307447845415983</v>
      </c>
      <c r="T923" s="1">
        <f t="shared" si="137"/>
        <v>2.729383962686617</v>
      </c>
    </row>
    <row r="924" spans="1:20">
      <c r="A924">
        <v>871</v>
      </c>
      <c r="B924">
        <v>0.11534328872072297</v>
      </c>
      <c r="C924" s="1">
        <f t="shared" si="131"/>
        <v>91.109811742751319</v>
      </c>
      <c r="D924" s="1">
        <f t="shared" si="140"/>
        <v>293.0496277076316</v>
      </c>
      <c r="E924" s="1">
        <f t="shared" si="138"/>
        <v>351.33845854372458</v>
      </c>
      <c r="F924" s="1">
        <f t="shared" si="132"/>
        <v>18.800348382810757</v>
      </c>
      <c r="G924" s="1">
        <f t="shared" si="139"/>
        <v>14.020374019021439</v>
      </c>
      <c r="H924" s="1">
        <f t="shared" si="133"/>
        <v>5.484556688716129</v>
      </c>
      <c r="I924" s="1">
        <f t="shared" si="134"/>
        <v>141.54507380468434</v>
      </c>
      <c r="K924" s="112">
        <f>C924/'CGE-Flood Weighted Av Calcs'!$D$3</f>
        <v>1.5357575138416211E-2</v>
      </c>
      <c r="L924" s="112">
        <f>D924/'CGE-Flood Weighted Av Calcs'!$D$4</f>
        <v>1.5053073759572076E-2</v>
      </c>
      <c r="M924" s="112">
        <f>E924/'CGE-Flood Weighted Av Calcs'!$D$5</f>
        <v>1.5050799104456558E-2</v>
      </c>
      <c r="N924" s="112">
        <f>F924/'CGE-Flood Weighted Av Calcs'!$D$6</f>
        <v>5.196693277695741E-3</v>
      </c>
      <c r="O924" s="112">
        <f>G924/'CGE-Flood Weighted Av Calcs'!$D$7</f>
        <v>2.3143950905464665E-2</v>
      </c>
      <c r="P924" s="112">
        <f>H924/'CGE-Flood Weighted Av Calcs'!$D$8</f>
        <v>5.5422515271133801E-2</v>
      </c>
      <c r="R924" s="1">
        <f t="shared" si="135"/>
        <v>0.24573797535535474</v>
      </c>
      <c r="S924" s="1">
        <f t="shared" si="136"/>
        <v>0.28505605141221146</v>
      </c>
      <c r="T924" s="1">
        <f t="shared" si="137"/>
        <v>6.8806633099499326</v>
      </c>
    </row>
    <row r="925" spans="1:20">
      <c r="A925">
        <v>872</v>
      </c>
      <c r="B925">
        <v>0.47284727271341942</v>
      </c>
      <c r="C925" s="1">
        <f t="shared" si="131"/>
        <v>54.2908736579924</v>
      </c>
      <c r="D925" s="1">
        <f t="shared" si="140"/>
        <v>174.62356698001327</v>
      </c>
      <c r="E925" s="1">
        <f t="shared" si="138"/>
        <v>209.35694519760338</v>
      </c>
      <c r="F925" s="1">
        <f t="shared" si="132"/>
        <v>11.202825680941285</v>
      </c>
      <c r="G925" s="1">
        <f t="shared" si="139"/>
        <v>8.3545157205864946</v>
      </c>
      <c r="H925" s="1">
        <f t="shared" si="133"/>
        <v>3.2681592526819627</v>
      </c>
      <c r="I925" s="1">
        <f t="shared" si="134"/>
        <v>84.344436365852886</v>
      </c>
      <c r="K925" s="112">
        <f>C925/'CGE-Flood Weighted Av Calcs'!$D$3</f>
        <v>9.1513323931241113E-3</v>
      </c>
      <c r="L925" s="112">
        <f>D925/'CGE-Flood Weighted Av Calcs'!$D$4</f>
        <v>8.969884911548924E-3</v>
      </c>
      <c r="M925" s="112">
        <f>E925/'CGE-Flood Weighted Av Calcs'!$D$5</f>
        <v>8.9685294810949497E-3</v>
      </c>
      <c r="N925" s="112">
        <f>F925/'CGE-Flood Weighted Av Calcs'!$D$6</f>
        <v>3.0966260689388844E-3</v>
      </c>
      <c r="O925" s="112">
        <f>G925/'CGE-Flood Weighted Av Calcs'!$D$7</f>
        <v>1.379110866898842E-2</v>
      </c>
      <c r="P925" s="112">
        <f>H925/'CGE-Flood Weighted Av Calcs'!$D$8</f>
        <v>3.3025386803443475E-2</v>
      </c>
      <c r="R925" s="1">
        <f t="shared" si="135"/>
        <v>0.14643131313516128</v>
      </c>
      <c r="S925" s="1">
        <f t="shared" si="136"/>
        <v>0.16986032323678707</v>
      </c>
      <c r="T925" s="1">
        <f t="shared" si="137"/>
        <v>4.1000767677845165</v>
      </c>
    </row>
    <row r="926" spans="1:20">
      <c r="A926">
        <v>873</v>
      </c>
      <c r="B926">
        <v>0.51076386547064856</v>
      </c>
      <c r="C926" s="1">
        <f t="shared" si="131"/>
        <v>50.385885899472875</v>
      </c>
      <c r="D926" s="1">
        <f t="shared" si="140"/>
        <v>162.06339166027831</v>
      </c>
      <c r="E926" s="1">
        <f t="shared" si="138"/>
        <v>194.29849700780656</v>
      </c>
      <c r="F926" s="1">
        <f t="shared" si="132"/>
        <v>10.39703836905367</v>
      </c>
      <c r="G926" s="1">
        <f t="shared" si="139"/>
        <v>7.7535992235935165</v>
      </c>
      <c r="H926" s="1">
        <f t="shared" si="133"/>
        <v>3.0330898751838058</v>
      </c>
      <c r="I926" s="1">
        <f t="shared" si="134"/>
        <v>78.277781524696209</v>
      </c>
      <c r="K926" s="112">
        <f>C926/'CGE-Flood Weighted Av Calcs'!$D$3</f>
        <v>8.4931031446059853E-3</v>
      </c>
      <c r="L926" s="112">
        <f>D926/'CGE-Flood Weighted Av Calcs'!$D$4</f>
        <v>8.3247066630723326E-3</v>
      </c>
      <c r="M926" s="112">
        <f>E926/'CGE-Flood Weighted Av Calcs'!$D$5</f>
        <v>8.3234487248665685E-3</v>
      </c>
      <c r="N926" s="112">
        <f>F926/'CGE-Flood Weighted Av Calcs'!$D$6</f>
        <v>2.8738945843049361E-3</v>
      </c>
      <c r="O926" s="112">
        <f>G926/'CGE-Flood Weighted Av Calcs'!$D$7</f>
        <v>1.2799153540985353E-2</v>
      </c>
      <c r="P926" s="112">
        <f>H926/'CGE-Flood Weighted Av Calcs'!$D$8</f>
        <v>3.064996488630449E-2</v>
      </c>
      <c r="R926" s="1">
        <f t="shared" si="135"/>
        <v>0.13589892625815317</v>
      </c>
      <c r="S926" s="1">
        <f t="shared" si="136"/>
        <v>0.15764275445945766</v>
      </c>
      <c r="T926" s="1">
        <f t="shared" si="137"/>
        <v>3.8051699352282893</v>
      </c>
    </row>
    <row r="927" spans="1:20">
      <c r="A927">
        <v>874</v>
      </c>
      <c r="B927">
        <v>0.65554325310164607</v>
      </c>
      <c r="C927" s="1">
        <f t="shared" si="131"/>
        <v>35.475217633342702</v>
      </c>
      <c r="D927" s="1">
        <f t="shared" si="140"/>
        <v>114.10405884331541</v>
      </c>
      <c r="E927" s="1">
        <f t="shared" si="138"/>
        <v>136.79984670579015</v>
      </c>
      <c r="F927" s="1">
        <f t="shared" si="132"/>
        <v>7.3202483651925228</v>
      </c>
      <c r="G927" s="1">
        <f t="shared" si="139"/>
        <v>5.4590807522464253</v>
      </c>
      <c r="H927" s="1">
        <f t="shared" si="133"/>
        <v>2.1355092106212115</v>
      </c>
      <c r="I927" s="1">
        <f t="shared" si="134"/>
        <v>55.113079503736614</v>
      </c>
      <c r="K927" s="112">
        <f>C927/'CGE-Flood Weighted Av Calcs'!$D$3</f>
        <v>5.9797436734257492E-3</v>
      </c>
      <c r="L927" s="112">
        <f>D927/'CGE-Flood Weighted Av Calcs'!$D$4</f>
        <v>5.8611806726081329E-3</v>
      </c>
      <c r="M927" s="112">
        <f>E927/'CGE-Flood Weighted Av Calcs'!$D$5</f>
        <v>5.860294995382812E-3</v>
      </c>
      <c r="N927" s="112">
        <f>F927/'CGE-Flood Weighted Av Calcs'!$D$6</f>
        <v>2.023424497029021E-3</v>
      </c>
      <c r="O927" s="112">
        <f>G927/'CGE-Flood Weighted Av Calcs'!$D$7</f>
        <v>9.0115068790280889E-3</v>
      </c>
      <c r="P927" s="112">
        <f>H927/'CGE-Flood Weighted Av Calcs'!$D$8</f>
        <v>2.1579737170153414E-2</v>
      </c>
      <c r="R927" s="1">
        <f t="shared" si="135"/>
        <v>9.5682429693987187E-2</v>
      </c>
      <c r="S927" s="1">
        <f t="shared" si="136"/>
        <v>0.11099161844502514</v>
      </c>
      <c r="T927" s="1">
        <f t="shared" si="137"/>
        <v>2.6791080314316424</v>
      </c>
    </row>
    <row r="928" spans="1:20">
      <c r="A928">
        <v>875</v>
      </c>
      <c r="B928">
        <v>0.5671139624020014</v>
      </c>
      <c r="C928" s="1">
        <f t="shared" si="131"/>
        <v>44.582452027731662</v>
      </c>
      <c r="D928" s="1">
        <f t="shared" si="140"/>
        <v>143.39697030555601</v>
      </c>
      <c r="E928" s="1">
        <f t="shared" si="138"/>
        <v>171.91924419456365</v>
      </c>
      <c r="F928" s="1">
        <f t="shared" si="132"/>
        <v>9.1995100620761328</v>
      </c>
      <c r="G928" s="1">
        <f t="shared" si="139"/>
        <v>6.8605415833669356</v>
      </c>
      <c r="H928" s="1">
        <f t="shared" si="133"/>
        <v>2.6837393337882203</v>
      </c>
      <c r="I928" s="1">
        <f t="shared" si="134"/>
        <v>69.261766015679754</v>
      </c>
      <c r="K928" s="112">
        <f>C928/'CGE-Flood Weighted Av Calcs'!$D$3</f>
        <v>7.5148696257206138E-3</v>
      </c>
      <c r="L928" s="112">
        <f>D928/'CGE-Flood Weighted Av Calcs'!$D$4</f>
        <v>7.3658690092664051E-3</v>
      </c>
      <c r="M928" s="112">
        <f>E928/'CGE-Flood Weighted Av Calcs'!$D$5</f>
        <v>7.3647559600719488E-3</v>
      </c>
      <c r="N928" s="112">
        <f>F928/'CGE-Flood Weighted Av Calcs'!$D$6</f>
        <v>2.542880117125678E-3</v>
      </c>
      <c r="O928" s="112">
        <f>G928/'CGE-Flood Weighted Av Calcs'!$D$7</f>
        <v>1.1324950202821003E-2</v>
      </c>
      <c r="P928" s="112">
        <f>H928/'CGE-Flood Weighted Av Calcs'!$D$8</f>
        <v>2.7119709513922136E-2</v>
      </c>
      <c r="R928" s="1">
        <f t="shared" si="135"/>
        <v>0.12024612155499959</v>
      </c>
      <c r="S928" s="1">
        <f t="shared" si="136"/>
        <v>0.13948550100379953</v>
      </c>
      <c r="T928" s="1">
        <f t="shared" si="137"/>
        <v>3.3668914035399893</v>
      </c>
    </row>
    <row r="929" spans="1:20">
      <c r="A929">
        <v>876</v>
      </c>
      <c r="B929">
        <v>0.50737646401730907</v>
      </c>
      <c r="C929" s="1">
        <f t="shared" si="131"/>
        <v>50.734750611372917</v>
      </c>
      <c r="D929" s="1">
        <f t="shared" si="140"/>
        <v>163.18549554774214</v>
      </c>
      <c r="E929" s="1">
        <f t="shared" si="138"/>
        <v>195.64379218265927</v>
      </c>
      <c r="F929" s="1">
        <f t="shared" si="132"/>
        <v>10.469025984840963</v>
      </c>
      <c r="G929" s="1">
        <f t="shared" si="139"/>
        <v>7.8072840424875238</v>
      </c>
      <c r="H929" s="1">
        <f t="shared" si="133"/>
        <v>3.0540905583430553</v>
      </c>
      <c r="I929" s="1">
        <f t="shared" si="134"/>
        <v>78.819765757230527</v>
      </c>
      <c r="K929" s="112">
        <f>C929/'CGE-Flood Weighted Av Calcs'!$D$3</f>
        <v>8.5519081835327953E-3</v>
      </c>
      <c r="L929" s="112">
        <f>D929/'CGE-Flood Weighted Av Calcs'!$D$4</f>
        <v>8.3823457486976085E-3</v>
      </c>
      <c r="M929" s="112">
        <f>E929/'CGE-Flood Weighted Av Calcs'!$D$5</f>
        <v>8.3810791007065174E-3</v>
      </c>
      <c r="N929" s="112">
        <f>F929/'CGE-Flood Weighted Av Calcs'!$D$6</f>
        <v>2.8937930218988482E-3</v>
      </c>
      <c r="O929" s="112">
        <f>G929/'CGE-Flood Weighted Av Calcs'!$D$7</f>
        <v>1.2887773060776051E-2</v>
      </c>
      <c r="P929" s="112">
        <f>H929/'CGE-Flood Weighted Av Calcs'!$D$8</f>
        <v>3.086218088645859E-2</v>
      </c>
      <c r="R929" s="1">
        <f t="shared" si="135"/>
        <v>0.13683987110630302</v>
      </c>
      <c r="S929" s="1">
        <f t="shared" si="136"/>
        <v>0.1587342504833115</v>
      </c>
      <c r="T929" s="1">
        <f t="shared" si="137"/>
        <v>3.8315163909764851</v>
      </c>
    </row>
    <row r="930" spans="1:20">
      <c r="A930">
        <v>877</v>
      </c>
      <c r="B930">
        <v>0.63277220030271186</v>
      </c>
      <c r="C930" s="1">
        <f t="shared" si="131"/>
        <v>37.82038305993516</v>
      </c>
      <c r="D930" s="1">
        <f t="shared" si="140"/>
        <v>121.64715263343518</v>
      </c>
      <c r="E930" s="1">
        <f t="shared" si="138"/>
        <v>145.84329428019021</v>
      </c>
      <c r="F930" s="1">
        <f t="shared" si="132"/>
        <v>7.8041690998741977</v>
      </c>
      <c r="G930" s="1">
        <f t="shared" si="139"/>
        <v>5.8199650059658961</v>
      </c>
      <c r="H930" s="1">
        <f t="shared" si="133"/>
        <v>2.2766816319064174</v>
      </c>
      <c r="I930" s="1">
        <f t="shared" si="134"/>
        <v>58.756447951566088</v>
      </c>
      <c r="K930" s="112">
        <f>C930/'CGE-Flood Weighted Av Calcs'!$D$3</f>
        <v>6.3750474674079058E-3</v>
      </c>
      <c r="L930" s="112">
        <f>D930/'CGE-Flood Weighted Av Calcs'!$D$4</f>
        <v>6.2486466048676543E-3</v>
      </c>
      <c r="M930" s="112">
        <f>E930/'CGE-Flood Weighted Av Calcs'!$D$5</f>
        <v>6.2477023780478126E-3</v>
      </c>
      <c r="N930" s="112">
        <f>F930/'CGE-Flood Weighted Av Calcs'!$D$6</f>
        <v>2.1571873176774469E-3</v>
      </c>
      <c r="O930" s="112">
        <f>G930/'CGE-Flood Weighted Av Calcs'!$D$7</f>
        <v>9.6072318888821145E-3</v>
      </c>
      <c r="P930" s="112">
        <f>H930/'CGE-Flood Weighted Av Calcs'!$D$8</f>
        <v>2.3006312027268036E-2</v>
      </c>
      <c r="R930" s="1">
        <f t="shared" si="135"/>
        <v>0.10200772213813558</v>
      </c>
      <c r="S930" s="1">
        <f t="shared" si="136"/>
        <v>0.11832895768023727</v>
      </c>
      <c r="T930" s="1">
        <f t="shared" si="137"/>
        <v>2.8562162198677967</v>
      </c>
    </row>
    <row r="931" spans="1:20">
      <c r="A931">
        <v>878</v>
      </c>
      <c r="B931">
        <v>0.50188034773856283</v>
      </c>
      <c r="C931" s="1">
        <f t="shared" si="131"/>
        <v>51.300789520125129</v>
      </c>
      <c r="D931" s="1">
        <f t="shared" si="140"/>
        <v>165.00612812622032</v>
      </c>
      <c r="E931" s="1">
        <f t="shared" si="138"/>
        <v>197.82655640829816</v>
      </c>
      <c r="F931" s="1">
        <f t="shared" si="132"/>
        <v>10.585827111736213</v>
      </c>
      <c r="G931" s="1">
        <f t="shared" si="139"/>
        <v>7.8943885711680606</v>
      </c>
      <c r="H931" s="1">
        <f t="shared" si="133"/>
        <v>3.088164522756855</v>
      </c>
      <c r="I931" s="1">
        <f t="shared" si="134"/>
        <v>79.699144361829937</v>
      </c>
      <c r="K931" s="112">
        <f>C931/'CGE-Flood Weighted Av Calcs'!$D$3</f>
        <v>8.6473203560107053E-3</v>
      </c>
      <c r="L931" s="112">
        <f>D931/'CGE-Flood Weighted Av Calcs'!$D$4</f>
        <v>8.4758661421794057E-3</v>
      </c>
      <c r="M931" s="112">
        <f>E931/'CGE-Flood Weighted Av Calcs'!$D$5</f>
        <v>8.4745853624139788E-3</v>
      </c>
      <c r="N931" s="112">
        <f>F931/'CGE-Flood Weighted Av Calcs'!$D$6</f>
        <v>2.9260785741984431E-3</v>
      </c>
      <c r="O931" s="112">
        <f>G931/'CGE-Flood Weighted Av Calcs'!$D$7</f>
        <v>1.3031559733848464E-2</v>
      </c>
      <c r="P931" s="112">
        <f>H931/'CGE-Flood Weighted Av Calcs'!$D$8</f>
        <v>3.1206504944035967E-2</v>
      </c>
      <c r="R931" s="1">
        <f t="shared" si="135"/>
        <v>0.13836657007262143</v>
      </c>
      <c r="S931" s="1">
        <f t="shared" si="136"/>
        <v>0.16050522128424086</v>
      </c>
      <c r="T931" s="1">
        <f t="shared" si="137"/>
        <v>3.8742639620334005</v>
      </c>
    </row>
    <row r="932" spans="1:20">
      <c r="A932">
        <v>879</v>
      </c>
      <c r="B932">
        <v>0.92466277900602667</v>
      </c>
      <c r="C932" s="1">
        <f t="shared" si="131"/>
        <v>7.7588966821460019</v>
      </c>
      <c r="D932" s="1">
        <f t="shared" si="140"/>
        <v>24.956058416021904</v>
      </c>
      <c r="E932" s="1">
        <f t="shared" si="138"/>
        <v>29.91992572657324</v>
      </c>
      <c r="F932" s="1">
        <f t="shared" si="132"/>
        <v>1.6010345966079136</v>
      </c>
      <c r="G932" s="1">
        <f t="shared" si="139"/>
        <v>1.1939727607579655</v>
      </c>
      <c r="H932" s="1">
        <f t="shared" si="133"/>
        <v>0.46706395152338498</v>
      </c>
      <c r="I932" s="1">
        <f t="shared" si="134"/>
        <v>12.053955359035712</v>
      </c>
      <c r="K932" s="112">
        <f>C932/'CGE-Flood Weighted Av Calcs'!$D$3</f>
        <v>1.307848589608634E-3</v>
      </c>
      <c r="L932" s="112">
        <f>D932/'CGE-Flood Weighted Av Calcs'!$D$4</f>
        <v>1.2819173019368558E-3</v>
      </c>
      <c r="M932" s="112">
        <f>E932/'CGE-Flood Weighted Av Calcs'!$D$5</f>
        <v>1.2817235926788596E-3</v>
      </c>
      <c r="N932" s="112">
        <f>F932/'CGE-Flood Weighted Av Calcs'!$D$6</f>
        <v>4.4254955047310447E-4</v>
      </c>
      <c r="O932" s="112">
        <f>G932/'CGE-Flood Weighted Av Calcs'!$D$7</f>
        <v>1.9709350777628643E-3</v>
      </c>
      <c r="P932" s="112">
        <f>H932/'CGE-Flood Weighted Av Calcs'!$D$8</f>
        <v>4.7197723453489323E-3</v>
      </c>
      <c r="R932" s="1">
        <f t="shared" si="135"/>
        <v>2.092700583165924E-2</v>
      </c>
      <c r="S932" s="1">
        <f t="shared" si="136"/>
        <v>2.4275326764724714E-2</v>
      </c>
      <c r="T932" s="1">
        <f t="shared" si="137"/>
        <v>0.58595616328646027</v>
      </c>
    </row>
    <row r="933" spans="1:20">
      <c r="A933">
        <v>880</v>
      </c>
      <c r="B933">
        <v>0.18127825193731295</v>
      </c>
      <c r="C933" s="1">
        <f t="shared" si="131"/>
        <v>84.319243142144956</v>
      </c>
      <c r="D933" s="1">
        <f t="shared" si="140"/>
        <v>271.20814255618029</v>
      </c>
      <c r="E933" s="1">
        <f t="shared" si="138"/>
        <v>325.1526080942831</v>
      </c>
      <c r="F933" s="1">
        <f t="shared" si="132"/>
        <v>17.399126571824716</v>
      </c>
      <c r="G933" s="1">
        <f t="shared" si="139"/>
        <v>12.975411794193894</v>
      </c>
      <c r="H933" s="1">
        <f t="shared" si="133"/>
        <v>5.0757833883849015</v>
      </c>
      <c r="I933" s="1">
        <f t="shared" si="134"/>
        <v>130.99547969002992</v>
      </c>
      <c r="K933" s="112">
        <f>C933/'CGE-Flood Weighted Av Calcs'!$D$3</f>
        <v>1.4212949049067728E-2</v>
      </c>
      <c r="L933" s="112">
        <f>D933/'CGE-Flood Weighted Av Calcs'!$D$4</f>
        <v>1.3931142673785431E-2</v>
      </c>
      <c r="M933" s="112">
        <f>E933/'CGE-Flood Weighted Av Calcs'!$D$5</f>
        <v>1.3929037552568725E-2</v>
      </c>
      <c r="N933" s="112">
        <f>F933/'CGE-Flood Weighted Av Calcs'!$D$6</f>
        <v>4.8093749250013029E-3</v>
      </c>
      <c r="O933" s="112">
        <f>G933/'CGE-Flood Weighted Av Calcs'!$D$7</f>
        <v>2.1418993040812649E-2</v>
      </c>
      <c r="P933" s="112">
        <f>H933/'CGE-Flood Weighted Av Calcs'!$D$8</f>
        <v>5.1291781327467964E-2</v>
      </c>
      <c r="R933" s="1">
        <f t="shared" si="135"/>
        <v>0.22742270779519086</v>
      </c>
      <c r="S933" s="1">
        <f t="shared" si="136"/>
        <v>0.26381034104242135</v>
      </c>
      <c r="T933" s="1">
        <f t="shared" si="137"/>
        <v>6.3678358182653438</v>
      </c>
    </row>
    <row r="934" spans="1:20">
      <c r="A934">
        <v>881</v>
      </c>
      <c r="B934">
        <v>7.6034042562502013E-2</v>
      </c>
      <c r="C934" s="1">
        <f t="shared" si="131"/>
        <v>98.693472338093244</v>
      </c>
      <c r="D934" s="1">
        <f t="shared" si="140"/>
        <v>316.47715438296768</v>
      </c>
      <c r="E934" s="1">
        <f t="shared" si="138"/>
        <v>379.39455880303814</v>
      </c>
      <c r="F934" s="1">
        <f t="shared" si="132"/>
        <v>22.076327296222701</v>
      </c>
      <c r="G934" s="1">
        <f t="shared" si="139"/>
        <v>15.252916935825438</v>
      </c>
      <c r="H934" s="1">
        <f t="shared" si="133"/>
        <v>5.8993568939002117</v>
      </c>
      <c r="I934" s="1">
        <f t="shared" si="134"/>
        <v>183.14439714791337</v>
      </c>
      <c r="K934" s="112">
        <f>C934/'CGE-Flood Weighted Av Calcs'!$D$3</f>
        <v>1.6635885730760025E-2</v>
      </c>
      <c r="L934" s="112">
        <f>D934/'CGE-Flood Weighted Av Calcs'!$D$4</f>
        <v>1.6256475005316066E-2</v>
      </c>
      <c r="M934" s="112">
        <f>E934/'CGE-Flood Weighted Av Calcs'!$D$5</f>
        <v>1.6252679281217416E-2</v>
      </c>
      <c r="N934" s="112">
        <f>F934/'CGE-Flood Weighted Av Calcs'!$D$6</f>
        <v>6.1022221142127391E-3</v>
      </c>
      <c r="O934" s="112">
        <f>G934/'CGE-Flood Weighted Av Calcs'!$D$7</f>
        <v>2.5178555168994931E-2</v>
      </c>
      <c r="P934" s="112">
        <f>H934/'CGE-Flood Weighted Av Calcs'!$D$8</f>
        <v>5.9614152264071102E-2</v>
      </c>
      <c r="R934" s="1">
        <f t="shared" si="135"/>
        <v>0.26597730495833199</v>
      </c>
      <c r="S934" s="1">
        <f t="shared" si="136"/>
        <v>0.313965957437498</v>
      </c>
      <c r="T934" s="1">
        <f t="shared" si="137"/>
        <v>7.3994326239583001</v>
      </c>
    </row>
    <row r="935" spans="1:20">
      <c r="A935">
        <v>882</v>
      </c>
      <c r="B935">
        <v>0.62631383024862075</v>
      </c>
      <c r="C935" s="1">
        <f t="shared" si="131"/>
        <v>38.485523415839275</v>
      </c>
      <c r="D935" s="1">
        <f t="shared" si="140"/>
        <v>123.78653948917116</v>
      </c>
      <c r="E935" s="1">
        <f t="shared" si="138"/>
        <v>148.4082143792285</v>
      </c>
      <c r="F935" s="1">
        <f t="shared" si="132"/>
        <v>7.941419634973224</v>
      </c>
      <c r="G935" s="1">
        <f t="shared" si="139"/>
        <v>5.9223196962735809</v>
      </c>
      <c r="H935" s="1">
        <f t="shared" si="133"/>
        <v>2.3167212271830389</v>
      </c>
      <c r="I935" s="1">
        <f t="shared" si="134"/>
        <v>59.789787160220655</v>
      </c>
      <c r="K935" s="112">
        <f>C935/'CGE-Flood Weighted Av Calcs'!$D$3</f>
        <v>6.4871642943225769E-3</v>
      </c>
      <c r="L935" s="112">
        <f>D935/'CGE-Flood Weighted Av Calcs'!$D$4</f>
        <v>6.3585404422752279E-3</v>
      </c>
      <c r="M935" s="112">
        <f>E935/'CGE-Flood Weighted Av Calcs'!$D$5</f>
        <v>6.3575796095061039E-3</v>
      </c>
      <c r="N935" s="112">
        <f>F935/'CGE-Flood Weighted Av Calcs'!$D$6</f>
        <v>2.1951253876847762E-3</v>
      </c>
      <c r="O935" s="112">
        <f>G935/'CGE-Flood Weighted Av Calcs'!$D$7</f>
        <v>9.7761925688333931E-3</v>
      </c>
      <c r="P935" s="112">
        <f>H935/'CGE-Flood Weighted Av Calcs'!$D$8</f>
        <v>2.3410919948494216E-2</v>
      </c>
      <c r="R935" s="1">
        <f t="shared" si="135"/>
        <v>0.10380171381982756</v>
      </c>
      <c r="S935" s="1">
        <f t="shared" si="136"/>
        <v>0.12040998803099998</v>
      </c>
      <c r="T935" s="1">
        <f t="shared" si="137"/>
        <v>2.9064479869551727</v>
      </c>
    </row>
    <row r="936" spans="1:20">
      <c r="A936">
        <v>883</v>
      </c>
      <c r="B936">
        <v>0.16731880235937469</v>
      </c>
      <c r="C936" s="1">
        <f t="shared" si="131"/>
        <v>85.756911343677288</v>
      </c>
      <c r="D936" s="1">
        <f t="shared" si="140"/>
        <v>275.83232213867922</v>
      </c>
      <c r="E936" s="1">
        <f t="shared" si="138"/>
        <v>330.69655687610987</v>
      </c>
      <c r="F936" s="1">
        <f t="shared" si="132"/>
        <v>17.695786860444478</v>
      </c>
      <c r="G936" s="1">
        <f t="shared" si="139"/>
        <v>13.196646428699006</v>
      </c>
      <c r="H936" s="1">
        <f t="shared" si="133"/>
        <v>5.1623270064655955</v>
      </c>
      <c r="I936" s="1">
        <f t="shared" si="134"/>
        <v>133.22899162250005</v>
      </c>
      <c r="K936" s="112">
        <f>C936/'CGE-Flood Weighted Av Calcs'!$D$3</f>
        <v>1.4455284062243749E-2</v>
      </c>
      <c r="L936" s="112">
        <f>D936/'CGE-Flood Weighted Av Calcs'!$D$4</f>
        <v>1.4168672804355362E-2</v>
      </c>
      <c r="M936" s="112">
        <f>E936/'CGE-Flood Weighted Av Calcs'!$D$5</f>
        <v>1.4166531790195112E-2</v>
      </c>
      <c r="N936" s="112">
        <f>F936/'CGE-Flood Weighted Av Calcs'!$D$6</f>
        <v>4.8913761994584899E-3</v>
      </c>
      <c r="O936" s="112">
        <f>G936/'CGE-Flood Weighted Av Calcs'!$D$7</f>
        <v>2.1784193249639327E-2</v>
      </c>
      <c r="P936" s="112">
        <f>H936/'CGE-Flood Weighted Av Calcs'!$D$8</f>
        <v>5.2166321471170847E-2</v>
      </c>
      <c r="R936" s="1">
        <f t="shared" si="135"/>
        <v>0.23130033267795147</v>
      </c>
      <c r="S936" s="1">
        <f t="shared" si="136"/>
        <v>0.2683083859064237</v>
      </c>
      <c r="T936" s="1">
        <f t="shared" si="137"/>
        <v>6.4764093149826412</v>
      </c>
    </row>
    <row r="937" spans="1:20">
      <c r="A937">
        <v>884</v>
      </c>
      <c r="B937">
        <v>0.57844862687893894</v>
      </c>
      <c r="C937" s="1">
        <f t="shared" si="131"/>
        <v>43.415107527323507</v>
      </c>
      <c r="D937" s="1">
        <f t="shared" si="140"/>
        <v>139.64227183008276</v>
      </c>
      <c r="E937" s="1">
        <f t="shared" si="138"/>
        <v>167.41772005004114</v>
      </c>
      <c r="F937" s="1">
        <f t="shared" si="132"/>
        <v>8.9586305906927706</v>
      </c>
      <c r="G937" s="1">
        <f t="shared" si="139"/>
        <v>6.680905535484615</v>
      </c>
      <c r="H937" s="1">
        <f t="shared" si="133"/>
        <v>2.6134684489594093</v>
      </c>
      <c r="I937" s="1">
        <f t="shared" si="134"/>
        <v>67.448219699369758</v>
      </c>
      <c r="K937" s="112">
        <f>C937/'CGE-Flood Weighted Av Calcs'!$D$3</f>
        <v>7.3181006879463406E-3</v>
      </c>
      <c r="L937" s="112">
        <f>D937/'CGE-Flood Weighted Av Calcs'!$D$4</f>
        <v>7.1730014955337477E-3</v>
      </c>
      <c r="M937" s="112">
        <f>E937/'CGE-Flood Weighted Av Calcs'!$D$5</f>
        <v>7.1719175903588953E-3</v>
      </c>
      <c r="N937" s="112">
        <f>F937/'CGE-Flood Weighted Av Calcs'!$D$6</f>
        <v>2.4762974823689028E-3</v>
      </c>
      <c r="O937" s="112">
        <f>G937/'CGE-Flood Weighted Av Calcs'!$D$7</f>
        <v>1.1028418322330535E-2</v>
      </c>
      <c r="P937" s="112">
        <f>H937/'CGE-Flood Weighted Av Calcs'!$D$8</f>
        <v>2.64096085142272E-2</v>
      </c>
      <c r="R937" s="1">
        <f t="shared" si="135"/>
        <v>0.11709760364473917</v>
      </c>
      <c r="S937" s="1">
        <f t="shared" si="136"/>
        <v>0.13583322022789743</v>
      </c>
      <c r="T937" s="1">
        <f t="shared" si="137"/>
        <v>3.2787329020526976</v>
      </c>
    </row>
    <row r="938" spans="1:20">
      <c r="A938">
        <v>885</v>
      </c>
      <c r="B938">
        <v>0.80192601153171306</v>
      </c>
      <c r="C938" s="1">
        <f t="shared" si="131"/>
        <v>20.399419990139478</v>
      </c>
      <c r="D938" s="1">
        <f t="shared" si="140"/>
        <v>65.61359659529316</v>
      </c>
      <c r="E938" s="1">
        <f t="shared" si="138"/>
        <v>78.664423045434035</v>
      </c>
      <c r="F938" s="1">
        <f t="shared" si="132"/>
        <v>4.2093842066621132</v>
      </c>
      <c r="G938" s="1">
        <f t="shared" si="139"/>
        <v>3.1391514542956198</v>
      </c>
      <c r="H938" s="1">
        <f t="shared" si="133"/>
        <v>1.2279882178743522</v>
      </c>
      <c r="I938" s="1">
        <f t="shared" si="134"/>
        <v>31.69183815492589</v>
      </c>
      <c r="K938" s="112">
        <f>C938/'CGE-Flood Weighted Av Calcs'!$D$3</f>
        <v>3.4385498036505566E-3</v>
      </c>
      <c r="L938" s="112">
        <f>D938/'CGE-Flood Weighted Av Calcs'!$D$4</f>
        <v>3.3703721683794301E-3</v>
      </c>
      <c r="M938" s="112">
        <f>E938/'CGE-Flood Weighted Av Calcs'!$D$5</f>
        <v>3.3698628747682756E-3</v>
      </c>
      <c r="N938" s="112">
        <f>F938/'CGE-Flood Weighted Av Calcs'!$D$6</f>
        <v>1.1635358113895337E-3</v>
      </c>
      <c r="O938" s="112">
        <f>G938/'CGE-Flood Weighted Av Calcs'!$D$7</f>
        <v>5.1819136240208981E-3</v>
      </c>
      <c r="P938" s="112">
        <f>H938/'CGE-Flood Weighted Av Calcs'!$D$8</f>
        <v>1.2409060498533254E-2</v>
      </c>
      <c r="R938" s="1">
        <f t="shared" si="135"/>
        <v>5.502055235230191E-2</v>
      </c>
      <c r="S938" s="1">
        <f t="shared" si="136"/>
        <v>6.3823840728670228E-2</v>
      </c>
      <c r="T938" s="1">
        <f t="shared" si="137"/>
        <v>1.5405754658644542</v>
      </c>
    </row>
    <row r="939" spans="1:20">
      <c r="A939">
        <v>886</v>
      </c>
      <c r="B939">
        <v>2.6211177272912556E-2</v>
      </c>
      <c r="C939" s="1">
        <f t="shared" si="131"/>
        <v>126.50037655429311</v>
      </c>
      <c r="D939" s="1">
        <f t="shared" si="140"/>
        <v>402.70031647553918</v>
      </c>
      <c r="E939" s="1">
        <f t="shared" si="138"/>
        <v>482.70906271099625</v>
      </c>
      <c r="F939" s="1">
        <f t="shared" si="132"/>
        <v>28.391833957730828</v>
      </c>
      <c r="G939" s="1">
        <f t="shared" si="139"/>
        <v>18.779414473635104</v>
      </c>
      <c r="H939" s="1">
        <f t="shared" si="133"/>
        <v>7.0953459446226654</v>
      </c>
      <c r="I939" s="1">
        <f t="shared" si="134"/>
        <v>282.44721333278983</v>
      </c>
      <c r="K939" s="112">
        <f>C939/'CGE-Flood Weighted Av Calcs'!$D$3</f>
        <v>2.1323049634388747E-2</v>
      </c>
      <c r="L939" s="112">
        <f>D939/'CGE-Flood Weighted Av Calcs'!$D$4</f>
        <v>2.0685498269791679E-2</v>
      </c>
      <c r="M939" s="112">
        <f>E939/'CGE-Flood Weighted Av Calcs'!$D$5</f>
        <v>2.0678513701225133E-2</v>
      </c>
      <c r="N939" s="112">
        <f>F939/'CGE-Flood Weighted Av Calcs'!$D$6</f>
        <v>7.8479212015290789E-3</v>
      </c>
      <c r="O939" s="112">
        <f>G939/'CGE-Flood Weighted Av Calcs'!$D$7</f>
        <v>3.0999875325830907E-2</v>
      </c>
      <c r="P939" s="112">
        <f>H939/'CGE-Flood Weighted Av Calcs'!$D$8</f>
        <v>7.1699854936111584E-2</v>
      </c>
      <c r="R939" s="1">
        <f t="shared" si="135"/>
        <v>0.30838509696944993</v>
      </c>
      <c r="S939" s="1">
        <f t="shared" si="136"/>
        <v>0.36838509696944993</v>
      </c>
      <c r="T939" s="1">
        <f t="shared" si="137"/>
        <v>10.757764545417491</v>
      </c>
    </row>
    <row r="940" spans="1:20">
      <c r="A940">
        <v>887</v>
      </c>
      <c r="B940">
        <v>0.70226640273565644</v>
      </c>
      <c r="C940" s="1">
        <f t="shared" si="131"/>
        <v>30.663252367146683</v>
      </c>
      <c r="D940" s="1">
        <f t="shared" si="140"/>
        <v>98.626640957936132</v>
      </c>
      <c r="E940" s="1">
        <f t="shared" si="138"/>
        <v>118.24390386217254</v>
      </c>
      <c r="F940" s="1">
        <f t="shared" si="132"/>
        <v>6.3273078500051732</v>
      </c>
      <c r="G940" s="1">
        <f t="shared" si="139"/>
        <v>4.7185946124100564</v>
      </c>
      <c r="H940" s="1">
        <f t="shared" si="133"/>
        <v>1.8458423154562702</v>
      </c>
      <c r="I940" s="1">
        <f t="shared" si="134"/>
        <v>47.637375562294949</v>
      </c>
      <c r="K940" s="112">
        <f>C940/'CGE-Flood Weighted Av Calcs'!$D$3</f>
        <v>5.168633248264172E-3</v>
      </c>
      <c r="L940" s="112">
        <f>D940/'CGE-Flood Weighted Av Calcs'!$D$4</f>
        <v>5.0661524896384712E-3</v>
      </c>
      <c r="M940" s="112">
        <f>E940/'CGE-Flood Weighted Av Calcs'!$D$5</f>
        <v>5.065386948337032E-3</v>
      </c>
      <c r="N940" s="112">
        <f>F940/'CGE-Flood Weighted Av Calcs'!$D$6</f>
        <v>1.7489611096833022E-3</v>
      </c>
      <c r="O940" s="112">
        <f>G940/'CGE-Flood Weighted Av Calcs'!$D$7</f>
        <v>7.7891589699566792E-3</v>
      </c>
      <c r="P940" s="112">
        <f>H940/'CGE-Flood Weighted Av Calcs'!$D$8</f>
        <v>1.8652596686064636E-2</v>
      </c>
      <c r="R940" s="1">
        <f t="shared" si="135"/>
        <v>8.2703777017873209E-2</v>
      </c>
      <c r="S940" s="1">
        <f t="shared" si="136"/>
        <v>9.5936381340732929E-2</v>
      </c>
      <c r="T940" s="1">
        <f t="shared" si="137"/>
        <v>2.3157057565004502</v>
      </c>
    </row>
    <row r="941" spans="1:20">
      <c r="A941">
        <v>888</v>
      </c>
      <c r="B941">
        <v>3.9945580730834207E-2</v>
      </c>
      <c r="C941" s="1">
        <f t="shared" si="131"/>
        <v>107.7941190446038</v>
      </c>
      <c r="D941" s="1">
        <f t="shared" si="140"/>
        <v>344.29114101044206</v>
      </c>
      <c r="E941" s="1">
        <f t="shared" si="138"/>
        <v>412.6938160294896</v>
      </c>
      <c r="F941" s="1">
        <f t="shared" si="132"/>
        <v>26.519087932163437</v>
      </c>
      <c r="G941" s="1">
        <f t="shared" si="139"/>
        <v>16.748542205581266</v>
      </c>
      <c r="H941" s="1">
        <f t="shared" si="133"/>
        <v>6.3828311956324644</v>
      </c>
      <c r="I941" s="1">
        <f t="shared" si="134"/>
        <v>242.15962985621968</v>
      </c>
      <c r="K941" s="112">
        <f>C941/'CGE-Flood Weighted Av Calcs'!$D$3</f>
        <v>1.8169901254774492E-2</v>
      </c>
      <c r="L941" s="112">
        <f>D941/'CGE-Flood Weighted Av Calcs'!$D$4</f>
        <v>1.768519544262314E-2</v>
      </c>
      <c r="M941" s="112">
        <f>E941/'CGE-Flood Weighted Av Calcs'!$D$5</f>
        <v>1.767916823696768E-2</v>
      </c>
      <c r="N941" s="112">
        <f>F941/'CGE-Flood Weighted Av Calcs'!$D$6</f>
        <v>7.3302666089793168E-3</v>
      </c>
      <c r="O941" s="112">
        <f>G941/'CGE-Flood Weighted Av Calcs'!$D$7</f>
        <v>2.7647439220821187E-2</v>
      </c>
      <c r="P941" s="112">
        <f>H941/'CGE-Flood Weighted Av Calcs'!$D$8</f>
        <v>6.4499754399624742E-2</v>
      </c>
      <c r="R941" s="1">
        <f t="shared" si="135"/>
        <v>0.2900725590255544</v>
      </c>
      <c r="S941" s="1">
        <f t="shared" si="136"/>
        <v>0.3500725590255544</v>
      </c>
      <c r="T941" s="1">
        <f t="shared" si="137"/>
        <v>8.0108838538331604</v>
      </c>
    </row>
    <row r="942" spans="1:20">
      <c r="A942">
        <v>889</v>
      </c>
      <c r="B942">
        <v>0.37405331646128481</v>
      </c>
      <c r="C942" s="1">
        <f t="shared" si="131"/>
        <v>64.465553441337235</v>
      </c>
      <c r="D942" s="1">
        <f t="shared" si="140"/>
        <v>207.3498569977379</v>
      </c>
      <c r="E942" s="1">
        <f t="shared" si="138"/>
        <v>248.59263499739907</v>
      </c>
      <c r="F942" s="1">
        <f t="shared" si="132"/>
        <v>13.302352844388018</v>
      </c>
      <c r="G942" s="1">
        <f t="shared" si="139"/>
        <v>9.9202396899110177</v>
      </c>
      <c r="H942" s="1">
        <f t="shared" si="133"/>
        <v>3.8806466126476522</v>
      </c>
      <c r="I942" s="1">
        <f t="shared" si="134"/>
        <v>100.15146936619442</v>
      </c>
      <c r="K942" s="112">
        <f>C942/'CGE-Flood Weighted Av Calcs'!$D$3</f>
        <v>1.0866388173540369E-2</v>
      </c>
      <c r="L942" s="112">
        <f>D942/'CGE-Flood Weighted Av Calcs'!$D$4</f>
        <v>1.0650935528700509E-2</v>
      </c>
      <c r="M942" s="112">
        <f>E942/'CGE-Flood Weighted Av Calcs'!$D$5</f>
        <v>1.0649326076347297E-2</v>
      </c>
      <c r="N942" s="112">
        <f>F942/'CGE-Flood Weighted Av Calcs'!$D$6</f>
        <v>3.6769663091547975E-3</v>
      </c>
      <c r="O942" s="112">
        <f>G942/'CGE-Flood Weighted Av Calcs'!$D$7</f>
        <v>1.6375707241636572E-2</v>
      </c>
      <c r="P942" s="112">
        <f>H942/'CGE-Flood Weighted Av Calcs'!$D$8</f>
        <v>3.9214691060415453E-2</v>
      </c>
      <c r="R942" s="1">
        <f t="shared" si="135"/>
        <v>0.17387407876075422</v>
      </c>
      <c r="S942" s="1">
        <f t="shared" si="136"/>
        <v>0.20169393136247488</v>
      </c>
      <c r="T942" s="1">
        <f t="shared" si="137"/>
        <v>4.8684742053011183</v>
      </c>
    </row>
    <row r="943" spans="1:20">
      <c r="A943">
        <v>890</v>
      </c>
      <c r="B943">
        <v>0.87484939899561986</v>
      </c>
      <c r="C943" s="1">
        <f t="shared" si="131"/>
        <v>12.889121341217788</v>
      </c>
      <c r="D943" s="1">
        <f t="shared" si="140"/>
        <v>41.457139887273115</v>
      </c>
      <c r="E943" s="1">
        <f t="shared" si="138"/>
        <v>49.703143244248452</v>
      </c>
      <c r="F943" s="1">
        <f t="shared" si="132"/>
        <v>2.6596473741753073</v>
      </c>
      <c r="G943" s="1">
        <f t="shared" si="139"/>
        <v>1.9834340399106551</v>
      </c>
      <c r="H943" s="1">
        <f t="shared" si="133"/>
        <v>0.77588917495786536</v>
      </c>
      <c r="I943" s="1">
        <f t="shared" si="134"/>
        <v>20.024096160700793</v>
      </c>
      <c r="K943" s="112">
        <f>C943/'CGE-Flood Weighted Av Calcs'!$D$3</f>
        <v>2.1726051857599697E-3</v>
      </c>
      <c r="L943" s="112">
        <f>D943/'CGE-Flood Weighted Av Calcs'!$D$4</f>
        <v>2.1295279897322592E-3</v>
      </c>
      <c r="M943" s="112">
        <f>E943/'CGE-Flood Weighted Av Calcs'!$D$5</f>
        <v>2.129206198859986E-3</v>
      </c>
      <c r="N943" s="112">
        <f>F943/'CGE-Flood Weighted Av Calcs'!$D$6</f>
        <v>7.3516571868715425E-4</v>
      </c>
      <c r="O943" s="112">
        <f>G943/'CGE-Flood Weighted Av Calcs'!$D$7</f>
        <v>3.2741280640331718E-3</v>
      </c>
      <c r="P943" s="112">
        <f>H943/'CGE-Flood Weighted Av Calcs'!$D$8</f>
        <v>7.840511474023237E-3</v>
      </c>
      <c r="R943" s="1">
        <f t="shared" si="135"/>
        <v>3.4764055834550028E-2</v>
      </c>
      <c r="S943" s="1">
        <f t="shared" si="136"/>
        <v>4.0326304768078053E-2</v>
      </c>
      <c r="T943" s="1">
        <f t="shared" si="137"/>
        <v>0.97339356336740135</v>
      </c>
    </row>
    <row r="944" spans="1:20">
      <c r="A944">
        <v>891</v>
      </c>
      <c r="B944">
        <v>0.66010862011257032</v>
      </c>
      <c r="C944" s="1">
        <f t="shared" si="131"/>
        <v>35.00503555751763</v>
      </c>
      <c r="D944" s="1">
        <f t="shared" si="140"/>
        <v>112.59174442141341</v>
      </c>
      <c r="E944" s="1">
        <f t="shared" si="138"/>
        <v>134.98672644359826</v>
      </c>
      <c r="F944" s="1">
        <f t="shared" si="132"/>
        <v>7.2232271260989425</v>
      </c>
      <c r="G944" s="1">
        <f t="shared" si="139"/>
        <v>5.3867270898470316</v>
      </c>
      <c r="H944" s="1">
        <f t="shared" si="133"/>
        <v>2.1072055603386057</v>
      </c>
      <c r="I944" s="1">
        <f t="shared" si="134"/>
        <v>54.382620781988734</v>
      </c>
      <c r="K944" s="112">
        <f>C944/'CGE-Flood Weighted Av Calcs'!$D$3</f>
        <v>5.9004892394619503E-3</v>
      </c>
      <c r="L944" s="112">
        <f>D944/'CGE-Flood Weighted Av Calcs'!$D$4</f>
        <v>5.7834976510713594E-3</v>
      </c>
      <c r="M944" s="112">
        <f>E944/'CGE-Flood Weighted Av Calcs'!$D$5</f>
        <v>5.7826237124507344E-3</v>
      </c>
      <c r="N944" s="112">
        <f>F944/'CGE-Flood Weighted Av Calcs'!$D$6</f>
        <v>1.9966063971340051E-3</v>
      </c>
      <c r="O944" s="112">
        <f>G944/'CGE-Flood Weighted Av Calcs'!$D$7</f>
        <v>8.8920700075059544E-3</v>
      </c>
      <c r="P944" s="112">
        <f>H944/'CGE-Flood Weighted Av Calcs'!$D$8</f>
        <v>2.1293723262549198E-2</v>
      </c>
      <c r="R944" s="1">
        <f t="shared" si="135"/>
        <v>9.4414272190952664E-2</v>
      </c>
      <c r="S944" s="1">
        <f t="shared" si="136"/>
        <v>0.1095205557415051</v>
      </c>
      <c r="T944" s="1">
        <f t="shared" si="137"/>
        <v>2.6435996213466755</v>
      </c>
    </row>
    <row r="945" spans="1:20">
      <c r="A945">
        <v>892</v>
      </c>
      <c r="B945">
        <v>0.888073000501577</v>
      </c>
      <c r="C945" s="1">
        <f t="shared" si="131"/>
        <v>11.527237315009828</v>
      </c>
      <c r="D945" s="1">
        <f t="shared" si="140"/>
        <v>37.076715877748484</v>
      </c>
      <c r="E945" s="1">
        <f t="shared" si="138"/>
        <v>44.451434066819502</v>
      </c>
      <c r="F945" s="1">
        <f t="shared" si="132"/>
        <v>2.3786250159907958</v>
      </c>
      <c r="G945" s="1">
        <f t="shared" si="139"/>
        <v>1.7738614038494713</v>
      </c>
      <c r="H945" s="1">
        <f t="shared" si="133"/>
        <v>0.69390755297532625</v>
      </c>
      <c r="I945" s="1">
        <f t="shared" si="134"/>
        <v>17.908319919747655</v>
      </c>
      <c r="K945" s="112">
        <f>C945/'CGE-Flood Weighted Av Calcs'!$D$3</f>
        <v>1.9430444407399741E-3</v>
      </c>
      <c r="L945" s="112">
        <f>D945/'CGE-Flood Weighted Av Calcs'!$D$4</f>
        <v>1.9045188463002113E-3</v>
      </c>
      <c r="M945" s="112">
        <f>E945/'CGE-Flood Weighted Av Calcs'!$D$5</f>
        <v>1.9042310563374746E-3</v>
      </c>
      <c r="N945" s="112">
        <f>F945/'CGE-Flood Weighted Av Calcs'!$D$6</f>
        <v>6.574869985951961E-4</v>
      </c>
      <c r="O945" s="112">
        <f>G945/'CGE-Flood Weighted Av Calcs'!$D$7</f>
        <v>2.9281787481626824E-3</v>
      </c>
      <c r="P945" s="112">
        <f>H945/'CGE-Flood Weighted Av Calcs'!$D$8</f>
        <v>7.0120711908500119E-3</v>
      </c>
      <c r="R945" s="1">
        <f t="shared" si="135"/>
        <v>3.1090833194006379E-2</v>
      </c>
      <c r="S945" s="1">
        <f t="shared" si="136"/>
        <v>3.6065366505047436E-2</v>
      </c>
      <c r="T945" s="1">
        <f t="shared" si="137"/>
        <v>0.87054332943217982</v>
      </c>
    </row>
    <row r="946" spans="1:20">
      <c r="A946">
        <v>893</v>
      </c>
      <c r="B946">
        <v>6.8327090521954847E-2</v>
      </c>
      <c r="C946" s="1">
        <f t="shared" si="131"/>
        <v>100.62406382425031</v>
      </c>
      <c r="D946" s="1">
        <f t="shared" si="140"/>
        <v>322.37650422569612</v>
      </c>
      <c r="E946" s="1">
        <f t="shared" si="138"/>
        <v>386.45726142324474</v>
      </c>
      <c r="F946" s="1">
        <f t="shared" si="132"/>
        <v>23.024956780428496</v>
      </c>
      <c r="G946" s="1">
        <f t="shared" si="139"/>
        <v>15.571079838968094</v>
      </c>
      <c r="H946" s="1">
        <f t="shared" si="133"/>
        <v>6.0021584385085198</v>
      </c>
      <c r="I946" s="1">
        <f t="shared" si="134"/>
        <v>195.73241881414043</v>
      </c>
      <c r="K946" s="112">
        <f>C946/'CGE-Flood Weighted Av Calcs'!$D$3</f>
        <v>1.6961308462331005E-2</v>
      </c>
      <c r="L946" s="112">
        <f>D946/'CGE-Flood Weighted Av Calcs'!$D$4</f>
        <v>1.6559506778503329E-2</v>
      </c>
      <c r="M946" s="112">
        <f>E946/'CGE-Flood Weighted Av Calcs'!$D$5</f>
        <v>1.6555234596999962E-2</v>
      </c>
      <c r="N946" s="112">
        <f>F946/'CGE-Flood Weighted Av Calcs'!$D$6</f>
        <v>6.36443727976273E-3</v>
      </c>
      <c r="O946" s="112">
        <f>G946/'CGE-Flood Weighted Av Calcs'!$D$7</f>
        <v>2.5703758462450842E-2</v>
      </c>
      <c r="P946" s="112">
        <f>H946/'CGE-Flood Weighted Av Calcs'!$D$8</f>
        <v>6.0652981926944696E-2</v>
      </c>
      <c r="R946" s="1">
        <f t="shared" si="135"/>
        <v>0.27111527298536342</v>
      </c>
      <c r="S946" s="1">
        <f t="shared" si="136"/>
        <v>0.32167290947804517</v>
      </c>
      <c r="T946" s="1">
        <f t="shared" si="137"/>
        <v>7.5278818246340862</v>
      </c>
    </row>
    <row r="947" spans="1:20">
      <c r="A947">
        <v>894</v>
      </c>
      <c r="B947">
        <v>0.92493507849397627</v>
      </c>
      <c r="C947" s="1">
        <f t="shared" si="131"/>
        <v>7.7308528604370537</v>
      </c>
      <c r="D947" s="1">
        <f t="shared" si="140"/>
        <v>24.86585702767411</v>
      </c>
      <c r="E947" s="1">
        <f t="shared" si="138"/>
        <v>29.811782894287376</v>
      </c>
      <c r="F947" s="1">
        <f t="shared" si="132"/>
        <v>1.5952478036376689</v>
      </c>
      <c r="G947" s="1">
        <f t="shared" si="139"/>
        <v>1.1896572555257485</v>
      </c>
      <c r="H947" s="1">
        <f t="shared" si="133"/>
        <v>0.46537579163161436</v>
      </c>
      <c r="I947" s="1">
        <f t="shared" si="134"/>
        <v>12.010387440963768</v>
      </c>
      <c r="K947" s="112">
        <f>C947/'CGE-Flood Weighted Av Calcs'!$D$3</f>
        <v>1.3031214906186858E-3</v>
      </c>
      <c r="L947" s="112">
        <f>D947/'CGE-Flood Weighted Av Calcs'!$D$4</f>
        <v>1.2772839292121178E-3</v>
      </c>
      <c r="M947" s="112">
        <f>E947/'CGE-Flood Weighted Av Calcs'!$D$5</f>
        <v>1.2770909200984996E-3</v>
      </c>
      <c r="N947" s="112">
        <f>F947/'CGE-Flood Weighted Av Calcs'!$D$6</f>
        <v>4.409499956395684E-4</v>
      </c>
      <c r="O947" s="112">
        <f>G947/'CGE-Flood Weighted Av Calcs'!$D$7</f>
        <v>1.9638113133689044E-3</v>
      </c>
      <c r="P947" s="112">
        <f>H947/'CGE-Flood Weighted Av Calcs'!$D$8</f>
        <v>4.7027131603150233E-3</v>
      </c>
      <c r="R947" s="1">
        <f t="shared" si="135"/>
        <v>2.0851367085006567E-2</v>
      </c>
      <c r="S947" s="1">
        <f t="shared" si="136"/>
        <v>2.4187585818607638E-2</v>
      </c>
      <c r="T947" s="1">
        <f t="shared" si="137"/>
        <v>0.58383827838018476</v>
      </c>
    </row>
    <row r="948" spans="1:20">
      <c r="A948">
        <v>895</v>
      </c>
      <c r="B948">
        <v>0.62954249207270785</v>
      </c>
      <c r="C948" s="1">
        <f t="shared" si="131"/>
        <v>38.153007121978575</v>
      </c>
      <c r="D948" s="1">
        <f t="shared" si="140"/>
        <v>122.71701937647757</v>
      </c>
      <c r="E948" s="1">
        <f t="shared" si="138"/>
        <v>147.12596211801704</v>
      </c>
      <c r="F948" s="1">
        <f t="shared" si="132"/>
        <v>7.8728054863105825</v>
      </c>
      <c r="G948" s="1">
        <f t="shared" si="139"/>
        <v>5.87115064303803</v>
      </c>
      <c r="H948" s="1">
        <f t="shared" si="133"/>
        <v>2.2967046732168201</v>
      </c>
      <c r="I948" s="1">
        <f t="shared" si="134"/>
        <v>59.273201268366719</v>
      </c>
      <c r="K948" s="112">
        <f>C948/'CGE-Flood Weighted Av Calcs'!$D$3</f>
        <v>6.4311149636299397E-3</v>
      </c>
      <c r="L948" s="112">
        <f>D948/'CGE-Flood Weighted Av Calcs'!$D$4</f>
        <v>6.3036024262481793E-3</v>
      </c>
      <c r="M948" s="112">
        <f>E948/'CGE-Flood Weighted Av Calcs'!$D$5</f>
        <v>6.3026498951084219E-3</v>
      </c>
      <c r="N948" s="112">
        <f>F948/'CGE-Flood Weighted Av Calcs'!$D$6</f>
        <v>2.176159426105257E-3</v>
      </c>
      <c r="O948" s="112">
        <f>G948/'CGE-Flood Weighted Av Calcs'!$D$7</f>
        <v>9.691725916634527E-3</v>
      </c>
      <c r="P948" s="112">
        <f>H948/'CGE-Flood Weighted Av Calcs'!$D$8</f>
        <v>2.3208648765820395E-2</v>
      </c>
      <c r="R948" s="1">
        <f t="shared" si="135"/>
        <v>0.1029048633131367</v>
      </c>
      <c r="S948" s="1">
        <f t="shared" si="136"/>
        <v>0.11936964144323858</v>
      </c>
      <c r="T948" s="1">
        <f t="shared" si="137"/>
        <v>2.8813361727678286</v>
      </c>
    </row>
    <row r="949" spans="1:20">
      <c r="A949">
        <v>896</v>
      </c>
      <c r="B949">
        <v>0.70299715990446787</v>
      </c>
      <c r="C949" s="1">
        <f t="shared" si="131"/>
        <v>30.587992498283199</v>
      </c>
      <c r="D949" s="1">
        <f t="shared" si="140"/>
        <v>98.384571787449431</v>
      </c>
      <c r="E949" s="1">
        <f t="shared" si="138"/>
        <v>117.95368609296722</v>
      </c>
      <c r="F949" s="1">
        <f t="shared" si="132"/>
        <v>6.311778109280068</v>
      </c>
      <c r="G949" s="1">
        <f t="shared" si="139"/>
        <v>4.7070132965242575</v>
      </c>
      <c r="H949" s="1">
        <f t="shared" si="133"/>
        <v>1.8413118811455007</v>
      </c>
      <c r="I949" s="1">
        <f t="shared" si="134"/>
        <v>47.520454415285116</v>
      </c>
      <c r="K949" s="112">
        <f>C949/'CGE-Flood Weighted Av Calcs'!$D$3</f>
        <v>5.1559473578109928E-3</v>
      </c>
      <c r="L949" s="112">
        <f>D949/'CGE-Flood Weighted Av Calcs'!$D$4</f>
        <v>5.0537181278999524E-3</v>
      </c>
      <c r="M949" s="112">
        <f>E949/'CGE-Flood Weighted Av Calcs'!$D$5</f>
        <v>5.0529544655426402E-3</v>
      </c>
      <c r="N949" s="112">
        <f>F949/'CGE-Flood Weighted Av Calcs'!$D$6</f>
        <v>1.7446684605479117E-3</v>
      </c>
      <c r="O949" s="112">
        <f>G949/'CGE-Flood Weighted Av Calcs'!$D$7</f>
        <v>7.7700412626888161E-3</v>
      </c>
      <c r="P949" s="112">
        <f>H949/'CGE-Flood Weighted Av Calcs'!$D$8</f>
        <v>1.8606815763553601E-2</v>
      </c>
      <c r="R949" s="1">
        <f t="shared" si="135"/>
        <v>8.2500788915425588E-2</v>
      </c>
      <c r="S949" s="1">
        <f t="shared" si="136"/>
        <v>9.5700915141893689E-2</v>
      </c>
      <c r="T949" s="1">
        <f t="shared" si="137"/>
        <v>2.310022089631917</v>
      </c>
    </row>
    <row r="950" spans="1:20">
      <c r="A950">
        <v>897</v>
      </c>
      <c r="B950">
        <v>0.57427839359046606</v>
      </c>
      <c r="C950" s="1">
        <f t="shared" si="131"/>
        <v>43.844595220110783</v>
      </c>
      <c r="D950" s="1">
        <f t="shared" si="140"/>
        <v>141.02369503872347</v>
      </c>
      <c r="E950" s="1">
        <f t="shared" si="138"/>
        <v>169.07391427392383</v>
      </c>
      <c r="F950" s="1">
        <f t="shared" si="132"/>
        <v>9.047254615878213</v>
      </c>
      <c r="G950" s="1">
        <f t="shared" si="139"/>
        <v>6.7469969692639555</v>
      </c>
      <c r="H950" s="1">
        <f t="shared" si="133"/>
        <v>2.6393224108230187</v>
      </c>
      <c r="I950" s="1">
        <f t="shared" si="134"/>
        <v>68.115457025525416</v>
      </c>
      <c r="K950" s="112">
        <f>C950/'CGE-Flood Weighted Av Calcs'!$D$3</f>
        <v>7.3904956296857562E-3</v>
      </c>
      <c r="L950" s="112">
        <f>D950/'CGE-Flood Weighted Av Calcs'!$D$4</f>
        <v>7.2439610310073765E-3</v>
      </c>
      <c r="M950" s="112">
        <f>E950/'CGE-Flood Weighted Av Calcs'!$D$5</f>
        <v>7.2428664032071696E-3</v>
      </c>
      <c r="N950" s="112">
        <f>F950/'CGE-Flood Weighted Av Calcs'!$D$6</f>
        <v>2.5007944686239346E-3</v>
      </c>
      <c r="O950" s="112">
        <f>G950/'CGE-Flood Weighted Av Calcs'!$D$7</f>
        <v>1.1137517901028337E-2</v>
      </c>
      <c r="P950" s="112">
        <f>H950/'CGE-Flood Weighted Av Calcs'!$D$8</f>
        <v>2.6670867842470306E-2</v>
      </c>
      <c r="R950" s="1">
        <f t="shared" si="135"/>
        <v>0.11825600178042608</v>
      </c>
      <c r="S950" s="1">
        <f t="shared" si="136"/>
        <v>0.13717696206529426</v>
      </c>
      <c r="T950" s="1">
        <f t="shared" si="137"/>
        <v>3.3111680498519309</v>
      </c>
    </row>
    <row r="951" spans="1:20">
      <c r="A951">
        <v>898</v>
      </c>
      <c r="B951">
        <v>0.26468331811295831</v>
      </c>
      <c r="C951" s="1">
        <f t="shared" ref="C951:C1014" si="141">IF($B951&lt;=0.005,$F$5,IF(B951&lt;=0.01,$F$5+($B951-0.005)*SLOPE($E$5:$F$5,$E$4:$F$4),IF($B951&lt;=0.04,$E$5+($B951-0.01)*SLOPE($D$5:$E$5,$D$4:$E$4),IF($B951&lt;=0.1,$D$5+($B951-0.04)*SLOPE($C$5:$D$5,$C$4:$D$4),IF($B951&lt;=1,$C$5+($B951-0.1)*SLOPE($B$5:$C$5,$B$4:$C$4),)))))</f>
        <v>75.729448049010998</v>
      </c>
      <c r="D951" s="1">
        <f t="shared" si="140"/>
        <v>243.57954574560662</v>
      </c>
      <c r="E951" s="1">
        <f t="shared" si="138"/>
        <v>292.02856459664912</v>
      </c>
      <c r="F951" s="1">
        <f t="shared" ref="F951:F1014" si="142">IF($B951&lt;=0.005,$F$26,IF($B951&lt;=0.01,$F$26+($B951-0.005)*SLOPE($E$26:$F$26,$E$25:$F$25),IF($B951&lt;=0.04,$E$26+($B951-0.01)*SLOPE($D$26:$E$26,$D$25:$E$25),IF($B951&lt;=0.1,$D$26+($B951-0.04)*SLOPE($C$26:$D$26,$C$25:$D$25),IF($B951&lt;=1,$C$26+($B951-0.1)*SLOPE($B$26:$C$26,$B$25:$C$25),)))))</f>
        <v>15.626637558853782</v>
      </c>
      <c r="G951" s="1">
        <f t="shared" si="139"/>
        <v>11.65357677281844</v>
      </c>
      <c r="H951" s="1">
        <f t="shared" ref="H951:H1014" si="143">IF($B951&lt;=0.005,$F$40,IF($B951&lt;=0.01,$F$40+($B951-0.005)*SLOPE($E$40:$F$40,$E$39:$F$39),IF($B951&lt;=0.04,$E$40+($B951-0.01)*SLOPE($D$40:$E$40,$D$39:$E$39),IF($B951&lt;=0.1,$D$40+($B951-0.04)*SLOPE($C$40:$D$40,$C$39:$D$39),IF($B951&lt;=1,$C$40+($B951-0.1)*SLOPE($B$40:$C$40,$B$39:$C$39),)))))</f>
        <v>4.5587016687368846</v>
      </c>
      <c r="I951" s="1">
        <f t="shared" ref="I951:I1014" si="144">IF($B951&lt;=0.005,$F$47,IF($B951&lt;=0.01,$F$47+($B951-0.005)*SLOPE($E$47:$F$47,$E$46:$F$46),IF($B951&lt;=0.04,$E$47+($B951-0.01)*SLOPE($D$47:$E$47,$D$46:$E$46),IF($B951&lt;=0.1,$D$47+($B951-0.04)*SLOPE($C$47:$D$47,$C$46:$D$46),IF($B951&lt;=1,$C$47+($B951-0.1)*SLOPE($B$47:$C$47,$B$46:$C$46),)))))</f>
        <v>117.65066910192667</v>
      </c>
      <c r="K951" s="112">
        <f>C951/'CGE-Flood Weighted Av Calcs'!$D$3</f>
        <v>1.2765043263257572E-2</v>
      </c>
      <c r="L951" s="112">
        <f>D951/'CGE-Flood Weighted Av Calcs'!$D$4</f>
        <v>1.2511945151111996E-2</v>
      </c>
      <c r="M951" s="112">
        <f>E951/'CGE-Flood Weighted Av Calcs'!$D$5</f>
        <v>1.2510054483431917E-2</v>
      </c>
      <c r="N951" s="112">
        <f>F951/'CGE-Flood Weighted Av Calcs'!$D$6</f>
        <v>4.319432847815257E-3</v>
      </c>
      <c r="O951" s="112">
        <f>G951/'CGE-Flood Weighted Av Calcs'!$D$7</f>
        <v>1.9236990991628188E-2</v>
      </c>
      <c r="P951" s="112">
        <f>H951/'CGE-Flood Weighted Av Calcs'!$D$8</f>
        <v>4.6066569677713852E-2</v>
      </c>
      <c r="R951" s="1">
        <f t="shared" ref="R951:R1014" si="145">IF($B951&lt;=0.005,$F$13,IF($B951&lt;=0.01,$F$13+($B951-0.005)*SLOPE($E$13:$F$13,$E$10:$F$10),IF($B951&lt;=0.04,$E$13+($B951-0.01)*SLOPE($D$13:$E$13,$D$10:$E$10),IF($B951&lt;=0.1,$D$13+($B951-0.04)*SLOPE($C$13:$D$13,$C$10:$D$10),IF($B951&lt;=1,$C$13+($B951-0.1)*SLOPE($B$13:$C$13,$B$10:$C$10),)))))</f>
        <v>0.20425463385751158</v>
      </c>
      <c r="S951" s="1">
        <f t="shared" ref="S951:S1014" si="146">IF($B951&lt;=0.005,$F$21,IF($B951&lt;=0.01,$F$21+($B951-0.005)*SLOPE($E$21:$F$21,$E$18:$F$18),IF($B951&lt;=0.04,$E$21+($B951-0.01)*SLOPE($D$21:$E$21,$D$18:$E$18),IF($B951&lt;=0.1,$D$21+($B951-0.04)*SLOPE($C$21:$D$21,$C$18:$D$18),IF($B951&lt;=1,$C$21+($B951-0.1)*SLOPE($B$21:$C$21,$B$18:$C$18),)))))</f>
        <v>0.23693537527471342</v>
      </c>
      <c r="T951" s="1">
        <f t="shared" ref="T951:T1014" si="147">IF($B951&lt;=0.005,$F$14,IF($B951&lt;=0.01,$F$14+($B951-0.005)*SLOPE($E$14:$F$14,$E$10:$F$10),IF($B951&lt;=0.04,$E$14+($B951-0.01)*SLOPE($D$14:$E$14,$D$10:$E$10),IF($B951&lt;=0.1,$D$14+($B951-0.04)*SLOPE($C$14:$D$14,$C$10:$D$10),IF($B951&lt;=1,$C$14+($B951-0.1)*SLOPE($B$14:$C$14,$B$10:$C$10),)))))</f>
        <v>5.7191297480103245</v>
      </c>
    </row>
    <row r="952" spans="1:20">
      <c r="A952">
        <v>899</v>
      </c>
      <c r="B952">
        <v>0.745715126730363</v>
      </c>
      <c r="C952" s="1">
        <f t="shared" si="141"/>
        <v>26.188516559291841</v>
      </c>
      <c r="D952" s="1">
        <f t="shared" si="140"/>
        <v>84.233902815919322</v>
      </c>
      <c r="E952" s="1">
        <f t="shared" ref="E952:E1015" si="148">IF($B952&lt;=0.005,$F$19,IF($B952&lt;=0.01,$F$19+($B952-0.005)*SLOPE($E$19:$F$19,$E$18:$F$18),IF($B952&lt;=0.04,$E$19+($B952-0.01)*SLOPE($D$19:$E$19,$D$18:$E$18),IF($B952&lt;=0.1,$D$19+($B952-0.04)*SLOPE($C$19:$D$19,$C$18:$D$18),IF($B952&lt;=1,$C$19+($B952-0.1)*SLOPE($B$19:$C$19,$B$18:$C$18),)))))</f>
        <v>100.98838822614988</v>
      </c>
      <c r="F952" s="1">
        <f t="shared" si="142"/>
        <v>5.403954036628404</v>
      </c>
      <c r="G952" s="1">
        <f t="shared" ref="G952:G1015" si="149">IF($B952&lt;=0.005,$F$33,IF($B952&lt;=0.01,$F$33+($B952-0.005)*SLOPE($E$33:$F$33,$E$32:$F$32),IF($B952&lt;=0.04,$E$33+($B952-0.01)*SLOPE($D$33:$E$33,$D$32:$E$32),IF($B952&lt;=0.1,$D$33+($B952-0.04)*SLOPE($C$33:$D$33,$C$32:$D$32),IF($B952&lt;=1,$C$33+($B952-0.1)*SLOPE($B$33:$C$33,$B$32:$C$32),)))))</f>
        <v>4.0300028080545367</v>
      </c>
      <c r="H952" s="1">
        <f t="shared" si="143"/>
        <v>1.5764756936208304</v>
      </c>
      <c r="I952" s="1">
        <f t="shared" si="144"/>
        <v>40.685579723141899</v>
      </c>
      <c r="K952" s="112">
        <f>C952/'CGE-Flood Weighted Av Calcs'!$D$3</f>
        <v>4.4143666102457952E-3</v>
      </c>
      <c r="L952" s="112">
        <f>D952/'CGE-Flood Weighted Av Calcs'!$D$4</f>
        <v>4.3268410271098895E-3</v>
      </c>
      <c r="M952" s="112">
        <f>E952/'CGE-Flood Weighted Av Calcs'!$D$5</f>
        <v>4.32618720243371E-3</v>
      </c>
      <c r="N952" s="112">
        <f>F952/'CGE-Flood Weighted Av Calcs'!$D$6</f>
        <v>1.4937325119357746E-3</v>
      </c>
      <c r="O952" s="112">
        <f>G952/'CGE-Flood Weighted Av Calcs'!$D$7</f>
        <v>6.6524749633611263E-3</v>
      </c>
      <c r="P952" s="112">
        <f>H952/'CGE-Flood Weighted Av Calcs'!$D$8</f>
        <v>1.5930594424163853E-2</v>
      </c>
      <c r="R952" s="1">
        <f t="shared" si="145"/>
        <v>7.0634687019343584E-2</v>
      </c>
      <c r="S952" s="1">
        <f t="shared" si="146"/>
        <v>8.1936236942438595E-2</v>
      </c>
      <c r="T952" s="1">
        <f t="shared" si="147"/>
        <v>1.9777712365416216</v>
      </c>
    </row>
    <row r="953" spans="1:20">
      <c r="A953">
        <v>900</v>
      </c>
      <c r="B953">
        <v>0.229513065240883</v>
      </c>
      <c r="C953" s="1">
        <f t="shared" si="141"/>
        <v>79.351593314247282</v>
      </c>
      <c r="D953" s="1">
        <f t="shared" ref="D953:D1016" si="150">IF($B953&lt;=0.005,$F$11,IF($B953&lt;=0.01,$F$11+($B953-0.005)*SLOPE($E$11:$F$11,$E$10:$F$10),IF($B953&lt;=0.04,$E$11+($B953-0.01)*SLOPE($D$11:$E$11,$D$10:$E$10),IF($B953&lt;=0.1,$D$11+($B953-0.04)*SLOPE($C$11:$D$11,$C$10:$D$10),IF($B953&lt;=1,$C$11+($B953-0.1)*SLOPE($B$11:$C$11,$B$10:$C$10),)))))</f>
        <v>255.22997396158749</v>
      </c>
      <c r="E953" s="1">
        <f t="shared" si="148"/>
        <v>305.99631307255152</v>
      </c>
      <c r="F953" s="1">
        <f t="shared" si="142"/>
        <v>16.374060822902052</v>
      </c>
      <c r="G953" s="1">
        <f t="shared" si="149"/>
        <v>12.210968237013631</v>
      </c>
      <c r="H953" s="1">
        <f t="shared" si="143"/>
        <v>4.7767447165926358</v>
      </c>
      <c r="I953" s="1">
        <f t="shared" si="144"/>
        <v>123.27790956145871</v>
      </c>
      <c r="K953" s="112">
        <f>C953/'CGE-Flood Weighted Av Calcs'!$D$3</f>
        <v>1.3375596254303023E-2</v>
      </c>
      <c r="L953" s="112">
        <f>D953/'CGE-Flood Weighted Av Calcs'!$D$4</f>
        <v>1.3110392440185937E-2</v>
      </c>
      <c r="M953" s="112">
        <f>E953/'CGE-Flood Weighted Av Calcs'!$D$5</f>
        <v>1.310841134172679E-2</v>
      </c>
      <c r="N953" s="112">
        <f>F953/'CGE-Flood Weighted Av Calcs'!$D$6</f>
        <v>4.5260316497515198E-3</v>
      </c>
      <c r="O953" s="112">
        <f>G953/'CGE-Flood Weighted Av Calcs'!$D$7</f>
        <v>2.0157097735211266E-2</v>
      </c>
      <c r="P953" s="112">
        <f>H953/'CGE-Flood Weighted Av Calcs'!$D$8</f>
        <v>4.8269937212306477E-2</v>
      </c>
      <c r="R953" s="1">
        <f t="shared" si="145"/>
        <v>0.21402414854419916</v>
      </c>
      <c r="S953" s="1">
        <f t="shared" si="146"/>
        <v>0.24826801231127102</v>
      </c>
      <c r="T953" s="1">
        <f t="shared" si="147"/>
        <v>5.9926761592375772</v>
      </c>
    </row>
    <row r="954" spans="1:20">
      <c r="A954">
        <v>901</v>
      </c>
      <c r="B954">
        <v>0.40077330848833292</v>
      </c>
      <c r="C954" s="1">
        <f t="shared" si="141"/>
        <v>61.713691151351583</v>
      </c>
      <c r="D954" s="1">
        <f t="shared" si="150"/>
        <v>198.49864543053667</v>
      </c>
      <c r="E954" s="1">
        <f t="shared" si="148"/>
        <v>237.98087939616894</v>
      </c>
      <c r="F954" s="1">
        <f t="shared" si="142"/>
        <v>12.734510931825117</v>
      </c>
      <c r="G954" s="1">
        <f t="shared" si="149"/>
        <v>9.4967711543445468</v>
      </c>
      <c r="H954" s="1">
        <f t="shared" si="143"/>
        <v>3.7149921738965235</v>
      </c>
      <c r="I954" s="1">
        <f t="shared" si="144"/>
        <v>95.876270641866711</v>
      </c>
      <c r="K954" s="112">
        <f>C954/'CGE-Flood Weighted Av Calcs'!$D$3</f>
        <v>1.0402531086354683E-2</v>
      </c>
      <c r="L954" s="112">
        <f>D954/'CGE-Flood Weighted Av Calcs'!$D$4</f>
        <v>1.0196275539452593E-2</v>
      </c>
      <c r="M954" s="112">
        <f>E954/'CGE-Flood Weighted Av Calcs'!$D$5</f>
        <v>1.0194734790321519E-2</v>
      </c>
      <c r="N954" s="112">
        <f>F954/'CGE-Flood Weighted Av Calcs'!$D$6</f>
        <v>3.5200064385330623E-3</v>
      </c>
      <c r="O954" s="112">
        <f>G954/'CGE-Flood Weighted Av Calcs'!$D$7</f>
        <v>1.5676672038733797E-2</v>
      </c>
      <c r="P954" s="112">
        <f>H954/'CGE-Flood Weighted Av Calcs'!$D$8</f>
        <v>3.7540720640836342E-2</v>
      </c>
      <c r="R954" s="1">
        <f t="shared" si="145"/>
        <v>0.16645185875324084</v>
      </c>
      <c r="S954" s="1">
        <f t="shared" si="146"/>
        <v>0.19308415615375937</v>
      </c>
      <c r="T954" s="1">
        <f t="shared" si="147"/>
        <v>4.6606520450907443</v>
      </c>
    </row>
    <row r="955" spans="1:20">
      <c r="A955">
        <v>902</v>
      </c>
      <c r="B955">
        <v>0.57833337675889107</v>
      </c>
      <c r="C955" s="1">
        <f t="shared" si="141"/>
        <v>43.426977009131548</v>
      </c>
      <c r="D955" s="1">
        <f t="shared" si="150"/>
        <v>139.68044935628325</v>
      </c>
      <c r="E955" s="1">
        <f t="shared" si="148"/>
        <v>167.46349125033652</v>
      </c>
      <c r="F955" s="1">
        <f t="shared" si="142"/>
        <v>8.9610798372541041</v>
      </c>
      <c r="G955" s="1">
        <f t="shared" si="149"/>
        <v>6.6827320629592908</v>
      </c>
      <c r="H955" s="1">
        <f t="shared" si="143"/>
        <v>2.6141829586768224</v>
      </c>
      <c r="I955" s="1">
        <f t="shared" si="144"/>
        <v>67.466659718577418</v>
      </c>
      <c r="K955" s="112">
        <f>C955/'CGE-Flood Weighted Av Calcs'!$D$3</f>
        <v>7.3201014215142661E-3</v>
      </c>
      <c r="L955" s="112">
        <f>D955/'CGE-Flood Weighted Av Calcs'!$D$4</f>
        <v>7.1749625596796039E-3</v>
      </c>
      <c r="M955" s="112">
        <f>E955/'CGE-Flood Weighted Av Calcs'!$D$5</f>
        <v>7.1738783581702841E-3</v>
      </c>
      <c r="N955" s="112">
        <f>F955/'CGE-Flood Weighted Av Calcs'!$D$6</f>
        <v>2.4769744902030945E-3</v>
      </c>
      <c r="O955" s="112">
        <f>G955/'CGE-Flood Weighted Av Calcs'!$D$7</f>
        <v>1.1031433438913305E-2</v>
      </c>
      <c r="P955" s="112">
        <f>H955/'CGE-Flood Weighted Av Calcs'!$D$8</f>
        <v>2.641682877430878E-2</v>
      </c>
      <c r="R955" s="1">
        <f t="shared" si="145"/>
        <v>0.11712961756697468</v>
      </c>
      <c r="S955" s="1">
        <f t="shared" si="146"/>
        <v>0.13587035637769065</v>
      </c>
      <c r="T955" s="1">
        <f t="shared" si="147"/>
        <v>3.2796292918752918</v>
      </c>
    </row>
    <row r="956" spans="1:20">
      <c r="A956">
        <v>903</v>
      </c>
      <c r="B956">
        <v>0.57189696884576147</v>
      </c>
      <c r="C956" s="1">
        <f t="shared" si="141"/>
        <v>44.089855508540417</v>
      </c>
      <c r="D956" s="1">
        <f t="shared" si="150"/>
        <v>141.81256107676015</v>
      </c>
      <c r="E956" s="1">
        <f t="shared" si="148"/>
        <v>170.01968915843523</v>
      </c>
      <c r="F956" s="1">
        <f t="shared" si="142"/>
        <v>9.0978636422689689</v>
      </c>
      <c r="G956" s="1">
        <f t="shared" si="149"/>
        <v>6.7847386889538779</v>
      </c>
      <c r="H956" s="1">
        <f t="shared" si="143"/>
        <v>2.6540863964975934</v>
      </c>
      <c r="I956" s="1">
        <f t="shared" si="144"/>
        <v>68.496484984678148</v>
      </c>
      <c r="K956" s="112">
        <f>C956/'CGE-Flood Weighted Av Calcs'!$D$3</f>
        <v>7.43183698728468E-3</v>
      </c>
      <c r="L956" s="112">
        <f>D956/'CGE-Flood Weighted Av Calcs'!$D$4</f>
        <v>7.2844826953748698E-3</v>
      </c>
      <c r="M956" s="112">
        <f>E956/'CGE-Flood Weighted Av Calcs'!$D$5</f>
        <v>7.2833819443859612E-3</v>
      </c>
      <c r="N956" s="112">
        <f>F956/'CGE-Flood Weighted Av Calcs'!$D$6</f>
        <v>2.5147835491388481E-3</v>
      </c>
      <c r="O956" s="112">
        <f>G956/'CGE-Flood Weighted Av Calcs'!$D$7</f>
        <v>1.1199819556205744E-2</v>
      </c>
      <c r="P956" s="112">
        <f>H956/'CGE-Flood Weighted Av Calcs'!$D$8</f>
        <v>2.6820060797881889E-2</v>
      </c>
      <c r="R956" s="1">
        <f t="shared" si="145"/>
        <v>0.11891750865395515</v>
      </c>
      <c r="S956" s="1">
        <f t="shared" si="146"/>
        <v>0.13794431003858795</v>
      </c>
      <c r="T956" s="1">
        <f t="shared" si="147"/>
        <v>3.3296902423107446</v>
      </c>
    </row>
    <row r="957" spans="1:20">
      <c r="A957">
        <v>904</v>
      </c>
      <c r="B957">
        <v>0.4417551593126936</v>
      </c>
      <c r="C957" s="1">
        <f t="shared" si="141"/>
        <v>57.493015870340479</v>
      </c>
      <c r="D957" s="1">
        <f t="shared" si="150"/>
        <v>184.92307880257124</v>
      </c>
      <c r="E957" s="1">
        <f t="shared" si="148"/>
        <v>221.70507420154323</v>
      </c>
      <c r="F957" s="1">
        <f t="shared" si="142"/>
        <v>11.863582058458858</v>
      </c>
      <c r="G957" s="1">
        <f t="shared" si="149"/>
        <v>8.8472752886336625</v>
      </c>
      <c r="H957" s="1">
        <f t="shared" si="143"/>
        <v>3.4609192875565955</v>
      </c>
      <c r="I957" s="1">
        <f t="shared" si="144"/>
        <v>89.319174509969002</v>
      </c>
      <c r="K957" s="112">
        <f>C957/'CGE-Flood Weighted Av Calcs'!$D$3</f>
        <v>9.6910891842903763E-3</v>
      </c>
      <c r="L957" s="112">
        <f>D957/'CGE-Flood Weighted Av Calcs'!$D$4</f>
        <v>9.4989397080533205E-3</v>
      </c>
      <c r="M957" s="112">
        <f>E957/'CGE-Flood Weighted Av Calcs'!$D$5</f>
        <v>9.4975043326513235E-3</v>
      </c>
      <c r="N957" s="112">
        <f>F957/'CGE-Flood Weighted Av Calcs'!$D$6</f>
        <v>3.2792688665787225E-3</v>
      </c>
      <c r="O957" s="112">
        <f>G957/'CGE-Flood Weighted Av Calcs'!$D$7</f>
        <v>1.4604525146723555E-2</v>
      </c>
      <c r="P957" s="112">
        <f>H957/'CGE-Flood Weighted Av Calcs'!$D$8</f>
        <v>3.4973264559631727E-2</v>
      </c>
      <c r="R957" s="1">
        <f t="shared" si="145"/>
        <v>0.15506801130202955</v>
      </c>
      <c r="S957" s="1">
        <f t="shared" si="146"/>
        <v>0.17987889311035427</v>
      </c>
      <c r="T957" s="1">
        <f t="shared" si="147"/>
        <v>4.3419043164568283</v>
      </c>
    </row>
    <row r="958" spans="1:20">
      <c r="A958">
        <v>905</v>
      </c>
      <c r="B958">
        <v>7.4086526045474943E-2</v>
      </c>
      <c r="C958" s="1">
        <f t="shared" si="141"/>
        <v>99.181325225608532</v>
      </c>
      <c r="D958" s="1">
        <f t="shared" si="150"/>
        <v>317.96789692268885</v>
      </c>
      <c r="E958" s="1">
        <f t="shared" si="148"/>
        <v>381.17927602138042</v>
      </c>
      <c r="F958" s="1">
        <f t="shared" si="142"/>
        <v>22.31604224180818</v>
      </c>
      <c r="G958" s="1">
        <f t="shared" si="149"/>
        <v>15.333315452089153</v>
      </c>
      <c r="H958" s="1">
        <f t="shared" si="143"/>
        <v>5.9253344405421604</v>
      </c>
      <c r="I958" s="1">
        <f t="shared" si="144"/>
        <v>186.32534079239093</v>
      </c>
      <c r="K958" s="112">
        <f>C958/'CGE-Flood Weighted Av Calcs'!$D$3</f>
        <v>1.6718118777159723E-2</v>
      </c>
      <c r="L958" s="112">
        <f>D958/'CGE-Flood Weighted Av Calcs'!$D$4</f>
        <v>1.6333049944456893E-2</v>
      </c>
      <c r="M958" s="112">
        <f>E958/'CGE-Flood Weighted Av Calcs'!$D$5</f>
        <v>1.6329133821443027E-2</v>
      </c>
      <c r="N958" s="112">
        <f>F958/'CGE-Flood Weighted Av Calcs'!$D$6</f>
        <v>6.1684828568820734E-3</v>
      </c>
      <c r="O958" s="112">
        <f>G958/'CGE-Flood Weighted Av Calcs'!$D$7</f>
        <v>2.5311271978885677E-2</v>
      </c>
      <c r="P958" s="112">
        <f>H958/'CGE-Flood Weighted Av Calcs'!$D$8</f>
        <v>5.9876660440608347E-2</v>
      </c>
      <c r="R958" s="1">
        <f t="shared" si="145"/>
        <v>0.26727564930301673</v>
      </c>
      <c r="S958" s="1">
        <f t="shared" si="146"/>
        <v>0.31591347395452507</v>
      </c>
      <c r="T958" s="1">
        <f t="shared" si="147"/>
        <v>7.4318912325754178</v>
      </c>
    </row>
    <row r="959" spans="1:20">
      <c r="A959">
        <v>906</v>
      </c>
      <c r="B959">
        <v>0.77996050749338031</v>
      </c>
      <c r="C959" s="1">
        <f t="shared" si="141"/>
        <v>22.66162284493177</v>
      </c>
      <c r="D959" s="1">
        <f t="shared" si="150"/>
        <v>72.889845900558186</v>
      </c>
      <c r="E959" s="1">
        <f t="shared" si="148"/>
        <v>87.38794961971837</v>
      </c>
      <c r="F959" s="1">
        <f t="shared" si="142"/>
        <v>4.6761857615019835</v>
      </c>
      <c r="G959" s="1">
        <f t="shared" si="149"/>
        <v>3.4872690667064408</v>
      </c>
      <c r="H959" s="1">
        <f t="shared" si="143"/>
        <v>1.3641665236040961</v>
      </c>
      <c r="I959" s="1">
        <f t="shared" si="144"/>
        <v>35.206318801059126</v>
      </c>
      <c r="K959" s="112">
        <f>C959/'CGE-Flood Weighted Av Calcs'!$D$3</f>
        <v>3.8198693306725883E-3</v>
      </c>
      <c r="L959" s="112">
        <f>D959/'CGE-Flood Weighted Av Calcs'!$D$4</f>
        <v>3.74413110587402E-3</v>
      </c>
      <c r="M959" s="112">
        <f>E959/'CGE-Flood Weighted Av Calcs'!$D$5</f>
        <v>3.7435653339187923E-3</v>
      </c>
      <c r="N959" s="112">
        <f>F959/'CGE-Flood Weighted Av Calcs'!$D$6</f>
        <v>1.2925666385135788E-3</v>
      </c>
      <c r="O959" s="112">
        <f>G959/'CGE-Flood Weighted Av Calcs'!$D$7</f>
        <v>5.7565642660104017E-3</v>
      </c>
      <c r="P959" s="112">
        <f>H959/'CGE-Flood Weighted Av Calcs'!$D$8</f>
        <v>1.378516884370392E-2</v>
      </c>
      <c r="R959" s="1">
        <f t="shared" si="145"/>
        <v>6.1122081251838795E-2</v>
      </c>
      <c r="S959" s="1">
        <f t="shared" si="146"/>
        <v>7.0901614252133011E-2</v>
      </c>
      <c r="T959" s="1">
        <f t="shared" si="147"/>
        <v>1.7114182750514866</v>
      </c>
    </row>
    <row r="960" spans="1:20">
      <c r="A960">
        <v>907</v>
      </c>
      <c r="B960">
        <v>0.42561054941976717</v>
      </c>
      <c r="C960" s="1">
        <f t="shared" si="141"/>
        <v>59.155731304757538</v>
      </c>
      <c r="D960" s="1">
        <f t="shared" si="150"/>
        <v>190.27111025735491</v>
      </c>
      <c r="E960" s="1">
        <f t="shared" si="148"/>
        <v>228.11685210505127</v>
      </c>
      <c r="F960" s="1">
        <f t="shared" si="142"/>
        <v>12.206680445236112</v>
      </c>
      <c r="G960" s="1">
        <f t="shared" si="149"/>
        <v>9.1031411699456335</v>
      </c>
      <c r="H960" s="1">
        <f t="shared" si="143"/>
        <v>3.5610101217140828</v>
      </c>
      <c r="I960" s="1">
        <f t="shared" si="144"/>
        <v>91.902312092837235</v>
      </c>
      <c r="K960" s="112">
        <f>C960/'CGE-Flood Weighted Av Calcs'!$D$3</f>
        <v>9.9713584190678911E-3</v>
      </c>
      <c r="L960" s="112">
        <f>D960/'CGE-Flood Weighted Av Calcs'!$D$4</f>
        <v>9.7736519217732683E-3</v>
      </c>
      <c r="M960" s="112">
        <f>E960/'CGE-Flood Weighted Av Calcs'!$D$5</f>
        <v>9.77217503487985E-3</v>
      </c>
      <c r="N960" s="112">
        <f>F960/'CGE-Flood Weighted Av Calcs'!$D$6</f>
        <v>3.3741063155370509E-3</v>
      </c>
      <c r="O960" s="112">
        <f>G960/'CGE-Flood Weighted Av Calcs'!$D$7</f>
        <v>1.5026892437883811E-2</v>
      </c>
      <c r="P960" s="112">
        <f>H960/'CGE-Flood Weighted Av Calcs'!$D$8</f>
        <v>3.598470196459224E-2</v>
      </c>
      <c r="R960" s="1">
        <f t="shared" si="145"/>
        <v>0.15955262516117577</v>
      </c>
      <c r="S960" s="1">
        <f t="shared" si="146"/>
        <v>0.18508104518696389</v>
      </c>
      <c r="T960" s="1">
        <f t="shared" si="147"/>
        <v>4.4674735045129221</v>
      </c>
    </row>
    <row r="961" spans="1:20">
      <c r="A961">
        <v>908</v>
      </c>
      <c r="B961">
        <v>0.96178973361362896</v>
      </c>
      <c r="C961" s="1">
        <f t="shared" si="141"/>
        <v>3.9352328792808322</v>
      </c>
      <c r="D961" s="1">
        <f t="shared" si="150"/>
        <v>12.657457063704499</v>
      </c>
      <c r="E961" s="1">
        <f t="shared" si="148"/>
        <v>15.175079690877567</v>
      </c>
      <c r="F961" s="1">
        <f t="shared" si="142"/>
        <v>0.81202833902086979</v>
      </c>
      <c r="G961" s="1">
        <f t="shared" si="149"/>
        <v>0.60557074769564778</v>
      </c>
      <c r="H961" s="1">
        <f t="shared" si="143"/>
        <v>0.2368900494565267</v>
      </c>
      <c r="I961" s="1">
        <f t="shared" si="144"/>
        <v>6.1136426218193378</v>
      </c>
      <c r="K961" s="112">
        <f>C961/'CGE-Flood Weighted Av Calcs'!$D$3</f>
        <v>6.6332740101978759E-4</v>
      </c>
      <c r="L961" s="112">
        <f>D961/'CGE-Flood Weighted Av Calcs'!$D$4</f>
        <v>6.5017531767230601E-4</v>
      </c>
      <c r="M961" s="112">
        <f>E961/'CGE-Flood Weighted Av Calcs'!$D$5</f>
        <v>6.5007707032190053E-4</v>
      </c>
      <c r="N961" s="112">
        <f>F961/'CGE-Flood Weighted Av Calcs'!$D$6</f>
        <v>2.2445659648235195E-4</v>
      </c>
      <c r="O961" s="112">
        <f>G961/'CGE-Flood Weighted Av Calcs'!$D$7</f>
        <v>9.9963807209701018E-4</v>
      </c>
      <c r="P961" s="112">
        <f>H961/'CGE-Flood Weighted Av Calcs'!$D$8</f>
        <v>2.3938201624564386E-3</v>
      </c>
      <c r="R961" s="1">
        <f t="shared" si="145"/>
        <v>1.0613962885103051E-2</v>
      </c>
      <c r="S961" s="1">
        <f t="shared" si="146"/>
        <v>1.2312196946719534E-2</v>
      </c>
      <c r="T961" s="1">
        <f t="shared" si="147"/>
        <v>0.29719096078288665</v>
      </c>
    </row>
    <row r="962" spans="1:20">
      <c r="A962">
        <v>909</v>
      </c>
      <c r="B962">
        <v>0.7476451399684928</v>
      </c>
      <c r="C962" s="1">
        <f t="shared" si="141"/>
        <v>25.989746640356017</v>
      </c>
      <c r="D962" s="1">
        <f t="shared" si="150"/>
        <v>83.594570458301348</v>
      </c>
      <c r="E962" s="1">
        <f t="shared" si="148"/>
        <v>100.22188991397076</v>
      </c>
      <c r="F962" s="1">
        <f t="shared" si="142"/>
        <v>5.3629382156917078</v>
      </c>
      <c r="G962" s="1">
        <f t="shared" si="149"/>
        <v>3.9994152285841764</v>
      </c>
      <c r="H962" s="1">
        <f t="shared" si="143"/>
        <v>1.56451029859298</v>
      </c>
      <c r="I962" s="1">
        <f t="shared" si="144"/>
        <v>40.376777605041127</v>
      </c>
      <c r="K962" s="112">
        <f>C962/'CGE-Flood Weighted Av Calcs'!$D$3</f>
        <v>4.3808617230451392E-3</v>
      </c>
      <c r="L962" s="112">
        <f>D962/'CGE-Flood Weighted Av Calcs'!$D$4</f>
        <v>4.294000456004623E-3</v>
      </c>
      <c r="M962" s="112">
        <f>E962/'CGE-Flood Weighted Av Calcs'!$D$5</f>
        <v>4.2933515938347235E-3</v>
      </c>
      <c r="N962" s="112">
        <f>F962/'CGE-Flood Weighted Av Calcs'!$D$6</f>
        <v>1.4823951347446274E-3</v>
      </c>
      <c r="O962" s="112">
        <f>G962/'CGE-Flood Weighted Av Calcs'!$D$7</f>
        <v>6.6019829125343382E-3</v>
      </c>
      <c r="P962" s="112">
        <f>H962/'CGE-Flood Weighted Av Calcs'!$D$8</f>
        <v>1.5809681773188696E-2</v>
      </c>
      <c r="R962" s="1">
        <f t="shared" si="145"/>
        <v>7.009857223097421E-2</v>
      </c>
      <c r="S962" s="1">
        <f t="shared" si="146"/>
        <v>8.1314343787930093E-2</v>
      </c>
      <c r="T962" s="1">
        <f t="shared" si="147"/>
        <v>1.962760022467279</v>
      </c>
    </row>
    <row r="963" spans="1:20">
      <c r="A963">
        <v>910</v>
      </c>
      <c r="B963">
        <v>0.42264908244448174</v>
      </c>
      <c r="C963" s="1">
        <f t="shared" si="141"/>
        <v>59.460729498023319</v>
      </c>
      <c r="D963" s="1">
        <f t="shared" si="150"/>
        <v>191.25211993434118</v>
      </c>
      <c r="E963" s="1">
        <f t="shared" si="148"/>
        <v>229.29298882436728</v>
      </c>
      <c r="F963" s="1">
        <f t="shared" si="142"/>
        <v>12.269616282549823</v>
      </c>
      <c r="G963" s="1">
        <f t="shared" si="149"/>
        <v>9.1500756182000753</v>
      </c>
      <c r="H963" s="1">
        <f t="shared" si="143"/>
        <v>3.5793701627340915</v>
      </c>
      <c r="I963" s="1">
        <f t="shared" si="144"/>
        <v>92.376146808882908</v>
      </c>
      <c r="K963" s="112">
        <f>C963/'CGE-Flood Weighted Av Calcs'!$D$3</f>
        <v>1.0022769266928995E-2</v>
      </c>
      <c r="L963" s="112">
        <f>D963/'CGE-Flood Weighted Av Calcs'!$D$4</f>
        <v>9.8240434242025457E-3</v>
      </c>
      <c r="M963" s="112">
        <f>E963/'CGE-Flood Weighted Av Calcs'!$D$5</f>
        <v>9.8225589226989436E-3</v>
      </c>
      <c r="N963" s="112">
        <f>F963/'CGE-Flood Weighted Av Calcs'!$D$6</f>
        <v>3.39150270820142E-3</v>
      </c>
      <c r="O963" s="112">
        <f>G963/'CGE-Flood Weighted Av Calcs'!$D$7</f>
        <v>1.5104368870730906E-2</v>
      </c>
      <c r="P963" s="112">
        <f>H963/'CGE-Flood Weighted Av Calcs'!$D$8</f>
        <v>3.6170233760790753E-2</v>
      </c>
      <c r="R963" s="1">
        <f t="shared" si="145"/>
        <v>0.16037525487653284</v>
      </c>
      <c r="S963" s="1">
        <f t="shared" si="146"/>
        <v>0.18603529565677809</v>
      </c>
      <c r="T963" s="1">
        <f t="shared" si="147"/>
        <v>4.4905071365429201</v>
      </c>
    </row>
    <row r="964" spans="1:20">
      <c r="A964">
        <v>911</v>
      </c>
      <c r="B964">
        <v>0.85700457813578002</v>
      </c>
      <c r="C964" s="1">
        <f t="shared" si="141"/>
        <v>14.726939613993963</v>
      </c>
      <c r="D964" s="1">
        <f t="shared" si="150"/>
        <v>47.368379855060539</v>
      </c>
      <c r="E964" s="1">
        <f t="shared" si="148"/>
        <v>56.790154255354423</v>
      </c>
      <c r="F964" s="1">
        <f t="shared" si="142"/>
        <v>3.0388779217045254</v>
      </c>
      <c r="G964" s="1">
        <f t="shared" si="149"/>
        <v>2.2662455074183114</v>
      </c>
      <c r="H964" s="1">
        <f t="shared" si="143"/>
        <v>0.88652071186696446</v>
      </c>
      <c r="I964" s="1">
        <f t="shared" si="144"/>
        <v>22.879267498275169</v>
      </c>
      <c r="K964" s="112">
        <f>C964/'CGE-Flood Weighted Av Calcs'!$D$3</f>
        <v>2.4823899572904624E-3</v>
      </c>
      <c r="L964" s="112">
        <f>D964/'CGE-Flood Weighted Av Calcs'!$D$4</f>
        <v>2.4331705227110421E-3</v>
      </c>
      <c r="M964" s="112">
        <f>E964/'CGE-Flood Weighted Av Calcs'!$D$5</f>
        <v>2.4328028487153644E-3</v>
      </c>
      <c r="N964" s="112">
        <f>F964/'CGE-Flood Weighted Av Calcs'!$D$6</f>
        <v>8.3999062921082438E-4</v>
      </c>
      <c r="O964" s="112">
        <f>G964/'CGE-Flood Weighted Av Calcs'!$D$7</f>
        <v>3.7409754327709464E-3</v>
      </c>
      <c r="P964" s="112">
        <f>H964/'CGE-Flood Weighted Av Calcs'!$D$8</f>
        <v>8.9584647365774164E-3</v>
      </c>
      <c r="R964" s="1">
        <f t="shared" si="145"/>
        <v>3.972095051783886E-2</v>
      </c>
      <c r="S964" s="1">
        <f t="shared" si="146"/>
        <v>4.6076302600693092E-2</v>
      </c>
      <c r="T964" s="1">
        <f t="shared" si="147"/>
        <v>1.112186614499489</v>
      </c>
    </row>
    <row r="965" spans="1:20">
      <c r="A965">
        <v>912</v>
      </c>
      <c r="B965">
        <v>0.98008631317301043</v>
      </c>
      <c r="C965" s="1">
        <f t="shared" si="141"/>
        <v>2.0508884799929774</v>
      </c>
      <c r="D965" s="1">
        <f t="shared" si="150"/>
        <v>6.5965684050447635</v>
      </c>
      <c r="E965" s="1">
        <f t="shared" si="148"/>
        <v>7.9086542209120125</v>
      </c>
      <c r="F965" s="1">
        <f t="shared" si="142"/>
        <v>0.42319720764024638</v>
      </c>
      <c r="G965" s="1">
        <f t="shared" si="149"/>
        <v>0.31559963752302878</v>
      </c>
      <c r="H965" s="1">
        <f t="shared" si="143"/>
        <v>0.12345776942790287</v>
      </c>
      <c r="I965" s="1">
        <f t="shared" si="144"/>
        <v>3.1861898923183105</v>
      </c>
      <c r="K965" s="112">
        <f>C965/'CGE-Flood Weighted Av Calcs'!$D$3</f>
        <v>3.4570013184677921E-4</v>
      </c>
      <c r="L965" s="112">
        <f>D965/'CGE-Flood Weighted Av Calcs'!$D$4</f>
        <v>3.3884578369186444E-4</v>
      </c>
      <c r="M965" s="112">
        <f>E965/'CGE-Flood Weighted Av Calcs'!$D$5</f>
        <v>3.3879458103999575E-4</v>
      </c>
      <c r="N965" s="112">
        <f>F965/'CGE-Flood Weighted Av Calcs'!$D$6</f>
        <v>1.1697794313718353E-4</v>
      </c>
      <c r="O965" s="112">
        <f>G965/'CGE-Flood Weighted Av Calcs'!$D$7</f>
        <v>5.2097201591810491E-4</v>
      </c>
      <c r="P965" s="112">
        <f>H965/'CGE-Flood Weighted Av Calcs'!$D$8</f>
        <v>1.2475648443082781E-3</v>
      </c>
      <c r="R965" s="1">
        <f t="shared" si="145"/>
        <v>5.5315796741637613E-3</v>
      </c>
      <c r="S965" s="1">
        <f t="shared" si="146"/>
        <v>6.4166324220299997E-3</v>
      </c>
      <c r="T965" s="1">
        <f t="shared" si="147"/>
        <v>0.15488423087658632</v>
      </c>
    </row>
    <row r="966" spans="1:20">
      <c r="A966">
        <v>913</v>
      </c>
      <c r="B966">
        <v>0.40256816739116486</v>
      </c>
      <c r="C966" s="1">
        <f t="shared" si="141"/>
        <v>61.52884062723659</v>
      </c>
      <c r="D966" s="1">
        <f t="shared" si="150"/>
        <v>197.90408402998841</v>
      </c>
      <c r="E966" s="1">
        <f t="shared" si="148"/>
        <v>237.26805717690092</v>
      </c>
      <c r="F966" s="1">
        <f t="shared" si="142"/>
        <v>12.696367353371468</v>
      </c>
      <c r="G966" s="1">
        <f t="shared" si="149"/>
        <v>9.4683255518772533</v>
      </c>
      <c r="H966" s="1">
        <f t="shared" si="143"/>
        <v>3.7038646876351082</v>
      </c>
      <c r="I966" s="1">
        <f t="shared" si="144"/>
        <v>95.58909321741362</v>
      </c>
      <c r="K966" s="112">
        <f>C966/'CGE-Flood Weighted Av Calcs'!$D$3</f>
        <v>1.0371372468427922E-2</v>
      </c>
      <c r="L966" s="112">
        <f>D966/'CGE-Flood Weighted Av Calcs'!$D$4</f>
        <v>1.016573471711114E-2</v>
      </c>
      <c r="M966" s="112">
        <f>E966/'CGE-Flood Weighted Av Calcs'!$D$5</f>
        <v>1.0164198582973582E-2</v>
      </c>
      <c r="N966" s="112">
        <f>F966/'CGE-Flood Weighted Av Calcs'!$D$6</f>
        <v>3.5094629914808485E-3</v>
      </c>
      <c r="O966" s="112">
        <f>G966/'CGE-Flood Weighted Av Calcs'!$D$7</f>
        <v>1.5629715828714991E-2</v>
      </c>
      <c r="P966" s="112">
        <f>H966/'CGE-Flood Weighted Av Calcs'!$D$8</f>
        <v>3.7428275221405925E-2</v>
      </c>
      <c r="R966" s="1">
        <f t="shared" si="145"/>
        <v>0.16595328683578753</v>
      </c>
      <c r="S966" s="1">
        <f t="shared" si="146"/>
        <v>0.19250581272951353</v>
      </c>
      <c r="T966" s="1">
        <f t="shared" si="147"/>
        <v>4.6466920314020514</v>
      </c>
    </row>
    <row r="967" spans="1:20">
      <c r="A967">
        <v>914</v>
      </c>
      <c r="B967">
        <v>0.40735038228437537</v>
      </c>
      <c r="C967" s="1">
        <f t="shared" si="141"/>
        <v>61.036325628956945</v>
      </c>
      <c r="D967" s="1">
        <f t="shared" si="150"/>
        <v>196.31993700865775</v>
      </c>
      <c r="E967" s="1">
        <f t="shared" si="148"/>
        <v>235.36881650242981</v>
      </c>
      <c r="F967" s="1">
        <f t="shared" si="142"/>
        <v>12.594737755260114</v>
      </c>
      <c r="G967" s="1">
        <f t="shared" si="149"/>
        <v>9.392535202256564</v>
      </c>
      <c r="H967" s="1">
        <f t="shared" si="143"/>
        <v>3.6742166576761113</v>
      </c>
      <c r="I967" s="1">
        <f t="shared" si="144"/>
        <v>94.823938834499927</v>
      </c>
      <c r="K967" s="112">
        <f>C967/'CGE-Flood Weighted Av Calcs'!$D$3</f>
        <v>1.028835357125104E-2</v>
      </c>
      <c r="L967" s="112">
        <f>D967/'CGE-Flood Weighted Av Calcs'!$D$4</f>
        <v>1.0084361872024683E-2</v>
      </c>
      <c r="M967" s="112">
        <f>E967/'CGE-Flood Weighted Av Calcs'!$D$5</f>
        <v>1.0082838034057415E-2</v>
      </c>
      <c r="N967" s="112">
        <f>F967/'CGE-Flood Weighted Av Calcs'!$D$6</f>
        <v>3.4813710732585742E-3</v>
      </c>
      <c r="O967" s="112">
        <f>G967/'CGE-Flood Weighted Av Calcs'!$D$7</f>
        <v>1.5504605890253329E-2</v>
      </c>
      <c r="P967" s="112">
        <f>H967/'CGE-Flood Weighted Av Calcs'!$D$8</f>
        <v>3.7128676094909122E-2</v>
      </c>
      <c r="R967" s="1">
        <f t="shared" si="145"/>
        <v>0.16462489380989573</v>
      </c>
      <c r="S967" s="1">
        <f t="shared" si="146"/>
        <v>0.19096487681947905</v>
      </c>
      <c r="T967" s="1">
        <f t="shared" si="147"/>
        <v>4.6094970266770812</v>
      </c>
    </row>
    <row r="968" spans="1:20">
      <c r="A968">
        <v>915</v>
      </c>
      <c r="B968">
        <v>0.4727813921606957</v>
      </c>
      <c r="C968" s="1">
        <f t="shared" si="141"/>
        <v>54.297658622916799</v>
      </c>
      <c r="D968" s="1">
        <f t="shared" si="150"/>
        <v>174.64539044125277</v>
      </c>
      <c r="E968" s="1">
        <f t="shared" si="148"/>
        <v>209.38310943910727</v>
      </c>
      <c r="F968" s="1">
        <f t="shared" si="142"/>
        <v>11.204225746443605</v>
      </c>
      <c r="G968" s="1">
        <f t="shared" si="149"/>
        <v>8.3555598204932604</v>
      </c>
      <c r="H968" s="1">
        <f t="shared" si="143"/>
        <v>3.2685676886566073</v>
      </c>
      <c r="I968" s="1">
        <f t="shared" si="144"/>
        <v>84.354977254288684</v>
      </c>
      <c r="K968" s="112">
        <f>C968/'CGE-Flood Weighted Av Calcs'!$D$3</f>
        <v>9.152476074651323E-3</v>
      </c>
      <c r="L968" s="112">
        <f>D968/'CGE-Flood Weighted Av Calcs'!$D$4</f>
        <v>8.9710059168008234E-3</v>
      </c>
      <c r="M968" s="112">
        <f>E968/'CGE-Flood Weighted Av Calcs'!$D$5</f>
        <v>8.9696503169528503E-3</v>
      </c>
      <c r="N968" s="112">
        <f>F968/'CGE-Flood Weighted Av Calcs'!$D$6</f>
        <v>3.0970130676708277E-3</v>
      </c>
      <c r="O968" s="112">
        <f>G968/'CGE-Flood Weighted Av Calcs'!$D$7</f>
        <v>1.3792832203392695E-2</v>
      </c>
      <c r="P968" s="112">
        <f>H968/'CGE-Flood Weighted Av Calcs'!$D$8</f>
        <v>3.3029514128645271E-2</v>
      </c>
      <c r="R968" s="1">
        <f t="shared" si="145"/>
        <v>0.14644961328869563</v>
      </c>
      <c r="S968" s="1">
        <f t="shared" si="146"/>
        <v>0.16988155141488692</v>
      </c>
      <c r="T968" s="1">
        <f t="shared" si="147"/>
        <v>4.1005891720834775</v>
      </c>
    </row>
    <row r="969" spans="1:20">
      <c r="A969">
        <v>916</v>
      </c>
      <c r="B969">
        <v>0.30408593395467276</v>
      </c>
      <c r="C969" s="1">
        <f t="shared" si="141"/>
        <v>71.671416424157087</v>
      </c>
      <c r="D969" s="1">
        <f t="shared" si="150"/>
        <v>230.52711336601885</v>
      </c>
      <c r="E969" s="1">
        <f t="shared" si="148"/>
        <v>276.37994730147301</v>
      </c>
      <c r="F969" s="1">
        <f t="shared" si="142"/>
        <v>14.789269916045686</v>
      </c>
      <c r="G969" s="1">
        <f t="shared" si="149"/>
        <v>11.029109220167662</v>
      </c>
      <c r="H969" s="1">
        <f t="shared" si="143"/>
        <v>4.3144194771112971</v>
      </c>
      <c r="I969" s="1">
        <f t="shared" si="144"/>
        <v>111.34625056725235</v>
      </c>
      <c r="K969" s="112">
        <f>C969/'CGE-Flood Weighted Av Calcs'!$D$3</f>
        <v>1.2081016763798568E-2</v>
      </c>
      <c r="L969" s="112">
        <f>D969/'CGE-Flood Weighted Av Calcs'!$D$4</f>
        <v>1.1841481145104849E-2</v>
      </c>
      <c r="M969" s="112">
        <f>E969/'CGE-Flood Weighted Av Calcs'!$D$5</f>
        <v>1.1839691790578841E-2</v>
      </c>
      <c r="N969" s="112">
        <f>F969/'CGE-Flood Weighted Av Calcs'!$D$6</f>
        <v>4.0879720944432931E-3</v>
      </c>
      <c r="O969" s="112">
        <f>G969/'CGE-Flood Weighted Av Calcs'!$D$7</f>
        <v>1.8206159263387745E-2</v>
      </c>
      <c r="P969" s="112">
        <f>H969/'CGE-Flood Weighted Av Calcs'!$D$8</f>
        <v>4.3598050476574113E-2</v>
      </c>
      <c r="R969" s="1">
        <f t="shared" si="145"/>
        <v>0.19330946279036867</v>
      </c>
      <c r="S969" s="1">
        <f t="shared" si="146"/>
        <v>0.22423897683682764</v>
      </c>
      <c r="T969" s="1">
        <f t="shared" si="147"/>
        <v>5.412664958130323</v>
      </c>
    </row>
    <row r="970" spans="1:20">
      <c r="A970">
        <v>917</v>
      </c>
      <c r="B970">
        <v>0.55788937481639966</v>
      </c>
      <c r="C970" s="1">
        <f t="shared" si="141"/>
        <v>45.532482053631021</v>
      </c>
      <c r="D970" s="1">
        <f t="shared" si="150"/>
        <v>146.45268889475645</v>
      </c>
      <c r="E970" s="1">
        <f t="shared" si="148"/>
        <v>175.58275834836491</v>
      </c>
      <c r="F970" s="1">
        <f t="shared" si="142"/>
        <v>9.3955470763053892</v>
      </c>
      <c r="G970" s="1">
        <f t="shared" si="149"/>
        <v>7.0067363349269325</v>
      </c>
      <c r="H970" s="1">
        <f t="shared" si="143"/>
        <v>2.7409284930385911</v>
      </c>
      <c r="I970" s="1">
        <f t="shared" si="144"/>
        <v>70.737700029376043</v>
      </c>
      <c r="K970" s="112">
        <f>C970/'CGE-Flood Weighted Av Calcs'!$D$3</f>
        <v>7.6750077845799056E-3</v>
      </c>
      <c r="L970" s="112">
        <f>D970/'CGE-Flood Weighted Av Calcs'!$D$4</f>
        <v>7.5228320386056561E-3</v>
      </c>
      <c r="M970" s="112">
        <f>E970/'CGE-Flood Weighted Av Calcs'!$D$5</f>
        <v>7.5216952708827911E-3</v>
      </c>
      <c r="N970" s="112">
        <f>F970/'CGE-Flood Weighted Av Calcs'!$D$6</f>
        <v>2.597067636063155E-3</v>
      </c>
      <c r="O970" s="112">
        <f>G970/'CGE-Flood Weighted Av Calcs'!$D$7</f>
        <v>1.1566279296335254E-2</v>
      </c>
      <c r="P970" s="112">
        <f>H970/'CGE-Flood Weighted Av Calcs'!$D$8</f>
        <v>2.7697617124653559E-2</v>
      </c>
      <c r="R970" s="1">
        <f t="shared" si="145"/>
        <v>0.12280850699544452</v>
      </c>
      <c r="S970" s="1">
        <f t="shared" si="146"/>
        <v>0.14245786811471564</v>
      </c>
      <c r="T970" s="1">
        <f t="shared" si="147"/>
        <v>3.4386381958724472</v>
      </c>
    </row>
    <row r="971" spans="1:20">
      <c r="A971">
        <v>918</v>
      </c>
      <c r="B971">
        <v>0.48499862512549796</v>
      </c>
      <c r="C971" s="1">
        <f t="shared" si="141"/>
        <v>53.039419374575111</v>
      </c>
      <c r="D971" s="1">
        <f t="shared" si="150"/>
        <v>170.59833407881882</v>
      </c>
      <c r="E971" s="1">
        <f t="shared" si="148"/>
        <v>204.53107616699643</v>
      </c>
      <c r="F971" s="1">
        <f t="shared" si="142"/>
        <v>10.944590304713788</v>
      </c>
      <c r="G971" s="1">
        <f t="shared" si="149"/>
        <v>8.1619364935460794</v>
      </c>
      <c r="H971" s="1">
        <f t="shared" si="143"/>
        <v>3.192825193380882</v>
      </c>
      <c r="I971" s="1">
        <f t="shared" si="144"/>
        <v>82.400219979920308</v>
      </c>
      <c r="K971" s="112">
        <f>C971/'CGE-Flood Weighted Av Calcs'!$D$3</f>
        <v>8.9403858131428069E-3</v>
      </c>
      <c r="L971" s="112">
        <f>D971/'CGE-Flood Weighted Av Calcs'!$D$4</f>
        <v>8.7631208619402771E-3</v>
      </c>
      <c r="M971" s="112">
        <f>E971/'CGE-Flood Weighted Av Calcs'!$D$5</f>
        <v>8.7617966753977209E-3</v>
      </c>
      <c r="N971" s="112">
        <f>F971/'CGE-Flood Weighted Av Calcs'!$D$6</f>
        <v>3.0252460063794253E-3</v>
      </c>
      <c r="O971" s="112">
        <f>G971/'CGE-Flood Weighted Av Calcs'!$D$7</f>
        <v>1.34732110030639E-2</v>
      </c>
      <c r="P971" s="112">
        <f>H971/'CGE-Flood Weighted Av Calcs'!$D$8</f>
        <v>3.2264121437978174E-2</v>
      </c>
      <c r="R971" s="1">
        <f t="shared" si="145"/>
        <v>0.14305593746513945</v>
      </c>
      <c r="S971" s="1">
        <f t="shared" si="146"/>
        <v>0.16594488745956176</v>
      </c>
      <c r="T971" s="1">
        <f t="shared" si="147"/>
        <v>4.0055662490239055</v>
      </c>
    </row>
    <row r="972" spans="1:20">
      <c r="A972">
        <v>919</v>
      </c>
      <c r="B972">
        <v>0.62285525328903579</v>
      </c>
      <c r="C972" s="1">
        <f t="shared" si="141"/>
        <v>38.84171841404364</v>
      </c>
      <c r="D972" s="1">
        <f t="shared" si="150"/>
        <v>124.93222083367704</v>
      </c>
      <c r="E972" s="1">
        <f t="shared" si="148"/>
        <v>149.78177666869357</v>
      </c>
      <c r="F972" s="1">
        <f t="shared" si="142"/>
        <v>8.0149198423643284</v>
      </c>
      <c r="G972" s="1">
        <f t="shared" si="149"/>
        <v>5.977132531499608</v>
      </c>
      <c r="H972" s="1">
        <f t="shared" si="143"/>
        <v>2.3381631731438635</v>
      </c>
      <c r="I972" s="1">
        <f t="shared" si="144"/>
        <v>60.343159473754255</v>
      </c>
      <c r="K972" s="112">
        <f>C972/'CGE-Flood Weighted Av Calcs'!$D$3</f>
        <v>6.5472049347784804E-3</v>
      </c>
      <c r="L972" s="112">
        <f>D972/'CGE-Flood Weighted Av Calcs'!$D$4</f>
        <v>6.4173906306160874E-3</v>
      </c>
      <c r="M972" s="112">
        <f>E972/'CGE-Flood Weighted Av Calcs'!$D$5</f>
        <v>6.4164209050530966E-3</v>
      </c>
      <c r="N972" s="112">
        <f>F972/'CGE-Flood Weighted Av Calcs'!$D$6</f>
        <v>2.2154419278829262E-3</v>
      </c>
      <c r="O972" s="112">
        <f>G972/'CGE-Flood Weighted Av Calcs'!$D$7</f>
        <v>9.8666741469809801E-3</v>
      </c>
      <c r="P972" s="112">
        <f>H972/'CGE-Flood Weighted Av Calcs'!$D$8</f>
        <v>2.3627594995340128E-2</v>
      </c>
      <c r="R972" s="1">
        <f t="shared" si="145"/>
        <v>0.1047624296419345</v>
      </c>
      <c r="S972" s="1">
        <f t="shared" si="146"/>
        <v>0.12152441838464401</v>
      </c>
      <c r="T972" s="1">
        <f t="shared" si="147"/>
        <v>2.9333480299741668</v>
      </c>
    </row>
    <row r="973" spans="1:20">
      <c r="A973">
        <v>920</v>
      </c>
      <c r="B973">
        <v>0.53323932285364806</v>
      </c>
      <c r="C973" s="1">
        <f t="shared" si="141"/>
        <v>48.071163516328184</v>
      </c>
      <c r="D973" s="1">
        <f t="shared" si="150"/>
        <v>154.61821622140971</v>
      </c>
      <c r="E973" s="1">
        <f t="shared" si="148"/>
        <v>185.37244416569413</v>
      </c>
      <c r="F973" s="1">
        <f t="shared" si="142"/>
        <v>9.9193995025012711</v>
      </c>
      <c r="G973" s="1">
        <f t="shared" si="149"/>
        <v>7.3973996777803706</v>
      </c>
      <c r="H973" s="1">
        <f t="shared" si="143"/>
        <v>2.893750040250965</v>
      </c>
      <c r="I973" s="1">
        <f t="shared" si="144"/>
        <v>74.68170834341629</v>
      </c>
      <c r="K973" s="112">
        <f>C973/'CGE-Flood Weighted Av Calcs'!$D$3</f>
        <v>8.1029308652022063E-3</v>
      </c>
      <c r="L973" s="112">
        <f>D973/'CGE-Flood Weighted Av Calcs'!$D$4</f>
        <v>7.9422705006007132E-3</v>
      </c>
      <c r="M973" s="112">
        <f>E973/'CGE-Flood Weighted Av Calcs'!$D$5</f>
        <v>7.9410703519459218E-3</v>
      </c>
      <c r="N973" s="112">
        <f>F973/'CGE-Flood Weighted Av Calcs'!$D$6</f>
        <v>2.7418681645579221E-3</v>
      </c>
      <c r="O973" s="112">
        <f>G973/'CGE-Flood Weighted Av Calcs'!$D$7</f>
        <v>1.2211161752059907E-2</v>
      </c>
      <c r="P973" s="112">
        <f>H973/'CGE-Flood Weighted Av Calcs'!$D$8</f>
        <v>2.9241908671782915E-2</v>
      </c>
      <c r="R973" s="1">
        <f t="shared" si="145"/>
        <v>0.12965574365176441</v>
      </c>
      <c r="S973" s="1">
        <f t="shared" si="146"/>
        <v>0.15040066263604673</v>
      </c>
      <c r="T973" s="1">
        <f t="shared" si="147"/>
        <v>3.6303608222494042</v>
      </c>
    </row>
    <row r="974" spans="1:20">
      <c r="A974">
        <v>921</v>
      </c>
      <c r="B974">
        <v>2.0111214003181166E-2</v>
      </c>
      <c r="C974" s="1">
        <f t="shared" si="141"/>
        <v>134.80852652766725</v>
      </c>
      <c r="D974" s="1">
        <f t="shared" si="150"/>
        <v>428.6420201719518</v>
      </c>
      <c r="E974" s="1">
        <f t="shared" si="148"/>
        <v>513.80545756985259</v>
      </c>
      <c r="F974" s="1">
        <f t="shared" si="142"/>
        <v>29.223590648474293</v>
      </c>
      <c r="G974" s="1">
        <f t="shared" si="149"/>
        <v>19.681400954416638</v>
      </c>
      <c r="H974" s="1">
        <f t="shared" si="143"/>
        <v>7.4118004459992983</v>
      </c>
      <c r="I974" s="1">
        <f t="shared" si="144"/>
        <v>300.34043892400194</v>
      </c>
      <c r="K974" s="112">
        <f>C974/'CGE-Flood Weighted Av Calcs'!$D$3</f>
        <v>2.2723480993390815E-2</v>
      </c>
      <c r="L974" s="112">
        <f>D974/'CGE-Flood Weighted Av Calcs'!$D$4</f>
        <v>2.2018045191095591E-2</v>
      </c>
      <c r="M974" s="112">
        <f>E974/'CGE-Flood Weighted Av Calcs'!$D$5</f>
        <v>2.2010635421783248E-2</v>
      </c>
      <c r="N974" s="112">
        <f>F974/'CGE-Flood Weighted Av Calcs'!$D$6</f>
        <v>8.0778310050844734E-3</v>
      </c>
      <c r="O974" s="112">
        <f>G974/'CGE-Flood Weighted Av Calcs'!$D$7</f>
        <v>3.2488817831949422E-2</v>
      </c>
      <c r="P974" s="112">
        <f>H974/'CGE-Flood Weighted Av Calcs'!$D$8</f>
        <v>7.4897689406716914E-2</v>
      </c>
      <c r="R974" s="1">
        <f t="shared" si="145"/>
        <v>0.31651838132909177</v>
      </c>
      <c r="S974" s="1">
        <f t="shared" si="146"/>
        <v>0.37651838132909177</v>
      </c>
      <c r="T974" s="1">
        <f t="shared" si="147"/>
        <v>11.977757199363767</v>
      </c>
    </row>
    <row r="975" spans="1:20">
      <c r="A975">
        <v>922</v>
      </c>
      <c r="B975">
        <v>0.60932432758732646</v>
      </c>
      <c r="C975" s="1">
        <f t="shared" si="141"/>
        <v>40.235253417700797</v>
      </c>
      <c r="D975" s="1">
        <f t="shared" si="150"/>
        <v>129.41444844679435</v>
      </c>
      <c r="E975" s="1">
        <f t="shared" si="148"/>
        <v>155.15553862414598</v>
      </c>
      <c r="F975" s="1">
        <f t="shared" si="142"/>
        <v>8.3024733237211841</v>
      </c>
      <c r="G975" s="1">
        <f t="shared" si="149"/>
        <v>6.1915757576039159</v>
      </c>
      <c r="H975" s="1">
        <f t="shared" si="143"/>
        <v>2.4220500957384101</v>
      </c>
      <c r="I975" s="1">
        <f t="shared" si="144"/>
        <v>62.508107586027748</v>
      </c>
      <c r="K975" s="112">
        <f>C975/'CGE-Flood Weighted Av Calcs'!$D$3</f>
        <v>6.7821008051278178E-3</v>
      </c>
      <c r="L975" s="112">
        <f>D975/'CGE-Flood Weighted Av Calcs'!$D$4</f>
        <v>6.6476291175073246E-3</v>
      </c>
      <c r="M975" s="112">
        <f>E975/'CGE-Flood Weighted Av Calcs'!$D$5</f>
        <v>6.6466246008338717E-3</v>
      </c>
      <c r="N975" s="112">
        <f>F975/'CGE-Flood Weighted Av Calcs'!$D$6</f>
        <v>2.2949259466424638E-3</v>
      </c>
      <c r="O975" s="112">
        <f>G975/'CGE-Flood Weighted Av Calcs'!$D$7</f>
        <v>1.022066352631096E-2</v>
      </c>
      <c r="P975" s="112">
        <f>H975/'CGE-Flood Weighted Av Calcs'!$D$8</f>
        <v>2.4475288712885238E-2</v>
      </c>
      <c r="R975" s="1">
        <f t="shared" si="145"/>
        <v>0.10852102011463152</v>
      </c>
      <c r="S975" s="1">
        <f t="shared" si="146"/>
        <v>0.12588438333297258</v>
      </c>
      <c r="T975" s="1">
        <f t="shared" si="147"/>
        <v>3.0385885632096832</v>
      </c>
    </row>
    <row r="976" spans="1:20">
      <c r="A976">
        <v>923</v>
      </c>
      <c r="B976">
        <v>0.51681964483185849</v>
      </c>
      <c r="C976" s="1">
        <f t="shared" si="141"/>
        <v>49.762207911705602</v>
      </c>
      <c r="D976" s="1">
        <f t="shared" si="150"/>
        <v>160.05736619903936</v>
      </c>
      <c r="E976" s="1">
        <f t="shared" si="148"/>
        <v>191.89346445798088</v>
      </c>
      <c r="F976" s="1">
        <f t="shared" si="142"/>
        <v>10.268343520228587</v>
      </c>
      <c r="G976" s="1">
        <f t="shared" si="149"/>
        <v>7.6576249427924852</v>
      </c>
      <c r="H976" s="1">
        <f t="shared" si="143"/>
        <v>2.9955461988883032</v>
      </c>
      <c r="I976" s="1">
        <f t="shared" si="144"/>
        <v>77.308856826902627</v>
      </c>
      <c r="K976" s="112">
        <f>C976/'CGE-Flood Weighted Av Calcs'!$D$3</f>
        <v>8.3879752623713458E-3</v>
      </c>
      <c r="L976" s="112">
        <f>D976/'CGE-Flood Weighted Av Calcs'!$D$4</f>
        <v>8.2216631974729292E-3</v>
      </c>
      <c r="M976" s="112">
        <f>E976/'CGE-Flood Weighted Av Calcs'!$D$5</f>
        <v>8.2204208300635292E-3</v>
      </c>
      <c r="N976" s="112">
        <f>F976/'CGE-Flood Weighted Av Calcs'!$D$6</f>
        <v>2.8383214320342656E-3</v>
      </c>
      <c r="O976" s="112">
        <f>G976/'CGE-Flood Weighted Av Calcs'!$D$7</f>
        <v>1.2640725239427006E-2</v>
      </c>
      <c r="P976" s="112">
        <f>H976/'CGE-Flood Weighted Av Calcs'!$D$8</f>
        <v>3.0270578713288369E-2</v>
      </c>
      <c r="R976" s="1">
        <f t="shared" si="145"/>
        <v>0.13421676532448373</v>
      </c>
      <c r="S976" s="1">
        <f t="shared" si="146"/>
        <v>0.15569144777640115</v>
      </c>
      <c r="T976" s="1">
        <f t="shared" si="147"/>
        <v>3.7580694290855452</v>
      </c>
    </row>
    <row r="977" spans="1:20">
      <c r="A977">
        <v>924</v>
      </c>
      <c r="B977">
        <v>0.32639018886566407</v>
      </c>
      <c r="C977" s="1">
        <f t="shared" si="141"/>
        <v>69.374325993379557</v>
      </c>
      <c r="D977" s="1">
        <f t="shared" si="150"/>
        <v>223.13865011849518</v>
      </c>
      <c r="E977" s="1">
        <f t="shared" si="148"/>
        <v>267.52188694938224</v>
      </c>
      <c r="F977" s="1">
        <f t="shared" si="142"/>
        <v>14.315269371654544</v>
      </c>
      <c r="G977" s="1">
        <f t="shared" si="149"/>
        <v>10.675622955856744</v>
      </c>
      <c r="H977" s="1">
        <f t="shared" si="143"/>
        <v>4.1761410365600344</v>
      </c>
      <c r="I977" s="1">
        <f t="shared" si="144"/>
        <v>107.77756978149375</v>
      </c>
      <c r="K977" s="112">
        <f>C977/'CGE-Flood Weighted Av Calcs'!$D$3</f>
        <v>1.1693816546658293E-2</v>
      </c>
      <c r="L977" s="112">
        <f>D977/'CGE-Flood Weighted Av Calcs'!$D$4</f>
        <v>1.1461958116514546E-2</v>
      </c>
      <c r="M977" s="112">
        <f>E977/'CGE-Flood Weighted Av Calcs'!$D$5</f>
        <v>1.1460226111338725E-2</v>
      </c>
      <c r="N977" s="112">
        <f>F977/'CGE-Flood Weighted Av Calcs'!$D$6</f>
        <v>3.9569513605448876E-3</v>
      </c>
      <c r="O977" s="112">
        <f>G977/'CGE-Flood Weighted Av Calcs'!$D$7</f>
        <v>1.7622646388776218E-2</v>
      </c>
      <c r="P977" s="112">
        <f>H977/'CGE-Flood Weighted Av Calcs'!$D$8</f>
        <v>4.2200719859336037E-2</v>
      </c>
      <c r="R977" s="1">
        <f t="shared" si="145"/>
        <v>0.18711383642620444</v>
      </c>
      <c r="S977" s="1">
        <f t="shared" si="146"/>
        <v>0.21705205025439711</v>
      </c>
      <c r="T977" s="1">
        <f t="shared" si="147"/>
        <v>5.2391874199337245</v>
      </c>
    </row>
    <row r="978" spans="1:20">
      <c r="A978">
        <v>925</v>
      </c>
      <c r="B978">
        <v>0.65185201886741329</v>
      </c>
      <c r="C978" s="1">
        <f t="shared" si="141"/>
        <v>35.855373745754967</v>
      </c>
      <c r="D978" s="1">
        <f t="shared" si="150"/>
        <v>115.32680977521005</v>
      </c>
      <c r="E978" s="1">
        <f t="shared" si="148"/>
        <v>138.26580805491483</v>
      </c>
      <c r="F978" s="1">
        <f t="shared" si="142"/>
        <v>7.3986929060876943</v>
      </c>
      <c r="G978" s="1">
        <f t="shared" si="149"/>
        <v>5.5175808279208898</v>
      </c>
      <c r="H978" s="1">
        <f t="shared" si="143"/>
        <v>2.1583935488632218</v>
      </c>
      <c r="I978" s="1">
        <f t="shared" si="144"/>
        <v>55.70367698121386</v>
      </c>
      <c r="K978" s="112">
        <f>C978/'CGE-Flood Weighted Av Calcs'!$D$3</f>
        <v>6.0438232269779393E-3</v>
      </c>
      <c r="L978" s="112">
        <f>D978/'CGE-Flood Weighted Av Calcs'!$D$4</f>
        <v>5.9239896927436543E-3</v>
      </c>
      <c r="M978" s="112">
        <f>E978/'CGE-Flood Weighted Av Calcs'!$D$5</f>
        <v>5.9230945245093043E-3</v>
      </c>
      <c r="N978" s="112">
        <f>F978/'CGE-Flood Weighted Av Calcs'!$D$6</f>
        <v>2.0451077238523379E-3</v>
      </c>
      <c r="O978" s="112">
        <f>G978/'CGE-Flood Weighted Av Calcs'!$D$7</f>
        <v>9.1080751216112681E-3</v>
      </c>
      <c r="P978" s="112">
        <f>H978/'CGE-Flood Weighted Av Calcs'!$D$8</f>
        <v>2.1810987872383735E-2</v>
      </c>
      <c r="R978" s="1">
        <f t="shared" si="145"/>
        <v>9.6707772536829634E-2</v>
      </c>
      <c r="S978" s="1">
        <f t="shared" si="146"/>
        <v>0.11218101614272238</v>
      </c>
      <c r="T978" s="1">
        <f t="shared" si="147"/>
        <v>2.7078176310312303</v>
      </c>
    </row>
    <row r="979" spans="1:20">
      <c r="A979">
        <v>926</v>
      </c>
      <c r="B979">
        <v>0.63396445063423135</v>
      </c>
      <c r="C979" s="1">
        <f t="shared" si="141"/>
        <v>37.697594523014558</v>
      </c>
      <c r="D979" s="1">
        <f t="shared" si="150"/>
        <v>121.25221015311325</v>
      </c>
      <c r="E979" s="1">
        <f t="shared" si="148"/>
        <v>145.36979604258732</v>
      </c>
      <c r="F979" s="1">
        <f t="shared" si="142"/>
        <v>7.7788319026243453</v>
      </c>
      <c r="G979" s="1">
        <f t="shared" si="149"/>
        <v>5.8010697719626023</v>
      </c>
      <c r="H979" s="1">
        <f t="shared" si="143"/>
        <v>2.269290104269778</v>
      </c>
      <c r="I979" s="1">
        <f t="shared" si="144"/>
        <v>58.565687898522967</v>
      </c>
      <c r="K979" s="112">
        <f>C979/'CGE-Flood Weighted Av Calcs'!$D$3</f>
        <v>6.3543500897509445E-3</v>
      </c>
      <c r="L979" s="112">
        <f>D979/'CGE-Flood Weighted Av Calcs'!$D$4</f>
        <v>6.228359603196368E-3</v>
      </c>
      <c r="M979" s="112">
        <f>E979/'CGE-Flood Weighted Av Calcs'!$D$5</f>
        <v>6.227418441925322E-3</v>
      </c>
      <c r="N979" s="112">
        <f>F979/'CGE-Flood Weighted Av Calcs'!$D$6</f>
        <v>2.1501837430658007E-3</v>
      </c>
      <c r="O979" s="112">
        <f>G979/'CGE-Flood Weighted Av Calcs'!$D$7</f>
        <v>9.5760408259670891E-3</v>
      </c>
      <c r="P979" s="112">
        <f>H979/'CGE-Flood Weighted Av Calcs'!$D$8</f>
        <v>2.2931619198554735E-2</v>
      </c>
      <c r="R979" s="1">
        <f t="shared" si="145"/>
        <v>0.10167654149049127</v>
      </c>
      <c r="S979" s="1">
        <f t="shared" si="146"/>
        <v>0.11794478812896989</v>
      </c>
      <c r="T979" s="1">
        <f t="shared" si="147"/>
        <v>2.8469431617337566</v>
      </c>
    </row>
    <row r="980" spans="1:20">
      <c r="A980">
        <v>927</v>
      </c>
      <c r="B980">
        <v>0.83759664015889501</v>
      </c>
      <c r="C980" s="1">
        <f t="shared" si="141"/>
        <v>16.725741581857818</v>
      </c>
      <c r="D980" s="1">
        <f t="shared" si="150"/>
        <v>53.797414899031935</v>
      </c>
      <c r="E980" s="1">
        <f t="shared" si="148"/>
        <v>64.4979520094127</v>
      </c>
      <c r="F980" s="1">
        <f t="shared" si="142"/>
        <v>3.4513271697634522</v>
      </c>
      <c r="G980" s="1">
        <f t="shared" si="149"/>
        <v>2.5738298459584126</v>
      </c>
      <c r="H980" s="1">
        <f t="shared" si="143"/>
        <v>1.0068430184613346</v>
      </c>
      <c r="I980" s="1">
        <f t="shared" si="144"/>
        <v>25.984537574576777</v>
      </c>
      <c r="K980" s="112">
        <f>C980/'CGE-Flood Weighted Av Calcs'!$D$3</f>
        <v>2.8193103264704104E-3</v>
      </c>
      <c r="L980" s="112">
        <f>D980/'CGE-Flood Weighted Av Calcs'!$D$4</f>
        <v>2.7634106239417008E-3</v>
      </c>
      <c r="M980" s="112">
        <f>E980/'CGE-Flood Weighted Av Calcs'!$D$5</f>
        <v>2.762993047690337E-3</v>
      </c>
      <c r="N980" s="112">
        <f>F980/'CGE-Flood Weighted Av Calcs'!$D$6</f>
        <v>9.5399767797052623E-4</v>
      </c>
      <c r="O980" s="112">
        <f>G980/'CGE-Flood Weighted Av Calcs'!$D$7</f>
        <v>4.2487162976582856E-3</v>
      </c>
      <c r="P980" s="112">
        <f>H980/'CGE-Flood Weighted Av Calcs'!$D$8</f>
        <v>1.0174345117284277E-2</v>
      </c>
      <c r="R980" s="1">
        <f t="shared" si="145"/>
        <v>4.5112044400306917E-2</v>
      </c>
      <c r="S980" s="1">
        <f t="shared" si="146"/>
        <v>5.232997150435606E-2</v>
      </c>
      <c r="T980" s="1">
        <f t="shared" si="147"/>
        <v>1.263137243208595</v>
      </c>
    </row>
    <row r="981" spans="1:20">
      <c r="A981">
        <v>928</v>
      </c>
      <c r="B981">
        <v>2.9701710693039507E-2</v>
      </c>
      <c r="C981" s="1">
        <f t="shared" si="141"/>
        <v>121.7462700360802</v>
      </c>
      <c r="D981" s="1">
        <f t="shared" si="150"/>
        <v>387.85590189083524</v>
      </c>
      <c r="E981" s="1">
        <f t="shared" si="148"/>
        <v>464.91502023882225</v>
      </c>
      <c r="F981" s="1">
        <f t="shared" si="142"/>
        <v>27.915884448188599</v>
      </c>
      <c r="G981" s="1">
        <f t="shared" si="149"/>
        <v>18.263277930437642</v>
      </c>
      <c r="H981" s="1">
        <f t="shared" si="143"/>
        <v>6.9142637045892119</v>
      </c>
      <c r="I981" s="1">
        <f t="shared" si="144"/>
        <v>272.20831530041744</v>
      </c>
      <c r="K981" s="112">
        <f>C981/'CGE-Flood Weighted Av Calcs'!$D$3</f>
        <v>2.0521691946638963E-2</v>
      </c>
      <c r="L981" s="112">
        <f>D981/'CGE-Flood Weighted Av Calcs'!$D$4</f>
        <v>1.9922985553398977E-2</v>
      </c>
      <c r="M981" s="112">
        <f>E981/'CGE-Flood Weighted Av Calcs'!$D$5</f>
        <v>1.9916244294070184E-2</v>
      </c>
      <c r="N981" s="112">
        <f>F981/'CGE-Flood Weighted Av Calcs'!$D$6</f>
        <v>7.7163617449488965E-3</v>
      </c>
      <c r="O981" s="112">
        <f>G981/'CGE-Flood Weighted Av Calcs'!$D$7</f>
        <v>3.014786960900253E-2</v>
      </c>
      <c r="P981" s="112">
        <f>H981/'CGE-Flood Weighted Av Calcs'!$D$8</f>
        <v>6.986998357490691E-2</v>
      </c>
      <c r="R981" s="1">
        <f t="shared" si="145"/>
        <v>0.30373105240928067</v>
      </c>
      <c r="S981" s="1">
        <f t="shared" si="146"/>
        <v>0.36373105240928066</v>
      </c>
      <c r="T981" s="1">
        <f t="shared" si="147"/>
        <v>10.0596578613921</v>
      </c>
    </row>
    <row r="982" spans="1:20">
      <c r="A982">
        <v>929</v>
      </c>
      <c r="B982">
        <v>0.7005249022281449</v>
      </c>
      <c r="C982" s="1">
        <f t="shared" si="141"/>
        <v>30.842607569414731</v>
      </c>
      <c r="D982" s="1">
        <f t="shared" si="150"/>
        <v>99.203526962272093</v>
      </c>
      <c r="E982" s="1">
        <f t="shared" si="148"/>
        <v>118.93553497293124</v>
      </c>
      <c r="F982" s="1">
        <f t="shared" si="142"/>
        <v>6.3643174785227856</v>
      </c>
      <c r="G982" s="1">
        <f t="shared" si="149"/>
        <v>4.7461945708553142</v>
      </c>
      <c r="H982" s="1">
        <f t="shared" si="143"/>
        <v>1.8566389986612877</v>
      </c>
      <c r="I982" s="1">
        <f t="shared" si="144"/>
        <v>47.916015643496792</v>
      </c>
      <c r="K982" s="112">
        <f>C982/'CGE-Flood Weighted Av Calcs'!$D$3</f>
        <v>5.1988655683909502E-3</v>
      </c>
      <c r="L982" s="112">
        <f>D982/'CGE-Flood Weighted Av Calcs'!$D$4</f>
        <v>5.0957853802927385E-3</v>
      </c>
      <c r="M982" s="112">
        <f>E982/'CGE-Flood Weighted Av Calcs'!$D$5</f>
        <v>5.0950153611944464E-3</v>
      </c>
      <c r="N982" s="112">
        <f>F982/'CGE-Flood Weighted Av Calcs'!$D$6</f>
        <v>1.7591911162667621E-3</v>
      </c>
      <c r="O982" s="112">
        <f>G982/'CGE-Flood Weighted Av Calcs'!$D$7</f>
        <v>7.8347192440537394E-3</v>
      </c>
      <c r="P982" s="112">
        <f>H982/'CGE-Flood Weighted Av Calcs'!$D$8</f>
        <v>1.8761699276076838E-2</v>
      </c>
      <c r="R982" s="1">
        <f t="shared" si="145"/>
        <v>8.318752715884864E-2</v>
      </c>
      <c r="S982" s="1">
        <f t="shared" si="146"/>
        <v>9.6497531504264406E-2</v>
      </c>
      <c r="T982" s="1">
        <f t="shared" si="147"/>
        <v>2.3292507604477626</v>
      </c>
    </row>
    <row r="983" spans="1:20">
      <c r="A983">
        <v>930</v>
      </c>
      <c r="B983">
        <v>0.55396577115398793</v>
      </c>
      <c r="C983" s="1">
        <f t="shared" si="141"/>
        <v>45.936569635263183</v>
      </c>
      <c r="D983" s="1">
        <f t="shared" si="150"/>
        <v>147.75241406258948</v>
      </c>
      <c r="E983" s="1">
        <f t="shared" si="148"/>
        <v>177.14100443988534</v>
      </c>
      <c r="F983" s="1">
        <f t="shared" si="142"/>
        <v>9.4789298335138259</v>
      </c>
      <c r="G983" s="1">
        <f t="shared" si="149"/>
        <v>7.0689190891501683</v>
      </c>
      <c r="H983" s="1">
        <f t="shared" si="143"/>
        <v>2.7652534390161478</v>
      </c>
      <c r="I983" s="1">
        <f t="shared" si="144"/>
        <v>71.365476615361914</v>
      </c>
      <c r="K983" s="112">
        <f>C983/'CGE-Flood Weighted Av Calcs'!$D$3</f>
        <v>7.743121254234952E-3</v>
      </c>
      <c r="L983" s="112">
        <f>D983/'CGE-Flood Weighted Av Calcs'!$D$4</f>
        <v>7.5895949926199921E-3</v>
      </c>
      <c r="M983" s="112">
        <f>E983/'CGE-Flood Weighted Av Calcs'!$D$5</f>
        <v>7.588448136413053E-3</v>
      </c>
      <c r="N983" s="112">
        <f>F983/'CGE-Flood Weighted Av Calcs'!$D$6</f>
        <v>2.6201158586299771E-3</v>
      </c>
      <c r="O983" s="112">
        <f>G983/'CGE-Flood Weighted Av Calcs'!$D$7</f>
        <v>1.1668926672857209E-2</v>
      </c>
      <c r="P983" s="112">
        <f>H983/'CGE-Flood Weighted Av Calcs'!$D$8</f>
        <v>2.794342544908647E-2</v>
      </c>
      <c r="R983" s="1">
        <f t="shared" si="145"/>
        <v>0.12389839690167001</v>
      </c>
      <c r="S983" s="1">
        <f t="shared" si="146"/>
        <v>0.1437221404059372</v>
      </c>
      <c r="T983" s="1">
        <f t="shared" si="147"/>
        <v>3.4691551132467606</v>
      </c>
    </row>
    <row r="984" spans="1:20">
      <c r="A984">
        <v>931</v>
      </c>
      <c r="B984">
        <v>0.57924739698309602</v>
      </c>
      <c r="C984" s="1">
        <f t="shared" si="141"/>
        <v>43.332843081818709</v>
      </c>
      <c r="D984" s="1">
        <f t="shared" si="150"/>
        <v>139.37767282951822</v>
      </c>
      <c r="E984" s="1">
        <f t="shared" si="148"/>
        <v>167.1004911706948</v>
      </c>
      <c r="F984" s="1">
        <f t="shared" si="142"/>
        <v>8.9416554679762861</v>
      </c>
      <c r="G984" s="1">
        <f t="shared" si="149"/>
        <v>6.6682463248860762</v>
      </c>
      <c r="H984" s="1">
        <f t="shared" si="143"/>
        <v>2.6085163586608275</v>
      </c>
      <c r="I984" s="1">
        <f t="shared" si="144"/>
        <v>67.320416482704616</v>
      </c>
      <c r="K984" s="112">
        <f>C984/'CGE-Flood Weighted Av Calcs'!$D$3</f>
        <v>7.3042340979611996E-3</v>
      </c>
      <c r="L984" s="112">
        <f>D984/'CGE-Flood Weighted Av Calcs'!$D$4</f>
        <v>7.1594098445107992E-3</v>
      </c>
      <c r="M984" s="112">
        <f>E984/'CGE-Flood Weighted Av Calcs'!$D$5</f>
        <v>7.1583279931569151E-3</v>
      </c>
      <c r="N984" s="112">
        <f>F984/'CGE-Flood Weighted Av Calcs'!$D$6</f>
        <v>2.4716053083563469E-3</v>
      </c>
      <c r="O984" s="112">
        <f>G984/'CGE-Flood Weighted Av Calcs'!$D$7</f>
        <v>1.1007521294319941E-2</v>
      </c>
      <c r="P984" s="112">
        <f>H984/'CGE-Flood Weighted Av Calcs'!$D$8</f>
        <v>2.6359566675702339E-2</v>
      </c>
      <c r="R984" s="1">
        <f t="shared" si="145"/>
        <v>0.1168757230602511</v>
      </c>
      <c r="S984" s="1">
        <f t="shared" si="146"/>
        <v>0.13557583874989126</v>
      </c>
      <c r="T984" s="1">
        <f t="shared" si="147"/>
        <v>3.2725202456870313</v>
      </c>
    </row>
    <row r="985" spans="1:20">
      <c r="A985">
        <v>932</v>
      </c>
      <c r="B985">
        <v>0.88100644495733216</v>
      </c>
      <c r="C985" s="1">
        <f t="shared" si="141"/>
        <v>12.255014018783214</v>
      </c>
      <c r="D985" s="1">
        <f t="shared" si="150"/>
        <v>39.417569052785893</v>
      </c>
      <c r="E985" s="1">
        <f t="shared" si="148"/>
        <v>47.257893002216463</v>
      </c>
      <c r="F985" s="1">
        <f t="shared" si="142"/>
        <v>2.5288004506022297</v>
      </c>
      <c r="G985" s="1">
        <f t="shared" si="149"/>
        <v>1.8858548477393988</v>
      </c>
      <c r="H985" s="1">
        <f t="shared" si="143"/>
        <v>0.73771768178826047</v>
      </c>
      <c r="I985" s="1">
        <f t="shared" si="144"/>
        <v>19.03896880682683</v>
      </c>
      <c r="K985" s="112">
        <f>C985/'CGE-Flood Weighted Av Calcs'!$D$3</f>
        <v>2.0657193228234387E-3</v>
      </c>
      <c r="L985" s="112">
        <f>D985/'CGE-Flood Weighted Av Calcs'!$D$4</f>
        <v>2.0247613996854752E-3</v>
      </c>
      <c r="M985" s="112">
        <f>E985/'CGE-Flood Weighted Av Calcs'!$D$5</f>
        <v>2.0244554399892001E-3</v>
      </c>
      <c r="N985" s="112">
        <f>F985/'CGE-Flood Weighted Av Calcs'!$D$6</f>
        <v>6.9899770124971772E-4</v>
      </c>
      <c r="O985" s="112">
        <f>G985/'CGE-Flood Weighted Av Calcs'!$D$7</f>
        <v>3.1130504758074564E-3</v>
      </c>
      <c r="P985" s="112">
        <f>H985/'CGE-Flood Weighted Av Calcs'!$D$8</f>
        <v>7.454781089019296E-3</v>
      </c>
      <c r="R985" s="1">
        <f t="shared" si="145"/>
        <v>3.3053765289629944E-2</v>
      </c>
      <c r="S985" s="1">
        <f t="shared" si="146"/>
        <v>3.8342367735970773E-2</v>
      </c>
      <c r="T985" s="1">
        <f t="shared" si="147"/>
        <v>0.92550542810963954</v>
      </c>
    </row>
    <row r="986" spans="1:20">
      <c r="A986">
        <v>933</v>
      </c>
      <c r="B986">
        <v>0.25642978845919795</v>
      </c>
      <c r="C986" s="1">
        <f t="shared" si="141"/>
        <v>76.579469897463269</v>
      </c>
      <c r="D986" s="1">
        <f t="shared" si="150"/>
        <v>246.31359361012886</v>
      </c>
      <c r="E986" s="1">
        <f t="shared" si="148"/>
        <v>295.30642633570017</v>
      </c>
      <c r="F986" s="1">
        <f t="shared" si="142"/>
        <v>15.802038062687826</v>
      </c>
      <c r="G986" s="1">
        <f t="shared" si="149"/>
        <v>11.784381831150579</v>
      </c>
      <c r="H986" s="1">
        <f t="shared" si="143"/>
        <v>4.60987061448827</v>
      </c>
      <c r="I986" s="1">
        <f t="shared" si="144"/>
        <v>118.97123384652832</v>
      </c>
      <c r="K986" s="112">
        <f>C986/'CGE-Flood Weighted Av Calcs'!$D$3</f>
        <v>1.2908323928173883E-2</v>
      </c>
      <c r="L986" s="112">
        <f>D986/'CGE-Flood Weighted Av Calcs'!$D$4</f>
        <v>1.2652384927435185E-2</v>
      </c>
      <c r="M986" s="112">
        <f>E986/'CGE-Flood Weighted Av Calcs'!$D$5</f>
        <v>1.2650473038039147E-2</v>
      </c>
      <c r="N986" s="112">
        <f>F986/'CGE-Flood Weighted Av Calcs'!$D$6</f>
        <v>4.3679161312427184E-3</v>
      </c>
      <c r="O986" s="112">
        <f>G986/'CGE-Flood Weighted Av Calcs'!$D$7</f>
        <v>1.9452915748280064E-2</v>
      </c>
      <c r="P986" s="112">
        <f>H986/'CGE-Flood Weighted Av Calcs'!$D$8</f>
        <v>4.6583641856610014E-2</v>
      </c>
      <c r="R986" s="1">
        <f t="shared" si="145"/>
        <v>0.20654728098355613</v>
      </c>
      <c r="S986" s="1">
        <f t="shared" si="146"/>
        <v>0.23959484594092509</v>
      </c>
      <c r="T986" s="1">
        <f t="shared" si="147"/>
        <v>5.7833238675395719</v>
      </c>
    </row>
    <row r="987" spans="1:20">
      <c r="A987">
        <v>934</v>
      </c>
      <c r="B987">
        <v>0.48796484052674094</v>
      </c>
      <c r="C987" s="1">
        <f t="shared" si="141"/>
        <v>52.733932146195983</v>
      </c>
      <c r="D987" s="1">
        <f t="shared" si="150"/>
        <v>169.61575144766701</v>
      </c>
      <c r="E987" s="1">
        <f t="shared" si="148"/>
        <v>203.35305362616887</v>
      </c>
      <c r="F987" s="1">
        <f t="shared" si="142"/>
        <v>10.881553555870065</v>
      </c>
      <c r="G987" s="1">
        <f t="shared" si="149"/>
        <v>8.1149267904418423</v>
      </c>
      <c r="H987" s="1">
        <f t="shared" si="143"/>
        <v>3.1744357138102872</v>
      </c>
      <c r="I987" s="1">
        <f t="shared" si="144"/>
        <v>81.925625515721435</v>
      </c>
      <c r="K987" s="112">
        <f>C987/'CGE-Flood Weighted Av Calcs'!$D$3</f>
        <v>8.888892532957951E-3</v>
      </c>
      <c r="L987" s="112">
        <f>D987/'CGE-Flood Weighted Av Calcs'!$D$4</f>
        <v>8.712648561609089E-3</v>
      </c>
      <c r="M987" s="112">
        <f>E987/'CGE-Flood Weighted Av Calcs'!$D$5</f>
        <v>8.7113320018860092E-3</v>
      </c>
      <c r="N987" s="112">
        <f>F987/'CGE-Flood Weighted Av Calcs'!$D$6</f>
        <v>3.0078217202814356E-3</v>
      </c>
      <c r="O987" s="112">
        <f>G987/'CGE-Flood Weighted Av Calcs'!$D$7</f>
        <v>1.3395610344247747E-2</v>
      </c>
      <c r="P987" s="112">
        <f>H987/'CGE-Flood Weighted Av Calcs'!$D$8</f>
        <v>3.2078292159483095E-2</v>
      </c>
      <c r="R987" s="1">
        <f t="shared" si="145"/>
        <v>0.14223198874257195</v>
      </c>
      <c r="S987" s="1">
        <f t="shared" si="146"/>
        <v>0.16498910694138347</v>
      </c>
      <c r="T987" s="1">
        <f t="shared" si="147"/>
        <v>3.9824956847920152</v>
      </c>
    </row>
    <row r="988" spans="1:20">
      <c r="A988">
        <v>935</v>
      </c>
      <c r="B988">
        <v>0.54007058466360514</v>
      </c>
      <c r="C988" s="1">
        <f t="shared" si="141"/>
        <v>47.367619452811603</v>
      </c>
      <c r="D988" s="1">
        <f t="shared" si="150"/>
        <v>152.35530598215274</v>
      </c>
      <c r="E988" s="1">
        <f t="shared" si="148"/>
        <v>182.65943135109825</v>
      </c>
      <c r="F988" s="1">
        <f t="shared" si="142"/>
        <v>9.7742244303134793</v>
      </c>
      <c r="G988" s="1">
        <f t="shared" si="149"/>
        <v>7.2891352579480095</v>
      </c>
      <c r="H988" s="1">
        <f t="shared" si="143"/>
        <v>2.8513986488304535</v>
      </c>
      <c r="I988" s="1">
        <f t="shared" si="144"/>
        <v>73.588706453823164</v>
      </c>
      <c r="K988" s="112">
        <f>C988/'CGE-Flood Weighted Av Calcs'!$D$3</f>
        <v>7.9843406649595626E-3</v>
      </c>
      <c r="L988" s="112">
        <f>D988/'CGE-Flood Weighted Av Calcs'!$D$4</f>
        <v>7.8260316402776735E-3</v>
      </c>
      <c r="M988" s="112">
        <f>E988/'CGE-Flood Weighted Av Calcs'!$D$5</f>
        <v>7.8248490563623142E-3</v>
      </c>
      <c r="N988" s="112">
        <f>F988/'CGE-Flood Weighted Av Calcs'!$D$6</f>
        <v>2.7017396357474099E-3</v>
      </c>
      <c r="O988" s="112">
        <f>G988/'CGE-Flood Weighted Av Calcs'!$D$7</f>
        <v>1.2032445662602569E-2</v>
      </c>
      <c r="P988" s="112">
        <f>H988/'CGE-Flood Weighted Av Calcs'!$D$8</f>
        <v>2.8813939599535706E-2</v>
      </c>
      <c r="R988" s="1">
        <f t="shared" si="145"/>
        <v>0.12775817092677633</v>
      </c>
      <c r="S988" s="1">
        <f t="shared" si="146"/>
        <v>0.14819947827506055</v>
      </c>
      <c r="T988" s="1">
        <f t="shared" si="147"/>
        <v>3.577228785949738</v>
      </c>
    </row>
    <row r="989" spans="1:20">
      <c r="A989">
        <v>936</v>
      </c>
      <c r="B989">
        <v>0.45064969622397322</v>
      </c>
      <c r="C989" s="1">
        <f t="shared" si="141"/>
        <v>56.576977396666585</v>
      </c>
      <c r="D989" s="1">
        <f t="shared" si="150"/>
        <v>181.97669214518294</v>
      </c>
      <c r="E989" s="1">
        <f t="shared" si="148"/>
        <v>218.1726385708337</v>
      </c>
      <c r="F989" s="1">
        <f t="shared" si="142"/>
        <v>11.674559140864062</v>
      </c>
      <c r="G989" s="1">
        <f t="shared" si="149"/>
        <v>8.706311304941277</v>
      </c>
      <c r="H989" s="1">
        <f t="shared" si="143"/>
        <v>3.4057763249951654</v>
      </c>
      <c r="I989" s="1">
        <f t="shared" si="144"/>
        <v>87.896048604164264</v>
      </c>
      <c r="K989" s="112">
        <f>C989/'CGE-Flood Weighted Av Calcs'!$D$3</f>
        <v>9.5366806807490861E-3</v>
      </c>
      <c r="L989" s="112">
        <f>D989/'CGE-Flood Weighted Av Calcs'!$D$4</f>
        <v>9.3475927296427751E-3</v>
      </c>
      <c r="M989" s="112">
        <f>E989/'CGE-Flood Weighted Av Calcs'!$D$5</f>
        <v>9.346180224133277E-3</v>
      </c>
      <c r="N989" s="112">
        <f>F989/'CGE-Flood Weighted Av Calcs'!$D$6</f>
        <v>3.2270201472893805E-3</v>
      </c>
      <c r="O989" s="112">
        <f>G989/'CGE-Flood Weighted Av Calcs'!$D$7</f>
        <v>1.4371830675549742E-2</v>
      </c>
      <c r="P989" s="112">
        <f>H989/'CGE-Flood Weighted Av Calcs'!$D$8</f>
        <v>3.4416034165615714E-2</v>
      </c>
      <c r="R989" s="1">
        <f t="shared" si="145"/>
        <v>0.15259730660445187</v>
      </c>
      <c r="S989" s="1">
        <f t="shared" si="146"/>
        <v>0.17701287566116417</v>
      </c>
      <c r="T989" s="1">
        <f t="shared" si="147"/>
        <v>4.2727245849246529</v>
      </c>
    </row>
    <row r="990" spans="1:20">
      <c r="A990">
        <v>937</v>
      </c>
      <c r="B990">
        <v>0.80814678255862094</v>
      </c>
      <c r="C990" s="1">
        <f t="shared" si="141"/>
        <v>19.758749694046045</v>
      </c>
      <c r="D990" s="1">
        <f t="shared" si="150"/>
        <v>63.552916322090255</v>
      </c>
      <c r="E990" s="1">
        <f t="shared" si="148"/>
        <v>76.193864606571594</v>
      </c>
      <c r="F990" s="1">
        <f t="shared" si="142"/>
        <v>4.0771830250914203</v>
      </c>
      <c r="G990" s="1">
        <f t="shared" si="149"/>
        <v>3.040562323198861</v>
      </c>
      <c r="H990" s="1">
        <f t="shared" si="143"/>
        <v>1.1894216519854641</v>
      </c>
      <c r="I990" s="1">
        <f t="shared" si="144"/>
        <v>30.696514790620625</v>
      </c>
      <c r="K990" s="112">
        <f>C990/'CGE-Flood Weighted Av Calcs'!$D$3</f>
        <v>3.330557678291028E-3</v>
      </c>
      <c r="L990" s="112">
        <f>D990/'CGE-Flood Weighted Av Calcs'!$D$4</f>
        <v>3.2645212502599714E-3</v>
      </c>
      <c r="M990" s="112">
        <f>E990/'CGE-Flood Weighted Av Calcs'!$D$5</f>
        <v>3.2640279516765562E-3</v>
      </c>
      <c r="N990" s="112">
        <f>F990/'CGE-Flood Weighted Av Calcs'!$D$6</f>
        <v>1.1269934570893342E-3</v>
      </c>
      <c r="O990" s="112">
        <f>G990/'CGE-Flood Weighted Av Calcs'!$D$7</f>
        <v>5.0191688921884829E-3</v>
      </c>
      <c r="P990" s="112">
        <f>H990/'CGE-Flood Weighted Av Calcs'!$D$8</f>
        <v>1.201933782662986E-2</v>
      </c>
      <c r="R990" s="1">
        <f t="shared" si="145"/>
        <v>5.3292560400383049E-2</v>
      </c>
      <c r="S990" s="1">
        <f t="shared" si="146"/>
        <v>6.1819370064444351E-2</v>
      </c>
      <c r="T990" s="1">
        <f t="shared" si="147"/>
        <v>1.4921916912107269</v>
      </c>
    </row>
    <row r="991" spans="1:20">
      <c r="A991">
        <v>938</v>
      </c>
      <c r="B991">
        <v>0.87492797778032172</v>
      </c>
      <c r="C991" s="1">
        <f t="shared" si="141"/>
        <v>12.881028599491103</v>
      </c>
      <c r="D991" s="1">
        <f t="shared" si="150"/>
        <v>41.431110034891958</v>
      </c>
      <c r="E991" s="1">
        <f t="shared" si="148"/>
        <v>49.671935942320601</v>
      </c>
      <c r="F991" s="1">
        <f t="shared" si="142"/>
        <v>2.6579774512446868</v>
      </c>
      <c r="G991" s="1">
        <f t="shared" si="149"/>
        <v>1.982188693622728</v>
      </c>
      <c r="H991" s="1">
        <f t="shared" si="143"/>
        <v>0.77540201446528911</v>
      </c>
      <c r="I991" s="1">
        <f t="shared" si="144"/>
        <v>20.0115235551485</v>
      </c>
      <c r="K991" s="112">
        <f>C991/'CGE-Flood Weighted Av Calcs'!$D$3</f>
        <v>2.1712410638639189E-3</v>
      </c>
      <c r="L991" s="112">
        <f>D991/'CGE-Flood Weighted Av Calcs'!$D$4</f>
        <v>2.1281909148794112E-3</v>
      </c>
      <c r="M991" s="112">
        <f>E991/'CGE-Flood Weighted Av Calcs'!$D$5</f>
        <v>2.1278693260511992E-3</v>
      </c>
      <c r="N991" s="112">
        <f>F991/'CGE-Flood Weighted Av Calcs'!$D$6</f>
        <v>7.3470412738623132E-4</v>
      </c>
      <c r="O991" s="112">
        <f>G991/'CGE-Flood Weighted Av Calcs'!$D$7</f>
        <v>3.2720723247705113E-3</v>
      </c>
      <c r="P991" s="112">
        <f>H991/'CGE-Flood Weighted Av Calcs'!$D$8</f>
        <v>7.8355886222100986E-3</v>
      </c>
      <c r="R991" s="1">
        <f t="shared" si="145"/>
        <v>3.4742228394355062E-2</v>
      </c>
      <c r="S991" s="1">
        <f t="shared" si="146"/>
        <v>4.0300984937451878E-2</v>
      </c>
      <c r="T991" s="1">
        <f t="shared" si="147"/>
        <v>0.97278239504194275</v>
      </c>
    </row>
    <row r="992" spans="1:20">
      <c r="A992">
        <v>939</v>
      </c>
      <c r="B992">
        <v>3.5825174362051682E-2</v>
      </c>
      <c r="C992" s="1">
        <f t="shared" si="141"/>
        <v>113.40611251888561</v>
      </c>
      <c r="D992" s="1">
        <f t="shared" si="150"/>
        <v>361.81425654429586</v>
      </c>
      <c r="E992" s="1">
        <f t="shared" si="148"/>
        <v>433.6988250364127</v>
      </c>
      <c r="F992" s="1">
        <f t="shared" si="142"/>
        <v>27.080923375144351</v>
      </c>
      <c r="G992" s="1">
        <f t="shared" si="149"/>
        <v>17.357816503741361</v>
      </c>
      <c r="H992" s="1">
        <f t="shared" si="143"/>
        <v>6.5965900471606966</v>
      </c>
      <c r="I992" s="1">
        <f t="shared" si="144"/>
        <v>254.24615520464843</v>
      </c>
      <c r="K992" s="112">
        <f>C992/'CGE-Flood Weighted Av Calcs'!$D$3</f>
        <v>1.9115865359068025E-2</v>
      </c>
      <c r="L992" s="112">
        <f>D992/'CGE-Flood Weighted Av Calcs'!$D$4</f>
        <v>1.858530493155847E-2</v>
      </c>
      <c r="M992" s="112">
        <f>E992/'CGE-Flood Weighted Av Calcs'!$D$5</f>
        <v>1.8578990511081618E-2</v>
      </c>
      <c r="N992" s="112">
        <f>F992/'CGE-Flood Weighted Av Calcs'!$D$6</f>
        <v>7.4855662029155445E-3</v>
      </c>
      <c r="O992" s="112">
        <f>G992/'CGE-Flood Weighted Av Calcs'!$D$7</f>
        <v>2.8653190880901569E-2</v>
      </c>
      <c r="P992" s="112">
        <f>H992/'CGE-Flood Weighted Av Calcs'!$D$8</f>
        <v>6.6659829294563377E-2</v>
      </c>
      <c r="R992" s="1">
        <f t="shared" si="145"/>
        <v>0.29556643418393108</v>
      </c>
      <c r="S992" s="1">
        <f t="shared" si="146"/>
        <v>0.35556643418393108</v>
      </c>
      <c r="T992" s="1">
        <f t="shared" si="147"/>
        <v>8.8349651275896655</v>
      </c>
    </row>
    <row r="993" spans="1:20">
      <c r="A993">
        <v>940</v>
      </c>
      <c r="B993">
        <v>0.62499992848079244</v>
      </c>
      <c r="C993" s="1">
        <f t="shared" si="141"/>
        <v>38.620840699017059</v>
      </c>
      <c r="D993" s="1">
        <f t="shared" si="150"/>
        <v>124.22177998302294</v>
      </c>
      <c r="E993" s="1">
        <f t="shared" si="148"/>
        <v>148.93002607850235</v>
      </c>
      <c r="F993" s="1">
        <f t="shared" si="142"/>
        <v>7.9693421168365468</v>
      </c>
      <c r="G993" s="1">
        <f t="shared" si="149"/>
        <v>5.9431429082317742</v>
      </c>
      <c r="H993" s="1">
        <f t="shared" si="143"/>
        <v>2.3248669504191608</v>
      </c>
      <c r="I993" s="1">
        <f t="shared" si="144"/>
        <v>60.000011443073191</v>
      </c>
      <c r="K993" s="112">
        <f>C993/'CGE-Flood Weighted Av Calcs'!$D$3</f>
        <v>6.5099735319247443E-3</v>
      </c>
      <c r="L993" s="112">
        <f>D993/'CGE-Flood Weighted Av Calcs'!$D$4</f>
        <v>6.3808974311182235E-3</v>
      </c>
      <c r="M993" s="112">
        <f>E993/'CGE-Flood Weighted Av Calcs'!$D$5</f>
        <v>6.379933220006585E-3</v>
      </c>
      <c r="N993" s="112">
        <f>F993/'CGE-Flood Weighted Av Calcs'!$D$6</f>
        <v>2.2028435730524678E-3</v>
      </c>
      <c r="O993" s="112">
        <f>G993/'CGE-Flood Weighted Av Calcs'!$D$7</f>
        <v>9.8105662163980503E-3</v>
      </c>
      <c r="P993" s="112">
        <f>H993/'CGE-Flood Weighted Av Calcs'!$D$8</f>
        <v>2.3493234070869361E-2</v>
      </c>
      <c r="R993" s="1">
        <f t="shared" si="145"/>
        <v>0.1041666865331132</v>
      </c>
      <c r="S993" s="1">
        <f t="shared" si="146"/>
        <v>0.12083335637841131</v>
      </c>
      <c r="T993" s="1">
        <f t="shared" si="147"/>
        <v>2.9166672229271704</v>
      </c>
    </row>
    <row r="994" spans="1:20">
      <c r="A994">
        <v>941</v>
      </c>
      <c r="B994">
        <v>0.32915694123702244</v>
      </c>
      <c r="C994" s="1">
        <f t="shared" si="141"/>
        <v>69.089381240822661</v>
      </c>
      <c r="D994" s="1">
        <f t="shared" si="150"/>
        <v>222.22214121504345</v>
      </c>
      <c r="E994" s="1">
        <f t="shared" si="148"/>
        <v>266.42308048475985</v>
      </c>
      <c r="F994" s="1">
        <f t="shared" si="142"/>
        <v>14.256471526335215</v>
      </c>
      <c r="G994" s="1">
        <f t="shared" si="149"/>
        <v>10.631774418260319</v>
      </c>
      <c r="H994" s="1">
        <f t="shared" si="143"/>
        <v>4.1589881567696221</v>
      </c>
      <c r="I994" s="1">
        <f t="shared" si="144"/>
        <v>107.33488940207641</v>
      </c>
      <c r="K994" s="112">
        <f>C994/'CGE-Flood Weighted Av Calcs'!$D$3</f>
        <v>1.1645785929933436E-2</v>
      </c>
      <c r="L994" s="112">
        <f>D994/'CGE-Flood Weighted Av Calcs'!$D$4</f>
        <v>1.1414879823896043E-2</v>
      </c>
      <c r="M994" s="112">
        <f>E994/'CGE-Flood Weighted Av Calcs'!$D$5</f>
        <v>1.1413154932674544E-2</v>
      </c>
      <c r="N994" s="112">
        <f>F994/'CGE-Flood Weighted Av Calcs'!$D$6</f>
        <v>3.9406987698326155E-3</v>
      </c>
      <c r="O994" s="112">
        <f>G994/'CGE-Flood Weighted Av Calcs'!$D$7</f>
        <v>1.7550263982997936E-2</v>
      </c>
      <c r="P994" s="112">
        <f>H994/'CGE-Flood Weighted Av Calcs'!$D$8</f>
        <v>4.2027386662856561E-2</v>
      </c>
      <c r="R994" s="1">
        <f t="shared" si="145"/>
        <v>0.18634529410082712</v>
      </c>
      <c r="S994" s="1">
        <f t="shared" si="146"/>
        <v>0.21616054115695943</v>
      </c>
      <c r="T994" s="1">
        <f t="shared" si="147"/>
        <v>5.2176682348231589</v>
      </c>
    </row>
    <row r="995" spans="1:20">
      <c r="A995">
        <v>942</v>
      </c>
      <c r="B995">
        <v>7.2791546803106288E-2</v>
      </c>
      <c r="C995" s="1">
        <f t="shared" si="141"/>
        <v>99.505717525821879</v>
      </c>
      <c r="D995" s="1">
        <f t="shared" si="150"/>
        <v>318.95914943725126</v>
      </c>
      <c r="E995" s="1">
        <f t="shared" si="148"/>
        <v>382.3660036979083</v>
      </c>
      <c r="F995" s="1">
        <f t="shared" si="142"/>
        <v>22.475438003489625</v>
      </c>
      <c r="G995" s="1">
        <f t="shared" si="149"/>
        <v>15.386775542809042</v>
      </c>
      <c r="H995" s="1">
        <f t="shared" si="143"/>
        <v>5.9426079185203289</v>
      </c>
      <c r="I995" s="1">
        <f t="shared" si="144"/>
        <v>188.4404735549264</v>
      </c>
      <c r="K995" s="112">
        <f>C995/'CGE-Flood Weighted Av Calcs'!$D$3</f>
        <v>1.6772798718096452E-2</v>
      </c>
      <c r="L995" s="112">
        <f>D995/'CGE-Flood Weighted Av Calcs'!$D$4</f>
        <v>1.638396759049791E-2</v>
      </c>
      <c r="M995" s="112">
        <f>E995/'CGE-Flood Weighted Av Calcs'!$D$5</f>
        <v>1.6379971409577136E-2</v>
      </c>
      <c r="N995" s="112">
        <f>F995/'CGE-Flood Weighted Av Calcs'!$D$6</f>
        <v>6.2125421937814099E-3</v>
      </c>
      <c r="O995" s="112">
        <f>G995/'CGE-Flood Weighted Av Calcs'!$D$7</f>
        <v>2.5399520531552259E-2</v>
      </c>
      <c r="P995" s="112">
        <f>H995/'CGE-Flood Weighted Av Calcs'!$D$8</f>
        <v>6.0051212305301485E-2</v>
      </c>
      <c r="R995" s="1">
        <f t="shared" si="145"/>
        <v>0.26813896879792914</v>
      </c>
      <c r="S995" s="1">
        <f t="shared" si="146"/>
        <v>0.31720845319689372</v>
      </c>
      <c r="T995" s="1">
        <f t="shared" si="147"/>
        <v>7.4534742199482285</v>
      </c>
    </row>
    <row r="996" spans="1:20">
      <c r="A996">
        <v>943</v>
      </c>
      <c r="B996">
        <v>0.8659375147896804</v>
      </c>
      <c r="C996" s="1">
        <f t="shared" si="141"/>
        <v>13.806946393493931</v>
      </c>
      <c r="D996" s="1">
        <f t="shared" si="150"/>
        <v>44.409272975086878</v>
      </c>
      <c r="E996" s="1">
        <f t="shared" si="148"/>
        <v>53.242468295100252</v>
      </c>
      <c r="F996" s="1">
        <f t="shared" si="142"/>
        <v>2.8490389491023151</v>
      </c>
      <c r="G996" s="1">
        <f t="shared" si="149"/>
        <v>2.1246729500872323</v>
      </c>
      <c r="H996" s="1">
        <f t="shared" si="143"/>
        <v>0.83113968457087495</v>
      </c>
      <c r="I996" s="1">
        <f t="shared" si="144"/>
        <v>21.449997633651108</v>
      </c>
      <c r="K996" s="112">
        <f>C996/'CGE-Flood Weighted Av Calcs'!$D$3</f>
        <v>2.3273148370547229E-3</v>
      </c>
      <c r="L996" s="112">
        <f>D996/'CGE-Flood Weighted Av Calcs'!$D$4</f>
        <v>2.2811701449076591E-3</v>
      </c>
      <c r="M996" s="112">
        <f>E996/'CGE-Flood Weighted Av Calcs'!$D$5</f>
        <v>2.2808254395390178E-3</v>
      </c>
      <c r="N996" s="112">
        <f>F996/'CGE-Flood Weighted Av Calcs'!$D$6</f>
        <v>7.8751634029453142E-4</v>
      </c>
      <c r="O996" s="112">
        <f>G996/'CGE-Flood Weighted Av Calcs'!$D$7</f>
        <v>3.5072763665415945E-3</v>
      </c>
      <c r="P996" s="112">
        <f>H996/'CGE-Flood Weighted Av Calcs'!$D$8</f>
        <v>8.3988286519758194E-3</v>
      </c>
      <c r="R996" s="1">
        <f t="shared" si="145"/>
        <v>3.7239579225088776E-2</v>
      </c>
      <c r="S996" s="1">
        <f t="shared" si="146"/>
        <v>4.3197911901102976E-2</v>
      </c>
      <c r="T996" s="1">
        <f t="shared" si="147"/>
        <v>1.0427082183024865</v>
      </c>
    </row>
    <row r="997" spans="1:20">
      <c r="A997">
        <v>944</v>
      </c>
      <c r="B997">
        <v>0.38287708335104065</v>
      </c>
      <c r="C997" s="1">
        <f t="shared" si="141"/>
        <v>63.556803493546717</v>
      </c>
      <c r="D997" s="1">
        <f t="shared" si="150"/>
        <v>204.42691347732688</v>
      </c>
      <c r="E997" s="1">
        <f t="shared" si="148"/>
        <v>245.08830544439883</v>
      </c>
      <c r="F997" s="1">
        <f t="shared" si="142"/>
        <v>13.11483390120809</v>
      </c>
      <c r="G997" s="1">
        <f t="shared" si="149"/>
        <v>9.7803972962754848</v>
      </c>
      <c r="H997" s="1">
        <f t="shared" si="143"/>
        <v>3.8259423990268679</v>
      </c>
      <c r="I997" s="1">
        <f t="shared" si="144"/>
        <v>98.739666663833475</v>
      </c>
      <c r="K997" s="112">
        <f>C997/'CGE-Flood Weighted Av Calcs'!$D$3</f>
        <v>1.0713208232343365E-2</v>
      </c>
      <c r="L997" s="112">
        <f>D997/'CGE-Flood Weighted Av Calcs'!$D$4</f>
        <v>1.0500792753389743E-2</v>
      </c>
      <c r="M997" s="112">
        <f>E997/'CGE-Flood Weighted Av Calcs'!$D$5</f>
        <v>1.049920598896309E-2</v>
      </c>
      <c r="N997" s="112">
        <f>F997/'CGE-Flood Weighted Av Calcs'!$D$6</f>
        <v>3.6251333105517124E-3</v>
      </c>
      <c r="O997" s="112">
        <f>G997/'CGE-Flood Weighted Av Calcs'!$D$7</f>
        <v>1.6144864220729107E-2</v>
      </c>
      <c r="P997" s="112">
        <f>H997/'CGE-Flood Weighted Av Calcs'!$D$8</f>
        <v>3.8661894310036159E-2</v>
      </c>
      <c r="R997" s="1">
        <f t="shared" si="145"/>
        <v>0.17142303240248868</v>
      </c>
      <c r="S997" s="1">
        <f t="shared" si="146"/>
        <v>0.19885071758688688</v>
      </c>
      <c r="T997" s="1">
        <f t="shared" si="147"/>
        <v>4.7998449072696836</v>
      </c>
    </row>
    <row r="998" spans="1:20">
      <c r="A998">
        <v>945</v>
      </c>
      <c r="B998">
        <v>0.59533097275843117</v>
      </c>
      <c r="C998" s="1">
        <f t="shared" si="141"/>
        <v>41.67641348335669</v>
      </c>
      <c r="D998" s="1">
        <f t="shared" si="150"/>
        <v>134.04985941548364</v>
      </c>
      <c r="E998" s="1">
        <f t="shared" si="148"/>
        <v>160.71295276316266</v>
      </c>
      <c r="F998" s="1">
        <f t="shared" si="142"/>
        <v>8.5998541523220169</v>
      </c>
      <c r="G998" s="1">
        <f t="shared" si="149"/>
        <v>6.4133477353446198</v>
      </c>
      <c r="H998" s="1">
        <f t="shared" si="143"/>
        <v>2.5088039143054042</v>
      </c>
      <c r="I998" s="1">
        <f t="shared" si="144"/>
        <v>64.747044358650996</v>
      </c>
      <c r="K998" s="112">
        <f>C998/'CGE-Flood Weighted Av Calcs'!$D$3</f>
        <v>7.0250244109551141E-3</v>
      </c>
      <c r="L998" s="112">
        <f>D998/'CGE-Flood Weighted Av Calcs'!$D$4</f>
        <v>6.8857361704438473E-3</v>
      </c>
      <c r="M998" s="112">
        <f>E998/'CGE-Flood Weighted Av Calcs'!$D$5</f>
        <v>6.8846956736486825E-3</v>
      </c>
      <c r="N998" s="112">
        <f>F998/'CGE-Flood Weighted Av Calcs'!$D$6</f>
        <v>2.3771263889661022E-3</v>
      </c>
      <c r="O998" s="112">
        <f>G998/'CGE-Flood Weighted Av Calcs'!$D$7</f>
        <v>1.0586750747527395E-2</v>
      </c>
      <c r="P998" s="112">
        <f>H998/'CGE-Flood Weighted Av Calcs'!$D$8</f>
        <v>2.5351952973508264E-2</v>
      </c>
      <c r="R998" s="1">
        <f t="shared" si="145"/>
        <v>0.112408063122658</v>
      </c>
      <c r="S998" s="1">
        <f t="shared" si="146"/>
        <v>0.13039335322228329</v>
      </c>
      <c r="T998" s="1">
        <f t="shared" si="147"/>
        <v>3.1474257674344246</v>
      </c>
    </row>
    <row r="999" spans="1:20">
      <c r="A999">
        <v>946</v>
      </c>
      <c r="B999">
        <v>0.14074679272528745</v>
      </c>
      <c r="C999" s="1">
        <f t="shared" si="141"/>
        <v>88.493533091436788</v>
      </c>
      <c r="D999" s="1">
        <f t="shared" si="150"/>
        <v>284.63451335187017</v>
      </c>
      <c r="E999" s="1">
        <f t="shared" si="148"/>
        <v>341.24954176416782</v>
      </c>
      <c r="F999" s="1">
        <f t="shared" si="142"/>
        <v>18.260483914095765</v>
      </c>
      <c r="G999" s="1">
        <f t="shared" si="149"/>
        <v>13.617769683354714</v>
      </c>
      <c r="H999" s="1">
        <f t="shared" si="143"/>
        <v>5.3270640070593265</v>
      </c>
      <c r="I999" s="1">
        <f t="shared" si="144"/>
        <v>137.48051316395401</v>
      </c>
      <c r="K999" s="112">
        <f>C999/'CGE-Flood Weighted Av Calcs'!$D$3</f>
        <v>1.4916572186022405E-2</v>
      </c>
      <c r="L999" s="112">
        <f>D999/'CGE-Flood Weighted Av Calcs'!$D$4</f>
        <v>1.4620814766160593E-2</v>
      </c>
      <c r="M999" s="112">
        <f>E999/'CGE-Flood Weighted Av Calcs'!$D$5</f>
        <v>1.4618605429274846E-2</v>
      </c>
      <c r="N999" s="112">
        <f>F999/'CGE-Flood Weighted Av Calcs'!$D$6</f>
        <v>5.0474667847439899E-3</v>
      </c>
      <c r="O999" s="112">
        <f>G999/'CGE-Flood Weighted Av Calcs'!$D$7</f>
        <v>2.2479357010440442E-2</v>
      </c>
      <c r="P999" s="112">
        <f>H999/'CGE-Flood Weighted Av Calcs'!$D$8</f>
        <v>5.3831020999194887E-2</v>
      </c>
      <c r="R999" s="1">
        <f t="shared" si="145"/>
        <v>0.23868144646519793</v>
      </c>
      <c r="S999" s="1">
        <f t="shared" si="146"/>
        <v>0.2768704778996296</v>
      </c>
      <c r="T999" s="1">
        <f t="shared" si="147"/>
        <v>6.6830805010255423</v>
      </c>
    </row>
    <row r="1000" spans="1:20">
      <c r="A1000">
        <v>947</v>
      </c>
      <c r="B1000">
        <v>0.29640871449496131</v>
      </c>
      <c r="C1000" s="1">
        <f t="shared" si="141"/>
        <v>72.462084726068923</v>
      </c>
      <c r="D1000" s="1">
        <f t="shared" si="150"/>
        <v>233.07025385861158</v>
      </c>
      <c r="E1000" s="1">
        <f t="shared" si="148"/>
        <v>279.42892937156483</v>
      </c>
      <c r="F1000" s="1">
        <f t="shared" si="142"/>
        <v>14.952422920610758</v>
      </c>
      <c r="G1000" s="1">
        <f t="shared" si="149"/>
        <v>11.150780696661197</v>
      </c>
      <c r="H1000" s="1">
        <f t="shared" si="143"/>
        <v>4.3620155048152105</v>
      </c>
      <c r="I1000" s="1">
        <f t="shared" si="144"/>
        <v>112.57460568080619</v>
      </c>
      <c r="K1000" s="112">
        <f>C1000/'CGE-Flood Weighted Av Calcs'!$D$3</f>
        <v>1.2214292726331122E-2</v>
      </c>
      <c r="L1000" s="112">
        <f>D1000/'CGE-Flood Weighted Av Calcs'!$D$4</f>
        <v>1.1972114586666993E-2</v>
      </c>
      <c r="M1000" s="112">
        <f>E1000/'CGE-Flood Weighted Av Calcs'!$D$5</f>
        <v>1.197030549225059E-2</v>
      </c>
      <c r="N1000" s="112">
        <f>F1000/'CGE-Flood Weighted Av Calcs'!$D$6</f>
        <v>4.1330699886309545E-3</v>
      </c>
      <c r="O1000" s="112">
        <f>G1000/'CGE-Flood Weighted Av Calcs'!$D$7</f>
        <v>1.8407006878062033E-2</v>
      </c>
      <c r="P1000" s="112">
        <f>H1000/'CGE-Flood Weighted Av Calcs'!$D$8</f>
        <v>4.4079017621592893E-2</v>
      </c>
      <c r="R1000" s="1">
        <f t="shared" si="145"/>
        <v>0.19544202375139963</v>
      </c>
      <c r="S1000" s="1">
        <f t="shared" si="146"/>
        <v>0.22671274755162357</v>
      </c>
      <c r="T1000" s="1">
        <f t="shared" si="147"/>
        <v>5.4723766650391905</v>
      </c>
    </row>
    <row r="1001" spans="1:20">
      <c r="A1001">
        <v>948</v>
      </c>
      <c r="B1001">
        <v>0.33186852659447197</v>
      </c>
      <c r="C1001" s="1">
        <f t="shared" si="141"/>
        <v>68.810118077731545</v>
      </c>
      <c r="D1001" s="1">
        <f t="shared" si="150"/>
        <v>221.32390682721075</v>
      </c>
      <c r="E1001" s="1">
        <f t="shared" si="148"/>
        <v>265.34618341547929</v>
      </c>
      <c r="F1001" s="1">
        <f t="shared" si="142"/>
        <v>14.198846066945368</v>
      </c>
      <c r="G1001" s="1">
        <f t="shared" si="149"/>
        <v>10.588800188357098</v>
      </c>
      <c r="H1001" s="1">
        <f t="shared" si="143"/>
        <v>4.1421772928270215</v>
      </c>
      <c r="I1001" s="1">
        <f t="shared" si="144"/>
        <v>106.90103574488448</v>
      </c>
      <c r="K1001" s="112">
        <f>C1001/'CGE-Flood Weighted Av Calcs'!$D$3</f>
        <v>1.1598713008493614E-2</v>
      </c>
      <c r="L1001" s="112">
        <f>D1001/'CGE-Flood Weighted Av Calcs'!$D$4</f>
        <v>1.1368740237918068E-2</v>
      </c>
      <c r="M1001" s="112">
        <f>E1001/'CGE-Flood Weighted Av Calcs'!$D$5</f>
        <v>1.1367022318803858E-2</v>
      </c>
      <c r="N1001" s="112">
        <f>F1001/'CGE-Flood Weighted Av Calcs'!$D$6</f>
        <v>3.9247702438639613E-3</v>
      </c>
      <c r="O1001" s="112">
        <f>G1001/'CGE-Flood Weighted Av Calcs'!$D$7</f>
        <v>1.7479324829325505E-2</v>
      </c>
      <c r="P1001" s="112">
        <f>H1001/'CGE-Flood Weighted Av Calcs'!$D$8</f>
        <v>4.1857509603239945E-2</v>
      </c>
      <c r="R1001" s="1">
        <f t="shared" si="145"/>
        <v>0.18559207594598001</v>
      </c>
      <c r="S1001" s="1">
        <f t="shared" si="146"/>
        <v>0.2152868080973368</v>
      </c>
      <c r="T1001" s="1">
        <f t="shared" si="147"/>
        <v>5.1965781264874407</v>
      </c>
    </row>
    <row r="1002" spans="1:20">
      <c r="A1002">
        <v>949</v>
      </c>
      <c r="B1002">
        <v>0.849099552199164</v>
      </c>
      <c r="C1002" s="1">
        <f t="shared" si="141"/>
        <v>15.541069451843896</v>
      </c>
      <c r="D1002" s="1">
        <f t="shared" si="150"/>
        <v>49.986983069401816</v>
      </c>
      <c r="E1002" s="1">
        <f t="shared" si="148"/>
        <v>59.929608906981457</v>
      </c>
      <c r="F1002" s="1">
        <f t="shared" si="142"/>
        <v>3.2068721726819742</v>
      </c>
      <c r="G1002" s="1">
        <f t="shared" si="149"/>
        <v>2.3915273470837253</v>
      </c>
      <c r="H1002" s="1">
        <f t="shared" si="143"/>
        <v>0.93552905863284952</v>
      </c>
      <c r="I1002" s="1">
        <f t="shared" si="144"/>
        <v>24.144071648133732</v>
      </c>
      <c r="K1002" s="112">
        <f>C1002/'CGE-Flood Weighted Av Calcs'!$D$3</f>
        <v>2.619620623428917E-3</v>
      </c>
      <c r="L1002" s="112">
        <f>D1002/'CGE-Flood Weighted Av Calcs'!$D$4</f>
        <v>2.5676802562359662E-3</v>
      </c>
      <c r="M1002" s="112">
        <f>E1002/'CGE-Flood Weighted Av Calcs'!$D$5</f>
        <v>2.5672922566072408E-3</v>
      </c>
      <c r="N1002" s="112">
        <f>F1002/'CGE-Flood Weighted Av Calcs'!$D$6</f>
        <v>8.8642671523273236E-4</v>
      </c>
      <c r="O1002" s="112">
        <f>G1002/'CGE-Flood Weighted Av Calcs'!$D$7</f>
        <v>3.9477828077117902E-3</v>
      </c>
      <c r="P1002" s="112">
        <f>H1002/'CGE-Flood Weighted Av Calcs'!$D$8</f>
        <v>9.4537036412337388E-3</v>
      </c>
      <c r="R1002" s="1">
        <f t="shared" si="145"/>
        <v>4.1916791055787772E-2</v>
      </c>
      <c r="S1002" s="1">
        <f t="shared" si="146"/>
        <v>4.8623477624713834E-2</v>
      </c>
      <c r="T1002" s="1">
        <f t="shared" si="147"/>
        <v>1.1736701495620583</v>
      </c>
    </row>
    <row r="1003" spans="1:20">
      <c r="A1003">
        <v>950</v>
      </c>
      <c r="B1003">
        <v>0.52492043870786254</v>
      </c>
      <c r="C1003" s="1">
        <f t="shared" si="141"/>
        <v>48.927916151298028</v>
      </c>
      <c r="D1003" s="1">
        <f t="shared" si="150"/>
        <v>157.37391328534773</v>
      </c>
      <c r="E1003" s="1">
        <f t="shared" si="148"/>
        <v>188.67626122299947</v>
      </c>
      <c r="F1003" s="1">
        <f t="shared" si="142"/>
        <v>10.096188892219285</v>
      </c>
      <c r="G1003" s="1">
        <f t="shared" si="149"/>
        <v>7.5292404988104398</v>
      </c>
      <c r="H1003" s="1">
        <f t="shared" si="143"/>
        <v>2.9453241605879317</v>
      </c>
      <c r="I1003" s="1">
        <f t="shared" si="144"/>
        <v>76.012729806741973</v>
      </c>
      <c r="K1003" s="112">
        <f>C1003/'CGE-Flood Weighted Av Calcs'!$D$3</f>
        <v>8.2473460792708755E-3</v>
      </c>
      <c r="L1003" s="112">
        <f>D1003/'CGE-Flood Weighted Av Calcs'!$D$4</f>
        <v>8.083822330872549E-3</v>
      </c>
      <c r="M1003" s="112">
        <f>E1003/'CGE-Flood Weighted Av Calcs'!$D$5</f>
        <v>8.0826007924604242E-3</v>
      </c>
      <c r="N1003" s="112">
        <f>F1003/'CGE-Flood Weighted Av Calcs'!$D$6</f>
        <v>2.7907353565061058E-3</v>
      </c>
      <c r="O1003" s="112">
        <f>G1003/'CGE-Flood Weighted Av Calcs'!$D$7</f>
        <v>1.2428796280576504E-2</v>
      </c>
      <c r="P1003" s="112">
        <f>H1003/'CGE-Flood Weighted Av Calcs'!$D$8</f>
        <v>2.9763075218908155E-2</v>
      </c>
      <c r="R1003" s="1">
        <f t="shared" si="145"/>
        <v>0.1319665448033715</v>
      </c>
      <c r="S1003" s="1">
        <f t="shared" si="146"/>
        <v>0.15308119197191095</v>
      </c>
      <c r="T1003" s="1">
        <f t="shared" si="147"/>
        <v>3.6950632544944026</v>
      </c>
    </row>
    <row r="1004" spans="1:20">
      <c r="A1004">
        <v>951</v>
      </c>
      <c r="B1004">
        <v>0.5817286249183542</v>
      </c>
      <c r="C1004" s="1">
        <f t="shared" si="141"/>
        <v>43.077304173686393</v>
      </c>
      <c r="D1004" s="1">
        <f t="shared" si="150"/>
        <v>138.55574618451067</v>
      </c>
      <c r="E1004" s="1">
        <f t="shared" si="148"/>
        <v>166.11507978235113</v>
      </c>
      <c r="F1004" s="1">
        <f t="shared" si="142"/>
        <v>8.888925466603709</v>
      </c>
      <c r="G1004" s="1">
        <f t="shared" si="149"/>
        <v>6.6289228865000629</v>
      </c>
      <c r="H1004" s="1">
        <f t="shared" si="143"/>
        <v>2.593133628732887</v>
      </c>
      <c r="I1004" s="1">
        <f t="shared" si="144"/>
        <v>66.923420013063307</v>
      </c>
      <c r="K1004" s="112">
        <f>C1004/'CGE-Flood Weighted Av Calcs'!$D$3</f>
        <v>7.2611601643489607E-3</v>
      </c>
      <c r="L1004" s="112">
        <f>D1004/'CGE-Flood Weighted Av Calcs'!$D$4</f>
        <v>7.1171899566746001E-3</v>
      </c>
      <c r="M1004" s="112">
        <f>E1004/'CGE-Flood Weighted Av Calcs'!$D$5</f>
        <v>7.116114485126287E-3</v>
      </c>
      <c r="N1004" s="112">
        <f>F1004/'CGE-Flood Weighted Av Calcs'!$D$6</f>
        <v>2.4570299591082289E-3</v>
      </c>
      <c r="O1004" s="112">
        <f>G1004/'CGE-Flood Weighted Av Calcs'!$D$7</f>
        <v>1.0942608637481741E-2</v>
      </c>
      <c r="P1004" s="112">
        <f>H1004/'CGE-Flood Weighted Av Calcs'!$D$8</f>
        <v>2.6204121188905378E-2</v>
      </c>
      <c r="R1004" s="1">
        <f t="shared" si="145"/>
        <v>0.11618649307823492</v>
      </c>
      <c r="S1004" s="1">
        <f t="shared" si="146"/>
        <v>0.13477633197075253</v>
      </c>
      <c r="T1004" s="1">
        <f t="shared" si="147"/>
        <v>3.2532218061905787</v>
      </c>
    </row>
    <row r="1005" spans="1:20">
      <c r="A1005">
        <v>952</v>
      </c>
      <c r="B1005">
        <v>0.26024647199458439</v>
      </c>
      <c r="C1005" s="1">
        <f t="shared" si="141"/>
        <v>76.186393900913302</v>
      </c>
      <c r="D1005" s="1">
        <f t="shared" si="150"/>
        <v>245.04928659152787</v>
      </c>
      <c r="E1005" s="1">
        <f t="shared" si="148"/>
        <v>293.7906432155645</v>
      </c>
      <c r="F1005" s="1">
        <f t="shared" si="142"/>
        <v>15.720927526569879</v>
      </c>
      <c r="G1005" s="1">
        <f t="shared" si="149"/>
        <v>11.72389358752331</v>
      </c>
      <c r="H1005" s="1">
        <f t="shared" si="143"/>
        <v>4.5862085352367084</v>
      </c>
      <c r="I1005" s="1">
        <f t="shared" si="144"/>
        <v>118.36056448086649</v>
      </c>
      <c r="K1005" s="112">
        <f>C1005/'CGE-Flood Weighted Av Calcs'!$D$3</f>
        <v>1.2842066584023412E-2</v>
      </c>
      <c r="L1005" s="112">
        <f>D1005/'CGE-Flood Weighted Av Calcs'!$D$4</f>
        <v>1.258744129671086E-2</v>
      </c>
      <c r="M1005" s="112">
        <f>E1005/'CGE-Flood Weighted Av Calcs'!$D$5</f>
        <v>1.2585539220882751E-2</v>
      </c>
      <c r="N1005" s="112">
        <f>F1005/'CGE-Flood Weighted Av Calcs'!$D$6</f>
        <v>4.3454959840618385E-3</v>
      </c>
      <c r="O1005" s="112">
        <f>G1005/'CGE-Flood Weighted Av Calcs'!$D$7</f>
        <v>1.9353065563187426E-2</v>
      </c>
      <c r="P1005" s="112">
        <f>H1005/'CGE-Flood Weighted Av Calcs'!$D$8</f>
        <v>4.634453192975585E-2</v>
      </c>
      <c r="R1005" s="1">
        <f t="shared" si="145"/>
        <v>0.20548709111261546</v>
      </c>
      <c r="S1005" s="1">
        <f t="shared" si="146"/>
        <v>0.23836502569063389</v>
      </c>
      <c r="T1005" s="1">
        <f t="shared" si="147"/>
        <v>5.7536385511532329</v>
      </c>
    </row>
    <row r="1006" spans="1:20">
      <c r="A1006">
        <v>953</v>
      </c>
      <c r="B1006">
        <v>0.21794540364389792</v>
      </c>
      <c r="C1006" s="1">
        <f t="shared" si="141"/>
        <v>80.542933929163453</v>
      </c>
      <c r="D1006" s="1">
        <f t="shared" si="150"/>
        <v>259.06185460096265</v>
      </c>
      <c r="E1006" s="1">
        <f t="shared" si="148"/>
        <v>310.59037124519915</v>
      </c>
      <c r="F1006" s="1">
        <f t="shared" si="142"/>
        <v>16.619891850039455</v>
      </c>
      <c r="G1006" s="1">
        <f t="shared" si="149"/>
        <v>12.394296911342765</v>
      </c>
      <c r="H1006" s="1">
        <f t="shared" si="143"/>
        <v>4.8484601006231323</v>
      </c>
      <c r="I1006" s="1">
        <f t="shared" si="144"/>
        <v>125.12873541697633</v>
      </c>
      <c r="K1006" s="112">
        <f>C1006/'CGE-Flood Weighted Av Calcs'!$D$3</f>
        <v>1.3576410004864611E-2</v>
      </c>
      <c r="L1006" s="112">
        <f>D1006/'CGE-Flood Weighted Av Calcs'!$D$4</f>
        <v>1.3307224568428522E-2</v>
      </c>
      <c r="M1006" s="112">
        <f>E1006/'CGE-Flood Weighted Av Calcs'!$D$5</f>
        <v>1.3305213726860785E-2</v>
      </c>
      <c r="N1006" s="112">
        <f>F1006/'CGE-Flood Weighted Av Calcs'!$D$6</f>
        <v>4.5939829674697605E-3</v>
      </c>
      <c r="O1006" s="112">
        <f>G1006/'CGE-Flood Weighted Av Calcs'!$D$7</f>
        <v>2.0459725171004417E-2</v>
      </c>
      <c r="P1006" s="112">
        <f>H1006/'CGE-Flood Weighted Av Calcs'!$D$8</f>
        <v>4.8994635158228488E-2</v>
      </c>
      <c r="R1006" s="1">
        <f t="shared" si="145"/>
        <v>0.21723738787669503</v>
      </c>
      <c r="S1006" s="1">
        <f t="shared" si="146"/>
        <v>0.2519953699369662</v>
      </c>
      <c r="T1006" s="1">
        <f t="shared" si="147"/>
        <v>6.0826468605474613</v>
      </c>
    </row>
    <row r="1007" spans="1:20">
      <c r="A1007">
        <v>954</v>
      </c>
      <c r="B1007">
        <v>0.35799193282535402</v>
      </c>
      <c r="C1007" s="1">
        <f t="shared" si="141"/>
        <v>66.119697496019938</v>
      </c>
      <c r="D1007" s="1">
        <f t="shared" si="150"/>
        <v>212.67031908768533</v>
      </c>
      <c r="E1007" s="1">
        <f t="shared" si="148"/>
        <v>254.97135987087813</v>
      </c>
      <c r="F1007" s="1">
        <f t="shared" si="142"/>
        <v>13.643682542128985</v>
      </c>
      <c r="G1007" s="1">
        <f t="shared" si="149"/>
        <v>10.174786570037099</v>
      </c>
      <c r="H1007" s="1">
        <f t="shared" si="143"/>
        <v>3.9802214736387551</v>
      </c>
      <c r="I1007" s="1">
        <f t="shared" si="144"/>
        <v>102.72129074794334</v>
      </c>
      <c r="K1007" s="112">
        <f>C1007/'CGE-Flood Weighted Av Calcs'!$D$3</f>
        <v>1.1145212606646226E-2</v>
      </c>
      <c r="L1007" s="112">
        <f>D1007/'CGE-Flood Weighted Av Calcs'!$D$4</f>
        <v>1.0924231587465302E-2</v>
      </c>
      <c r="M1007" s="112">
        <f>E1007/'CGE-Flood Weighted Av Calcs'!$D$5</f>
        <v>1.0922580837614446E-2</v>
      </c>
      <c r="N1007" s="112">
        <f>F1007/'CGE-Flood Weighted Av Calcs'!$D$6</f>
        <v>3.7713148664054803E-3</v>
      </c>
      <c r="O1007" s="112">
        <f>G1007/'CGE-Flood Weighted Av Calcs'!$D$7</f>
        <v>1.6795897208664885E-2</v>
      </c>
      <c r="P1007" s="112">
        <f>H1007/'CGE-Flood Weighted Av Calcs'!$D$8</f>
        <v>4.0220914455873197E-2</v>
      </c>
      <c r="R1007" s="1">
        <f t="shared" si="145"/>
        <v>0.17833557421517943</v>
      </c>
      <c r="S1007" s="1">
        <f t="shared" si="146"/>
        <v>0.20686926608960815</v>
      </c>
      <c r="T1007" s="1">
        <f t="shared" si="147"/>
        <v>4.9933960780250244</v>
      </c>
    </row>
    <row r="1008" spans="1:20">
      <c r="A1008">
        <v>955</v>
      </c>
      <c r="B1008">
        <v>0.68824747994126656</v>
      </c>
      <c r="C1008" s="1">
        <f t="shared" si="141"/>
        <v>32.107045649160014</v>
      </c>
      <c r="D1008" s="1">
        <f t="shared" si="150"/>
        <v>103.27052152016819</v>
      </c>
      <c r="E1008" s="1">
        <f t="shared" si="148"/>
        <v>123.81147223330032</v>
      </c>
      <c r="F1008" s="1">
        <f t="shared" si="142"/>
        <v>6.625232038140398</v>
      </c>
      <c r="G1008" s="1">
        <f t="shared" si="149"/>
        <v>4.9407718009342965</v>
      </c>
      <c r="H1008" s="1">
        <f t="shared" si="143"/>
        <v>1.9327546463076137</v>
      </c>
      <c r="I1008" s="1">
        <f t="shared" si="144"/>
        <v>49.880403209397329</v>
      </c>
      <c r="K1008" s="112">
        <f>C1008/'CGE-Flood Weighted Av Calcs'!$D$3</f>
        <v>5.4120007120831756E-3</v>
      </c>
      <c r="L1008" s="112">
        <f>D1008/'CGE-Flood Weighted Av Calcs'!$D$4</f>
        <v>5.3046945999996016E-3</v>
      </c>
      <c r="M1008" s="112">
        <f>E1008/'CGE-Flood Weighted Av Calcs'!$D$5</f>
        <v>5.3038930128353539E-3</v>
      </c>
      <c r="N1008" s="112">
        <f>F1008/'CGE-Flood Weighted Av Calcs'!$D$6</f>
        <v>1.8313117445875376E-3</v>
      </c>
      <c r="O1008" s="112">
        <f>G1008/'CGE-Flood Weighted Av Calcs'!$D$7</f>
        <v>8.1559150876282151E-3</v>
      </c>
      <c r="P1008" s="112">
        <f>H1008/'CGE-Flood Weighted Av Calcs'!$D$8</f>
        <v>1.9530862744243718E-2</v>
      </c>
      <c r="R1008" s="1">
        <f t="shared" si="145"/>
        <v>8.6597922238537045E-2</v>
      </c>
      <c r="S1008" s="1">
        <f t="shared" si="146"/>
        <v>0.10045358979670299</v>
      </c>
      <c r="T1008" s="1">
        <f t="shared" si="147"/>
        <v>2.4247418226790387</v>
      </c>
    </row>
    <row r="1009" spans="1:20">
      <c r="A1009">
        <v>956</v>
      </c>
      <c r="B1009">
        <v>0.74018724132850255</v>
      </c>
      <c r="C1009" s="1">
        <f t="shared" si="141"/>
        <v>26.757827334734557</v>
      </c>
      <c r="D1009" s="1">
        <f t="shared" si="150"/>
        <v>86.065059171115109</v>
      </c>
      <c r="E1009" s="1">
        <f t="shared" si="148"/>
        <v>103.18376945293954</v>
      </c>
      <c r="F1009" s="1">
        <f t="shared" si="142"/>
        <v>5.5214303074238238</v>
      </c>
      <c r="G1009" s="1">
        <f t="shared" si="149"/>
        <v>4.1176108258090132</v>
      </c>
      <c r="H1009" s="1">
        <f t="shared" si="143"/>
        <v>1.6107466152887255</v>
      </c>
      <c r="I1009" s="1">
        <f t="shared" si="144"/>
        <v>41.570041387439574</v>
      </c>
      <c r="K1009" s="112">
        <f>C1009/'CGE-Flood Weighted Av Calcs'!$D$3</f>
        <v>4.5103302923534695E-3</v>
      </c>
      <c r="L1009" s="112">
        <f>D1009/'CGE-Flood Weighted Av Calcs'!$D$4</f>
        <v>4.4209019951981067E-3</v>
      </c>
      <c r="M1009" s="112">
        <f>E1009/'CGE-Flood Weighted Av Calcs'!$D$5</f>
        <v>4.420233957061895E-3</v>
      </c>
      <c r="N1009" s="112">
        <f>F1009/'CGE-Flood Weighted Av Calcs'!$D$6</f>
        <v>1.5262046839562408E-3</v>
      </c>
      <c r="O1009" s="112">
        <f>G1009/'CGE-Flood Weighted Av Calcs'!$D$7</f>
        <v>6.7970927645042232E-3</v>
      </c>
      <c r="P1009" s="112">
        <f>H1009/'CGE-Flood Weighted Av Calcs'!$D$8</f>
        <v>1.6276908773216442E-2</v>
      </c>
      <c r="R1009" s="1">
        <f t="shared" si="145"/>
        <v>7.2170210742082602E-2</v>
      </c>
      <c r="S1009" s="1">
        <f t="shared" si="146"/>
        <v>8.3717444460815832E-2</v>
      </c>
      <c r="T1009" s="1">
        <f t="shared" si="147"/>
        <v>2.0207659007783141</v>
      </c>
    </row>
    <row r="1010" spans="1:20">
      <c r="A1010">
        <v>957</v>
      </c>
      <c r="B1010">
        <v>0.7945196416816781</v>
      </c>
      <c r="C1010" s="1">
        <f t="shared" si="141"/>
        <v>21.162193791694747</v>
      </c>
      <c r="D1010" s="1">
        <f t="shared" si="150"/>
        <v>68.06701598333936</v>
      </c>
      <c r="E1010" s="1">
        <f t="shared" si="148"/>
        <v>81.60583809755417</v>
      </c>
      <c r="F1010" s="1">
        <f t="shared" si="142"/>
        <v>4.3667812304536913</v>
      </c>
      <c r="G1010" s="1">
        <f t="shared" si="149"/>
        <v>3.2565304037759599</v>
      </c>
      <c r="H1010" s="1">
        <f t="shared" si="143"/>
        <v>1.2739050744156586</v>
      </c>
      <c r="I1010" s="1">
        <f t="shared" si="144"/>
        <v>32.876857330931486</v>
      </c>
      <c r="K1010" s="112">
        <f>C1010/'CGE-Flood Weighted Av Calcs'!$D$3</f>
        <v>3.5671238369728506E-3</v>
      </c>
      <c r="L1010" s="112">
        <f>D1010/'CGE-Flood Weighted Av Calcs'!$D$4</f>
        <v>3.4963969079442568E-3</v>
      </c>
      <c r="M1010" s="112">
        <f>E1010/'CGE-Flood Weighted Av Calcs'!$D$5</f>
        <v>3.4958685708591157E-3</v>
      </c>
      <c r="N1010" s="112">
        <f>F1010/'CGE-Flood Weighted Av Calcs'!$D$6</f>
        <v>1.2070426676887957E-3</v>
      </c>
      <c r="O1010" s="112">
        <f>G1010/'CGE-Flood Weighted Av Calcs'!$D$7</f>
        <v>5.3756754052988005E-3</v>
      </c>
      <c r="P1010" s="112">
        <f>H1010/'CGE-Flood Weighted Av Calcs'!$D$8</f>
        <v>1.2873059291379852E-2</v>
      </c>
      <c r="R1010" s="1">
        <f t="shared" si="145"/>
        <v>5.7077877310644953E-2</v>
      </c>
      <c r="S1010" s="1">
        <f t="shared" si="146"/>
        <v>6.6210337680348175E-2</v>
      </c>
      <c r="T1010" s="1">
        <f t="shared" si="147"/>
        <v>1.59818056469806</v>
      </c>
    </row>
    <row r="1011" spans="1:20">
      <c r="A1011">
        <v>958</v>
      </c>
      <c r="B1011">
        <v>0.82141623696485344</v>
      </c>
      <c r="C1011" s="1">
        <f t="shared" si="141"/>
        <v>18.392143328586386</v>
      </c>
      <c r="D1011" s="1">
        <f t="shared" si="150"/>
        <v>59.157303171756922</v>
      </c>
      <c r="E1011" s="1">
        <f t="shared" si="148"/>
        <v>70.923945102925643</v>
      </c>
      <c r="F1011" s="1">
        <f t="shared" si="142"/>
        <v>3.7951862205611722</v>
      </c>
      <c r="G1011" s="1">
        <f t="shared" si="149"/>
        <v>2.8302629930386889</v>
      </c>
      <c r="H1011" s="1">
        <f t="shared" si="143"/>
        <v>1.1071557583439917</v>
      </c>
      <c r="I1011" s="1">
        <f t="shared" si="144"/>
        <v>28.573402085623428</v>
      </c>
      <c r="K1011" s="112">
        <f>C1011/'CGE-Flood Weighted Av Calcs'!$D$3</f>
        <v>3.1002009303104311E-3</v>
      </c>
      <c r="L1011" s="112">
        <f>D1011/'CGE-Flood Weighted Av Calcs'!$D$4</f>
        <v>3.0387318865671897E-3</v>
      </c>
      <c r="M1011" s="112">
        <f>E1011/'CGE-Flood Weighted Av Calcs'!$D$5</f>
        <v>3.0382727067916255E-3</v>
      </c>
      <c r="N1011" s="112">
        <f>F1011/'CGE-Flood Weighted Av Calcs'!$D$6</f>
        <v>1.0490453856709402E-3</v>
      </c>
      <c r="O1011" s="112">
        <f>G1011/'CGE-Flood Weighted Av Calcs'!$D$7</f>
        <v>4.6720199954418014E-3</v>
      </c>
      <c r="P1011" s="112">
        <f>H1011/'CGE-Flood Weighted Av Calcs'!$D$8</f>
        <v>1.1188024922887174E-2</v>
      </c>
      <c r="R1011" s="1">
        <f t="shared" si="145"/>
        <v>4.960660084309626E-2</v>
      </c>
      <c r="S1011" s="1">
        <f t="shared" si="146"/>
        <v>5.7543656977991658E-2</v>
      </c>
      <c r="T1011" s="1">
        <f t="shared" si="147"/>
        <v>1.3889848236066964</v>
      </c>
    </row>
    <row r="1012" spans="1:20">
      <c r="A1012">
        <v>959</v>
      </c>
      <c r="B1012">
        <v>0.18735478091075475</v>
      </c>
      <c r="C1012" s="1">
        <f t="shared" si="141"/>
        <v>83.693428174869041</v>
      </c>
      <c r="D1012" s="1">
        <f t="shared" si="150"/>
        <v>269.19524361954456</v>
      </c>
      <c r="E1012" s="1">
        <f t="shared" si="148"/>
        <v>322.73933490525354</v>
      </c>
      <c r="F1012" s="1">
        <f t="shared" si="142"/>
        <v>17.269990761060619</v>
      </c>
      <c r="G1012" s="1">
        <f t="shared" si="149"/>
        <v>12.879108665693488</v>
      </c>
      <c r="H1012" s="1">
        <f t="shared" si="143"/>
        <v>5.0381110718800342</v>
      </c>
      <c r="I1012" s="1">
        <f t="shared" si="144"/>
        <v>130.02323505427924</v>
      </c>
      <c r="K1012" s="112">
        <f>C1012/'CGE-Flood Weighted Av Calcs'!$D$3</f>
        <v>1.410746095509798E-2</v>
      </c>
      <c r="L1012" s="112">
        <f>D1012/'CGE-Flood Weighted Av Calcs'!$D$4</f>
        <v>1.3827746138527001E-2</v>
      </c>
      <c r="M1012" s="112">
        <f>E1012/'CGE-Flood Weighted Av Calcs'!$D$5</f>
        <v>1.3825656641458664E-2</v>
      </c>
      <c r="N1012" s="112">
        <f>F1012/'CGE-Flood Weighted Av Calcs'!$D$6</f>
        <v>4.7736798843540165E-3</v>
      </c>
      <c r="O1012" s="112">
        <f>G1012/'CGE-Flood Weighted Av Calcs'!$D$7</f>
        <v>2.1260021898171791E-2</v>
      </c>
      <c r="P1012" s="112">
        <f>H1012/'CGE-Flood Weighted Av Calcs'!$D$8</f>
        <v>5.0911095220040975E-2</v>
      </c>
      <c r="R1012" s="1">
        <f t="shared" si="145"/>
        <v>0.22573478308034589</v>
      </c>
      <c r="S1012" s="1">
        <f t="shared" si="146"/>
        <v>0.26185234837320126</v>
      </c>
      <c r="T1012" s="1">
        <f t="shared" si="147"/>
        <v>6.3205739262496854</v>
      </c>
    </row>
    <row r="1013" spans="1:20">
      <c r="A1013">
        <v>960</v>
      </c>
      <c r="B1013">
        <v>0.93592359793513324</v>
      </c>
      <c r="C1013" s="1">
        <f t="shared" si="141"/>
        <v>6.5991574526583463</v>
      </c>
      <c r="D1013" s="1">
        <f t="shared" si="150"/>
        <v>21.225821870271034</v>
      </c>
      <c r="E1013" s="1">
        <f t="shared" si="148"/>
        <v>25.44772909476211</v>
      </c>
      <c r="F1013" s="1">
        <f t="shared" si="142"/>
        <v>1.3617244594171751</v>
      </c>
      <c r="G1013" s="1">
        <f t="shared" si="149"/>
        <v>1.0155070450361645</v>
      </c>
      <c r="H1013" s="1">
        <f t="shared" si="143"/>
        <v>0.39725088280349485</v>
      </c>
      <c r="I1013" s="1">
        <f t="shared" si="144"/>
        <v>10.252224330378652</v>
      </c>
      <c r="K1013" s="112">
        <f>C1013/'CGE-Flood Weighted Av Calcs'!$D$3</f>
        <v>1.1123616050880824E-3</v>
      </c>
      <c r="L1013" s="112">
        <f>D1013/'CGE-Flood Weighted Av Calcs'!$D$4</f>
        <v>1.0903063236084335E-3</v>
      </c>
      <c r="M1013" s="112">
        <f>E1013/'CGE-Flood Weighted Av Calcs'!$D$5</f>
        <v>1.090141568496216E-3</v>
      </c>
      <c r="N1013" s="112">
        <f>F1013/'CGE-Flood Weighted Av Calcs'!$D$6</f>
        <v>3.7640070280810028E-4</v>
      </c>
      <c r="O1013" s="112">
        <f>G1013/'CGE-Flood Weighted Av Calcs'!$D$7</f>
        <v>1.6763351079353648E-3</v>
      </c>
      <c r="P1013" s="112">
        <f>H1013/'CGE-Flood Weighted Av Calcs'!$D$8</f>
        <v>4.0142976667457723E-3</v>
      </c>
      <c r="R1013" s="1">
        <f t="shared" si="145"/>
        <v>1.7799000573574086E-2</v>
      </c>
      <c r="S1013" s="1">
        <f t="shared" si="146"/>
        <v>2.0646840665345945E-2</v>
      </c>
      <c r="T1013" s="1">
        <f t="shared" si="147"/>
        <v>0.49837201606007575</v>
      </c>
    </row>
    <row r="1014" spans="1:20">
      <c r="A1014">
        <v>961</v>
      </c>
      <c r="B1014">
        <v>0.44762633466426738</v>
      </c>
      <c r="C1014" s="1">
        <f t="shared" si="141"/>
        <v>56.888350044410068</v>
      </c>
      <c r="D1014" s="1">
        <f t="shared" si="150"/>
        <v>182.97820489945366</v>
      </c>
      <c r="E1014" s="1">
        <f t="shared" si="148"/>
        <v>219.37335651765326</v>
      </c>
      <c r="F1014" s="1">
        <f t="shared" si="142"/>
        <v>11.738810335576044</v>
      </c>
      <c r="G1014" s="1">
        <f t="shared" si="149"/>
        <v>8.754226681969854</v>
      </c>
      <c r="H1014" s="1">
        <f t="shared" si="143"/>
        <v>3.4245200904052684</v>
      </c>
      <c r="I1014" s="1">
        <f t="shared" si="144"/>
        <v>88.379786453717202</v>
      </c>
      <c r="K1014" s="112">
        <f>C1014/'CGE-Flood Weighted Av Calcs'!$D$3</f>
        <v>9.5891660140221911E-3</v>
      </c>
      <c r="L1014" s="112">
        <f>D1014/'CGE-Flood Weighted Av Calcs'!$D$4</f>
        <v>9.3990374131904704E-3</v>
      </c>
      <c r="M1014" s="112">
        <f>E1014/'CGE-Flood Weighted Av Calcs'!$D$5</f>
        <v>9.397617133925628E-3</v>
      </c>
      <c r="N1014" s="112">
        <f>F1014/'CGE-Flood Weighted Av Calcs'!$D$6</f>
        <v>3.2447801241177335E-3</v>
      </c>
      <c r="O1014" s="112">
        <f>G1014/'CGE-Flood Weighted Av Calcs'!$D$7</f>
        <v>1.4450926363871729E-2</v>
      </c>
      <c r="P1014" s="112">
        <f>H1014/'CGE-Flood Weighted Av Calcs'!$D$8</f>
        <v>3.4605443571633393E-2</v>
      </c>
      <c r="R1014" s="1">
        <f t="shared" si="145"/>
        <v>0.1534371292599257</v>
      </c>
      <c r="S1014" s="1">
        <f t="shared" si="146"/>
        <v>0.17798706994151381</v>
      </c>
      <c r="T1014" s="1">
        <f t="shared" si="147"/>
        <v>4.2962396192779204</v>
      </c>
    </row>
    <row r="1015" spans="1:20">
      <c r="A1015">
        <v>962</v>
      </c>
      <c r="B1015">
        <v>0.78502983682469873</v>
      </c>
      <c r="C1015" s="1">
        <f t="shared" ref="C1015:C1053" si="151">IF($B1015&lt;=0.005,$F$5,IF(B1015&lt;=0.01,$F$5+($B1015-0.005)*SLOPE($E$5:$F$5,$E$4:$F$4),IF($B1015&lt;=0.04,$E$5+($B1015-0.01)*SLOPE($D$5:$E$5,$D$4:$E$4),IF($B1015&lt;=0.1,$D$5+($B1015-0.04)*SLOPE($C$5:$D$5,$C$4:$D$4),IF($B1015&lt;=1,$C$5+($B1015-0.1)*SLOPE($B$5:$C$5,$B$4:$C$4),)))))</f>
        <v>22.139538249687433</v>
      </c>
      <c r="D1015" s="1">
        <f t="shared" si="150"/>
        <v>71.210589919871637</v>
      </c>
      <c r="E1015" s="1">
        <f t="shared" si="148"/>
        <v>85.374682404981058</v>
      </c>
      <c r="F1015" s="1">
        <f t="shared" ref="F1015:F1053" si="152">IF($B1015&lt;=0.005,$F$26,IF($B1015&lt;=0.01,$F$26+($B1015-0.005)*SLOPE($E$26:$F$26,$E$25:$F$25),IF($B1015&lt;=0.04,$E$26+($B1015-0.01)*SLOPE($D$26:$E$26,$D$25:$E$25),IF($B1015&lt;=0.1,$D$26+($B1015-0.04)*SLOPE($C$26:$D$26,$C$25:$D$25),IF($B1015&lt;=1,$C$26+($B1015-0.1)*SLOPE($B$26:$C$26,$B$25:$C$25),)))))</f>
        <v>4.5684545293970817</v>
      </c>
      <c r="G1015" s="1">
        <f t="shared" si="149"/>
        <v>3.4069284189223961</v>
      </c>
      <c r="H1015" s="1">
        <f t="shared" ref="H1015:H1053" si="153">IF($B1015&lt;=0.005,$F$40,IF($B1015&lt;=0.01,$F$40+($B1015-0.005)*SLOPE($E$40:$F$40,$E$39:$F$39),IF($B1015&lt;=0.04,$E$40+($B1015-0.01)*SLOPE($D$40:$E$40,$D$39:$E$39),IF($B1015&lt;=0.1,$D$40+($B1015-0.04)*SLOPE($C$40:$D$40,$C$39:$D$39),IF($B1015&lt;=1,$C$40+($B1015-0.1)*SLOPE($B$40:$C$40,$B$39:$C$39),)))))</f>
        <v>1.3327384863361909</v>
      </c>
      <c r="I1015" s="1">
        <f t="shared" ref="I1015:I1053" si="154">IF($B1015&lt;=0.005,$F$47,IF($B1015&lt;=0.01,$F$47+($B1015-0.005)*SLOPE($E$47:$F$47,$E$46:$F$46),IF($B1015&lt;=0.04,$E$47+($B1015-0.01)*SLOPE($D$47:$E$47,$D$46:$E$46),IF($B1015&lt;=0.1,$D$47+($B1015-0.04)*SLOPE($C$47:$D$47,$C$46:$D$46),IF($B1015&lt;=1,$C$47+($B1015-0.1)*SLOPE($B$47:$C$47,$B$46:$C$46),)))))</f>
        <v>34.395226108048178</v>
      </c>
      <c r="K1015" s="112">
        <f>C1015/'CGE-Flood Weighted Av Calcs'!$D$3</f>
        <v>3.7318661480657224E-3</v>
      </c>
      <c r="L1015" s="112">
        <f>D1015/'CGE-Flood Weighted Av Calcs'!$D$4</f>
        <v>3.6578728009711509E-3</v>
      </c>
      <c r="M1015" s="112">
        <f>E1015/'CGE-Flood Weighted Av Calcs'!$D$5</f>
        <v>3.6573200634232223E-3</v>
      </c>
      <c r="N1015" s="112">
        <f>F1015/'CGE-Flood Weighted Av Calcs'!$D$6</f>
        <v>1.2627881387603885E-3</v>
      </c>
      <c r="O1015" s="112">
        <f>G1015/'CGE-Flood Weighted Av Calcs'!$D$7</f>
        <v>5.6239429817633111E-3</v>
      </c>
      <c r="P1015" s="112">
        <f>H1015/'CGE-Flood Weighted Av Calcs'!$D$8</f>
        <v>1.3467582396105366E-2</v>
      </c>
      <c r="R1015" s="1">
        <f t="shared" ref="R1015:R1053" si="155">IF($B1015&lt;=0.005,$F$13,IF($B1015&lt;=0.01,$F$13+($B1015-0.005)*SLOPE($E$13:$F$13,$E$10:$F$10),IF($B1015&lt;=0.04,$E$13+($B1015-0.01)*SLOPE($D$13:$E$13,$D$10:$E$10),IF($B1015&lt;=0.1,$D$13+($B1015-0.04)*SLOPE($C$13:$D$13,$C$10:$D$10),IF($B1015&lt;=1,$C$13+($B1015-0.1)*SLOPE($B$13:$C$13,$B$10:$C$10),)))))</f>
        <v>5.9713934215361447E-2</v>
      </c>
      <c r="S1015" s="1">
        <f t="shared" ref="S1015:S1053" si="156">IF($B1015&lt;=0.005,$F$21,IF($B1015&lt;=0.01,$F$21+($B1015-0.005)*SLOPE($E$21:$F$21,$E$18:$F$18),IF($B1015&lt;=0.04,$E$21+($B1015-0.01)*SLOPE($D$21:$E$21,$D$18:$E$18),IF($B1015&lt;=0.1,$D$21+($B1015-0.04)*SLOPE($C$21:$D$21,$C$18:$D$18),IF($B1015&lt;=1,$C$21+($B1015-0.1)*SLOPE($B$21:$C$21,$B$18:$C$18),)))))</f>
        <v>6.9268163689819306E-2</v>
      </c>
      <c r="T1015" s="1">
        <f t="shared" ref="T1015:T1053" si="157">IF($B1015&lt;=0.005,$F$14,IF($B1015&lt;=0.01,$F$14+($B1015-0.005)*SLOPE($E$14:$F$14,$E$10:$F$10),IF($B1015&lt;=0.04,$E$14+($B1015-0.01)*SLOPE($D$14:$E$14,$D$10:$E$10),IF($B1015&lt;=0.1,$D$14+($B1015-0.04)*SLOPE($C$14:$D$14,$C$10:$D$10),IF($B1015&lt;=1,$C$14+($B1015-0.1)*SLOPE($B$14:$C$14,$B$10:$C$10),)))))</f>
        <v>1.6719901580301215</v>
      </c>
    </row>
    <row r="1016" spans="1:20">
      <c r="A1016">
        <v>963</v>
      </c>
      <c r="B1016">
        <v>0.31730694838529494</v>
      </c>
      <c r="C1016" s="1">
        <f t="shared" si="151"/>
        <v>70.309798837963342</v>
      </c>
      <c r="D1016" s="1">
        <f t="shared" si="150"/>
        <v>226.14754634593899</v>
      </c>
      <c r="E1016" s="1">
        <f t="shared" ref="E1016:E1053" si="158">IF($B1016&lt;=0.005,$F$19,IF($B1016&lt;=0.01,$F$19+($B1016-0.005)*SLOPE($E$19:$F$19,$E$18:$F$18),IF($B1016&lt;=0.04,$E$19+($B1016-0.01)*SLOPE($D$19:$E$19,$D$18:$E$18),IF($B1016&lt;=0.1,$D$19+($B1016-0.04)*SLOPE($C$19:$D$19,$C$18:$D$18),IF($B1016&lt;=1,$C$19+($B1016-0.1)*SLOPE($B$19:$C$19,$B$18:$C$18),)))))</f>
        <v>271.12926557237375</v>
      </c>
      <c r="F1016" s="1">
        <f t="shared" si="152"/>
        <v>14.508302537286495</v>
      </c>
      <c r="G1016" s="1">
        <f t="shared" ref="G1016:G1053" si="159">IF($B1016&lt;=0.005,$F$33,IF($B1016&lt;=0.01,$F$33+($B1016-0.005)*SLOPE($E$33:$F$33,$E$32:$F$32),IF($B1016&lt;=0.04,$E$33+($B1016-0.01)*SLOPE($D$33:$E$33,$D$32:$E$32),IF($B1016&lt;=0.1,$D$33+($B1016-0.04)*SLOPE($C$33:$D$33,$C$32:$D$32),IF($B1016&lt;=1,$C$33+($B1016-0.1)*SLOPE($B$33:$C$33,$B$32:$C$32),)))))</f>
        <v>10.819577585054473</v>
      </c>
      <c r="H1016" s="1">
        <f t="shared" si="153"/>
        <v>4.2324538940748839</v>
      </c>
      <c r="I1016" s="1">
        <f t="shared" si="154"/>
        <v>109.23088825835281</v>
      </c>
      <c r="K1016" s="112">
        <f>C1016/'CGE-Flood Weighted Av Calcs'!$D$3</f>
        <v>1.185150093021522E-2</v>
      </c>
      <c r="L1016" s="112">
        <f>D1016/'CGE-Flood Weighted Av Calcs'!$D$4</f>
        <v>1.16165160226307E-2</v>
      </c>
      <c r="M1016" s="112">
        <f>E1016/'CGE-Flood Weighted Av Calcs'!$D$5</f>
        <v>1.1614760662362264E-2</v>
      </c>
      <c r="N1016" s="112">
        <f>F1016/'CGE-Flood Weighted Av Calcs'!$D$6</f>
        <v>4.0103085714745029E-3</v>
      </c>
      <c r="O1016" s="112">
        <f>G1016/'CGE-Flood Weighted Av Calcs'!$D$7</f>
        <v>1.7860277629301365E-2</v>
      </c>
      <c r="P1016" s="112">
        <f>H1016/'CGE-Flood Weighted Av Calcs'!$D$8</f>
        <v>4.2769772270080379E-2</v>
      </c>
      <c r="R1016" s="1">
        <f t="shared" si="155"/>
        <v>0.18963695878186251</v>
      </c>
      <c r="S1016" s="1">
        <f t="shared" si="156"/>
        <v>0.21997887218696049</v>
      </c>
      <c r="T1016" s="1">
        <f t="shared" si="157"/>
        <v>5.3098348458921505</v>
      </c>
    </row>
    <row r="1017" spans="1:20">
      <c r="A1017">
        <v>964</v>
      </c>
      <c r="B1017">
        <v>0.64902162334786817</v>
      </c>
      <c r="C1017" s="1">
        <f t="shared" si="151"/>
        <v>36.14687303542901</v>
      </c>
      <c r="D1017" s="1">
        <f t="shared" ref="D1017:D1053" si="160">IF($B1017&lt;=0.005,$F$11,IF($B1017&lt;=0.01,$F$11+($B1017-0.005)*SLOPE($E$11:$F$11,$E$10:$F$10),IF($B1017&lt;=0.04,$E$11+($B1017-0.01)*SLOPE($D$11:$E$11,$D$10:$E$10),IF($B1017&lt;=0.1,$D$11+($B1017-0.04)*SLOPE($C$11:$D$11,$C$10:$D$10),IF($B1017&lt;=1,$C$11+($B1017-0.1)*SLOPE($B$11:$C$11,$B$10:$C$10),)))))</f>
        <v>116.26440098171162</v>
      </c>
      <c r="E1017" s="1">
        <f t="shared" si="158"/>
        <v>139.38989018330113</v>
      </c>
      <c r="F1017" s="1">
        <f t="shared" si="152"/>
        <v>7.4588432685391872</v>
      </c>
      <c r="G1017" s="1">
        <f t="shared" si="159"/>
        <v>5.5624380061910923</v>
      </c>
      <c r="H1017" s="1">
        <f t="shared" si="153"/>
        <v>2.1759409935166234</v>
      </c>
      <c r="I1017" s="1">
        <f t="shared" si="154"/>
        <v>56.156540264341075</v>
      </c>
      <c r="K1017" s="112">
        <f>C1017/'CGE-Flood Weighted Av Calcs'!$D$3</f>
        <v>6.0929586840525749E-3</v>
      </c>
      <c r="L1017" s="112">
        <f>D1017/'CGE-Flood Weighted Av Calcs'!$D$4</f>
        <v>5.9721509195576833E-3</v>
      </c>
      <c r="M1017" s="112">
        <f>E1017/'CGE-Flood Weighted Av Calcs'!$D$5</f>
        <v>5.9712484737278948E-3</v>
      </c>
      <c r="N1017" s="112">
        <f>F1017/'CGE-Flood Weighted Av Calcs'!$D$6</f>
        <v>2.0617341702265143E-3</v>
      </c>
      <c r="O1017" s="112">
        <f>G1017/'CGE-Flood Weighted Av Calcs'!$D$7</f>
        <v>9.1821225279240214E-3</v>
      </c>
      <c r="P1017" s="112">
        <f>H1017/'CGE-Flood Weighted Av Calcs'!$D$8</f>
        <v>2.1988308223775743E-2</v>
      </c>
      <c r="R1017" s="1">
        <f t="shared" si="155"/>
        <v>9.7493993514481042E-2</v>
      </c>
      <c r="S1017" s="1">
        <f t="shared" si="156"/>
        <v>0.11309303247679803</v>
      </c>
      <c r="T1017" s="1">
        <f t="shared" si="157"/>
        <v>2.7298318184054704</v>
      </c>
    </row>
    <row r="1018" spans="1:20">
      <c r="A1018">
        <v>965</v>
      </c>
      <c r="B1018">
        <v>0.85226677332736633</v>
      </c>
      <c r="C1018" s="1">
        <f t="shared" si="151"/>
        <v>15.214880866984913</v>
      </c>
      <c r="D1018" s="1">
        <f t="shared" si="160"/>
        <v>48.937815679776435</v>
      </c>
      <c r="E1018" s="1">
        <f t="shared" si="158"/>
        <v>58.671757612957379</v>
      </c>
      <c r="F1018" s="1">
        <f t="shared" si="152"/>
        <v>3.1395637355713841</v>
      </c>
      <c r="G1018" s="1">
        <f t="shared" si="159"/>
        <v>2.341332029225196</v>
      </c>
      <c r="H1018" s="1">
        <f t="shared" si="153"/>
        <v>0.91589341510937938</v>
      </c>
      <c r="I1018" s="1">
        <f t="shared" si="154"/>
        <v>23.637316267621358</v>
      </c>
      <c r="K1018" s="112">
        <f>C1018/'CGE-Flood Weighted Av Calcs'!$D$3</f>
        <v>2.5646378986768376E-3</v>
      </c>
      <c r="L1018" s="112">
        <f>D1018/'CGE-Flood Weighted Av Calcs'!$D$4</f>
        <v>2.5137876980856279E-3</v>
      </c>
      <c r="M1018" s="112">
        <f>E1018/'CGE-Flood Weighted Av Calcs'!$D$5</f>
        <v>2.5134078421081632E-3</v>
      </c>
      <c r="N1018" s="112">
        <f>F1018/'CGE-Flood Weighted Av Calcs'!$D$6</f>
        <v>8.6782167156318967E-4</v>
      </c>
      <c r="O1018" s="112">
        <f>G1018/'CGE-Flood Weighted Av Calcs'!$D$7</f>
        <v>3.8649235365806568E-3</v>
      </c>
      <c r="P1018" s="112">
        <f>H1018/'CGE-Flood Weighted Av Calcs'!$D$8</f>
        <v>9.2552816328922028E-3</v>
      </c>
      <c r="R1018" s="1">
        <f t="shared" si="155"/>
        <v>4.103700740906488E-2</v>
      </c>
      <c r="S1018" s="1">
        <f t="shared" si="156"/>
        <v>4.7602928594515287E-2</v>
      </c>
      <c r="T1018" s="1">
        <f t="shared" si="157"/>
        <v>1.1490362074538183</v>
      </c>
    </row>
    <row r="1019" spans="1:20">
      <c r="A1019">
        <v>966</v>
      </c>
      <c r="B1019">
        <v>0.86178034297408768</v>
      </c>
      <c r="C1019" s="1">
        <f t="shared" si="151"/>
        <v>14.235088899702035</v>
      </c>
      <c r="D1019" s="1">
        <f t="shared" si="160"/>
        <v>45.786369466125109</v>
      </c>
      <c r="E1019" s="1">
        <f t="shared" si="158"/>
        <v>54.89347519864782</v>
      </c>
      <c r="F1019" s="1">
        <f t="shared" si="152"/>
        <v>2.9373853974182111</v>
      </c>
      <c r="G1019" s="1">
        <f t="shared" si="159"/>
        <v>2.1905573807062684</v>
      </c>
      <c r="H1019" s="1">
        <f t="shared" si="153"/>
        <v>0.85691266995226645</v>
      </c>
      <c r="I1019" s="1">
        <f t="shared" si="154"/>
        <v>22.11514512414594</v>
      </c>
      <c r="K1019" s="112">
        <f>C1019/'CGE-Flood Weighted Av Calcs'!$D$3</f>
        <v>2.3994830325900838E-3</v>
      </c>
      <c r="L1019" s="112">
        <f>D1019/'CGE-Flood Weighted Av Calcs'!$D$4</f>
        <v>2.3519074299736811E-3</v>
      </c>
      <c r="M1019" s="112">
        <f>E1019/'CGE-Flood Weighted Av Calcs'!$D$5</f>
        <v>2.351552035563725E-3</v>
      </c>
      <c r="N1019" s="112">
        <f>F1019/'CGE-Flood Weighted Av Calcs'!$D$6</f>
        <v>8.1193660021329321E-4</v>
      </c>
      <c r="O1019" s="112">
        <f>G1019/'CGE-Flood Weighted Av Calcs'!$D$7</f>
        <v>3.6160342374523657E-3</v>
      </c>
      <c r="P1019" s="112">
        <f>H1019/'CGE-Flood Weighted Av Calcs'!$D$8</f>
        <v>8.6592696970691548E-3</v>
      </c>
      <c r="R1019" s="1">
        <f t="shared" si="155"/>
        <v>3.8394349173864528E-2</v>
      </c>
      <c r="S1019" s="1">
        <f t="shared" si="156"/>
        <v>4.453744504168286E-2</v>
      </c>
      <c r="T1019" s="1">
        <f t="shared" si="157"/>
        <v>1.0750417768682077</v>
      </c>
    </row>
    <row r="1020" spans="1:20">
      <c r="A1020">
        <v>967</v>
      </c>
      <c r="B1020">
        <v>0.14547424134729048</v>
      </c>
      <c r="C1020" s="1">
        <f t="shared" si="151"/>
        <v>88.006658410577387</v>
      </c>
      <c r="D1020" s="1">
        <f t="shared" si="160"/>
        <v>283.06850809692605</v>
      </c>
      <c r="E1020" s="1">
        <f t="shared" si="158"/>
        <v>339.37205133141293</v>
      </c>
      <c r="F1020" s="1">
        <f t="shared" si="152"/>
        <v>18.160018185500348</v>
      </c>
      <c r="G1020" s="1">
        <f t="shared" si="159"/>
        <v>13.542847290305389</v>
      </c>
      <c r="H1020" s="1">
        <f t="shared" si="153"/>
        <v>5.2977555084860501</v>
      </c>
      <c r="I1020" s="1">
        <f t="shared" si="154"/>
        <v>136.72412138443352</v>
      </c>
      <c r="K1020" s="112">
        <f>C1020/'CGE-Flood Weighted Av Calcs'!$D$3</f>
        <v>1.4834504027266875E-2</v>
      </c>
      <c r="L1020" s="112">
        <f>D1020/'CGE-Flood Weighted Av Calcs'!$D$4</f>
        <v>1.4540373808787768E-2</v>
      </c>
      <c r="M1020" s="112">
        <f>E1020/'CGE-Flood Weighted Av Calcs'!$D$5</f>
        <v>1.4538176627255678E-2</v>
      </c>
      <c r="N1020" s="112">
        <f>F1020/'CGE-Flood Weighted Av Calcs'!$D$6</f>
        <v>5.0196965772031574E-3</v>
      </c>
      <c r="O1020" s="112">
        <f>G1020/'CGE-Flood Weighted Av Calcs'!$D$7</f>
        <v>2.2355679840052475E-2</v>
      </c>
      <c r="P1020" s="112">
        <f>H1020/'CGE-Flood Weighted Av Calcs'!$D$8</f>
        <v>5.3534852903586845E-2</v>
      </c>
      <c r="R1020" s="1">
        <f t="shared" si="155"/>
        <v>0.23736826629241931</v>
      </c>
      <c r="S1020" s="1">
        <f t="shared" si="156"/>
        <v>0.2753471888992064</v>
      </c>
      <c r="T1020" s="1">
        <f t="shared" si="157"/>
        <v>6.6463114561877408</v>
      </c>
    </row>
    <row r="1021" spans="1:20">
      <c r="A1021">
        <v>968</v>
      </c>
      <c r="B1021">
        <v>0.21935025582971102</v>
      </c>
      <c r="C1021" s="1">
        <f t="shared" si="151"/>
        <v>80.398249763493425</v>
      </c>
      <c r="D1021" s="1">
        <f t="shared" si="160"/>
        <v>258.59648605202409</v>
      </c>
      <c r="E1021" s="1">
        <f t="shared" si="158"/>
        <v>310.03243889115464</v>
      </c>
      <c r="F1021" s="1">
        <f t="shared" si="152"/>
        <v>16.590036528553853</v>
      </c>
      <c r="G1021" s="1">
        <f t="shared" si="159"/>
        <v>12.372032282775084</v>
      </c>
      <c r="H1021" s="1">
        <f t="shared" si="153"/>
        <v>4.8397505171721491</v>
      </c>
      <c r="I1021" s="1">
        <f t="shared" si="154"/>
        <v>124.90395906724623</v>
      </c>
      <c r="K1021" s="112">
        <f>C1021/'CGE-Flood Weighted Av Calcs'!$D$3</f>
        <v>1.3552021874726769E-2</v>
      </c>
      <c r="L1021" s="112">
        <f>D1021/'CGE-Flood Weighted Av Calcs'!$D$4</f>
        <v>1.3283319992444738E-2</v>
      </c>
      <c r="M1021" s="112">
        <f>E1021/'CGE-Flood Weighted Av Calcs'!$D$5</f>
        <v>1.328131276307388E-2</v>
      </c>
      <c r="N1021" s="112">
        <f>F1021/'CGE-Flood Weighted Av Calcs'!$D$6</f>
        <v>4.5857305167540316E-3</v>
      </c>
      <c r="O1021" s="112">
        <f>G1021/'CGE-Flood Weighted Av Calcs'!$D$7</f>
        <v>2.0422972123632092E-2</v>
      </c>
      <c r="P1021" s="112">
        <f>H1021/'CGE-Flood Weighted Av Calcs'!$D$8</f>
        <v>4.8906623118383875E-2</v>
      </c>
      <c r="R1021" s="1">
        <f t="shared" si="155"/>
        <v>0.2168471511584136</v>
      </c>
      <c r="S1021" s="1">
        <f t="shared" si="156"/>
        <v>0.25154269534375978</v>
      </c>
      <c r="T1021" s="1">
        <f t="shared" si="157"/>
        <v>6.071720232435581</v>
      </c>
    </row>
    <row r="1022" spans="1:20">
      <c r="A1022">
        <v>969</v>
      </c>
      <c r="B1022">
        <v>0.1726413748834662</v>
      </c>
      <c r="C1022" s="1">
        <f t="shared" si="151"/>
        <v>85.208745513390568</v>
      </c>
      <c r="D1022" s="1">
        <f t="shared" si="160"/>
        <v>274.06917732019213</v>
      </c>
      <c r="E1022" s="1">
        <f t="shared" si="158"/>
        <v>328.58271497307692</v>
      </c>
      <c r="F1022" s="1">
        <f t="shared" si="152"/>
        <v>17.582673811654068</v>
      </c>
      <c r="G1022" s="1">
        <f t="shared" si="159"/>
        <v>13.11229228705324</v>
      </c>
      <c r="H1022" s="1">
        <f t="shared" si="153"/>
        <v>5.1293289515523295</v>
      </c>
      <c r="I1022" s="1">
        <f t="shared" si="154"/>
        <v>132.3773800186454</v>
      </c>
      <c r="K1022" s="112">
        <f>C1022/'CGE-Flood Weighted Av Calcs'!$D$3</f>
        <v>1.4362884596523084E-2</v>
      </c>
      <c r="L1022" s="112">
        <f>D1022/'CGE-Flood Weighted Av Calcs'!$D$4</f>
        <v>1.4078105383372414E-2</v>
      </c>
      <c r="M1022" s="112">
        <f>E1022/'CGE-Flood Weighted Av Calcs'!$D$5</f>
        <v>1.4075978054765742E-2</v>
      </c>
      <c r="N1022" s="112">
        <f>F1022/'CGE-Flood Weighted Av Calcs'!$D$6</f>
        <v>4.8601100862833615E-3</v>
      </c>
      <c r="O1022" s="112">
        <f>G1022/'CGE-Flood Weighted Av Calcs'!$D$7</f>
        <v>2.1644946742358308E-2</v>
      </c>
      <c r="P1022" s="112">
        <f>H1022/'CGE-Flood Weighted Av Calcs'!$D$8</f>
        <v>5.1832869688985643E-2</v>
      </c>
      <c r="R1022" s="1">
        <f t="shared" si="155"/>
        <v>0.22982184031014827</v>
      </c>
      <c r="S1022" s="1">
        <f t="shared" si="156"/>
        <v>0.26659333475977198</v>
      </c>
      <c r="T1022" s="1">
        <f t="shared" si="157"/>
        <v>6.4350115286841518</v>
      </c>
    </row>
    <row r="1023" spans="1:20">
      <c r="A1023">
        <v>970</v>
      </c>
      <c r="B1023">
        <v>0.66006890303166998</v>
      </c>
      <c r="C1023" s="1">
        <f t="shared" si="151"/>
        <v>35.009125975549466</v>
      </c>
      <c r="D1023" s="1">
        <f t="shared" si="160"/>
        <v>112.60490102286465</v>
      </c>
      <c r="E1023" s="1">
        <f t="shared" si="158"/>
        <v>135.0024999496413</v>
      </c>
      <c r="F1023" s="1">
        <f t="shared" si="152"/>
        <v>7.2240711766195052</v>
      </c>
      <c r="G1023" s="1">
        <f t="shared" si="159"/>
        <v>5.3873565411608197</v>
      </c>
      <c r="H1023" s="1">
        <f t="shared" si="153"/>
        <v>2.1074517921016511</v>
      </c>
      <c r="I1023" s="1">
        <f t="shared" si="154"/>
        <v>54.388975514932781</v>
      </c>
      <c r="K1023" s="112">
        <f>C1023/'CGE-Flood Weighted Av Calcs'!$D$3</f>
        <v>5.9011787250515908E-3</v>
      </c>
      <c r="L1023" s="112">
        <f>D1023/'CGE-Flood Weighted Av Calcs'!$D$4</f>
        <v>5.7841734659277713E-3</v>
      </c>
      <c r="M1023" s="112">
        <f>E1023/'CGE-Flood Weighted Av Calcs'!$D$5</f>
        <v>5.7832994251854316E-3</v>
      </c>
      <c r="N1023" s="112">
        <f>F1023/'CGE-Flood Weighted Av Calcs'!$D$6</f>
        <v>1.9968397051332467E-3</v>
      </c>
      <c r="O1023" s="112">
        <f>G1023/'CGE-Flood Weighted Av Calcs'!$D$7</f>
        <v>8.8931090661133732E-3</v>
      </c>
      <c r="P1023" s="112">
        <f>H1023/'CGE-Flood Weighted Av Calcs'!$D$8</f>
        <v>2.1296211482549857E-2</v>
      </c>
      <c r="R1023" s="1">
        <f t="shared" si="155"/>
        <v>9.4425304713425001E-2</v>
      </c>
      <c r="S1023" s="1">
        <f t="shared" si="156"/>
        <v>0.10953335346757301</v>
      </c>
      <c r="T1023" s="1">
        <f t="shared" si="157"/>
        <v>2.6439085319759004</v>
      </c>
    </row>
    <row r="1024" spans="1:20">
      <c r="A1024">
        <v>971</v>
      </c>
      <c r="B1024">
        <v>4.0083512044196912E-2</v>
      </c>
      <c r="C1024" s="1">
        <f t="shared" si="151"/>
        <v>107.69908023292868</v>
      </c>
      <c r="D1024" s="1">
        <f t="shared" si="160"/>
        <v>343.99578372480943</v>
      </c>
      <c r="E1024" s="1">
        <f t="shared" si="158"/>
        <v>412.33986646209877</v>
      </c>
      <c r="F1024" s="1">
        <f t="shared" si="152"/>
        <v>26.501388337615037</v>
      </c>
      <c r="G1024" s="1">
        <f t="shared" si="159"/>
        <v>16.737047769784873</v>
      </c>
      <c r="H1024" s="1">
        <f t="shared" si="153"/>
        <v>6.378894076346139</v>
      </c>
      <c r="I1024" s="1">
        <f t="shared" si="154"/>
        <v>241.86359699447837</v>
      </c>
      <c r="K1024" s="112">
        <f>C1024/'CGE-Flood Weighted Av Calcs'!$D$3</f>
        <v>1.8153881402867788E-2</v>
      </c>
      <c r="L1024" s="112">
        <f>D1024/'CGE-Flood Weighted Av Calcs'!$D$4</f>
        <v>1.767002383144986E-2</v>
      </c>
      <c r="M1024" s="112">
        <f>E1024/'CGE-Flood Weighted Av Calcs'!$D$5</f>
        <v>1.7664005581976849E-2</v>
      </c>
      <c r="N1024" s="112">
        <f>F1024/'CGE-Flood Weighted Av Calcs'!$D$6</f>
        <v>7.3253741802788083E-3</v>
      </c>
      <c r="O1024" s="112">
        <f>G1024/'CGE-Flood Weighted Av Calcs'!$D$7</f>
        <v>2.7628464929736168E-2</v>
      </c>
      <c r="P1024" s="112">
        <f>H1024/'CGE-Flood Weighted Av Calcs'!$D$8</f>
        <v>6.4459969041180079E-2</v>
      </c>
      <c r="R1024" s="1">
        <f t="shared" si="155"/>
        <v>0.28994432530386871</v>
      </c>
      <c r="S1024" s="1">
        <f t="shared" si="156"/>
        <v>0.34991648795580305</v>
      </c>
      <c r="T1024" s="1">
        <f t="shared" si="157"/>
        <v>7.9986081325967184</v>
      </c>
    </row>
    <row r="1025" spans="1:20">
      <c r="A1025">
        <v>972</v>
      </c>
      <c r="B1025">
        <v>0.90465011536070516</v>
      </c>
      <c r="C1025" s="1">
        <f t="shared" si="151"/>
        <v>9.8199786746847195</v>
      </c>
      <c r="D1025" s="1">
        <f t="shared" si="160"/>
        <v>31.585413685614242</v>
      </c>
      <c r="E1025" s="1">
        <f t="shared" si="158"/>
        <v>37.867888260349389</v>
      </c>
      <c r="F1025" s="1">
        <f t="shared" si="152"/>
        <v>2.026335217518799</v>
      </c>
      <c r="G1025" s="1">
        <f t="shared" si="159"/>
        <v>1.5111410203176927</v>
      </c>
      <c r="H1025" s="1">
        <f t="shared" si="153"/>
        <v>0.59113534199105278</v>
      </c>
      <c r="I1025" s="1">
        <f t="shared" si="154"/>
        <v>15.255981542287145</v>
      </c>
      <c r="K1025" s="112">
        <f>C1025/'CGE-Flood Weighted Av Calcs'!$D$3</f>
        <v>1.6552669517080187E-3</v>
      </c>
      <c r="L1025" s="112">
        <f>D1025/'CGE-Flood Weighted Av Calcs'!$D$4</f>
        <v>1.6224472477764098E-3</v>
      </c>
      <c r="M1025" s="112">
        <f>E1025/'CGE-Flood Weighted Av Calcs'!$D$5</f>
        <v>1.6222020813744689E-3</v>
      </c>
      <c r="N1025" s="112">
        <f>F1025/'CGE-Flood Weighted Av Calcs'!$D$6</f>
        <v>5.6010890802778569E-4</v>
      </c>
      <c r="O1025" s="112">
        <f>G1025/'CGE-Flood Weighted Av Calcs'!$D$7</f>
        <v>2.4944964762008168E-3</v>
      </c>
      <c r="P1025" s="112">
        <f>H1025/'CGE-Flood Weighted Av Calcs'!$D$8</f>
        <v>5.9735379499697133E-3</v>
      </c>
      <c r="R1025" s="1">
        <f t="shared" si="155"/>
        <v>2.6486079066470769E-2</v>
      </c>
      <c r="S1025" s="1">
        <f t="shared" si="156"/>
        <v>3.0723851717106121E-2</v>
      </c>
      <c r="T1025" s="1">
        <f t="shared" si="157"/>
        <v>0.74161021386118264</v>
      </c>
    </row>
    <row r="1026" spans="1:20">
      <c r="A1026">
        <v>973</v>
      </c>
      <c r="B1026">
        <v>0.67996330805527494</v>
      </c>
      <c r="C1026" s="1">
        <f t="shared" si="151"/>
        <v>32.960223307062861</v>
      </c>
      <c r="D1026" s="1">
        <f t="shared" si="160"/>
        <v>106.01471986976901</v>
      </c>
      <c r="E1026" s="1">
        <f t="shared" si="158"/>
        <v>127.10150343255125</v>
      </c>
      <c r="F1026" s="1">
        <f t="shared" si="152"/>
        <v>6.8012837376685802</v>
      </c>
      <c r="G1026" s="1">
        <f t="shared" si="159"/>
        <v>5.0720624889476262</v>
      </c>
      <c r="H1026" s="1">
        <f t="shared" si="153"/>
        <v>1.984113562990772</v>
      </c>
      <c r="I1026" s="1">
        <f t="shared" si="154"/>
        <v>51.205870711155995</v>
      </c>
      <c r="K1026" s="112">
        <f>C1026/'CGE-Flood Weighted Av Calcs'!$D$3</f>
        <v>5.555813323886793E-3</v>
      </c>
      <c r="L1026" s="112">
        <f>D1026/'CGE-Flood Weighted Av Calcs'!$D$4</f>
        <v>5.4456557760658268E-3</v>
      </c>
      <c r="M1026" s="112">
        <f>E1026/'CGE-Flood Weighted Av Calcs'!$D$5</f>
        <v>5.4448328883974183E-3</v>
      </c>
      <c r="N1026" s="112">
        <f>F1026/'CGE-Flood Weighted Av Calcs'!$D$6</f>
        <v>1.8799750280988953E-3</v>
      </c>
      <c r="O1026" s="112">
        <f>G1026/'CGE-Flood Weighted Av Calcs'!$D$7</f>
        <v>8.3726414911894E-3</v>
      </c>
      <c r="P1026" s="112">
        <f>H1026/'CGE-Flood Weighted Av Calcs'!$D$8</f>
        <v>2.0049854616465124E-2</v>
      </c>
      <c r="R1026" s="1">
        <f t="shared" si="155"/>
        <v>8.8899081095756949E-2</v>
      </c>
      <c r="S1026" s="1">
        <f t="shared" si="156"/>
        <v>0.10312293407107806</v>
      </c>
      <c r="T1026" s="1">
        <f t="shared" si="157"/>
        <v>2.489174270681195</v>
      </c>
    </row>
    <row r="1027" spans="1:20">
      <c r="A1027">
        <v>974</v>
      </c>
      <c r="B1027">
        <v>8.6330915916794093E-2</v>
      </c>
      <c r="C1027" s="1">
        <f t="shared" si="151"/>
        <v>96.114105562843079</v>
      </c>
      <c r="D1027" s="1">
        <f t="shared" si="160"/>
        <v>308.59532796395632</v>
      </c>
      <c r="E1027" s="1">
        <f t="shared" si="158"/>
        <v>369.95843489352291</v>
      </c>
      <c r="F1027" s="1">
        <f t="shared" si="152"/>
        <v>20.808910863938664</v>
      </c>
      <c r="G1027" s="1">
        <f t="shared" si="159"/>
        <v>14.827835385757657</v>
      </c>
      <c r="H1027" s="1">
        <f t="shared" si="153"/>
        <v>5.7620088891522538</v>
      </c>
      <c r="I1027" s="1">
        <f t="shared" si="154"/>
        <v>166.32617066923632</v>
      </c>
      <c r="K1027" s="112">
        <f>C1027/'CGE-Flood Weighted Av Calcs'!$D$3</f>
        <v>1.6201104686844738E-2</v>
      </c>
      <c r="L1027" s="112">
        <f>D1027/'CGE-Flood Weighted Av Calcs'!$D$4</f>
        <v>1.5851609401583266E-2</v>
      </c>
      <c r="M1027" s="112">
        <f>E1027/'CGE-Flood Weighted Av Calcs'!$D$5</f>
        <v>1.5848450248405178E-2</v>
      </c>
      <c r="N1027" s="112">
        <f>F1027/'CGE-Flood Weighted Av Calcs'!$D$6</f>
        <v>5.7518895395401587E-3</v>
      </c>
      <c r="O1027" s="112">
        <f>G1027/'CGE-Flood Weighted Av Calcs'!$D$7</f>
        <v>2.4476857303286054E-2</v>
      </c>
      <c r="P1027" s="112">
        <f>H1027/'CGE-Flood Weighted Av Calcs'!$D$8</f>
        <v>5.8226223882135573E-2</v>
      </c>
      <c r="R1027" s="1">
        <f t="shared" si="155"/>
        <v>0.25911272272213726</v>
      </c>
      <c r="S1027" s="1">
        <f t="shared" si="156"/>
        <v>0.30366908408320592</v>
      </c>
      <c r="T1027" s="1">
        <f t="shared" si="157"/>
        <v>7.2278180680534323</v>
      </c>
    </row>
    <row r="1028" spans="1:20">
      <c r="A1028">
        <v>975</v>
      </c>
      <c r="B1028">
        <v>3.5643964781881143E-2</v>
      </c>
      <c r="C1028" s="1">
        <f t="shared" si="151"/>
        <v>113.65291996707788</v>
      </c>
      <c r="D1028" s="1">
        <f t="shared" si="160"/>
        <v>362.58489810849375</v>
      </c>
      <c r="E1028" s="1">
        <f t="shared" si="158"/>
        <v>434.62259529666193</v>
      </c>
      <c r="F1028" s="1">
        <f t="shared" si="152"/>
        <v>27.105632094536411</v>
      </c>
      <c r="G1028" s="1">
        <f t="shared" si="159"/>
        <v>17.384611516149548</v>
      </c>
      <c r="H1028" s="1">
        <f t="shared" si="153"/>
        <v>6.6059908557888543</v>
      </c>
      <c r="I1028" s="1">
        <f t="shared" si="154"/>
        <v>254.77770330648201</v>
      </c>
      <c r="K1028" s="112">
        <f>C1028/'CGE-Flood Weighted Av Calcs'!$D$3</f>
        <v>1.9157467507704175E-2</v>
      </c>
      <c r="L1028" s="112">
        <f>D1028/'CGE-Flood Weighted Av Calcs'!$D$4</f>
        <v>1.8624890459780455E-2</v>
      </c>
      <c r="M1028" s="112">
        <f>E1028/'CGE-Flood Weighted Av Calcs'!$D$5</f>
        <v>1.8618563408006456E-2</v>
      </c>
      <c r="N1028" s="112">
        <f>F1028/'CGE-Flood Weighted Av Calcs'!$D$6</f>
        <v>7.4923960569879605E-3</v>
      </c>
      <c r="O1028" s="112">
        <f>G1028/'CGE-Flood Weighted Av Calcs'!$D$7</f>
        <v>2.8697422400748688E-2</v>
      </c>
      <c r="P1028" s="112">
        <f>H1028/'CGE-Flood Weighted Av Calcs'!$D$8</f>
        <v>6.6754826299668099E-2</v>
      </c>
      <c r="R1028" s="1">
        <f t="shared" si="155"/>
        <v>0.2958080469574918</v>
      </c>
      <c r="S1028" s="1">
        <f t="shared" si="156"/>
        <v>0.3558080469574918</v>
      </c>
      <c r="T1028" s="1">
        <f t="shared" si="157"/>
        <v>8.8712070436237731</v>
      </c>
    </row>
    <row r="1029" spans="1:20">
      <c r="A1029">
        <v>976</v>
      </c>
      <c r="B1029">
        <v>0.62350915942554352</v>
      </c>
      <c r="C1029" s="1">
        <f t="shared" si="151"/>
        <v>38.774373347607089</v>
      </c>
      <c r="D1029" s="1">
        <f t="shared" si="160"/>
        <v>124.71560918373856</v>
      </c>
      <c r="E1029" s="1">
        <f t="shared" si="158"/>
        <v>149.52208003032106</v>
      </c>
      <c r="F1029" s="1">
        <f t="shared" si="152"/>
        <v>8.0010233071103016</v>
      </c>
      <c r="G1029" s="1">
        <f t="shared" si="159"/>
        <v>5.9667691798285247</v>
      </c>
      <c r="H1029" s="1">
        <f t="shared" si="153"/>
        <v>2.3341091878758493</v>
      </c>
      <c r="I1029" s="1">
        <f t="shared" si="154"/>
        <v>60.238534491913015</v>
      </c>
      <c r="K1029" s="112">
        <f>C1029/'CGE-Flood Weighted Av Calcs'!$D$3</f>
        <v>6.5358531725673895E-3</v>
      </c>
      <c r="L1029" s="112">
        <f>D1029/'CGE-Flood Weighted Av Calcs'!$D$4</f>
        <v>6.406263944773785E-3</v>
      </c>
      <c r="M1029" s="112">
        <f>E1029/'CGE-Flood Weighted Av Calcs'!$D$5</f>
        <v>6.40529590055331E-3</v>
      </c>
      <c r="N1029" s="112">
        <f>F1029/'CGE-Flood Weighted Av Calcs'!$D$6</f>
        <v>2.2116007208016842E-3</v>
      </c>
      <c r="O1029" s="112">
        <f>G1029/'CGE-Flood Weighted Av Calcs'!$D$7</f>
        <v>9.8495669783729093E-3</v>
      </c>
      <c r="P1029" s="112">
        <f>H1029/'CGE-Flood Weighted Av Calcs'!$D$8</f>
        <v>2.3586628683352193E-2</v>
      </c>
      <c r="R1029" s="1">
        <f t="shared" si="155"/>
        <v>0.10458078904846013</v>
      </c>
      <c r="S1029" s="1">
        <f t="shared" si="156"/>
        <v>0.12131371529621374</v>
      </c>
      <c r="T1029" s="1">
        <f t="shared" si="157"/>
        <v>2.9282620933568841</v>
      </c>
    </row>
    <row r="1030" spans="1:20">
      <c r="A1030">
        <v>977</v>
      </c>
      <c r="B1030">
        <v>0.77621428268248038</v>
      </c>
      <c r="C1030" s="1">
        <f t="shared" si="151"/>
        <v>23.047442375734335</v>
      </c>
      <c r="D1030" s="1">
        <f t="shared" si="160"/>
        <v>74.130812901821059</v>
      </c>
      <c r="E1030" s="1">
        <f t="shared" si="158"/>
        <v>88.875750292723524</v>
      </c>
      <c r="F1030" s="1">
        <f t="shared" si="152"/>
        <v>4.7557989387573745</v>
      </c>
      <c r="G1030" s="1">
        <f t="shared" si="159"/>
        <v>3.5466406538299946</v>
      </c>
      <c r="H1030" s="1">
        <f t="shared" si="153"/>
        <v>1.3873917838458274</v>
      </c>
      <c r="I1030" s="1">
        <f t="shared" si="154"/>
        <v>35.805714770803121</v>
      </c>
      <c r="K1030" s="112">
        <f>C1030/'CGE-Flood Weighted Av Calcs'!$D$3</f>
        <v>3.8849035165723334E-3</v>
      </c>
      <c r="L1030" s="112">
        <f>D1030/'CGE-Flood Weighted Av Calcs'!$D$4</f>
        <v>3.8078758304427949E-3</v>
      </c>
      <c r="M1030" s="112">
        <f>E1030/'CGE-Flood Weighted Av Calcs'!$D$5</f>
        <v>3.8073004260851654E-3</v>
      </c>
      <c r="N1030" s="112">
        <f>F1030/'CGE-Flood Weighted Av Calcs'!$D$6</f>
        <v>1.3145728936443273E-3</v>
      </c>
      <c r="O1030" s="112">
        <f>G1030/'CGE-Flood Weighted Av Calcs'!$D$7</f>
        <v>5.8545711448356602E-3</v>
      </c>
      <c r="P1030" s="112">
        <f>H1030/'CGE-Flood Weighted Av Calcs'!$D$8</f>
        <v>1.4019864629248755E-2</v>
      </c>
      <c r="R1030" s="1">
        <f t="shared" si="155"/>
        <v>6.2162699254866532E-2</v>
      </c>
      <c r="S1030" s="1">
        <f t="shared" si="156"/>
        <v>7.2108731135645199E-2</v>
      </c>
      <c r="T1030" s="1">
        <f t="shared" si="157"/>
        <v>1.7405555791362639</v>
      </c>
    </row>
    <row r="1031" spans="1:20">
      <c r="A1031">
        <v>978</v>
      </c>
      <c r="B1031">
        <v>2.0427717647846233E-3</v>
      </c>
      <c r="C1031" s="1">
        <f t="shared" si="151"/>
        <v>154.26</v>
      </c>
      <c r="D1031" s="1">
        <f t="shared" si="160"/>
        <v>490.57679011763298</v>
      </c>
      <c r="E1031" s="1">
        <f t="shared" si="158"/>
        <v>588.07132005685003</v>
      </c>
      <c r="F1031" s="1">
        <f t="shared" si="152"/>
        <v>31.846409312708399</v>
      </c>
      <c r="G1031" s="1">
        <f t="shared" si="159"/>
        <v>22.024287970326</v>
      </c>
      <c r="H1031" s="1">
        <f t="shared" si="153"/>
        <v>8.2474320175743205</v>
      </c>
      <c r="I1031" s="1">
        <f t="shared" si="154"/>
        <v>540</v>
      </c>
      <c r="K1031" s="112">
        <f>C1031/'CGE-Flood Weighted Av Calcs'!$D$3</f>
        <v>2.6002243836713519E-2</v>
      </c>
      <c r="L1031" s="112">
        <f>D1031/'CGE-Flood Weighted Av Calcs'!$D$4</f>
        <v>2.5199447152147076E-2</v>
      </c>
      <c r="M1031" s="112">
        <f>E1031/'CGE-Flood Weighted Av Calcs'!$D$5</f>
        <v>2.5192070728478795E-2</v>
      </c>
      <c r="N1031" s="112">
        <f>F1031/'CGE-Flood Weighted Av Calcs'!$D$6</f>
        <v>8.802816725748154E-3</v>
      </c>
      <c r="O1031" s="112">
        <f>G1031/'CGE-Flood Weighted Av Calcs'!$D$7</f>
        <v>3.635630824266825E-2</v>
      </c>
      <c r="P1031" s="112">
        <f>H1031/'CGE-Flood Weighted Av Calcs'!$D$8</f>
        <v>8.3341909453150509E-2</v>
      </c>
      <c r="R1031" s="1">
        <f t="shared" si="155"/>
        <v>0.34</v>
      </c>
      <c r="S1031" s="1">
        <f t="shared" si="156"/>
        <v>0.4</v>
      </c>
      <c r="T1031" s="1">
        <f t="shared" si="157"/>
        <v>21</v>
      </c>
    </row>
    <row r="1032" spans="1:20">
      <c r="A1032">
        <v>979</v>
      </c>
      <c r="B1032">
        <v>0.31802240667629811</v>
      </c>
      <c r="C1032" s="1">
        <f t="shared" si="151"/>
        <v>70.236114583526586</v>
      </c>
      <c r="D1032" s="1">
        <f t="shared" si="160"/>
        <v>225.91054505137396</v>
      </c>
      <c r="E1032" s="1">
        <f t="shared" si="158"/>
        <v>270.84512370139885</v>
      </c>
      <c r="F1032" s="1">
        <f t="shared" si="152"/>
        <v>14.493097921809404</v>
      </c>
      <c r="G1032" s="1">
        <f t="shared" si="159"/>
        <v>10.808238731568167</v>
      </c>
      <c r="H1032" s="1">
        <f t="shared" si="153"/>
        <v>4.2280183073604123</v>
      </c>
      <c r="I1032" s="1">
        <f t="shared" si="154"/>
        <v>109.11641493179229</v>
      </c>
      <c r="K1032" s="112">
        <f>C1032/'CGE-Flood Weighted Av Calcs'!$D$3</f>
        <v>1.1839080627150323E-2</v>
      </c>
      <c r="L1032" s="112">
        <f>D1032/'CGE-Flood Weighted Av Calcs'!$D$4</f>
        <v>1.1604341982362815E-2</v>
      </c>
      <c r="M1032" s="112">
        <f>E1032/'CGE-Flood Weighted Av Calcs'!$D$5</f>
        <v>1.1602588461701585E-2</v>
      </c>
      <c r="N1032" s="112">
        <f>F1032/'CGE-Flood Weighted Av Calcs'!$D$6</f>
        <v>4.0061057917477197E-3</v>
      </c>
      <c r="O1032" s="112">
        <f>G1032/'CGE-Flood Weighted Av Calcs'!$D$7</f>
        <v>1.784156016370057E-2</v>
      </c>
      <c r="P1032" s="112">
        <f>H1032/'CGE-Flood Weighted Av Calcs'!$D$8</f>
        <v>4.2724949801032877E-2</v>
      </c>
      <c r="R1032" s="1">
        <f t="shared" si="155"/>
        <v>0.18943822036769498</v>
      </c>
      <c r="S1032" s="1">
        <f t="shared" si="156"/>
        <v>0.21974833562652615</v>
      </c>
      <c r="T1032" s="1">
        <f t="shared" si="157"/>
        <v>5.3042701702954593</v>
      </c>
    </row>
    <row r="1033" spans="1:20">
      <c r="A1033">
        <v>980</v>
      </c>
      <c r="B1033">
        <v>0.25034520813380623</v>
      </c>
      <c r="C1033" s="1">
        <f t="shared" si="151"/>
        <v>77.206114064530553</v>
      </c>
      <c r="D1033" s="1">
        <f t="shared" si="160"/>
        <v>248.32915962164395</v>
      </c>
      <c r="E1033" s="1">
        <f t="shared" si="158"/>
        <v>297.72289709226885</v>
      </c>
      <c r="F1033" s="1">
        <f t="shared" si="152"/>
        <v>15.931344977361137</v>
      </c>
      <c r="G1033" s="1">
        <f t="shared" si="159"/>
        <v>11.88081256052063</v>
      </c>
      <c r="H1033" s="1">
        <f t="shared" si="153"/>
        <v>4.6475928465090961</v>
      </c>
      <c r="I1033" s="1">
        <f t="shared" si="154"/>
        <v>119.944766698591</v>
      </c>
      <c r="K1033" s="112">
        <f>C1033/'CGE-Flood Weighted Av Calcs'!$D$3</f>
        <v>1.3013951793018546E-2</v>
      </c>
      <c r="L1033" s="112">
        <f>D1033/'CGE-Flood Weighted Av Calcs'!$D$4</f>
        <v>1.2755918462270088E-2</v>
      </c>
      <c r="M1033" s="112">
        <f>E1033/'CGE-Flood Weighted Av Calcs'!$D$5</f>
        <v>1.2753990928023807E-2</v>
      </c>
      <c r="N1033" s="112">
        <f>F1033/'CGE-Flood Weighted Av Calcs'!$D$6</f>
        <v>4.4036584675313777E-3</v>
      </c>
      <c r="O1033" s="112">
        <f>G1033/'CGE-Flood Weighted Av Calcs'!$D$7</f>
        <v>1.9612097526404578E-2</v>
      </c>
      <c r="P1033" s="112">
        <f>H1033/'CGE-Flood Weighted Av Calcs'!$D$8</f>
        <v>4.6964832370063325E-2</v>
      </c>
      <c r="R1033" s="1">
        <f t="shared" si="155"/>
        <v>0.20823744218505383</v>
      </c>
      <c r="S1033" s="1">
        <f t="shared" si="156"/>
        <v>0.24155543293466242</v>
      </c>
      <c r="T1033" s="1">
        <f t="shared" si="157"/>
        <v>5.8306483811815077</v>
      </c>
    </row>
    <row r="1034" spans="1:20">
      <c r="A1034">
        <v>981</v>
      </c>
      <c r="B1034">
        <v>0.97825319375057629</v>
      </c>
      <c r="C1034" s="1">
        <f t="shared" si="151"/>
        <v>2.2396794125101138</v>
      </c>
      <c r="D1034" s="1">
        <f t="shared" si="160"/>
        <v>7.2038039094373403</v>
      </c>
      <c r="E1034" s="1">
        <f t="shared" si="158"/>
        <v>8.6366714777677771</v>
      </c>
      <c r="F1034" s="1">
        <f t="shared" si="152"/>
        <v>0.46215388239289723</v>
      </c>
      <c r="G1034" s="1">
        <f t="shared" si="159"/>
        <v>0.34465160716998255</v>
      </c>
      <c r="H1034" s="1">
        <f t="shared" si="153"/>
        <v>0.13482245729082365</v>
      </c>
      <c r="I1034" s="1">
        <f t="shared" si="154"/>
        <v>3.4794889999077725</v>
      </c>
      <c r="K1034" s="112">
        <f>C1034/'CGE-Flood Weighted Av Calcs'!$D$3</f>
        <v>3.7752294956667489E-4</v>
      </c>
      <c r="L1034" s="112">
        <f>D1034/'CGE-Flood Weighted Av Calcs'!$D$4</f>
        <v>3.7003763644580115E-4</v>
      </c>
      <c r="M1034" s="112">
        <f>E1034/'CGE-Flood Weighted Av Calcs'!$D$5</f>
        <v>3.6998172042385579E-4</v>
      </c>
      <c r="N1034" s="112">
        <f>F1034/'CGE-Flood Weighted Av Calcs'!$D$6</f>
        <v>1.2774614198575259E-4</v>
      </c>
      <c r="O1034" s="112">
        <f>G1034/'CGE-Flood Weighted Av Calcs'!$D$7</f>
        <v>5.6892917870876472E-4</v>
      </c>
      <c r="P1034" s="112">
        <f>H1034/'CGE-Flood Weighted Av Calcs'!$D$8</f>
        <v>1.3624072321953907E-3</v>
      </c>
      <c r="R1034" s="1">
        <f t="shared" si="155"/>
        <v>6.0407795137287779E-3</v>
      </c>
      <c r="S1034" s="1">
        <f t="shared" si="156"/>
        <v>7.0073042359254378E-3</v>
      </c>
      <c r="T1034" s="1">
        <f t="shared" si="157"/>
        <v>0.16914182638440778</v>
      </c>
    </row>
    <row r="1035" spans="1:20">
      <c r="A1035">
        <v>982</v>
      </c>
      <c r="B1035">
        <v>0.22624899195026338</v>
      </c>
      <c r="C1035" s="1">
        <f t="shared" si="151"/>
        <v>79.687756595700094</v>
      </c>
      <c r="D1035" s="1">
        <f t="shared" si="160"/>
        <v>256.31122440645584</v>
      </c>
      <c r="E1035" s="1">
        <f t="shared" si="158"/>
        <v>307.29262887943855</v>
      </c>
      <c r="F1035" s="1">
        <f t="shared" si="152"/>
        <v>16.44342752099892</v>
      </c>
      <c r="G1035" s="1">
        <f t="shared" si="159"/>
        <v>12.262698504558664</v>
      </c>
      <c r="H1035" s="1">
        <f t="shared" si="153"/>
        <v>4.7969808090455377</v>
      </c>
      <c r="I1035" s="1">
        <f t="shared" si="154"/>
        <v>123.80016128795785</v>
      </c>
      <c r="K1035" s="112">
        <f>C1035/'CGE-Flood Weighted Av Calcs'!$D$3</f>
        <v>1.3432260325438027E-2</v>
      </c>
      <c r="L1035" s="112">
        <f>D1035/'CGE-Flood Weighted Av Calcs'!$D$4</f>
        <v>1.3165933007926947E-2</v>
      </c>
      <c r="M1035" s="112">
        <f>E1035/'CGE-Flood Weighted Av Calcs'!$D$5</f>
        <v>1.3163943516787438E-2</v>
      </c>
      <c r="N1035" s="112">
        <f>F1035/'CGE-Flood Weighted Av Calcs'!$D$6</f>
        <v>4.5452056270819359E-3</v>
      </c>
      <c r="O1035" s="112">
        <f>G1035/'CGE-Flood Weighted Av Calcs'!$D$7</f>
        <v>2.0242490804666079E-2</v>
      </c>
      <c r="P1035" s="112">
        <f>H1035/'CGE-Flood Weighted Av Calcs'!$D$8</f>
        <v>4.8474426874215971E-2</v>
      </c>
      <c r="R1035" s="1">
        <f t="shared" si="155"/>
        <v>0.21493083556937129</v>
      </c>
      <c r="S1035" s="1">
        <f t="shared" si="156"/>
        <v>0.24931976926047067</v>
      </c>
      <c r="T1035" s="1">
        <f t="shared" si="157"/>
        <v>6.0180633959423959</v>
      </c>
    </row>
    <row r="1036" spans="1:20">
      <c r="A1036">
        <v>983</v>
      </c>
      <c r="B1036">
        <v>0.67285434028103053</v>
      </c>
      <c r="C1036" s="1">
        <f t="shared" si="151"/>
        <v>33.692367999279206</v>
      </c>
      <c r="D1036" s="1">
        <f t="shared" si="160"/>
        <v>108.3696224360032</v>
      </c>
      <c r="E1036" s="1">
        <f t="shared" si="158"/>
        <v>129.92480624345546</v>
      </c>
      <c r="F1036" s="1">
        <f t="shared" si="152"/>
        <v>6.9523604989635928</v>
      </c>
      <c r="G1036" s="1">
        <f t="shared" si="159"/>
        <v>5.1847280978932098</v>
      </c>
      <c r="H1036" s="1">
        <f t="shared" si="153"/>
        <v>2.0281866325317446</v>
      </c>
      <c r="I1036" s="1">
        <f t="shared" si="154"/>
        <v>52.343305555035101</v>
      </c>
      <c r="K1036" s="112">
        <f>C1036/'CGE-Flood Weighted Av Calcs'!$D$3</f>
        <v>5.6792244791491094E-3</v>
      </c>
      <c r="L1036" s="112">
        <f>D1036/'CGE-Flood Weighted Av Calcs'!$D$4</f>
        <v>5.5666200042186597E-3</v>
      </c>
      <c r="M1036" s="112">
        <f>E1036/'CGE-Flood Weighted Av Calcs'!$D$5</f>
        <v>5.5657788377651519E-3</v>
      </c>
      <c r="N1036" s="112">
        <f>F1036/'CGE-Flood Weighted Av Calcs'!$D$6</f>
        <v>1.9217348707279637E-3</v>
      </c>
      <c r="O1036" s="112">
        <f>G1036/'CGE-Flood Weighted Av Calcs'!$D$7</f>
        <v>8.5586227865980125E-3</v>
      </c>
      <c r="P1036" s="112">
        <f>H1036/'CGE-Flood Weighted Av Calcs'!$D$8</f>
        <v>2.0495221581985922E-2</v>
      </c>
      <c r="R1036" s="1">
        <f t="shared" si="155"/>
        <v>9.0873794366380406E-2</v>
      </c>
      <c r="S1036" s="1">
        <f t="shared" si="156"/>
        <v>0.10541360146500126</v>
      </c>
      <c r="T1036" s="1">
        <f t="shared" si="157"/>
        <v>2.5444662422586521</v>
      </c>
    </row>
    <row r="1037" spans="1:20">
      <c r="A1037">
        <v>984</v>
      </c>
      <c r="B1037">
        <v>0.95088458882318971</v>
      </c>
      <c r="C1037" s="1">
        <f t="shared" si="151"/>
        <v>5.0583416244206205</v>
      </c>
      <c r="D1037" s="1">
        <f t="shared" si="160"/>
        <v>16.269873699661218</v>
      </c>
      <c r="E1037" s="1">
        <f t="shared" si="158"/>
        <v>19.506021526302732</v>
      </c>
      <c r="F1037" s="1">
        <f t="shared" si="152"/>
        <v>1.0437798406047776</v>
      </c>
      <c r="G1037" s="1">
        <f t="shared" si="159"/>
        <v>0.77839960519953344</v>
      </c>
      <c r="H1037" s="1">
        <f t="shared" si="153"/>
        <v>0.30449806513001043</v>
      </c>
      <c r="I1037" s="1">
        <f t="shared" si="154"/>
        <v>7.8584657882896067</v>
      </c>
      <c r="K1037" s="112">
        <f>C1037/'CGE-Flood Weighted Av Calcs'!$D$3</f>
        <v>8.5263990877468266E-4</v>
      </c>
      <c r="L1037" s="112">
        <f>D1037/'CGE-Flood Weighted Av Calcs'!$D$4</f>
        <v>8.3573424329432835E-4</v>
      </c>
      <c r="M1037" s="112">
        <f>E1037/'CGE-Flood Weighted Av Calcs'!$D$5</f>
        <v>8.3560795631785611E-4</v>
      </c>
      <c r="N1037" s="112">
        <f>F1037/'CGE-Flood Weighted Av Calcs'!$D$6</f>
        <v>2.8851612590458981E-4</v>
      </c>
      <c r="O1037" s="112">
        <f>G1037/'CGE-Flood Weighted Av Calcs'!$D$7</f>
        <v>1.2849330711955191E-3</v>
      </c>
      <c r="P1037" s="112">
        <f>H1037/'CGE-Flood Weighted Av Calcs'!$D$8</f>
        <v>3.0770123498621697E-3</v>
      </c>
      <c r="R1037" s="1">
        <f t="shared" si="155"/>
        <v>1.3643169771336172E-2</v>
      </c>
      <c r="S1037" s="1">
        <f t="shared" si="156"/>
        <v>1.5826076934749966E-2</v>
      </c>
      <c r="T1037" s="1">
        <f t="shared" si="157"/>
        <v>0.38200875359741371</v>
      </c>
    </row>
    <row r="1038" spans="1:20">
      <c r="A1038">
        <v>985</v>
      </c>
      <c r="B1038">
        <v>0.94590067420738277</v>
      </c>
      <c r="C1038" s="1">
        <f t="shared" si="151"/>
        <v>5.5716294530196677</v>
      </c>
      <c r="D1038" s="1">
        <f t="shared" si="160"/>
        <v>17.920835371083854</v>
      </c>
      <c r="E1038" s="1">
        <f t="shared" si="158"/>
        <v>21.485366572019984</v>
      </c>
      <c r="F1038" s="1">
        <f t="shared" si="152"/>
        <v>1.1496958754832747</v>
      </c>
      <c r="G1038" s="1">
        <f t="shared" si="159"/>
        <v>0.85738656827974857</v>
      </c>
      <c r="H1038" s="1">
        <f t="shared" si="153"/>
        <v>0.33539656156778186</v>
      </c>
      <c r="I1038" s="1">
        <f t="shared" si="154"/>
        <v>8.6558921268187419</v>
      </c>
      <c r="K1038" s="112">
        <f>C1038/'CGE-Flood Weighted Av Calcs'!$D$3</f>
        <v>9.3916029823176575E-4</v>
      </c>
      <c r="L1038" s="112">
        <f>D1038/'CGE-Flood Weighted Av Calcs'!$D$4</f>
        <v>9.2053915503762386E-4</v>
      </c>
      <c r="M1038" s="112">
        <f>E1038/'CGE-Flood Weighted Av Calcs'!$D$5</f>
        <v>9.2040005327465491E-4</v>
      </c>
      <c r="N1038" s="112">
        <f>F1038/'CGE-Flood Weighted Av Calcs'!$D$6</f>
        <v>3.1779287840118286E-4</v>
      </c>
      <c r="O1038" s="112">
        <f>G1038/'CGE-Flood Weighted Av Calcs'!$D$7</f>
        <v>1.4153197779424366E-3</v>
      </c>
      <c r="P1038" s="112">
        <f>H1038/'CGE-Flood Weighted Av Calcs'!$D$8</f>
        <v>3.389247684068977E-3</v>
      </c>
      <c r="R1038" s="1">
        <f t="shared" si="155"/>
        <v>1.5027590497949217E-2</v>
      </c>
      <c r="S1038" s="1">
        <f t="shared" si="156"/>
        <v>1.7432004977621096E-2</v>
      </c>
      <c r="T1038" s="1">
        <f t="shared" si="157"/>
        <v>0.42077253394257941</v>
      </c>
    </row>
    <row r="1039" spans="1:20">
      <c r="A1039">
        <v>986</v>
      </c>
      <c r="B1039">
        <v>0.99410958720946807</v>
      </c>
      <c r="C1039" s="1">
        <f t="shared" si="151"/>
        <v>0.60664706839379789</v>
      </c>
      <c r="D1039" s="1">
        <f t="shared" si="160"/>
        <v>1.951246458994774</v>
      </c>
      <c r="E1039" s="1">
        <f t="shared" si="158"/>
        <v>2.3393577685281457</v>
      </c>
      <c r="F1039" s="1">
        <f t="shared" si="152"/>
        <v>0.12518054875819828</v>
      </c>
      <c r="G1039" s="1">
        <f t="shared" si="159"/>
        <v>9.3353488869439616E-2</v>
      </c>
      <c r="H1039" s="1">
        <f t="shared" si="153"/>
        <v>3.651846242470036E-2</v>
      </c>
      <c r="I1039" s="1">
        <f t="shared" si="154"/>
        <v>0.94246604648506604</v>
      </c>
      <c r="K1039" s="112">
        <f>C1039/'CGE-Flood Weighted Av Calcs'!$D$3</f>
        <v>1.0225713078700219E-4</v>
      </c>
      <c r="L1039" s="112">
        <f>D1039/'CGE-Flood Weighted Av Calcs'!$D$4</f>
        <v>1.0022963379996557E-4</v>
      </c>
      <c r="M1039" s="112">
        <f>E1039/'CGE-Flood Weighted Av Calcs'!$D$5</f>
        <v>1.0021448819894867E-4</v>
      </c>
      <c r="N1039" s="112">
        <f>F1039/'CGE-Flood Weighted Av Calcs'!$D$6</f>
        <v>3.4601747956158668E-5</v>
      </c>
      <c r="O1039" s="112">
        <f>G1039/'CGE-Flood Weighted Av Calcs'!$D$7</f>
        <v>1.5410206320579675E-4</v>
      </c>
      <c r="P1039" s="112">
        <f>H1039/'CGE-Flood Weighted Av Calcs'!$D$8</f>
        <v>3.6902618685213435E-4</v>
      </c>
      <c r="R1039" s="1">
        <f t="shared" si="155"/>
        <v>1.6362257751477427E-3</v>
      </c>
      <c r="S1039" s="1">
        <f t="shared" si="156"/>
        <v>1.898021899171376E-3</v>
      </c>
      <c r="T1039" s="1">
        <f t="shared" si="157"/>
        <v>4.5814321704138017E-2</v>
      </c>
    </row>
    <row r="1040" spans="1:20">
      <c r="A1040">
        <v>987</v>
      </c>
      <c r="B1040">
        <v>0.29730480112645352</v>
      </c>
      <c r="C1040" s="1">
        <f t="shared" si="151"/>
        <v>72.36979775954336</v>
      </c>
      <c r="D1040" s="1">
        <f t="shared" si="160"/>
        <v>232.77341797820227</v>
      </c>
      <c r="E1040" s="1">
        <f t="shared" si="158"/>
        <v>279.07305155837912</v>
      </c>
      <c r="F1040" s="1">
        <f t="shared" si="152"/>
        <v>14.933379668422154</v>
      </c>
      <c r="G1040" s="1">
        <f t="shared" si="159"/>
        <v>11.136579176945375</v>
      </c>
      <c r="H1040" s="1">
        <f t="shared" si="153"/>
        <v>4.3564600866900118</v>
      </c>
      <c r="I1040" s="1">
        <f t="shared" si="154"/>
        <v>112.43123181976743</v>
      </c>
      <c r="K1040" s="112">
        <f>C1040/'CGE-Flood Weighted Av Calcs'!$D$3</f>
        <v>1.2198736728622393E-2</v>
      </c>
      <c r="L1040" s="112">
        <f>D1040/'CGE-Flood Weighted Av Calcs'!$D$4</f>
        <v>1.1956867024548448E-2</v>
      </c>
      <c r="M1040" s="112">
        <f>E1040/'CGE-Flood Weighted Av Calcs'!$D$5</f>
        <v>1.1955060234176104E-2</v>
      </c>
      <c r="N1040" s="112">
        <f>F1040/'CGE-Flood Weighted Av Calcs'!$D$6</f>
        <v>4.127806153162647E-3</v>
      </c>
      <c r="O1040" s="112">
        <f>G1040/'CGE-Flood Weighted Av Calcs'!$D$7</f>
        <v>1.8383563903242667E-2</v>
      </c>
      <c r="P1040" s="112">
        <f>H1040/'CGE-Flood Weighted Av Calcs'!$D$8</f>
        <v>4.40228790376824E-2</v>
      </c>
      <c r="R1040" s="1">
        <f t="shared" si="155"/>
        <v>0.19519311079820736</v>
      </c>
      <c r="S1040" s="1">
        <f t="shared" si="156"/>
        <v>0.22642400852592054</v>
      </c>
      <c r="T1040" s="1">
        <f t="shared" si="157"/>
        <v>5.4654071023498059</v>
      </c>
    </row>
    <row r="1041" spans="1:20">
      <c r="A1041">
        <v>988</v>
      </c>
      <c r="B1041">
        <v>0.13140302604670773</v>
      </c>
      <c r="C1041" s="1">
        <f t="shared" si="151"/>
        <v>89.455837239700728</v>
      </c>
      <c r="D1041" s="1">
        <f t="shared" si="160"/>
        <v>287.72971097105193</v>
      </c>
      <c r="E1041" s="1">
        <f t="shared" si="158"/>
        <v>344.96038749674267</v>
      </c>
      <c r="F1041" s="1">
        <f t="shared" si="152"/>
        <v>18.459053671748958</v>
      </c>
      <c r="G1041" s="1">
        <f t="shared" si="159"/>
        <v>13.765853230237795</v>
      </c>
      <c r="H1041" s="1">
        <f t="shared" si="153"/>
        <v>5.3849920342606366</v>
      </c>
      <c r="I1041" s="1">
        <f t="shared" si="154"/>
        <v>138.97551583252675</v>
      </c>
      <c r="K1041" s="112">
        <f>C1041/'CGE-Flood Weighted Av Calcs'!$D$3</f>
        <v>1.5078779285129367E-2</v>
      </c>
      <c r="L1041" s="112">
        <f>D1041/'CGE-Flood Weighted Av Calcs'!$D$4</f>
        <v>1.4779805713961688E-2</v>
      </c>
      <c r="M1041" s="112">
        <f>E1041/'CGE-Flood Weighted Av Calcs'!$D$5</f>
        <v>1.4777572352110774E-2</v>
      </c>
      <c r="N1041" s="112">
        <f>F1041/'CGE-Flood Weighted Av Calcs'!$D$6</f>
        <v>5.102354391278637E-3</v>
      </c>
      <c r="O1041" s="112">
        <f>G1041/'CGE-Flood Weighted Av Calcs'!$D$7</f>
        <v>2.2723804008382104E-2</v>
      </c>
      <c r="P1041" s="112">
        <f>H1041/'CGE-Flood Weighted Av Calcs'!$D$8</f>
        <v>5.4416395014709497E-2</v>
      </c>
      <c r="R1041" s="1">
        <f t="shared" si="155"/>
        <v>0.24127693720924787</v>
      </c>
      <c r="S1041" s="1">
        <f t="shared" si="156"/>
        <v>0.2798812471627275</v>
      </c>
      <c r="T1041" s="1">
        <f t="shared" si="157"/>
        <v>6.7557542418589396</v>
      </c>
    </row>
    <row r="1042" spans="1:20">
      <c r="A1042">
        <v>989</v>
      </c>
      <c r="B1042">
        <v>5.7037425924938323E-2</v>
      </c>
      <c r="C1042" s="1">
        <f t="shared" si="151"/>
        <v>103.45212480580295</v>
      </c>
      <c r="D1042" s="1">
        <f t="shared" si="160"/>
        <v>331.01827086891223</v>
      </c>
      <c r="E1042" s="1">
        <f t="shared" si="158"/>
        <v>396.80318589651313</v>
      </c>
      <c r="F1042" s="1">
        <f t="shared" si="152"/>
        <v>24.414573408010863</v>
      </c>
      <c r="G1042" s="1">
        <f t="shared" si="159"/>
        <v>16.037146377957303</v>
      </c>
      <c r="H1042" s="1">
        <f t="shared" si="153"/>
        <v>6.1527490938774649</v>
      </c>
      <c r="I1042" s="1">
        <f t="shared" si="154"/>
        <v>214.17220432260075</v>
      </c>
      <c r="K1042" s="112">
        <f>C1042/'CGE-Flood Weighted Av Calcs'!$D$3</f>
        <v>1.7438009689009517E-2</v>
      </c>
      <c r="L1042" s="112">
        <f>D1042/'CGE-Flood Weighted Av Calcs'!$D$4</f>
        <v>1.7003408214962837E-2</v>
      </c>
      <c r="M1042" s="112">
        <f>E1042/'CGE-Flood Weighted Av Calcs'!$D$5</f>
        <v>1.6998438086428556E-2</v>
      </c>
      <c r="N1042" s="112">
        <f>F1042/'CGE-Flood Weighted Av Calcs'!$D$6</f>
        <v>6.7485477887857482E-3</v>
      </c>
      <c r="O1042" s="112">
        <f>G1042/'CGE-Flood Weighted Av Calcs'!$D$7</f>
        <v>2.6473111768033977E-2</v>
      </c>
      <c r="P1042" s="112">
        <f>H1042/'CGE-Flood Weighted Av Calcs'!$D$8</f>
        <v>6.2174729876792061E-2</v>
      </c>
      <c r="R1042" s="1">
        <f t="shared" si="155"/>
        <v>0.27864171605004112</v>
      </c>
      <c r="S1042" s="1">
        <f t="shared" si="156"/>
        <v>0.33296257407506163</v>
      </c>
      <c r="T1042" s="1">
        <f t="shared" si="157"/>
        <v>7.7160429012510283</v>
      </c>
    </row>
    <row r="1043" spans="1:20">
      <c r="A1043">
        <v>990</v>
      </c>
      <c r="B1043">
        <v>0.52258845943423404</v>
      </c>
      <c r="C1043" s="1">
        <f t="shared" si="151"/>
        <v>49.168084105600947</v>
      </c>
      <c r="D1043" s="1">
        <f t="shared" si="160"/>
        <v>158.14640011469706</v>
      </c>
      <c r="E1043" s="1">
        <f t="shared" si="158"/>
        <v>189.60239900379781</v>
      </c>
      <c r="F1043" s="1">
        <f t="shared" si="152"/>
        <v>10.145747124476758</v>
      </c>
      <c r="G1043" s="1">
        <f t="shared" si="159"/>
        <v>7.566198587981094</v>
      </c>
      <c r="H1043" s="1">
        <f t="shared" si="153"/>
        <v>2.9597816019434959</v>
      </c>
      <c r="I1043" s="1">
        <f t="shared" si="154"/>
        <v>76.385846490522539</v>
      </c>
      <c r="K1043" s="112">
        <f>C1043/'CGE-Flood Weighted Av Calcs'!$D$3</f>
        <v>8.2878290671455617E-3</v>
      </c>
      <c r="L1043" s="112">
        <f>D1043/'CGE-Flood Weighted Av Calcs'!$D$4</f>
        <v>8.1235026447888468E-3</v>
      </c>
      <c r="M1043" s="112">
        <f>E1043/'CGE-Flood Weighted Av Calcs'!$D$5</f>
        <v>8.1222751103236599E-3</v>
      </c>
      <c r="N1043" s="112">
        <f>F1043/'CGE-Flood Weighted Av Calcs'!$D$6</f>
        <v>2.8044339820412776E-3</v>
      </c>
      <c r="O1043" s="112">
        <f>G1043/'CGE-Flood Weighted Av Calcs'!$D$7</f>
        <v>1.2489804367819038E-2</v>
      </c>
      <c r="P1043" s="112">
        <f>H1043/'CGE-Flood Weighted Av Calcs'!$D$8</f>
        <v>2.9909170484175227E-2</v>
      </c>
      <c r="R1043" s="1">
        <f t="shared" si="155"/>
        <v>0.13261431682382385</v>
      </c>
      <c r="S1043" s="1">
        <f t="shared" si="156"/>
        <v>0.15383260751563568</v>
      </c>
      <c r="T1043" s="1">
        <f t="shared" si="157"/>
        <v>3.7132008710670688</v>
      </c>
    </row>
    <row r="1044" spans="1:20">
      <c r="A1044">
        <v>991</v>
      </c>
      <c r="B1044">
        <v>0.93766821803630607</v>
      </c>
      <c r="C1044" s="1">
        <f t="shared" si="151"/>
        <v>6.4194809669053399</v>
      </c>
      <c r="D1044" s="1">
        <f t="shared" si="160"/>
        <v>20.647902475525655</v>
      </c>
      <c r="E1044" s="1">
        <f t="shared" si="158"/>
        <v>24.754859047798845</v>
      </c>
      <c r="F1044" s="1">
        <f t="shared" si="152"/>
        <v>1.324648534621133</v>
      </c>
      <c r="G1044" s="1">
        <f t="shared" si="159"/>
        <v>0.98785764609114857</v>
      </c>
      <c r="H1044" s="1">
        <f t="shared" si="153"/>
        <v>0.38643485922829424</v>
      </c>
      <c r="I1044" s="1">
        <f t="shared" si="154"/>
        <v>9.973085114191008</v>
      </c>
      <c r="K1044" s="112">
        <f>C1044/'CGE-Flood Weighted Av Calcs'!$D$3</f>
        <v>1.0820751290458585E-3</v>
      </c>
      <c r="L1044" s="112">
        <f>D1044/'CGE-Flood Weighted Av Calcs'!$D$4</f>
        <v>1.0606203508118099E-3</v>
      </c>
      <c r="M1044" s="112">
        <f>E1044/'CGE-Flood Weighted Av Calcs'!$D$5</f>
        <v>1.0604600815176373E-3</v>
      </c>
      <c r="N1044" s="112">
        <f>F1044/'CGE-Flood Weighted Av Calcs'!$D$6</f>
        <v>3.6615237095654235E-4</v>
      </c>
      <c r="O1044" s="112">
        <f>G1044/'CGE-Flood Weighted Av Calcs'!$D$7</f>
        <v>1.6306932205733813E-3</v>
      </c>
      <c r="P1044" s="112">
        <f>H1044/'CGE-Flood Weighted Av Calcs'!$D$8</f>
        <v>3.9049996385199354E-3</v>
      </c>
      <c r="R1044" s="1">
        <f t="shared" si="155"/>
        <v>1.7314383878803852E-2</v>
      </c>
      <c r="S1044" s="1">
        <f t="shared" si="156"/>
        <v>2.0084685299412486E-2</v>
      </c>
      <c r="T1044" s="1">
        <f t="shared" si="157"/>
        <v>0.4848027486065094</v>
      </c>
    </row>
    <row r="1045" spans="1:20">
      <c r="A1045">
        <v>992</v>
      </c>
      <c r="B1045">
        <v>0.70767702358856566</v>
      </c>
      <c r="C1045" s="1">
        <f t="shared" si="151"/>
        <v>30.106018537306511</v>
      </c>
      <c r="D1045" s="1">
        <f t="shared" si="160"/>
        <v>96.834329424664276</v>
      </c>
      <c r="E1045" s="1">
        <f t="shared" si="158"/>
        <v>116.09509385938995</v>
      </c>
      <c r="F1045" s="1">
        <f t="shared" si="152"/>
        <v>6.2123236355578566</v>
      </c>
      <c r="G1045" s="1">
        <f t="shared" si="159"/>
        <v>4.6328450475611032</v>
      </c>
      <c r="H1045" s="1">
        <f t="shared" si="153"/>
        <v>1.8122983922478899</v>
      </c>
      <c r="I1045" s="1">
        <f t="shared" si="154"/>
        <v>46.771676225829481</v>
      </c>
      <c r="K1045" s="112">
        <f>C1045/'CGE-Flood Weighted Av Calcs'!$D$3</f>
        <v>5.0747052700613332E-3</v>
      </c>
      <c r="L1045" s="112">
        <f>D1045/'CGE-Flood Weighted Av Calcs'!$D$4</f>
        <v>4.9740868626608108E-3</v>
      </c>
      <c r="M1045" s="112">
        <f>E1045/'CGE-Flood Weighted Av Calcs'!$D$5</f>
        <v>4.9733352333053774E-3</v>
      </c>
      <c r="N1045" s="112">
        <f>F1045/'CGE-Flood Weighted Av Calcs'!$D$6</f>
        <v>1.7171777787528058E-3</v>
      </c>
      <c r="O1045" s="112">
        <f>G1045/'CGE-Flood Weighted Av Calcs'!$D$7</f>
        <v>7.6476089858880198E-3</v>
      </c>
      <c r="P1045" s="112">
        <f>H1045/'CGE-Flood Weighted Av Calcs'!$D$8</f>
        <v>1.831362879826888E-2</v>
      </c>
      <c r="R1045" s="1">
        <f t="shared" si="155"/>
        <v>8.1200826780953972E-2</v>
      </c>
      <c r="S1045" s="1">
        <f t="shared" si="156"/>
        <v>9.4192959065906606E-2</v>
      </c>
      <c r="T1045" s="1">
        <f t="shared" si="157"/>
        <v>2.2736231498667117</v>
      </c>
    </row>
    <row r="1046" spans="1:20">
      <c r="A1046">
        <v>993</v>
      </c>
      <c r="B1046">
        <v>0.39141227573548365</v>
      </c>
      <c r="C1046" s="1">
        <f t="shared" si="151"/>
        <v>62.677773513420021</v>
      </c>
      <c r="D1046" s="1">
        <f t="shared" si="160"/>
        <v>201.59956257523848</v>
      </c>
      <c r="E1046" s="1">
        <f t="shared" si="158"/>
        <v>241.69858229247933</v>
      </c>
      <c r="F1046" s="1">
        <f t="shared" si="152"/>
        <v>12.933447620749314</v>
      </c>
      <c r="G1046" s="1">
        <f t="shared" si="159"/>
        <v>9.6451283405003707</v>
      </c>
      <c r="H1046" s="1">
        <f t="shared" si="153"/>
        <v>3.7730272446119053</v>
      </c>
      <c r="I1046" s="1">
        <f t="shared" si="154"/>
        <v>97.374035882322602</v>
      </c>
      <c r="K1046" s="112">
        <f>C1046/'CGE-Flood Weighted Av Calcs'!$D$3</f>
        <v>1.0565037923235134E-2</v>
      </c>
      <c r="L1046" s="112">
        <f>D1046/'CGE-Flood Weighted Av Calcs'!$D$4</f>
        <v>1.0355560281994863E-2</v>
      </c>
      <c r="M1046" s="112">
        <f>E1046/'CGE-Flood Weighted Av Calcs'!$D$5</f>
        <v>1.0353995463503587E-2</v>
      </c>
      <c r="N1046" s="112">
        <f>F1046/'CGE-Flood Weighted Av Calcs'!$D$6</f>
        <v>3.574995470276998E-3</v>
      </c>
      <c r="O1046" s="112">
        <f>G1046/'CGE-Flood Weighted Av Calcs'!$D$7</f>
        <v>1.5921570743162434E-2</v>
      </c>
      <c r="P1046" s="112">
        <f>H1046/'CGE-Flood Weighted Av Calcs'!$D$8</f>
        <v>3.8127176351942779E-2</v>
      </c>
      <c r="R1046" s="1">
        <f t="shared" si="155"/>
        <v>0.16905214562903231</v>
      </c>
      <c r="S1046" s="1">
        <f t="shared" si="156"/>
        <v>0.19610048892967746</v>
      </c>
      <c r="T1046" s="1">
        <f t="shared" si="157"/>
        <v>4.7334600776129054</v>
      </c>
    </row>
    <row r="1047" spans="1:20">
      <c r="A1047">
        <v>994</v>
      </c>
      <c r="B1047">
        <v>0.2655903313670348</v>
      </c>
      <c r="C1047" s="1">
        <f t="shared" si="151"/>
        <v>75.636035761766166</v>
      </c>
      <c r="D1047" s="1">
        <f t="shared" si="160"/>
        <v>243.27909033386999</v>
      </c>
      <c r="E1047" s="1">
        <f t="shared" si="158"/>
        <v>291.66834731179392</v>
      </c>
      <c r="F1047" s="1">
        <f t="shared" si="152"/>
        <v>15.607362098726648</v>
      </c>
      <c r="G1047" s="1">
        <f t="shared" si="159"/>
        <v>11.639202083856919</v>
      </c>
      <c r="H1047" s="1">
        <f t="shared" si="153"/>
        <v>4.5530785094413364</v>
      </c>
      <c r="I1047" s="1">
        <f t="shared" si="154"/>
        <v>117.50554698127442</v>
      </c>
      <c r="K1047" s="112">
        <f>C1047/'CGE-Flood Weighted Av Calcs'!$D$3</f>
        <v>1.2749297580188175E-2</v>
      </c>
      <c r="L1047" s="112">
        <f>D1047/'CGE-Flood Weighted Av Calcs'!$D$4</f>
        <v>1.2496511664607633E-2</v>
      </c>
      <c r="M1047" s="112">
        <f>E1047/'CGE-Flood Weighted Av Calcs'!$D$5</f>
        <v>1.2494623329066465E-2</v>
      </c>
      <c r="N1047" s="112">
        <f>F1047/'CGE-Flood Weighted Av Calcs'!$D$6</f>
        <v>4.3141048266516309E-3</v>
      </c>
      <c r="O1047" s="112">
        <f>G1047/'CGE-Flood Weighted Av Calcs'!$D$7</f>
        <v>1.921326215991832E-2</v>
      </c>
      <c r="P1047" s="112">
        <f>H1047/'CGE-Flood Weighted Av Calcs'!$D$8</f>
        <v>4.6009746556061971E-2</v>
      </c>
      <c r="R1047" s="1">
        <f t="shared" si="155"/>
        <v>0.20400268573137922</v>
      </c>
      <c r="S1047" s="1">
        <f t="shared" si="156"/>
        <v>0.23664311544839989</v>
      </c>
      <c r="T1047" s="1">
        <f t="shared" si="157"/>
        <v>5.7120752004786182</v>
      </c>
    </row>
    <row r="1048" spans="1:20">
      <c r="A1048">
        <v>995</v>
      </c>
      <c r="B1048">
        <v>0.39395264650836948</v>
      </c>
      <c r="C1048" s="1">
        <f t="shared" si="151"/>
        <v>62.416143550154707</v>
      </c>
      <c r="D1048" s="1">
        <f t="shared" si="160"/>
        <v>200.75804439113176</v>
      </c>
      <c r="E1048" s="1">
        <f t="shared" si="158"/>
        <v>240.68968252368134</v>
      </c>
      <c r="F1048" s="1">
        <f t="shared" si="152"/>
        <v>12.879460740931606</v>
      </c>
      <c r="G1048" s="1">
        <f t="shared" si="159"/>
        <v>9.604867584063733</v>
      </c>
      <c r="H1048" s="1">
        <f t="shared" si="153"/>
        <v>3.7572778501444151</v>
      </c>
      <c r="I1048" s="1">
        <f t="shared" si="154"/>
        <v>96.96757655866088</v>
      </c>
      <c r="K1048" s="112">
        <f>C1048/'CGE-Flood Weighted Av Calcs'!$D$3</f>
        <v>1.0520937274331886E-2</v>
      </c>
      <c r="L1048" s="112">
        <f>D1048/'CGE-Flood Weighted Av Calcs'!$D$4</f>
        <v>1.0312334036002093E-2</v>
      </c>
      <c r="M1048" s="112">
        <f>E1048/'CGE-Flood Weighted Av Calcs'!$D$5</f>
        <v>1.0310775749386178E-2</v>
      </c>
      <c r="N1048" s="112">
        <f>F1048/'CGE-Flood Weighted Av Calcs'!$D$6</f>
        <v>3.560072701309112E-3</v>
      </c>
      <c r="O1048" s="112">
        <f>G1048/'CGE-Flood Weighted Av Calcs'!$D$7</f>
        <v>1.5855110820686597E-2</v>
      </c>
      <c r="P1048" s="112">
        <f>H1048/'CGE-Flood Weighted Av Calcs'!$D$8</f>
        <v>3.796802564844446E-2</v>
      </c>
      <c r="R1048" s="1">
        <f t="shared" si="155"/>
        <v>0.16834648708100847</v>
      </c>
      <c r="S1048" s="1">
        <f t="shared" si="156"/>
        <v>0.19528192501396982</v>
      </c>
      <c r="T1048" s="1">
        <f t="shared" si="157"/>
        <v>4.7137016382682377</v>
      </c>
    </row>
    <row r="1049" spans="1:20">
      <c r="A1049">
        <v>996</v>
      </c>
      <c r="B1049">
        <v>0.37718929194474438</v>
      </c>
      <c r="C1049" s="1">
        <f t="shared" si="151"/>
        <v>64.142582810712938</v>
      </c>
      <c r="D1049" s="1">
        <f t="shared" si="160"/>
        <v>206.31103997842297</v>
      </c>
      <c r="E1049" s="1">
        <f t="shared" si="158"/>
        <v>247.34719280683871</v>
      </c>
      <c r="F1049" s="1">
        <f t="shared" si="152"/>
        <v>13.235708426437764</v>
      </c>
      <c r="G1049" s="1">
        <f t="shared" si="159"/>
        <v>9.8705395648432912</v>
      </c>
      <c r="H1049" s="1">
        <f t="shared" si="153"/>
        <v>3.8612046809987235</v>
      </c>
      <c r="I1049" s="1">
        <f t="shared" si="154"/>
        <v>99.649713288840886</v>
      </c>
      <c r="K1049" s="112">
        <f>C1049/'CGE-Flood Weighted Av Calcs'!$D$3</f>
        <v>1.081194787087221E-2</v>
      </c>
      <c r="L1049" s="112">
        <f>D1049/'CGE-Flood Weighted Av Calcs'!$D$4</f>
        <v>1.0597574637793501E-2</v>
      </c>
      <c r="M1049" s="112">
        <f>E1049/'CGE-Flood Weighted Av Calcs'!$D$5</f>
        <v>1.0595973248751835E-2</v>
      </c>
      <c r="N1049" s="112">
        <f>F1049/'CGE-Flood Weighted Av Calcs'!$D$6</f>
        <v>3.658544810164136E-3</v>
      </c>
      <c r="O1049" s="112">
        <f>G1049/'CGE-Flood Weighted Av Calcs'!$D$7</f>
        <v>1.6293665403594136E-2</v>
      </c>
      <c r="P1049" s="112">
        <f>H1049/'CGE-Flood Weighted Av Calcs'!$D$8</f>
        <v>3.9018226548355621E-2</v>
      </c>
      <c r="R1049" s="1">
        <f t="shared" si="155"/>
        <v>0.17300297445979324</v>
      </c>
      <c r="S1049" s="1">
        <f t="shared" si="156"/>
        <v>0.20068345037336013</v>
      </c>
      <c r="T1049" s="1">
        <f t="shared" si="157"/>
        <v>4.8440832848742108</v>
      </c>
    </row>
    <row r="1050" spans="1:20">
      <c r="A1050">
        <v>997</v>
      </c>
      <c r="B1050">
        <v>0.50272406400817282</v>
      </c>
      <c r="C1050" s="1">
        <f t="shared" si="151"/>
        <v>51.213896118980514</v>
      </c>
      <c r="D1050" s="1">
        <f t="shared" si="160"/>
        <v>164.72664034802608</v>
      </c>
      <c r="E1050" s="1">
        <f t="shared" si="158"/>
        <v>197.49147730944142</v>
      </c>
      <c r="F1050" s="1">
        <f t="shared" si="152"/>
        <v>10.567896812217008</v>
      </c>
      <c r="G1050" s="1">
        <f t="shared" si="159"/>
        <v>7.8810170367468046</v>
      </c>
      <c r="H1050" s="1">
        <f t="shared" si="153"/>
        <v>3.0829337822324585</v>
      </c>
      <c r="I1050" s="1">
        <f t="shared" si="154"/>
        <v>79.564149758692338</v>
      </c>
      <c r="K1050" s="112">
        <f>C1050/'CGE-Flood Weighted Av Calcs'!$D$3</f>
        <v>8.63267350391448E-3</v>
      </c>
      <c r="L1050" s="112">
        <f>D1050/'CGE-Flood Weighted Av Calcs'!$D$4</f>
        <v>8.4615096996445115E-3</v>
      </c>
      <c r="M1050" s="112">
        <f>E1050/'CGE-Flood Weighted Av Calcs'!$D$5</f>
        <v>8.4602310892669431E-3</v>
      </c>
      <c r="N1050" s="112">
        <f>F1050/'CGE-Flood Weighted Av Calcs'!$D$6</f>
        <v>2.9211223752450386E-3</v>
      </c>
      <c r="O1050" s="112">
        <f>G1050/'CGE-Flood Weighted Av Calcs'!$D$7</f>
        <v>1.3009486846509195E-2</v>
      </c>
      <c r="P1050" s="112">
        <f>H1050/'CGE-Flood Weighted Av Calcs'!$D$8</f>
        <v>3.1153647290619941E-2</v>
      </c>
      <c r="R1050" s="1">
        <f t="shared" si="155"/>
        <v>0.13813220444217422</v>
      </c>
      <c r="S1050" s="1">
        <f t="shared" si="156"/>
        <v>0.16023335715292208</v>
      </c>
      <c r="T1050" s="1">
        <f t="shared" si="157"/>
        <v>3.8677017243808782</v>
      </c>
    </row>
    <row r="1051" spans="1:20">
      <c r="A1051">
        <v>998</v>
      </c>
      <c r="B1051">
        <v>0.19171452873095596</v>
      </c>
      <c r="C1051" s="1">
        <f t="shared" si="151"/>
        <v>83.244422591030769</v>
      </c>
      <c r="D1051" s="1">
        <f t="shared" si="160"/>
        <v>267.75104220297294</v>
      </c>
      <c r="E1051" s="1">
        <f t="shared" si="158"/>
        <v>321.00787561798506</v>
      </c>
      <c r="F1051" s="1">
        <f t="shared" si="152"/>
        <v>17.177339253604742</v>
      </c>
      <c r="G1051" s="1">
        <f t="shared" si="159"/>
        <v>12.810013733966306</v>
      </c>
      <c r="H1051" s="1">
        <f t="shared" si="153"/>
        <v>5.011082187383332</v>
      </c>
      <c r="I1051" s="1">
        <f t="shared" si="154"/>
        <v>129.32567540304706</v>
      </c>
      <c r="K1051" s="112">
        <f>C1051/'CGE-Flood Weighted Av Calcs'!$D$3</f>
        <v>1.4031776055091441E-2</v>
      </c>
      <c r="L1051" s="112">
        <f>D1051/'CGE-Flood Weighted Av Calcs'!$D$4</f>
        <v>1.3753561876231947E-2</v>
      </c>
      <c r="M1051" s="112">
        <f>E1051/'CGE-Flood Weighted Av Calcs'!$D$5</f>
        <v>1.3751483589074248E-2</v>
      </c>
      <c r="N1051" s="112">
        <f>F1051/'CGE-Flood Weighted Av Calcs'!$D$6</f>
        <v>4.7480696426627214E-3</v>
      </c>
      <c r="O1051" s="112">
        <f>G1051/'CGE-Flood Weighted Av Calcs'!$D$7</f>
        <v>2.1145964334119589E-2</v>
      </c>
      <c r="P1051" s="112">
        <f>H1051/'CGE-Flood Weighted Av Calcs'!$D$8</f>
        <v>5.063796306938563E-2</v>
      </c>
      <c r="R1051" s="1">
        <f t="shared" si="155"/>
        <v>0.22452374201917891</v>
      </c>
      <c r="S1051" s="1">
        <f t="shared" si="156"/>
        <v>0.26044754074224752</v>
      </c>
      <c r="T1051" s="1">
        <f t="shared" si="157"/>
        <v>6.2866647765370089</v>
      </c>
    </row>
    <row r="1052" spans="1:20">
      <c r="A1052">
        <v>999</v>
      </c>
      <c r="B1052">
        <v>0.12753676685897974</v>
      </c>
      <c r="C1052" s="1">
        <f t="shared" si="151"/>
        <v>89.854018977601299</v>
      </c>
      <c r="D1052" s="1">
        <f t="shared" si="160"/>
        <v>289.010440321928</v>
      </c>
      <c r="E1052" s="1">
        <f t="shared" si="158"/>
        <v>346.49585942164623</v>
      </c>
      <c r="F1052" s="1">
        <f t="shared" si="152"/>
        <v>18.541217768557107</v>
      </c>
      <c r="G1052" s="1">
        <f t="shared" si="159"/>
        <v>13.827127167546243</v>
      </c>
      <c r="H1052" s="1">
        <f t="shared" si="153"/>
        <v>5.408961464908713</v>
      </c>
      <c r="I1052" s="1">
        <f t="shared" si="154"/>
        <v>139.59411730256323</v>
      </c>
      <c r="K1052" s="112">
        <f>C1052/'CGE-Flood Weighted Av Calcs'!$D$3</f>
        <v>1.5145897258941225E-2</v>
      </c>
      <c r="L1052" s="112">
        <f>D1052/'CGE-Flood Weighted Av Calcs'!$D$4</f>
        <v>1.4845592910265588E-2</v>
      </c>
      <c r="M1052" s="112">
        <f>E1052/'CGE-Flood Weighted Av Calcs'!$D$5</f>
        <v>1.4843349607376384E-2</v>
      </c>
      <c r="N1052" s="112">
        <f>F1052/'CGE-Flood Weighted Av Calcs'!$D$6</f>
        <v>5.1250657581563518E-3</v>
      </c>
      <c r="O1052" s="112">
        <f>G1052/'CGE-Flood Weighted Av Calcs'!$D$7</f>
        <v>2.2824951167147434E-2</v>
      </c>
      <c r="P1052" s="112">
        <f>H1052/'CGE-Flood Weighted Av Calcs'!$D$8</f>
        <v>5.46586107873838E-2</v>
      </c>
      <c r="R1052" s="1">
        <f t="shared" si="155"/>
        <v>0.24235089809472785</v>
      </c>
      <c r="S1052" s="1">
        <f t="shared" si="156"/>
        <v>0.28112704178988429</v>
      </c>
      <c r="T1052" s="1">
        <f t="shared" si="157"/>
        <v>6.78582514665238</v>
      </c>
    </row>
    <row r="1053" spans="1:20">
      <c r="A1053">
        <v>1000</v>
      </c>
      <c r="B1053">
        <v>0.98805614778006379</v>
      </c>
      <c r="C1053" s="1">
        <f t="shared" si="151"/>
        <v>1.2300840691843291</v>
      </c>
      <c r="D1053" s="1">
        <f t="shared" si="160"/>
        <v>3.9564967990643822</v>
      </c>
      <c r="E1053" s="1">
        <f t="shared" si="158"/>
        <v>4.7434610222514948</v>
      </c>
      <c r="F1053" s="1">
        <f t="shared" si="152"/>
        <v>0.25382567034719372</v>
      </c>
      <c r="G1053" s="1">
        <f t="shared" si="159"/>
        <v>0.18929068554656681</v>
      </c>
      <c r="H1053" s="1">
        <f t="shared" si="153"/>
        <v>7.40476319759793E-2</v>
      </c>
      <c r="I1053" s="1">
        <f t="shared" si="154"/>
        <v>1.9110163551897585</v>
      </c>
      <c r="K1053" s="112">
        <f>C1053/'CGE-Flood Weighted Av Calcs'!$D$3</f>
        <v>2.0734439197839824E-4</v>
      </c>
      <c r="L1053" s="112">
        <f>D1053/'CGE-Flood Weighted Av Calcs'!$D$4</f>
        <v>2.032332837673691E-4</v>
      </c>
      <c r="M1053" s="112">
        <f>E1053/'CGE-Flood Weighted Av Calcs'!$D$5</f>
        <v>2.0320257338648977E-4</v>
      </c>
      <c r="N1053" s="112">
        <f>F1053/'CGE-Flood Weighted Av Calcs'!$D$6</f>
        <v>7.0161154886145299E-5</v>
      </c>
      <c r="O1053" s="112">
        <f>G1053/'CGE-Flood Weighted Av Calcs'!$D$7</f>
        <v>3.1246914862669706E-4</v>
      </c>
      <c r="P1053" s="112">
        <f>H1053/'CGE-Flood Weighted Av Calcs'!$D$8</f>
        <v>7.4826576638789099E-4</v>
      </c>
      <c r="R1053" s="1">
        <f t="shared" si="155"/>
        <v>3.3177367277600345E-3</v>
      </c>
      <c r="S1053" s="1">
        <f t="shared" si="156"/>
        <v>3.8485746042016822E-3</v>
      </c>
      <c r="T1053" s="1">
        <f t="shared" si="157"/>
        <v>9.2896628377282298E-2</v>
      </c>
    </row>
  </sheetData>
  <mergeCells count="2">
    <mergeCell ref="C52:J52"/>
    <mergeCell ref="K52:Q5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BZ98"/>
  <sheetViews>
    <sheetView tabSelected="1" zoomScale="86" zoomScaleNormal="400" workbookViewId="0">
      <selection activeCell="J13" sqref="J13"/>
    </sheetView>
  </sheetViews>
  <sheetFormatPr defaultColWidth="8.81640625" defaultRowHeight="14.5"/>
  <cols>
    <col min="1" max="1" width="14.6328125" style="26" customWidth="1"/>
    <col min="2" max="2" width="9.81640625" style="26" customWidth="1"/>
    <col min="3" max="3" width="10.453125" style="26" customWidth="1"/>
    <col min="4" max="4" width="13.6328125" style="26" customWidth="1"/>
    <col min="5" max="5" width="11.36328125" style="26" customWidth="1"/>
    <col min="6" max="6" width="12.6328125" style="26" customWidth="1"/>
    <col min="7" max="7" width="8.81640625" style="26" customWidth="1"/>
    <col min="8" max="9" width="9" style="26" customWidth="1"/>
    <col min="10" max="10" width="11.1796875" style="26" customWidth="1"/>
    <col min="11" max="11" width="9" style="26" customWidth="1"/>
    <col min="12" max="15" width="8.81640625" style="26" customWidth="1"/>
    <col min="16" max="16" width="10.6328125" style="26" customWidth="1"/>
    <col min="17" max="19" width="8.81640625" style="26" customWidth="1"/>
    <col min="20" max="20" width="9.90625" style="26" bestFit="1" customWidth="1"/>
    <col min="21" max="21" width="16.453125" style="26" customWidth="1"/>
    <col min="22" max="47" width="8.81640625" style="26"/>
    <col min="50" max="56" width="8.81640625" style="26"/>
    <col min="57" max="57" width="9.1796875" style="26" bestFit="1" customWidth="1"/>
    <col min="58" max="75" width="8.81640625" style="26"/>
    <col min="77" max="16384" width="8.81640625" style="26"/>
  </cols>
  <sheetData>
    <row r="2" spans="1:78">
      <c r="A2" s="57" t="s">
        <v>41</v>
      </c>
      <c r="B2" s="19"/>
      <c r="AF2" s="48"/>
      <c r="AG2" s="48"/>
      <c r="AH2" s="20" t="s">
        <v>3</v>
      </c>
      <c r="AI2" s="48"/>
      <c r="AJ2" s="48"/>
      <c r="AK2" s="48"/>
      <c r="AO2" s="48"/>
      <c r="AP2" s="48" t="s">
        <v>80</v>
      </c>
      <c r="AQ2" s="48"/>
      <c r="AR2" s="48"/>
      <c r="AS2" s="48"/>
      <c r="AT2" s="48"/>
      <c r="AX2" s="48" t="s">
        <v>6</v>
      </c>
      <c r="AY2" s="48"/>
      <c r="AZ2" s="48"/>
      <c r="BA2" s="48"/>
      <c r="BB2" s="48"/>
      <c r="BF2" s="48" t="s">
        <v>7</v>
      </c>
      <c r="BG2" s="48"/>
      <c r="BH2" s="48"/>
      <c r="BI2" s="48"/>
      <c r="BJ2" s="48"/>
      <c r="BN2" s="48" t="s">
        <v>8</v>
      </c>
      <c r="BO2" s="48"/>
      <c r="BP2" s="48"/>
      <c r="BQ2" s="48"/>
      <c r="BR2" s="48"/>
      <c r="BV2" s="48" t="s">
        <v>9</v>
      </c>
      <c r="BW2" s="48"/>
      <c r="BX2" s="48"/>
      <c r="BY2" s="48"/>
      <c r="BZ2" s="48"/>
    </row>
    <row r="3" spans="1:78" s="19" customFormat="1"/>
    <row r="4" spans="1:78" s="19" customFormat="1">
      <c r="A4" s="38" t="s">
        <v>0</v>
      </c>
      <c r="B4" s="120" t="s">
        <v>3</v>
      </c>
      <c r="C4" s="120"/>
      <c r="D4" s="120" t="s">
        <v>5</v>
      </c>
      <c r="E4" s="120"/>
      <c r="F4" s="120" t="s">
        <v>6</v>
      </c>
      <c r="G4" s="120"/>
      <c r="H4" s="120" t="s">
        <v>7</v>
      </c>
      <c r="I4" s="120"/>
      <c r="J4" s="120"/>
      <c r="K4" s="120"/>
      <c r="L4" s="120" t="s">
        <v>8</v>
      </c>
      <c r="M4" s="120"/>
      <c r="N4" s="120"/>
      <c r="O4" s="120"/>
      <c r="P4" s="120" t="s">
        <v>9</v>
      </c>
      <c r="Q4" s="120"/>
      <c r="R4" s="120"/>
      <c r="S4" s="120"/>
      <c r="T4" s="118" t="s">
        <v>100</v>
      </c>
      <c r="AG4" s="19">
        <v>1</v>
      </c>
      <c r="AH4" s="19">
        <f>1/AH5</f>
        <v>0.1</v>
      </c>
      <c r="AI4" s="19">
        <f>1/AI5</f>
        <v>0.04</v>
      </c>
      <c r="AJ4" s="19">
        <f>1/AJ5</f>
        <v>0.01</v>
      </c>
      <c r="AK4" s="19">
        <f>1/AK5</f>
        <v>5.0000000000000001E-3</v>
      </c>
      <c r="AP4" s="19">
        <v>1</v>
      </c>
      <c r="AQ4" s="19">
        <f>1/AQ5</f>
        <v>0.1</v>
      </c>
      <c r="AR4" s="19">
        <f>1/AR5</f>
        <v>0.04</v>
      </c>
      <c r="AS4" s="19">
        <f>1/AS5</f>
        <v>0.01</v>
      </c>
      <c r="AT4" s="19">
        <f>1/AT5</f>
        <v>5.0000000000000001E-3</v>
      </c>
      <c r="AX4" s="19">
        <v>1</v>
      </c>
      <c r="AY4" s="19">
        <f>1/AY5</f>
        <v>0.1</v>
      </c>
      <c r="AZ4" s="19">
        <f>1/AZ5</f>
        <v>0.04</v>
      </c>
      <c r="BA4" s="19">
        <f>1/BA5</f>
        <v>0.01</v>
      </c>
      <c r="BB4" s="19">
        <f>1/BB5</f>
        <v>5.0000000000000001E-3</v>
      </c>
      <c r="BF4" s="19">
        <v>1</v>
      </c>
      <c r="BG4" s="19">
        <f>1/BG5</f>
        <v>0.1</v>
      </c>
      <c r="BH4" s="19">
        <f>1/BH5</f>
        <v>0.04</v>
      </c>
      <c r="BI4" s="19">
        <f>1/BI5</f>
        <v>0.01</v>
      </c>
      <c r="BJ4" s="19">
        <f>1/BJ5</f>
        <v>5.0000000000000001E-3</v>
      </c>
      <c r="BN4" s="19">
        <v>1</v>
      </c>
      <c r="BO4" s="19">
        <f>1/BO5</f>
        <v>0.1</v>
      </c>
      <c r="BP4" s="19">
        <f>1/BP5</f>
        <v>0.04</v>
      </c>
      <c r="BQ4" s="19">
        <f>1/BQ5</f>
        <v>0.01</v>
      </c>
      <c r="BR4" s="19">
        <f>1/BR5</f>
        <v>5.0000000000000001E-3</v>
      </c>
      <c r="BV4" s="19">
        <v>1</v>
      </c>
      <c r="BW4" s="19">
        <f>1/BW5</f>
        <v>0.1</v>
      </c>
      <c r="BX4" s="19">
        <f>1/BX5</f>
        <v>0.04</v>
      </c>
      <c r="BY4" s="19">
        <f>1/BY5</f>
        <v>0.01</v>
      </c>
      <c r="BZ4" s="19">
        <f>1/BZ5</f>
        <v>5.0000000000000001E-3</v>
      </c>
    </row>
    <row r="5" spans="1:78" s="42" customFormat="1" ht="24">
      <c r="A5" s="39"/>
      <c r="B5" s="40" t="s">
        <v>4</v>
      </c>
      <c r="C5" s="41" t="s">
        <v>2</v>
      </c>
      <c r="D5" s="40" t="s">
        <v>4</v>
      </c>
      <c r="E5" s="41" t="s">
        <v>2</v>
      </c>
      <c r="F5" s="40" t="s">
        <v>4</v>
      </c>
      <c r="G5" s="41" t="s">
        <v>2</v>
      </c>
      <c r="H5" s="40" t="s">
        <v>46</v>
      </c>
      <c r="I5" s="40" t="s">
        <v>45</v>
      </c>
      <c r="J5" s="40" t="s">
        <v>4</v>
      </c>
      <c r="K5" s="41" t="s">
        <v>2</v>
      </c>
      <c r="L5" s="40" t="s">
        <v>44</v>
      </c>
      <c r="M5" s="40" t="s">
        <v>45</v>
      </c>
      <c r="N5" s="40" t="s">
        <v>4</v>
      </c>
      <c r="O5" s="41" t="s">
        <v>2</v>
      </c>
      <c r="P5" s="40" t="s">
        <v>44</v>
      </c>
      <c r="Q5" s="40" t="s">
        <v>45</v>
      </c>
      <c r="R5" s="40" t="s">
        <v>4</v>
      </c>
      <c r="S5" s="41" t="s">
        <v>2</v>
      </c>
      <c r="T5" s="41" t="s">
        <v>4</v>
      </c>
      <c r="AA5" s="67"/>
      <c r="AB5" s="68" t="s">
        <v>79</v>
      </c>
      <c r="AC5" s="69"/>
      <c r="AF5" s="42" t="s">
        <v>0</v>
      </c>
      <c r="AG5" s="42">
        <v>1</v>
      </c>
      <c r="AH5" s="76">
        <v>10</v>
      </c>
      <c r="AI5" s="76">
        <v>25</v>
      </c>
      <c r="AJ5" s="76">
        <v>100</v>
      </c>
      <c r="AK5" s="76">
        <v>200</v>
      </c>
      <c r="AO5" s="42" t="s">
        <v>0</v>
      </c>
      <c r="AP5" s="42">
        <v>1</v>
      </c>
      <c r="AQ5" s="76">
        <v>10</v>
      </c>
      <c r="AR5" s="76">
        <v>25</v>
      </c>
      <c r="AS5" s="76">
        <v>100</v>
      </c>
      <c r="AT5" s="76">
        <v>200</v>
      </c>
      <c r="AX5" s="42">
        <v>1</v>
      </c>
      <c r="AY5" s="76">
        <v>10</v>
      </c>
      <c r="AZ5" s="76">
        <v>25</v>
      </c>
      <c r="BA5" s="76">
        <v>100</v>
      </c>
      <c r="BB5" s="76">
        <v>200</v>
      </c>
      <c r="BC5" s="76"/>
      <c r="BD5" s="76"/>
      <c r="BF5" s="42">
        <v>1</v>
      </c>
      <c r="BG5" s="76">
        <v>10</v>
      </c>
      <c r="BH5" s="76">
        <v>25</v>
      </c>
      <c r="BI5" s="76">
        <v>100</v>
      </c>
      <c r="BJ5" s="76">
        <v>200</v>
      </c>
      <c r="BN5" s="42">
        <v>1</v>
      </c>
      <c r="BO5" s="76">
        <v>10</v>
      </c>
      <c r="BP5" s="76">
        <v>25</v>
      </c>
      <c r="BQ5" s="76">
        <v>100</v>
      </c>
      <c r="BR5" s="76">
        <v>200</v>
      </c>
      <c r="BV5" s="42">
        <v>1</v>
      </c>
      <c r="BW5" s="76">
        <v>10</v>
      </c>
      <c r="BX5" s="76">
        <v>25</v>
      </c>
      <c r="BY5" s="76">
        <v>100</v>
      </c>
      <c r="BZ5" s="76">
        <v>200</v>
      </c>
    </row>
    <row r="6" spans="1:78" s="19" customFormat="1">
      <c r="A6" s="19">
        <v>10</v>
      </c>
      <c r="B6" s="148">
        <v>92.689411276849498</v>
      </c>
      <c r="C6" s="141">
        <v>1.5623834261001326</v>
      </c>
      <c r="D6" s="148">
        <v>298.13221510010902</v>
      </c>
      <c r="E6" s="141">
        <v>1.5314150914001237</v>
      </c>
      <c r="F6" s="143">
        <v>357.43199441973098</v>
      </c>
      <c r="G6" s="141">
        <v>1.5311836807774646</v>
      </c>
      <c r="H6" s="145">
        <v>1569.0694809053</v>
      </c>
      <c r="I6" s="141">
        <v>3.6248928258588466</v>
      </c>
      <c r="J6" s="150">
        <v>162.67653292743401</v>
      </c>
      <c r="K6" s="151">
        <v>4.4966190407183069</v>
      </c>
      <c r="L6" s="147">
        <v>269.156802985002</v>
      </c>
      <c r="M6" s="141">
        <v>2.353180652080801</v>
      </c>
      <c r="N6" s="143">
        <v>14.263540259444</v>
      </c>
      <c r="O6" s="141">
        <v>2.3545354428835075</v>
      </c>
      <c r="P6" s="147">
        <v>83.906000381335602</v>
      </c>
      <c r="Q6" s="141">
        <v>5.6808395654255648</v>
      </c>
      <c r="R6" s="143">
        <v>5.5796796168612799</v>
      </c>
      <c r="S6" s="141">
        <v>5.6383751016696619</v>
      </c>
      <c r="T6" s="19">
        <f>'MINDSET-Flood MC'!C47</f>
        <v>144</v>
      </c>
      <c r="AA6" s="70"/>
      <c r="AC6" s="71"/>
      <c r="AE6" s="79">
        <f>(AH36-AH6)/30</f>
        <v>3.7679676803104613E-2</v>
      </c>
      <c r="AF6" s="1">
        <v>2020</v>
      </c>
      <c r="AG6" s="19">
        <v>0</v>
      </c>
      <c r="AH6" s="19">
        <f>C6</f>
        <v>1.5623834261001326</v>
      </c>
      <c r="AI6" s="19">
        <f>C7</f>
        <v>1.8158097039480634</v>
      </c>
      <c r="AJ6" s="19">
        <f>C8</f>
        <v>2.5044538144060473</v>
      </c>
      <c r="AK6" s="19">
        <f>C9</f>
        <v>2.6002784052427712</v>
      </c>
      <c r="AN6" s="79">
        <f>($AQ36-$AQ6)/30</f>
        <v>3.1711954626438249E-2</v>
      </c>
      <c r="AO6" s="1">
        <v>2020</v>
      </c>
      <c r="AP6" s="19">
        <v>0</v>
      </c>
      <c r="AQ6" s="19">
        <f>E6</f>
        <v>1.5314150914001237</v>
      </c>
      <c r="AR6" s="19">
        <f>E7</f>
        <v>1.7673307464551811</v>
      </c>
      <c r="AS6" s="19">
        <f>E8</f>
        <v>2.4226856374835295</v>
      </c>
      <c r="AT6" s="19">
        <f>E9</f>
        <v>2.5199447152147076</v>
      </c>
      <c r="AW6" s="79">
        <f>(AY36-AY6)/30</f>
        <v>3.7053001647193558E-2</v>
      </c>
      <c r="AX6" s="19">
        <v>0</v>
      </c>
      <c r="AY6" s="19">
        <f>G6</f>
        <v>1.5311836807774646</v>
      </c>
      <c r="AZ6" s="19">
        <f>G7</f>
        <v>1.7667284052216539</v>
      </c>
      <c r="BA6" s="19">
        <f>G8</f>
        <v>2.421874179869953</v>
      </c>
      <c r="BB6" s="19">
        <f>G9</f>
        <v>2.5192070728478795</v>
      </c>
      <c r="BE6" s="79">
        <f>(BG36-BG6)/30</f>
        <v>-6.0363266428571476E-2</v>
      </c>
      <c r="BF6" s="19">
        <v>0</v>
      </c>
      <c r="BG6" s="19">
        <f>K6</f>
        <v>4.4966190407183069</v>
      </c>
      <c r="BH6" s="19">
        <f>K7</f>
        <v>6.1083203124686625</v>
      </c>
      <c r="BI6" s="19">
        <f>K8</f>
        <v>7.1574542805046049</v>
      </c>
      <c r="BJ6" s="19">
        <f>K9</f>
        <v>7.401481912797311</v>
      </c>
      <c r="BM6" s="81">
        <f>(BO36-BO6)/30</f>
        <v>-1.9443779719110554E-2</v>
      </c>
      <c r="BN6" s="19">
        <v>0</v>
      </c>
      <c r="BO6" s="19">
        <f>O6</f>
        <v>2.3545354428835075</v>
      </c>
      <c r="BP6" s="19">
        <f>O7</f>
        <v>2.7634155999360668</v>
      </c>
      <c r="BQ6" s="19">
        <f>O8</f>
        <v>3.4956868154891794</v>
      </c>
      <c r="BR6" s="19">
        <f>O9</f>
        <v>3.6356308242668254</v>
      </c>
      <c r="BU6" s="79">
        <f>(BW36-BW6)/30</f>
        <v>-5.9568554462025171E-2</v>
      </c>
      <c r="BV6" s="19">
        <v>0</v>
      </c>
      <c r="BW6" s="19">
        <f>S6</f>
        <v>5.6383751016696619</v>
      </c>
      <c r="BX6" s="19">
        <f>S7</f>
        <v>6.4471225733613418</v>
      </c>
      <c r="BY6" s="19">
        <f>S8</f>
        <v>8.0198375205840406</v>
      </c>
      <c r="BZ6" s="19">
        <f>S9</f>
        <v>8.3341909453150507</v>
      </c>
    </row>
    <row r="7" spans="1:78" s="19" customFormat="1">
      <c r="A7" s="19">
        <v>25</v>
      </c>
      <c r="B7" s="143">
        <v>107.724089770874</v>
      </c>
      <c r="C7" s="141">
        <v>1.8158097039480634</v>
      </c>
      <c r="D7" s="143">
        <v>344.05970870607399</v>
      </c>
      <c r="E7" s="141">
        <v>1.7673307464551811</v>
      </c>
      <c r="F7" s="143">
        <v>412.41639746037998</v>
      </c>
      <c r="G7" s="141">
        <v>1.7667284052216539</v>
      </c>
      <c r="H7" s="145">
        <v>2102.21278203371</v>
      </c>
      <c r="I7" s="141">
        <v>4.8565701677060913</v>
      </c>
      <c r="J7" s="150">
        <v>220.98389066196901</v>
      </c>
      <c r="K7" s="151">
        <v>6.1083203124686625</v>
      </c>
      <c r="L7" s="147">
        <v>315.733003157307</v>
      </c>
      <c r="M7" s="141">
        <v>2.7603864587979281</v>
      </c>
      <c r="N7" s="143">
        <v>16.740495362852698</v>
      </c>
      <c r="O7" s="141">
        <v>2.7634155999360668</v>
      </c>
      <c r="P7" s="147">
        <v>95.926001310348497</v>
      </c>
      <c r="Q7" s="141">
        <v>6.4946514089606291</v>
      </c>
      <c r="R7" s="143">
        <v>6.38000802737265</v>
      </c>
      <c r="S7" s="141">
        <v>6.4471225733613418</v>
      </c>
      <c r="T7" s="19">
        <f>'MINDSET-Flood MC'!D47</f>
        <v>242</v>
      </c>
      <c r="AA7" s="72">
        <v>2020</v>
      </c>
      <c r="AB7" s="77">
        <f>U10</f>
        <v>1.093801493615252</v>
      </c>
      <c r="AC7" s="71">
        <f>(AB37-AB7)/30</f>
        <v>5.922574533330738E-3</v>
      </c>
      <c r="AE7" s="79">
        <f>(AI36-AI6)/30</f>
        <v>5.9095809346842262E-2</v>
      </c>
      <c r="AF7" s="1">
        <v>2021</v>
      </c>
      <c r="AG7" s="19">
        <v>0</v>
      </c>
      <c r="AH7" s="19">
        <f>AH6+$AE$6</f>
        <v>1.6000631029032373</v>
      </c>
      <c r="AI7" s="19">
        <f>AI6+$AE$7</f>
        <v>1.8749055132949057</v>
      </c>
      <c r="AJ7" s="19">
        <f>AJ6+$AE$8</f>
        <v>2.5684638739292289</v>
      </c>
      <c r="AK7" s="19">
        <f>AK6+$AE$9</f>
        <v>2.6796915989620596</v>
      </c>
      <c r="AN7" s="79">
        <f>(AR36-AR6)/30</f>
        <v>5.3711774596605012E-2</v>
      </c>
      <c r="AO7" s="1">
        <v>2021</v>
      </c>
      <c r="AQ7" s="19">
        <f>AQ6+$AN$6</f>
        <v>1.5631270460265618</v>
      </c>
      <c r="AR7" s="19">
        <f>AR6+$AN$7</f>
        <v>1.821042521051786</v>
      </c>
      <c r="AS7" s="19">
        <f>AS6+$AN$8</f>
        <v>2.4824213029041284</v>
      </c>
      <c r="AT7" s="19">
        <f>AT6+$AN$9</f>
        <v>2.5950356986015981</v>
      </c>
      <c r="AW7" s="79">
        <f>(AZ36-AZ6)/30</f>
        <v>5.9065185971055922E-2</v>
      </c>
      <c r="AY7" s="19">
        <f>AY6+$AW$6</f>
        <v>1.5682366824246581</v>
      </c>
      <c r="AZ7" s="19">
        <f>AZ6+$AW$7</f>
        <v>1.8257935911927099</v>
      </c>
      <c r="BA7" s="19">
        <f>BA6+$AW$8</f>
        <v>2.4869702272110046</v>
      </c>
      <c r="BB7" s="19">
        <f>BB6+$AW$9</f>
        <v>2.5996559776469974</v>
      </c>
      <c r="BE7" s="79">
        <f>(BH36-BH6)/30</f>
        <v>-8.897831552213234E-2</v>
      </c>
      <c r="BG7" s="19">
        <f>BG6+$BE$6</f>
        <v>4.4362557742897355</v>
      </c>
      <c r="BH7" s="19">
        <f t="shared" ref="BH7:BH35" si="0">BH6+$BE$7</f>
        <v>6.0193419969465305</v>
      </c>
      <c r="BI7" s="19">
        <f t="shared" ref="BI7:BI35" si="1">BI6+$BE$8</f>
        <v>7.0654681634670329</v>
      </c>
      <c r="BJ7" s="19">
        <f t="shared" ref="BJ7:BJ35" si="2">BJ6+$BE$9</f>
        <v>7.3069603477042691</v>
      </c>
      <c r="BM7" s="81">
        <f>(BP36-BP6)/30</f>
        <v>-1.9685502009299874E-2</v>
      </c>
      <c r="BO7" s="19">
        <f t="shared" ref="BO7:BO35" si="3">BO6+$BM$6</f>
        <v>2.335091663164397</v>
      </c>
      <c r="BP7" s="19">
        <f>BP6+$BM$7</f>
        <v>2.7437300979267669</v>
      </c>
      <c r="BQ7" s="19">
        <f>BQ6+$BM$8</f>
        <v>3.473208037317673</v>
      </c>
      <c r="BR7" s="19">
        <f>BR6+$BM$9</f>
        <v>3.6117486385237005</v>
      </c>
      <c r="BU7" s="79">
        <f>(BX36-BX6)/30</f>
        <v>-7.228632537925668E-2</v>
      </c>
      <c r="BW7" s="19">
        <f t="shared" ref="BW7:BW35" si="4">BW6+$BU$6</f>
        <v>5.5788065472076367</v>
      </c>
      <c r="BX7" s="19">
        <f>BX6+$BU$7</f>
        <v>6.3748362479820848</v>
      </c>
      <c r="BY7" s="19">
        <f t="shared" ref="BY7:BY35" si="5">BY6+$BU$8</f>
        <v>7.9499053663531773</v>
      </c>
      <c r="BZ7" s="19">
        <f>BZ6+$BU$9</f>
        <v>8.2602159983692669</v>
      </c>
    </row>
    <row r="8" spans="1:78" s="19" customFormat="1">
      <c r="A8" s="19">
        <v>100</v>
      </c>
      <c r="B8" s="143">
        <v>148.578348790343</v>
      </c>
      <c r="C8" s="141">
        <v>2.5044538144060473</v>
      </c>
      <c r="D8" s="143">
        <v>471.64262625479699</v>
      </c>
      <c r="E8" s="141">
        <v>2.4226856374835295</v>
      </c>
      <c r="F8" s="143">
        <v>565.35040780021097</v>
      </c>
      <c r="G8" s="141">
        <v>2.421874179869953</v>
      </c>
      <c r="H8" s="145">
        <v>2478.7530309520598</v>
      </c>
      <c r="I8" s="141">
        <v>5.7264602927525097</v>
      </c>
      <c r="J8" s="150">
        <v>258.93895755801299</v>
      </c>
      <c r="K8" s="151">
        <v>7.1574542805046049</v>
      </c>
      <c r="L8" s="147">
        <v>399.57640090258701</v>
      </c>
      <c r="M8" s="141">
        <v>3.4934114434567847</v>
      </c>
      <c r="N8" s="143">
        <v>21.1765211595519</v>
      </c>
      <c r="O8" s="141">
        <v>3.4956868154891794</v>
      </c>
      <c r="P8" s="147">
        <v>119.198998584412</v>
      </c>
      <c r="Q8" s="141">
        <v>8.0703451986737988</v>
      </c>
      <c r="R8" s="143">
        <v>7.93635101199476</v>
      </c>
      <c r="S8" s="141">
        <v>8.0198375205840406</v>
      </c>
      <c r="T8" s="19">
        <f>'MINDSET-Flood MC'!E47</f>
        <v>330</v>
      </c>
      <c r="AA8" s="72">
        <v>2021</v>
      </c>
      <c r="AB8" s="19">
        <f>AB7+$AC$7</f>
        <v>1.0997240681485827</v>
      </c>
      <c r="AC8" s="71"/>
      <c r="AE8" s="79">
        <f>(AJ36-AJ6)/30</f>
        <v>6.4010059523181798E-2</v>
      </c>
      <c r="AF8" s="1">
        <v>2022</v>
      </c>
      <c r="AH8" s="19">
        <f>AH7+$AE$6</f>
        <v>1.637742779706342</v>
      </c>
      <c r="AI8" s="19">
        <f>AI7+$AE$7</f>
        <v>1.9340013226417481</v>
      </c>
      <c r="AJ8" s="19">
        <f t="shared" ref="AJ8:AJ34" si="6">AJ7+$AE$8</f>
        <v>2.6324739334524105</v>
      </c>
      <c r="AK8" s="19">
        <f t="shared" ref="AK8:AK34" si="7">AK7+$AE$9</f>
        <v>2.7591047926813479</v>
      </c>
      <c r="AN8" s="79">
        <f>(AS36-AS6)/30</f>
        <v>5.9735665420599056E-2</v>
      </c>
      <c r="AO8" s="1">
        <v>2022</v>
      </c>
      <c r="AQ8" s="19">
        <f t="shared" ref="AQ8:AQ34" si="8">AQ7+$AN$6</f>
        <v>1.594839000653</v>
      </c>
      <c r="AR8" s="19">
        <f t="shared" ref="AR8:AR34" si="9">AR7+$AN$7</f>
        <v>1.8747542956483909</v>
      </c>
      <c r="AS8" s="19">
        <f t="shared" ref="AS8:AS35" si="10">AS7+$AN$8</f>
        <v>2.5421569683247274</v>
      </c>
      <c r="AT8" s="19">
        <f t="shared" ref="AT8:AT34" si="11">AT7+$AN$9</f>
        <v>2.6701266819884886</v>
      </c>
      <c r="AW8" s="79">
        <f>(BA36-BA6)/30</f>
        <v>6.5096047341051608E-2</v>
      </c>
      <c r="AY8" s="19">
        <f t="shared" ref="AY8:AY35" si="12">AY7+$AW$6</f>
        <v>1.6052896840718516</v>
      </c>
      <c r="AZ8" s="19">
        <f t="shared" ref="AZ8:AZ34" si="13">AZ7+$AW$7</f>
        <v>1.8848587771637657</v>
      </c>
      <c r="BA8" s="19">
        <f t="shared" ref="BA8:BA35" si="14">BA7+$AW$8</f>
        <v>2.5520662745520561</v>
      </c>
      <c r="BB8" s="19">
        <f t="shared" ref="BB8:BB35" si="15">BB7+$AW$9</f>
        <v>2.6801048824461153</v>
      </c>
      <c r="BE8" s="81">
        <f>(BI36-BI6)/30</f>
        <v>-9.1986117037572271E-2</v>
      </c>
      <c r="BG8" s="19">
        <f t="shared" ref="BG8:BG35" si="16">BG7+$BE$6</f>
        <v>4.3758925078611641</v>
      </c>
      <c r="BH8" s="19">
        <f t="shared" si="0"/>
        <v>5.9303636814243985</v>
      </c>
      <c r="BI8" s="19">
        <f t="shared" si="1"/>
        <v>6.9734820464294609</v>
      </c>
      <c r="BJ8" s="19">
        <f t="shared" si="2"/>
        <v>7.2124387826112271</v>
      </c>
      <c r="BM8" s="81">
        <f>(BQ36-BQ6)/30</f>
        <v>-2.247877817150621E-2</v>
      </c>
      <c r="BO8" s="19">
        <f t="shared" si="3"/>
        <v>2.3156478834452865</v>
      </c>
      <c r="BP8" s="19">
        <f t="shared" ref="BP8:BP35" si="17">BP7+$BM$7</f>
        <v>2.7240445959174671</v>
      </c>
      <c r="BQ8" s="19">
        <f t="shared" ref="BQ8:BQ35" si="18">BQ7+$BM$8</f>
        <v>3.4507292591461667</v>
      </c>
      <c r="BR8" s="19">
        <f t="shared" ref="BR8:BR35" si="19">BR7+$BM$9</f>
        <v>3.5878664527805757</v>
      </c>
      <c r="BU8" s="79">
        <f>(BY36-BY6)/30</f>
        <v>-6.9932154230863713E-2</v>
      </c>
      <c r="BW8" s="19">
        <f t="shared" si="4"/>
        <v>5.5192379927456114</v>
      </c>
      <c r="BX8" s="19">
        <f>BX7+$BU$7</f>
        <v>6.3025499226028279</v>
      </c>
      <c r="BY8" s="19">
        <f t="shared" si="5"/>
        <v>7.8799732121223141</v>
      </c>
      <c r="BZ8" s="19">
        <f>BZ7+$BU$9</f>
        <v>8.1862410514234831</v>
      </c>
    </row>
    <row r="9" spans="1:78" s="19" customFormat="1">
      <c r="A9" s="19">
        <v>200</v>
      </c>
      <c r="B9" s="143">
        <v>154.26320486480299</v>
      </c>
      <c r="C9" s="141">
        <v>2.6002784052427712</v>
      </c>
      <c r="D9" s="143">
        <v>490.57679011763298</v>
      </c>
      <c r="E9" s="141">
        <v>2.5199447152147076</v>
      </c>
      <c r="F9" s="143">
        <v>588.07132005685003</v>
      </c>
      <c r="G9" s="141">
        <v>2.5192070728478795</v>
      </c>
      <c r="H9" s="145">
        <v>2546.5103792802665</v>
      </c>
      <c r="I9" s="141">
        <v>5.882994550057945</v>
      </c>
      <c r="J9" s="150">
        <v>267.76727252096498</v>
      </c>
      <c r="K9" s="151">
        <v>7.401481912797311</v>
      </c>
      <c r="L9" s="147">
        <v>419.12480154493801</v>
      </c>
      <c r="M9" s="141">
        <v>3.6643189503841409</v>
      </c>
      <c r="N9" s="143">
        <v>22.024287970326</v>
      </c>
      <c r="O9" s="141">
        <v>3.6356308242668254</v>
      </c>
      <c r="P9" s="147">
        <v>122.71500038541799</v>
      </c>
      <c r="Q9" s="141">
        <v>8.3083954221677718</v>
      </c>
      <c r="R9" s="143">
        <v>8.2474320175743205</v>
      </c>
      <c r="S9" s="141">
        <v>8.3341909453150507</v>
      </c>
      <c r="T9" s="19">
        <f>'MINDSET-Flood MC'!F47</f>
        <v>540</v>
      </c>
      <c r="U9" s="19" t="s">
        <v>68</v>
      </c>
      <c r="AA9" s="72">
        <v>2022</v>
      </c>
      <c r="AB9" s="19">
        <f t="shared" ref="AB9:AB36" si="20">AB8+$AC$7</f>
        <v>1.1056466426819134</v>
      </c>
      <c r="AC9" s="71"/>
      <c r="AE9" s="79">
        <f>(AK36-AK6)/30</f>
        <v>7.9413193719288372E-2</v>
      </c>
      <c r="AF9" s="1">
        <v>2023</v>
      </c>
      <c r="AH9" s="19">
        <f t="shared" ref="AH9:AH33" si="21">AH8+$AE$6</f>
        <v>1.6754224565094467</v>
      </c>
      <c r="AI9" s="19">
        <f t="shared" ref="AI9:AI35" si="22">AI8+$AE$7</f>
        <v>1.9930971319885904</v>
      </c>
      <c r="AJ9" s="19">
        <f t="shared" si="6"/>
        <v>2.6964839929755922</v>
      </c>
      <c r="AK9" s="19">
        <f t="shared" si="7"/>
        <v>2.8385179864006362</v>
      </c>
      <c r="AN9" s="79">
        <f>(AT36-AT6)/30</f>
        <v>7.5090983386890492E-2</v>
      </c>
      <c r="AO9" s="1">
        <v>2023</v>
      </c>
      <c r="AQ9" s="19">
        <f>AQ8+$AN$6</f>
        <v>1.6265509552794382</v>
      </c>
      <c r="AR9" s="19">
        <f t="shared" si="9"/>
        <v>1.9284660702449958</v>
      </c>
      <c r="AS9" s="19">
        <f t="shared" si="10"/>
        <v>2.6018926337453263</v>
      </c>
      <c r="AT9" s="19">
        <f t="shared" si="11"/>
        <v>2.745217665375379</v>
      </c>
      <c r="AW9" s="79">
        <f>(BB36-BB6)/30</f>
        <v>8.0448904799118107E-2</v>
      </c>
      <c r="AY9" s="19">
        <f t="shared" si="12"/>
        <v>1.6423426857190451</v>
      </c>
      <c r="AZ9" s="19">
        <f t="shared" si="13"/>
        <v>1.9439239631348215</v>
      </c>
      <c r="BA9" s="19">
        <f t="shared" si="14"/>
        <v>2.6171623218931077</v>
      </c>
      <c r="BB9" s="19">
        <f t="shared" si="15"/>
        <v>2.7605537872452333</v>
      </c>
      <c r="BE9" s="80">
        <f>(BJ36-BJ6)/30</f>
        <v>-9.4521565093041673E-2</v>
      </c>
      <c r="BG9" s="19">
        <f t="shared" si="16"/>
        <v>4.3155292414325928</v>
      </c>
      <c r="BH9" s="19">
        <f t="shared" si="0"/>
        <v>5.8413853659022665</v>
      </c>
      <c r="BI9" s="19">
        <f t="shared" si="1"/>
        <v>6.8814959293918889</v>
      </c>
      <c r="BJ9" s="19">
        <f t="shared" si="2"/>
        <v>7.1179172175181851</v>
      </c>
      <c r="BM9" s="81">
        <f>(BR36-BR6)/30</f>
        <v>-2.3882185743124989E-2</v>
      </c>
      <c r="BO9" s="19">
        <f t="shared" si="3"/>
        <v>2.296204103726176</v>
      </c>
      <c r="BP9" s="19">
        <f t="shared" si="17"/>
        <v>2.7043590939081672</v>
      </c>
      <c r="BQ9" s="19">
        <f t="shared" si="18"/>
        <v>3.4282504809746603</v>
      </c>
      <c r="BR9" s="19">
        <f t="shared" si="19"/>
        <v>3.5639842670374509</v>
      </c>
      <c r="BU9" s="79">
        <f>(BZ36-BZ6)/30</f>
        <v>-7.3974946945783007E-2</v>
      </c>
      <c r="BW9" s="19">
        <f t="shared" si="4"/>
        <v>5.4596694382835862</v>
      </c>
      <c r="BX9" s="19">
        <f t="shared" ref="BX9:BX35" si="23">BX8+$BU$7</f>
        <v>6.2302635972235709</v>
      </c>
      <c r="BY9" s="19">
        <f t="shared" si="5"/>
        <v>7.8100410578914508</v>
      </c>
      <c r="BZ9" s="19">
        <f t="shared" ref="BZ9:BZ35" si="24">BZ8+$BU$9</f>
        <v>8.1122661044776994</v>
      </c>
    </row>
    <row r="10" spans="1:78" s="19" customFormat="1">
      <c r="A10" s="20" t="s">
        <v>1</v>
      </c>
      <c r="B10" s="144">
        <v>56.327998339077297</v>
      </c>
      <c r="C10" s="142">
        <v>0.94947124831238305</v>
      </c>
      <c r="D10" s="144">
        <v>180.32301130247399</v>
      </c>
      <c r="E10" s="142">
        <v>0.92626481422880191</v>
      </c>
      <c r="F10" s="144">
        <v>216.188258158633</v>
      </c>
      <c r="G10" s="142">
        <v>0.9261172419822169</v>
      </c>
      <c r="H10" s="146">
        <v>1103.5643743232799</v>
      </c>
      <c r="I10" s="149">
        <v>2.5494744700851801</v>
      </c>
      <c r="J10" s="152">
        <v>116.419787069168</v>
      </c>
      <c r="K10" s="153">
        <v>3.2180144353402897</v>
      </c>
      <c r="L10" s="146">
        <v>152.44232511018899</v>
      </c>
      <c r="M10" s="142">
        <v>1.3327708087968964</v>
      </c>
      <c r="N10" s="144">
        <v>8.0799589540424606</v>
      </c>
      <c r="O10" s="142">
        <v>1.3337887641001769</v>
      </c>
      <c r="P10" s="146">
        <v>46.613182130500803</v>
      </c>
      <c r="Q10" s="142">
        <v>3.1559365017265266</v>
      </c>
      <c r="R10" s="144">
        <v>3.10134829387008</v>
      </c>
      <c r="S10" s="142">
        <v>3.1339729523035604</v>
      </c>
      <c r="T10" s="138"/>
      <c r="U10" s="53">
        <f>'CGE-Flood Weighted Av Calcs'!C9</f>
        <v>1.093801493615252</v>
      </c>
      <c r="AA10" s="72">
        <v>2023</v>
      </c>
      <c r="AB10" s="19">
        <f t="shared" si="20"/>
        <v>1.111569217215244</v>
      </c>
      <c r="AC10" s="71"/>
      <c r="AF10" s="1">
        <v>2024</v>
      </c>
      <c r="AH10" s="19">
        <f t="shared" si="21"/>
        <v>1.7131021333125513</v>
      </c>
      <c r="AI10" s="19">
        <f t="shared" si="22"/>
        <v>2.0521929413354325</v>
      </c>
      <c r="AJ10" s="19">
        <f>AJ9+$AE$8</f>
        <v>2.7604940524987738</v>
      </c>
      <c r="AK10" s="19">
        <f t="shared" si="7"/>
        <v>2.9179311801199246</v>
      </c>
      <c r="AO10" s="1">
        <v>2024</v>
      </c>
      <c r="AQ10" s="19">
        <f t="shared" si="8"/>
        <v>1.6582629099058763</v>
      </c>
      <c r="AR10" s="19">
        <f t="shared" si="9"/>
        <v>1.9821778448416008</v>
      </c>
      <c r="AS10" s="19">
        <f t="shared" si="10"/>
        <v>2.6616282991659252</v>
      </c>
      <c r="AT10" s="19">
        <f t="shared" si="11"/>
        <v>2.8203086487622695</v>
      </c>
      <c r="AY10" s="19">
        <f t="shared" si="12"/>
        <v>1.6793956873662386</v>
      </c>
      <c r="AZ10" s="19">
        <f t="shared" si="13"/>
        <v>2.0029891491058773</v>
      </c>
      <c r="BA10" s="19">
        <f t="shared" si="14"/>
        <v>2.6822583692341593</v>
      </c>
      <c r="BB10" s="19">
        <f t="shared" si="15"/>
        <v>2.8410026920443512</v>
      </c>
      <c r="BE10" s="79"/>
      <c r="BG10" s="19">
        <f t="shared" si="16"/>
        <v>4.2551659750040214</v>
      </c>
      <c r="BH10" s="19">
        <f t="shared" si="0"/>
        <v>5.7524070503801346</v>
      </c>
      <c r="BI10" s="19">
        <f t="shared" si="1"/>
        <v>6.7895098123543169</v>
      </c>
      <c r="BJ10" s="19">
        <f t="shared" si="2"/>
        <v>7.0233956524251431</v>
      </c>
      <c r="BM10" s="79"/>
      <c r="BO10" s="19">
        <f t="shared" si="3"/>
        <v>2.2767603240070655</v>
      </c>
      <c r="BP10" s="19">
        <f t="shared" si="17"/>
        <v>2.6846735918988673</v>
      </c>
      <c r="BQ10" s="19">
        <f t="shared" si="18"/>
        <v>3.405771702803154</v>
      </c>
      <c r="BR10" s="19">
        <f t="shared" si="19"/>
        <v>3.540102081294326</v>
      </c>
      <c r="BW10" s="19">
        <f t="shared" si="4"/>
        <v>5.4001008838215609</v>
      </c>
      <c r="BX10" s="19">
        <f t="shared" si="23"/>
        <v>6.157977271844314</v>
      </c>
      <c r="BY10" s="19">
        <f t="shared" si="5"/>
        <v>7.7401089036605875</v>
      </c>
      <c r="BZ10" s="19">
        <f t="shared" si="24"/>
        <v>8.0382911575319156</v>
      </c>
    </row>
    <row r="11" spans="1:78" s="19" customFormat="1">
      <c r="B11" s="47"/>
      <c r="D11" s="47"/>
      <c r="F11" s="47"/>
      <c r="J11" s="47"/>
      <c r="N11" s="47"/>
      <c r="R11" s="47"/>
      <c r="U11" s="49"/>
      <c r="AA11" s="72">
        <v>2024</v>
      </c>
      <c r="AB11" s="19">
        <f t="shared" si="20"/>
        <v>1.1174917917485747</v>
      </c>
      <c r="AC11" s="71"/>
      <c r="AF11" s="1">
        <v>2025</v>
      </c>
      <c r="AH11" s="19">
        <f t="shared" si="21"/>
        <v>1.750781810115656</v>
      </c>
      <c r="AI11" s="19">
        <f t="shared" si="22"/>
        <v>2.1112887506822746</v>
      </c>
      <c r="AJ11" s="19">
        <f t="shared" si="6"/>
        <v>2.8245041120219554</v>
      </c>
      <c r="AK11" s="19">
        <f t="shared" si="7"/>
        <v>2.9973443738392129</v>
      </c>
      <c r="AO11" s="1">
        <v>2025</v>
      </c>
      <c r="AQ11" s="19">
        <f t="shared" si="8"/>
        <v>1.6899748645323145</v>
      </c>
      <c r="AR11" s="19">
        <f t="shared" si="9"/>
        <v>2.0358896194382057</v>
      </c>
      <c r="AS11" s="19">
        <f t="shared" si="10"/>
        <v>2.7213639645865242</v>
      </c>
      <c r="AT11" s="19">
        <f t="shared" si="11"/>
        <v>2.89539963214916</v>
      </c>
      <c r="AY11" s="19">
        <f t="shared" si="12"/>
        <v>1.7164486890134321</v>
      </c>
      <c r="AZ11" s="19">
        <f t="shared" si="13"/>
        <v>2.0620543350769331</v>
      </c>
      <c r="BA11" s="19">
        <f t="shared" si="14"/>
        <v>2.7473544165752108</v>
      </c>
      <c r="BB11" s="19">
        <f t="shared" si="15"/>
        <v>2.9214515968434691</v>
      </c>
      <c r="BG11" s="19">
        <f t="shared" si="16"/>
        <v>4.19480270857545</v>
      </c>
      <c r="BH11" s="19">
        <f t="shared" si="0"/>
        <v>5.6634287348580026</v>
      </c>
      <c r="BI11" s="19">
        <f t="shared" si="1"/>
        <v>6.697523695316745</v>
      </c>
      <c r="BJ11" s="19">
        <f t="shared" si="2"/>
        <v>6.9288740873321011</v>
      </c>
      <c r="BO11" s="19">
        <f t="shared" si="3"/>
        <v>2.257316544287955</v>
      </c>
      <c r="BP11" s="19">
        <f t="shared" si="17"/>
        <v>2.6649880898895675</v>
      </c>
      <c r="BQ11" s="19">
        <f t="shared" si="18"/>
        <v>3.3832929246316477</v>
      </c>
      <c r="BR11" s="19">
        <f t="shared" si="19"/>
        <v>3.5162198955512012</v>
      </c>
      <c r="BW11" s="19">
        <f t="shared" si="4"/>
        <v>5.3405323293595357</v>
      </c>
      <c r="BX11" s="19">
        <f t="shared" si="23"/>
        <v>6.085690946465057</v>
      </c>
      <c r="BY11" s="19">
        <f t="shared" si="5"/>
        <v>7.6701767494297242</v>
      </c>
      <c r="BZ11" s="19">
        <f t="shared" si="24"/>
        <v>7.9643162105861327</v>
      </c>
    </row>
    <row r="12" spans="1:78" s="19" customFormat="1">
      <c r="AA12" s="72">
        <v>2025</v>
      </c>
      <c r="AB12" s="19">
        <f t="shared" si="20"/>
        <v>1.1234143662819054</v>
      </c>
      <c r="AC12" s="71"/>
      <c r="AF12" s="1">
        <v>2026</v>
      </c>
      <c r="AH12" s="19">
        <f t="shared" si="21"/>
        <v>1.7884614869187607</v>
      </c>
      <c r="AI12" s="19">
        <f>AI11+$AE$7</f>
        <v>2.1703845600291167</v>
      </c>
      <c r="AJ12" s="19">
        <f t="shared" si="6"/>
        <v>2.888514171545137</v>
      </c>
      <c r="AK12" s="19">
        <f t="shared" si="7"/>
        <v>3.0767575675585013</v>
      </c>
      <c r="AO12" s="1">
        <v>2026</v>
      </c>
      <c r="AQ12" s="19">
        <f t="shared" si="8"/>
        <v>1.7216868191587527</v>
      </c>
      <c r="AR12" s="19">
        <f t="shared" si="9"/>
        <v>2.0896013940348106</v>
      </c>
      <c r="AS12" s="19">
        <f t="shared" si="10"/>
        <v>2.7810996300071231</v>
      </c>
      <c r="AT12" s="19">
        <f t="shared" si="11"/>
        <v>2.9704906155360504</v>
      </c>
      <c r="AY12" s="19">
        <f t="shared" si="12"/>
        <v>1.7535016906606256</v>
      </c>
      <c r="AZ12" s="19">
        <f t="shared" si="13"/>
        <v>2.121119521047989</v>
      </c>
      <c r="BA12" s="19">
        <f t="shared" si="14"/>
        <v>2.8124504639162624</v>
      </c>
      <c r="BB12" s="19">
        <f t="shared" si="15"/>
        <v>3.001900501642587</v>
      </c>
      <c r="BG12" s="19">
        <f t="shared" si="16"/>
        <v>4.1344394421468786</v>
      </c>
      <c r="BH12" s="19">
        <f t="shared" si="0"/>
        <v>5.5744504193358706</v>
      </c>
      <c r="BI12" s="19">
        <f t="shared" si="1"/>
        <v>6.605537578279173</v>
      </c>
      <c r="BJ12" s="19">
        <f t="shared" si="2"/>
        <v>6.8343525222390591</v>
      </c>
      <c r="BO12" s="19">
        <f t="shared" si="3"/>
        <v>2.2378727645688445</v>
      </c>
      <c r="BP12" s="19">
        <f t="shared" si="17"/>
        <v>2.6453025878802676</v>
      </c>
      <c r="BQ12" s="19">
        <f t="shared" si="18"/>
        <v>3.3608141464601413</v>
      </c>
      <c r="BR12" s="19">
        <f t="shared" si="19"/>
        <v>3.4923377098080763</v>
      </c>
      <c r="BW12" s="19">
        <f t="shared" si="4"/>
        <v>5.2809637748975105</v>
      </c>
      <c r="BX12" s="19">
        <f t="shared" si="23"/>
        <v>6.0134046210858001</v>
      </c>
      <c r="BY12" s="19">
        <f t="shared" si="5"/>
        <v>7.6002445951988609</v>
      </c>
      <c r="BZ12" s="19">
        <f t="shared" si="24"/>
        <v>7.8903412636403498</v>
      </c>
    </row>
    <row r="13" spans="1:78" s="19" customFormat="1">
      <c r="A13" s="57" t="s">
        <v>47</v>
      </c>
      <c r="AA13" s="72">
        <v>2026</v>
      </c>
      <c r="AB13" s="19">
        <f t="shared" si="20"/>
        <v>1.1293369408152361</v>
      </c>
      <c r="AC13" s="71"/>
      <c r="AF13" s="1">
        <v>2027</v>
      </c>
      <c r="AH13" s="19">
        <f t="shared" si="21"/>
        <v>1.8261411637218654</v>
      </c>
      <c r="AI13" s="19">
        <f t="shared" si="22"/>
        <v>2.2294803693759588</v>
      </c>
      <c r="AJ13" s="19">
        <f t="shared" si="6"/>
        <v>2.9525242310683186</v>
      </c>
      <c r="AK13" s="19">
        <f>AK12+$AE$9</f>
        <v>3.1561707612777896</v>
      </c>
      <c r="AO13" s="1">
        <v>2027</v>
      </c>
      <c r="AQ13" s="19">
        <f t="shared" si="8"/>
        <v>1.7533987737851908</v>
      </c>
      <c r="AR13" s="19">
        <f t="shared" si="9"/>
        <v>2.1433131686314155</v>
      </c>
      <c r="AS13" s="19">
        <f t="shared" si="10"/>
        <v>2.8408352954277221</v>
      </c>
      <c r="AT13" s="19">
        <f t="shared" si="11"/>
        <v>3.0455815989229409</v>
      </c>
      <c r="AY13" s="19">
        <f t="shared" si="12"/>
        <v>1.7905546923078191</v>
      </c>
      <c r="AZ13" s="19">
        <f t="shared" si="13"/>
        <v>2.1801847070190448</v>
      </c>
      <c r="BA13" s="19">
        <f t="shared" si="14"/>
        <v>2.877546511257314</v>
      </c>
      <c r="BB13" s="19">
        <f t="shared" si="15"/>
        <v>3.082349406441705</v>
      </c>
      <c r="BG13" s="19">
        <f t="shared" si="16"/>
        <v>4.0740761757183073</v>
      </c>
      <c r="BH13" s="19">
        <f t="shared" si="0"/>
        <v>5.4854721038137386</v>
      </c>
      <c r="BI13" s="19">
        <f t="shared" si="1"/>
        <v>6.513551461241601</v>
      </c>
      <c r="BJ13" s="19">
        <f t="shared" si="2"/>
        <v>6.7398309571460171</v>
      </c>
      <c r="BO13" s="19">
        <f t="shared" si="3"/>
        <v>2.2184289848497341</v>
      </c>
      <c r="BP13" s="19">
        <f t="shared" si="17"/>
        <v>2.6256170858709678</v>
      </c>
      <c r="BQ13" s="19">
        <f t="shared" si="18"/>
        <v>3.338335368288635</v>
      </c>
      <c r="BR13" s="19">
        <f t="shared" si="19"/>
        <v>3.4684555240649515</v>
      </c>
      <c r="BW13" s="19">
        <f t="shared" si="4"/>
        <v>5.2213952204354852</v>
      </c>
      <c r="BX13" s="19">
        <f t="shared" si="23"/>
        <v>5.9411182957065432</v>
      </c>
      <c r="BY13" s="19">
        <f t="shared" si="5"/>
        <v>7.5303124409679976</v>
      </c>
      <c r="BZ13" s="19">
        <f t="shared" si="24"/>
        <v>7.8163663166945669</v>
      </c>
    </row>
    <row r="14" spans="1:78" s="19" customFormat="1">
      <c r="AA14" s="72">
        <v>2027</v>
      </c>
      <c r="AB14" s="19">
        <f t="shared" si="20"/>
        <v>1.1352595153485667</v>
      </c>
      <c r="AC14" s="71"/>
      <c r="AF14" s="1">
        <v>2028</v>
      </c>
      <c r="AH14" s="19">
        <f t="shared" si="21"/>
        <v>1.8638208405249701</v>
      </c>
      <c r="AI14" s="19">
        <f t="shared" si="22"/>
        <v>2.2885761787228009</v>
      </c>
      <c r="AJ14" s="19">
        <f t="shared" si="6"/>
        <v>3.0165342905915002</v>
      </c>
      <c r="AK14" s="19">
        <f t="shared" si="7"/>
        <v>3.235583954997078</v>
      </c>
      <c r="AO14" s="1">
        <v>2028</v>
      </c>
      <c r="AQ14" s="19">
        <f t="shared" si="8"/>
        <v>1.785110728411629</v>
      </c>
      <c r="AR14" s="19">
        <f t="shared" si="9"/>
        <v>2.1970249432280204</v>
      </c>
      <c r="AS14" s="19">
        <f t="shared" si="10"/>
        <v>2.900570960848321</v>
      </c>
      <c r="AT14" s="19">
        <f t="shared" si="11"/>
        <v>3.1206725823098314</v>
      </c>
      <c r="AY14" s="19">
        <f t="shared" si="12"/>
        <v>1.8276076939550125</v>
      </c>
      <c r="AZ14" s="19">
        <f t="shared" si="13"/>
        <v>2.2392498929901006</v>
      </c>
      <c r="BA14" s="19">
        <f t="shared" si="14"/>
        <v>2.9426425585983655</v>
      </c>
      <c r="BB14" s="19">
        <f t="shared" si="15"/>
        <v>3.1627983112408229</v>
      </c>
      <c r="BG14" s="19">
        <f t="shared" si="16"/>
        <v>4.0137129092897359</v>
      </c>
      <c r="BH14" s="19">
        <f t="shared" si="0"/>
        <v>5.3964937882916066</v>
      </c>
      <c r="BI14" s="19">
        <f t="shared" si="1"/>
        <v>6.421565344204029</v>
      </c>
      <c r="BJ14" s="19">
        <f t="shared" si="2"/>
        <v>6.6453093920529751</v>
      </c>
      <c r="BO14" s="19">
        <f t="shared" si="3"/>
        <v>2.1989852051306236</v>
      </c>
      <c r="BP14" s="19">
        <f t="shared" si="17"/>
        <v>2.6059315838616679</v>
      </c>
      <c r="BQ14" s="19">
        <f t="shared" si="18"/>
        <v>3.3158565901171286</v>
      </c>
      <c r="BR14" s="19">
        <f t="shared" si="19"/>
        <v>3.4445733383218267</v>
      </c>
      <c r="BW14" s="19">
        <f t="shared" si="4"/>
        <v>5.16182666597346</v>
      </c>
      <c r="BX14" s="19">
        <f t="shared" si="23"/>
        <v>5.8688319703272862</v>
      </c>
      <c r="BY14" s="19">
        <f t="shared" si="5"/>
        <v>7.4603802867371343</v>
      </c>
      <c r="BZ14" s="19">
        <f t="shared" si="24"/>
        <v>7.7423913697487841</v>
      </c>
    </row>
    <row r="15" spans="1:78" s="19" customFormat="1">
      <c r="A15" s="38" t="s">
        <v>0</v>
      </c>
      <c r="B15" s="120" t="s">
        <v>3</v>
      </c>
      <c r="C15" s="120"/>
      <c r="D15" s="120" t="s">
        <v>5</v>
      </c>
      <c r="E15" s="120"/>
      <c r="F15" s="120" t="s">
        <v>6</v>
      </c>
      <c r="G15" s="120"/>
      <c r="H15" s="120" t="s">
        <v>7</v>
      </c>
      <c r="I15" s="120"/>
      <c r="J15" s="120"/>
      <c r="K15" s="120"/>
      <c r="L15" s="120" t="s">
        <v>8</v>
      </c>
      <c r="M15" s="120"/>
      <c r="N15" s="120"/>
      <c r="O15" s="120"/>
      <c r="P15" s="120" t="s">
        <v>9</v>
      </c>
      <c r="Q15" s="120"/>
      <c r="R15" s="120"/>
      <c r="S15" s="120"/>
      <c r="T15" s="136"/>
      <c r="AA15" s="72">
        <v>2028</v>
      </c>
      <c r="AB15" s="19">
        <f t="shared" si="20"/>
        <v>1.1411820898818974</v>
      </c>
      <c r="AC15" s="71"/>
      <c r="AF15" s="1">
        <v>2029</v>
      </c>
      <c r="AH15" s="19">
        <f>AH14+$AE$6</f>
        <v>1.9015005173280748</v>
      </c>
      <c r="AI15" s="19">
        <f t="shared" si="22"/>
        <v>2.3476719880696431</v>
      </c>
      <c r="AJ15" s="19">
        <f t="shared" si="6"/>
        <v>3.0805443501146819</v>
      </c>
      <c r="AK15" s="19">
        <f t="shared" si="7"/>
        <v>3.3149971487163663</v>
      </c>
      <c r="AO15" s="1">
        <v>2029</v>
      </c>
      <c r="AQ15" s="19">
        <f t="shared" si="8"/>
        <v>1.8168226830380672</v>
      </c>
      <c r="AR15" s="19">
        <f t="shared" si="9"/>
        <v>2.2507367178246254</v>
      </c>
      <c r="AS15" s="19">
        <f t="shared" si="10"/>
        <v>2.9603066262689199</v>
      </c>
      <c r="AT15" s="19">
        <f t="shared" si="11"/>
        <v>3.1957635656967218</v>
      </c>
      <c r="AY15" s="19">
        <f t="shared" si="12"/>
        <v>1.864660695602206</v>
      </c>
      <c r="AZ15" s="19">
        <f t="shared" si="13"/>
        <v>2.2983150789611564</v>
      </c>
      <c r="BA15" s="19">
        <f t="shared" si="14"/>
        <v>3.0077386059394171</v>
      </c>
      <c r="BB15" s="19">
        <f t="shared" si="15"/>
        <v>3.2432472160399408</v>
      </c>
      <c r="BG15" s="19">
        <f t="shared" si="16"/>
        <v>3.9533496428611645</v>
      </c>
      <c r="BH15" s="19">
        <f t="shared" si="0"/>
        <v>5.3075154727694747</v>
      </c>
      <c r="BI15" s="19">
        <f t="shared" si="1"/>
        <v>6.329579227166457</v>
      </c>
      <c r="BJ15" s="19">
        <f t="shared" si="2"/>
        <v>6.5507878269599331</v>
      </c>
      <c r="BO15" s="19">
        <f t="shared" si="3"/>
        <v>2.1795414254115131</v>
      </c>
      <c r="BP15" s="19">
        <f t="shared" si="17"/>
        <v>2.586246081852368</v>
      </c>
      <c r="BQ15" s="19">
        <f t="shared" si="18"/>
        <v>3.2933778119456223</v>
      </c>
      <c r="BR15" s="19">
        <f t="shared" si="19"/>
        <v>3.4206911525787018</v>
      </c>
      <c r="BW15" s="19">
        <f t="shared" si="4"/>
        <v>5.1022581115114347</v>
      </c>
      <c r="BX15" s="19">
        <f t="shared" si="23"/>
        <v>5.7965456449480293</v>
      </c>
      <c r="BY15" s="19">
        <f t="shared" si="5"/>
        <v>7.390448132506271</v>
      </c>
      <c r="BZ15" s="19">
        <f t="shared" si="24"/>
        <v>7.6684164228030012</v>
      </c>
    </row>
    <row r="16" spans="1:78" s="42" customFormat="1" ht="24">
      <c r="B16" s="45" t="s">
        <v>4</v>
      </c>
      <c r="C16" s="46" t="s">
        <v>2</v>
      </c>
      <c r="D16" s="45" t="s">
        <v>4</v>
      </c>
      <c r="E16" s="46" t="s">
        <v>2</v>
      </c>
      <c r="F16" s="45" t="s">
        <v>4</v>
      </c>
      <c r="G16" s="46" t="s">
        <v>2</v>
      </c>
      <c r="H16" s="45" t="s">
        <v>46</v>
      </c>
      <c r="I16" s="45" t="s">
        <v>45</v>
      </c>
      <c r="J16" s="45" t="s">
        <v>4</v>
      </c>
      <c r="K16" s="46" t="s">
        <v>2</v>
      </c>
      <c r="L16" s="45" t="s">
        <v>44</v>
      </c>
      <c r="M16" s="45" t="s">
        <v>45</v>
      </c>
      <c r="N16" s="45" t="s">
        <v>4</v>
      </c>
      <c r="O16" s="46" t="s">
        <v>2</v>
      </c>
      <c r="P16" s="45" t="s">
        <v>44</v>
      </c>
      <c r="Q16" s="45" t="s">
        <v>45</v>
      </c>
      <c r="R16" s="45" t="s">
        <v>4</v>
      </c>
      <c r="S16" s="46" t="s">
        <v>2</v>
      </c>
      <c r="T16" s="46"/>
      <c r="AA16" s="72">
        <v>2029</v>
      </c>
      <c r="AB16" s="19">
        <f t="shared" si="20"/>
        <v>1.1471046644152281</v>
      </c>
      <c r="AC16" s="73"/>
      <c r="AF16" s="1">
        <v>2030</v>
      </c>
      <c r="AG16" s="19"/>
      <c r="AH16" s="19">
        <f>AH15+$AE$6</f>
        <v>1.9391801941311795</v>
      </c>
      <c r="AI16" s="19">
        <f t="shared" si="22"/>
        <v>2.4067677974164852</v>
      </c>
      <c r="AJ16" s="19">
        <f t="shared" si="6"/>
        <v>3.1445544096378635</v>
      </c>
      <c r="AK16" s="19">
        <f t="shared" si="7"/>
        <v>3.3944103424356546</v>
      </c>
      <c r="AO16" s="1">
        <v>2030</v>
      </c>
      <c r="AQ16" s="19">
        <f>AQ15+$AN$6</f>
        <v>1.8485346376645053</v>
      </c>
      <c r="AR16" s="19">
        <f>AR15+$AN$7</f>
        <v>2.3044484924212303</v>
      </c>
      <c r="AS16" s="19">
        <f>AS15+$AN$8</f>
        <v>3.0200422916895189</v>
      </c>
      <c r="AT16" s="19">
        <f>AT15+$AN$9</f>
        <v>3.2708545490836123</v>
      </c>
      <c r="AY16" s="19">
        <f>AY15+$AW$6</f>
        <v>1.9017136972493995</v>
      </c>
      <c r="AZ16" s="19">
        <f t="shared" si="13"/>
        <v>2.3573802649322122</v>
      </c>
      <c r="BA16" s="19">
        <f t="shared" si="14"/>
        <v>3.0728346532804687</v>
      </c>
      <c r="BB16" s="19">
        <f t="shared" si="15"/>
        <v>3.3236961208390587</v>
      </c>
      <c r="BC16" s="19"/>
      <c r="BD16" s="19"/>
      <c r="BG16" s="19">
        <f t="shared" si="16"/>
        <v>3.8929863764325932</v>
      </c>
      <c r="BH16" s="19">
        <f t="shared" si="0"/>
        <v>5.2185371572473427</v>
      </c>
      <c r="BI16" s="19">
        <f t="shared" si="1"/>
        <v>6.2375931101288851</v>
      </c>
      <c r="BJ16" s="19">
        <f t="shared" si="2"/>
        <v>6.4562662618668911</v>
      </c>
      <c r="BO16" s="19">
        <f t="shared" si="3"/>
        <v>2.1600976456924026</v>
      </c>
      <c r="BP16" s="19">
        <f t="shared" si="17"/>
        <v>2.5665605798430682</v>
      </c>
      <c r="BQ16" s="19">
        <f t="shared" si="18"/>
        <v>3.2708990337741159</v>
      </c>
      <c r="BR16" s="19">
        <f>BR15+$BM$9</f>
        <v>3.396808966835577</v>
      </c>
      <c r="BW16" s="19">
        <f t="shared" si="4"/>
        <v>5.0426895570494095</v>
      </c>
      <c r="BX16" s="19">
        <f t="shared" si="23"/>
        <v>5.7242593195687723</v>
      </c>
      <c r="BY16" s="19">
        <f t="shared" si="5"/>
        <v>7.3205159782754077</v>
      </c>
      <c r="BZ16" s="19">
        <f t="shared" si="24"/>
        <v>7.5944414758572183</v>
      </c>
    </row>
    <row r="17" spans="1:78" s="19" customFormat="1">
      <c r="A17" s="19">
        <v>10</v>
      </c>
      <c r="B17" s="88">
        <v>160.97012770929473</v>
      </c>
      <c r="C17" s="88">
        <v>2.692773730193271</v>
      </c>
      <c r="D17" s="88">
        <v>483.22920967621445</v>
      </c>
      <c r="E17" s="88">
        <v>2.4827737301932711</v>
      </c>
      <c r="F17" s="88">
        <v>665.06326091162805</v>
      </c>
      <c r="G17" s="88">
        <f t="shared" ref="G17:G20" si="25">E17+0.16</f>
        <v>2.6427737301932712</v>
      </c>
      <c r="H17" s="88">
        <v>415.85768542136049</v>
      </c>
      <c r="I17" s="88">
        <v>2.5957036728129363</v>
      </c>
      <c r="J17" s="88">
        <v>12.23117685926065</v>
      </c>
      <c r="K17" s="88">
        <v>2.6857210478611626</v>
      </c>
      <c r="L17" s="88">
        <v>586.5</v>
      </c>
      <c r="M17" s="88">
        <v>5.1267482517482517</v>
      </c>
      <c r="N17" s="88">
        <v>10.73927354150395</v>
      </c>
      <c r="O17" s="88">
        <v>1.7712220513101908</v>
      </c>
      <c r="P17" s="88">
        <v>85.5</v>
      </c>
      <c r="Q17" s="88">
        <v>5.7809330628803242</v>
      </c>
      <c r="R17" s="88">
        <v>3.8163870093058798</v>
      </c>
      <c r="S17" s="88">
        <v>3.8513184678089067</v>
      </c>
      <c r="T17" s="88"/>
      <c r="AA17" s="72">
        <v>2030</v>
      </c>
      <c r="AB17" s="19">
        <f t="shared" si="20"/>
        <v>1.1530272389485587</v>
      </c>
      <c r="AC17" s="71"/>
      <c r="AF17" s="1">
        <v>2031</v>
      </c>
      <c r="AH17" s="19">
        <f t="shared" si="21"/>
        <v>1.9768598709342842</v>
      </c>
      <c r="AI17" s="19">
        <f t="shared" si="22"/>
        <v>2.4658636067633273</v>
      </c>
      <c r="AJ17" s="19">
        <f t="shared" si="6"/>
        <v>3.2085644691610451</v>
      </c>
      <c r="AK17" s="19">
        <f t="shared" si="7"/>
        <v>3.473823536154943</v>
      </c>
      <c r="AO17" s="1">
        <v>2031</v>
      </c>
      <c r="AQ17" s="19">
        <f t="shared" si="8"/>
        <v>1.8802465922909435</v>
      </c>
      <c r="AR17" s="19">
        <f t="shared" si="9"/>
        <v>2.3581602670178352</v>
      </c>
      <c r="AS17" s="19">
        <f t="shared" si="10"/>
        <v>3.0797779571101178</v>
      </c>
      <c r="AT17" s="19">
        <f t="shared" si="11"/>
        <v>3.3459455324705027</v>
      </c>
      <c r="AY17" s="19">
        <f t="shared" si="12"/>
        <v>1.938766698896593</v>
      </c>
      <c r="AZ17" s="19">
        <f t="shared" si="13"/>
        <v>2.416445450903268</v>
      </c>
      <c r="BA17" s="19">
        <f t="shared" si="14"/>
        <v>3.1379307006215202</v>
      </c>
      <c r="BB17" s="19">
        <f t="shared" si="15"/>
        <v>3.4041450256381767</v>
      </c>
      <c r="BG17" s="19">
        <f t="shared" si="16"/>
        <v>3.8326231100040218</v>
      </c>
      <c r="BH17" s="19">
        <f t="shared" si="0"/>
        <v>5.1295588417252107</v>
      </c>
      <c r="BI17" s="19">
        <f t="shared" si="1"/>
        <v>6.1456069930913131</v>
      </c>
      <c r="BJ17" s="19">
        <f t="shared" si="2"/>
        <v>6.3617446967738491</v>
      </c>
      <c r="BO17" s="19">
        <f t="shared" si="3"/>
        <v>2.1406538659732921</v>
      </c>
      <c r="BP17" s="19">
        <f t="shared" si="17"/>
        <v>2.5468750778337683</v>
      </c>
      <c r="BQ17" s="19">
        <f t="shared" si="18"/>
        <v>3.2484202556026096</v>
      </c>
      <c r="BR17" s="19">
        <f t="shared" si="19"/>
        <v>3.3729267810924521</v>
      </c>
      <c r="BW17" s="19">
        <f t="shared" si="4"/>
        <v>4.9831210025873842</v>
      </c>
      <c r="BX17" s="19">
        <f t="shared" si="23"/>
        <v>5.6519729941895154</v>
      </c>
      <c r="BY17" s="19">
        <f t="shared" si="5"/>
        <v>7.2505838240445444</v>
      </c>
      <c r="BZ17" s="19">
        <f t="shared" si="24"/>
        <v>7.5204665289114354</v>
      </c>
    </row>
    <row r="18" spans="1:78" s="19" customFormat="1">
      <c r="A18" s="19">
        <v>25</v>
      </c>
      <c r="B18" s="88">
        <v>214.52634983489483</v>
      </c>
      <c r="C18" s="88">
        <v>3.5886839843533314</v>
      </c>
      <c r="D18" s="88">
        <v>657.60273344669565</v>
      </c>
      <c r="E18" s="88">
        <v>3.3786839843533314</v>
      </c>
      <c r="F18" s="88">
        <v>873.92560032874269</v>
      </c>
      <c r="G18" s="88">
        <f t="shared" si="25"/>
        <v>3.5386839843533315</v>
      </c>
      <c r="H18" s="88">
        <v>528.185541493355</v>
      </c>
      <c r="I18" s="88">
        <v>3.2968325416225888</v>
      </c>
      <c r="J18" s="88">
        <v>15.6615895290418</v>
      </c>
      <c r="K18" s="88">
        <v>3.4389708468046924</v>
      </c>
      <c r="L18" s="88">
        <v>735</v>
      </c>
      <c r="M18" s="88">
        <v>6.424825174825175</v>
      </c>
      <c r="N18" s="88">
        <v>13.17442739204875</v>
      </c>
      <c r="O18" s="88">
        <v>2.1728505396570705</v>
      </c>
      <c r="P18" s="88">
        <v>102</v>
      </c>
      <c r="Q18" s="88">
        <v>6.8965517241379306</v>
      </c>
      <c r="R18" s="88">
        <v>4.2397265193789497</v>
      </c>
      <c r="S18" s="88">
        <v>4.2785328119836414</v>
      </c>
      <c r="T18" s="88"/>
      <c r="AA18" s="72">
        <v>2031</v>
      </c>
      <c r="AB18" s="19">
        <f t="shared" si="20"/>
        <v>1.1589498134818894</v>
      </c>
      <c r="AC18" s="71"/>
      <c r="AF18" s="1">
        <v>2032</v>
      </c>
      <c r="AH18" s="19">
        <f>AH17+$AE$6</f>
        <v>2.0145395477373889</v>
      </c>
      <c r="AI18" s="19">
        <f t="shared" si="22"/>
        <v>2.5249594161101694</v>
      </c>
      <c r="AJ18" s="19">
        <f t="shared" si="6"/>
        <v>3.2725745286842267</v>
      </c>
      <c r="AK18" s="19">
        <f t="shared" si="7"/>
        <v>3.5532367298742313</v>
      </c>
      <c r="AO18" s="1">
        <v>2032</v>
      </c>
      <c r="AQ18" s="19">
        <f t="shared" si="8"/>
        <v>1.9119585469173817</v>
      </c>
      <c r="AR18" s="19">
        <f t="shared" si="9"/>
        <v>2.4118720416144401</v>
      </c>
      <c r="AS18" s="19">
        <f t="shared" si="10"/>
        <v>3.1395136225307168</v>
      </c>
      <c r="AT18" s="19">
        <f t="shared" si="11"/>
        <v>3.4210365158573932</v>
      </c>
      <c r="AY18" s="19">
        <f t="shared" si="12"/>
        <v>1.9758197005437865</v>
      </c>
      <c r="AZ18" s="19">
        <f t="shared" si="13"/>
        <v>2.4755106368743238</v>
      </c>
      <c r="BA18" s="19">
        <f t="shared" si="14"/>
        <v>3.2030267479625718</v>
      </c>
      <c r="BB18" s="19">
        <f t="shared" si="15"/>
        <v>3.4845939304372946</v>
      </c>
      <c r="BG18" s="19">
        <f t="shared" si="16"/>
        <v>3.7722598435754504</v>
      </c>
      <c r="BH18" s="19">
        <f t="shared" si="0"/>
        <v>5.0405805262030787</v>
      </c>
      <c r="BI18" s="19">
        <f t="shared" si="1"/>
        <v>6.0536208760537411</v>
      </c>
      <c r="BJ18" s="19">
        <f t="shared" si="2"/>
        <v>6.2672231316808071</v>
      </c>
      <c r="BO18" s="19">
        <f t="shared" si="3"/>
        <v>2.1212100862541816</v>
      </c>
      <c r="BP18" s="19">
        <f t="shared" si="17"/>
        <v>2.5271895758244685</v>
      </c>
      <c r="BQ18" s="19">
        <f t="shared" si="18"/>
        <v>3.2259414774311033</v>
      </c>
      <c r="BR18" s="19">
        <f t="shared" si="19"/>
        <v>3.3490445953493273</v>
      </c>
      <c r="BW18" s="19">
        <f t="shared" si="4"/>
        <v>4.923552448125359</v>
      </c>
      <c r="BX18" s="19">
        <f t="shared" si="23"/>
        <v>5.5796866688102584</v>
      </c>
      <c r="BY18" s="19">
        <f t="shared" si="5"/>
        <v>7.1806516698136811</v>
      </c>
      <c r="BZ18" s="19">
        <f t="shared" si="24"/>
        <v>7.4464915819656525</v>
      </c>
    </row>
    <row r="19" spans="1:78" s="19" customFormat="1">
      <c r="A19" s="19">
        <v>100</v>
      </c>
      <c r="B19" s="88">
        <v>297.85707429565099</v>
      </c>
      <c r="C19" s="88">
        <v>4.4247556001015012</v>
      </c>
      <c r="D19" s="88">
        <v>928.91895938383755</v>
      </c>
      <c r="E19" s="88">
        <v>4.2147556001015012</v>
      </c>
      <c r="F19" s="88">
        <v>1198.9046478683379</v>
      </c>
      <c r="G19" s="88">
        <f t="shared" si="25"/>
        <v>4.3747556001015013</v>
      </c>
      <c r="H19" s="88">
        <v>693.53492150275497</v>
      </c>
      <c r="I19" s="88">
        <v>4.3289115629658266</v>
      </c>
      <c r="J19" s="88">
        <v>20.028563736083452</v>
      </c>
      <c r="K19" s="88">
        <v>4.3978707693774366</v>
      </c>
      <c r="L19" s="88">
        <v>891</v>
      </c>
      <c r="M19" s="88">
        <v>7.7884615384615383</v>
      </c>
      <c r="N19" s="88">
        <v>17.106248465389697</v>
      </c>
      <c r="O19" s="88">
        <v>2.8213234703439931</v>
      </c>
      <c r="P19" s="88">
        <v>138.99999999999997</v>
      </c>
      <c r="Q19" s="88">
        <v>9.3982420554428661</v>
      </c>
      <c r="R19" s="88">
        <v>5.8681615065126502</v>
      </c>
      <c r="S19" s="88">
        <v>5.9218728936581293</v>
      </c>
      <c r="T19" s="88"/>
      <c r="AA19" s="72">
        <v>2032</v>
      </c>
      <c r="AB19" s="19">
        <f t="shared" si="20"/>
        <v>1.1648723880152201</v>
      </c>
      <c r="AC19" s="71"/>
      <c r="AF19" s="1">
        <v>2033</v>
      </c>
      <c r="AH19" s="19">
        <f t="shared" si="21"/>
        <v>2.0522192245404933</v>
      </c>
      <c r="AI19" s="19">
        <f t="shared" si="22"/>
        <v>2.5840552254570115</v>
      </c>
      <c r="AJ19" s="19">
        <f t="shared" si="6"/>
        <v>3.3365845882074083</v>
      </c>
      <c r="AK19" s="19">
        <f t="shared" si="7"/>
        <v>3.6326499235935197</v>
      </c>
      <c r="AO19" s="1">
        <v>2033</v>
      </c>
      <c r="AQ19" s="19">
        <f t="shared" si="8"/>
        <v>1.9436705015438198</v>
      </c>
      <c r="AR19" s="19">
        <f t="shared" si="9"/>
        <v>2.4655838162110451</v>
      </c>
      <c r="AS19" s="19">
        <f t="shared" si="10"/>
        <v>3.1992492879513157</v>
      </c>
      <c r="AT19" s="19">
        <f t="shared" si="11"/>
        <v>3.4961274992442837</v>
      </c>
      <c r="AY19" s="19">
        <f t="shared" si="12"/>
        <v>2.0128727021909802</v>
      </c>
      <c r="AZ19" s="19">
        <f t="shared" si="13"/>
        <v>2.5345758228453796</v>
      </c>
      <c r="BA19" s="19">
        <f t="shared" si="14"/>
        <v>3.2681227953036234</v>
      </c>
      <c r="BB19" s="19">
        <f t="shared" si="15"/>
        <v>3.5650428352364125</v>
      </c>
      <c r="BG19" s="19">
        <f t="shared" si="16"/>
        <v>3.711896577146879</v>
      </c>
      <c r="BH19" s="19">
        <f t="shared" si="0"/>
        <v>4.9516022106809467</v>
      </c>
      <c r="BI19" s="19">
        <f t="shared" si="1"/>
        <v>5.9616347590161691</v>
      </c>
      <c r="BJ19" s="19">
        <f t="shared" si="2"/>
        <v>6.1727015665877651</v>
      </c>
      <c r="BO19" s="19">
        <f t="shared" si="3"/>
        <v>2.1017663065350711</v>
      </c>
      <c r="BP19" s="19">
        <f t="shared" si="17"/>
        <v>2.5075040738151686</v>
      </c>
      <c r="BQ19" s="19">
        <f t="shared" si="18"/>
        <v>3.2034626992595969</v>
      </c>
      <c r="BR19" s="19">
        <f t="shared" si="19"/>
        <v>3.3251624096062025</v>
      </c>
      <c r="BW19" s="19">
        <f t="shared" si="4"/>
        <v>4.8639838936633337</v>
      </c>
      <c r="BX19" s="19">
        <f t="shared" si="23"/>
        <v>5.5074003434310015</v>
      </c>
      <c r="BY19" s="19">
        <f t="shared" si="5"/>
        <v>7.1107195155828178</v>
      </c>
      <c r="BZ19" s="19">
        <f t="shared" si="24"/>
        <v>7.3725166350198696</v>
      </c>
    </row>
    <row r="20" spans="1:78" s="19" customFormat="1">
      <c r="A20" s="19">
        <v>200</v>
      </c>
      <c r="B20" s="88">
        <v>314.01283811480874</v>
      </c>
      <c r="C20" s="88">
        <v>4.9826742168214224</v>
      </c>
      <c r="D20" s="88">
        <v>981.52045654962751</v>
      </c>
      <c r="E20" s="88">
        <v>4.7726742168214225</v>
      </c>
      <c r="F20" s="88">
        <v>1261.9100372034216</v>
      </c>
      <c r="G20" s="88">
        <f t="shared" si="25"/>
        <v>4.9326742168214226</v>
      </c>
      <c r="H20" s="88">
        <v>714.04189303133001</v>
      </c>
      <c r="I20" s="88">
        <v>4.4569121342695839</v>
      </c>
      <c r="J20" s="88">
        <v>20.793497876670148</v>
      </c>
      <c r="K20" s="88">
        <v>4.565834960006061</v>
      </c>
      <c r="L20" s="88">
        <v>924.5</v>
      </c>
      <c r="M20" s="88">
        <v>8.0812937062937067</v>
      </c>
      <c r="N20" s="88">
        <v>17.699482755763153</v>
      </c>
      <c r="O20" s="88">
        <v>2.9191652519730757</v>
      </c>
      <c r="P20" s="88">
        <v>144.5</v>
      </c>
      <c r="Q20" s="88">
        <v>9.7701149425287355</v>
      </c>
      <c r="R20" s="88">
        <v>6.0594800081315006</v>
      </c>
      <c r="S20" s="88">
        <v>6.1149425369415606</v>
      </c>
      <c r="T20" s="88"/>
      <c r="U20" s="19" t="s">
        <v>67</v>
      </c>
      <c r="AA20" s="72">
        <v>2033</v>
      </c>
      <c r="AB20" s="19">
        <f t="shared" si="20"/>
        <v>1.1707949625485508</v>
      </c>
      <c r="AC20" s="71"/>
      <c r="AF20" s="1">
        <v>2034</v>
      </c>
      <c r="AH20" s="19">
        <f t="shared" si="21"/>
        <v>2.0898989013435978</v>
      </c>
      <c r="AI20" s="19">
        <f t="shared" si="22"/>
        <v>2.6431510348038536</v>
      </c>
      <c r="AJ20" s="19">
        <f t="shared" si="6"/>
        <v>3.4005946477305899</v>
      </c>
      <c r="AK20" s="19">
        <f t="shared" si="7"/>
        <v>3.712063117312808</v>
      </c>
      <c r="AO20" s="1">
        <v>2034</v>
      </c>
      <c r="AQ20" s="19">
        <f t="shared" si="8"/>
        <v>1.975382456170258</v>
      </c>
      <c r="AR20" s="19">
        <f t="shared" si="9"/>
        <v>2.51929559080765</v>
      </c>
      <c r="AS20" s="19">
        <f t="shared" si="10"/>
        <v>3.2589849533719146</v>
      </c>
      <c r="AT20" s="19">
        <f t="shared" si="11"/>
        <v>3.5712184826311741</v>
      </c>
      <c r="AY20" s="19">
        <f t="shared" si="12"/>
        <v>2.049925703838174</v>
      </c>
      <c r="AZ20" s="19">
        <f t="shared" si="13"/>
        <v>2.5936410088164354</v>
      </c>
      <c r="BA20" s="19">
        <f t="shared" si="14"/>
        <v>3.3332188426446749</v>
      </c>
      <c r="BB20" s="19">
        <f t="shared" si="15"/>
        <v>3.6454917400355304</v>
      </c>
      <c r="BG20" s="19">
        <f t="shared" si="16"/>
        <v>3.6515333107183077</v>
      </c>
      <c r="BH20" s="19">
        <f t="shared" si="0"/>
        <v>4.8626238951588148</v>
      </c>
      <c r="BI20" s="19">
        <f t="shared" si="1"/>
        <v>5.8696486419785971</v>
      </c>
      <c r="BJ20" s="19">
        <f t="shared" si="2"/>
        <v>6.0781800014947232</v>
      </c>
      <c r="BO20" s="19">
        <f t="shared" si="3"/>
        <v>2.0823225268159606</v>
      </c>
      <c r="BP20" s="19">
        <f t="shared" si="17"/>
        <v>2.4878185718058687</v>
      </c>
      <c r="BQ20" s="19">
        <f t="shared" si="18"/>
        <v>3.1809839210880906</v>
      </c>
      <c r="BR20" s="19">
        <f t="shared" si="19"/>
        <v>3.3012802238630776</v>
      </c>
      <c r="BW20" s="19">
        <f t="shared" si="4"/>
        <v>4.8044153392013085</v>
      </c>
      <c r="BX20" s="19">
        <f t="shared" si="23"/>
        <v>5.4351140180517445</v>
      </c>
      <c r="BY20" s="19">
        <f t="shared" si="5"/>
        <v>7.0407873613519545</v>
      </c>
      <c r="BZ20" s="19">
        <f t="shared" si="24"/>
        <v>7.2985416880740868</v>
      </c>
    </row>
    <row r="21" spans="1:78" s="19" customFormat="1">
      <c r="A21" s="20" t="s">
        <v>1</v>
      </c>
      <c r="B21" s="97">
        <v>75.959705965139065</v>
      </c>
      <c r="C21" s="98">
        <v>1.2706848387765857</v>
      </c>
      <c r="D21" s="97">
        <v>206.44406299467846</v>
      </c>
      <c r="E21" s="98">
        <v>1.0606848387765857</v>
      </c>
      <c r="F21" s="97">
        <v>333.53361121602887</v>
      </c>
      <c r="G21" s="98">
        <v>1.4306848387765856</v>
      </c>
      <c r="H21" s="97">
        <v>236.0688194365415</v>
      </c>
      <c r="I21" s="97">
        <v>1.4734961577713095</v>
      </c>
      <c r="J21" s="97">
        <v>6.8610879041755997</v>
      </c>
      <c r="K21" s="98">
        <v>1.5065572518083852</v>
      </c>
      <c r="L21" s="97">
        <v>321.53483333333452</v>
      </c>
      <c r="M21" s="97">
        <v>2.8106191724941829</v>
      </c>
      <c r="N21" s="97">
        <v>5.8761272571636498</v>
      </c>
      <c r="O21" s="98">
        <v>2.009270144297342</v>
      </c>
      <c r="P21" s="97">
        <v>48</v>
      </c>
      <c r="Q21" s="97">
        <v>3.2672864548118392</v>
      </c>
      <c r="R21" s="97">
        <v>1.991046064088565</v>
      </c>
      <c r="S21" s="98">
        <v>2.009270144297342</v>
      </c>
      <c r="T21" s="139"/>
      <c r="U21" s="56">
        <f>'CGE-Flood Weighted Av Calcs'!C24</f>
        <v>1.2714787296151742</v>
      </c>
      <c r="AA21" s="72">
        <v>2034</v>
      </c>
      <c r="AB21" s="19">
        <f t="shared" si="20"/>
        <v>1.1767175370818814</v>
      </c>
      <c r="AC21" s="71"/>
      <c r="AF21" s="37">
        <v>2035</v>
      </c>
      <c r="AG21" s="34"/>
      <c r="AH21" s="34">
        <f>AH20+$AE$6</f>
        <v>2.1275785781467023</v>
      </c>
      <c r="AI21" s="34">
        <f t="shared" si="22"/>
        <v>2.7022468441506957</v>
      </c>
      <c r="AJ21" s="34">
        <f t="shared" si="6"/>
        <v>3.4646047072537716</v>
      </c>
      <c r="AK21" s="34">
        <f t="shared" si="7"/>
        <v>3.7914763110320964</v>
      </c>
      <c r="AO21" s="37">
        <v>2035</v>
      </c>
      <c r="AP21" s="34"/>
      <c r="AQ21" s="34">
        <f t="shared" si="8"/>
        <v>2.0070944107966961</v>
      </c>
      <c r="AR21" s="34">
        <f t="shared" si="9"/>
        <v>2.5730073654042549</v>
      </c>
      <c r="AS21" s="34">
        <f t="shared" si="10"/>
        <v>3.3187206187925136</v>
      </c>
      <c r="AT21" s="34">
        <f t="shared" si="11"/>
        <v>3.6463094660180646</v>
      </c>
      <c r="AY21" s="34">
        <f t="shared" si="12"/>
        <v>2.0869787054853677</v>
      </c>
      <c r="AZ21" s="34">
        <f t="shared" si="13"/>
        <v>2.6527061947874913</v>
      </c>
      <c r="BA21" s="34">
        <f t="shared" si="14"/>
        <v>3.3983148899857265</v>
      </c>
      <c r="BB21" s="34">
        <f t="shared" si="15"/>
        <v>3.7259406448346484</v>
      </c>
      <c r="BG21" s="34">
        <f t="shared" si="16"/>
        <v>3.5911700442897363</v>
      </c>
      <c r="BH21" s="34">
        <f t="shared" si="0"/>
        <v>4.7736455796366828</v>
      </c>
      <c r="BI21" s="34">
        <f t="shared" si="1"/>
        <v>5.7776625249410252</v>
      </c>
      <c r="BJ21" s="34">
        <f t="shared" si="2"/>
        <v>5.9836584364016812</v>
      </c>
      <c r="BO21" s="34">
        <f t="shared" si="3"/>
        <v>2.0628787470968502</v>
      </c>
      <c r="BP21" s="34">
        <f t="shared" si="17"/>
        <v>2.4681330697965689</v>
      </c>
      <c r="BQ21" s="34">
        <f t="shared" si="18"/>
        <v>3.1585051429165842</v>
      </c>
      <c r="BR21" s="34">
        <f t="shared" si="19"/>
        <v>3.2773980381199528</v>
      </c>
      <c r="BW21" s="34">
        <f t="shared" si="4"/>
        <v>4.7448467847392832</v>
      </c>
      <c r="BX21" s="34">
        <f t="shared" si="23"/>
        <v>5.3628276926724876</v>
      </c>
      <c r="BY21" s="34">
        <f t="shared" si="5"/>
        <v>6.9708552071210912</v>
      </c>
      <c r="BZ21" s="34">
        <f t="shared" si="24"/>
        <v>7.2245667411283039</v>
      </c>
    </row>
    <row r="22" spans="1:78" s="19" customFormat="1">
      <c r="B22" s="47"/>
      <c r="D22" s="47"/>
      <c r="F22" s="47"/>
      <c r="J22" s="47"/>
      <c r="N22" s="47"/>
      <c r="R22" s="47"/>
      <c r="U22" s="49"/>
      <c r="AA22" s="72">
        <v>2035</v>
      </c>
      <c r="AB22" s="19">
        <f t="shared" si="20"/>
        <v>1.1826401116152121</v>
      </c>
      <c r="AC22" s="71"/>
      <c r="AF22" s="1">
        <v>2036</v>
      </c>
      <c r="AH22" s="19">
        <f>AH21+$AE$6</f>
        <v>2.1652582549498067</v>
      </c>
      <c r="AI22" s="19">
        <f t="shared" si="22"/>
        <v>2.7613426534975378</v>
      </c>
      <c r="AJ22" s="19">
        <f t="shared" si="6"/>
        <v>3.5286147667769532</v>
      </c>
      <c r="AK22" s="19">
        <f t="shared" si="7"/>
        <v>3.8708895047513847</v>
      </c>
      <c r="AO22" s="1">
        <v>2036</v>
      </c>
      <c r="AQ22" s="19">
        <f t="shared" si="8"/>
        <v>2.0388063654231345</v>
      </c>
      <c r="AR22" s="19">
        <f t="shared" si="9"/>
        <v>2.6267191400008598</v>
      </c>
      <c r="AS22" s="19">
        <f t="shared" si="10"/>
        <v>3.3784562842131125</v>
      </c>
      <c r="AT22" s="19">
        <f t="shared" si="11"/>
        <v>3.7214004494049551</v>
      </c>
      <c r="AY22" s="19">
        <f t="shared" si="12"/>
        <v>2.1240317071325614</v>
      </c>
      <c r="AZ22" s="19">
        <f t="shared" si="13"/>
        <v>2.7117713807585471</v>
      </c>
      <c r="BA22" s="19">
        <f t="shared" si="14"/>
        <v>3.4634109373267781</v>
      </c>
      <c r="BB22" s="19">
        <f t="shared" si="15"/>
        <v>3.8063895496337663</v>
      </c>
      <c r="BG22" s="19">
        <f t="shared" si="16"/>
        <v>3.5308067778611649</v>
      </c>
      <c r="BH22" s="19">
        <f t="shared" si="0"/>
        <v>4.6846672641145508</v>
      </c>
      <c r="BI22" s="19">
        <f t="shared" si="1"/>
        <v>5.6856764079034532</v>
      </c>
      <c r="BJ22" s="19">
        <f t="shared" si="2"/>
        <v>5.8891368713086392</v>
      </c>
      <c r="BO22" s="19">
        <f t="shared" si="3"/>
        <v>2.0434349673777397</v>
      </c>
      <c r="BP22" s="19">
        <f t="shared" si="17"/>
        <v>2.448447567787269</v>
      </c>
      <c r="BQ22" s="19">
        <f t="shared" si="18"/>
        <v>3.1360263647450779</v>
      </c>
      <c r="BR22" s="19">
        <f t="shared" si="19"/>
        <v>3.2535158523768279</v>
      </c>
      <c r="BW22" s="19">
        <f t="shared" si="4"/>
        <v>4.685278230277258</v>
      </c>
      <c r="BX22" s="19">
        <f t="shared" si="23"/>
        <v>5.2905413672932307</v>
      </c>
      <c r="BY22" s="19">
        <f t="shared" si="5"/>
        <v>6.9009230528902279</v>
      </c>
      <c r="BZ22" s="19">
        <f t="shared" si="24"/>
        <v>7.150591794182521</v>
      </c>
    </row>
    <row r="23" spans="1:78" s="19" customFormat="1">
      <c r="AA23" s="72">
        <v>2036</v>
      </c>
      <c r="AB23" s="19">
        <f t="shared" si="20"/>
        <v>1.1885626861485428</v>
      </c>
      <c r="AC23" s="71"/>
      <c r="AF23" s="1">
        <v>2037</v>
      </c>
      <c r="AH23" s="19">
        <f t="shared" si="21"/>
        <v>2.2029379317529112</v>
      </c>
      <c r="AI23" s="19">
        <f t="shared" si="22"/>
        <v>2.8204384628443799</v>
      </c>
      <c r="AJ23" s="19">
        <f t="shared" si="6"/>
        <v>3.5926248263001348</v>
      </c>
      <c r="AK23" s="19">
        <f t="shared" si="7"/>
        <v>3.9503026984706731</v>
      </c>
      <c r="AO23" s="1">
        <v>2037</v>
      </c>
      <c r="AQ23" s="19">
        <f t="shared" si="8"/>
        <v>2.0705183200495729</v>
      </c>
      <c r="AR23" s="19">
        <f t="shared" si="9"/>
        <v>2.6804309145974647</v>
      </c>
      <c r="AS23" s="19">
        <f t="shared" si="10"/>
        <v>3.4381919496337114</v>
      </c>
      <c r="AT23" s="19">
        <f t="shared" si="11"/>
        <v>3.7964914327918455</v>
      </c>
      <c r="AY23" s="19">
        <f t="shared" si="12"/>
        <v>2.1610847087797551</v>
      </c>
      <c r="AZ23" s="19">
        <f t="shared" si="13"/>
        <v>2.7708365667296029</v>
      </c>
      <c r="BA23" s="19">
        <f t="shared" si="14"/>
        <v>3.5285069846678296</v>
      </c>
      <c r="BB23" s="19">
        <f t="shared" si="15"/>
        <v>3.8868384544328842</v>
      </c>
      <c r="BG23" s="19">
        <f t="shared" si="16"/>
        <v>3.4704435114325936</v>
      </c>
      <c r="BH23" s="19">
        <f t="shared" si="0"/>
        <v>4.5956889485924188</v>
      </c>
      <c r="BI23" s="19">
        <f t="shared" si="1"/>
        <v>5.5936902908658812</v>
      </c>
      <c r="BJ23" s="19">
        <f t="shared" si="2"/>
        <v>5.7946153062155972</v>
      </c>
      <c r="BO23" s="19">
        <f t="shared" si="3"/>
        <v>2.0239911876586292</v>
      </c>
      <c r="BP23" s="19">
        <f t="shared" si="17"/>
        <v>2.4287620657779692</v>
      </c>
      <c r="BQ23" s="19">
        <f t="shared" si="18"/>
        <v>3.1135475865735716</v>
      </c>
      <c r="BR23" s="19">
        <f t="shared" si="19"/>
        <v>3.2296336666337031</v>
      </c>
      <c r="BW23" s="19">
        <f t="shared" si="4"/>
        <v>4.6257096758152327</v>
      </c>
      <c r="BX23" s="19">
        <f t="shared" si="23"/>
        <v>5.2182550419139737</v>
      </c>
      <c r="BY23" s="19">
        <f t="shared" si="5"/>
        <v>6.8309908986593646</v>
      </c>
      <c r="BZ23" s="19">
        <f t="shared" si="24"/>
        <v>7.0766168472367381</v>
      </c>
    </row>
    <row r="24" spans="1:78" s="19" customFormat="1">
      <c r="A24" s="19" t="s">
        <v>48</v>
      </c>
      <c r="AA24" s="72">
        <v>2037</v>
      </c>
      <c r="AB24" s="19">
        <f t="shared" si="20"/>
        <v>1.1944852606818734</v>
      </c>
      <c r="AC24" s="71"/>
      <c r="AF24" s="1">
        <v>2038</v>
      </c>
      <c r="AH24" s="19">
        <f t="shared" si="21"/>
        <v>2.2406176085560157</v>
      </c>
      <c r="AI24" s="19">
        <f t="shared" si="22"/>
        <v>2.879534272191222</v>
      </c>
      <c r="AJ24" s="19">
        <f t="shared" si="6"/>
        <v>3.6566348858233164</v>
      </c>
      <c r="AK24" s="19">
        <f t="shared" si="7"/>
        <v>4.0297158921899614</v>
      </c>
      <c r="AO24" s="1">
        <v>2038</v>
      </c>
      <c r="AQ24" s="19">
        <f t="shared" si="8"/>
        <v>2.1022302746760113</v>
      </c>
      <c r="AR24" s="19">
        <f t="shared" si="9"/>
        <v>2.7341426891940697</v>
      </c>
      <c r="AS24" s="19">
        <f t="shared" si="10"/>
        <v>3.4979276150543104</v>
      </c>
      <c r="AT24" s="19">
        <f t="shared" si="11"/>
        <v>3.871582416178736</v>
      </c>
      <c r="AY24" s="19">
        <f t="shared" si="12"/>
        <v>2.1981377104269488</v>
      </c>
      <c r="AZ24" s="19">
        <f t="shared" si="13"/>
        <v>2.8299017527006587</v>
      </c>
      <c r="BA24" s="19">
        <f t="shared" si="14"/>
        <v>3.5936030320088812</v>
      </c>
      <c r="BB24" s="19">
        <f t="shared" si="15"/>
        <v>3.9672873592320022</v>
      </c>
      <c r="BG24" s="19">
        <f t="shared" si="16"/>
        <v>3.4100802450040222</v>
      </c>
      <c r="BH24" s="19">
        <f t="shared" si="0"/>
        <v>4.5067106330702869</v>
      </c>
      <c r="BI24" s="19">
        <f t="shared" si="1"/>
        <v>5.5017041738283092</v>
      </c>
      <c r="BJ24" s="19">
        <f t="shared" si="2"/>
        <v>5.7000937411225552</v>
      </c>
      <c r="BO24" s="19">
        <f t="shared" si="3"/>
        <v>2.0045474079395187</v>
      </c>
      <c r="BP24" s="19">
        <f t="shared" si="17"/>
        <v>2.4090765637686693</v>
      </c>
      <c r="BQ24" s="19">
        <f t="shared" si="18"/>
        <v>3.0910688084020652</v>
      </c>
      <c r="BR24" s="19">
        <f t="shared" si="19"/>
        <v>3.2057514808905783</v>
      </c>
      <c r="BW24" s="19">
        <f t="shared" si="4"/>
        <v>4.5661411213532075</v>
      </c>
      <c r="BX24" s="19">
        <f t="shared" si="23"/>
        <v>5.1459687165347168</v>
      </c>
      <c r="BY24" s="19">
        <f t="shared" si="5"/>
        <v>6.7610587444285013</v>
      </c>
      <c r="BZ24" s="19">
        <f t="shared" si="24"/>
        <v>7.0026419002909552</v>
      </c>
    </row>
    <row r="25" spans="1:78" s="19" customFormat="1">
      <c r="AA25" s="72">
        <v>2038</v>
      </c>
      <c r="AB25" s="19">
        <f t="shared" si="20"/>
        <v>1.2004078352152041</v>
      </c>
      <c r="AC25" s="71"/>
      <c r="AF25" s="1">
        <v>2039</v>
      </c>
      <c r="AH25" s="19">
        <f t="shared" si="21"/>
        <v>2.2782972853591201</v>
      </c>
      <c r="AI25" s="19">
        <f t="shared" si="22"/>
        <v>2.9386300815380642</v>
      </c>
      <c r="AJ25" s="19">
        <f t="shared" si="6"/>
        <v>3.720644945346498</v>
      </c>
      <c r="AK25" s="19">
        <f t="shared" si="7"/>
        <v>4.1091290859092497</v>
      </c>
      <c r="AO25" s="1">
        <v>2039</v>
      </c>
      <c r="AQ25" s="19">
        <f t="shared" si="8"/>
        <v>2.1339422293024497</v>
      </c>
      <c r="AR25" s="19">
        <f t="shared" si="9"/>
        <v>2.7878544637906746</v>
      </c>
      <c r="AS25" s="19">
        <f t="shared" si="10"/>
        <v>3.5576632804749093</v>
      </c>
      <c r="AT25" s="19">
        <f t="shared" si="11"/>
        <v>3.9466733995656265</v>
      </c>
      <c r="AY25" s="19">
        <f t="shared" si="12"/>
        <v>2.2351907120741425</v>
      </c>
      <c r="AZ25" s="19">
        <f t="shared" si="13"/>
        <v>2.8889669386717145</v>
      </c>
      <c r="BA25" s="19">
        <f t="shared" si="14"/>
        <v>3.6586990793499328</v>
      </c>
      <c r="BB25" s="19">
        <f t="shared" si="15"/>
        <v>4.0477362640311201</v>
      </c>
      <c r="BG25" s="19">
        <f t="shared" si="16"/>
        <v>3.3497169785754508</v>
      </c>
      <c r="BH25" s="19">
        <f t="shared" si="0"/>
        <v>4.4177323175481549</v>
      </c>
      <c r="BI25" s="19">
        <f t="shared" si="1"/>
        <v>5.4097180567907373</v>
      </c>
      <c r="BJ25" s="19">
        <f t="shared" si="2"/>
        <v>5.6055721760295132</v>
      </c>
      <c r="BO25" s="19">
        <f t="shared" si="3"/>
        <v>1.9851036282204082</v>
      </c>
      <c r="BP25" s="19">
        <f t="shared" si="17"/>
        <v>2.3893910617593694</v>
      </c>
      <c r="BQ25" s="19">
        <f t="shared" si="18"/>
        <v>3.0685900302305589</v>
      </c>
      <c r="BR25" s="19">
        <f t="shared" si="19"/>
        <v>3.1818692951474534</v>
      </c>
      <c r="BW25" s="19">
        <f t="shared" si="4"/>
        <v>4.5065725668911822</v>
      </c>
      <c r="BX25" s="19">
        <f t="shared" si="23"/>
        <v>5.0736823911554598</v>
      </c>
      <c r="BY25" s="19">
        <f t="shared" si="5"/>
        <v>6.691126590197638</v>
      </c>
      <c r="BZ25" s="19">
        <f t="shared" si="24"/>
        <v>6.9286669533451724</v>
      </c>
    </row>
    <row r="26" spans="1:78" s="19" customFormat="1">
      <c r="A26" s="38" t="s">
        <v>0</v>
      </c>
      <c r="B26" s="120" t="s">
        <v>3</v>
      </c>
      <c r="C26" s="120"/>
      <c r="D26" s="120" t="s">
        <v>5</v>
      </c>
      <c r="E26" s="120"/>
      <c r="F26" s="120" t="s">
        <v>6</v>
      </c>
      <c r="G26" s="120"/>
      <c r="H26" s="120" t="s">
        <v>7</v>
      </c>
      <c r="I26" s="120"/>
      <c r="J26" s="120"/>
      <c r="K26" s="120"/>
      <c r="L26" s="120" t="s">
        <v>8</v>
      </c>
      <c r="M26" s="120"/>
      <c r="N26" s="120"/>
      <c r="O26" s="120"/>
      <c r="P26" s="120" t="s">
        <v>9</v>
      </c>
      <c r="Q26" s="120"/>
      <c r="R26" s="120"/>
      <c r="S26" s="120"/>
      <c r="T26" s="136"/>
      <c r="AA26" s="72">
        <v>2039</v>
      </c>
      <c r="AB26" s="19">
        <f t="shared" si="20"/>
        <v>1.2063304097485348</v>
      </c>
      <c r="AC26" s="71"/>
      <c r="AF26" s="1">
        <v>2040</v>
      </c>
      <c r="AH26" s="19">
        <f t="shared" si="21"/>
        <v>2.3159769621622246</v>
      </c>
      <c r="AI26" s="19">
        <f t="shared" si="22"/>
        <v>2.9977258908849063</v>
      </c>
      <c r="AJ26" s="19">
        <f>AJ25+$AE$8</f>
        <v>3.7846550048696797</v>
      </c>
      <c r="AK26" s="19">
        <f t="shared" si="7"/>
        <v>4.1885422796285381</v>
      </c>
      <c r="AO26" s="1">
        <v>2040</v>
      </c>
      <c r="AQ26" s="19">
        <f t="shared" si="8"/>
        <v>2.1656541839288881</v>
      </c>
      <c r="AR26" s="19">
        <f t="shared" si="9"/>
        <v>2.8415662383872795</v>
      </c>
      <c r="AS26" s="19">
        <f t="shared" si="10"/>
        <v>3.6173989458955083</v>
      </c>
      <c r="AT26" s="19">
        <f t="shared" si="11"/>
        <v>4.0217643829525169</v>
      </c>
      <c r="AY26" s="19">
        <f t="shared" si="12"/>
        <v>2.2722437137213363</v>
      </c>
      <c r="AZ26" s="19">
        <f t="shared" si="13"/>
        <v>2.9480321246427703</v>
      </c>
      <c r="BA26" s="19">
        <f t="shared" si="14"/>
        <v>3.7237951266909843</v>
      </c>
      <c r="BB26" s="19">
        <f t="shared" si="15"/>
        <v>4.128185168830238</v>
      </c>
      <c r="BG26" s="19">
        <f t="shared" si="16"/>
        <v>3.2893537121468794</v>
      </c>
      <c r="BH26" s="19">
        <f t="shared" si="0"/>
        <v>4.3287540020260229</v>
      </c>
      <c r="BI26" s="19">
        <f t="shared" si="1"/>
        <v>5.3177319397531653</v>
      </c>
      <c r="BJ26" s="19">
        <f t="shared" si="2"/>
        <v>5.5110506109364712</v>
      </c>
      <c r="BO26" s="19">
        <f t="shared" si="3"/>
        <v>1.9656598485012977</v>
      </c>
      <c r="BP26" s="19">
        <f t="shared" si="17"/>
        <v>2.3697055597500696</v>
      </c>
      <c r="BQ26" s="19">
        <f t="shared" si="18"/>
        <v>3.0461112520590525</v>
      </c>
      <c r="BR26" s="19">
        <f t="shared" si="19"/>
        <v>3.1579871094043286</v>
      </c>
      <c r="BW26" s="19">
        <f t="shared" si="4"/>
        <v>4.447004012429157</v>
      </c>
      <c r="BX26" s="19">
        <f t="shared" si="23"/>
        <v>5.0013960657762029</v>
      </c>
      <c r="BY26" s="19">
        <f t="shared" si="5"/>
        <v>6.6211944359667747</v>
      </c>
      <c r="BZ26" s="19">
        <f t="shared" si="24"/>
        <v>6.8546920063993895</v>
      </c>
    </row>
    <row r="27" spans="1:78" s="42" customFormat="1" ht="24">
      <c r="A27" s="39"/>
      <c r="B27" s="40" t="s">
        <v>4</v>
      </c>
      <c r="C27" s="41" t="s">
        <v>2</v>
      </c>
      <c r="D27" s="40" t="s">
        <v>4</v>
      </c>
      <c r="E27" s="41" t="s">
        <v>2</v>
      </c>
      <c r="F27" s="40" t="s">
        <v>4</v>
      </c>
      <c r="G27" s="41" t="s">
        <v>2</v>
      </c>
      <c r="H27" s="40" t="s">
        <v>46</v>
      </c>
      <c r="I27" s="40" t="s">
        <v>45</v>
      </c>
      <c r="J27" s="40" t="s">
        <v>4</v>
      </c>
      <c r="K27" s="41" t="s">
        <v>2</v>
      </c>
      <c r="L27" s="40" t="s">
        <v>44</v>
      </c>
      <c r="M27" s="40" t="s">
        <v>45</v>
      </c>
      <c r="N27" s="40" t="s">
        <v>4</v>
      </c>
      <c r="O27" s="41" t="s">
        <v>2</v>
      </c>
      <c r="P27" s="40" t="s">
        <v>44</v>
      </c>
      <c r="Q27" s="40" t="s">
        <v>45</v>
      </c>
      <c r="R27" s="40" t="s">
        <v>4</v>
      </c>
      <c r="S27" s="41" t="s">
        <v>2</v>
      </c>
      <c r="T27" s="137"/>
      <c r="AA27" s="72">
        <v>2040</v>
      </c>
      <c r="AB27" s="19">
        <f t="shared" si="20"/>
        <v>1.2122529842818655</v>
      </c>
      <c r="AC27" s="73"/>
      <c r="AF27" s="1">
        <v>2041</v>
      </c>
      <c r="AG27" s="19"/>
      <c r="AH27" s="19">
        <f t="shared" si="21"/>
        <v>2.3536566389653291</v>
      </c>
      <c r="AI27" s="19">
        <f t="shared" si="22"/>
        <v>3.0568217002317484</v>
      </c>
      <c r="AJ27" s="19">
        <f>AJ26+$AE$8</f>
        <v>3.8486650643928613</v>
      </c>
      <c r="AK27" s="19">
        <f t="shared" si="7"/>
        <v>4.2679554733478264</v>
      </c>
      <c r="AL27" s="19"/>
      <c r="AM27" s="19"/>
      <c r="AO27" s="1">
        <v>2041</v>
      </c>
      <c r="AQ27" s="19">
        <f t="shared" si="8"/>
        <v>2.1973661385553265</v>
      </c>
      <c r="AR27" s="19">
        <f t="shared" si="9"/>
        <v>2.8952780129838844</v>
      </c>
      <c r="AS27" s="19">
        <f t="shared" si="10"/>
        <v>3.6771346113161072</v>
      </c>
      <c r="AT27" s="19">
        <f t="shared" si="11"/>
        <v>4.0968553663394074</v>
      </c>
      <c r="AY27" s="19">
        <f>AY26+$AW$6</f>
        <v>2.30929671536853</v>
      </c>
      <c r="AZ27" s="19">
        <f>AZ26+$AW$7</f>
        <v>3.0070973106138261</v>
      </c>
      <c r="BA27" s="19">
        <f>BA26+$AW$8</f>
        <v>3.7888911740320359</v>
      </c>
      <c r="BB27" s="19">
        <f>BB26+$AW$9</f>
        <v>4.2086340736293559</v>
      </c>
      <c r="BC27" s="19"/>
      <c r="BD27" s="19"/>
      <c r="BG27" s="19">
        <f>BG26+$BE$6</f>
        <v>3.2289904457183081</v>
      </c>
      <c r="BH27" s="19">
        <f t="shared" si="0"/>
        <v>4.2397756865038909</v>
      </c>
      <c r="BI27" s="19">
        <f t="shared" si="1"/>
        <v>5.2257458227155933</v>
      </c>
      <c r="BJ27" s="19">
        <f t="shared" si="2"/>
        <v>5.4165290458434292</v>
      </c>
      <c r="BO27" s="19">
        <f t="shared" si="3"/>
        <v>1.9462160687821872</v>
      </c>
      <c r="BP27" s="19">
        <f>BP26+$BM$7</f>
        <v>2.3500200577407697</v>
      </c>
      <c r="BQ27" s="19">
        <f>BQ26+$BM$8</f>
        <v>3.0236324738875462</v>
      </c>
      <c r="BR27" s="19">
        <f t="shared" si="19"/>
        <v>3.1341049236612037</v>
      </c>
      <c r="BW27" s="19">
        <f t="shared" si="4"/>
        <v>4.3874354579671317</v>
      </c>
      <c r="BX27" s="19">
        <f t="shared" si="23"/>
        <v>4.9291097403969459</v>
      </c>
      <c r="BY27" s="19">
        <f t="shared" si="5"/>
        <v>6.5512622817359114</v>
      </c>
      <c r="BZ27" s="19">
        <f t="shared" si="24"/>
        <v>6.7807170594536066</v>
      </c>
    </row>
    <row r="28" spans="1:78" s="19" customFormat="1">
      <c r="A28" s="19">
        <v>10</v>
      </c>
      <c r="B28" s="43"/>
      <c r="C28" s="43"/>
      <c r="AA28" s="72">
        <v>2041</v>
      </c>
      <c r="AB28" s="19">
        <f t="shared" si="20"/>
        <v>1.2181755588151961</v>
      </c>
      <c r="AC28" s="71"/>
      <c r="AF28" s="1">
        <v>2042</v>
      </c>
      <c r="AH28" s="19">
        <f t="shared" si="21"/>
        <v>2.3913363157684335</v>
      </c>
      <c r="AI28" s="19">
        <f>AI27+$AE$7</f>
        <v>3.1159175095785905</v>
      </c>
      <c r="AJ28" s="19">
        <f t="shared" si="6"/>
        <v>3.9126751239160429</v>
      </c>
      <c r="AK28" s="19">
        <f t="shared" si="7"/>
        <v>4.3473686670671148</v>
      </c>
      <c r="AO28" s="1">
        <v>2042</v>
      </c>
      <c r="AQ28" s="19">
        <f t="shared" si="8"/>
        <v>2.2290780931817649</v>
      </c>
      <c r="AR28" s="19">
        <f t="shared" si="9"/>
        <v>2.9489897875804894</v>
      </c>
      <c r="AS28" s="19">
        <f t="shared" si="10"/>
        <v>3.7368702767367061</v>
      </c>
      <c r="AT28" s="19">
        <f t="shared" si="11"/>
        <v>4.1719463497262979</v>
      </c>
      <c r="AY28" s="19">
        <f t="shared" si="12"/>
        <v>2.3463497170157237</v>
      </c>
      <c r="AZ28" s="19">
        <f t="shared" si="13"/>
        <v>3.0661624965848819</v>
      </c>
      <c r="BA28" s="19">
        <f t="shared" si="14"/>
        <v>3.8539872213730875</v>
      </c>
      <c r="BB28" s="19">
        <f t="shared" si="15"/>
        <v>4.2890829784284739</v>
      </c>
      <c r="BG28" s="19">
        <f t="shared" si="16"/>
        <v>3.1686271792897367</v>
      </c>
      <c r="BH28" s="19">
        <f t="shared" si="0"/>
        <v>4.1507973709817589</v>
      </c>
      <c r="BI28" s="19">
        <f t="shared" si="1"/>
        <v>5.1337597056780213</v>
      </c>
      <c r="BJ28" s="19">
        <f t="shared" si="2"/>
        <v>5.3220074807503872</v>
      </c>
      <c r="BO28" s="19">
        <f t="shared" si="3"/>
        <v>1.9267722890630767</v>
      </c>
      <c r="BP28" s="19">
        <f t="shared" si="17"/>
        <v>2.3303345557314699</v>
      </c>
      <c r="BQ28" s="19">
        <f t="shared" si="18"/>
        <v>3.0011536957160398</v>
      </c>
      <c r="BR28" s="19">
        <f t="shared" si="19"/>
        <v>3.1102227379180789</v>
      </c>
      <c r="BW28" s="19">
        <f t="shared" si="4"/>
        <v>4.3278669035051065</v>
      </c>
      <c r="BX28" s="19">
        <f t="shared" si="23"/>
        <v>4.856823415017689</v>
      </c>
      <c r="BY28" s="19">
        <f t="shared" si="5"/>
        <v>6.4813301275050481</v>
      </c>
      <c r="BZ28" s="19">
        <f t="shared" si="24"/>
        <v>6.7067421125078237</v>
      </c>
    </row>
    <row r="29" spans="1:78" s="19" customFormat="1">
      <c r="A29" s="19">
        <v>25</v>
      </c>
      <c r="AA29" s="72">
        <v>2042</v>
      </c>
      <c r="AB29" s="19">
        <f t="shared" si="20"/>
        <v>1.2240981333485268</v>
      </c>
      <c r="AC29" s="71"/>
      <c r="AF29" s="1">
        <v>2043</v>
      </c>
      <c r="AH29" s="19">
        <f t="shared" si="21"/>
        <v>2.429015992571538</v>
      </c>
      <c r="AI29" s="19">
        <f t="shared" si="22"/>
        <v>3.1750133189254326</v>
      </c>
      <c r="AJ29" s="19">
        <f t="shared" si="6"/>
        <v>3.9766851834392245</v>
      </c>
      <c r="AK29" s="19">
        <f t="shared" si="7"/>
        <v>4.4267818607864031</v>
      </c>
      <c r="AO29" s="1">
        <v>2043</v>
      </c>
      <c r="AQ29" s="19">
        <f t="shared" si="8"/>
        <v>2.2607900478082033</v>
      </c>
      <c r="AR29" s="19">
        <f t="shared" si="9"/>
        <v>3.0027015621770943</v>
      </c>
      <c r="AS29" s="19">
        <f t="shared" si="10"/>
        <v>3.7966059421573051</v>
      </c>
      <c r="AT29" s="19">
        <f t="shared" si="11"/>
        <v>4.2470373331131883</v>
      </c>
      <c r="AY29" s="19">
        <f t="shared" si="12"/>
        <v>2.3834027186629174</v>
      </c>
      <c r="AZ29" s="19">
        <f t="shared" si="13"/>
        <v>3.1252276825559377</v>
      </c>
      <c r="BA29" s="19">
        <f t="shared" si="14"/>
        <v>3.919083268714139</v>
      </c>
      <c r="BB29" s="19">
        <f t="shared" si="15"/>
        <v>4.3695318832275918</v>
      </c>
      <c r="BG29" s="19">
        <f t="shared" si="16"/>
        <v>3.1082639128611653</v>
      </c>
      <c r="BH29" s="19">
        <f t="shared" si="0"/>
        <v>4.061819055459627</v>
      </c>
      <c r="BI29" s="19">
        <f t="shared" si="1"/>
        <v>5.0417735886404493</v>
      </c>
      <c r="BJ29" s="19">
        <f t="shared" si="2"/>
        <v>5.2274859156573452</v>
      </c>
      <c r="BO29" s="19">
        <f t="shared" si="3"/>
        <v>1.9073285093439662</v>
      </c>
      <c r="BP29" s="19">
        <f t="shared" si="17"/>
        <v>2.31064905372217</v>
      </c>
      <c r="BQ29" s="19">
        <f t="shared" si="18"/>
        <v>2.9786749175445335</v>
      </c>
      <c r="BR29" s="19">
        <f t="shared" si="19"/>
        <v>3.0863405521749541</v>
      </c>
      <c r="BW29" s="19">
        <f t="shared" si="4"/>
        <v>4.2682983490430813</v>
      </c>
      <c r="BX29" s="19">
        <f t="shared" si="23"/>
        <v>4.7845370896384321</v>
      </c>
      <c r="BY29" s="19">
        <f t="shared" si="5"/>
        <v>6.4113979732741848</v>
      </c>
      <c r="BZ29" s="19">
        <f t="shared" si="24"/>
        <v>6.6327671655620408</v>
      </c>
    </row>
    <row r="30" spans="1:78" s="19" customFormat="1">
      <c r="A30" s="19">
        <v>100</v>
      </c>
      <c r="AA30" s="72">
        <v>2043</v>
      </c>
      <c r="AB30" s="19">
        <f t="shared" si="20"/>
        <v>1.2300207078818575</v>
      </c>
      <c r="AC30" s="71"/>
      <c r="AF30" s="1">
        <v>2044</v>
      </c>
      <c r="AH30" s="19">
        <f t="shared" si="21"/>
        <v>2.4666956693746425</v>
      </c>
      <c r="AI30" s="19">
        <f t="shared" si="22"/>
        <v>3.2341091282722747</v>
      </c>
      <c r="AJ30" s="19">
        <f t="shared" si="6"/>
        <v>4.0406952429624061</v>
      </c>
      <c r="AK30" s="19">
        <f t="shared" si="7"/>
        <v>4.5061950545056915</v>
      </c>
      <c r="AO30" s="1">
        <v>2044</v>
      </c>
      <c r="AQ30" s="19">
        <f>AQ29+$AN$6</f>
        <v>2.2925020024346416</v>
      </c>
      <c r="AR30" s="19">
        <f t="shared" si="9"/>
        <v>3.0564133367736992</v>
      </c>
      <c r="AS30" s="19">
        <f t="shared" si="10"/>
        <v>3.856341607577904</v>
      </c>
      <c r="AT30" s="19">
        <f t="shared" si="11"/>
        <v>4.3221283165000788</v>
      </c>
      <c r="AY30" s="19">
        <f t="shared" si="12"/>
        <v>2.4204557203101111</v>
      </c>
      <c r="AZ30" s="19">
        <f t="shared" si="13"/>
        <v>3.1842928685269936</v>
      </c>
      <c r="BA30" s="19">
        <f t="shared" si="14"/>
        <v>3.9841793160551906</v>
      </c>
      <c r="BB30" s="19">
        <f t="shared" si="15"/>
        <v>4.4499807880267097</v>
      </c>
      <c r="BG30" s="19">
        <f t="shared" si="16"/>
        <v>3.047900646432594</v>
      </c>
      <c r="BH30" s="19">
        <f t="shared" si="0"/>
        <v>3.9728407399374945</v>
      </c>
      <c r="BI30" s="19">
        <f t="shared" si="1"/>
        <v>4.9497874716028774</v>
      </c>
      <c r="BJ30" s="19">
        <f t="shared" si="2"/>
        <v>5.1329643505643032</v>
      </c>
      <c r="BO30" s="19">
        <f t="shared" si="3"/>
        <v>1.8878847296248558</v>
      </c>
      <c r="BP30" s="19">
        <f t="shared" si="17"/>
        <v>2.2909635517128701</v>
      </c>
      <c r="BQ30" s="19">
        <f t="shared" si="18"/>
        <v>2.9561961393730272</v>
      </c>
      <c r="BR30" s="19">
        <f t="shared" si="19"/>
        <v>3.0624583664318292</v>
      </c>
      <c r="BW30" s="19">
        <f t="shared" si="4"/>
        <v>4.208729794581056</v>
      </c>
      <c r="BX30" s="19">
        <f t="shared" si="23"/>
        <v>4.7122507642591751</v>
      </c>
      <c r="BY30" s="19">
        <f t="shared" si="5"/>
        <v>6.3414658190433215</v>
      </c>
      <c r="BZ30" s="19">
        <f t="shared" si="24"/>
        <v>6.5587922186162579</v>
      </c>
    </row>
    <row r="31" spans="1:78" s="19" customFormat="1">
      <c r="A31" s="19">
        <v>200</v>
      </c>
      <c r="AA31" s="72">
        <v>2044</v>
      </c>
      <c r="AB31" s="19">
        <f t="shared" si="20"/>
        <v>1.2359432824151881</v>
      </c>
      <c r="AC31" s="71"/>
      <c r="AF31" s="1">
        <v>2045</v>
      </c>
      <c r="AH31" s="19">
        <f t="shared" si="21"/>
        <v>2.5043753461777469</v>
      </c>
      <c r="AI31" s="19">
        <f t="shared" si="22"/>
        <v>3.2932049376191168</v>
      </c>
      <c r="AJ31" s="19">
        <f t="shared" si="6"/>
        <v>4.1047053024855877</v>
      </c>
      <c r="AK31" s="19">
        <f t="shared" si="7"/>
        <v>4.5856082482249798</v>
      </c>
      <c r="AO31" s="1">
        <v>2045</v>
      </c>
      <c r="AQ31" s="19">
        <f t="shared" si="8"/>
        <v>2.32421395706108</v>
      </c>
      <c r="AR31" s="19">
        <f t="shared" si="9"/>
        <v>3.1101251113703041</v>
      </c>
      <c r="AS31" s="19">
        <f t="shared" si="10"/>
        <v>3.9160772729985029</v>
      </c>
      <c r="AT31" s="19">
        <f t="shared" si="11"/>
        <v>4.3972192998869692</v>
      </c>
      <c r="AY31" s="19">
        <f t="shared" si="12"/>
        <v>2.4575087219573049</v>
      </c>
      <c r="AZ31" s="19">
        <f t="shared" si="13"/>
        <v>3.2433580544980494</v>
      </c>
      <c r="BA31" s="19">
        <f t="shared" si="14"/>
        <v>4.0492753633962426</v>
      </c>
      <c r="BB31" s="19">
        <f t="shared" si="15"/>
        <v>4.5304296928258276</v>
      </c>
      <c r="BG31" s="19">
        <f t="shared" si="16"/>
        <v>2.9875373800040226</v>
      </c>
      <c r="BH31" s="19">
        <f t="shared" si="0"/>
        <v>3.8838624244153621</v>
      </c>
      <c r="BI31" s="19">
        <f t="shared" si="1"/>
        <v>4.8578013545653054</v>
      </c>
      <c r="BJ31" s="19">
        <f t="shared" si="2"/>
        <v>5.0384427854712612</v>
      </c>
      <c r="BO31" s="19">
        <f t="shared" si="3"/>
        <v>1.8684409499057453</v>
      </c>
      <c r="BP31" s="19">
        <f t="shared" si="17"/>
        <v>2.2712780497035703</v>
      </c>
      <c r="BQ31" s="19">
        <f t="shared" si="18"/>
        <v>2.9337173612015208</v>
      </c>
      <c r="BR31" s="19">
        <f t="shared" si="19"/>
        <v>3.0385761806887044</v>
      </c>
      <c r="BW31" s="19">
        <f t="shared" si="4"/>
        <v>4.1491612401190308</v>
      </c>
      <c r="BX31" s="19">
        <f t="shared" si="23"/>
        <v>4.6399644388799182</v>
      </c>
      <c r="BY31" s="19">
        <f t="shared" si="5"/>
        <v>6.2715336648124582</v>
      </c>
      <c r="BZ31" s="19">
        <f t="shared" si="24"/>
        <v>6.4848172716704751</v>
      </c>
    </row>
    <row r="32" spans="1:78" s="19" customFormat="1">
      <c r="A32" s="20" t="s">
        <v>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140"/>
      <c r="AA32" s="72">
        <v>2045</v>
      </c>
      <c r="AB32" s="19">
        <f t="shared" si="20"/>
        <v>1.2418658569485188</v>
      </c>
      <c r="AC32" s="71"/>
      <c r="AF32" s="1">
        <v>2046</v>
      </c>
      <c r="AH32" s="19">
        <f t="shared" si="21"/>
        <v>2.5420550229808514</v>
      </c>
      <c r="AI32" s="19">
        <f t="shared" si="22"/>
        <v>3.3523007469659589</v>
      </c>
      <c r="AJ32" s="19">
        <f t="shared" si="6"/>
        <v>4.1687153620087694</v>
      </c>
      <c r="AK32" s="19">
        <f t="shared" si="7"/>
        <v>4.6650214419442682</v>
      </c>
      <c r="AO32" s="1">
        <v>2046</v>
      </c>
      <c r="AQ32" s="19">
        <f t="shared" si="8"/>
        <v>2.3559259116875184</v>
      </c>
      <c r="AR32" s="19">
        <f t="shared" si="9"/>
        <v>3.163836885966909</v>
      </c>
      <c r="AS32" s="19">
        <f t="shared" si="10"/>
        <v>3.9758129384191019</v>
      </c>
      <c r="AT32" s="19">
        <f t="shared" si="11"/>
        <v>4.4723102832738597</v>
      </c>
      <c r="AY32" s="19">
        <f t="shared" si="12"/>
        <v>2.4945617236044986</v>
      </c>
      <c r="AZ32" s="19">
        <f t="shared" si="13"/>
        <v>3.3024232404691052</v>
      </c>
      <c r="BA32" s="19">
        <f t="shared" si="14"/>
        <v>4.1143714107372942</v>
      </c>
      <c r="BB32" s="19">
        <f t="shared" si="15"/>
        <v>4.6108785976249456</v>
      </c>
      <c r="BG32" s="19">
        <f t="shared" si="16"/>
        <v>2.9271741135754512</v>
      </c>
      <c r="BH32" s="19">
        <f t="shared" si="0"/>
        <v>3.7948841088932297</v>
      </c>
      <c r="BI32" s="19">
        <f t="shared" si="1"/>
        <v>4.7658152375277334</v>
      </c>
      <c r="BJ32" s="19">
        <f t="shared" si="2"/>
        <v>4.9439212203782192</v>
      </c>
      <c r="BO32" s="19">
        <f t="shared" si="3"/>
        <v>1.8489971701866348</v>
      </c>
      <c r="BP32" s="19">
        <f t="shared" si="17"/>
        <v>2.2515925476942704</v>
      </c>
      <c r="BQ32" s="19">
        <f t="shared" si="18"/>
        <v>2.9112385830300145</v>
      </c>
      <c r="BR32" s="19">
        <f t="shared" si="19"/>
        <v>3.0146939949455795</v>
      </c>
      <c r="BW32" s="19">
        <f t="shared" si="4"/>
        <v>4.0895926856570055</v>
      </c>
      <c r="BX32" s="19">
        <f t="shared" si="23"/>
        <v>4.5676781135006612</v>
      </c>
      <c r="BY32" s="19">
        <f t="shared" si="5"/>
        <v>6.2016015105815949</v>
      </c>
      <c r="BZ32" s="19">
        <f t="shared" si="24"/>
        <v>6.4108423247246922</v>
      </c>
    </row>
    <row r="33" spans="1:78" s="19" customFormat="1">
      <c r="AA33" s="72">
        <v>2046</v>
      </c>
      <c r="AB33" s="19">
        <f t="shared" si="20"/>
        <v>1.2477884314818495</v>
      </c>
      <c r="AC33" s="71"/>
      <c r="AF33" s="1">
        <v>2047</v>
      </c>
      <c r="AH33" s="19">
        <f t="shared" si="21"/>
        <v>2.5797346997839559</v>
      </c>
      <c r="AI33" s="19">
        <f t="shared" si="22"/>
        <v>3.411396556312801</v>
      </c>
      <c r="AJ33" s="19">
        <f t="shared" si="6"/>
        <v>4.232725421531951</v>
      </c>
      <c r="AK33" s="19">
        <f t="shared" si="7"/>
        <v>4.7444346356635565</v>
      </c>
      <c r="AO33" s="1">
        <v>2047</v>
      </c>
      <c r="AQ33" s="19">
        <f t="shared" si="8"/>
        <v>2.3876378663139568</v>
      </c>
      <c r="AR33" s="19">
        <f t="shared" si="9"/>
        <v>3.217548660563514</v>
      </c>
      <c r="AS33" s="19">
        <f t="shared" si="10"/>
        <v>4.0355486038397013</v>
      </c>
      <c r="AT33" s="19">
        <f>AT32+$AN$9</f>
        <v>4.5474012666607502</v>
      </c>
      <c r="AY33" s="19">
        <f t="shared" si="12"/>
        <v>2.5316147252516923</v>
      </c>
      <c r="AZ33" s="19">
        <f t="shared" si="13"/>
        <v>3.361488426440161</v>
      </c>
      <c r="BA33" s="19">
        <f t="shared" si="14"/>
        <v>4.1794674580783457</v>
      </c>
      <c r="BB33" s="19">
        <f t="shared" si="15"/>
        <v>4.6913275024240635</v>
      </c>
      <c r="BG33" s="19">
        <f t="shared" si="16"/>
        <v>2.8668108471468798</v>
      </c>
      <c r="BH33" s="19">
        <f t="shared" si="0"/>
        <v>3.7059057933710973</v>
      </c>
      <c r="BI33" s="19">
        <f t="shared" si="1"/>
        <v>4.6738291204901614</v>
      </c>
      <c r="BJ33" s="19">
        <f t="shared" si="2"/>
        <v>4.8493996552851772</v>
      </c>
      <c r="BO33" s="19">
        <f t="shared" si="3"/>
        <v>1.8295533904675243</v>
      </c>
      <c r="BP33" s="19">
        <f t="shared" si="17"/>
        <v>2.2319070456849706</v>
      </c>
      <c r="BQ33" s="19">
        <f t="shared" si="18"/>
        <v>2.8887598048585081</v>
      </c>
      <c r="BR33" s="19">
        <f t="shared" si="19"/>
        <v>2.9908118092024547</v>
      </c>
      <c r="BW33" s="19">
        <f t="shared" si="4"/>
        <v>4.0300241311949803</v>
      </c>
      <c r="BX33" s="19">
        <f t="shared" si="23"/>
        <v>4.4953917881214043</v>
      </c>
      <c r="BY33" s="19">
        <f t="shared" si="5"/>
        <v>6.1316693563507316</v>
      </c>
      <c r="BZ33" s="19">
        <f t="shared" si="24"/>
        <v>6.3368673777789093</v>
      </c>
    </row>
    <row r="34" spans="1:78" s="19" customFormat="1">
      <c r="AA34" s="72">
        <v>2047</v>
      </c>
      <c r="AB34" s="19">
        <f t="shared" si="20"/>
        <v>1.2537110060151802</v>
      </c>
      <c r="AC34" s="71"/>
      <c r="AF34" s="1">
        <v>2048</v>
      </c>
      <c r="AH34" s="19">
        <f>AH33+$AE$6</f>
        <v>2.6174143765870603</v>
      </c>
      <c r="AI34" s="19">
        <f t="shared" si="22"/>
        <v>3.4704923656596431</v>
      </c>
      <c r="AJ34" s="19">
        <f t="shared" si="6"/>
        <v>4.2967354810551326</v>
      </c>
      <c r="AK34" s="19">
        <f t="shared" si="7"/>
        <v>4.8238478293828448</v>
      </c>
      <c r="AO34" s="1">
        <v>2048</v>
      </c>
      <c r="AQ34" s="19">
        <f t="shared" si="8"/>
        <v>2.4193498209403952</v>
      </c>
      <c r="AR34" s="19">
        <f t="shared" si="9"/>
        <v>3.2712604351601189</v>
      </c>
      <c r="AS34" s="19">
        <f t="shared" si="10"/>
        <v>4.0952842692603006</v>
      </c>
      <c r="AT34" s="19">
        <f t="shared" si="11"/>
        <v>4.6224922500476406</v>
      </c>
      <c r="AY34" s="19">
        <f t="shared" si="12"/>
        <v>2.568667726898886</v>
      </c>
      <c r="AZ34" s="19">
        <f t="shared" si="13"/>
        <v>3.4205536124112168</v>
      </c>
      <c r="BA34" s="19">
        <f>BA33+$AW$8</f>
        <v>4.2445635054193973</v>
      </c>
      <c r="BB34" s="19">
        <f>BB33+$AW$9</f>
        <v>4.7717764072231814</v>
      </c>
      <c r="BG34" s="19">
        <f t="shared" si="16"/>
        <v>2.8064475807183085</v>
      </c>
      <c r="BH34" s="19">
        <f t="shared" si="0"/>
        <v>3.6169274778489648</v>
      </c>
      <c r="BI34" s="19">
        <f t="shared" si="1"/>
        <v>4.5818430034525894</v>
      </c>
      <c r="BJ34" s="19">
        <f t="shared" si="2"/>
        <v>4.7548780901921353</v>
      </c>
      <c r="BO34" s="19">
        <f t="shared" si="3"/>
        <v>1.8101096107484138</v>
      </c>
      <c r="BP34" s="19">
        <f t="shared" si="17"/>
        <v>2.2122215436756707</v>
      </c>
      <c r="BQ34" s="19">
        <f t="shared" si="18"/>
        <v>2.8662810266870018</v>
      </c>
      <c r="BR34" s="19">
        <f t="shared" si="19"/>
        <v>2.9669296234593299</v>
      </c>
      <c r="BW34" s="19">
        <f t="shared" si="4"/>
        <v>3.970455576732955</v>
      </c>
      <c r="BX34" s="19">
        <f t="shared" si="23"/>
        <v>4.4231054627421473</v>
      </c>
      <c r="BY34" s="19">
        <f t="shared" si="5"/>
        <v>6.0617372021198683</v>
      </c>
      <c r="BZ34" s="19">
        <f t="shared" si="24"/>
        <v>6.2628924308331264</v>
      </c>
    </row>
    <row r="35" spans="1:78" s="19" customFormat="1">
      <c r="A35" s="19" t="s">
        <v>51</v>
      </c>
      <c r="AA35" s="72">
        <v>2048</v>
      </c>
      <c r="AB35" s="19">
        <f t="shared" si="20"/>
        <v>1.2596335805485108</v>
      </c>
      <c r="AC35" s="71"/>
      <c r="AF35" s="1">
        <v>2049</v>
      </c>
      <c r="AH35" s="19">
        <f>AH34+$AE$6</f>
        <v>2.6550940533901648</v>
      </c>
      <c r="AI35" s="19">
        <f t="shared" si="22"/>
        <v>3.5295881750064853</v>
      </c>
      <c r="AJ35" s="19">
        <f>AJ34+$AE$8</f>
        <v>4.3607455405783142</v>
      </c>
      <c r="AK35" s="19">
        <f>AK34+$AE$9</f>
        <v>4.9032610231021332</v>
      </c>
      <c r="AO35" s="1">
        <v>2049</v>
      </c>
      <c r="AQ35" s="19">
        <f>AQ34+$AN$6</f>
        <v>2.4510617755668336</v>
      </c>
      <c r="AR35" s="19">
        <f>AR34+$AN$7</f>
        <v>3.3249722097567238</v>
      </c>
      <c r="AS35" s="19">
        <f t="shared" si="10"/>
        <v>4.1550199346809</v>
      </c>
      <c r="AT35" s="19">
        <f>AT34+$AN$9</f>
        <v>4.6975832334345311</v>
      </c>
      <c r="AY35" s="19">
        <f t="shared" si="12"/>
        <v>2.6057207285460797</v>
      </c>
      <c r="AZ35" s="19">
        <f>AZ34+$AW$7</f>
        <v>3.4796187983822726</v>
      </c>
      <c r="BA35" s="19">
        <f t="shared" si="14"/>
        <v>4.3096595527604489</v>
      </c>
      <c r="BB35" s="19">
        <f t="shared" si="15"/>
        <v>4.8522253120222993</v>
      </c>
      <c r="BG35" s="19">
        <f t="shared" si="16"/>
        <v>2.7460843142897371</v>
      </c>
      <c r="BH35" s="19">
        <f t="shared" si="0"/>
        <v>3.5279491623268324</v>
      </c>
      <c r="BI35" s="19">
        <f t="shared" si="1"/>
        <v>4.4898568864150175</v>
      </c>
      <c r="BJ35" s="19">
        <f t="shared" si="2"/>
        <v>4.6603565250990933</v>
      </c>
      <c r="BO35" s="19">
        <f t="shared" si="3"/>
        <v>1.7906658310293033</v>
      </c>
      <c r="BP35" s="19">
        <f t="shared" si="17"/>
        <v>2.1925360416663708</v>
      </c>
      <c r="BQ35" s="19">
        <f t="shared" si="18"/>
        <v>2.8438022485154955</v>
      </c>
      <c r="BR35" s="19">
        <f t="shared" si="19"/>
        <v>2.943047437716205</v>
      </c>
      <c r="BW35" s="19">
        <f t="shared" si="4"/>
        <v>3.9108870222709298</v>
      </c>
      <c r="BX35" s="19">
        <f t="shared" si="23"/>
        <v>4.3508191373628904</v>
      </c>
      <c r="BY35" s="19">
        <f t="shared" si="5"/>
        <v>5.991805047889005</v>
      </c>
      <c r="BZ35" s="19">
        <f t="shared" si="24"/>
        <v>6.1889174838873435</v>
      </c>
    </row>
    <row r="36" spans="1:78" s="19" customFormat="1">
      <c r="AA36" s="72">
        <v>2049</v>
      </c>
      <c r="AB36" s="19">
        <f t="shared" si="20"/>
        <v>1.2655561550818415</v>
      </c>
      <c r="AC36" s="71"/>
      <c r="AF36" s="1">
        <v>2050</v>
      </c>
      <c r="AH36" s="44">
        <f>C17</f>
        <v>2.692773730193271</v>
      </c>
      <c r="AI36" s="44">
        <f>C18</f>
        <v>3.5886839843533314</v>
      </c>
      <c r="AJ36" s="44">
        <f>C19</f>
        <v>4.4247556001015012</v>
      </c>
      <c r="AK36" s="44">
        <f>C20</f>
        <v>4.9826742168214224</v>
      </c>
      <c r="AO36" s="1">
        <v>2050</v>
      </c>
      <c r="AQ36" s="44">
        <f>E17</f>
        <v>2.4827737301932711</v>
      </c>
      <c r="AR36" s="44">
        <f>E18</f>
        <v>3.3786839843533314</v>
      </c>
      <c r="AS36" s="44">
        <f>E19</f>
        <v>4.2147556001015012</v>
      </c>
      <c r="AT36" s="44">
        <f>E20</f>
        <v>4.7726742168214225</v>
      </c>
      <c r="AY36" s="44">
        <f>G17</f>
        <v>2.6427737301932712</v>
      </c>
      <c r="AZ36" s="44">
        <f>G18</f>
        <v>3.5386839843533315</v>
      </c>
      <c r="BA36" s="44">
        <f>G19</f>
        <v>4.3747556001015013</v>
      </c>
      <c r="BB36" s="44">
        <f>G20</f>
        <v>4.9326742168214226</v>
      </c>
      <c r="BG36" s="44">
        <f>K17</f>
        <v>2.6857210478611626</v>
      </c>
      <c r="BH36" s="44">
        <f>K18</f>
        <v>3.4389708468046924</v>
      </c>
      <c r="BI36" s="44">
        <f>K19</f>
        <v>4.3978707693774366</v>
      </c>
      <c r="BJ36" s="44">
        <f>K20</f>
        <v>4.565834960006061</v>
      </c>
      <c r="BO36" s="44">
        <f>O17</f>
        <v>1.7712220513101908</v>
      </c>
      <c r="BP36" s="44">
        <f>O18</f>
        <v>2.1728505396570705</v>
      </c>
      <c r="BQ36" s="44">
        <f>O19</f>
        <v>2.8213234703439931</v>
      </c>
      <c r="BR36" s="44">
        <f>O20</f>
        <v>2.9191652519730757</v>
      </c>
      <c r="BW36" s="44">
        <f>S17</f>
        <v>3.8513184678089067</v>
      </c>
      <c r="BX36" s="44">
        <f>S18</f>
        <v>4.2785328119836414</v>
      </c>
      <c r="BY36" s="44">
        <f>S19</f>
        <v>5.9218728936581293</v>
      </c>
      <c r="BZ36" s="44">
        <f>S20</f>
        <v>6.1149425369415606</v>
      </c>
    </row>
    <row r="37" spans="1:78" s="19" customFormat="1">
      <c r="A37" s="38" t="s">
        <v>0</v>
      </c>
      <c r="B37" s="120" t="s">
        <v>3</v>
      </c>
      <c r="C37" s="120"/>
      <c r="D37" s="120" t="s">
        <v>5</v>
      </c>
      <c r="E37" s="120"/>
      <c r="F37" s="120" t="s">
        <v>6</v>
      </c>
      <c r="G37" s="120"/>
      <c r="H37" s="120" t="s">
        <v>7</v>
      </c>
      <c r="I37" s="120"/>
      <c r="J37" s="120"/>
      <c r="K37" s="120"/>
      <c r="L37" s="120" t="s">
        <v>8</v>
      </c>
      <c r="M37" s="120"/>
      <c r="N37" s="120"/>
      <c r="O37" s="120"/>
      <c r="P37" s="120" t="s">
        <v>9</v>
      </c>
      <c r="Q37" s="120"/>
      <c r="R37" s="120"/>
      <c r="S37" s="120"/>
      <c r="T37" s="136"/>
      <c r="AA37" s="72">
        <v>2050</v>
      </c>
      <c r="AB37" s="56">
        <f>U21</f>
        <v>1.2714787296151742</v>
      </c>
      <c r="AC37" s="71"/>
    </row>
    <row r="38" spans="1:78" s="42" customFormat="1" ht="24">
      <c r="A38" s="39"/>
      <c r="B38" s="40" t="s">
        <v>4</v>
      </c>
      <c r="C38" s="41" t="s">
        <v>2</v>
      </c>
      <c r="D38" s="40" t="s">
        <v>4</v>
      </c>
      <c r="E38" s="41" t="s">
        <v>2</v>
      </c>
      <c r="F38" s="40" t="s">
        <v>4</v>
      </c>
      <c r="G38" s="41" t="s">
        <v>2</v>
      </c>
      <c r="H38" s="40" t="s">
        <v>46</v>
      </c>
      <c r="I38" s="40" t="s">
        <v>45</v>
      </c>
      <c r="J38" s="40" t="s">
        <v>4</v>
      </c>
      <c r="K38" s="41" t="s">
        <v>2</v>
      </c>
      <c r="L38" s="40" t="s">
        <v>44</v>
      </c>
      <c r="M38" s="40" t="s">
        <v>45</v>
      </c>
      <c r="N38" s="40" t="s">
        <v>4</v>
      </c>
      <c r="O38" s="41" t="s">
        <v>2</v>
      </c>
      <c r="P38" s="40" t="s">
        <v>44</v>
      </c>
      <c r="Q38" s="40" t="s">
        <v>45</v>
      </c>
      <c r="R38" s="40" t="s">
        <v>4</v>
      </c>
      <c r="S38" s="41" t="s">
        <v>2</v>
      </c>
      <c r="T38" s="137"/>
      <c r="AA38" s="74"/>
      <c r="AB38" s="39"/>
      <c r="AC38" s="75"/>
      <c r="BC38" s="19"/>
      <c r="BD38" s="19"/>
    </row>
    <row r="39" spans="1:78" s="19" customFormat="1">
      <c r="A39" s="19">
        <v>10</v>
      </c>
      <c r="B39" s="43"/>
      <c r="C39" s="43"/>
    </row>
    <row r="40" spans="1:78" s="19" customFormat="1">
      <c r="A40" s="19">
        <v>25</v>
      </c>
    </row>
    <row r="41" spans="1:78" s="19" customFormat="1">
      <c r="A41" s="19">
        <v>100</v>
      </c>
    </row>
    <row r="42" spans="1:78" s="19" customFormat="1">
      <c r="A42" s="19">
        <v>200</v>
      </c>
    </row>
    <row r="43" spans="1:78" s="19" customFormat="1">
      <c r="A43" s="20" t="s">
        <v>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140"/>
    </row>
    <row r="44" spans="1:78" s="19" customFormat="1"/>
    <row r="45" spans="1:78" s="19" customFormat="1"/>
    <row r="46" spans="1:78" s="19" customFormat="1">
      <c r="A46" s="19" t="s">
        <v>52</v>
      </c>
    </row>
    <row r="47" spans="1:78" s="19" customFormat="1"/>
    <row r="48" spans="1:78" s="19" customFormat="1">
      <c r="A48" s="38" t="s">
        <v>0</v>
      </c>
      <c r="B48" s="120" t="s">
        <v>3</v>
      </c>
      <c r="C48" s="120"/>
      <c r="D48" s="120" t="s">
        <v>5</v>
      </c>
      <c r="E48" s="120"/>
      <c r="F48" s="120" t="s">
        <v>6</v>
      </c>
      <c r="G48" s="120"/>
      <c r="H48" s="120" t="s">
        <v>7</v>
      </c>
      <c r="I48" s="120"/>
      <c r="J48" s="120"/>
      <c r="K48" s="120"/>
      <c r="L48" s="120" t="s">
        <v>8</v>
      </c>
      <c r="M48" s="120"/>
      <c r="N48" s="120"/>
      <c r="O48" s="120"/>
      <c r="P48" s="120" t="s">
        <v>9</v>
      </c>
      <c r="Q48" s="120"/>
      <c r="R48" s="120"/>
      <c r="S48" s="120"/>
      <c r="T48" s="136"/>
    </row>
    <row r="49" spans="1:20" s="42" customFormat="1" ht="24">
      <c r="A49" s="39"/>
      <c r="B49" s="40" t="s">
        <v>4</v>
      </c>
      <c r="C49" s="41" t="s">
        <v>2</v>
      </c>
      <c r="D49" s="40" t="s">
        <v>4</v>
      </c>
      <c r="E49" s="41" t="s">
        <v>2</v>
      </c>
      <c r="F49" s="40" t="s">
        <v>4</v>
      </c>
      <c r="G49" s="41" t="s">
        <v>2</v>
      </c>
      <c r="H49" s="40" t="s">
        <v>46</v>
      </c>
      <c r="I49" s="40" t="s">
        <v>45</v>
      </c>
      <c r="J49" s="40" t="s">
        <v>4</v>
      </c>
      <c r="K49" s="41" t="s">
        <v>2</v>
      </c>
      <c r="L49" s="40" t="s">
        <v>44</v>
      </c>
      <c r="M49" s="40" t="s">
        <v>45</v>
      </c>
      <c r="N49" s="40" t="s">
        <v>4</v>
      </c>
      <c r="O49" s="41" t="s">
        <v>2</v>
      </c>
      <c r="P49" s="40" t="s">
        <v>44</v>
      </c>
      <c r="Q49" s="40" t="s">
        <v>45</v>
      </c>
      <c r="R49" s="40" t="s">
        <v>4</v>
      </c>
      <c r="S49" s="41" t="s">
        <v>2</v>
      </c>
      <c r="T49" s="137"/>
    </row>
    <row r="50" spans="1:20" s="19" customFormat="1">
      <c r="A50" s="19">
        <v>10</v>
      </c>
      <c r="B50" s="43"/>
      <c r="C50" s="43"/>
    </row>
    <row r="51" spans="1:20" s="19" customFormat="1">
      <c r="A51" s="19">
        <v>25</v>
      </c>
    </row>
    <row r="52" spans="1:20" s="19" customFormat="1">
      <c r="A52" s="19">
        <v>100</v>
      </c>
    </row>
    <row r="53" spans="1:20" s="19" customFormat="1">
      <c r="A53" s="19">
        <v>200</v>
      </c>
    </row>
    <row r="54" spans="1:20" s="19" customFormat="1">
      <c r="A54" s="20" t="s">
        <v>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40"/>
    </row>
    <row r="55" spans="1:20" s="19" customFormat="1"/>
    <row r="56" spans="1:20" s="19" customFormat="1"/>
    <row r="57" spans="1:20" s="19" customFormat="1">
      <c r="A57" s="19" t="s">
        <v>49</v>
      </c>
    </row>
    <row r="58" spans="1:20" s="19" customFormat="1"/>
    <row r="59" spans="1:20" s="19" customFormat="1">
      <c r="A59" s="38" t="s">
        <v>0</v>
      </c>
      <c r="B59" s="120" t="s">
        <v>3</v>
      </c>
      <c r="C59" s="120"/>
      <c r="D59" s="120" t="s">
        <v>5</v>
      </c>
      <c r="E59" s="120"/>
      <c r="F59" s="120" t="s">
        <v>6</v>
      </c>
      <c r="G59" s="120"/>
      <c r="H59" s="120" t="s">
        <v>7</v>
      </c>
      <c r="I59" s="120"/>
      <c r="J59" s="120"/>
      <c r="K59" s="120"/>
      <c r="L59" s="120" t="s">
        <v>8</v>
      </c>
      <c r="M59" s="120"/>
      <c r="N59" s="120"/>
      <c r="O59" s="120"/>
      <c r="P59" s="120" t="s">
        <v>9</v>
      </c>
      <c r="Q59" s="120"/>
      <c r="R59" s="120"/>
      <c r="S59" s="120"/>
      <c r="T59" s="136"/>
    </row>
    <row r="60" spans="1:20" s="42" customFormat="1" ht="24">
      <c r="A60" s="39"/>
      <c r="B60" s="40" t="s">
        <v>4</v>
      </c>
      <c r="C60" s="41" t="s">
        <v>2</v>
      </c>
      <c r="D60" s="40" t="s">
        <v>4</v>
      </c>
      <c r="E60" s="41" t="s">
        <v>2</v>
      </c>
      <c r="F60" s="40" t="s">
        <v>4</v>
      </c>
      <c r="G60" s="41" t="s">
        <v>2</v>
      </c>
      <c r="H60" s="40" t="s">
        <v>46</v>
      </c>
      <c r="I60" s="40" t="s">
        <v>45</v>
      </c>
      <c r="J60" s="40" t="s">
        <v>4</v>
      </c>
      <c r="K60" s="41" t="s">
        <v>2</v>
      </c>
      <c r="L60" s="40" t="s">
        <v>44</v>
      </c>
      <c r="M60" s="40" t="s">
        <v>45</v>
      </c>
      <c r="N60" s="40" t="s">
        <v>4</v>
      </c>
      <c r="O60" s="41" t="s">
        <v>2</v>
      </c>
      <c r="P60" s="40" t="s">
        <v>44</v>
      </c>
      <c r="Q60" s="40" t="s">
        <v>45</v>
      </c>
      <c r="R60" s="40" t="s">
        <v>4</v>
      </c>
      <c r="S60" s="41" t="s">
        <v>2</v>
      </c>
      <c r="T60" s="137"/>
    </row>
    <row r="61" spans="1:20" s="19" customFormat="1">
      <c r="A61" s="19">
        <v>10</v>
      </c>
      <c r="B61" s="43"/>
      <c r="C61" s="43"/>
    </row>
    <row r="62" spans="1:20" s="19" customFormat="1">
      <c r="A62" s="19">
        <v>25</v>
      </c>
    </row>
    <row r="63" spans="1:20" s="19" customFormat="1">
      <c r="A63" s="19">
        <v>100</v>
      </c>
    </row>
    <row r="64" spans="1:20" s="19" customFormat="1">
      <c r="A64" s="19">
        <v>200</v>
      </c>
    </row>
    <row r="65" spans="1:20" s="19" customFormat="1">
      <c r="A65" s="20" t="s">
        <v>1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40"/>
    </row>
    <row r="66" spans="1:20" s="19" customFormat="1"/>
    <row r="67" spans="1:20" s="19" customFormat="1"/>
    <row r="68" spans="1:20" s="19" customFormat="1">
      <c r="A68" s="19" t="s">
        <v>50</v>
      </c>
    </row>
    <row r="69" spans="1:20" s="19" customFormat="1"/>
    <row r="70" spans="1:20" s="19" customFormat="1">
      <c r="A70" s="38" t="s">
        <v>0</v>
      </c>
      <c r="B70" s="120" t="s">
        <v>3</v>
      </c>
      <c r="C70" s="120"/>
      <c r="D70" s="120" t="s">
        <v>5</v>
      </c>
      <c r="E70" s="120"/>
      <c r="F70" s="120" t="s">
        <v>6</v>
      </c>
      <c r="G70" s="120"/>
      <c r="H70" s="120" t="s">
        <v>7</v>
      </c>
      <c r="I70" s="120"/>
      <c r="J70" s="120"/>
      <c r="K70" s="120"/>
      <c r="L70" s="120" t="s">
        <v>8</v>
      </c>
      <c r="M70" s="120"/>
      <c r="N70" s="120"/>
      <c r="O70" s="120"/>
      <c r="P70" s="120" t="s">
        <v>9</v>
      </c>
      <c r="Q70" s="120"/>
      <c r="R70" s="120"/>
      <c r="S70" s="120"/>
      <c r="T70" s="136"/>
    </row>
    <row r="71" spans="1:20" s="42" customFormat="1" ht="24">
      <c r="A71" s="39"/>
      <c r="B71" s="40" t="s">
        <v>4</v>
      </c>
      <c r="C71" s="41" t="s">
        <v>2</v>
      </c>
      <c r="D71" s="40" t="s">
        <v>4</v>
      </c>
      <c r="E71" s="41" t="s">
        <v>2</v>
      </c>
      <c r="F71" s="40" t="s">
        <v>4</v>
      </c>
      <c r="G71" s="41" t="s">
        <v>2</v>
      </c>
      <c r="H71" s="40" t="s">
        <v>46</v>
      </c>
      <c r="I71" s="40" t="s">
        <v>45</v>
      </c>
      <c r="J71" s="40" t="s">
        <v>4</v>
      </c>
      <c r="K71" s="41" t="s">
        <v>2</v>
      </c>
      <c r="L71" s="40" t="s">
        <v>44</v>
      </c>
      <c r="M71" s="40" t="s">
        <v>45</v>
      </c>
      <c r="N71" s="40" t="s">
        <v>4</v>
      </c>
      <c r="O71" s="41" t="s">
        <v>2</v>
      </c>
      <c r="P71" s="40" t="s">
        <v>44</v>
      </c>
      <c r="Q71" s="40" t="s">
        <v>45</v>
      </c>
      <c r="R71" s="40" t="s">
        <v>4</v>
      </c>
      <c r="S71" s="41" t="s">
        <v>2</v>
      </c>
      <c r="T71" s="137"/>
    </row>
    <row r="72" spans="1:20" s="19" customFormat="1">
      <c r="A72" s="19">
        <v>10</v>
      </c>
      <c r="B72" s="43"/>
      <c r="C72" s="43"/>
    </row>
    <row r="73" spans="1:20" s="19" customFormat="1">
      <c r="A73" s="19">
        <v>25</v>
      </c>
    </row>
    <row r="74" spans="1:20" s="19" customFormat="1">
      <c r="A74" s="19">
        <v>100</v>
      </c>
    </row>
    <row r="75" spans="1:20" s="19" customFormat="1">
      <c r="A75" s="19">
        <v>200</v>
      </c>
    </row>
    <row r="76" spans="1:20" s="19" customFormat="1">
      <c r="A76" s="20" t="s">
        <v>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140"/>
    </row>
    <row r="77" spans="1:20" s="19" customFormat="1"/>
    <row r="78" spans="1:20" s="19" customFormat="1"/>
    <row r="79" spans="1:20" s="19" customFormat="1">
      <c r="A79" s="19" t="s">
        <v>53</v>
      </c>
    </row>
    <row r="80" spans="1:20" s="19" customFormat="1"/>
    <row r="81" spans="1:20" s="19" customFormat="1">
      <c r="A81" s="38" t="s">
        <v>0</v>
      </c>
      <c r="B81" s="120" t="s">
        <v>3</v>
      </c>
      <c r="C81" s="120"/>
      <c r="D81" s="120" t="s">
        <v>5</v>
      </c>
      <c r="E81" s="120"/>
      <c r="F81" s="120" t="s">
        <v>6</v>
      </c>
      <c r="G81" s="120"/>
      <c r="H81" s="120" t="s">
        <v>7</v>
      </c>
      <c r="I81" s="120"/>
      <c r="J81" s="120"/>
      <c r="K81" s="120"/>
      <c r="L81" s="120" t="s">
        <v>8</v>
      </c>
      <c r="M81" s="120"/>
      <c r="N81" s="120"/>
      <c r="O81" s="120"/>
      <c r="P81" s="120" t="s">
        <v>9</v>
      </c>
      <c r="Q81" s="120"/>
      <c r="R81" s="120"/>
      <c r="S81" s="120"/>
      <c r="T81" s="136"/>
    </row>
    <row r="82" spans="1:20" s="42" customFormat="1" ht="24">
      <c r="A82" s="39"/>
      <c r="B82" s="40" t="s">
        <v>4</v>
      </c>
      <c r="C82" s="41" t="s">
        <v>2</v>
      </c>
      <c r="D82" s="40" t="s">
        <v>4</v>
      </c>
      <c r="E82" s="41" t="s">
        <v>2</v>
      </c>
      <c r="F82" s="40" t="s">
        <v>4</v>
      </c>
      <c r="G82" s="41" t="s">
        <v>2</v>
      </c>
      <c r="H82" s="40" t="s">
        <v>46</v>
      </c>
      <c r="I82" s="40" t="s">
        <v>45</v>
      </c>
      <c r="J82" s="40" t="s">
        <v>4</v>
      </c>
      <c r="K82" s="41" t="s">
        <v>2</v>
      </c>
      <c r="L82" s="40" t="s">
        <v>44</v>
      </c>
      <c r="M82" s="40" t="s">
        <v>45</v>
      </c>
      <c r="N82" s="40" t="s">
        <v>4</v>
      </c>
      <c r="O82" s="41" t="s">
        <v>2</v>
      </c>
      <c r="P82" s="40" t="s">
        <v>44</v>
      </c>
      <c r="Q82" s="40" t="s">
        <v>45</v>
      </c>
      <c r="R82" s="40" t="s">
        <v>4</v>
      </c>
      <c r="S82" s="41" t="s">
        <v>2</v>
      </c>
      <c r="T82" s="137"/>
    </row>
    <row r="83" spans="1:20" s="19" customFormat="1">
      <c r="A83" s="19">
        <v>10</v>
      </c>
      <c r="B83" s="43"/>
      <c r="C83" s="43"/>
    </row>
    <row r="84" spans="1:20" s="19" customFormat="1">
      <c r="A84" s="19">
        <v>25</v>
      </c>
    </row>
    <row r="85" spans="1:20" s="19" customFormat="1">
      <c r="A85" s="19">
        <v>100</v>
      </c>
    </row>
    <row r="86" spans="1:20" s="19" customFormat="1">
      <c r="A86" s="19">
        <v>200</v>
      </c>
    </row>
    <row r="87" spans="1:20" s="19" customFormat="1">
      <c r="A87" s="20" t="s">
        <v>1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140"/>
    </row>
    <row r="88" spans="1:20" s="19" customFormat="1"/>
    <row r="89" spans="1:20" s="19" customFormat="1"/>
    <row r="90" spans="1:20" s="19" customFormat="1">
      <c r="A90" s="19" t="s">
        <v>54</v>
      </c>
    </row>
    <row r="91" spans="1:20" s="19" customFormat="1"/>
    <row r="92" spans="1:20" s="19" customFormat="1">
      <c r="A92" s="38" t="s">
        <v>0</v>
      </c>
      <c r="B92" s="120" t="s">
        <v>3</v>
      </c>
      <c r="C92" s="120"/>
      <c r="D92" s="120" t="s">
        <v>5</v>
      </c>
      <c r="E92" s="120"/>
      <c r="F92" s="120" t="s">
        <v>6</v>
      </c>
      <c r="G92" s="120"/>
      <c r="H92" s="120" t="s">
        <v>7</v>
      </c>
      <c r="I92" s="120"/>
      <c r="J92" s="120"/>
      <c r="K92" s="120"/>
      <c r="L92" s="120" t="s">
        <v>8</v>
      </c>
      <c r="M92" s="120"/>
      <c r="N92" s="120"/>
      <c r="O92" s="120"/>
      <c r="P92" s="120" t="s">
        <v>9</v>
      </c>
      <c r="Q92" s="120"/>
      <c r="R92" s="120"/>
      <c r="S92" s="120"/>
      <c r="T92" s="136"/>
    </row>
    <row r="93" spans="1:20" s="42" customFormat="1" ht="24">
      <c r="A93" s="39"/>
      <c r="B93" s="40" t="s">
        <v>4</v>
      </c>
      <c r="C93" s="41" t="s">
        <v>2</v>
      </c>
      <c r="D93" s="40" t="s">
        <v>4</v>
      </c>
      <c r="E93" s="41" t="s">
        <v>2</v>
      </c>
      <c r="F93" s="40" t="s">
        <v>4</v>
      </c>
      <c r="G93" s="41" t="s">
        <v>2</v>
      </c>
      <c r="H93" s="40" t="s">
        <v>46</v>
      </c>
      <c r="I93" s="40" t="s">
        <v>45</v>
      </c>
      <c r="J93" s="40" t="s">
        <v>4</v>
      </c>
      <c r="K93" s="41" t="s">
        <v>2</v>
      </c>
      <c r="L93" s="40" t="s">
        <v>44</v>
      </c>
      <c r="M93" s="40" t="s">
        <v>45</v>
      </c>
      <c r="N93" s="40" t="s">
        <v>4</v>
      </c>
      <c r="O93" s="41" t="s">
        <v>2</v>
      </c>
      <c r="P93" s="40" t="s">
        <v>44</v>
      </c>
      <c r="Q93" s="40" t="s">
        <v>45</v>
      </c>
      <c r="R93" s="40" t="s">
        <v>4</v>
      </c>
      <c r="S93" s="41" t="s">
        <v>2</v>
      </c>
      <c r="T93" s="137"/>
    </row>
    <row r="94" spans="1:20" s="19" customFormat="1">
      <c r="A94" s="19">
        <v>10</v>
      </c>
      <c r="B94" s="43"/>
      <c r="C94" s="43"/>
    </row>
    <row r="95" spans="1:20" s="19" customFormat="1">
      <c r="A95" s="19">
        <v>25</v>
      </c>
    </row>
    <row r="96" spans="1:20" s="19" customFormat="1">
      <c r="A96" s="19">
        <v>100</v>
      </c>
    </row>
    <row r="97" spans="1:20" s="19" customFormat="1">
      <c r="A97" s="19">
        <v>200</v>
      </c>
    </row>
    <row r="98" spans="1:20" s="19" customFormat="1">
      <c r="A98" s="20" t="s">
        <v>1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140"/>
    </row>
  </sheetData>
  <mergeCells count="54">
    <mergeCell ref="P92:S92"/>
    <mergeCell ref="B92:C92"/>
    <mergeCell ref="D92:E92"/>
    <mergeCell ref="F92:G92"/>
    <mergeCell ref="H92:K92"/>
    <mergeCell ref="L92:O92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H54"/>
  <sheetViews>
    <sheetView topLeftCell="A5" workbookViewId="0">
      <selection activeCell="E21" sqref="E21"/>
    </sheetView>
  </sheetViews>
  <sheetFormatPr defaultColWidth="8.81640625" defaultRowHeight="14.5"/>
  <cols>
    <col min="2" max="2" width="9.81640625" customWidth="1"/>
    <col min="3" max="3" width="16.1796875" customWidth="1"/>
  </cols>
  <sheetData>
    <row r="2" spans="1:8">
      <c r="A2" s="1" t="s">
        <v>57</v>
      </c>
      <c r="G2" s="27" t="s">
        <v>58</v>
      </c>
    </row>
    <row r="3" spans="1:8" s="1" customFormat="1"/>
    <row r="4" spans="1:8" s="1" customFormat="1">
      <c r="A4" s="2" t="s">
        <v>0</v>
      </c>
      <c r="B4" s="122" t="s">
        <v>59</v>
      </c>
      <c r="C4" s="122"/>
      <c r="D4" s="122" t="s">
        <v>60</v>
      </c>
      <c r="E4" s="122"/>
    </row>
    <row r="5" spans="1:8" s="5" customFormat="1" ht="48">
      <c r="A5" s="3"/>
      <c r="B5" s="28" t="s">
        <v>61</v>
      </c>
      <c r="C5" s="28" t="s">
        <v>62</v>
      </c>
      <c r="D5" s="28" t="s">
        <v>63</v>
      </c>
      <c r="E5" s="28" t="s">
        <v>62</v>
      </c>
    </row>
    <row r="6" spans="1:8" s="1" customFormat="1">
      <c r="A6" s="1">
        <v>2</v>
      </c>
      <c r="B6" s="29">
        <v>0.12096701075390601</v>
      </c>
      <c r="C6" s="29">
        <v>2.24E-2</v>
      </c>
      <c r="D6" s="27">
        <v>6.1105529150338699E-3</v>
      </c>
      <c r="E6" s="27">
        <v>1.1999999999999999E-3</v>
      </c>
      <c r="H6" s="30"/>
    </row>
    <row r="7" spans="1:8" s="1" customFormat="1">
      <c r="A7" s="1">
        <v>5</v>
      </c>
      <c r="B7" s="27">
        <v>0.99426736028889695</v>
      </c>
      <c r="C7" s="27">
        <v>0.16</v>
      </c>
      <c r="D7" s="27">
        <v>0.263925378359812</v>
      </c>
      <c r="E7" s="27">
        <v>5.3999999999999999E-2</v>
      </c>
      <c r="H7" s="30"/>
    </row>
    <row r="8" spans="1:8" s="1" customFormat="1">
      <c r="A8" s="1">
        <v>10</v>
      </c>
      <c r="B8" s="27">
        <v>1.3261502139480501</v>
      </c>
      <c r="C8" s="27">
        <v>0.21279999999999999</v>
      </c>
      <c r="D8" s="27">
        <v>0.40643753587555598</v>
      </c>
      <c r="E8" s="27">
        <v>0.09</v>
      </c>
      <c r="H8" s="30"/>
    </row>
    <row r="9" spans="1:8" s="1" customFormat="1">
      <c r="A9" s="1">
        <v>25</v>
      </c>
      <c r="B9" s="27">
        <v>1.81711277945107</v>
      </c>
      <c r="C9" s="27">
        <v>0.2928</v>
      </c>
      <c r="D9" s="27">
        <v>0.61930517559855403</v>
      </c>
      <c r="E9" s="27">
        <v>0.13919999999999999</v>
      </c>
    </row>
    <row r="10" spans="1:8" s="1" customFormat="1">
      <c r="A10" s="7" t="s">
        <v>1</v>
      </c>
      <c r="B10" s="31">
        <v>0.37760392417024202</v>
      </c>
      <c r="C10" s="35">
        <v>6.1168E-2</v>
      </c>
      <c r="D10" s="31">
        <v>0.104795816747218</v>
      </c>
      <c r="E10" s="35">
        <v>2.2356000000000001E-2</v>
      </c>
    </row>
    <row r="11" spans="1:8" s="1" customFormat="1">
      <c r="B11" s="32" t="s">
        <v>64</v>
      </c>
    </row>
    <row r="12" spans="1:8" s="1" customFormat="1"/>
    <row r="13" spans="1:8" s="1" customFormat="1">
      <c r="A13" s="1" t="s">
        <v>47</v>
      </c>
    </row>
    <row r="14" spans="1:8" s="1" customFormat="1"/>
    <row r="15" spans="1:8" s="1" customFormat="1">
      <c r="A15" s="2" t="s">
        <v>0</v>
      </c>
      <c r="B15" s="121" t="s">
        <v>59</v>
      </c>
      <c r="C15" s="121"/>
      <c r="D15" s="121" t="s">
        <v>60</v>
      </c>
      <c r="E15" s="121"/>
    </row>
    <row r="16" spans="1:8" s="5" customFormat="1" ht="48">
      <c r="A16" s="3"/>
      <c r="B16" s="4" t="s">
        <v>65</v>
      </c>
      <c r="C16" s="4" t="s">
        <v>62</v>
      </c>
      <c r="D16" s="4" t="s">
        <v>66</v>
      </c>
      <c r="E16" s="4" t="s">
        <v>62</v>
      </c>
    </row>
    <row r="17" spans="1:8" s="1" customFormat="1">
      <c r="A17" s="1">
        <v>2</v>
      </c>
      <c r="B17" s="6">
        <f>B6*1.5</f>
        <v>0.181450516130859</v>
      </c>
      <c r="C17" s="6">
        <f t="shared" ref="C17:E17" si="0">C6*1.5</f>
        <v>3.3599999999999998E-2</v>
      </c>
      <c r="D17" s="6">
        <f t="shared" si="0"/>
        <v>9.1658293725508048E-3</v>
      </c>
      <c r="E17" s="6">
        <f t="shared" si="0"/>
        <v>1.8E-3</v>
      </c>
      <c r="H17" s="30"/>
    </row>
    <row r="18" spans="1:8" s="1" customFormat="1">
      <c r="A18" s="1">
        <v>5</v>
      </c>
      <c r="B18" s="6">
        <f t="shared" ref="B18:E21" si="1">B7*1.5</f>
        <v>1.4914010404333453</v>
      </c>
      <c r="C18" s="6">
        <f t="shared" si="1"/>
        <v>0.24</v>
      </c>
      <c r="D18" s="6">
        <f t="shared" si="1"/>
        <v>0.395888067539718</v>
      </c>
      <c r="E18" s="6">
        <f t="shared" si="1"/>
        <v>8.1000000000000003E-2</v>
      </c>
      <c r="H18" s="30"/>
    </row>
    <row r="19" spans="1:8" s="1" customFormat="1">
      <c r="A19" s="1">
        <v>10</v>
      </c>
      <c r="B19" s="6">
        <f t="shared" si="1"/>
        <v>1.9892253209220752</v>
      </c>
      <c r="C19" s="6">
        <f t="shared" si="1"/>
        <v>0.31919999999999998</v>
      </c>
      <c r="D19" s="6">
        <f t="shared" si="1"/>
        <v>0.60965630381333402</v>
      </c>
      <c r="E19" s="6">
        <f t="shared" si="1"/>
        <v>0.13500000000000001</v>
      </c>
      <c r="H19" s="30"/>
    </row>
    <row r="20" spans="1:8" s="1" customFormat="1">
      <c r="A20" s="1">
        <v>25</v>
      </c>
      <c r="B20" s="6">
        <f t="shared" si="1"/>
        <v>2.7256691691766051</v>
      </c>
      <c r="C20" s="6">
        <f t="shared" si="1"/>
        <v>0.43920000000000003</v>
      </c>
      <c r="D20" s="6">
        <f t="shared" si="1"/>
        <v>0.92895776339783098</v>
      </c>
      <c r="E20" s="6">
        <f t="shared" si="1"/>
        <v>0.20879999999999999</v>
      </c>
    </row>
    <row r="21" spans="1:8" s="1" customFormat="1">
      <c r="A21" s="7" t="s">
        <v>1</v>
      </c>
      <c r="B21" s="33">
        <f t="shared" si="1"/>
        <v>0.56640588625536303</v>
      </c>
      <c r="C21" s="36">
        <f t="shared" si="1"/>
        <v>9.1752E-2</v>
      </c>
      <c r="D21" s="33">
        <f t="shared" si="1"/>
        <v>0.15719372512082699</v>
      </c>
      <c r="E21" s="36">
        <f t="shared" si="1"/>
        <v>3.3534000000000001E-2</v>
      </c>
    </row>
    <row r="22" spans="1:8" s="1" customFormat="1"/>
    <row r="23" spans="1:8" s="1" customFormat="1"/>
    <row r="24" spans="1:8" s="1" customFormat="1">
      <c r="A24" s="1" t="s">
        <v>48</v>
      </c>
    </row>
    <row r="25" spans="1:8" s="1" customFormat="1"/>
    <row r="26" spans="1:8" s="1" customFormat="1">
      <c r="A26" s="2" t="s">
        <v>0</v>
      </c>
      <c r="B26" s="121" t="s">
        <v>59</v>
      </c>
      <c r="C26" s="121"/>
      <c r="D26" s="121" t="s">
        <v>60</v>
      </c>
      <c r="E26" s="121"/>
    </row>
    <row r="27" spans="1:8" s="5" customFormat="1" ht="48">
      <c r="A27" s="3"/>
      <c r="B27" s="4" t="s">
        <v>65</v>
      </c>
      <c r="C27" s="4" t="s">
        <v>62</v>
      </c>
      <c r="D27" s="4" t="s">
        <v>66</v>
      </c>
      <c r="E27" s="4" t="s">
        <v>62</v>
      </c>
    </row>
    <row r="28" spans="1:8" s="1" customFormat="1">
      <c r="A28" s="1">
        <v>2</v>
      </c>
      <c r="B28" s="6"/>
      <c r="C28" s="6"/>
      <c r="H28" s="30"/>
    </row>
    <row r="29" spans="1:8" s="1" customFormat="1">
      <c r="A29" s="1">
        <v>5</v>
      </c>
      <c r="H29" s="30"/>
    </row>
    <row r="30" spans="1:8" s="1" customFormat="1">
      <c r="A30" s="1">
        <v>10</v>
      </c>
      <c r="H30" s="30"/>
    </row>
    <row r="31" spans="1:8" s="1" customFormat="1">
      <c r="A31" s="1">
        <v>25</v>
      </c>
    </row>
    <row r="32" spans="1:8" s="1" customFormat="1">
      <c r="A32" s="7" t="s">
        <v>1</v>
      </c>
      <c r="B32" s="7"/>
      <c r="C32" s="7"/>
      <c r="D32" s="7"/>
      <c r="E32" s="7"/>
    </row>
    <row r="33" spans="1:8" s="1" customFormat="1"/>
    <row r="34" spans="1:8" s="1" customFormat="1"/>
    <row r="35" spans="1:8" s="1" customFormat="1">
      <c r="A35" s="1" t="s">
        <v>51</v>
      </c>
    </row>
    <row r="36" spans="1:8" s="1" customFormat="1"/>
    <row r="37" spans="1:8" s="1" customFormat="1">
      <c r="A37" s="2" t="s">
        <v>0</v>
      </c>
      <c r="B37" s="121" t="s">
        <v>59</v>
      </c>
      <c r="C37" s="121"/>
      <c r="D37" s="121" t="s">
        <v>60</v>
      </c>
      <c r="E37" s="121"/>
    </row>
    <row r="38" spans="1:8" s="5" customFormat="1" ht="48">
      <c r="A38" s="3"/>
      <c r="B38" s="4" t="s">
        <v>65</v>
      </c>
      <c r="C38" s="4" t="s">
        <v>62</v>
      </c>
      <c r="D38" s="4" t="s">
        <v>66</v>
      </c>
      <c r="E38" s="4" t="s">
        <v>62</v>
      </c>
    </row>
    <row r="39" spans="1:8" s="1" customFormat="1">
      <c r="A39" s="1">
        <v>2</v>
      </c>
      <c r="B39" s="6"/>
      <c r="C39" s="6"/>
      <c r="H39" s="30"/>
    </row>
    <row r="40" spans="1:8" s="1" customFormat="1">
      <c r="A40" s="1">
        <v>5</v>
      </c>
      <c r="H40" s="30"/>
    </row>
    <row r="41" spans="1:8" s="1" customFormat="1">
      <c r="A41" s="1">
        <v>10</v>
      </c>
      <c r="H41" s="30"/>
    </row>
    <row r="42" spans="1:8" s="1" customFormat="1">
      <c r="A42" s="1">
        <v>25</v>
      </c>
    </row>
    <row r="43" spans="1:8" s="1" customFormat="1">
      <c r="A43" s="7" t="s">
        <v>1</v>
      </c>
      <c r="B43" s="7"/>
      <c r="C43" s="7"/>
      <c r="D43" s="7"/>
      <c r="E43" s="7"/>
    </row>
    <row r="44" spans="1:8" s="1" customFormat="1"/>
    <row r="46" spans="1:8" s="1" customFormat="1">
      <c r="A46" s="1" t="s">
        <v>52</v>
      </c>
    </row>
    <row r="47" spans="1:8" s="1" customFormat="1"/>
    <row r="48" spans="1:8" s="1" customFormat="1">
      <c r="A48" s="2" t="s">
        <v>0</v>
      </c>
      <c r="B48" s="121" t="s">
        <v>59</v>
      </c>
      <c r="C48" s="121"/>
      <c r="D48" s="121" t="s">
        <v>60</v>
      </c>
      <c r="E48" s="121"/>
    </row>
    <row r="49" spans="1:8" s="5" customFormat="1" ht="48">
      <c r="A49" s="3"/>
      <c r="B49" s="4" t="s">
        <v>65</v>
      </c>
      <c r="C49" s="4" t="s">
        <v>62</v>
      </c>
      <c r="D49" s="4" t="s">
        <v>66</v>
      </c>
      <c r="E49" s="4" t="s">
        <v>62</v>
      </c>
    </row>
    <row r="50" spans="1:8" s="1" customFormat="1">
      <c r="A50" s="1">
        <v>2</v>
      </c>
      <c r="B50" s="6"/>
      <c r="C50" s="6"/>
      <c r="H50" s="30"/>
    </row>
    <row r="51" spans="1:8" s="1" customFormat="1">
      <c r="A51" s="1">
        <v>5</v>
      </c>
      <c r="H51" s="30"/>
    </row>
    <row r="52" spans="1:8" s="1" customFormat="1">
      <c r="A52" s="1">
        <v>10</v>
      </c>
      <c r="H52" s="30"/>
    </row>
    <row r="53" spans="1:8" s="1" customFormat="1">
      <c r="A53" s="1">
        <v>25</v>
      </c>
    </row>
    <row r="54" spans="1:8" s="1" customFormat="1">
      <c r="A54" s="7" t="s">
        <v>1</v>
      </c>
      <c r="B54" s="7"/>
      <c r="C54" s="7"/>
      <c r="D54" s="7"/>
      <c r="E54" s="7"/>
    </row>
  </sheetData>
  <mergeCells count="10">
    <mergeCell ref="B37:C37"/>
    <mergeCell ref="D37:E37"/>
    <mergeCell ref="B48:C48"/>
    <mergeCell ref="D48:E48"/>
    <mergeCell ref="B4:C4"/>
    <mergeCell ref="D4:E4"/>
    <mergeCell ref="B15:C15"/>
    <mergeCell ref="D15:E15"/>
    <mergeCell ref="B26:C26"/>
    <mergeCell ref="D26:E2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>
      <selection activeCell="K11" sqref="K11"/>
    </sheetView>
  </sheetViews>
  <sheetFormatPr defaultColWidth="8.6328125" defaultRowHeight="14.5"/>
  <cols>
    <col min="1" max="1" width="17.632812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</row>
    <row r="2" spans="1:19">
      <c r="A2" s="18"/>
      <c r="B2" s="132" t="s">
        <v>40</v>
      </c>
      <c r="C2" s="133"/>
      <c r="D2" s="126" t="s">
        <v>10</v>
      </c>
      <c r="E2" s="125"/>
      <c r="F2" s="125"/>
      <c r="G2" s="125"/>
      <c r="H2" s="125"/>
      <c r="I2" s="125"/>
      <c r="J2" s="125"/>
      <c r="K2" s="127"/>
      <c r="L2" s="125" t="s">
        <v>11</v>
      </c>
      <c r="M2" s="125"/>
      <c r="N2" s="125"/>
      <c r="O2" s="125"/>
      <c r="P2" s="125"/>
      <c r="Q2" s="125"/>
      <c r="R2" s="125"/>
      <c r="S2" s="125"/>
    </row>
    <row r="3" spans="1:19">
      <c r="A3" s="18"/>
      <c r="B3" s="132"/>
      <c r="C3" s="133"/>
      <c r="D3" s="126">
        <v>2050</v>
      </c>
      <c r="E3" s="125"/>
      <c r="F3" s="125"/>
      <c r="G3" s="125"/>
      <c r="H3" s="125"/>
      <c r="I3" s="125"/>
      <c r="J3" s="125"/>
      <c r="K3" s="127"/>
      <c r="L3" s="125">
        <v>2050</v>
      </c>
      <c r="M3" s="125"/>
      <c r="N3" s="125"/>
      <c r="O3" s="125"/>
      <c r="P3" s="125"/>
      <c r="Q3" s="125"/>
      <c r="R3" s="125"/>
      <c r="S3" s="125"/>
    </row>
    <row r="4" spans="1:19" ht="29" customHeight="1">
      <c r="A4" s="18"/>
      <c r="B4" s="132"/>
      <c r="C4" s="133"/>
      <c r="D4" s="128" t="s">
        <v>55</v>
      </c>
      <c r="E4" s="129"/>
      <c r="F4" s="129"/>
      <c r="G4" s="130"/>
      <c r="H4" s="129" t="s">
        <v>56</v>
      </c>
      <c r="I4" s="129"/>
      <c r="J4" s="129"/>
      <c r="K4" s="129"/>
      <c r="L4" s="128" t="s">
        <v>55</v>
      </c>
      <c r="M4" s="129"/>
      <c r="N4" s="129"/>
      <c r="O4" s="130"/>
      <c r="P4" s="129" t="s">
        <v>56</v>
      </c>
      <c r="Q4" s="129"/>
      <c r="R4" s="129"/>
      <c r="S4" s="129"/>
    </row>
    <row r="5" spans="1:19" ht="29" customHeight="1">
      <c r="A5" s="18"/>
      <c r="B5" s="134"/>
      <c r="C5" s="135"/>
      <c r="D5" s="131" t="s">
        <v>43</v>
      </c>
      <c r="E5" s="123"/>
      <c r="F5" s="123" t="s">
        <v>42</v>
      </c>
      <c r="G5" s="124"/>
      <c r="H5" s="131" t="s">
        <v>43</v>
      </c>
      <c r="I5" s="123"/>
      <c r="J5" s="123" t="s">
        <v>42</v>
      </c>
      <c r="K5" s="124"/>
      <c r="L5" s="131" t="s">
        <v>43</v>
      </c>
      <c r="M5" s="123"/>
      <c r="N5" s="123" t="s">
        <v>42</v>
      </c>
      <c r="O5" s="124"/>
      <c r="P5" s="131" t="s">
        <v>43</v>
      </c>
      <c r="Q5" s="123"/>
      <c r="R5" s="123" t="s">
        <v>42</v>
      </c>
      <c r="S5" s="124"/>
    </row>
    <row r="6" spans="1:19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  <c r="L6" s="16" t="s">
        <v>38</v>
      </c>
      <c r="M6" s="14" t="s">
        <v>39</v>
      </c>
      <c r="N6" s="14" t="s">
        <v>38</v>
      </c>
      <c r="O6" s="14" t="s">
        <v>39</v>
      </c>
      <c r="P6" s="14" t="s">
        <v>38</v>
      </c>
      <c r="Q6" s="14" t="s">
        <v>39</v>
      </c>
      <c r="R6" s="14" t="s">
        <v>38</v>
      </c>
      <c r="S6" s="14" t="s">
        <v>39</v>
      </c>
    </row>
    <row r="7" spans="1:19">
      <c r="A7" s="8" t="s">
        <v>12</v>
      </c>
      <c r="B7" s="23">
        <v>1603.3048070738801</v>
      </c>
      <c r="C7" s="21">
        <v>0.25814778524667792</v>
      </c>
      <c r="D7" s="9"/>
      <c r="E7" s="9"/>
      <c r="F7" s="9"/>
      <c r="G7" s="9"/>
      <c r="H7" s="23">
        <v>1587.2188411565351</v>
      </c>
      <c r="I7" s="21">
        <v>0.25555778710234833</v>
      </c>
      <c r="J7" s="9"/>
      <c r="K7" s="9"/>
    </row>
    <row r="8" spans="1:19">
      <c r="A8" s="8" t="s">
        <v>13</v>
      </c>
      <c r="B8" s="23">
        <v>3829.8005734570052</v>
      </c>
      <c r="C8" s="21">
        <v>0.17845105051546273</v>
      </c>
      <c r="D8" s="9"/>
      <c r="E8" s="9"/>
      <c r="F8" s="9"/>
      <c r="G8" s="9"/>
      <c r="H8" s="23">
        <v>3526.4529750245601</v>
      </c>
      <c r="I8" s="21">
        <v>0.16431645092644309</v>
      </c>
      <c r="J8" s="9"/>
      <c r="K8" s="9"/>
    </row>
    <row r="9" spans="1:19">
      <c r="A9" s="8" t="s">
        <v>14</v>
      </c>
      <c r="B9" s="23">
        <v>13205.6620011409</v>
      </c>
      <c r="C9" s="21">
        <v>3.7089879505764709</v>
      </c>
      <c r="D9" s="9"/>
      <c r="E9" s="9"/>
      <c r="F9" s="9"/>
      <c r="G9" s="9"/>
      <c r="H9" s="23">
        <v>11334.353755286749</v>
      </c>
      <c r="I9" s="21">
        <v>3.183405837760938</v>
      </c>
      <c r="J9" s="9"/>
      <c r="K9" s="9"/>
    </row>
    <row r="10" spans="1:19">
      <c r="A10" s="8" t="s">
        <v>15</v>
      </c>
      <c r="B10" s="23">
        <v>6010.7442449739001</v>
      </c>
      <c r="C10" s="21">
        <v>2.6125131278986231</v>
      </c>
      <c r="D10" s="9"/>
      <c r="E10" s="9"/>
      <c r="F10" s="9"/>
      <c r="G10" s="9"/>
      <c r="H10" s="23">
        <v>5464.8481305130499</v>
      </c>
      <c r="I10" s="21">
        <v>2.3752445456111042</v>
      </c>
      <c r="J10" s="9"/>
      <c r="K10" s="9"/>
    </row>
    <row r="11" spans="1:19">
      <c r="A11" s="8" t="s">
        <v>16</v>
      </c>
      <c r="B11" s="23">
        <v>1168.5300437201199</v>
      </c>
      <c r="C11" s="21">
        <v>0.28295297274974618</v>
      </c>
      <c r="D11" s="9"/>
      <c r="E11" s="9"/>
      <c r="F11" s="9"/>
      <c r="G11" s="9"/>
      <c r="H11" s="23">
        <v>708.50153884382996</v>
      </c>
      <c r="I11" s="21">
        <v>0.1715596596690051</v>
      </c>
      <c r="J11" s="9"/>
      <c r="K11" s="9"/>
    </row>
    <row r="12" spans="1:19">
      <c r="A12" s="8" t="s">
        <v>17</v>
      </c>
      <c r="B12" s="23">
        <v>3687.5133320827999</v>
      </c>
      <c r="C12" s="21">
        <v>1.0654101305064128</v>
      </c>
      <c r="D12" s="9"/>
      <c r="E12" s="9"/>
      <c r="F12" s="9"/>
      <c r="G12" s="9"/>
      <c r="H12" s="23">
        <v>4020.015013713085</v>
      </c>
      <c r="I12" s="21">
        <v>1.1614777587742771</v>
      </c>
      <c r="J12" s="9"/>
      <c r="K12" s="9"/>
    </row>
    <row r="13" spans="1:19">
      <c r="A13" s="8" t="s">
        <v>18</v>
      </c>
      <c r="B13" s="23">
        <v>1774.8178368635649</v>
      </c>
      <c r="C13" s="21">
        <v>0.32590659402070726</v>
      </c>
      <c r="D13" s="9"/>
      <c r="E13" s="9"/>
      <c r="F13" s="9"/>
      <c r="G13" s="9"/>
      <c r="H13" s="23">
        <v>1819.132656877835</v>
      </c>
      <c r="I13" s="21">
        <v>0.33404404438632562</v>
      </c>
      <c r="J13" s="9"/>
      <c r="K13" s="9"/>
    </row>
    <row r="14" spans="1:19">
      <c r="A14" s="8" t="s">
        <v>19</v>
      </c>
      <c r="B14" s="23">
        <v>24797.286296990551</v>
      </c>
      <c r="C14" s="21">
        <v>3.9428557920754024</v>
      </c>
      <c r="D14" s="9"/>
      <c r="E14" s="9"/>
      <c r="F14" s="9"/>
      <c r="G14" s="9"/>
      <c r="H14" s="23">
        <v>20223.686598764249</v>
      </c>
      <c r="I14" s="21">
        <v>3.2156373438626065</v>
      </c>
      <c r="J14" s="9"/>
      <c r="K14" s="9"/>
    </row>
    <row r="15" spans="1:19">
      <c r="A15" s="8" t="s">
        <v>20</v>
      </c>
      <c r="B15" s="23">
        <v>362.29142470889548</v>
      </c>
      <c r="C15" s="21">
        <v>0.67195986601465396</v>
      </c>
      <c r="D15" s="9"/>
      <c r="E15" s="9"/>
      <c r="F15" s="9"/>
      <c r="G15" s="9"/>
      <c r="H15" s="23">
        <v>169.38076932442701</v>
      </c>
      <c r="I15" s="21">
        <v>0.31415890992218226</v>
      </c>
      <c r="J15" s="9"/>
      <c r="K15" s="9"/>
    </row>
    <row r="16" spans="1:19">
      <c r="A16" s="8" t="s">
        <v>21</v>
      </c>
      <c r="B16" s="23">
        <v>7171.5451011797504</v>
      </c>
      <c r="C16" s="21">
        <v>2.8285278812603245</v>
      </c>
      <c r="D16" s="9"/>
      <c r="E16" s="9"/>
      <c r="F16" s="9"/>
      <c r="G16" s="9"/>
      <c r="H16" s="23">
        <v>6044.06500028955</v>
      </c>
      <c r="I16" s="21">
        <v>2.3838386468010011</v>
      </c>
      <c r="J16" s="9"/>
      <c r="K16" s="9"/>
    </row>
    <row r="17" spans="1:19">
      <c r="A17" s="8" t="s">
        <v>22</v>
      </c>
      <c r="B17" s="23">
        <v>613.94015455798501</v>
      </c>
      <c r="C17" s="21">
        <v>0.41586009701869786</v>
      </c>
      <c r="D17" s="9"/>
      <c r="E17" s="9"/>
      <c r="F17" s="9"/>
      <c r="G17" s="9"/>
      <c r="H17" s="23">
        <v>483.55986399770302</v>
      </c>
      <c r="I17" s="21">
        <v>0.32754536490810426</v>
      </c>
      <c r="J17" s="9"/>
      <c r="K17" s="9"/>
    </row>
    <row r="18" spans="1:19">
      <c r="A18" s="8" t="s">
        <v>23</v>
      </c>
      <c r="B18" s="23">
        <v>25853.1855078472</v>
      </c>
      <c r="C18" s="21">
        <v>1.0373306441761616</v>
      </c>
      <c r="D18" s="9"/>
      <c r="E18" s="9"/>
      <c r="F18" s="9"/>
      <c r="G18" s="9"/>
      <c r="H18" s="23">
        <v>24103.712063665149</v>
      </c>
      <c r="I18" s="21">
        <v>0.96713494568973657</v>
      </c>
      <c r="J18" s="10"/>
      <c r="K18" s="10"/>
    </row>
    <row r="19" spans="1:19">
      <c r="A19" s="8" t="s">
        <v>24</v>
      </c>
      <c r="B19" s="23">
        <v>610.32085516309996</v>
      </c>
      <c r="C19" s="21">
        <v>9.5440759087243213E-2</v>
      </c>
      <c r="D19" s="9"/>
      <c r="E19" s="9"/>
      <c r="F19" s="9"/>
      <c r="G19" s="9"/>
      <c r="H19" s="23">
        <v>782.60628935206501</v>
      </c>
      <c r="I19" s="21">
        <v>0.1223824119564966</v>
      </c>
      <c r="J19" s="9"/>
      <c r="K19" s="9"/>
    </row>
    <row r="20" spans="1:19">
      <c r="A20" s="8" t="s">
        <v>25</v>
      </c>
      <c r="B20" s="23">
        <v>28261.116337442651</v>
      </c>
      <c r="C20" s="21">
        <v>8.012572437552711</v>
      </c>
      <c r="D20" s="9"/>
      <c r="E20" s="9"/>
      <c r="F20" s="9"/>
      <c r="G20" s="9"/>
      <c r="H20" s="23">
        <v>26810.662730010899</v>
      </c>
      <c r="I20" s="21">
        <v>7.6013408195907939</v>
      </c>
      <c r="J20" s="9"/>
      <c r="K20" s="9"/>
    </row>
    <row r="21" spans="1:19">
      <c r="A21" s="8" t="s">
        <v>26</v>
      </c>
      <c r="B21" s="23">
        <v>2367.1640435888198</v>
      </c>
      <c r="C21" s="21">
        <v>1.2591099763829032</v>
      </c>
      <c r="D21" s="9"/>
      <c r="E21" s="9"/>
      <c r="F21" s="9"/>
      <c r="G21" s="9"/>
      <c r="H21" s="23">
        <v>1574.0842727653751</v>
      </c>
      <c r="I21" s="21">
        <v>0.83726567952659303</v>
      </c>
      <c r="J21" s="9"/>
      <c r="K21" s="9"/>
    </row>
    <row r="22" spans="1:19">
      <c r="A22" s="8" t="s">
        <v>27</v>
      </c>
      <c r="B22" s="23">
        <v>1102.82700894851</v>
      </c>
      <c r="C22" s="21">
        <v>0.62887320718205919</v>
      </c>
      <c r="D22" s="9"/>
      <c r="E22" s="9"/>
      <c r="F22" s="9"/>
      <c r="G22" s="9"/>
      <c r="H22" s="23">
        <v>1214.2326249262101</v>
      </c>
      <c r="I22" s="21">
        <v>0.69240085607849666</v>
      </c>
      <c r="J22" s="9"/>
      <c r="K22" s="9"/>
    </row>
    <row r="23" spans="1:19">
      <c r="A23" s="8" t="s">
        <v>28</v>
      </c>
      <c r="B23" s="23">
        <v>2179.1890725767248</v>
      </c>
      <c r="C23" s="21">
        <v>0.28901199954380857</v>
      </c>
      <c r="D23" s="9"/>
      <c r="E23" s="9"/>
      <c r="F23" s="9"/>
      <c r="G23" s="9"/>
      <c r="H23" s="23">
        <v>1769.3181389423551</v>
      </c>
      <c r="I23" s="21">
        <v>0.23465342204576256</v>
      </c>
      <c r="J23" s="9"/>
      <c r="K23" s="9"/>
    </row>
    <row r="24" spans="1:19">
      <c r="A24" s="8" t="s">
        <v>29</v>
      </c>
      <c r="B24" s="23">
        <v>32.2830915824971</v>
      </c>
      <c r="C24" s="21">
        <v>2.1885377532426187E-2</v>
      </c>
      <c r="D24" s="9"/>
      <c r="E24" s="9"/>
      <c r="F24" s="9"/>
      <c r="G24" s="9"/>
      <c r="H24" s="23">
        <v>15.489768401886501</v>
      </c>
      <c r="I24" s="21">
        <v>1.0500835352117485E-2</v>
      </c>
      <c r="J24" s="9"/>
      <c r="K24" s="9"/>
    </row>
    <row r="25" spans="1:19">
      <c r="A25" s="8" t="s">
        <v>30</v>
      </c>
      <c r="B25" s="23">
        <v>5119.9719952622499</v>
      </c>
      <c r="C25" s="21">
        <v>5.4796764557419104</v>
      </c>
      <c r="D25" s="9"/>
      <c r="E25" s="9"/>
      <c r="F25" s="9"/>
      <c r="G25" s="9"/>
      <c r="H25" s="23">
        <v>4036.4277936406752</v>
      </c>
      <c r="I25" s="21">
        <v>4.32000768101509</v>
      </c>
      <c r="J25" s="9"/>
      <c r="K25" s="9"/>
    </row>
    <row r="26" spans="1:19">
      <c r="A26" s="8" t="s">
        <v>31</v>
      </c>
      <c r="B26" s="23">
        <v>16191.628366890451</v>
      </c>
      <c r="C26" s="21">
        <v>8.8916264882214868</v>
      </c>
      <c r="D26" s="9"/>
      <c r="E26" s="9"/>
      <c r="F26" s="9"/>
      <c r="G26" s="9"/>
      <c r="H26" s="23">
        <v>15302.549193083651</v>
      </c>
      <c r="I26" s="21">
        <v>8.4033890019837241</v>
      </c>
      <c r="J26" s="9"/>
      <c r="K26" s="9"/>
    </row>
    <row r="27" spans="1:19">
      <c r="A27" s="8" t="s">
        <v>32</v>
      </c>
      <c r="B27" s="23">
        <v>14708.24443887115</v>
      </c>
      <c r="C27" s="21">
        <v>4.0448559523376062</v>
      </c>
      <c r="D27" s="9"/>
      <c r="E27" s="9"/>
      <c r="F27" s="9"/>
      <c r="G27" s="9"/>
      <c r="H27" s="23">
        <v>12088.8306762584</v>
      </c>
      <c r="I27" s="21">
        <v>3.3245013652640991</v>
      </c>
      <c r="J27" s="9"/>
      <c r="K27" s="9"/>
    </row>
    <row r="28" spans="1:19">
      <c r="A28" s="8" t="s">
        <v>33</v>
      </c>
      <c r="B28" s="23">
        <v>2087.7296168265252</v>
      </c>
      <c r="C28" s="21">
        <v>5.6164300979724927E-2</v>
      </c>
      <c r="D28" s="9"/>
      <c r="E28" s="9"/>
      <c r="F28" s="9"/>
      <c r="G28" s="9"/>
      <c r="H28" s="23">
        <v>1320.4882164610699</v>
      </c>
      <c r="I28" s="21">
        <v>3.5523899757782751E-2</v>
      </c>
      <c r="J28" s="9"/>
      <c r="K28" s="9"/>
    </row>
    <row r="29" spans="1:19">
      <c r="A29" s="8" t="s">
        <v>34</v>
      </c>
      <c r="B29" s="23">
        <v>3.7405399332454849</v>
      </c>
      <c r="C29" s="21">
        <v>1.8126771909847975E-2</v>
      </c>
      <c r="D29" s="9"/>
      <c r="E29" s="9"/>
      <c r="F29" s="9"/>
      <c r="G29" s="9"/>
      <c r="H29" s="23">
        <v>4.1946494169978852</v>
      </c>
      <c r="I29" s="21">
        <v>2.0327400477108442E-2</v>
      </c>
      <c r="J29" s="10"/>
      <c r="K29" s="10"/>
    </row>
    <row r="30" spans="1:19">
      <c r="A30" s="8" t="s">
        <v>35</v>
      </c>
      <c r="B30" s="23">
        <v>239.03968993971799</v>
      </c>
      <c r="C30" s="21">
        <v>2.8714171929465841E-2</v>
      </c>
      <c r="D30" s="9"/>
      <c r="E30" s="9"/>
      <c r="F30" s="9"/>
      <c r="G30" s="9"/>
      <c r="H30" s="23">
        <v>220.99822025869901</v>
      </c>
      <c r="I30" s="21">
        <v>2.6546975919415513E-2</v>
      </c>
      <c r="J30" s="10"/>
      <c r="K30" s="10"/>
    </row>
    <row r="31" spans="1:19">
      <c r="A31" s="8" t="s">
        <v>36</v>
      </c>
      <c r="B31" s="23">
        <v>6255.8667323939999</v>
      </c>
      <c r="C31" s="21">
        <v>1.055656396322546</v>
      </c>
      <c r="H31" s="25">
        <v>5356.7678413168996</v>
      </c>
      <c r="I31" s="21">
        <v>0.90393649308719826</v>
      </c>
    </row>
    <row r="32" spans="1:19">
      <c r="A32" s="12" t="s">
        <v>37</v>
      </c>
      <c r="B32" s="24">
        <v>169237.74311401622</v>
      </c>
      <c r="C32" s="22">
        <v>1.0387505248665656</v>
      </c>
      <c r="D32" s="12"/>
      <c r="E32" s="12"/>
      <c r="F32" s="12"/>
      <c r="G32" s="12"/>
      <c r="H32" s="24">
        <v>149981.57762229192</v>
      </c>
      <c r="I32" s="22">
        <v>0.92055967899851143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B2:C5"/>
    <mergeCell ref="D5:E5"/>
    <mergeCell ref="F5:G5"/>
    <mergeCell ref="L5:M5"/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  <mergeCell ref="J5:K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6328125" defaultRowHeight="14.5"/>
  <cols>
    <col min="1" max="1" width="17.632812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132" t="s">
        <v>40</v>
      </c>
      <c r="C2" s="133"/>
      <c r="D2" s="126" t="s">
        <v>10</v>
      </c>
      <c r="E2" s="125"/>
      <c r="F2" s="125"/>
      <c r="G2" s="125"/>
      <c r="H2" s="125"/>
      <c r="I2" s="125"/>
      <c r="J2" s="125"/>
      <c r="K2" s="127"/>
    </row>
    <row r="3" spans="1:11">
      <c r="B3" s="132"/>
      <c r="C3" s="133"/>
      <c r="D3" s="126">
        <v>2050</v>
      </c>
      <c r="E3" s="125"/>
      <c r="F3" s="125"/>
      <c r="G3" s="125"/>
      <c r="H3" s="125"/>
      <c r="I3" s="125"/>
      <c r="J3" s="125"/>
      <c r="K3" s="127"/>
    </row>
    <row r="4" spans="1:11" ht="29" customHeight="1">
      <c r="A4" s="18"/>
      <c r="B4" s="132"/>
      <c r="C4" s="133"/>
      <c r="D4" s="128" t="s">
        <v>55</v>
      </c>
      <c r="E4" s="129"/>
      <c r="F4" s="129"/>
      <c r="G4" s="130"/>
      <c r="H4" s="129" t="s">
        <v>56</v>
      </c>
      <c r="I4" s="129"/>
      <c r="J4" s="129"/>
      <c r="K4" s="129"/>
    </row>
    <row r="5" spans="1:11" ht="29" customHeight="1">
      <c r="A5" s="18"/>
      <c r="B5" s="134"/>
      <c r="C5" s="135"/>
      <c r="D5" s="131" t="s">
        <v>43</v>
      </c>
      <c r="E5" s="123"/>
      <c r="F5" s="123" t="s">
        <v>42</v>
      </c>
      <c r="G5" s="124"/>
      <c r="H5" s="131" t="s">
        <v>43</v>
      </c>
      <c r="I5" s="123"/>
      <c r="J5" s="123" t="s">
        <v>42</v>
      </c>
      <c r="K5" s="124"/>
    </row>
    <row r="6" spans="1:11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</row>
    <row r="2" spans="1:19">
      <c r="B2" s="132" t="s">
        <v>40</v>
      </c>
      <c r="C2" s="133"/>
      <c r="D2" s="126" t="s">
        <v>10</v>
      </c>
      <c r="E2" s="125"/>
      <c r="F2" s="125"/>
      <c r="G2" s="125"/>
      <c r="H2" s="125"/>
      <c r="I2" s="125"/>
      <c r="J2" s="125"/>
      <c r="K2" s="127"/>
      <c r="L2" s="125" t="s">
        <v>11</v>
      </c>
      <c r="M2" s="125"/>
      <c r="N2" s="125"/>
      <c r="O2" s="125"/>
      <c r="P2" s="125"/>
      <c r="Q2" s="125"/>
      <c r="R2" s="125"/>
      <c r="S2" s="125"/>
    </row>
    <row r="3" spans="1:19">
      <c r="B3" s="132"/>
      <c r="C3" s="133"/>
      <c r="D3" s="126">
        <v>2050</v>
      </c>
      <c r="E3" s="125"/>
      <c r="F3" s="125"/>
      <c r="G3" s="125"/>
      <c r="H3" s="125"/>
      <c r="I3" s="125"/>
      <c r="J3" s="125"/>
      <c r="K3" s="127"/>
      <c r="L3" s="125">
        <v>2050</v>
      </c>
      <c r="M3" s="125"/>
      <c r="N3" s="125"/>
      <c r="O3" s="125"/>
      <c r="P3" s="125"/>
      <c r="Q3" s="125"/>
      <c r="R3" s="125"/>
      <c r="S3" s="125"/>
    </row>
    <row r="4" spans="1:19" ht="29" customHeight="1">
      <c r="A4" s="18"/>
      <c r="B4" s="132"/>
      <c r="C4" s="133"/>
      <c r="D4" s="128" t="s">
        <v>55</v>
      </c>
      <c r="E4" s="129"/>
      <c r="F4" s="129"/>
      <c r="G4" s="130"/>
      <c r="H4" s="129" t="s">
        <v>56</v>
      </c>
      <c r="I4" s="129"/>
      <c r="J4" s="129"/>
      <c r="K4" s="130"/>
      <c r="L4" s="128" t="s">
        <v>55</v>
      </c>
      <c r="M4" s="129"/>
      <c r="N4" s="129"/>
      <c r="O4" s="130"/>
      <c r="P4" s="129" t="s">
        <v>56</v>
      </c>
      <c r="Q4" s="129"/>
      <c r="R4" s="129"/>
      <c r="S4" s="129"/>
    </row>
    <row r="5" spans="1:19" ht="29" customHeight="1">
      <c r="A5" s="18"/>
      <c r="B5" s="134"/>
      <c r="C5" s="135"/>
      <c r="D5" s="131" t="s">
        <v>43</v>
      </c>
      <c r="E5" s="123"/>
      <c r="F5" s="123" t="s">
        <v>42</v>
      </c>
      <c r="G5" s="124"/>
      <c r="H5" s="131" t="s">
        <v>43</v>
      </c>
      <c r="I5" s="123"/>
      <c r="J5" s="123" t="s">
        <v>42</v>
      </c>
      <c r="K5" s="124"/>
      <c r="L5" s="131" t="s">
        <v>43</v>
      </c>
      <c r="M5" s="123"/>
      <c r="N5" s="123" t="s">
        <v>42</v>
      </c>
      <c r="O5" s="124"/>
      <c r="P5" s="131" t="s">
        <v>43</v>
      </c>
      <c r="Q5" s="123"/>
      <c r="R5" s="123" t="s">
        <v>42</v>
      </c>
      <c r="S5" s="124"/>
    </row>
    <row r="6" spans="1:19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  <c r="L6" s="15" t="s">
        <v>1</v>
      </c>
      <c r="M6" s="13" t="s">
        <v>39</v>
      </c>
      <c r="N6" s="13" t="s">
        <v>1</v>
      </c>
      <c r="O6" s="16" t="s">
        <v>39</v>
      </c>
      <c r="P6" s="13" t="s">
        <v>1</v>
      </c>
      <c r="Q6" s="13" t="s">
        <v>39</v>
      </c>
      <c r="R6" s="13" t="s">
        <v>1</v>
      </c>
      <c r="S6" s="16" t="s">
        <v>39</v>
      </c>
    </row>
    <row r="7" spans="1:19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9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9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9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9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9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9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9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9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9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9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9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9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9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9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9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9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9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9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9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9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9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9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9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9">
      <c r="A31" s="8" t="s">
        <v>36</v>
      </c>
    </row>
    <row r="32" spans="1:19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P5:Q5"/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  <mergeCell ref="J5:K5"/>
    <mergeCell ref="L5:M5"/>
    <mergeCell ref="N5:O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132" t="s">
        <v>40</v>
      </c>
      <c r="C2" s="133"/>
      <c r="D2" s="126" t="s">
        <v>10</v>
      </c>
      <c r="E2" s="125"/>
      <c r="F2" s="125"/>
      <c r="G2" s="125"/>
      <c r="H2" s="125"/>
      <c r="I2" s="125"/>
      <c r="J2" s="125"/>
      <c r="K2" s="127"/>
    </row>
    <row r="3" spans="1:11">
      <c r="B3" s="132"/>
      <c r="C3" s="133"/>
      <c r="D3" s="126">
        <v>2050</v>
      </c>
      <c r="E3" s="125"/>
      <c r="F3" s="125"/>
      <c r="G3" s="125"/>
      <c r="H3" s="125"/>
      <c r="I3" s="125"/>
      <c r="J3" s="125"/>
      <c r="K3" s="127"/>
    </row>
    <row r="4" spans="1:11" ht="29" customHeight="1">
      <c r="A4" s="18"/>
      <c r="B4" s="132"/>
      <c r="C4" s="133"/>
      <c r="D4" s="128" t="s">
        <v>55</v>
      </c>
      <c r="E4" s="129"/>
      <c r="F4" s="129"/>
      <c r="G4" s="130"/>
      <c r="H4" s="129" t="s">
        <v>56</v>
      </c>
      <c r="I4" s="129"/>
      <c r="J4" s="129"/>
      <c r="K4" s="130"/>
    </row>
    <row r="5" spans="1:11" ht="29" customHeight="1">
      <c r="A5" s="18"/>
      <c r="B5" s="134"/>
      <c r="C5" s="135"/>
      <c r="D5" s="131" t="s">
        <v>43</v>
      </c>
      <c r="E5" s="123"/>
      <c r="F5" s="123" t="s">
        <v>42</v>
      </c>
      <c r="G5" s="124"/>
      <c r="H5" s="131" t="s">
        <v>43</v>
      </c>
      <c r="I5" s="123"/>
      <c r="J5" s="123" t="s">
        <v>42</v>
      </c>
      <c r="K5" s="124"/>
    </row>
    <row r="6" spans="1:11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CGE-Flood Weighted Av Calcs</vt:lpstr>
      <vt:lpstr>MINDSET-Flood MC</vt:lpstr>
      <vt:lpstr>Flood (national AAL PML)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2022-11-30T10:12:22Z</dcterms:created>
  <dcterms:modified xsi:type="dcterms:W3CDTF">2023-03-28T11:29:57Z</dcterms:modified>
</cp:coreProperties>
</file>