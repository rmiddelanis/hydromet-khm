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mochizuki_worldbank_org/Documents/"/>
    </mc:Choice>
  </mc:AlternateContent>
  <xr:revisionPtr revIDLastSave="6" documentId="8_{B01063EF-43A4-4C34-9B56-4C5B8E64F550}" xr6:coauthVersionLast="47" xr6:coauthVersionMax="47" xr10:uidLastSave="{250012F1-B120-4C78-8965-862836810BF5}"/>
  <bookViews>
    <workbookView xWindow="-110" yWindow="-110" windowWidth="19420" windowHeight="10420" tabRatio="864" activeTab="2" xr2:uid="{EA58DB0F-896D-4CE3-BD5F-87C5A342EB24}"/>
  </bookViews>
  <sheets>
    <sheet name="Flood (national AAL PML)" sheetId="1" r:id="rId1"/>
    <sheet name="CGE-Flood Weighted Av Calcs" sheetId="9" r:id="rId2"/>
    <sheet name="MINDSET-Flood MC" sheetId="10" r:id="rId3"/>
    <sheet name="Drought (national AAL PML)" sheetId="2" r:id="rId4"/>
    <sheet name="Flood Affected Population" sheetId="3" r:id="rId5"/>
    <sheet name="Drought Affected Population" sheetId="7" r:id="rId6"/>
    <sheet name="Flood AAL (admin 1)" sheetId="5" r:id="rId7"/>
    <sheet name="Drought AAL (admin 1)" sheetId="8" r:id="rId8"/>
  </sheets>
  <externalReferences>
    <externalReference r:id="rId9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44" i="10" l="1"/>
  <c r="H1044" i="10"/>
  <c r="G1044" i="10"/>
  <c r="F1044" i="10"/>
  <c r="E1044" i="10"/>
  <c r="B1043" i="10"/>
  <c r="H1043" i="10"/>
  <c r="G1043" i="10"/>
  <c r="F1043" i="10"/>
  <c r="E1043" i="10"/>
  <c r="B1042" i="10"/>
  <c r="H1042" i="10"/>
  <c r="G1042" i="10"/>
  <c r="F1042" i="10"/>
  <c r="E1042" i="10"/>
  <c r="B1041" i="10"/>
  <c r="H1041" i="10"/>
  <c r="G1041" i="10"/>
  <c r="F1041" i="10"/>
  <c r="E1041" i="10"/>
  <c r="B1040" i="10"/>
  <c r="H1040" i="10"/>
  <c r="G1040" i="10"/>
  <c r="F1040" i="10"/>
  <c r="E1040" i="10"/>
  <c r="B1039" i="10"/>
  <c r="H1039" i="10"/>
  <c r="G1039" i="10"/>
  <c r="F1039" i="10"/>
  <c r="E1039" i="10"/>
  <c r="B1038" i="10"/>
  <c r="H1038" i="10"/>
  <c r="G1038" i="10"/>
  <c r="F1038" i="10"/>
  <c r="E1038" i="10"/>
  <c r="B1037" i="10"/>
  <c r="H1037" i="10"/>
  <c r="G1037" i="10"/>
  <c r="F1037" i="10"/>
  <c r="E1037" i="10"/>
  <c r="B1036" i="10"/>
  <c r="H1036" i="10"/>
  <c r="G1036" i="10"/>
  <c r="F1036" i="10"/>
  <c r="E1036" i="10"/>
  <c r="B1035" i="10"/>
  <c r="H1035" i="10"/>
  <c r="G1035" i="10"/>
  <c r="F1035" i="10"/>
  <c r="E1035" i="10"/>
  <c r="B1034" i="10"/>
  <c r="H1034" i="10"/>
  <c r="G1034" i="10"/>
  <c r="F1034" i="10"/>
  <c r="E1034" i="10"/>
  <c r="B1033" i="10"/>
  <c r="H1033" i="10"/>
  <c r="G1033" i="10"/>
  <c r="F1033" i="10"/>
  <c r="E1033" i="10"/>
  <c r="B1032" i="10"/>
  <c r="H1032" i="10"/>
  <c r="G1032" i="10"/>
  <c r="F1032" i="10"/>
  <c r="E1032" i="10"/>
  <c r="B1031" i="10"/>
  <c r="H1031" i="10"/>
  <c r="G1031" i="10"/>
  <c r="F1031" i="10"/>
  <c r="E1031" i="10"/>
  <c r="B1030" i="10"/>
  <c r="H1030" i="10"/>
  <c r="G1030" i="10"/>
  <c r="F1030" i="10"/>
  <c r="E1030" i="10"/>
  <c r="B1029" i="10"/>
  <c r="H1029" i="10"/>
  <c r="G1029" i="10"/>
  <c r="F1029" i="10"/>
  <c r="E1029" i="10"/>
  <c r="B1028" i="10"/>
  <c r="H1028" i="10"/>
  <c r="G1028" i="10"/>
  <c r="F1028" i="10"/>
  <c r="E1028" i="10"/>
  <c r="B1027" i="10"/>
  <c r="H1027" i="10"/>
  <c r="G1027" i="10"/>
  <c r="F1027" i="10"/>
  <c r="E1027" i="10"/>
  <c r="B1026" i="10"/>
  <c r="H1026" i="10"/>
  <c r="G1026" i="10"/>
  <c r="F1026" i="10"/>
  <c r="E1026" i="10"/>
  <c r="B1025" i="10"/>
  <c r="H1025" i="10"/>
  <c r="G1025" i="10"/>
  <c r="F1025" i="10"/>
  <c r="E1025" i="10"/>
  <c r="B1024" i="10"/>
  <c r="H1024" i="10"/>
  <c r="G1024" i="10"/>
  <c r="F1024" i="10"/>
  <c r="E1024" i="10"/>
  <c r="B1023" i="10"/>
  <c r="H1023" i="10"/>
  <c r="G1023" i="10"/>
  <c r="F1023" i="10"/>
  <c r="E1023" i="10"/>
  <c r="B1022" i="10"/>
  <c r="H1022" i="10"/>
  <c r="G1022" i="10"/>
  <c r="F1022" i="10"/>
  <c r="E1022" i="10"/>
  <c r="B1021" i="10"/>
  <c r="H1021" i="10"/>
  <c r="G1021" i="10"/>
  <c r="F1021" i="10"/>
  <c r="E1021" i="10"/>
  <c r="B1020" i="10"/>
  <c r="H1020" i="10"/>
  <c r="G1020" i="10"/>
  <c r="F1020" i="10"/>
  <c r="E1020" i="10"/>
  <c r="B1019" i="10"/>
  <c r="H1019" i="10"/>
  <c r="G1019" i="10"/>
  <c r="F1019" i="10"/>
  <c r="E1019" i="10"/>
  <c r="B1018" i="10"/>
  <c r="H1018" i="10"/>
  <c r="G1018" i="10"/>
  <c r="F1018" i="10"/>
  <c r="E1018" i="10"/>
  <c r="B1017" i="10"/>
  <c r="H1017" i="10"/>
  <c r="G1017" i="10"/>
  <c r="F1017" i="10"/>
  <c r="E1017" i="10"/>
  <c r="B1016" i="10"/>
  <c r="H1016" i="10"/>
  <c r="G1016" i="10"/>
  <c r="F1016" i="10"/>
  <c r="E1016" i="10"/>
  <c r="B1015" i="10"/>
  <c r="H1015" i="10"/>
  <c r="G1015" i="10"/>
  <c r="F1015" i="10"/>
  <c r="E1015" i="10"/>
  <c r="B1014" i="10"/>
  <c r="H1014" i="10"/>
  <c r="G1014" i="10"/>
  <c r="F1014" i="10"/>
  <c r="E1014" i="10"/>
  <c r="B1013" i="10"/>
  <c r="H1013" i="10"/>
  <c r="G1013" i="10"/>
  <c r="F1013" i="10"/>
  <c r="E1013" i="10"/>
  <c r="B1012" i="10"/>
  <c r="H1012" i="10"/>
  <c r="G1012" i="10"/>
  <c r="F1012" i="10"/>
  <c r="E1012" i="10"/>
  <c r="B1011" i="10"/>
  <c r="H1011" i="10"/>
  <c r="G1011" i="10"/>
  <c r="F1011" i="10"/>
  <c r="E1011" i="10"/>
  <c r="B1010" i="10"/>
  <c r="H1010" i="10"/>
  <c r="G1010" i="10"/>
  <c r="F1010" i="10"/>
  <c r="E1010" i="10"/>
  <c r="B1009" i="10"/>
  <c r="H1009" i="10"/>
  <c r="G1009" i="10"/>
  <c r="F1009" i="10"/>
  <c r="E1009" i="10"/>
  <c r="B1008" i="10"/>
  <c r="H1008" i="10"/>
  <c r="G1008" i="10"/>
  <c r="F1008" i="10"/>
  <c r="E1008" i="10"/>
  <c r="B1007" i="10"/>
  <c r="H1007" i="10"/>
  <c r="G1007" i="10"/>
  <c r="F1007" i="10"/>
  <c r="E1007" i="10"/>
  <c r="B1006" i="10"/>
  <c r="H1006" i="10"/>
  <c r="G1006" i="10"/>
  <c r="F1006" i="10"/>
  <c r="E1006" i="10"/>
  <c r="B1005" i="10"/>
  <c r="H1005" i="10"/>
  <c r="G1005" i="10"/>
  <c r="F1005" i="10"/>
  <c r="E1005" i="10"/>
  <c r="B1004" i="10"/>
  <c r="H1004" i="10"/>
  <c r="G1004" i="10"/>
  <c r="F1004" i="10"/>
  <c r="E1004" i="10"/>
  <c r="B1003" i="10"/>
  <c r="H1003" i="10"/>
  <c r="G1003" i="10"/>
  <c r="F1003" i="10"/>
  <c r="E1003" i="10"/>
  <c r="B1002" i="10"/>
  <c r="H1002" i="10"/>
  <c r="G1002" i="10"/>
  <c r="F1002" i="10"/>
  <c r="E1002" i="10"/>
  <c r="B1001" i="10"/>
  <c r="H1001" i="10"/>
  <c r="G1001" i="10"/>
  <c r="F1001" i="10"/>
  <c r="E1001" i="10"/>
  <c r="B1000" i="10"/>
  <c r="H1000" i="10"/>
  <c r="G1000" i="10"/>
  <c r="F1000" i="10"/>
  <c r="E1000" i="10"/>
  <c r="B999" i="10"/>
  <c r="H999" i="10"/>
  <c r="G999" i="10"/>
  <c r="F999" i="10"/>
  <c r="E999" i="10"/>
  <c r="B998" i="10"/>
  <c r="H998" i="10"/>
  <c r="G998" i="10"/>
  <c r="F998" i="10"/>
  <c r="E998" i="10"/>
  <c r="B997" i="10"/>
  <c r="H997" i="10"/>
  <c r="G997" i="10"/>
  <c r="F997" i="10"/>
  <c r="E997" i="10"/>
  <c r="B996" i="10"/>
  <c r="H996" i="10"/>
  <c r="G996" i="10"/>
  <c r="F996" i="10"/>
  <c r="E996" i="10"/>
  <c r="B995" i="10"/>
  <c r="H995" i="10"/>
  <c r="G995" i="10"/>
  <c r="F995" i="10"/>
  <c r="E995" i="10"/>
  <c r="B994" i="10"/>
  <c r="H994" i="10"/>
  <c r="G994" i="10"/>
  <c r="F994" i="10"/>
  <c r="E994" i="10"/>
  <c r="B993" i="10"/>
  <c r="H993" i="10"/>
  <c r="G993" i="10"/>
  <c r="F993" i="10"/>
  <c r="E993" i="10"/>
  <c r="B992" i="10"/>
  <c r="H992" i="10"/>
  <c r="G992" i="10"/>
  <c r="F992" i="10"/>
  <c r="E992" i="10"/>
  <c r="B991" i="10"/>
  <c r="H991" i="10"/>
  <c r="G991" i="10"/>
  <c r="F991" i="10"/>
  <c r="E991" i="10"/>
  <c r="B990" i="10"/>
  <c r="H990" i="10"/>
  <c r="G990" i="10"/>
  <c r="F990" i="10"/>
  <c r="E990" i="10"/>
  <c r="B989" i="10"/>
  <c r="H989" i="10"/>
  <c r="G989" i="10"/>
  <c r="F989" i="10"/>
  <c r="E989" i="10"/>
  <c r="B988" i="10"/>
  <c r="H988" i="10"/>
  <c r="G988" i="10"/>
  <c r="F988" i="10"/>
  <c r="E988" i="10"/>
  <c r="B987" i="10"/>
  <c r="H987" i="10"/>
  <c r="G987" i="10"/>
  <c r="F987" i="10"/>
  <c r="E987" i="10"/>
  <c r="B986" i="10"/>
  <c r="H986" i="10"/>
  <c r="G986" i="10"/>
  <c r="F986" i="10"/>
  <c r="E986" i="10"/>
  <c r="B985" i="10"/>
  <c r="H985" i="10"/>
  <c r="G985" i="10"/>
  <c r="F985" i="10"/>
  <c r="E985" i="10"/>
  <c r="B984" i="10"/>
  <c r="H984" i="10"/>
  <c r="G984" i="10"/>
  <c r="F984" i="10"/>
  <c r="E984" i="10"/>
  <c r="D984" i="10"/>
  <c r="C984" i="10"/>
  <c r="B983" i="10"/>
  <c r="H983" i="10"/>
  <c r="G983" i="10"/>
  <c r="F983" i="10"/>
  <c r="E983" i="10"/>
  <c r="B982" i="10"/>
  <c r="H982" i="10"/>
  <c r="G982" i="10"/>
  <c r="F982" i="10"/>
  <c r="E982" i="10"/>
  <c r="B981" i="10"/>
  <c r="H981" i="10"/>
  <c r="G981" i="10"/>
  <c r="F981" i="10"/>
  <c r="E981" i="10"/>
  <c r="B980" i="10"/>
  <c r="H980" i="10"/>
  <c r="G980" i="10"/>
  <c r="F980" i="10"/>
  <c r="E980" i="10"/>
  <c r="B979" i="10"/>
  <c r="H979" i="10"/>
  <c r="G979" i="10"/>
  <c r="F979" i="10"/>
  <c r="E979" i="10"/>
  <c r="B978" i="10"/>
  <c r="H978" i="10"/>
  <c r="G978" i="10"/>
  <c r="F978" i="10"/>
  <c r="E978" i="10"/>
  <c r="B977" i="10"/>
  <c r="H977" i="10"/>
  <c r="G977" i="10"/>
  <c r="F977" i="10"/>
  <c r="E977" i="10"/>
  <c r="B976" i="10"/>
  <c r="H976" i="10"/>
  <c r="G976" i="10"/>
  <c r="F976" i="10"/>
  <c r="E976" i="10"/>
  <c r="B975" i="10"/>
  <c r="H975" i="10"/>
  <c r="G975" i="10"/>
  <c r="F975" i="10"/>
  <c r="E975" i="10"/>
  <c r="B974" i="10"/>
  <c r="H974" i="10"/>
  <c r="G974" i="10"/>
  <c r="F974" i="10"/>
  <c r="E974" i="10"/>
  <c r="D974" i="10"/>
  <c r="C974" i="10"/>
  <c r="B973" i="10"/>
  <c r="H973" i="10"/>
  <c r="G973" i="10"/>
  <c r="F973" i="10"/>
  <c r="E973" i="10"/>
  <c r="B972" i="10"/>
  <c r="H972" i="10"/>
  <c r="G972" i="10"/>
  <c r="F972" i="10"/>
  <c r="E972" i="10"/>
  <c r="B971" i="10"/>
  <c r="H971" i="10"/>
  <c r="G971" i="10"/>
  <c r="F971" i="10"/>
  <c r="E971" i="10"/>
  <c r="B970" i="10"/>
  <c r="H970" i="10"/>
  <c r="G970" i="10"/>
  <c r="F970" i="10"/>
  <c r="E970" i="10"/>
  <c r="B969" i="10"/>
  <c r="H969" i="10"/>
  <c r="G969" i="10"/>
  <c r="F969" i="10"/>
  <c r="E969" i="10"/>
  <c r="B968" i="10"/>
  <c r="H968" i="10"/>
  <c r="G968" i="10"/>
  <c r="F968" i="10"/>
  <c r="E968" i="10"/>
  <c r="B967" i="10"/>
  <c r="H967" i="10"/>
  <c r="G967" i="10"/>
  <c r="F967" i="10"/>
  <c r="E967" i="10"/>
  <c r="B966" i="10"/>
  <c r="H966" i="10"/>
  <c r="G966" i="10"/>
  <c r="F966" i="10"/>
  <c r="E966" i="10"/>
  <c r="B965" i="10"/>
  <c r="H965" i="10"/>
  <c r="G965" i="10"/>
  <c r="F965" i="10"/>
  <c r="E965" i="10"/>
  <c r="B964" i="10"/>
  <c r="H964" i="10"/>
  <c r="G964" i="10"/>
  <c r="F964" i="10"/>
  <c r="E964" i="10"/>
  <c r="B963" i="10"/>
  <c r="H963" i="10"/>
  <c r="G963" i="10"/>
  <c r="F963" i="10"/>
  <c r="E963" i="10"/>
  <c r="B962" i="10"/>
  <c r="H962" i="10"/>
  <c r="G962" i="10"/>
  <c r="F962" i="10"/>
  <c r="E962" i="10"/>
  <c r="B961" i="10"/>
  <c r="H961" i="10"/>
  <c r="G961" i="10"/>
  <c r="F961" i="10"/>
  <c r="E961" i="10"/>
  <c r="B960" i="10"/>
  <c r="H960" i="10"/>
  <c r="G960" i="10"/>
  <c r="F960" i="10"/>
  <c r="E960" i="10"/>
  <c r="B959" i="10"/>
  <c r="H959" i="10"/>
  <c r="G959" i="10"/>
  <c r="F959" i="10"/>
  <c r="E959" i="10"/>
  <c r="B958" i="10"/>
  <c r="H958" i="10"/>
  <c r="G958" i="10"/>
  <c r="F958" i="10"/>
  <c r="E958" i="10"/>
  <c r="B957" i="10"/>
  <c r="H957" i="10"/>
  <c r="G957" i="10"/>
  <c r="F957" i="10"/>
  <c r="E957" i="10"/>
  <c r="B956" i="10"/>
  <c r="H956" i="10"/>
  <c r="G956" i="10"/>
  <c r="F956" i="10"/>
  <c r="E956" i="10"/>
  <c r="B955" i="10"/>
  <c r="H955" i="10"/>
  <c r="G955" i="10"/>
  <c r="F955" i="10"/>
  <c r="E955" i="10"/>
  <c r="B954" i="10"/>
  <c r="H954" i="10"/>
  <c r="G954" i="10"/>
  <c r="F954" i="10"/>
  <c r="E954" i="10"/>
  <c r="B953" i="10"/>
  <c r="H953" i="10"/>
  <c r="G953" i="10"/>
  <c r="F953" i="10"/>
  <c r="E953" i="10"/>
  <c r="B952" i="10"/>
  <c r="H952" i="10"/>
  <c r="G952" i="10"/>
  <c r="F952" i="10"/>
  <c r="E952" i="10"/>
  <c r="B951" i="10"/>
  <c r="H951" i="10"/>
  <c r="G951" i="10"/>
  <c r="F951" i="10"/>
  <c r="E951" i="10"/>
  <c r="B950" i="10"/>
  <c r="H950" i="10"/>
  <c r="G950" i="10"/>
  <c r="F950" i="10"/>
  <c r="E950" i="10"/>
  <c r="B949" i="10"/>
  <c r="H949" i="10"/>
  <c r="G949" i="10"/>
  <c r="F949" i="10"/>
  <c r="E949" i="10"/>
  <c r="B948" i="10"/>
  <c r="H948" i="10"/>
  <c r="G948" i="10"/>
  <c r="F948" i="10"/>
  <c r="E948" i="10"/>
  <c r="B947" i="10"/>
  <c r="H947" i="10"/>
  <c r="G947" i="10"/>
  <c r="F947" i="10"/>
  <c r="E947" i="10"/>
  <c r="B946" i="10"/>
  <c r="H946" i="10"/>
  <c r="G946" i="10"/>
  <c r="F946" i="10"/>
  <c r="E946" i="10"/>
  <c r="B945" i="10"/>
  <c r="H945" i="10"/>
  <c r="G945" i="10"/>
  <c r="F945" i="10"/>
  <c r="E945" i="10"/>
  <c r="B944" i="10"/>
  <c r="H944" i="10"/>
  <c r="G944" i="10"/>
  <c r="F944" i="10"/>
  <c r="E944" i="10"/>
  <c r="B943" i="10"/>
  <c r="H943" i="10"/>
  <c r="G943" i="10"/>
  <c r="F943" i="10"/>
  <c r="E943" i="10"/>
  <c r="B942" i="10"/>
  <c r="H942" i="10"/>
  <c r="G942" i="10"/>
  <c r="F942" i="10"/>
  <c r="E942" i="10"/>
  <c r="B941" i="10"/>
  <c r="H941" i="10"/>
  <c r="G941" i="10"/>
  <c r="F941" i="10"/>
  <c r="E941" i="10"/>
  <c r="B940" i="10"/>
  <c r="H940" i="10"/>
  <c r="G940" i="10"/>
  <c r="F940" i="10"/>
  <c r="E940" i="10"/>
  <c r="B939" i="10"/>
  <c r="H939" i="10"/>
  <c r="G939" i="10"/>
  <c r="F939" i="10"/>
  <c r="E939" i="10"/>
  <c r="B938" i="10"/>
  <c r="H938" i="10"/>
  <c r="G938" i="10"/>
  <c r="F938" i="10"/>
  <c r="E938" i="10"/>
  <c r="B937" i="10"/>
  <c r="H937" i="10"/>
  <c r="G937" i="10"/>
  <c r="F937" i="10"/>
  <c r="E937" i="10"/>
  <c r="B936" i="10"/>
  <c r="H936" i="10"/>
  <c r="G936" i="10"/>
  <c r="F936" i="10"/>
  <c r="E936" i="10"/>
  <c r="B935" i="10"/>
  <c r="H935" i="10"/>
  <c r="G935" i="10"/>
  <c r="F935" i="10"/>
  <c r="E935" i="10"/>
  <c r="B934" i="10"/>
  <c r="H934" i="10"/>
  <c r="G934" i="10"/>
  <c r="F934" i="10"/>
  <c r="E934" i="10"/>
  <c r="B933" i="10"/>
  <c r="H933" i="10"/>
  <c r="G933" i="10"/>
  <c r="F933" i="10"/>
  <c r="E933" i="10"/>
  <c r="B932" i="10"/>
  <c r="H932" i="10"/>
  <c r="G932" i="10"/>
  <c r="F932" i="10"/>
  <c r="E932" i="10"/>
  <c r="B931" i="10"/>
  <c r="H931" i="10"/>
  <c r="G931" i="10"/>
  <c r="F931" i="10"/>
  <c r="E931" i="10"/>
  <c r="B930" i="10"/>
  <c r="H930" i="10"/>
  <c r="G930" i="10"/>
  <c r="F930" i="10"/>
  <c r="E930" i="10"/>
  <c r="B929" i="10"/>
  <c r="H929" i="10"/>
  <c r="G929" i="10"/>
  <c r="F929" i="10"/>
  <c r="E929" i="10"/>
  <c r="B928" i="10"/>
  <c r="H928" i="10"/>
  <c r="G928" i="10"/>
  <c r="F928" i="10"/>
  <c r="E928" i="10"/>
  <c r="B927" i="10"/>
  <c r="H927" i="10"/>
  <c r="G927" i="10"/>
  <c r="F927" i="10"/>
  <c r="E927" i="10"/>
  <c r="B926" i="10"/>
  <c r="H926" i="10"/>
  <c r="G926" i="10"/>
  <c r="F926" i="10"/>
  <c r="E926" i="10"/>
  <c r="B925" i="10"/>
  <c r="H925" i="10"/>
  <c r="G925" i="10"/>
  <c r="F925" i="10"/>
  <c r="E925" i="10"/>
  <c r="B924" i="10"/>
  <c r="H924" i="10"/>
  <c r="G924" i="10"/>
  <c r="F924" i="10"/>
  <c r="E924" i="10"/>
  <c r="B923" i="10"/>
  <c r="H923" i="10"/>
  <c r="G923" i="10"/>
  <c r="F923" i="10"/>
  <c r="E923" i="10"/>
  <c r="B922" i="10"/>
  <c r="H922" i="10"/>
  <c r="G922" i="10"/>
  <c r="F922" i="10"/>
  <c r="E922" i="10"/>
  <c r="B921" i="10"/>
  <c r="H921" i="10"/>
  <c r="G921" i="10"/>
  <c r="F921" i="10"/>
  <c r="E921" i="10"/>
  <c r="B920" i="10"/>
  <c r="H920" i="10"/>
  <c r="G920" i="10"/>
  <c r="F920" i="10"/>
  <c r="E920" i="10"/>
  <c r="B919" i="10"/>
  <c r="H919" i="10"/>
  <c r="G919" i="10"/>
  <c r="F919" i="10"/>
  <c r="E919" i="10"/>
  <c r="B918" i="10"/>
  <c r="H918" i="10"/>
  <c r="G918" i="10"/>
  <c r="F918" i="10"/>
  <c r="E918" i="10"/>
  <c r="B917" i="10"/>
  <c r="H917" i="10"/>
  <c r="G917" i="10"/>
  <c r="F917" i="10"/>
  <c r="E917" i="10"/>
  <c r="B916" i="10"/>
  <c r="H916" i="10"/>
  <c r="G916" i="10"/>
  <c r="F916" i="10"/>
  <c r="E916" i="10"/>
  <c r="B915" i="10"/>
  <c r="H915" i="10"/>
  <c r="G915" i="10"/>
  <c r="F915" i="10"/>
  <c r="E915" i="10"/>
  <c r="B914" i="10"/>
  <c r="H914" i="10"/>
  <c r="G914" i="10"/>
  <c r="F914" i="10"/>
  <c r="E914" i="10"/>
  <c r="B913" i="10"/>
  <c r="H913" i="10"/>
  <c r="G913" i="10"/>
  <c r="F913" i="10"/>
  <c r="E913" i="10"/>
  <c r="B912" i="10"/>
  <c r="H912" i="10"/>
  <c r="G912" i="10"/>
  <c r="F912" i="10"/>
  <c r="E912" i="10"/>
  <c r="B911" i="10"/>
  <c r="H911" i="10"/>
  <c r="G911" i="10"/>
  <c r="F911" i="10"/>
  <c r="E911" i="10"/>
  <c r="B910" i="10"/>
  <c r="H910" i="10"/>
  <c r="G910" i="10"/>
  <c r="F910" i="10"/>
  <c r="E910" i="10"/>
  <c r="B909" i="10"/>
  <c r="H909" i="10"/>
  <c r="G909" i="10"/>
  <c r="F909" i="10"/>
  <c r="E909" i="10"/>
  <c r="B908" i="10"/>
  <c r="H908" i="10"/>
  <c r="G908" i="10"/>
  <c r="F908" i="10"/>
  <c r="E908" i="10"/>
  <c r="B907" i="10"/>
  <c r="H907" i="10"/>
  <c r="G907" i="10"/>
  <c r="F907" i="10"/>
  <c r="E907" i="10"/>
  <c r="B906" i="10"/>
  <c r="H906" i="10"/>
  <c r="G906" i="10"/>
  <c r="F906" i="10"/>
  <c r="E906" i="10"/>
  <c r="B905" i="10"/>
  <c r="H905" i="10"/>
  <c r="G905" i="10"/>
  <c r="F905" i="10"/>
  <c r="E905" i="10"/>
  <c r="B904" i="10"/>
  <c r="H904" i="10"/>
  <c r="G904" i="10"/>
  <c r="F904" i="10"/>
  <c r="E904" i="10"/>
  <c r="B903" i="10"/>
  <c r="H903" i="10"/>
  <c r="G903" i="10"/>
  <c r="F903" i="10"/>
  <c r="E903" i="10"/>
  <c r="B902" i="10"/>
  <c r="H902" i="10"/>
  <c r="G902" i="10"/>
  <c r="F902" i="10"/>
  <c r="E902" i="10"/>
  <c r="B901" i="10"/>
  <c r="H901" i="10"/>
  <c r="G901" i="10"/>
  <c r="F901" i="10"/>
  <c r="E901" i="10"/>
  <c r="B900" i="10"/>
  <c r="H900" i="10"/>
  <c r="G900" i="10"/>
  <c r="F900" i="10"/>
  <c r="E900" i="10"/>
  <c r="B899" i="10"/>
  <c r="H899" i="10"/>
  <c r="G899" i="10"/>
  <c r="F899" i="10"/>
  <c r="E899" i="10"/>
  <c r="B898" i="10"/>
  <c r="H898" i="10"/>
  <c r="G898" i="10"/>
  <c r="F898" i="10"/>
  <c r="E898" i="10"/>
  <c r="B897" i="10"/>
  <c r="H897" i="10"/>
  <c r="G897" i="10"/>
  <c r="F897" i="10"/>
  <c r="E897" i="10"/>
  <c r="B896" i="10"/>
  <c r="H896" i="10"/>
  <c r="G896" i="10"/>
  <c r="F896" i="10"/>
  <c r="E896" i="10"/>
  <c r="B895" i="10"/>
  <c r="H895" i="10"/>
  <c r="G895" i="10"/>
  <c r="F895" i="10"/>
  <c r="E895" i="10"/>
  <c r="B894" i="10"/>
  <c r="H894" i="10"/>
  <c r="G894" i="10"/>
  <c r="F894" i="10"/>
  <c r="E894" i="10"/>
  <c r="B893" i="10"/>
  <c r="H893" i="10"/>
  <c r="G893" i="10"/>
  <c r="F893" i="10"/>
  <c r="E893" i="10"/>
  <c r="B892" i="10"/>
  <c r="H892" i="10"/>
  <c r="G892" i="10"/>
  <c r="F892" i="10"/>
  <c r="E892" i="10"/>
  <c r="B891" i="10"/>
  <c r="H891" i="10"/>
  <c r="G891" i="10"/>
  <c r="F891" i="10"/>
  <c r="E891" i="10"/>
  <c r="B890" i="10"/>
  <c r="H890" i="10"/>
  <c r="G890" i="10"/>
  <c r="F890" i="10"/>
  <c r="E890" i="10"/>
  <c r="B889" i="10"/>
  <c r="H889" i="10"/>
  <c r="G889" i="10"/>
  <c r="F889" i="10"/>
  <c r="E889" i="10"/>
  <c r="B888" i="10"/>
  <c r="H888" i="10"/>
  <c r="G888" i="10"/>
  <c r="F888" i="10"/>
  <c r="E888" i="10"/>
  <c r="B887" i="10"/>
  <c r="H887" i="10"/>
  <c r="G887" i="10"/>
  <c r="F887" i="10"/>
  <c r="E887" i="10"/>
  <c r="B886" i="10"/>
  <c r="H886" i="10"/>
  <c r="G886" i="10"/>
  <c r="F886" i="10"/>
  <c r="E886" i="10"/>
  <c r="B885" i="10"/>
  <c r="H885" i="10"/>
  <c r="G885" i="10"/>
  <c r="F885" i="10"/>
  <c r="E885" i="10"/>
  <c r="B884" i="10"/>
  <c r="H884" i="10"/>
  <c r="G884" i="10"/>
  <c r="F884" i="10"/>
  <c r="E884" i="10"/>
  <c r="B883" i="10"/>
  <c r="H883" i="10"/>
  <c r="G883" i="10"/>
  <c r="F883" i="10"/>
  <c r="E883" i="10"/>
  <c r="B882" i="10"/>
  <c r="H882" i="10"/>
  <c r="G882" i="10"/>
  <c r="F882" i="10"/>
  <c r="E882" i="10"/>
  <c r="B881" i="10"/>
  <c r="H881" i="10"/>
  <c r="G881" i="10"/>
  <c r="F881" i="10"/>
  <c r="E881" i="10"/>
  <c r="B880" i="10"/>
  <c r="H880" i="10"/>
  <c r="G880" i="10"/>
  <c r="F880" i="10"/>
  <c r="E880" i="10"/>
  <c r="B879" i="10"/>
  <c r="H879" i="10"/>
  <c r="G879" i="10"/>
  <c r="F879" i="10"/>
  <c r="E879" i="10"/>
  <c r="B878" i="10"/>
  <c r="H878" i="10"/>
  <c r="G878" i="10"/>
  <c r="F878" i="10"/>
  <c r="E878" i="10"/>
  <c r="B877" i="10"/>
  <c r="H877" i="10"/>
  <c r="G877" i="10"/>
  <c r="F877" i="10"/>
  <c r="E877" i="10"/>
  <c r="B876" i="10"/>
  <c r="H876" i="10"/>
  <c r="G876" i="10"/>
  <c r="F876" i="10"/>
  <c r="E876" i="10"/>
  <c r="B875" i="10"/>
  <c r="H875" i="10"/>
  <c r="G875" i="10"/>
  <c r="F875" i="10"/>
  <c r="E875" i="10"/>
  <c r="B874" i="10"/>
  <c r="H874" i="10"/>
  <c r="G874" i="10"/>
  <c r="F874" i="10"/>
  <c r="E874" i="10"/>
  <c r="B873" i="10"/>
  <c r="H873" i="10"/>
  <c r="G873" i="10"/>
  <c r="F873" i="10"/>
  <c r="E873" i="10"/>
  <c r="B872" i="10"/>
  <c r="H872" i="10"/>
  <c r="G872" i="10"/>
  <c r="F872" i="10"/>
  <c r="E872" i="10"/>
  <c r="B871" i="10"/>
  <c r="H871" i="10"/>
  <c r="G871" i="10"/>
  <c r="F871" i="10"/>
  <c r="E871" i="10"/>
  <c r="B870" i="10"/>
  <c r="H870" i="10"/>
  <c r="G870" i="10"/>
  <c r="F870" i="10"/>
  <c r="E870" i="10"/>
  <c r="B869" i="10"/>
  <c r="H869" i="10"/>
  <c r="G869" i="10"/>
  <c r="F869" i="10"/>
  <c r="E869" i="10"/>
  <c r="B868" i="10"/>
  <c r="H868" i="10"/>
  <c r="G868" i="10"/>
  <c r="F868" i="10"/>
  <c r="E868" i="10"/>
  <c r="B867" i="10"/>
  <c r="H867" i="10"/>
  <c r="G867" i="10"/>
  <c r="F867" i="10"/>
  <c r="E867" i="10"/>
  <c r="B866" i="10"/>
  <c r="H866" i="10"/>
  <c r="G866" i="10"/>
  <c r="F866" i="10"/>
  <c r="E866" i="10"/>
  <c r="B865" i="10"/>
  <c r="H865" i="10"/>
  <c r="G865" i="10"/>
  <c r="F865" i="10"/>
  <c r="E865" i="10"/>
  <c r="B864" i="10"/>
  <c r="H864" i="10"/>
  <c r="G864" i="10"/>
  <c r="F864" i="10"/>
  <c r="E864" i="10"/>
  <c r="B863" i="10"/>
  <c r="H863" i="10"/>
  <c r="G863" i="10"/>
  <c r="F863" i="10"/>
  <c r="E863" i="10"/>
  <c r="B862" i="10"/>
  <c r="H862" i="10"/>
  <c r="G862" i="10"/>
  <c r="F862" i="10"/>
  <c r="E862" i="10"/>
  <c r="B861" i="10"/>
  <c r="H861" i="10"/>
  <c r="G861" i="10"/>
  <c r="F861" i="10"/>
  <c r="E861" i="10"/>
  <c r="B860" i="10"/>
  <c r="H860" i="10"/>
  <c r="G860" i="10"/>
  <c r="F860" i="10"/>
  <c r="E860" i="10"/>
  <c r="B859" i="10"/>
  <c r="H859" i="10"/>
  <c r="G859" i="10"/>
  <c r="F859" i="10"/>
  <c r="E859" i="10"/>
  <c r="B858" i="10"/>
  <c r="H858" i="10"/>
  <c r="G858" i="10"/>
  <c r="F858" i="10"/>
  <c r="E858" i="10"/>
  <c r="B857" i="10"/>
  <c r="H857" i="10"/>
  <c r="G857" i="10"/>
  <c r="F857" i="10"/>
  <c r="E857" i="10"/>
  <c r="B856" i="10"/>
  <c r="H856" i="10"/>
  <c r="G856" i="10"/>
  <c r="F856" i="10"/>
  <c r="E856" i="10"/>
  <c r="B855" i="10"/>
  <c r="H855" i="10"/>
  <c r="G855" i="10"/>
  <c r="F855" i="10"/>
  <c r="E855" i="10"/>
  <c r="B854" i="10"/>
  <c r="H854" i="10"/>
  <c r="G854" i="10"/>
  <c r="F854" i="10"/>
  <c r="E854" i="10"/>
  <c r="B853" i="10"/>
  <c r="H853" i="10"/>
  <c r="G853" i="10"/>
  <c r="F853" i="10"/>
  <c r="E853" i="10"/>
  <c r="B852" i="10"/>
  <c r="H852" i="10"/>
  <c r="G852" i="10"/>
  <c r="F852" i="10"/>
  <c r="E852" i="10"/>
  <c r="B851" i="10"/>
  <c r="H851" i="10"/>
  <c r="G851" i="10"/>
  <c r="F851" i="10"/>
  <c r="E851" i="10"/>
  <c r="B850" i="10"/>
  <c r="H850" i="10"/>
  <c r="G850" i="10"/>
  <c r="F850" i="10"/>
  <c r="E850" i="10"/>
  <c r="B849" i="10"/>
  <c r="H849" i="10"/>
  <c r="G849" i="10"/>
  <c r="F849" i="10"/>
  <c r="E849" i="10"/>
  <c r="B848" i="10"/>
  <c r="H848" i="10"/>
  <c r="G848" i="10"/>
  <c r="F848" i="10"/>
  <c r="E848" i="10"/>
  <c r="B847" i="10"/>
  <c r="H847" i="10"/>
  <c r="G847" i="10"/>
  <c r="F847" i="10"/>
  <c r="E847" i="10"/>
  <c r="B846" i="10"/>
  <c r="H846" i="10"/>
  <c r="G846" i="10"/>
  <c r="F846" i="10"/>
  <c r="E846" i="10"/>
  <c r="B845" i="10"/>
  <c r="H845" i="10"/>
  <c r="G845" i="10"/>
  <c r="F845" i="10"/>
  <c r="E845" i="10"/>
  <c r="B844" i="10"/>
  <c r="H844" i="10"/>
  <c r="G844" i="10"/>
  <c r="F844" i="10"/>
  <c r="E844" i="10"/>
  <c r="B843" i="10"/>
  <c r="H843" i="10"/>
  <c r="G843" i="10"/>
  <c r="F843" i="10"/>
  <c r="E843" i="10"/>
  <c r="B842" i="10"/>
  <c r="H842" i="10"/>
  <c r="G842" i="10"/>
  <c r="F842" i="10"/>
  <c r="E842" i="10"/>
  <c r="B841" i="10"/>
  <c r="H841" i="10"/>
  <c r="G841" i="10"/>
  <c r="F841" i="10"/>
  <c r="E841" i="10"/>
  <c r="B840" i="10"/>
  <c r="H840" i="10"/>
  <c r="G840" i="10"/>
  <c r="F840" i="10"/>
  <c r="E840" i="10"/>
  <c r="B839" i="10"/>
  <c r="H839" i="10"/>
  <c r="G839" i="10"/>
  <c r="F839" i="10"/>
  <c r="E839" i="10"/>
  <c r="B838" i="10"/>
  <c r="H838" i="10"/>
  <c r="G838" i="10"/>
  <c r="F838" i="10"/>
  <c r="E838" i="10"/>
  <c r="B837" i="10"/>
  <c r="H837" i="10"/>
  <c r="G837" i="10"/>
  <c r="F837" i="10"/>
  <c r="E837" i="10"/>
  <c r="B836" i="10"/>
  <c r="H836" i="10"/>
  <c r="G836" i="10"/>
  <c r="F836" i="10"/>
  <c r="E836" i="10"/>
  <c r="B835" i="10"/>
  <c r="H835" i="10"/>
  <c r="G835" i="10"/>
  <c r="F835" i="10"/>
  <c r="E835" i="10"/>
  <c r="B834" i="10"/>
  <c r="H834" i="10"/>
  <c r="G834" i="10"/>
  <c r="F834" i="10"/>
  <c r="E834" i="10"/>
  <c r="B833" i="10"/>
  <c r="H833" i="10"/>
  <c r="G833" i="10"/>
  <c r="F833" i="10"/>
  <c r="E833" i="10"/>
  <c r="B832" i="10"/>
  <c r="H832" i="10"/>
  <c r="G832" i="10"/>
  <c r="F832" i="10"/>
  <c r="E832" i="10"/>
  <c r="B831" i="10"/>
  <c r="H831" i="10"/>
  <c r="G831" i="10"/>
  <c r="F831" i="10"/>
  <c r="E831" i="10"/>
  <c r="B830" i="10"/>
  <c r="H830" i="10"/>
  <c r="G830" i="10"/>
  <c r="F830" i="10"/>
  <c r="E830" i="10"/>
  <c r="B829" i="10"/>
  <c r="H829" i="10"/>
  <c r="G829" i="10"/>
  <c r="F829" i="10"/>
  <c r="E829" i="10"/>
  <c r="B828" i="10"/>
  <c r="H828" i="10"/>
  <c r="G828" i="10"/>
  <c r="F828" i="10"/>
  <c r="E828" i="10"/>
  <c r="B827" i="10"/>
  <c r="H827" i="10"/>
  <c r="G827" i="10"/>
  <c r="F827" i="10"/>
  <c r="E827" i="10"/>
  <c r="B826" i="10"/>
  <c r="H826" i="10"/>
  <c r="G826" i="10"/>
  <c r="F826" i="10"/>
  <c r="E826" i="10"/>
  <c r="B825" i="10"/>
  <c r="H825" i="10"/>
  <c r="G825" i="10"/>
  <c r="F825" i="10"/>
  <c r="E825" i="10"/>
  <c r="B824" i="10"/>
  <c r="H824" i="10"/>
  <c r="G824" i="10"/>
  <c r="F824" i="10"/>
  <c r="E824" i="10"/>
  <c r="B823" i="10"/>
  <c r="H823" i="10"/>
  <c r="G823" i="10"/>
  <c r="F823" i="10"/>
  <c r="E823" i="10"/>
  <c r="B822" i="10"/>
  <c r="H822" i="10"/>
  <c r="G822" i="10"/>
  <c r="F822" i="10"/>
  <c r="E822" i="10"/>
  <c r="B821" i="10"/>
  <c r="H821" i="10"/>
  <c r="G821" i="10"/>
  <c r="F821" i="10"/>
  <c r="E821" i="10"/>
  <c r="B820" i="10"/>
  <c r="H820" i="10"/>
  <c r="G820" i="10"/>
  <c r="F820" i="10"/>
  <c r="E820" i="10"/>
  <c r="B819" i="10"/>
  <c r="H819" i="10"/>
  <c r="G819" i="10"/>
  <c r="F819" i="10"/>
  <c r="E819" i="10"/>
  <c r="B818" i="10"/>
  <c r="H818" i="10"/>
  <c r="G818" i="10"/>
  <c r="F818" i="10"/>
  <c r="E818" i="10"/>
  <c r="B817" i="10"/>
  <c r="H817" i="10"/>
  <c r="G817" i="10"/>
  <c r="F817" i="10"/>
  <c r="E817" i="10"/>
  <c r="B816" i="10"/>
  <c r="H816" i="10"/>
  <c r="G816" i="10"/>
  <c r="F816" i="10"/>
  <c r="E816" i="10"/>
  <c r="B815" i="10"/>
  <c r="H815" i="10"/>
  <c r="G815" i="10"/>
  <c r="F815" i="10"/>
  <c r="E815" i="10"/>
  <c r="B814" i="10"/>
  <c r="H814" i="10"/>
  <c r="G814" i="10"/>
  <c r="F814" i="10"/>
  <c r="E814" i="10"/>
  <c r="B813" i="10"/>
  <c r="H813" i="10"/>
  <c r="G813" i="10"/>
  <c r="F813" i="10"/>
  <c r="E813" i="10"/>
  <c r="B812" i="10"/>
  <c r="H812" i="10"/>
  <c r="G812" i="10"/>
  <c r="F812" i="10"/>
  <c r="E812" i="10"/>
  <c r="B811" i="10"/>
  <c r="H811" i="10"/>
  <c r="G811" i="10"/>
  <c r="F811" i="10"/>
  <c r="E811" i="10"/>
  <c r="B810" i="10"/>
  <c r="H810" i="10"/>
  <c r="G810" i="10"/>
  <c r="F810" i="10"/>
  <c r="E810" i="10"/>
  <c r="B809" i="10"/>
  <c r="H809" i="10"/>
  <c r="G809" i="10"/>
  <c r="F809" i="10"/>
  <c r="E809" i="10"/>
  <c r="B808" i="10"/>
  <c r="H808" i="10"/>
  <c r="G808" i="10"/>
  <c r="F808" i="10"/>
  <c r="E808" i="10"/>
  <c r="B807" i="10"/>
  <c r="H807" i="10"/>
  <c r="G807" i="10"/>
  <c r="F807" i="10"/>
  <c r="E807" i="10"/>
  <c r="B806" i="10"/>
  <c r="H806" i="10"/>
  <c r="G806" i="10"/>
  <c r="F806" i="10"/>
  <c r="E806" i="10"/>
  <c r="B805" i="10"/>
  <c r="H805" i="10"/>
  <c r="G805" i="10"/>
  <c r="F805" i="10"/>
  <c r="E805" i="10"/>
  <c r="B804" i="10"/>
  <c r="H804" i="10"/>
  <c r="G804" i="10"/>
  <c r="F804" i="10"/>
  <c r="E804" i="10"/>
  <c r="B803" i="10"/>
  <c r="H803" i="10"/>
  <c r="G803" i="10"/>
  <c r="F803" i="10"/>
  <c r="E803" i="10"/>
  <c r="B802" i="10"/>
  <c r="H802" i="10"/>
  <c r="G802" i="10"/>
  <c r="F802" i="10"/>
  <c r="E802" i="10"/>
  <c r="B801" i="10"/>
  <c r="H801" i="10"/>
  <c r="G801" i="10"/>
  <c r="F801" i="10"/>
  <c r="E801" i="10"/>
  <c r="B800" i="10"/>
  <c r="H800" i="10"/>
  <c r="G800" i="10"/>
  <c r="F800" i="10"/>
  <c r="E800" i="10"/>
  <c r="B799" i="10"/>
  <c r="H799" i="10"/>
  <c r="G799" i="10"/>
  <c r="F799" i="10"/>
  <c r="E799" i="10"/>
  <c r="B798" i="10"/>
  <c r="H798" i="10"/>
  <c r="G798" i="10"/>
  <c r="F798" i="10"/>
  <c r="E798" i="10"/>
  <c r="B797" i="10"/>
  <c r="H797" i="10"/>
  <c r="G797" i="10"/>
  <c r="F797" i="10"/>
  <c r="E797" i="10"/>
  <c r="B796" i="10"/>
  <c r="H796" i="10"/>
  <c r="G796" i="10"/>
  <c r="F796" i="10"/>
  <c r="E796" i="10"/>
  <c r="B795" i="10"/>
  <c r="H795" i="10"/>
  <c r="G795" i="10"/>
  <c r="F795" i="10"/>
  <c r="E795" i="10"/>
  <c r="B794" i="10"/>
  <c r="H794" i="10"/>
  <c r="G794" i="10"/>
  <c r="F794" i="10"/>
  <c r="E794" i="10"/>
  <c r="B793" i="10"/>
  <c r="H793" i="10"/>
  <c r="G793" i="10"/>
  <c r="F793" i="10"/>
  <c r="E793" i="10"/>
  <c r="B792" i="10"/>
  <c r="H792" i="10"/>
  <c r="G792" i="10"/>
  <c r="F792" i="10"/>
  <c r="E792" i="10"/>
  <c r="B791" i="10"/>
  <c r="H791" i="10"/>
  <c r="G791" i="10"/>
  <c r="F791" i="10"/>
  <c r="E791" i="10"/>
  <c r="B790" i="10"/>
  <c r="H790" i="10"/>
  <c r="G790" i="10"/>
  <c r="F790" i="10"/>
  <c r="E790" i="10"/>
  <c r="B789" i="10"/>
  <c r="H789" i="10"/>
  <c r="G789" i="10"/>
  <c r="F789" i="10"/>
  <c r="E789" i="10"/>
  <c r="B788" i="10"/>
  <c r="H788" i="10"/>
  <c r="G788" i="10"/>
  <c r="F788" i="10"/>
  <c r="E788" i="10"/>
  <c r="B787" i="10"/>
  <c r="H787" i="10"/>
  <c r="G787" i="10"/>
  <c r="F787" i="10"/>
  <c r="E787" i="10"/>
  <c r="B786" i="10"/>
  <c r="H786" i="10"/>
  <c r="G786" i="10"/>
  <c r="F786" i="10"/>
  <c r="E786" i="10"/>
  <c r="B785" i="10"/>
  <c r="H785" i="10"/>
  <c r="G785" i="10"/>
  <c r="F785" i="10"/>
  <c r="E785" i="10"/>
  <c r="B784" i="10"/>
  <c r="H784" i="10"/>
  <c r="G784" i="10"/>
  <c r="F784" i="10"/>
  <c r="E784" i="10"/>
  <c r="B783" i="10"/>
  <c r="H783" i="10"/>
  <c r="G783" i="10"/>
  <c r="F783" i="10"/>
  <c r="E783" i="10"/>
  <c r="B782" i="10"/>
  <c r="H782" i="10"/>
  <c r="G782" i="10"/>
  <c r="F782" i="10"/>
  <c r="E782" i="10"/>
  <c r="B781" i="10"/>
  <c r="H781" i="10"/>
  <c r="G781" i="10"/>
  <c r="F781" i="10"/>
  <c r="E781" i="10"/>
  <c r="B780" i="10"/>
  <c r="H780" i="10"/>
  <c r="G780" i="10"/>
  <c r="F780" i="10"/>
  <c r="E780" i="10"/>
  <c r="B779" i="10"/>
  <c r="H779" i="10"/>
  <c r="G779" i="10"/>
  <c r="F779" i="10"/>
  <c r="E779" i="10"/>
  <c r="B778" i="10"/>
  <c r="H778" i="10"/>
  <c r="G778" i="10"/>
  <c r="F778" i="10"/>
  <c r="E778" i="10"/>
  <c r="B777" i="10"/>
  <c r="H777" i="10"/>
  <c r="G777" i="10"/>
  <c r="F777" i="10"/>
  <c r="E777" i="10"/>
  <c r="B776" i="10"/>
  <c r="H776" i="10"/>
  <c r="G776" i="10"/>
  <c r="F776" i="10"/>
  <c r="E776" i="10"/>
  <c r="B775" i="10"/>
  <c r="H775" i="10"/>
  <c r="G775" i="10"/>
  <c r="F775" i="10"/>
  <c r="E775" i="10"/>
  <c r="D775" i="10"/>
  <c r="C775" i="10"/>
  <c r="B774" i="10"/>
  <c r="H774" i="10"/>
  <c r="G774" i="10"/>
  <c r="F774" i="10"/>
  <c r="E774" i="10"/>
  <c r="B773" i="10"/>
  <c r="H773" i="10"/>
  <c r="G773" i="10"/>
  <c r="F773" i="10"/>
  <c r="E773" i="10"/>
  <c r="B772" i="10"/>
  <c r="H772" i="10"/>
  <c r="G772" i="10"/>
  <c r="F772" i="10"/>
  <c r="E772" i="10"/>
  <c r="B771" i="10"/>
  <c r="H771" i="10"/>
  <c r="G771" i="10"/>
  <c r="F771" i="10"/>
  <c r="E771" i="10"/>
  <c r="B770" i="10"/>
  <c r="H770" i="10"/>
  <c r="G770" i="10"/>
  <c r="F770" i="10"/>
  <c r="E770" i="10"/>
  <c r="B769" i="10"/>
  <c r="H769" i="10"/>
  <c r="G769" i="10"/>
  <c r="F769" i="10"/>
  <c r="E769" i="10"/>
  <c r="B768" i="10"/>
  <c r="H768" i="10"/>
  <c r="G768" i="10"/>
  <c r="F768" i="10"/>
  <c r="E768" i="10"/>
  <c r="B767" i="10"/>
  <c r="H767" i="10"/>
  <c r="G767" i="10"/>
  <c r="F767" i="10"/>
  <c r="E767" i="10"/>
  <c r="B766" i="10"/>
  <c r="H766" i="10"/>
  <c r="G766" i="10"/>
  <c r="F766" i="10"/>
  <c r="E766" i="10"/>
  <c r="B765" i="10"/>
  <c r="H765" i="10"/>
  <c r="G765" i="10"/>
  <c r="F765" i="10"/>
  <c r="E765" i="10"/>
  <c r="B764" i="10"/>
  <c r="H764" i="10"/>
  <c r="G764" i="10"/>
  <c r="F764" i="10"/>
  <c r="E764" i="10"/>
  <c r="B763" i="10"/>
  <c r="H763" i="10"/>
  <c r="G763" i="10"/>
  <c r="F763" i="10"/>
  <c r="E763" i="10"/>
  <c r="B762" i="10"/>
  <c r="H762" i="10"/>
  <c r="G762" i="10"/>
  <c r="F762" i="10"/>
  <c r="E762" i="10"/>
  <c r="B761" i="10"/>
  <c r="H761" i="10"/>
  <c r="G761" i="10"/>
  <c r="F761" i="10"/>
  <c r="E761" i="10"/>
  <c r="B760" i="10"/>
  <c r="H760" i="10"/>
  <c r="G760" i="10"/>
  <c r="F760" i="10"/>
  <c r="E760" i="10"/>
  <c r="B759" i="10"/>
  <c r="H759" i="10"/>
  <c r="G759" i="10"/>
  <c r="F759" i="10"/>
  <c r="E759" i="10"/>
  <c r="B758" i="10"/>
  <c r="H758" i="10"/>
  <c r="G758" i="10"/>
  <c r="F758" i="10"/>
  <c r="E758" i="10"/>
  <c r="B757" i="10"/>
  <c r="H757" i="10"/>
  <c r="G757" i="10"/>
  <c r="F757" i="10"/>
  <c r="E757" i="10"/>
  <c r="B756" i="10"/>
  <c r="H756" i="10"/>
  <c r="G756" i="10"/>
  <c r="F756" i="10"/>
  <c r="E756" i="10"/>
  <c r="B755" i="10"/>
  <c r="H755" i="10"/>
  <c r="G755" i="10"/>
  <c r="F755" i="10"/>
  <c r="E755" i="10"/>
  <c r="B754" i="10"/>
  <c r="H754" i="10"/>
  <c r="G754" i="10"/>
  <c r="F754" i="10"/>
  <c r="E754" i="10"/>
  <c r="B753" i="10"/>
  <c r="H753" i="10"/>
  <c r="G753" i="10"/>
  <c r="F753" i="10"/>
  <c r="E753" i="10"/>
  <c r="B752" i="10"/>
  <c r="H752" i="10"/>
  <c r="G752" i="10"/>
  <c r="F752" i="10"/>
  <c r="E752" i="10"/>
  <c r="B751" i="10"/>
  <c r="H751" i="10"/>
  <c r="G751" i="10"/>
  <c r="F751" i="10"/>
  <c r="E751" i="10"/>
  <c r="B750" i="10"/>
  <c r="H750" i="10"/>
  <c r="G750" i="10"/>
  <c r="F750" i="10"/>
  <c r="E750" i="10"/>
  <c r="B749" i="10"/>
  <c r="H749" i="10"/>
  <c r="G749" i="10"/>
  <c r="F749" i="10"/>
  <c r="E749" i="10"/>
  <c r="B748" i="10"/>
  <c r="H748" i="10"/>
  <c r="G748" i="10"/>
  <c r="F748" i="10"/>
  <c r="E748" i="10"/>
  <c r="B747" i="10"/>
  <c r="H747" i="10"/>
  <c r="G747" i="10"/>
  <c r="F747" i="10"/>
  <c r="E747" i="10"/>
  <c r="B746" i="10"/>
  <c r="H746" i="10"/>
  <c r="G746" i="10"/>
  <c r="F746" i="10"/>
  <c r="E746" i="10"/>
  <c r="B745" i="10"/>
  <c r="H745" i="10"/>
  <c r="G745" i="10"/>
  <c r="F745" i="10"/>
  <c r="E745" i="10"/>
  <c r="B744" i="10"/>
  <c r="H744" i="10"/>
  <c r="G744" i="10"/>
  <c r="F744" i="10"/>
  <c r="E744" i="10"/>
  <c r="B743" i="10"/>
  <c r="H743" i="10"/>
  <c r="G743" i="10"/>
  <c r="F743" i="10"/>
  <c r="E743" i="10"/>
  <c r="B742" i="10"/>
  <c r="H742" i="10"/>
  <c r="G742" i="10"/>
  <c r="F742" i="10"/>
  <c r="E742" i="10"/>
  <c r="B741" i="10"/>
  <c r="H741" i="10"/>
  <c r="G741" i="10"/>
  <c r="F741" i="10"/>
  <c r="E741" i="10"/>
  <c r="B740" i="10"/>
  <c r="H740" i="10"/>
  <c r="G740" i="10"/>
  <c r="F740" i="10"/>
  <c r="E740" i="10"/>
  <c r="B739" i="10"/>
  <c r="H739" i="10"/>
  <c r="G739" i="10"/>
  <c r="F739" i="10"/>
  <c r="E739" i="10"/>
  <c r="B738" i="10"/>
  <c r="H738" i="10"/>
  <c r="G738" i="10"/>
  <c r="F738" i="10"/>
  <c r="E738" i="10"/>
  <c r="B737" i="10"/>
  <c r="H737" i="10"/>
  <c r="G737" i="10"/>
  <c r="F737" i="10"/>
  <c r="E737" i="10"/>
  <c r="B736" i="10"/>
  <c r="H736" i="10"/>
  <c r="G736" i="10"/>
  <c r="F736" i="10"/>
  <c r="E736" i="10"/>
  <c r="B735" i="10"/>
  <c r="H735" i="10"/>
  <c r="G735" i="10"/>
  <c r="F735" i="10"/>
  <c r="E735" i="10"/>
  <c r="B734" i="10"/>
  <c r="H734" i="10"/>
  <c r="G734" i="10"/>
  <c r="F734" i="10"/>
  <c r="E734" i="10"/>
  <c r="B733" i="10"/>
  <c r="H733" i="10"/>
  <c r="G733" i="10"/>
  <c r="F733" i="10"/>
  <c r="E733" i="10"/>
  <c r="B732" i="10"/>
  <c r="H732" i="10"/>
  <c r="G732" i="10"/>
  <c r="F732" i="10"/>
  <c r="E732" i="10"/>
  <c r="B731" i="10"/>
  <c r="H731" i="10"/>
  <c r="G731" i="10"/>
  <c r="F731" i="10"/>
  <c r="E731" i="10"/>
  <c r="B730" i="10"/>
  <c r="H730" i="10"/>
  <c r="G730" i="10"/>
  <c r="F730" i="10"/>
  <c r="E730" i="10"/>
  <c r="B729" i="10"/>
  <c r="H729" i="10"/>
  <c r="G729" i="10"/>
  <c r="F729" i="10"/>
  <c r="E729" i="10"/>
  <c r="B728" i="10"/>
  <c r="H728" i="10"/>
  <c r="G728" i="10"/>
  <c r="F728" i="10"/>
  <c r="E728" i="10"/>
  <c r="B727" i="10"/>
  <c r="H727" i="10"/>
  <c r="G727" i="10"/>
  <c r="F727" i="10"/>
  <c r="E727" i="10"/>
  <c r="B726" i="10"/>
  <c r="H726" i="10"/>
  <c r="G726" i="10"/>
  <c r="F726" i="10"/>
  <c r="E726" i="10"/>
  <c r="B725" i="10"/>
  <c r="H725" i="10"/>
  <c r="G725" i="10"/>
  <c r="F725" i="10"/>
  <c r="E725" i="10"/>
  <c r="B724" i="10"/>
  <c r="H724" i="10"/>
  <c r="G724" i="10"/>
  <c r="F724" i="10"/>
  <c r="E724" i="10"/>
  <c r="B723" i="10"/>
  <c r="H723" i="10"/>
  <c r="G723" i="10"/>
  <c r="F723" i="10"/>
  <c r="E723" i="10"/>
  <c r="B722" i="10"/>
  <c r="H722" i="10"/>
  <c r="G722" i="10"/>
  <c r="F722" i="10"/>
  <c r="E722" i="10"/>
  <c r="B721" i="10"/>
  <c r="H721" i="10"/>
  <c r="G721" i="10"/>
  <c r="F721" i="10"/>
  <c r="E721" i="10"/>
  <c r="B720" i="10"/>
  <c r="H720" i="10"/>
  <c r="G720" i="10"/>
  <c r="F720" i="10"/>
  <c r="E720" i="10"/>
  <c r="B719" i="10"/>
  <c r="H719" i="10"/>
  <c r="G719" i="10"/>
  <c r="F719" i="10"/>
  <c r="E719" i="10"/>
  <c r="B718" i="10"/>
  <c r="H718" i="10"/>
  <c r="G718" i="10"/>
  <c r="F718" i="10"/>
  <c r="E718" i="10"/>
  <c r="B717" i="10"/>
  <c r="H717" i="10"/>
  <c r="G717" i="10"/>
  <c r="F717" i="10"/>
  <c r="E717" i="10"/>
  <c r="B716" i="10"/>
  <c r="H716" i="10"/>
  <c r="G716" i="10"/>
  <c r="F716" i="10"/>
  <c r="E716" i="10"/>
  <c r="B715" i="10"/>
  <c r="H715" i="10"/>
  <c r="G715" i="10"/>
  <c r="F715" i="10"/>
  <c r="E715" i="10"/>
  <c r="B714" i="10"/>
  <c r="H714" i="10"/>
  <c r="G714" i="10"/>
  <c r="F714" i="10"/>
  <c r="E714" i="10"/>
  <c r="B713" i="10"/>
  <c r="H713" i="10"/>
  <c r="G713" i="10"/>
  <c r="F713" i="10"/>
  <c r="E713" i="10"/>
  <c r="B712" i="10"/>
  <c r="H712" i="10"/>
  <c r="G712" i="10"/>
  <c r="F712" i="10"/>
  <c r="E712" i="10"/>
  <c r="B711" i="10"/>
  <c r="H711" i="10"/>
  <c r="G711" i="10"/>
  <c r="F711" i="10"/>
  <c r="E711" i="10"/>
  <c r="B710" i="10"/>
  <c r="H710" i="10"/>
  <c r="G710" i="10"/>
  <c r="F710" i="10"/>
  <c r="E710" i="10"/>
  <c r="B709" i="10"/>
  <c r="H709" i="10"/>
  <c r="G709" i="10"/>
  <c r="F709" i="10"/>
  <c r="E709" i="10"/>
  <c r="B708" i="10"/>
  <c r="H708" i="10"/>
  <c r="G708" i="10"/>
  <c r="F708" i="10"/>
  <c r="E708" i="10"/>
  <c r="B707" i="10"/>
  <c r="H707" i="10"/>
  <c r="G707" i="10"/>
  <c r="F707" i="10"/>
  <c r="E707" i="10"/>
  <c r="B706" i="10"/>
  <c r="H706" i="10"/>
  <c r="G706" i="10"/>
  <c r="F706" i="10"/>
  <c r="E706" i="10"/>
  <c r="B705" i="10"/>
  <c r="H705" i="10"/>
  <c r="G705" i="10"/>
  <c r="F705" i="10"/>
  <c r="E705" i="10"/>
  <c r="B704" i="10"/>
  <c r="H704" i="10"/>
  <c r="G704" i="10"/>
  <c r="F704" i="10"/>
  <c r="E704" i="10"/>
  <c r="B703" i="10"/>
  <c r="H703" i="10"/>
  <c r="G703" i="10"/>
  <c r="F703" i="10"/>
  <c r="E703" i="10"/>
  <c r="B702" i="10"/>
  <c r="H702" i="10"/>
  <c r="G702" i="10"/>
  <c r="F702" i="10"/>
  <c r="E702" i="10"/>
  <c r="B701" i="10"/>
  <c r="H701" i="10"/>
  <c r="G701" i="10"/>
  <c r="F701" i="10"/>
  <c r="E701" i="10"/>
  <c r="B700" i="10"/>
  <c r="H700" i="10"/>
  <c r="G700" i="10"/>
  <c r="F700" i="10"/>
  <c r="E700" i="10"/>
  <c r="B699" i="10"/>
  <c r="H699" i="10"/>
  <c r="G699" i="10"/>
  <c r="F699" i="10"/>
  <c r="E699" i="10"/>
  <c r="B698" i="10"/>
  <c r="H698" i="10"/>
  <c r="G698" i="10"/>
  <c r="F698" i="10"/>
  <c r="E698" i="10"/>
  <c r="B697" i="10"/>
  <c r="H697" i="10"/>
  <c r="G697" i="10"/>
  <c r="F697" i="10"/>
  <c r="E697" i="10"/>
  <c r="B696" i="10"/>
  <c r="H696" i="10"/>
  <c r="G696" i="10"/>
  <c r="F696" i="10"/>
  <c r="E696" i="10"/>
  <c r="B695" i="10"/>
  <c r="H695" i="10"/>
  <c r="G695" i="10"/>
  <c r="F695" i="10"/>
  <c r="E695" i="10"/>
  <c r="B694" i="10"/>
  <c r="H694" i="10"/>
  <c r="G694" i="10"/>
  <c r="F694" i="10"/>
  <c r="E694" i="10"/>
  <c r="B693" i="10"/>
  <c r="H693" i="10"/>
  <c r="G693" i="10"/>
  <c r="F693" i="10"/>
  <c r="E693" i="10"/>
  <c r="B692" i="10"/>
  <c r="H692" i="10"/>
  <c r="G692" i="10"/>
  <c r="F692" i="10"/>
  <c r="E692" i="10"/>
  <c r="B691" i="10"/>
  <c r="H691" i="10"/>
  <c r="G691" i="10"/>
  <c r="F691" i="10"/>
  <c r="E691" i="10"/>
  <c r="B690" i="10"/>
  <c r="H690" i="10"/>
  <c r="G690" i="10"/>
  <c r="F690" i="10"/>
  <c r="E690" i="10"/>
  <c r="B689" i="10"/>
  <c r="H689" i="10"/>
  <c r="G689" i="10"/>
  <c r="F689" i="10"/>
  <c r="E689" i="10"/>
  <c r="B688" i="10"/>
  <c r="H688" i="10"/>
  <c r="G688" i="10"/>
  <c r="F688" i="10"/>
  <c r="E688" i="10"/>
  <c r="B687" i="10"/>
  <c r="H687" i="10"/>
  <c r="G687" i="10"/>
  <c r="F687" i="10"/>
  <c r="E687" i="10"/>
  <c r="B686" i="10"/>
  <c r="H686" i="10"/>
  <c r="G686" i="10"/>
  <c r="F686" i="10"/>
  <c r="E686" i="10"/>
  <c r="B685" i="10"/>
  <c r="H685" i="10"/>
  <c r="G685" i="10"/>
  <c r="F685" i="10"/>
  <c r="E685" i="10"/>
  <c r="B684" i="10"/>
  <c r="H684" i="10"/>
  <c r="G684" i="10"/>
  <c r="F684" i="10"/>
  <c r="E684" i="10"/>
  <c r="B683" i="10"/>
  <c r="H683" i="10"/>
  <c r="G683" i="10"/>
  <c r="F683" i="10"/>
  <c r="E683" i="10"/>
  <c r="B682" i="10"/>
  <c r="H682" i="10"/>
  <c r="G682" i="10"/>
  <c r="F682" i="10"/>
  <c r="E682" i="10"/>
  <c r="B681" i="10"/>
  <c r="H681" i="10"/>
  <c r="G681" i="10"/>
  <c r="F681" i="10"/>
  <c r="E681" i="10"/>
  <c r="B680" i="10"/>
  <c r="H680" i="10"/>
  <c r="G680" i="10"/>
  <c r="F680" i="10"/>
  <c r="E680" i="10"/>
  <c r="B679" i="10"/>
  <c r="H679" i="10"/>
  <c r="G679" i="10"/>
  <c r="F679" i="10"/>
  <c r="E679" i="10"/>
  <c r="B678" i="10"/>
  <c r="H678" i="10"/>
  <c r="G678" i="10"/>
  <c r="F678" i="10"/>
  <c r="E678" i="10"/>
  <c r="B677" i="10"/>
  <c r="H677" i="10"/>
  <c r="G677" i="10"/>
  <c r="F677" i="10"/>
  <c r="E677" i="10"/>
  <c r="B676" i="10"/>
  <c r="H676" i="10"/>
  <c r="G676" i="10"/>
  <c r="F676" i="10"/>
  <c r="E676" i="10"/>
  <c r="B675" i="10"/>
  <c r="H675" i="10"/>
  <c r="G675" i="10"/>
  <c r="F675" i="10"/>
  <c r="E675" i="10"/>
  <c r="B674" i="10"/>
  <c r="H674" i="10"/>
  <c r="G674" i="10"/>
  <c r="F674" i="10"/>
  <c r="E674" i="10"/>
  <c r="B673" i="10"/>
  <c r="H673" i="10"/>
  <c r="G673" i="10"/>
  <c r="F673" i="10"/>
  <c r="E673" i="10"/>
  <c r="B672" i="10"/>
  <c r="H672" i="10"/>
  <c r="G672" i="10"/>
  <c r="F672" i="10"/>
  <c r="E672" i="10"/>
  <c r="B671" i="10"/>
  <c r="H671" i="10"/>
  <c r="G671" i="10"/>
  <c r="F671" i="10"/>
  <c r="E671" i="10"/>
  <c r="B670" i="10"/>
  <c r="H670" i="10"/>
  <c r="G670" i="10"/>
  <c r="F670" i="10"/>
  <c r="E670" i="10"/>
  <c r="B669" i="10"/>
  <c r="H669" i="10"/>
  <c r="G669" i="10"/>
  <c r="F669" i="10"/>
  <c r="E669" i="10"/>
  <c r="B668" i="10"/>
  <c r="H668" i="10"/>
  <c r="G668" i="10"/>
  <c r="F668" i="10"/>
  <c r="E668" i="10"/>
  <c r="B667" i="10"/>
  <c r="H667" i="10"/>
  <c r="G667" i="10"/>
  <c r="F667" i="10"/>
  <c r="E667" i="10"/>
  <c r="B666" i="10"/>
  <c r="H666" i="10"/>
  <c r="G666" i="10"/>
  <c r="F666" i="10"/>
  <c r="E666" i="10"/>
  <c r="B665" i="10"/>
  <c r="H665" i="10"/>
  <c r="G665" i="10"/>
  <c r="F665" i="10"/>
  <c r="E665" i="10"/>
  <c r="B664" i="10"/>
  <c r="H664" i="10"/>
  <c r="G664" i="10"/>
  <c r="F664" i="10"/>
  <c r="E664" i="10"/>
  <c r="B663" i="10"/>
  <c r="H663" i="10"/>
  <c r="G663" i="10"/>
  <c r="F663" i="10"/>
  <c r="E663" i="10"/>
  <c r="B662" i="10"/>
  <c r="H662" i="10"/>
  <c r="G662" i="10"/>
  <c r="F662" i="10"/>
  <c r="E662" i="10"/>
  <c r="B661" i="10"/>
  <c r="H661" i="10"/>
  <c r="G661" i="10"/>
  <c r="F661" i="10"/>
  <c r="E661" i="10"/>
  <c r="B660" i="10"/>
  <c r="H660" i="10"/>
  <c r="G660" i="10"/>
  <c r="F660" i="10"/>
  <c r="E660" i="10"/>
  <c r="B659" i="10"/>
  <c r="H659" i="10"/>
  <c r="G659" i="10"/>
  <c r="F659" i="10"/>
  <c r="E659" i="10"/>
  <c r="B658" i="10"/>
  <c r="H658" i="10"/>
  <c r="G658" i="10"/>
  <c r="F658" i="10"/>
  <c r="E658" i="10"/>
  <c r="B657" i="10"/>
  <c r="H657" i="10"/>
  <c r="G657" i="10"/>
  <c r="F657" i="10"/>
  <c r="E657" i="10"/>
  <c r="B656" i="10"/>
  <c r="H656" i="10"/>
  <c r="G656" i="10"/>
  <c r="F656" i="10"/>
  <c r="E656" i="10"/>
  <c r="B655" i="10"/>
  <c r="H655" i="10"/>
  <c r="G655" i="10"/>
  <c r="F655" i="10"/>
  <c r="E655" i="10"/>
  <c r="B654" i="10"/>
  <c r="H654" i="10"/>
  <c r="G654" i="10"/>
  <c r="F654" i="10"/>
  <c r="E654" i="10"/>
  <c r="B653" i="10"/>
  <c r="H653" i="10"/>
  <c r="G653" i="10"/>
  <c r="F653" i="10"/>
  <c r="E653" i="10"/>
  <c r="B652" i="10"/>
  <c r="H652" i="10"/>
  <c r="G652" i="10"/>
  <c r="F652" i="10"/>
  <c r="E652" i="10"/>
  <c r="B651" i="10"/>
  <c r="H651" i="10"/>
  <c r="G651" i="10"/>
  <c r="F651" i="10"/>
  <c r="E651" i="10"/>
  <c r="B650" i="10"/>
  <c r="H650" i="10"/>
  <c r="G650" i="10"/>
  <c r="F650" i="10"/>
  <c r="E650" i="10"/>
  <c r="B649" i="10"/>
  <c r="H649" i="10"/>
  <c r="G649" i="10"/>
  <c r="F649" i="10"/>
  <c r="E649" i="10"/>
  <c r="B648" i="10"/>
  <c r="H648" i="10"/>
  <c r="G648" i="10"/>
  <c r="F648" i="10"/>
  <c r="E648" i="10"/>
  <c r="B647" i="10"/>
  <c r="H647" i="10"/>
  <c r="G647" i="10"/>
  <c r="F647" i="10"/>
  <c r="E647" i="10"/>
  <c r="B646" i="10"/>
  <c r="H646" i="10"/>
  <c r="G646" i="10"/>
  <c r="F646" i="10"/>
  <c r="E646" i="10"/>
  <c r="B645" i="10"/>
  <c r="H645" i="10"/>
  <c r="G645" i="10"/>
  <c r="F645" i="10"/>
  <c r="E645" i="10"/>
  <c r="B644" i="10"/>
  <c r="H644" i="10"/>
  <c r="G644" i="10"/>
  <c r="F644" i="10"/>
  <c r="E644" i="10"/>
  <c r="B643" i="10"/>
  <c r="H643" i="10"/>
  <c r="G643" i="10"/>
  <c r="F643" i="10"/>
  <c r="E643" i="10"/>
  <c r="B642" i="10"/>
  <c r="H642" i="10"/>
  <c r="G642" i="10"/>
  <c r="F642" i="10"/>
  <c r="E642" i="10"/>
  <c r="B641" i="10"/>
  <c r="H641" i="10"/>
  <c r="G641" i="10"/>
  <c r="F641" i="10"/>
  <c r="E641" i="10"/>
  <c r="B640" i="10"/>
  <c r="H640" i="10"/>
  <c r="G640" i="10"/>
  <c r="F640" i="10"/>
  <c r="E640" i="10"/>
  <c r="B639" i="10"/>
  <c r="H639" i="10"/>
  <c r="G639" i="10"/>
  <c r="F639" i="10"/>
  <c r="E639" i="10"/>
  <c r="B638" i="10"/>
  <c r="H638" i="10"/>
  <c r="G638" i="10"/>
  <c r="F638" i="10"/>
  <c r="E638" i="10"/>
  <c r="B637" i="10"/>
  <c r="H637" i="10"/>
  <c r="G637" i="10"/>
  <c r="F637" i="10"/>
  <c r="E637" i="10"/>
  <c r="B636" i="10"/>
  <c r="H636" i="10"/>
  <c r="G636" i="10"/>
  <c r="F636" i="10"/>
  <c r="E636" i="10"/>
  <c r="B635" i="10"/>
  <c r="H635" i="10"/>
  <c r="G635" i="10"/>
  <c r="F635" i="10"/>
  <c r="E635" i="10"/>
  <c r="B634" i="10"/>
  <c r="H634" i="10"/>
  <c r="G634" i="10"/>
  <c r="F634" i="10"/>
  <c r="E634" i="10"/>
  <c r="B633" i="10"/>
  <c r="H633" i="10"/>
  <c r="G633" i="10"/>
  <c r="F633" i="10"/>
  <c r="E633" i="10"/>
  <c r="B632" i="10"/>
  <c r="H632" i="10"/>
  <c r="G632" i="10"/>
  <c r="F632" i="10"/>
  <c r="E632" i="10"/>
  <c r="B631" i="10"/>
  <c r="H631" i="10"/>
  <c r="G631" i="10"/>
  <c r="F631" i="10"/>
  <c r="E631" i="10"/>
  <c r="B630" i="10"/>
  <c r="H630" i="10"/>
  <c r="G630" i="10"/>
  <c r="F630" i="10"/>
  <c r="E630" i="10"/>
  <c r="B629" i="10"/>
  <c r="H629" i="10"/>
  <c r="G629" i="10"/>
  <c r="F629" i="10"/>
  <c r="E629" i="10"/>
  <c r="B628" i="10"/>
  <c r="H628" i="10"/>
  <c r="G628" i="10"/>
  <c r="F628" i="10"/>
  <c r="E628" i="10"/>
  <c r="B627" i="10"/>
  <c r="H627" i="10"/>
  <c r="G627" i="10"/>
  <c r="F627" i="10"/>
  <c r="E627" i="10"/>
  <c r="B626" i="10"/>
  <c r="H626" i="10"/>
  <c r="G626" i="10"/>
  <c r="F626" i="10"/>
  <c r="E626" i="10"/>
  <c r="B625" i="10"/>
  <c r="H625" i="10"/>
  <c r="G625" i="10"/>
  <c r="F625" i="10"/>
  <c r="E625" i="10"/>
  <c r="B624" i="10"/>
  <c r="H624" i="10"/>
  <c r="G624" i="10"/>
  <c r="F624" i="10"/>
  <c r="E624" i="10"/>
  <c r="B623" i="10"/>
  <c r="H623" i="10"/>
  <c r="G623" i="10"/>
  <c r="F623" i="10"/>
  <c r="E623" i="10"/>
  <c r="B622" i="10"/>
  <c r="H622" i="10"/>
  <c r="G622" i="10"/>
  <c r="F622" i="10"/>
  <c r="E622" i="10"/>
  <c r="B621" i="10"/>
  <c r="H621" i="10"/>
  <c r="G621" i="10"/>
  <c r="F621" i="10"/>
  <c r="E621" i="10"/>
  <c r="B620" i="10"/>
  <c r="H620" i="10"/>
  <c r="G620" i="10"/>
  <c r="F620" i="10"/>
  <c r="E620" i="10"/>
  <c r="B619" i="10"/>
  <c r="H619" i="10"/>
  <c r="G619" i="10"/>
  <c r="F619" i="10"/>
  <c r="E619" i="10"/>
  <c r="B618" i="10"/>
  <c r="H618" i="10"/>
  <c r="G618" i="10"/>
  <c r="F618" i="10"/>
  <c r="E618" i="10"/>
  <c r="B617" i="10"/>
  <c r="H617" i="10"/>
  <c r="G617" i="10"/>
  <c r="F617" i="10"/>
  <c r="E617" i="10"/>
  <c r="B616" i="10"/>
  <c r="H616" i="10"/>
  <c r="G616" i="10"/>
  <c r="F616" i="10"/>
  <c r="E616" i="10"/>
  <c r="B615" i="10"/>
  <c r="H615" i="10"/>
  <c r="G615" i="10"/>
  <c r="F615" i="10"/>
  <c r="E615" i="10"/>
  <c r="B614" i="10"/>
  <c r="H614" i="10"/>
  <c r="G614" i="10"/>
  <c r="F614" i="10"/>
  <c r="E614" i="10"/>
  <c r="B613" i="10"/>
  <c r="H613" i="10"/>
  <c r="G613" i="10"/>
  <c r="F613" i="10"/>
  <c r="E613" i="10"/>
  <c r="B612" i="10"/>
  <c r="H612" i="10"/>
  <c r="G612" i="10"/>
  <c r="F612" i="10"/>
  <c r="E612" i="10"/>
  <c r="B611" i="10"/>
  <c r="H611" i="10"/>
  <c r="G611" i="10"/>
  <c r="F611" i="10"/>
  <c r="E611" i="10"/>
  <c r="B610" i="10"/>
  <c r="H610" i="10"/>
  <c r="G610" i="10"/>
  <c r="F610" i="10"/>
  <c r="E610" i="10"/>
  <c r="B609" i="10"/>
  <c r="H609" i="10"/>
  <c r="G609" i="10"/>
  <c r="F609" i="10"/>
  <c r="E609" i="10"/>
  <c r="B608" i="10"/>
  <c r="H608" i="10"/>
  <c r="G608" i="10"/>
  <c r="F608" i="10"/>
  <c r="E608" i="10"/>
  <c r="B607" i="10"/>
  <c r="H607" i="10"/>
  <c r="G607" i="10"/>
  <c r="F607" i="10"/>
  <c r="E607" i="10"/>
  <c r="B606" i="10"/>
  <c r="H606" i="10"/>
  <c r="G606" i="10"/>
  <c r="F606" i="10"/>
  <c r="E606" i="10"/>
  <c r="B605" i="10"/>
  <c r="H605" i="10"/>
  <c r="G605" i="10"/>
  <c r="F605" i="10"/>
  <c r="E605" i="10"/>
  <c r="B604" i="10"/>
  <c r="H604" i="10"/>
  <c r="G604" i="10"/>
  <c r="F604" i="10"/>
  <c r="E604" i="10"/>
  <c r="B603" i="10"/>
  <c r="H603" i="10"/>
  <c r="G603" i="10"/>
  <c r="F603" i="10"/>
  <c r="E603" i="10"/>
  <c r="B602" i="10"/>
  <c r="H602" i="10"/>
  <c r="G602" i="10"/>
  <c r="F602" i="10"/>
  <c r="E602" i="10"/>
  <c r="B601" i="10"/>
  <c r="H601" i="10"/>
  <c r="G601" i="10"/>
  <c r="F601" i="10"/>
  <c r="E601" i="10"/>
  <c r="B600" i="10"/>
  <c r="H600" i="10"/>
  <c r="G600" i="10"/>
  <c r="F600" i="10"/>
  <c r="E600" i="10"/>
  <c r="B599" i="10"/>
  <c r="H599" i="10"/>
  <c r="G599" i="10"/>
  <c r="F599" i="10"/>
  <c r="E599" i="10"/>
  <c r="B598" i="10"/>
  <c r="H598" i="10"/>
  <c r="G598" i="10"/>
  <c r="F598" i="10"/>
  <c r="E598" i="10"/>
  <c r="B597" i="10"/>
  <c r="H597" i="10"/>
  <c r="G597" i="10"/>
  <c r="F597" i="10"/>
  <c r="E597" i="10"/>
  <c r="B596" i="10"/>
  <c r="H596" i="10"/>
  <c r="G596" i="10"/>
  <c r="F596" i="10"/>
  <c r="E596" i="10"/>
  <c r="B595" i="10"/>
  <c r="H595" i="10"/>
  <c r="G595" i="10"/>
  <c r="F595" i="10"/>
  <c r="E595" i="10"/>
  <c r="B594" i="10"/>
  <c r="H594" i="10"/>
  <c r="G594" i="10"/>
  <c r="F594" i="10"/>
  <c r="E594" i="10"/>
  <c r="B593" i="10"/>
  <c r="H593" i="10"/>
  <c r="G593" i="10"/>
  <c r="F593" i="10"/>
  <c r="E593" i="10"/>
  <c r="B592" i="10"/>
  <c r="H592" i="10"/>
  <c r="G592" i="10"/>
  <c r="F592" i="10"/>
  <c r="E592" i="10"/>
  <c r="B591" i="10"/>
  <c r="H591" i="10"/>
  <c r="G591" i="10"/>
  <c r="F591" i="10"/>
  <c r="E591" i="10"/>
  <c r="B590" i="10"/>
  <c r="H590" i="10"/>
  <c r="G590" i="10"/>
  <c r="F590" i="10"/>
  <c r="E590" i="10"/>
  <c r="B589" i="10"/>
  <c r="H589" i="10"/>
  <c r="G589" i="10"/>
  <c r="F589" i="10"/>
  <c r="E589" i="10"/>
  <c r="B588" i="10"/>
  <c r="H588" i="10"/>
  <c r="G588" i="10"/>
  <c r="F588" i="10"/>
  <c r="E588" i="10"/>
  <c r="B587" i="10"/>
  <c r="H587" i="10"/>
  <c r="G587" i="10"/>
  <c r="F587" i="10"/>
  <c r="E587" i="10"/>
  <c r="B586" i="10"/>
  <c r="H586" i="10"/>
  <c r="G586" i="10"/>
  <c r="F586" i="10"/>
  <c r="E586" i="10"/>
  <c r="B585" i="10"/>
  <c r="H585" i="10"/>
  <c r="G585" i="10"/>
  <c r="F585" i="10"/>
  <c r="E585" i="10"/>
  <c r="B584" i="10"/>
  <c r="H584" i="10"/>
  <c r="G584" i="10"/>
  <c r="F584" i="10"/>
  <c r="E584" i="10"/>
  <c r="B583" i="10"/>
  <c r="H583" i="10"/>
  <c r="G583" i="10"/>
  <c r="F583" i="10"/>
  <c r="E583" i="10"/>
  <c r="B582" i="10"/>
  <c r="H582" i="10"/>
  <c r="G582" i="10"/>
  <c r="F582" i="10"/>
  <c r="E582" i="10"/>
  <c r="B581" i="10"/>
  <c r="H581" i="10"/>
  <c r="G581" i="10"/>
  <c r="F581" i="10"/>
  <c r="E581" i="10"/>
  <c r="B580" i="10"/>
  <c r="H580" i="10"/>
  <c r="G580" i="10"/>
  <c r="F580" i="10"/>
  <c r="E580" i="10"/>
  <c r="B579" i="10"/>
  <c r="H579" i="10"/>
  <c r="G579" i="10"/>
  <c r="F579" i="10"/>
  <c r="E579" i="10"/>
  <c r="B578" i="10"/>
  <c r="H578" i="10"/>
  <c r="G578" i="10"/>
  <c r="F578" i="10"/>
  <c r="E578" i="10"/>
  <c r="B577" i="10"/>
  <c r="H577" i="10"/>
  <c r="G577" i="10"/>
  <c r="F577" i="10"/>
  <c r="E577" i="10"/>
  <c r="B576" i="10"/>
  <c r="H576" i="10"/>
  <c r="G576" i="10"/>
  <c r="F576" i="10"/>
  <c r="E576" i="10"/>
  <c r="B575" i="10"/>
  <c r="H575" i="10"/>
  <c r="G575" i="10"/>
  <c r="F575" i="10"/>
  <c r="E575" i="10"/>
  <c r="B574" i="10"/>
  <c r="H574" i="10"/>
  <c r="G574" i="10"/>
  <c r="F574" i="10"/>
  <c r="E574" i="10"/>
  <c r="B573" i="10"/>
  <c r="H573" i="10"/>
  <c r="G573" i="10"/>
  <c r="F573" i="10"/>
  <c r="E573" i="10"/>
  <c r="B572" i="10"/>
  <c r="H572" i="10"/>
  <c r="G572" i="10"/>
  <c r="F572" i="10"/>
  <c r="E572" i="10"/>
  <c r="B571" i="10"/>
  <c r="H571" i="10"/>
  <c r="G571" i="10"/>
  <c r="F571" i="10"/>
  <c r="E571" i="10"/>
  <c r="B570" i="10"/>
  <c r="H570" i="10"/>
  <c r="G570" i="10"/>
  <c r="F570" i="10"/>
  <c r="E570" i="10"/>
  <c r="B569" i="10"/>
  <c r="H569" i="10"/>
  <c r="G569" i="10"/>
  <c r="F569" i="10"/>
  <c r="E569" i="10"/>
  <c r="B568" i="10"/>
  <c r="H568" i="10"/>
  <c r="G568" i="10"/>
  <c r="F568" i="10"/>
  <c r="E568" i="10"/>
  <c r="B567" i="10"/>
  <c r="H567" i="10"/>
  <c r="G567" i="10"/>
  <c r="F567" i="10"/>
  <c r="E567" i="10"/>
  <c r="B566" i="10"/>
  <c r="H566" i="10"/>
  <c r="G566" i="10"/>
  <c r="F566" i="10"/>
  <c r="E566" i="10"/>
  <c r="B565" i="10"/>
  <c r="H565" i="10"/>
  <c r="G565" i="10"/>
  <c r="F565" i="10"/>
  <c r="E565" i="10"/>
  <c r="B564" i="10"/>
  <c r="H564" i="10"/>
  <c r="G564" i="10"/>
  <c r="F564" i="10"/>
  <c r="E564" i="10"/>
  <c r="B563" i="10"/>
  <c r="H563" i="10"/>
  <c r="G563" i="10"/>
  <c r="F563" i="10"/>
  <c r="E563" i="10"/>
  <c r="B562" i="10"/>
  <c r="H562" i="10"/>
  <c r="G562" i="10"/>
  <c r="F562" i="10"/>
  <c r="E562" i="10"/>
  <c r="B561" i="10"/>
  <c r="H561" i="10"/>
  <c r="G561" i="10"/>
  <c r="F561" i="10"/>
  <c r="E561" i="10"/>
  <c r="B560" i="10"/>
  <c r="H560" i="10"/>
  <c r="G560" i="10"/>
  <c r="F560" i="10"/>
  <c r="E560" i="10"/>
  <c r="B559" i="10"/>
  <c r="H559" i="10"/>
  <c r="G559" i="10"/>
  <c r="F559" i="10"/>
  <c r="E559" i="10"/>
  <c r="B558" i="10"/>
  <c r="H558" i="10"/>
  <c r="G558" i="10"/>
  <c r="F558" i="10"/>
  <c r="E558" i="10"/>
  <c r="B557" i="10"/>
  <c r="H557" i="10"/>
  <c r="G557" i="10"/>
  <c r="F557" i="10"/>
  <c r="E557" i="10"/>
  <c r="B556" i="10"/>
  <c r="H556" i="10"/>
  <c r="G556" i="10"/>
  <c r="F556" i="10"/>
  <c r="E556" i="10"/>
  <c r="B555" i="10"/>
  <c r="H555" i="10"/>
  <c r="G555" i="10"/>
  <c r="F555" i="10"/>
  <c r="E555" i="10"/>
  <c r="B554" i="10"/>
  <c r="H554" i="10"/>
  <c r="G554" i="10"/>
  <c r="F554" i="10"/>
  <c r="E554" i="10"/>
  <c r="B553" i="10"/>
  <c r="H553" i="10"/>
  <c r="G553" i="10"/>
  <c r="F553" i="10"/>
  <c r="E553" i="10"/>
  <c r="B552" i="10"/>
  <c r="H552" i="10"/>
  <c r="G552" i="10"/>
  <c r="F552" i="10"/>
  <c r="E552" i="10"/>
  <c r="B551" i="10"/>
  <c r="H551" i="10"/>
  <c r="G551" i="10"/>
  <c r="F551" i="10"/>
  <c r="E551" i="10"/>
  <c r="B550" i="10"/>
  <c r="H550" i="10"/>
  <c r="G550" i="10"/>
  <c r="F550" i="10"/>
  <c r="E550" i="10"/>
  <c r="B549" i="10"/>
  <c r="H549" i="10"/>
  <c r="G549" i="10"/>
  <c r="F549" i="10"/>
  <c r="E549" i="10"/>
  <c r="B548" i="10"/>
  <c r="H548" i="10"/>
  <c r="G548" i="10"/>
  <c r="F548" i="10"/>
  <c r="E548" i="10"/>
  <c r="B547" i="10"/>
  <c r="H547" i="10"/>
  <c r="G547" i="10"/>
  <c r="F547" i="10"/>
  <c r="E547" i="10"/>
  <c r="B546" i="10"/>
  <c r="H546" i="10"/>
  <c r="G546" i="10"/>
  <c r="F546" i="10"/>
  <c r="E546" i="10"/>
  <c r="B545" i="10"/>
  <c r="H545" i="10"/>
  <c r="G545" i="10"/>
  <c r="F545" i="10"/>
  <c r="E545" i="10"/>
  <c r="B544" i="10"/>
  <c r="H544" i="10"/>
  <c r="G544" i="10"/>
  <c r="F544" i="10"/>
  <c r="E544" i="10"/>
  <c r="B543" i="10"/>
  <c r="H543" i="10"/>
  <c r="G543" i="10"/>
  <c r="F543" i="10"/>
  <c r="E543" i="10"/>
  <c r="B542" i="10"/>
  <c r="H542" i="10"/>
  <c r="G542" i="10"/>
  <c r="F542" i="10"/>
  <c r="E542" i="10"/>
  <c r="B541" i="10"/>
  <c r="H541" i="10"/>
  <c r="G541" i="10"/>
  <c r="F541" i="10"/>
  <c r="E541" i="10"/>
  <c r="B540" i="10"/>
  <c r="H540" i="10"/>
  <c r="G540" i="10"/>
  <c r="F540" i="10"/>
  <c r="E540" i="10"/>
  <c r="B539" i="10"/>
  <c r="H539" i="10"/>
  <c r="G539" i="10"/>
  <c r="F539" i="10"/>
  <c r="E539" i="10"/>
  <c r="B538" i="10"/>
  <c r="H538" i="10"/>
  <c r="G538" i="10"/>
  <c r="F538" i="10"/>
  <c r="E538" i="10"/>
  <c r="B537" i="10"/>
  <c r="H537" i="10"/>
  <c r="G537" i="10"/>
  <c r="F537" i="10"/>
  <c r="E537" i="10"/>
  <c r="B536" i="10"/>
  <c r="H536" i="10"/>
  <c r="G536" i="10"/>
  <c r="F536" i="10"/>
  <c r="E536" i="10"/>
  <c r="B535" i="10"/>
  <c r="H535" i="10"/>
  <c r="G535" i="10"/>
  <c r="F535" i="10"/>
  <c r="E535" i="10"/>
  <c r="B534" i="10"/>
  <c r="H534" i="10"/>
  <c r="G534" i="10"/>
  <c r="F534" i="10"/>
  <c r="E534" i="10"/>
  <c r="B533" i="10"/>
  <c r="H533" i="10"/>
  <c r="G533" i="10"/>
  <c r="F533" i="10"/>
  <c r="E533" i="10"/>
  <c r="B532" i="10"/>
  <c r="H532" i="10"/>
  <c r="G532" i="10"/>
  <c r="F532" i="10"/>
  <c r="E532" i="10"/>
  <c r="B531" i="10"/>
  <c r="H531" i="10"/>
  <c r="G531" i="10"/>
  <c r="F531" i="10"/>
  <c r="E531" i="10"/>
  <c r="B530" i="10"/>
  <c r="H530" i="10"/>
  <c r="G530" i="10"/>
  <c r="F530" i="10"/>
  <c r="E530" i="10"/>
  <c r="B529" i="10"/>
  <c r="H529" i="10"/>
  <c r="G529" i="10"/>
  <c r="F529" i="10"/>
  <c r="E529" i="10"/>
  <c r="B528" i="10"/>
  <c r="H528" i="10"/>
  <c r="G528" i="10"/>
  <c r="F528" i="10"/>
  <c r="E528" i="10"/>
  <c r="B527" i="10"/>
  <c r="H527" i="10"/>
  <c r="G527" i="10"/>
  <c r="F527" i="10"/>
  <c r="E527" i="10"/>
  <c r="B526" i="10"/>
  <c r="H526" i="10"/>
  <c r="G526" i="10"/>
  <c r="F526" i="10"/>
  <c r="E526" i="10"/>
  <c r="B525" i="10"/>
  <c r="H525" i="10"/>
  <c r="G525" i="10"/>
  <c r="F525" i="10"/>
  <c r="E525" i="10"/>
  <c r="B524" i="10"/>
  <c r="H524" i="10"/>
  <c r="G524" i="10"/>
  <c r="F524" i="10"/>
  <c r="E524" i="10"/>
  <c r="B523" i="10"/>
  <c r="H523" i="10"/>
  <c r="G523" i="10"/>
  <c r="F523" i="10"/>
  <c r="E523" i="10"/>
  <c r="B522" i="10"/>
  <c r="H522" i="10"/>
  <c r="G522" i="10"/>
  <c r="F522" i="10"/>
  <c r="E522" i="10"/>
  <c r="B521" i="10"/>
  <c r="H521" i="10"/>
  <c r="G521" i="10"/>
  <c r="F521" i="10"/>
  <c r="E521" i="10"/>
  <c r="B520" i="10"/>
  <c r="H520" i="10"/>
  <c r="G520" i="10"/>
  <c r="F520" i="10"/>
  <c r="E520" i="10"/>
  <c r="B519" i="10"/>
  <c r="H519" i="10"/>
  <c r="G519" i="10"/>
  <c r="F519" i="10"/>
  <c r="E519" i="10"/>
  <c r="B518" i="10"/>
  <c r="H518" i="10"/>
  <c r="G518" i="10"/>
  <c r="F518" i="10"/>
  <c r="E518" i="10"/>
  <c r="B517" i="10"/>
  <c r="H517" i="10"/>
  <c r="G517" i="10"/>
  <c r="F517" i="10"/>
  <c r="E517" i="10"/>
  <c r="B516" i="10"/>
  <c r="H516" i="10"/>
  <c r="G516" i="10"/>
  <c r="F516" i="10"/>
  <c r="E516" i="10"/>
  <c r="B515" i="10"/>
  <c r="H515" i="10"/>
  <c r="G515" i="10"/>
  <c r="F515" i="10"/>
  <c r="E515" i="10"/>
  <c r="B514" i="10"/>
  <c r="H514" i="10"/>
  <c r="G514" i="10"/>
  <c r="F514" i="10"/>
  <c r="E514" i="10"/>
  <c r="B513" i="10"/>
  <c r="H513" i="10"/>
  <c r="G513" i="10"/>
  <c r="F513" i="10"/>
  <c r="E513" i="10"/>
  <c r="B512" i="10"/>
  <c r="H512" i="10"/>
  <c r="G512" i="10"/>
  <c r="F512" i="10"/>
  <c r="E512" i="10"/>
  <c r="D512" i="10"/>
  <c r="C512" i="10"/>
  <c r="B511" i="10"/>
  <c r="H511" i="10"/>
  <c r="G511" i="10"/>
  <c r="F511" i="10"/>
  <c r="E511" i="10"/>
  <c r="B510" i="10"/>
  <c r="H510" i="10"/>
  <c r="G510" i="10"/>
  <c r="F510" i="10"/>
  <c r="E510" i="10"/>
  <c r="B509" i="10"/>
  <c r="H509" i="10"/>
  <c r="G509" i="10"/>
  <c r="F509" i="10"/>
  <c r="E509" i="10"/>
  <c r="B508" i="10"/>
  <c r="H508" i="10"/>
  <c r="G508" i="10"/>
  <c r="F508" i="10"/>
  <c r="E508" i="10"/>
  <c r="B507" i="10"/>
  <c r="H507" i="10"/>
  <c r="G507" i="10"/>
  <c r="F507" i="10"/>
  <c r="E507" i="10"/>
  <c r="B506" i="10"/>
  <c r="H506" i="10"/>
  <c r="G506" i="10"/>
  <c r="F506" i="10"/>
  <c r="E506" i="10"/>
  <c r="B505" i="10"/>
  <c r="H505" i="10"/>
  <c r="G505" i="10"/>
  <c r="F505" i="10"/>
  <c r="E505" i="10"/>
  <c r="B504" i="10"/>
  <c r="H504" i="10"/>
  <c r="G504" i="10"/>
  <c r="F504" i="10"/>
  <c r="E504" i="10"/>
  <c r="B503" i="10"/>
  <c r="H503" i="10"/>
  <c r="G503" i="10"/>
  <c r="F503" i="10"/>
  <c r="E503" i="10"/>
  <c r="B502" i="10"/>
  <c r="H502" i="10"/>
  <c r="G502" i="10"/>
  <c r="F502" i="10"/>
  <c r="E502" i="10"/>
  <c r="B501" i="10"/>
  <c r="H501" i="10"/>
  <c r="G501" i="10"/>
  <c r="F501" i="10"/>
  <c r="E501" i="10"/>
  <c r="B500" i="10"/>
  <c r="H500" i="10"/>
  <c r="G500" i="10"/>
  <c r="F500" i="10"/>
  <c r="E500" i="10"/>
  <c r="B499" i="10"/>
  <c r="H499" i="10"/>
  <c r="G499" i="10"/>
  <c r="F499" i="10"/>
  <c r="E499" i="10"/>
  <c r="B498" i="10"/>
  <c r="H498" i="10"/>
  <c r="G498" i="10"/>
  <c r="F498" i="10"/>
  <c r="E498" i="10"/>
  <c r="B497" i="10"/>
  <c r="H497" i="10"/>
  <c r="G497" i="10"/>
  <c r="F497" i="10"/>
  <c r="E497" i="10"/>
  <c r="D497" i="10"/>
  <c r="C497" i="10"/>
  <c r="B496" i="10"/>
  <c r="H496" i="10"/>
  <c r="G496" i="10"/>
  <c r="F496" i="10"/>
  <c r="E496" i="10"/>
  <c r="B495" i="10"/>
  <c r="H495" i="10"/>
  <c r="G495" i="10"/>
  <c r="F495" i="10"/>
  <c r="E495" i="10"/>
  <c r="B494" i="10"/>
  <c r="H494" i="10"/>
  <c r="G494" i="10"/>
  <c r="F494" i="10"/>
  <c r="E494" i="10"/>
  <c r="B493" i="10"/>
  <c r="H493" i="10"/>
  <c r="G493" i="10"/>
  <c r="F493" i="10"/>
  <c r="E493" i="10"/>
  <c r="B492" i="10"/>
  <c r="H492" i="10"/>
  <c r="G492" i="10"/>
  <c r="F492" i="10"/>
  <c r="E492" i="10"/>
  <c r="B491" i="10"/>
  <c r="H491" i="10"/>
  <c r="G491" i="10"/>
  <c r="F491" i="10"/>
  <c r="E491" i="10"/>
  <c r="B490" i="10"/>
  <c r="H490" i="10"/>
  <c r="G490" i="10"/>
  <c r="F490" i="10"/>
  <c r="E490" i="10"/>
  <c r="B489" i="10"/>
  <c r="H489" i="10"/>
  <c r="G489" i="10"/>
  <c r="F489" i="10"/>
  <c r="E489" i="10"/>
  <c r="B488" i="10"/>
  <c r="H488" i="10"/>
  <c r="G488" i="10"/>
  <c r="F488" i="10"/>
  <c r="E488" i="10"/>
  <c r="B487" i="10"/>
  <c r="H487" i="10"/>
  <c r="G487" i="10"/>
  <c r="F487" i="10"/>
  <c r="E487" i="10"/>
  <c r="B486" i="10"/>
  <c r="H486" i="10"/>
  <c r="G486" i="10"/>
  <c r="F486" i="10"/>
  <c r="E486" i="10"/>
  <c r="B485" i="10"/>
  <c r="H485" i="10"/>
  <c r="G485" i="10"/>
  <c r="F485" i="10"/>
  <c r="E485" i="10"/>
  <c r="B484" i="10"/>
  <c r="H484" i="10"/>
  <c r="G484" i="10"/>
  <c r="F484" i="10"/>
  <c r="E484" i="10"/>
  <c r="B483" i="10"/>
  <c r="H483" i="10"/>
  <c r="G483" i="10"/>
  <c r="F483" i="10"/>
  <c r="E483" i="10"/>
  <c r="B482" i="10"/>
  <c r="H482" i="10"/>
  <c r="G482" i="10"/>
  <c r="F482" i="10"/>
  <c r="E482" i="10"/>
  <c r="B481" i="10"/>
  <c r="H481" i="10"/>
  <c r="G481" i="10"/>
  <c r="F481" i="10"/>
  <c r="E481" i="10"/>
  <c r="B480" i="10"/>
  <c r="H480" i="10"/>
  <c r="G480" i="10"/>
  <c r="F480" i="10"/>
  <c r="E480" i="10"/>
  <c r="B479" i="10"/>
  <c r="H479" i="10"/>
  <c r="G479" i="10"/>
  <c r="F479" i="10"/>
  <c r="E479" i="10"/>
  <c r="B478" i="10"/>
  <c r="H478" i="10"/>
  <c r="G478" i="10"/>
  <c r="F478" i="10"/>
  <c r="E478" i="10"/>
  <c r="B477" i="10"/>
  <c r="H477" i="10"/>
  <c r="G477" i="10"/>
  <c r="F477" i="10"/>
  <c r="E477" i="10"/>
  <c r="B476" i="10"/>
  <c r="H476" i="10"/>
  <c r="G476" i="10"/>
  <c r="F476" i="10"/>
  <c r="E476" i="10"/>
  <c r="B475" i="10"/>
  <c r="H475" i="10"/>
  <c r="G475" i="10"/>
  <c r="F475" i="10"/>
  <c r="E475" i="10"/>
  <c r="B474" i="10"/>
  <c r="H474" i="10"/>
  <c r="G474" i="10"/>
  <c r="F474" i="10"/>
  <c r="E474" i="10"/>
  <c r="B473" i="10"/>
  <c r="H473" i="10"/>
  <c r="G473" i="10"/>
  <c r="F473" i="10"/>
  <c r="E473" i="10"/>
  <c r="B472" i="10"/>
  <c r="H472" i="10"/>
  <c r="G472" i="10"/>
  <c r="F472" i="10"/>
  <c r="E472" i="10"/>
  <c r="B471" i="10"/>
  <c r="H471" i="10"/>
  <c r="G471" i="10"/>
  <c r="F471" i="10"/>
  <c r="E471" i="10"/>
  <c r="B470" i="10"/>
  <c r="H470" i="10"/>
  <c r="G470" i="10"/>
  <c r="F470" i="10"/>
  <c r="E470" i="10"/>
  <c r="B469" i="10"/>
  <c r="H469" i="10"/>
  <c r="G469" i="10"/>
  <c r="F469" i="10"/>
  <c r="E469" i="10"/>
  <c r="B468" i="10"/>
  <c r="H468" i="10"/>
  <c r="G468" i="10"/>
  <c r="F468" i="10"/>
  <c r="E468" i="10"/>
  <c r="B467" i="10"/>
  <c r="H467" i="10"/>
  <c r="G467" i="10"/>
  <c r="F467" i="10"/>
  <c r="E467" i="10"/>
  <c r="B466" i="10"/>
  <c r="H466" i="10"/>
  <c r="G466" i="10"/>
  <c r="F466" i="10"/>
  <c r="E466" i="10"/>
  <c r="B465" i="10"/>
  <c r="H465" i="10"/>
  <c r="G465" i="10"/>
  <c r="F465" i="10"/>
  <c r="E465" i="10"/>
  <c r="B464" i="10"/>
  <c r="H464" i="10"/>
  <c r="G464" i="10"/>
  <c r="F464" i="10"/>
  <c r="E464" i="10"/>
  <c r="B463" i="10"/>
  <c r="H463" i="10"/>
  <c r="G463" i="10"/>
  <c r="F463" i="10"/>
  <c r="E463" i="10"/>
  <c r="B462" i="10"/>
  <c r="H462" i="10"/>
  <c r="G462" i="10"/>
  <c r="F462" i="10"/>
  <c r="E462" i="10"/>
  <c r="B461" i="10"/>
  <c r="H461" i="10"/>
  <c r="G461" i="10"/>
  <c r="F461" i="10"/>
  <c r="E461" i="10"/>
  <c r="B460" i="10"/>
  <c r="H460" i="10"/>
  <c r="G460" i="10"/>
  <c r="F460" i="10"/>
  <c r="E460" i="10"/>
  <c r="B459" i="10"/>
  <c r="H459" i="10"/>
  <c r="G459" i="10"/>
  <c r="F459" i="10"/>
  <c r="E459" i="10"/>
  <c r="B458" i="10"/>
  <c r="H458" i="10"/>
  <c r="G458" i="10"/>
  <c r="F458" i="10"/>
  <c r="E458" i="10"/>
  <c r="B457" i="10"/>
  <c r="H457" i="10"/>
  <c r="G457" i="10"/>
  <c r="F457" i="10"/>
  <c r="E457" i="10"/>
  <c r="B456" i="10"/>
  <c r="H456" i="10"/>
  <c r="G456" i="10"/>
  <c r="F456" i="10"/>
  <c r="E456" i="10"/>
  <c r="B455" i="10"/>
  <c r="H455" i="10"/>
  <c r="G455" i="10"/>
  <c r="F455" i="10"/>
  <c r="E455" i="10"/>
  <c r="B454" i="10"/>
  <c r="H454" i="10"/>
  <c r="G454" i="10"/>
  <c r="F454" i="10"/>
  <c r="E454" i="10"/>
  <c r="B453" i="10"/>
  <c r="H453" i="10"/>
  <c r="G453" i="10"/>
  <c r="F453" i="10"/>
  <c r="E453" i="10"/>
  <c r="B452" i="10"/>
  <c r="H452" i="10"/>
  <c r="G452" i="10"/>
  <c r="F452" i="10"/>
  <c r="E452" i="10"/>
  <c r="B451" i="10"/>
  <c r="H451" i="10"/>
  <c r="G451" i="10"/>
  <c r="F451" i="10"/>
  <c r="E451" i="10"/>
  <c r="B450" i="10"/>
  <c r="H450" i="10"/>
  <c r="G450" i="10"/>
  <c r="F450" i="10"/>
  <c r="E450" i="10"/>
  <c r="B449" i="10"/>
  <c r="H449" i="10"/>
  <c r="G449" i="10"/>
  <c r="F449" i="10"/>
  <c r="E449" i="10"/>
  <c r="B448" i="10"/>
  <c r="H448" i="10"/>
  <c r="G448" i="10"/>
  <c r="F448" i="10"/>
  <c r="E448" i="10"/>
  <c r="B447" i="10"/>
  <c r="H447" i="10"/>
  <c r="G447" i="10"/>
  <c r="F447" i="10"/>
  <c r="E447" i="10"/>
  <c r="B446" i="10"/>
  <c r="H446" i="10"/>
  <c r="G446" i="10"/>
  <c r="F446" i="10"/>
  <c r="E446" i="10"/>
  <c r="B445" i="10"/>
  <c r="H445" i="10"/>
  <c r="G445" i="10"/>
  <c r="F445" i="10"/>
  <c r="E445" i="10"/>
  <c r="B444" i="10"/>
  <c r="H444" i="10"/>
  <c r="G444" i="10"/>
  <c r="F444" i="10"/>
  <c r="E444" i="10"/>
  <c r="B443" i="10"/>
  <c r="H443" i="10"/>
  <c r="G443" i="10"/>
  <c r="F443" i="10"/>
  <c r="E443" i="10"/>
  <c r="B442" i="10"/>
  <c r="H442" i="10"/>
  <c r="G442" i="10"/>
  <c r="F442" i="10"/>
  <c r="E442" i="10"/>
  <c r="B441" i="10"/>
  <c r="H441" i="10"/>
  <c r="G441" i="10"/>
  <c r="F441" i="10"/>
  <c r="E441" i="10"/>
  <c r="B440" i="10"/>
  <c r="H440" i="10"/>
  <c r="G440" i="10"/>
  <c r="F440" i="10"/>
  <c r="E440" i="10"/>
  <c r="B439" i="10"/>
  <c r="H439" i="10"/>
  <c r="G439" i="10"/>
  <c r="F439" i="10"/>
  <c r="E439" i="10"/>
  <c r="B438" i="10"/>
  <c r="H438" i="10"/>
  <c r="G438" i="10"/>
  <c r="F438" i="10"/>
  <c r="E438" i="10"/>
  <c r="B437" i="10"/>
  <c r="H437" i="10"/>
  <c r="G437" i="10"/>
  <c r="F437" i="10"/>
  <c r="E437" i="10"/>
  <c r="B436" i="10"/>
  <c r="H436" i="10"/>
  <c r="G436" i="10"/>
  <c r="F436" i="10"/>
  <c r="E436" i="10"/>
  <c r="B435" i="10"/>
  <c r="H435" i="10"/>
  <c r="G435" i="10"/>
  <c r="F435" i="10"/>
  <c r="E435" i="10"/>
  <c r="B434" i="10"/>
  <c r="H434" i="10"/>
  <c r="G434" i="10"/>
  <c r="F434" i="10"/>
  <c r="E434" i="10"/>
  <c r="B433" i="10"/>
  <c r="H433" i="10"/>
  <c r="G433" i="10"/>
  <c r="F433" i="10"/>
  <c r="E433" i="10"/>
  <c r="B432" i="10"/>
  <c r="H432" i="10"/>
  <c r="G432" i="10"/>
  <c r="F432" i="10"/>
  <c r="E432" i="10"/>
  <c r="B431" i="10"/>
  <c r="H431" i="10"/>
  <c r="G431" i="10"/>
  <c r="F431" i="10"/>
  <c r="E431" i="10"/>
  <c r="B430" i="10"/>
  <c r="H430" i="10"/>
  <c r="G430" i="10"/>
  <c r="F430" i="10"/>
  <c r="E430" i="10"/>
  <c r="B429" i="10"/>
  <c r="H429" i="10"/>
  <c r="G429" i="10"/>
  <c r="F429" i="10"/>
  <c r="E429" i="10"/>
  <c r="B428" i="10"/>
  <c r="H428" i="10"/>
  <c r="G428" i="10"/>
  <c r="F428" i="10"/>
  <c r="E428" i="10"/>
  <c r="B427" i="10"/>
  <c r="H427" i="10"/>
  <c r="G427" i="10"/>
  <c r="F427" i="10"/>
  <c r="E427" i="10"/>
  <c r="B426" i="10"/>
  <c r="H426" i="10"/>
  <c r="G426" i="10"/>
  <c r="F426" i="10"/>
  <c r="E426" i="10"/>
  <c r="B425" i="10"/>
  <c r="H425" i="10"/>
  <c r="G425" i="10"/>
  <c r="F425" i="10"/>
  <c r="E425" i="10"/>
  <c r="B424" i="10"/>
  <c r="H424" i="10"/>
  <c r="G424" i="10"/>
  <c r="F424" i="10"/>
  <c r="E424" i="10"/>
  <c r="B423" i="10"/>
  <c r="H423" i="10"/>
  <c r="G423" i="10"/>
  <c r="F423" i="10"/>
  <c r="E423" i="10"/>
  <c r="B422" i="10"/>
  <c r="H422" i="10"/>
  <c r="G422" i="10"/>
  <c r="F422" i="10"/>
  <c r="E422" i="10"/>
  <c r="B421" i="10"/>
  <c r="H421" i="10"/>
  <c r="G421" i="10"/>
  <c r="F421" i="10"/>
  <c r="E421" i="10"/>
  <c r="B420" i="10"/>
  <c r="H420" i="10"/>
  <c r="G420" i="10"/>
  <c r="F420" i="10"/>
  <c r="E420" i="10"/>
  <c r="B419" i="10"/>
  <c r="H419" i="10"/>
  <c r="G419" i="10"/>
  <c r="F419" i="10"/>
  <c r="E419" i="10"/>
  <c r="B418" i="10"/>
  <c r="H418" i="10"/>
  <c r="G418" i="10"/>
  <c r="F418" i="10"/>
  <c r="E418" i="10"/>
  <c r="B417" i="10"/>
  <c r="H417" i="10"/>
  <c r="G417" i="10"/>
  <c r="F417" i="10"/>
  <c r="E417" i="10"/>
  <c r="B416" i="10"/>
  <c r="H416" i="10"/>
  <c r="G416" i="10"/>
  <c r="F416" i="10"/>
  <c r="E416" i="10"/>
  <c r="B415" i="10"/>
  <c r="H415" i="10"/>
  <c r="G415" i="10"/>
  <c r="F415" i="10"/>
  <c r="E415" i="10"/>
  <c r="B414" i="10"/>
  <c r="H414" i="10"/>
  <c r="G414" i="10"/>
  <c r="F414" i="10"/>
  <c r="E414" i="10"/>
  <c r="B413" i="10"/>
  <c r="H413" i="10"/>
  <c r="G413" i="10"/>
  <c r="F413" i="10"/>
  <c r="E413" i="10"/>
  <c r="B412" i="10"/>
  <c r="H412" i="10"/>
  <c r="G412" i="10"/>
  <c r="F412" i="10"/>
  <c r="E412" i="10"/>
  <c r="B411" i="10"/>
  <c r="H411" i="10"/>
  <c r="G411" i="10"/>
  <c r="F411" i="10"/>
  <c r="E411" i="10"/>
  <c r="B410" i="10"/>
  <c r="H410" i="10"/>
  <c r="G410" i="10"/>
  <c r="F410" i="10"/>
  <c r="E410" i="10"/>
  <c r="B409" i="10"/>
  <c r="H409" i="10"/>
  <c r="G409" i="10"/>
  <c r="F409" i="10"/>
  <c r="E409" i="10"/>
  <c r="B408" i="10"/>
  <c r="H408" i="10"/>
  <c r="G408" i="10"/>
  <c r="F408" i="10"/>
  <c r="E408" i="10"/>
  <c r="B407" i="10"/>
  <c r="H407" i="10"/>
  <c r="G407" i="10"/>
  <c r="F407" i="10"/>
  <c r="E407" i="10"/>
  <c r="B406" i="10"/>
  <c r="H406" i="10"/>
  <c r="G406" i="10"/>
  <c r="F406" i="10"/>
  <c r="E406" i="10"/>
  <c r="B405" i="10"/>
  <c r="H405" i="10"/>
  <c r="G405" i="10"/>
  <c r="F405" i="10"/>
  <c r="E405" i="10"/>
  <c r="B404" i="10"/>
  <c r="H404" i="10"/>
  <c r="G404" i="10"/>
  <c r="F404" i="10"/>
  <c r="E404" i="10"/>
  <c r="B403" i="10"/>
  <c r="H403" i="10"/>
  <c r="G403" i="10"/>
  <c r="F403" i="10"/>
  <c r="E403" i="10"/>
  <c r="B402" i="10"/>
  <c r="H402" i="10"/>
  <c r="G402" i="10"/>
  <c r="F402" i="10"/>
  <c r="E402" i="10"/>
  <c r="B401" i="10"/>
  <c r="H401" i="10"/>
  <c r="G401" i="10"/>
  <c r="F401" i="10"/>
  <c r="E401" i="10"/>
  <c r="B400" i="10"/>
  <c r="H400" i="10"/>
  <c r="G400" i="10"/>
  <c r="F400" i="10"/>
  <c r="E400" i="10"/>
  <c r="B399" i="10"/>
  <c r="H399" i="10"/>
  <c r="G399" i="10"/>
  <c r="F399" i="10"/>
  <c r="E399" i="10"/>
  <c r="B398" i="10"/>
  <c r="H398" i="10"/>
  <c r="G398" i="10"/>
  <c r="F398" i="10"/>
  <c r="E398" i="10"/>
  <c r="B397" i="10"/>
  <c r="H397" i="10"/>
  <c r="G397" i="10"/>
  <c r="F397" i="10"/>
  <c r="E397" i="10"/>
  <c r="B396" i="10"/>
  <c r="H396" i="10"/>
  <c r="G396" i="10"/>
  <c r="F396" i="10"/>
  <c r="E396" i="10"/>
  <c r="B395" i="10"/>
  <c r="H395" i="10"/>
  <c r="G395" i="10"/>
  <c r="F395" i="10"/>
  <c r="E395" i="10"/>
  <c r="B394" i="10"/>
  <c r="H394" i="10"/>
  <c r="G394" i="10"/>
  <c r="F394" i="10"/>
  <c r="E394" i="10"/>
  <c r="B393" i="10"/>
  <c r="H393" i="10"/>
  <c r="G393" i="10"/>
  <c r="F393" i="10"/>
  <c r="E393" i="10"/>
  <c r="B392" i="10"/>
  <c r="H392" i="10"/>
  <c r="G392" i="10"/>
  <c r="F392" i="10"/>
  <c r="E392" i="10"/>
  <c r="B391" i="10"/>
  <c r="H391" i="10"/>
  <c r="G391" i="10"/>
  <c r="F391" i="10"/>
  <c r="E391" i="10"/>
  <c r="B390" i="10"/>
  <c r="H390" i="10"/>
  <c r="G390" i="10"/>
  <c r="F390" i="10"/>
  <c r="E390" i="10"/>
  <c r="B389" i="10"/>
  <c r="H389" i="10"/>
  <c r="G389" i="10"/>
  <c r="F389" i="10"/>
  <c r="E389" i="10"/>
  <c r="B388" i="10"/>
  <c r="H388" i="10"/>
  <c r="G388" i="10"/>
  <c r="F388" i="10"/>
  <c r="E388" i="10"/>
  <c r="B387" i="10"/>
  <c r="H387" i="10"/>
  <c r="G387" i="10"/>
  <c r="F387" i="10"/>
  <c r="E387" i="10"/>
  <c r="B386" i="10"/>
  <c r="H386" i="10"/>
  <c r="G386" i="10"/>
  <c r="F386" i="10"/>
  <c r="E386" i="10"/>
  <c r="B385" i="10"/>
  <c r="H385" i="10"/>
  <c r="G385" i="10"/>
  <c r="F385" i="10"/>
  <c r="E385" i="10"/>
  <c r="B384" i="10"/>
  <c r="H384" i="10"/>
  <c r="G384" i="10"/>
  <c r="F384" i="10"/>
  <c r="E384" i="10"/>
  <c r="B383" i="10"/>
  <c r="H383" i="10"/>
  <c r="G383" i="10"/>
  <c r="F383" i="10"/>
  <c r="E383" i="10"/>
  <c r="B382" i="10"/>
  <c r="H382" i="10"/>
  <c r="G382" i="10"/>
  <c r="F382" i="10"/>
  <c r="E382" i="10"/>
  <c r="B381" i="10"/>
  <c r="H381" i="10"/>
  <c r="G381" i="10"/>
  <c r="F381" i="10"/>
  <c r="E381" i="10"/>
  <c r="B380" i="10"/>
  <c r="H380" i="10"/>
  <c r="G380" i="10"/>
  <c r="F380" i="10"/>
  <c r="E380" i="10"/>
  <c r="B379" i="10"/>
  <c r="H379" i="10"/>
  <c r="G379" i="10"/>
  <c r="F379" i="10"/>
  <c r="E379" i="10"/>
  <c r="B378" i="10"/>
  <c r="H378" i="10"/>
  <c r="G378" i="10"/>
  <c r="F378" i="10"/>
  <c r="E378" i="10"/>
  <c r="B377" i="10"/>
  <c r="H377" i="10"/>
  <c r="G377" i="10"/>
  <c r="F377" i="10"/>
  <c r="E377" i="10"/>
  <c r="B376" i="10"/>
  <c r="H376" i="10"/>
  <c r="G376" i="10"/>
  <c r="F376" i="10"/>
  <c r="E376" i="10"/>
  <c r="B375" i="10"/>
  <c r="H375" i="10"/>
  <c r="G375" i="10"/>
  <c r="F375" i="10"/>
  <c r="E375" i="10"/>
  <c r="B374" i="10"/>
  <c r="H374" i="10"/>
  <c r="G374" i="10"/>
  <c r="F374" i="10"/>
  <c r="E374" i="10"/>
  <c r="B373" i="10"/>
  <c r="H373" i="10"/>
  <c r="G373" i="10"/>
  <c r="F373" i="10"/>
  <c r="E373" i="10"/>
  <c r="B372" i="10"/>
  <c r="H372" i="10"/>
  <c r="G372" i="10"/>
  <c r="F372" i="10"/>
  <c r="E372" i="10"/>
  <c r="B371" i="10"/>
  <c r="H371" i="10"/>
  <c r="G371" i="10"/>
  <c r="F371" i="10"/>
  <c r="E371" i="10"/>
  <c r="B370" i="10"/>
  <c r="H370" i="10"/>
  <c r="G370" i="10"/>
  <c r="F370" i="10"/>
  <c r="E370" i="10"/>
  <c r="B369" i="10"/>
  <c r="H369" i="10"/>
  <c r="G369" i="10"/>
  <c r="F369" i="10"/>
  <c r="E369" i="10"/>
  <c r="B368" i="10"/>
  <c r="H368" i="10"/>
  <c r="G368" i="10"/>
  <c r="F368" i="10"/>
  <c r="E368" i="10"/>
  <c r="B367" i="10"/>
  <c r="H367" i="10"/>
  <c r="G367" i="10"/>
  <c r="F367" i="10"/>
  <c r="E367" i="10"/>
  <c r="B366" i="10"/>
  <c r="H366" i="10"/>
  <c r="G366" i="10"/>
  <c r="F366" i="10"/>
  <c r="E366" i="10"/>
  <c r="B365" i="10"/>
  <c r="H365" i="10"/>
  <c r="G365" i="10"/>
  <c r="F365" i="10"/>
  <c r="E365" i="10"/>
  <c r="B364" i="10"/>
  <c r="H364" i="10"/>
  <c r="G364" i="10"/>
  <c r="F364" i="10"/>
  <c r="E364" i="10"/>
  <c r="B363" i="10"/>
  <c r="H363" i="10"/>
  <c r="G363" i="10"/>
  <c r="F363" i="10"/>
  <c r="E363" i="10"/>
  <c r="B362" i="10"/>
  <c r="H362" i="10"/>
  <c r="G362" i="10"/>
  <c r="F362" i="10"/>
  <c r="E362" i="10"/>
  <c r="B361" i="10"/>
  <c r="H361" i="10"/>
  <c r="G361" i="10"/>
  <c r="F361" i="10"/>
  <c r="E361" i="10"/>
  <c r="B360" i="10"/>
  <c r="H360" i="10"/>
  <c r="G360" i="10"/>
  <c r="F360" i="10"/>
  <c r="E360" i="10"/>
  <c r="B359" i="10"/>
  <c r="H359" i="10"/>
  <c r="G359" i="10"/>
  <c r="F359" i="10"/>
  <c r="E359" i="10"/>
  <c r="B358" i="10"/>
  <c r="H358" i="10"/>
  <c r="G358" i="10"/>
  <c r="F358" i="10"/>
  <c r="E358" i="10"/>
  <c r="B357" i="10"/>
  <c r="H357" i="10"/>
  <c r="G357" i="10"/>
  <c r="F357" i="10"/>
  <c r="E357" i="10"/>
  <c r="B356" i="10"/>
  <c r="H356" i="10"/>
  <c r="G356" i="10"/>
  <c r="F356" i="10"/>
  <c r="E356" i="10"/>
  <c r="B355" i="10"/>
  <c r="H355" i="10"/>
  <c r="G355" i="10"/>
  <c r="F355" i="10"/>
  <c r="E355" i="10"/>
  <c r="B354" i="10"/>
  <c r="H354" i="10"/>
  <c r="G354" i="10"/>
  <c r="F354" i="10"/>
  <c r="E354" i="10"/>
  <c r="B353" i="10"/>
  <c r="H353" i="10"/>
  <c r="G353" i="10"/>
  <c r="F353" i="10"/>
  <c r="E353" i="10"/>
  <c r="B352" i="10"/>
  <c r="H352" i="10"/>
  <c r="G352" i="10"/>
  <c r="F352" i="10"/>
  <c r="E352" i="10"/>
  <c r="B351" i="10"/>
  <c r="H351" i="10"/>
  <c r="G351" i="10"/>
  <c r="F351" i="10"/>
  <c r="E351" i="10"/>
  <c r="B350" i="10"/>
  <c r="H350" i="10"/>
  <c r="G350" i="10"/>
  <c r="F350" i="10"/>
  <c r="E350" i="10"/>
  <c r="B349" i="10"/>
  <c r="H349" i="10"/>
  <c r="G349" i="10"/>
  <c r="F349" i="10"/>
  <c r="E349" i="10"/>
  <c r="B348" i="10"/>
  <c r="H348" i="10"/>
  <c r="G348" i="10"/>
  <c r="F348" i="10"/>
  <c r="E348" i="10"/>
  <c r="B347" i="10"/>
  <c r="H347" i="10"/>
  <c r="G347" i="10"/>
  <c r="F347" i="10"/>
  <c r="E347" i="10"/>
  <c r="B346" i="10"/>
  <c r="H346" i="10"/>
  <c r="G346" i="10"/>
  <c r="F346" i="10"/>
  <c r="E346" i="10"/>
  <c r="B345" i="10"/>
  <c r="H345" i="10"/>
  <c r="G345" i="10"/>
  <c r="F345" i="10"/>
  <c r="E345" i="10"/>
  <c r="B344" i="10"/>
  <c r="H344" i="10"/>
  <c r="G344" i="10"/>
  <c r="F344" i="10"/>
  <c r="E344" i="10"/>
  <c r="B343" i="10"/>
  <c r="H343" i="10"/>
  <c r="G343" i="10"/>
  <c r="F343" i="10"/>
  <c r="E343" i="10"/>
  <c r="B342" i="10"/>
  <c r="H342" i="10"/>
  <c r="G342" i="10"/>
  <c r="F342" i="10"/>
  <c r="E342" i="10"/>
  <c r="B341" i="10"/>
  <c r="H341" i="10"/>
  <c r="G341" i="10"/>
  <c r="F341" i="10"/>
  <c r="E341" i="10"/>
  <c r="B340" i="10"/>
  <c r="H340" i="10"/>
  <c r="G340" i="10"/>
  <c r="F340" i="10"/>
  <c r="E340" i="10"/>
  <c r="B339" i="10"/>
  <c r="H339" i="10"/>
  <c r="G339" i="10"/>
  <c r="F339" i="10"/>
  <c r="E339" i="10"/>
  <c r="B338" i="10"/>
  <c r="H338" i="10"/>
  <c r="G338" i="10"/>
  <c r="F338" i="10"/>
  <c r="E338" i="10"/>
  <c r="B337" i="10"/>
  <c r="H337" i="10"/>
  <c r="G337" i="10"/>
  <c r="F337" i="10"/>
  <c r="E337" i="10"/>
  <c r="B336" i="10"/>
  <c r="H336" i="10"/>
  <c r="G336" i="10"/>
  <c r="F336" i="10"/>
  <c r="E336" i="10"/>
  <c r="B335" i="10"/>
  <c r="H335" i="10"/>
  <c r="G335" i="10"/>
  <c r="F335" i="10"/>
  <c r="E335" i="10"/>
  <c r="B334" i="10"/>
  <c r="H334" i="10"/>
  <c r="G334" i="10"/>
  <c r="F334" i="10"/>
  <c r="E334" i="10"/>
  <c r="B333" i="10"/>
  <c r="H333" i="10"/>
  <c r="G333" i="10"/>
  <c r="F333" i="10"/>
  <c r="E333" i="10"/>
  <c r="B332" i="10"/>
  <c r="H332" i="10"/>
  <c r="G332" i="10"/>
  <c r="F332" i="10"/>
  <c r="E332" i="10"/>
  <c r="B331" i="10"/>
  <c r="H331" i="10"/>
  <c r="G331" i="10"/>
  <c r="F331" i="10"/>
  <c r="E331" i="10"/>
  <c r="B330" i="10"/>
  <c r="H330" i="10"/>
  <c r="G330" i="10"/>
  <c r="F330" i="10"/>
  <c r="E330" i="10"/>
  <c r="B329" i="10"/>
  <c r="H329" i="10"/>
  <c r="G329" i="10"/>
  <c r="F329" i="10"/>
  <c r="E329" i="10"/>
  <c r="B328" i="10"/>
  <c r="H328" i="10"/>
  <c r="G328" i="10"/>
  <c r="F328" i="10"/>
  <c r="E328" i="10"/>
  <c r="B327" i="10"/>
  <c r="H327" i="10"/>
  <c r="G327" i="10"/>
  <c r="F327" i="10"/>
  <c r="E327" i="10"/>
  <c r="B326" i="10"/>
  <c r="H326" i="10"/>
  <c r="G326" i="10"/>
  <c r="F326" i="10"/>
  <c r="E326" i="10"/>
  <c r="B325" i="10"/>
  <c r="H325" i="10"/>
  <c r="G325" i="10"/>
  <c r="F325" i="10"/>
  <c r="E325" i="10"/>
  <c r="B324" i="10"/>
  <c r="H324" i="10"/>
  <c r="G324" i="10"/>
  <c r="F324" i="10"/>
  <c r="E324" i="10"/>
  <c r="B323" i="10"/>
  <c r="H323" i="10"/>
  <c r="G323" i="10"/>
  <c r="F323" i="10"/>
  <c r="E323" i="10"/>
  <c r="B322" i="10"/>
  <c r="H322" i="10"/>
  <c r="G322" i="10"/>
  <c r="F322" i="10"/>
  <c r="E322" i="10"/>
  <c r="B321" i="10"/>
  <c r="H321" i="10"/>
  <c r="G321" i="10"/>
  <c r="F321" i="10"/>
  <c r="E321" i="10"/>
  <c r="B320" i="10"/>
  <c r="H320" i="10"/>
  <c r="G320" i="10"/>
  <c r="F320" i="10"/>
  <c r="E320" i="10"/>
  <c r="B319" i="10"/>
  <c r="H319" i="10"/>
  <c r="G319" i="10"/>
  <c r="F319" i="10"/>
  <c r="E319" i="10"/>
  <c r="B318" i="10"/>
  <c r="H318" i="10"/>
  <c r="G318" i="10"/>
  <c r="F318" i="10"/>
  <c r="E318" i="10"/>
  <c r="B317" i="10"/>
  <c r="H317" i="10"/>
  <c r="G317" i="10"/>
  <c r="F317" i="10"/>
  <c r="E317" i="10"/>
  <c r="B316" i="10"/>
  <c r="H316" i="10"/>
  <c r="G316" i="10"/>
  <c r="F316" i="10"/>
  <c r="E316" i="10"/>
  <c r="B315" i="10"/>
  <c r="H315" i="10"/>
  <c r="G315" i="10"/>
  <c r="F315" i="10"/>
  <c r="E315" i="10"/>
  <c r="B314" i="10"/>
  <c r="H314" i="10"/>
  <c r="G314" i="10"/>
  <c r="F314" i="10"/>
  <c r="E314" i="10"/>
  <c r="B313" i="10"/>
  <c r="H313" i="10"/>
  <c r="G313" i="10"/>
  <c r="F313" i="10"/>
  <c r="E313" i="10"/>
  <c r="B312" i="10"/>
  <c r="H312" i="10"/>
  <c r="G312" i="10"/>
  <c r="F312" i="10"/>
  <c r="E312" i="10"/>
  <c r="B311" i="10"/>
  <c r="H311" i="10"/>
  <c r="G311" i="10"/>
  <c r="F311" i="10"/>
  <c r="E311" i="10"/>
  <c r="B310" i="10"/>
  <c r="H310" i="10"/>
  <c r="G310" i="10"/>
  <c r="F310" i="10"/>
  <c r="E310" i="10"/>
  <c r="B309" i="10"/>
  <c r="H309" i="10"/>
  <c r="G309" i="10"/>
  <c r="F309" i="10"/>
  <c r="E309" i="10"/>
  <c r="B308" i="10"/>
  <c r="H308" i="10"/>
  <c r="G308" i="10"/>
  <c r="F308" i="10"/>
  <c r="E308" i="10"/>
  <c r="B307" i="10"/>
  <c r="H307" i="10"/>
  <c r="G307" i="10"/>
  <c r="F307" i="10"/>
  <c r="E307" i="10"/>
  <c r="B306" i="10"/>
  <c r="H306" i="10"/>
  <c r="G306" i="10"/>
  <c r="F306" i="10"/>
  <c r="E306" i="10"/>
  <c r="B305" i="10"/>
  <c r="H305" i="10"/>
  <c r="G305" i="10"/>
  <c r="F305" i="10"/>
  <c r="E305" i="10"/>
  <c r="B304" i="10"/>
  <c r="H304" i="10"/>
  <c r="G304" i="10"/>
  <c r="F304" i="10"/>
  <c r="E304" i="10"/>
  <c r="B303" i="10"/>
  <c r="H303" i="10"/>
  <c r="G303" i="10"/>
  <c r="F303" i="10"/>
  <c r="E303" i="10"/>
  <c r="B302" i="10"/>
  <c r="H302" i="10"/>
  <c r="G302" i="10"/>
  <c r="F302" i="10"/>
  <c r="E302" i="10"/>
  <c r="B301" i="10"/>
  <c r="H301" i="10"/>
  <c r="G301" i="10"/>
  <c r="F301" i="10"/>
  <c r="E301" i="10"/>
  <c r="B300" i="10"/>
  <c r="H300" i="10"/>
  <c r="G300" i="10"/>
  <c r="F300" i="10"/>
  <c r="E300" i="10"/>
  <c r="B299" i="10"/>
  <c r="H299" i="10"/>
  <c r="G299" i="10"/>
  <c r="F299" i="10"/>
  <c r="E299" i="10"/>
  <c r="B298" i="10"/>
  <c r="H298" i="10"/>
  <c r="G298" i="10"/>
  <c r="F298" i="10"/>
  <c r="E298" i="10"/>
  <c r="B297" i="10"/>
  <c r="H297" i="10"/>
  <c r="G297" i="10"/>
  <c r="F297" i="10"/>
  <c r="E297" i="10"/>
  <c r="B296" i="10"/>
  <c r="H296" i="10"/>
  <c r="G296" i="10"/>
  <c r="F296" i="10"/>
  <c r="E296" i="10"/>
  <c r="B295" i="10"/>
  <c r="H295" i="10"/>
  <c r="G295" i="10"/>
  <c r="F295" i="10"/>
  <c r="E295" i="10"/>
  <c r="B294" i="10"/>
  <c r="H294" i="10"/>
  <c r="G294" i="10"/>
  <c r="F294" i="10"/>
  <c r="E294" i="10"/>
  <c r="B293" i="10"/>
  <c r="H293" i="10"/>
  <c r="G293" i="10"/>
  <c r="F293" i="10"/>
  <c r="E293" i="10"/>
  <c r="B292" i="10"/>
  <c r="H292" i="10"/>
  <c r="G292" i="10"/>
  <c r="F292" i="10"/>
  <c r="E292" i="10"/>
  <c r="B291" i="10"/>
  <c r="H291" i="10"/>
  <c r="G291" i="10"/>
  <c r="F291" i="10"/>
  <c r="E291" i="10"/>
  <c r="B290" i="10"/>
  <c r="H290" i="10"/>
  <c r="G290" i="10"/>
  <c r="F290" i="10"/>
  <c r="E290" i="10"/>
  <c r="B289" i="10"/>
  <c r="H289" i="10"/>
  <c r="G289" i="10"/>
  <c r="F289" i="10"/>
  <c r="E289" i="10"/>
  <c r="B288" i="10"/>
  <c r="H288" i="10"/>
  <c r="G288" i="10"/>
  <c r="F288" i="10"/>
  <c r="E288" i="10"/>
  <c r="B287" i="10"/>
  <c r="H287" i="10"/>
  <c r="G287" i="10"/>
  <c r="F287" i="10"/>
  <c r="E287" i="10"/>
  <c r="B286" i="10"/>
  <c r="H286" i="10"/>
  <c r="G286" i="10"/>
  <c r="F286" i="10"/>
  <c r="E286" i="10"/>
  <c r="B285" i="10"/>
  <c r="H285" i="10"/>
  <c r="G285" i="10"/>
  <c r="F285" i="10"/>
  <c r="E285" i="10"/>
  <c r="B284" i="10"/>
  <c r="H284" i="10"/>
  <c r="G284" i="10"/>
  <c r="F284" i="10"/>
  <c r="E284" i="10"/>
  <c r="B283" i="10"/>
  <c r="H283" i="10"/>
  <c r="G283" i="10"/>
  <c r="F283" i="10"/>
  <c r="E283" i="10"/>
  <c r="B282" i="10"/>
  <c r="H282" i="10"/>
  <c r="G282" i="10"/>
  <c r="F282" i="10"/>
  <c r="E282" i="10"/>
  <c r="B281" i="10"/>
  <c r="H281" i="10"/>
  <c r="G281" i="10"/>
  <c r="F281" i="10"/>
  <c r="E281" i="10"/>
  <c r="B280" i="10"/>
  <c r="H280" i="10"/>
  <c r="G280" i="10"/>
  <c r="F280" i="10"/>
  <c r="E280" i="10"/>
  <c r="B279" i="10"/>
  <c r="H279" i="10"/>
  <c r="G279" i="10"/>
  <c r="F279" i="10"/>
  <c r="E279" i="10"/>
  <c r="B278" i="10"/>
  <c r="H278" i="10"/>
  <c r="G278" i="10"/>
  <c r="F278" i="10"/>
  <c r="E278" i="10"/>
  <c r="B277" i="10"/>
  <c r="H277" i="10"/>
  <c r="G277" i="10"/>
  <c r="F277" i="10"/>
  <c r="E277" i="10"/>
  <c r="B276" i="10"/>
  <c r="H276" i="10"/>
  <c r="G276" i="10"/>
  <c r="F276" i="10"/>
  <c r="E276" i="10"/>
  <c r="B275" i="10"/>
  <c r="H275" i="10"/>
  <c r="G275" i="10"/>
  <c r="F275" i="10"/>
  <c r="E275" i="10"/>
  <c r="B274" i="10"/>
  <c r="H274" i="10"/>
  <c r="G274" i="10"/>
  <c r="F274" i="10"/>
  <c r="E274" i="10"/>
  <c r="D274" i="10"/>
  <c r="C274" i="10"/>
  <c r="B273" i="10"/>
  <c r="H273" i="10"/>
  <c r="G273" i="10"/>
  <c r="F273" i="10"/>
  <c r="E273" i="10"/>
  <c r="B272" i="10"/>
  <c r="H272" i="10"/>
  <c r="G272" i="10"/>
  <c r="F272" i="10"/>
  <c r="E272" i="10"/>
  <c r="B271" i="10"/>
  <c r="H271" i="10"/>
  <c r="G271" i="10"/>
  <c r="F271" i="10"/>
  <c r="E271" i="10"/>
  <c r="B270" i="10"/>
  <c r="H270" i="10"/>
  <c r="G270" i="10"/>
  <c r="F270" i="10"/>
  <c r="E270" i="10"/>
  <c r="B269" i="10"/>
  <c r="H269" i="10"/>
  <c r="G269" i="10"/>
  <c r="F269" i="10"/>
  <c r="E269" i="10"/>
  <c r="B268" i="10"/>
  <c r="H268" i="10"/>
  <c r="G268" i="10"/>
  <c r="F268" i="10"/>
  <c r="E268" i="10"/>
  <c r="B267" i="10"/>
  <c r="H267" i="10"/>
  <c r="G267" i="10"/>
  <c r="F267" i="10"/>
  <c r="E267" i="10"/>
  <c r="B266" i="10"/>
  <c r="H266" i="10"/>
  <c r="G266" i="10"/>
  <c r="F266" i="10"/>
  <c r="E266" i="10"/>
  <c r="B265" i="10"/>
  <c r="H265" i="10"/>
  <c r="G265" i="10"/>
  <c r="F265" i="10"/>
  <c r="E265" i="10"/>
  <c r="B264" i="10"/>
  <c r="H264" i="10"/>
  <c r="G264" i="10"/>
  <c r="F264" i="10"/>
  <c r="E264" i="10"/>
  <c r="B263" i="10"/>
  <c r="H263" i="10"/>
  <c r="G263" i="10"/>
  <c r="F263" i="10"/>
  <c r="E263" i="10"/>
  <c r="B262" i="10"/>
  <c r="H262" i="10"/>
  <c r="G262" i="10"/>
  <c r="F262" i="10"/>
  <c r="E262" i="10"/>
  <c r="B261" i="10"/>
  <c r="H261" i="10"/>
  <c r="G261" i="10"/>
  <c r="F261" i="10"/>
  <c r="E261" i="10"/>
  <c r="D261" i="10"/>
  <c r="C261" i="10"/>
  <c r="B260" i="10"/>
  <c r="H260" i="10"/>
  <c r="G260" i="10"/>
  <c r="F260" i="10"/>
  <c r="E260" i="10"/>
  <c r="B259" i="10"/>
  <c r="H259" i="10"/>
  <c r="G259" i="10"/>
  <c r="F259" i="10"/>
  <c r="E259" i="10"/>
  <c r="B258" i="10"/>
  <c r="H258" i="10"/>
  <c r="G258" i="10"/>
  <c r="F258" i="10"/>
  <c r="E258" i="10"/>
  <c r="B257" i="10"/>
  <c r="H257" i="10"/>
  <c r="G257" i="10"/>
  <c r="F257" i="10"/>
  <c r="E257" i="10"/>
  <c r="B256" i="10"/>
  <c r="H256" i="10"/>
  <c r="G256" i="10"/>
  <c r="F256" i="10"/>
  <c r="E256" i="10"/>
  <c r="B255" i="10"/>
  <c r="H255" i="10"/>
  <c r="G255" i="10"/>
  <c r="F255" i="10"/>
  <c r="E255" i="10"/>
  <c r="B254" i="10"/>
  <c r="H254" i="10"/>
  <c r="G254" i="10"/>
  <c r="F254" i="10"/>
  <c r="E254" i="10"/>
  <c r="B253" i="10"/>
  <c r="H253" i="10"/>
  <c r="G253" i="10"/>
  <c r="F253" i="10"/>
  <c r="E253" i="10"/>
  <c r="B252" i="10"/>
  <c r="H252" i="10"/>
  <c r="G252" i="10"/>
  <c r="F252" i="10"/>
  <c r="E252" i="10"/>
  <c r="B251" i="10"/>
  <c r="H251" i="10"/>
  <c r="G251" i="10"/>
  <c r="F251" i="10"/>
  <c r="E251" i="10"/>
  <c r="B250" i="10"/>
  <c r="H250" i="10"/>
  <c r="G250" i="10"/>
  <c r="F250" i="10"/>
  <c r="E250" i="10"/>
  <c r="B249" i="10"/>
  <c r="H249" i="10"/>
  <c r="G249" i="10"/>
  <c r="F249" i="10"/>
  <c r="E249" i="10"/>
  <c r="B248" i="10"/>
  <c r="H248" i="10"/>
  <c r="G248" i="10"/>
  <c r="F248" i="10"/>
  <c r="E248" i="10"/>
  <c r="B247" i="10"/>
  <c r="H247" i="10"/>
  <c r="G247" i="10"/>
  <c r="F247" i="10"/>
  <c r="E247" i="10"/>
  <c r="B246" i="10"/>
  <c r="H246" i="10"/>
  <c r="G246" i="10"/>
  <c r="F246" i="10"/>
  <c r="E246" i="10"/>
  <c r="B245" i="10"/>
  <c r="H245" i="10"/>
  <c r="G245" i="10"/>
  <c r="F245" i="10"/>
  <c r="E245" i="10"/>
  <c r="B244" i="10"/>
  <c r="H244" i="10"/>
  <c r="G244" i="10"/>
  <c r="F244" i="10"/>
  <c r="E244" i="10"/>
  <c r="B243" i="10"/>
  <c r="H243" i="10"/>
  <c r="G243" i="10"/>
  <c r="F243" i="10"/>
  <c r="E243" i="10"/>
  <c r="B242" i="10"/>
  <c r="H242" i="10"/>
  <c r="G242" i="10"/>
  <c r="F242" i="10"/>
  <c r="E242" i="10"/>
  <c r="B241" i="10"/>
  <c r="H241" i="10"/>
  <c r="G241" i="10"/>
  <c r="F241" i="10"/>
  <c r="E241" i="10"/>
  <c r="B240" i="10"/>
  <c r="H240" i="10"/>
  <c r="G240" i="10"/>
  <c r="F240" i="10"/>
  <c r="E240" i="10"/>
  <c r="B239" i="10"/>
  <c r="H239" i="10"/>
  <c r="G239" i="10"/>
  <c r="F239" i="10"/>
  <c r="E239" i="10"/>
  <c r="B238" i="10"/>
  <c r="H238" i="10"/>
  <c r="G238" i="10"/>
  <c r="F238" i="10"/>
  <c r="E238" i="10"/>
  <c r="B237" i="10"/>
  <c r="H237" i="10"/>
  <c r="G237" i="10"/>
  <c r="F237" i="10"/>
  <c r="E237" i="10"/>
  <c r="B236" i="10"/>
  <c r="H236" i="10"/>
  <c r="G236" i="10"/>
  <c r="F236" i="10"/>
  <c r="E236" i="10"/>
  <c r="B235" i="10"/>
  <c r="H235" i="10"/>
  <c r="G235" i="10"/>
  <c r="F235" i="10"/>
  <c r="E235" i="10"/>
  <c r="B234" i="10"/>
  <c r="H234" i="10"/>
  <c r="G234" i="10"/>
  <c r="F234" i="10"/>
  <c r="E234" i="10"/>
  <c r="B233" i="10"/>
  <c r="H233" i="10"/>
  <c r="G233" i="10"/>
  <c r="F233" i="10"/>
  <c r="E233" i="10"/>
  <c r="B232" i="10"/>
  <c r="H232" i="10"/>
  <c r="G232" i="10"/>
  <c r="F232" i="10"/>
  <c r="E232" i="10"/>
  <c r="B231" i="10"/>
  <c r="H231" i="10"/>
  <c r="G231" i="10"/>
  <c r="F231" i="10"/>
  <c r="E231" i="10"/>
  <c r="B230" i="10"/>
  <c r="H230" i="10"/>
  <c r="G230" i="10"/>
  <c r="F230" i="10"/>
  <c r="E230" i="10"/>
  <c r="B229" i="10"/>
  <c r="H229" i="10"/>
  <c r="G229" i="10"/>
  <c r="F229" i="10"/>
  <c r="E229" i="10"/>
  <c r="B228" i="10"/>
  <c r="H228" i="10"/>
  <c r="G228" i="10"/>
  <c r="F228" i="10"/>
  <c r="E228" i="10"/>
  <c r="B227" i="10"/>
  <c r="H227" i="10"/>
  <c r="G227" i="10"/>
  <c r="F227" i="10"/>
  <c r="E227" i="10"/>
  <c r="B226" i="10"/>
  <c r="H226" i="10"/>
  <c r="G226" i="10"/>
  <c r="F226" i="10"/>
  <c r="E226" i="10"/>
  <c r="B225" i="10"/>
  <c r="H225" i="10"/>
  <c r="G225" i="10"/>
  <c r="F225" i="10"/>
  <c r="E225" i="10"/>
  <c r="B224" i="10"/>
  <c r="H224" i="10"/>
  <c r="G224" i="10"/>
  <c r="F224" i="10"/>
  <c r="E224" i="10"/>
  <c r="B223" i="10"/>
  <c r="H223" i="10"/>
  <c r="G223" i="10"/>
  <c r="F223" i="10"/>
  <c r="E223" i="10"/>
  <c r="B222" i="10"/>
  <c r="H222" i="10"/>
  <c r="G222" i="10"/>
  <c r="F222" i="10"/>
  <c r="E222" i="10"/>
  <c r="B221" i="10"/>
  <c r="H221" i="10"/>
  <c r="G221" i="10"/>
  <c r="F221" i="10"/>
  <c r="E221" i="10"/>
  <c r="B220" i="10"/>
  <c r="H220" i="10"/>
  <c r="G220" i="10"/>
  <c r="F220" i="10"/>
  <c r="E220" i="10"/>
  <c r="B219" i="10"/>
  <c r="H219" i="10"/>
  <c r="G219" i="10"/>
  <c r="F219" i="10"/>
  <c r="E219" i="10"/>
  <c r="B218" i="10"/>
  <c r="H218" i="10"/>
  <c r="G218" i="10"/>
  <c r="F218" i="10"/>
  <c r="E218" i="10"/>
  <c r="B217" i="10"/>
  <c r="H217" i="10"/>
  <c r="G217" i="10"/>
  <c r="F217" i="10"/>
  <c r="E217" i="10"/>
  <c r="B216" i="10"/>
  <c r="H216" i="10"/>
  <c r="G216" i="10"/>
  <c r="F216" i="10"/>
  <c r="E216" i="10"/>
  <c r="B215" i="10"/>
  <c r="H215" i="10"/>
  <c r="G215" i="10"/>
  <c r="F215" i="10"/>
  <c r="E215" i="10"/>
  <c r="B214" i="10"/>
  <c r="H214" i="10"/>
  <c r="G214" i="10"/>
  <c r="F214" i="10"/>
  <c r="E214" i="10"/>
  <c r="B213" i="10"/>
  <c r="H213" i="10"/>
  <c r="G213" i="10"/>
  <c r="F213" i="10"/>
  <c r="E213" i="10"/>
  <c r="B212" i="10"/>
  <c r="H212" i="10"/>
  <c r="G212" i="10"/>
  <c r="F212" i="10"/>
  <c r="E212" i="10"/>
  <c r="B211" i="10"/>
  <c r="H211" i="10"/>
  <c r="G211" i="10"/>
  <c r="F211" i="10"/>
  <c r="E211" i="10"/>
  <c r="B210" i="10"/>
  <c r="H210" i="10"/>
  <c r="G210" i="10"/>
  <c r="F210" i="10"/>
  <c r="E210" i="10"/>
  <c r="B209" i="10"/>
  <c r="H209" i="10"/>
  <c r="G209" i="10"/>
  <c r="F209" i="10"/>
  <c r="E209" i="10"/>
  <c r="B208" i="10"/>
  <c r="H208" i="10"/>
  <c r="G208" i="10"/>
  <c r="F208" i="10"/>
  <c r="E208" i="10"/>
  <c r="B207" i="10"/>
  <c r="H207" i="10"/>
  <c r="G207" i="10"/>
  <c r="F207" i="10"/>
  <c r="E207" i="10"/>
  <c r="B206" i="10"/>
  <c r="H206" i="10"/>
  <c r="G206" i="10"/>
  <c r="F206" i="10"/>
  <c r="E206" i="10"/>
  <c r="B205" i="10"/>
  <c r="H205" i="10"/>
  <c r="G205" i="10"/>
  <c r="F205" i="10"/>
  <c r="E205" i="10"/>
  <c r="B204" i="10"/>
  <c r="H204" i="10"/>
  <c r="G204" i="10"/>
  <c r="F204" i="10"/>
  <c r="E204" i="10"/>
  <c r="B203" i="10"/>
  <c r="H203" i="10"/>
  <c r="G203" i="10"/>
  <c r="F203" i="10"/>
  <c r="E203" i="10"/>
  <c r="B202" i="10"/>
  <c r="H202" i="10"/>
  <c r="G202" i="10"/>
  <c r="F202" i="10"/>
  <c r="E202" i="10"/>
  <c r="B201" i="10"/>
  <c r="H201" i="10"/>
  <c r="G201" i="10"/>
  <c r="F201" i="10"/>
  <c r="E201" i="10"/>
  <c r="B200" i="10"/>
  <c r="H200" i="10"/>
  <c r="G200" i="10"/>
  <c r="F200" i="10"/>
  <c r="E200" i="10"/>
  <c r="B199" i="10"/>
  <c r="H199" i="10"/>
  <c r="G199" i="10"/>
  <c r="F199" i="10"/>
  <c r="E199" i="10"/>
  <c r="B198" i="10"/>
  <c r="H198" i="10"/>
  <c r="G198" i="10"/>
  <c r="F198" i="10"/>
  <c r="E198" i="10"/>
  <c r="B197" i="10"/>
  <c r="H197" i="10"/>
  <c r="G197" i="10"/>
  <c r="F197" i="10"/>
  <c r="E197" i="10"/>
  <c r="B196" i="10"/>
  <c r="H196" i="10"/>
  <c r="G196" i="10"/>
  <c r="F196" i="10"/>
  <c r="E196" i="10"/>
  <c r="B195" i="10"/>
  <c r="H195" i="10"/>
  <c r="G195" i="10"/>
  <c r="F195" i="10"/>
  <c r="E195" i="10"/>
  <c r="B194" i="10"/>
  <c r="H194" i="10"/>
  <c r="G194" i="10"/>
  <c r="F194" i="10"/>
  <c r="E194" i="10"/>
  <c r="B193" i="10"/>
  <c r="H193" i="10"/>
  <c r="G193" i="10"/>
  <c r="F193" i="10"/>
  <c r="E193" i="10"/>
  <c r="B192" i="10"/>
  <c r="H192" i="10"/>
  <c r="G192" i="10"/>
  <c r="F192" i="10"/>
  <c r="E192" i="10"/>
  <c r="B191" i="10"/>
  <c r="H191" i="10"/>
  <c r="G191" i="10"/>
  <c r="F191" i="10"/>
  <c r="E191" i="10"/>
  <c r="B190" i="10"/>
  <c r="H190" i="10"/>
  <c r="G190" i="10"/>
  <c r="F190" i="10"/>
  <c r="E190" i="10"/>
  <c r="B189" i="10"/>
  <c r="H189" i="10"/>
  <c r="G189" i="10"/>
  <c r="F189" i="10"/>
  <c r="E189" i="10"/>
  <c r="B188" i="10"/>
  <c r="H188" i="10"/>
  <c r="G188" i="10"/>
  <c r="F188" i="10"/>
  <c r="E188" i="10"/>
  <c r="B187" i="10"/>
  <c r="H187" i="10"/>
  <c r="G187" i="10"/>
  <c r="F187" i="10"/>
  <c r="E187" i="10"/>
  <c r="B186" i="10"/>
  <c r="H186" i="10"/>
  <c r="G186" i="10"/>
  <c r="F186" i="10"/>
  <c r="E186" i="10"/>
  <c r="B185" i="10"/>
  <c r="H185" i="10"/>
  <c r="G185" i="10"/>
  <c r="F185" i="10"/>
  <c r="E185" i="10"/>
  <c r="B184" i="10"/>
  <c r="H184" i="10"/>
  <c r="G184" i="10"/>
  <c r="F184" i="10"/>
  <c r="E184" i="10"/>
  <c r="B183" i="10"/>
  <c r="H183" i="10"/>
  <c r="G183" i="10"/>
  <c r="F183" i="10"/>
  <c r="E183" i="10"/>
  <c r="B182" i="10"/>
  <c r="H182" i="10"/>
  <c r="G182" i="10"/>
  <c r="F182" i="10"/>
  <c r="E182" i="10"/>
  <c r="B181" i="10"/>
  <c r="H181" i="10"/>
  <c r="G181" i="10"/>
  <c r="F181" i="10"/>
  <c r="E181" i="10"/>
  <c r="B180" i="10"/>
  <c r="H180" i="10"/>
  <c r="G180" i="10"/>
  <c r="F180" i="10"/>
  <c r="E180" i="10"/>
  <c r="B179" i="10"/>
  <c r="H179" i="10"/>
  <c r="G179" i="10"/>
  <c r="F179" i="10"/>
  <c r="E179" i="10"/>
  <c r="B178" i="10"/>
  <c r="H178" i="10"/>
  <c r="G178" i="10"/>
  <c r="F178" i="10"/>
  <c r="E178" i="10"/>
  <c r="B177" i="10"/>
  <c r="H177" i="10"/>
  <c r="G177" i="10"/>
  <c r="F177" i="10"/>
  <c r="E177" i="10"/>
  <c r="B176" i="10"/>
  <c r="H176" i="10"/>
  <c r="G176" i="10"/>
  <c r="F176" i="10"/>
  <c r="E176" i="10"/>
  <c r="B175" i="10"/>
  <c r="H175" i="10"/>
  <c r="G175" i="10"/>
  <c r="F175" i="10"/>
  <c r="E175" i="10"/>
  <c r="B174" i="10"/>
  <c r="H174" i="10"/>
  <c r="G174" i="10"/>
  <c r="F174" i="10"/>
  <c r="E174" i="10"/>
  <c r="B173" i="10"/>
  <c r="H173" i="10"/>
  <c r="G173" i="10"/>
  <c r="F173" i="10"/>
  <c r="E173" i="10"/>
  <c r="B172" i="10"/>
  <c r="H172" i="10"/>
  <c r="G172" i="10"/>
  <c r="F172" i="10"/>
  <c r="E172" i="10"/>
  <c r="B171" i="10"/>
  <c r="H171" i="10"/>
  <c r="G171" i="10"/>
  <c r="F171" i="10"/>
  <c r="E171" i="10"/>
  <c r="B170" i="10"/>
  <c r="H170" i="10"/>
  <c r="G170" i="10"/>
  <c r="F170" i="10"/>
  <c r="E170" i="10"/>
  <c r="D170" i="10"/>
  <c r="C170" i="10"/>
  <c r="B169" i="10"/>
  <c r="H169" i="10"/>
  <c r="G169" i="10"/>
  <c r="F169" i="10"/>
  <c r="E169" i="10"/>
  <c r="B168" i="10"/>
  <c r="H168" i="10"/>
  <c r="G168" i="10"/>
  <c r="F168" i="10"/>
  <c r="E168" i="10"/>
  <c r="B167" i="10"/>
  <c r="H167" i="10"/>
  <c r="G167" i="10"/>
  <c r="F167" i="10"/>
  <c r="E167" i="10"/>
  <c r="B166" i="10"/>
  <c r="H166" i="10"/>
  <c r="G166" i="10"/>
  <c r="F166" i="10"/>
  <c r="E166" i="10"/>
  <c r="B165" i="10"/>
  <c r="H165" i="10"/>
  <c r="G165" i="10"/>
  <c r="F165" i="10"/>
  <c r="E165" i="10"/>
  <c r="B164" i="10"/>
  <c r="H164" i="10"/>
  <c r="G164" i="10"/>
  <c r="F164" i="10"/>
  <c r="E164" i="10"/>
  <c r="B163" i="10"/>
  <c r="H163" i="10"/>
  <c r="G163" i="10"/>
  <c r="F163" i="10"/>
  <c r="E163" i="10"/>
  <c r="B162" i="10"/>
  <c r="H162" i="10"/>
  <c r="G162" i="10"/>
  <c r="F162" i="10"/>
  <c r="E162" i="10"/>
  <c r="B161" i="10"/>
  <c r="H161" i="10"/>
  <c r="G161" i="10"/>
  <c r="F161" i="10"/>
  <c r="E161" i="10"/>
  <c r="B160" i="10"/>
  <c r="H160" i="10"/>
  <c r="G160" i="10"/>
  <c r="F160" i="10"/>
  <c r="E160" i="10"/>
  <c r="B159" i="10"/>
  <c r="H159" i="10"/>
  <c r="G159" i="10"/>
  <c r="F159" i="10"/>
  <c r="E159" i="10"/>
  <c r="B158" i="10"/>
  <c r="H158" i="10"/>
  <c r="G158" i="10"/>
  <c r="F158" i="10"/>
  <c r="E158" i="10"/>
  <c r="B157" i="10"/>
  <c r="H157" i="10"/>
  <c r="G157" i="10"/>
  <c r="F157" i="10"/>
  <c r="E157" i="10"/>
  <c r="B156" i="10"/>
  <c r="H156" i="10"/>
  <c r="G156" i="10"/>
  <c r="F156" i="10"/>
  <c r="E156" i="10"/>
  <c r="B155" i="10"/>
  <c r="H155" i="10"/>
  <c r="G155" i="10"/>
  <c r="F155" i="10"/>
  <c r="E155" i="10"/>
  <c r="B154" i="10"/>
  <c r="H154" i="10"/>
  <c r="G154" i="10"/>
  <c r="F154" i="10"/>
  <c r="E154" i="10"/>
  <c r="B153" i="10"/>
  <c r="H153" i="10"/>
  <c r="G153" i="10"/>
  <c r="F153" i="10"/>
  <c r="E153" i="10"/>
  <c r="B152" i="10"/>
  <c r="H152" i="10"/>
  <c r="G152" i="10"/>
  <c r="F152" i="10"/>
  <c r="E152" i="10"/>
  <c r="B151" i="10"/>
  <c r="H151" i="10"/>
  <c r="G151" i="10"/>
  <c r="F151" i="10"/>
  <c r="E151" i="10"/>
  <c r="B150" i="10"/>
  <c r="H150" i="10"/>
  <c r="G150" i="10"/>
  <c r="F150" i="10"/>
  <c r="E150" i="10"/>
  <c r="B149" i="10"/>
  <c r="H149" i="10"/>
  <c r="G149" i="10"/>
  <c r="F149" i="10"/>
  <c r="E149" i="10"/>
  <c r="B148" i="10"/>
  <c r="H148" i="10"/>
  <c r="G148" i="10"/>
  <c r="F148" i="10"/>
  <c r="E148" i="10"/>
  <c r="B147" i="10"/>
  <c r="H147" i="10"/>
  <c r="G147" i="10"/>
  <c r="F147" i="10"/>
  <c r="E147" i="10"/>
  <c r="B146" i="10"/>
  <c r="H146" i="10"/>
  <c r="G146" i="10"/>
  <c r="F146" i="10"/>
  <c r="E146" i="10"/>
  <c r="B145" i="10"/>
  <c r="H145" i="10"/>
  <c r="G145" i="10"/>
  <c r="F145" i="10"/>
  <c r="E145" i="10"/>
  <c r="B144" i="10"/>
  <c r="H144" i="10"/>
  <c r="G144" i="10"/>
  <c r="F144" i="10"/>
  <c r="E144" i="10"/>
  <c r="B143" i="10"/>
  <c r="H143" i="10"/>
  <c r="G143" i="10"/>
  <c r="F143" i="10"/>
  <c r="E143" i="10"/>
  <c r="B142" i="10"/>
  <c r="H142" i="10"/>
  <c r="G142" i="10"/>
  <c r="F142" i="10"/>
  <c r="E142" i="10"/>
  <c r="B141" i="10"/>
  <c r="H141" i="10"/>
  <c r="G141" i="10"/>
  <c r="F141" i="10"/>
  <c r="E141" i="10"/>
  <c r="B140" i="10"/>
  <c r="H140" i="10"/>
  <c r="G140" i="10"/>
  <c r="F140" i="10"/>
  <c r="E140" i="10"/>
  <c r="B139" i="10"/>
  <c r="H139" i="10"/>
  <c r="G139" i="10"/>
  <c r="F139" i="10"/>
  <c r="E139" i="10"/>
  <c r="B138" i="10"/>
  <c r="H138" i="10"/>
  <c r="G138" i="10"/>
  <c r="F138" i="10"/>
  <c r="E138" i="10"/>
  <c r="B137" i="10"/>
  <c r="H137" i="10"/>
  <c r="G137" i="10"/>
  <c r="F137" i="10"/>
  <c r="E137" i="10"/>
  <c r="B136" i="10"/>
  <c r="H136" i="10"/>
  <c r="G136" i="10"/>
  <c r="F136" i="10"/>
  <c r="E136" i="10"/>
  <c r="B135" i="10"/>
  <c r="H135" i="10"/>
  <c r="G135" i="10"/>
  <c r="F135" i="10"/>
  <c r="E135" i="10"/>
  <c r="B134" i="10"/>
  <c r="H134" i="10"/>
  <c r="G134" i="10"/>
  <c r="F134" i="10"/>
  <c r="E134" i="10"/>
  <c r="B133" i="10"/>
  <c r="H133" i="10"/>
  <c r="G133" i="10"/>
  <c r="F133" i="10"/>
  <c r="E133" i="10"/>
  <c r="B132" i="10"/>
  <c r="H132" i="10"/>
  <c r="G132" i="10"/>
  <c r="F132" i="10"/>
  <c r="E132" i="10"/>
  <c r="B131" i="10"/>
  <c r="H131" i="10"/>
  <c r="G131" i="10"/>
  <c r="F131" i="10"/>
  <c r="E131" i="10"/>
  <c r="B130" i="10"/>
  <c r="H130" i="10"/>
  <c r="G130" i="10"/>
  <c r="F130" i="10"/>
  <c r="E130" i="10"/>
  <c r="B129" i="10"/>
  <c r="H129" i="10"/>
  <c r="G129" i="10"/>
  <c r="F129" i="10"/>
  <c r="E129" i="10"/>
  <c r="B128" i="10"/>
  <c r="H128" i="10"/>
  <c r="G128" i="10"/>
  <c r="F128" i="10"/>
  <c r="E128" i="10"/>
  <c r="B127" i="10"/>
  <c r="H127" i="10"/>
  <c r="G127" i="10"/>
  <c r="F127" i="10"/>
  <c r="E127" i="10"/>
  <c r="B126" i="10"/>
  <c r="H126" i="10"/>
  <c r="G126" i="10"/>
  <c r="F126" i="10"/>
  <c r="E126" i="10"/>
  <c r="D126" i="10"/>
  <c r="C126" i="10"/>
  <c r="B125" i="10"/>
  <c r="H125" i="10"/>
  <c r="G125" i="10"/>
  <c r="F125" i="10"/>
  <c r="E125" i="10"/>
  <c r="B124" i="10"/>
  <c r="H124" i="10"/>
  <c r="G124" i="10"/>
  <c r="F124" i="10"/>
  <c r="E124" i="10"/>
  <c r="B123" i="10"/>
  <c r="H123" i="10"/>
  <c r="G123" i="10"/>
  <c r="F123" i="10"/>
  <c r="E123" i="10"/>
  <c r="B122" i="10"/>
  <c r="H122" i="10"/>
  <c r="G122" i="10"/>
  <c r="F122" i="10"/>
  <c r="E122" i="10"/>
  <c r="B121" i="10"/>
  <c r="H121" i="10"/>
  <c r="G121" i="10"/>
  <c r="F121" i="10"/>
  <c r="E121" i="10"/>
  <c r="B120" i="10"/>
  <c r="H120" i="10"/>
  <c r="G120" i="10"/>
  <c r="F120" i="10"/>
  <c r="E120" i="10"/>
  <c r="B119" i="10"/>
  <c r="H119" i="10"/>
  <c r="G119" i="10"/>
  <c r="F119" i="10"/>
  <c r="E119" i="10"/>
  <c r="D119" i="10"/>
  <c r="C119" i="10"/>
  <c r="B118" i="10"/>
  <c r="H118" i="10"/>
  <c r="G118" i="10"/>
  <c r="F118" i="10"/>
  <c r="E118" i="10"/>
  <c r="B117" i="10"/>
  <c r="H117" i="10"/>
  <c r="G117" i="10"/>
  <c r="F117" i="10"/>
  <c r="E117" i="10"/>
  <c r="B116" i="10"/>
  <c r="H116" i="10"/>
  <c r="G116" i="10"/>
  <c r="F116" i="10"/>
  <c r="E116" i="10"/>
  <c r="B115" i="10"/>
  <c r="H115" i="10"/>
  <c r="G115" i="10"/>
  <c r="F115" i="10"/>
  <c r="E115" i="10"/>
  <c r="B114" i="10"/>
  <c r="H114" i="10"/>
  <c r="G114" i="10"/>
  <c r="F114" i="10"/>
  <c r="E114" i="10"/>
  <c r="B113" i="10"/>
  <c r="H113" i="10"/>
  <c r="G113" i="10"/>
  <c r="F113" i="10"/>
  <c r="E113" i="10"/>
  <c r="B112" i="10"/>
  <c r="H112" i="10"/>
  <c r="G112" i="10"/>
  <c r="F112" i="10"/>
  <c r="E112" i="10"/>
  <c r="B111" i="10"/>
  <c r="H111" i="10"/>
  <c r="G111" i="10"/>
  <c r="F111" i="10"/>
  <c r="E111" i="10"/>
  <c r="B110" i="10"/>
  <c r="H110" i="10"/>
  <c r="G110" i="10"/>
  <c r="F110" i="10"/>
  <c r="E110" i="10"/>
  <c r="B109" i="10"/>
  <c r="H109" i="10"/>
  <c r="G109" i="10"/>
  <c r="F109" i="10"/>
  <c r="E109" i="10"/>
  <c r="B108" i="10"/>
  <c r="H108" i="10"/>
  <c r="G108" i="10"/>
  <c r="F108" i="10"/>
  <c r="E108" i="10"/>
  <c r="B107" i="10"/>
  <c r="H107" i="10"/>
  <c r="G107" i="10"/>
  <c r="F107" i="10"/>
  <c r="E107" i="10"/>
  <c r="B106" i="10"/>
  <c r="H106" i="10"/>
  <c r="G106" i="10"/>
  <c r="F106" i="10"/>
  <c r="E106" i="10"/>
  <c r="B105" i="10"/>
  <c r="H105" i="10"/>
  <c r="G105" i="10"/>
  <c r="F105" i="10"/>
  <c r="E105" i="10"/>
  <c r="B104" i="10"/>
  <c r="H104" i="10"/>
  <c r="G104" i="10"/>
  <c r="F104" i="10"/>
  <c r="E104" i="10"/>
  <c r="B103" i="10"/>
  <c r="H103" i="10"/>
  <c r="G103" i="10"/>
  <c r="F103" i="10"/>
  <c r="E103" i="10"/>
  <c r="B102" i="10"/>
  <c r="H102" i="10"/>
  <c r="G102" i="10"/>
  <c r="F102" i="10"/>
  <c r="E102" i="10"/>
  <c r="B101" i="10"/>
  <c r="H101" i="10"/>
  <c r="G101" i="10"/>
  <c r="F101" i="10"/>
  <c r="E101" i="10"/>
  <c r="B100" i="10"/>
  <c r="H100" i="10"/>
  <c r="G100" i="10"/>
  <c r="F100" i="10"/>
  <c r="E100" i="10"/>
  <c r="B99" i="10"/>
  <c r="H99" i="10"/>
  <c r="G99" i="10"/>
  <c r="F99" i="10"/>
  <c r="E99" i="10"/>
  <c r="B98" i="10"/>
  <c r="H98" i="10"/>
  <c r="G98" i="10"/>
  <c r="F98" i="10"/>
  <c r="E98" i="10"/>
  <c r="B97" i="10"/>
  <c r="H97" i="10"/>
  <c r="G97" i="10"/>
  <c r="F97" i="10"/>
  <c r="E97" i="10"/>
  <c r="B96" i="10"/>
  <c r="H96" i="10"/>
  <c r="G96" i="10"/>
  <c r="F96" i="10"/>
  <c r="E96" i="10"/>
  <c r="B95" i="10"/>
  <c r="H95" i="10"/>
  <c r="G95" i="10"/>
  <c r="F95" i="10"/>
  <c r="E95" i="10"/>
  <c r="B94" i="10"/>
  <c r="H94" i="10"/>
  <c r="G94" i="10"/>
  <c r="F94" i="10"/>
  <c r="E94" i="10"/>
  <c r="B93" i="10"/>
  <c r="H93" i="10"/>
  <c r="G93" i="10"/>
  <c r="F93" i="10"/>
  <c r="E93" i="10"/>
  <c r="B92" i="10"/>
  <c r="H92" i="10"/>
  <c r="G92" i="10"/>
  <c r="F92" i="10"/>
  <c r="E92" i="10"/>
  <c r="D92" i="10"/>
  <c r="C92" i="10"/>
  <c r="B91" i="10"/>
  <c r="H91" i="10"/>
  <c r="G91" i="10"/>
  <c r="F91" i="10"/>
  <c r="E91" i="10"/>
  <c r="B90" i="10"/>
  <c r="H90" i="10"/>
  <c r="G90" i="10"/>
  <c r="F90" i="10"/>
  <c r="E90" i="10"/>
  <c r="B89" i="10"/>
  <c r="H89" i="10"/>
  <c r="G89" i="10"/>
  <c r="F89" i="10"/>
  <c r="E89" i="10"/>
  <c r="B88" i="10"/>
  <c r="H88" i="10"/>
  <c r="G88" i="10"/>
  <c r="F88" i="10"/>
  <c r="E88" i="10"/>
  <c r="B87" i="10"/>
  <c r="H87" i="10"/>
  <c r="G87" i="10"/>
  <c r="F87" i="10"/>
  <c r="E87" i="10"/>
  <c r="B86" i="10"/>
  <c r="H86" i="10"/>
  <c r="G86" i="10"/>
  <c r="F86" i="10"/>
  <c r="E86" i="10"/>
  <c r="B85" i="10"/>
  <c r="H85" i="10"/>
  <c r="G85" i="10"/>
  <c r="F85" i="10"/>
  <c r="E85" i="10"/>
  <c r="B84" i="10"/>
  <c r="H84" i="10"/>
  <c r="G84" i="10"/>
  <c r="F84" i="10"/>
  <c r="E84" i="10"/>
  <c r="B83" i="10"/>
  <c r="H83" i="10"/>
  <c r="G83" i="10"/>
  <c r="F83" i="10"/>
  <c r="E83" i="10"/>
  <c r="B82" i="10"/>
  <c r="H82" i="10"/>
  <c r="G82" i="10"/>
  <c r="F82" i="10"/>
  <c r="E82" i="10"/>
  <c r="B81" i="10"/>
  <c r="H81" i="10"/>
  <c r="G81" i="10"/>
  <c r="F81" i="10"/>
  <c r="E81" i="10"/>
  <c r="B80" i="10"/>
  <c r="H80" i="10"/>
  <c r="G80" i="10"/>
  <c r="F80" i="10"/>
  <c r="E80" i="10"/>
  <c r="B79" i="10"/>
  <c r="H79" i="10"/>
  <c r="G79" i="10"/>
  <c r="F79" i="10"/>
  <c r="E79" i="10"/>
  <c r="B78" i="10"/>
  <c r="H78" i="10"/>
  <c r="G78" i="10"/>
  <c r="F78" i="10"/>
  <c r="E78" i="10"/>
  <c r="B77" i="10"/>
  <c r="H77" i="10"/>
  <c r="G77" i="10"/>
  <c r="F77" i="10"/>
  <c r="E77" i="10"/>
  <c r="B76" i="10"/>
  <c r="H76" i="10"/>
  <c r="G76" i="10"/>
  <c r="F76" i="10"/>
  <c r="E76" i="10"/>
  <c r="B75" i="10"/>
  <c r="H75" i="10"/>
  <c r="G75" i="10"/>
  <c r="F75" i="10"/>
  <c r="E75" i="10"/>
  <c r="B74" i="10"/>
  <c r="H74" i="10"/>
  <c r="G74" i="10"/>
  <c r="F74" i="10"/>
  <c r="E74" i="10"/>
  <c r="B73" i="10"/>
  <c r="H73" i="10"/>
  <c r="G73" i="10"/>
  <c r="F73" i="10"/>
  <c r="E73" i="10"/>
  <c r="B72" i="10"/>
  <c r="H72" i="10"/>
  <c r="G72" i="10"/>
  <c r="F72" i="10"/>
  <c r="E72" i="10"/>
  <c r="B71" i="10"/>
  <c r="H71" i="10"/>
  <c r="G71" i="10"/>
  <c r="F71" i="10"/>
  <c r="E71" i="10"/>
  <c r="B70" i="10"/>
  <c r="H70" i="10"/>
  <c r="G70" i="10"/>
  <c r="F70" i="10"/>
  <c r="E70" i="10"/>
  <c r="B69" i="10"/>
  <c r="H69" i="10"/>
  <c r="G69" i="10"/>
  <c r="F69" i="10"/>
  <c r="E69" i="10"/>
  <c r="B68" i="10"/>
  <c r="H68" i="10"/>
  <c r="G68" i="10"/>
  <c r="F68" i="10"/>
  <c r="E68" i="10"/>
  <c r="B67" i="10"/>
  <c r="H67" i="10"/>
  <c r="G67" i="10"/>
  <c r="F67" i="10"/>
  <c r="E67" i="10"/>
  <c r="B66" i="10"/>
  <c r="H66" i="10"/>
  <c r="G66" i="10"/>
  <c r="F66" i="10"/>
  <c r="E66" i="10"/>
  <c r="B65" i="10"/>
  <c r="H65" i="10"/>
  <c r="G65" i="10"/>
  <c r="F65" i="10"/>
  <c r="E65" i="10"/>
  <c r="B64" i="10"/>
  <c r="H64" i="10"/>
  <c r="G64" i="10"/>
  <c r="F64" i="10"/>
  <c r="E64" i="10"/>
  <c r="B63" i="10"/>
  <c r="H63" i="10"/>
  <c r="G63" i="10"/>
  <c r="F63" i="10"/>
  <c r="E63" i="10"/>
  <c r="B62" i="10"/>
  <c r="H62" i="10"/>
  <c r="G62" i="10"/>
  <c r="F62" i="10"/>
  <c r="E62" i="10"/>
  <c r="B61" i="10"/>
  <c r="H61" i="10"/>
  <c r="G61" i="10"/>
  <c r="F61" i="10"/>
  <c r="E61" i="10"/>
  <c r="B60" i="10"/>
  <c r="H60" i="10"/>
  <c r="G60" i="10"/>
  <c r="F60" i="10"/>
  <c r="E60" i="10"/>
  <c r="B59" i="10"/>
  <c r="H59" i="10"/>
  <c r="G59" i="10"/>
  <c r="F59" i="10"/>
  <c r="E59" i="10"/>
  <c r="B58" i="10"/>
  <c r="H58" i="10"/>
  <c r="G58" i="10"/>
  <c r="F58" i="10"/>
  <c r="E58" i="10"/>
  <c r="B57" i="10"/>
  <c r="H57" i="10"/>
  <c r="G57" i="10"/>
  <c r="F57" i="10"/>
  <c r="E57" i="10"/>
  <c r="B56" i="10"/>
  <c r="H56" i="10"/>
  <c r="G56" i="10"/>
  <c r="F56" i="10"/>
  <c r="E56" i="10"/>
  <c r="B55" i="10"/>
  <c r="H55" i="10"/>
  <c r="G55" i="10"/>
  <c r="F55" i="10"/>
  <c r="E55" i="10"/>
  <c r="B54" i="10"/>
  <c r="H54" i="10"/>
  <c r="G54" i="10"/>
  <c r="F54" i="10"/>
  <c r="E54" i="10"/>
  <c r="B53" i="10"/>
  <c r="H53" i="10"/>
  <c r="G53" i="10"/>
  <c r="F53" i="10"/>
  <c r="E53" i="10"/>
  <c r="B52" i="10"/>
  <c r="H52" i="10"/>
  <c r="G52" i="10"/>
  <c r="F52" i="10"/>
  <c r="E52" i="10"/>
  <c r="B51" i="10"/>
  <c r="H51" i="10"/>
  <c r="G51" i="10"/>
  <c r="F51" i="10"/>
  <c r="E51" i="10"/>
  <c r="B50" i="10"/>
  <c r="H50" i="10"/>
  <c r="G50" i="10"/>
  <c r="F50" i="10"/>
  <c r="E50" i="10"/>
  <c r="B49" i="10"/>
  <c r="H49" i="10"/>
  <c r="G49" i="10"/>
  <c r="F49" i="10"/>
  <c r="E49" i="10"/>
  <c r="B48" i="10"/>
  <c r="H48" i="10"/>
  <c r="G48" i="10"/>
  <c r="F48" i="10"/>
  <c r="E48" i="10"/>
  <c r="B47" i="10"/>
  <c r="H47" i="10"/>
  <c r="G47" i="10"/>
  <c r="F47" i="10"/>
  <c r="E47" i="10"/>
  <c r="B46" i="10"/>
  <c r="H46" i="10"/>
  <c r="G46" i="10"/>
  <c r="F46" i="10"/>
  <c r="E46" i="10"/>
  <c r="B45" i="10"/>
  <c r="H45" i="10"/>
  <c r="G45" i="10"/>
  <c r="F45" i="10"/>
  <c r="E45" i="10"/>
  <c r="F9" i="10"/>
  <c r="E9" i="10"/>
  <c r="D9" i="10"/>
  <c r="C9" i="10"/>
  <c r="B9" i="10"/>
  <c r="D5" i="10"/>
  <c r="C5" i="10"/>
  <c r="F3" i="10"/>
  <c r="E3" i="10"/>
  <c r="D3" i="10"/>
  <c r="C3" i="10"/>
  <c r="B3" i="10"/>
  <c r="B14" i="9"/>
  <c r="D11" i="9"/>
  <c r="C9" i="9"/>
  <c r="D3" i="9"/>
  <c r="C3" i="9"/>
  <c r="B3" i="9"/>
  <c r="AD6" i="1"/>
  <c r="AG6" i="1"/>
  <c r="T10" i="1"/>
  <c r="AA7" i="1"/>
  <c r="T21" i="1"/>
  <c r="C24" i="9"/>
  <c r="D26" i="9"/>
  <c r="E23" i="9"/>
  <c r="E19" i="9"/>
  <c r="E20" i="9"/>
  <c r="E21" i="9"/>
  <c r="E22" i="9"/>
  <c r="E18" i="9"/>
  <c r="C22" i="9"/>
  <c r="C18" i="9"/>
  <c r="B18" i="9"/>
  <c r="E3" i="9"/>
  <c r="D23" i="9"/>
  <c r="D22" i="9"/>
  <c r="D21" i="9"/>
  <c r="D20" i="9"/>
  <c r="D19" i="9"/>
  <c r="D18" i="9"/>
  <c r="B23" i="9"/>
  <c r="B22" i="9"/>
  <c r="B21" i="9"/>
  <c r="B20" i="9"/>
  <c r="B19" i="9"/>
  <c r="C8" i="9"/>
  <c r="C4" i="9"/>
  <c r="D8" i="9"/>
  <c r="D7" i="9"/>
  <c r="D6" i="9"/>
  <c r="D5" i="9"/>
  <c r="D4" i="9"/>
  <c r="AB7" i="1"/>
  <c r="AA8" i="1"/>
  <c r="B8" i="9"/>
  <c r="B7" i="9"/>
  <c r="B6" i="9"/>
  <c r="B5" i="9"/>
  <c r="B4" i="9"/>
  <c r="BY36" i="1"/>
  <c r="BX36" i="1"/>
  <c r="BW36" i="1"/>
  <c r="BV36" i="1"/>
  <c r="BQ36" i="1"/>
  <c r="BP36" i="1"/>
  <c r="BO36" i="1"/>
  <c r="BN36" i="1"/>
  <c r="BI36" i="1"/>
  <c r="BH36" i="1"/>
  <c r="BG36" i="1"/>
  <c r="BF36" i="1"/>
  <c r="BA36" i="1"/>
  <c r="AZ36" i="1"/>
  <c r="AY36" i="1"/>
  <c r="AX36" i="1"/>
  <c r="AS36" i="1"/>
  <c r="AR36" i="1"/>
  <c r="AQ36" i="1"/>
  <c r="AP36" i="1"/>
  <c r="AJ36" i="1"/>
  <c r="AI36" i="1"/>
  <c r="AH36" i="1"/>
  <c r="AG36" i="1"/>
  <c r="BN6" i="1"/>
  <c r="BL6" i="1"/>
  <c r="BN7" i="1"/>
  <c r="BN8" i="1"/>
  <c r="BN9" i="1"/>
  <c r="BN10" i="1"/>
  <c r="BN11" i="1"/>
  <c r="BN12" i="1"/>
  <c r="BN13" i="1"/>
  <c r="BN14" i="1"/>
  <c r="BN15" i="1"/>
  <c r="AQ6" i="1"/>
  <c r="AM7" i="1"/>
  <c r="AP6" i="1"/>
  <c r="AM6" i="1"/>
  <c r="AP7" i="1"/>
  <c r="AJ6" i="1"/>
  <c r="BO6" i="1"/>
  <c r="BL7" i="1"/>
  <c r="BF6" i="1"/>
  <c r="BD6" i="1"/>
  <c r="BY6" i="1"/>
  <c r="BT9" i="1"/>
  <c r="BX6" i="1"/>
  <c r="BT8" i="1"/>
  <c r="BW6" i="1"/>
  <c r="BT7" i="1"/>
  <c r="BV6" i="1"/>
  <c r="BT6" i="1"/>
  <c r="BQ6" i="1"/>
  <c r="BL9" i="1"/>
  <c r="BP6" i="1"/>
  <c r="BL8" i="1"/>
  <c r="AZ6" i="1"/>
  <c r="AV8" i="1"/>
  <c r="AY6" i="1"/>
  <c r="AV7" i="1"/>
  <c r="AX6" i="1"/>
  <c r="AV6" i="1"/>
  <c r="AS6" i="1"/>
  <c r="AM9" i="1"/>
  <c r="AR6" i="1"/>
  <c r="AI6" i="1"/>
  <c r="AD8" i="1"/>
  <c r="AH6" i="1"/>
  <c r="AD7" i="1"/>
  <c r="BI6" i="1"/>
  <c r="BD9" i="1"/>
  <c r="BH6" i="1"/>
  <c r="BD8" i="1"/>
  <c r="BG6" i="1"/>
  <c r="BD7" i="1"/>
  <c r="BA6" i="1"/>
  <c r="AV9" i="1"/>
  <c r="BY4" i="1"/>
  <c r="BX4" i="1"/>
  <c r="BW4" i="1"/>
  <c r="BV4" i="1"/>
  <c r="BQ4" i="1"/>
  <c r="BP4" i="1"/>
  <c r="BO4" i="1"/>
  <c r="BN4" i="1"/>
  <c r="BI4" i="1"/>
  <c r="BH4" i="1"/>
  <c r="BG4" i="1"/>
  <c r="BF4" i="1"/>
  <c r="BA4" i="1"/>
  <c r="AZ4" i="1"/>
  <c r="AY4" i="1"/>
  <c r="AX4" i="1"/>
  <c r="AS4" i="1"/>
  <c r="AR4" i="1"/>
  <c r="AQ4" i="1"/>
  <c r="AP4" i="1"/>
  <c r="AG4" i="1"/>
  <c r="AJ4" i="1"/>
  <c r="AI4" i="1"/>
  <c r="AH4" i="1"/>
  <c r="C19" i="9"/>
  <c r="C20" i="9"/>
  <c r="C21" i="9"/>
  <c r="C23" i="9"/>
  <c r="C5" i="9"/>
  <c r="C6" i="9"/>
  <c r="C7" i="9"/>
  <c r="E4" i="9"/>
  <c r="E5" i="9"/>
  <c r="E6" i="9"/>
  <c r="E7" i="9"/>
  <c r="E8" i="9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G20" i="1"/>
  <c r="G19" i="1"/>
  <c r="G18" i="1"/>
  <c r="G17" i="1"/>
  <c r="AA37" i="1"/>
  <c r="AG7" i="1"/>
  <c r="AD9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AM8" i="1"/>
  <c r="AR7" i="1"/>
  <c r="AR8" i="1"/>
  <c r="AR9" i="1"/>
  <c r="AR10" i="1"/>
  <c r="AR11" i="1"/>
  <c r="AR12" i="1"/>
  <c r="AR13" i="1"/>
  <c r="AR14" i="1"/>
  <c r="AR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Q7" i="1"/>
  <c r="BQ8" i="1"/>
  <c r="BQ9" i="1"/>
  <c r="BQ10" i="1"/>
  <c r="BQ11" i="1"/>
  <c r="BQ12" i="1"/>
  <c r="BQ13" i="1"/>
  <c r="BQ14" i="1"/>
  <c r="BQ15" i="1"/>
  <c r="BF7" i="1"/>
  <c r="BY7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W7" i="1"/>
  <c r="BX7" i="1"/>
  <c r="BX8" i="1"/>
  <c r="BX9" i="1"/>
  <c r="BX10" i="1"/>
  <c r="BX11" i="1"/>
  <c r="BX12" i="1"/>
  <c r="BX13" i="1"/>
  <c r="BX14" i="1"/>
  <c r="BX15" i="1"/>
  <c r="BI7" i="1"/>
  <c r="BI8" i="1"/>
  <c r="BI9" i="1"/>
  <c r="BI10" i="1"/>
  <c r="BI11" i="1"/>
  <c r="BI12" i="1"/>
  <c r="BI13" i="1"/>
  <c r="BI14" i="1"/>
  <c r="BI15" i="1"/>
  <c r="AI7" i="1"/>
  <c r="AI8" i="1"/>
  <c r="AI9" i="1"/>
  <c r="BH7" i="1"/>
  <c r="BH8" i="1"/>
  <c r="BH9" i="1"/>
  <c r="BH10" i="1"/>
  <c r="BH11" i="1"/>
  <c r="BG7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AQ7" i="1"/>
  <c r="AQ8" i="1"/>
  <c r="AQ9" i="1"/>
  <c r="AQ10" i="1"/>
  <c r="AQ11" i="1"/>
  <c r="AQ12" i="1"/>
  <c r="AQ13" i="1"/>
  <c r="AQ14" i="1"/>
  <c r="AQ15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H7" i="1"/>
  <c r="AH8" i="1"/>
  <c r="AH9" i="1"/>
  <c r="AH10" i="1"/>
  <c r="AH11" i="1"/>
  <c r="AX7" i="1"/>
  <c r="AX8" i="1"/>
  <c r="AX9" i="1"/>
  <c r="AX10" i="1"/>
  <c r="AX11" i="1"/>
  <c r="AX12" i="1"/>
  <c r="AX13" i="1"/>
  <c r="AX14" i="1"/>
  <c r="AX15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S7" i="1"/>
  <c r="AS8" i="1"/>
  <c r="AS9" i="1"/>
  <c r="AS10" i="1"/>
  <c r="AS11" i="1"/>
  <c r="AS12" i="1"/>
  <c r="AS13" i="1"/>
  <c r="AS14" i="1"/>
  <c r="AS15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O27" i="1"/>
  <c r="BO28" i="1"/>
  <c r="BO29" i="1"/>
  <c r="BO30" i="1"/>
  <c r="BO31" i="1"/>
  <c r="BO32" i="1"/>
  <c r="BO33" i="1"/>
  <c r="BO34" i="1"/>
  <c r="BO35" i="1"/>
  <c r="BP27" i="1"/>
  <c r="BP28" i="1"/>
  <c r="BP29" i="1"/>
  <c r="BP30" i="1"/>
  <c r="BP31" i="1"/>
  <c r="BP32" i="1"/>
  <c r="BP33" i="1"/>
  <c r="BP34" i="1"/>
  <c r="BP35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AX16" i="1"/>
  <c r="AX17" i="1"/>
  <c r="AX18" i="1"/>
  <c r="AX19" i="1"/>
  <c r="AX20" i="1"/>
  <c r="AX21" i="1"/>
  <c r="AX22" i="1"/>
  <c r="AX23" i="1"/>
  <c r="AX24" i="1"/>
  <c r="AX25" i="1"/>
  <c r="AX26" i="1"/>
  <c r="BA27" i="1"/>
  <c r="BA28" i="1"/>
  <c r="BA29" i="1"/>
  <c r="BA30" i="1"/>
  <c r="BA31" i="1"/>
  <c r="BA32" i="1"/>
  <c r="BA33" i="1"/>
  <c r="BA34" i="1"/>
  <c r="BA35" i="1"/>
  <c r="AZ27" i="1"/>
  <c r="AZ28" i="1"/>
  <c r="AZ29" i="1"/>
  <c r="AZ30" i="1"/>
  <c r="AZ31" i="1"/>
  <c r="AZ32" i="1"/>
  <c r="AZ33" i="1"/>
  <c r="AZ34" i="1"/>
  <c r="AZ35" i="1"/>
  <c r="AY27" i="1"/>
  <c r="AY28" i="1"/>
  <c r="AY29" i="1"/>
  <c r="AY30" i="1"/>
  <c r="AY31" i="1"/>
  <c r="AY32" i="1"/>
  <c r="AY33" i="1"/>
  <c r="AY34" i="1"/>
  <c r="AY3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G8" i="1"/>
  <c r="BG9" i="1"/>
  <c r="BG10" i="1"/>
  <c r="BG11" i="1"/>
  <c r="BG12" i="1"/>
  <c r="BG13" i="1"/>
  <c r="BG14" i="1"/>
  <c r="BG15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AP8" i="1"/>
  <c r="AP9" i="1"/>
  <c r="AP10" i="1"/>
  <c r="AP11" i="1"/>
  <c r="AP12" i="1"/>
  <c r="AP13" i="1"/>
  <c r="AP14" i="1"/>
  <c r="AP15" i="1"/>
  <c r="AG8" i="1"/>
  <c r="AG9" i="1"/>
  <c r="AG10" i="1"/>
  <c r="AG11" i="1"/>
  <c r="AG12" i="1"/>
  <c r="AG13" i="1"/>
  <c r="AG14" i="1"/>
  <c r="AG15" i="1"/>
  <c r="BH27" i="1"/>
  <c r="BH28" i="1"/>
  <c r="BH29" i="1"/>
  <c r="BH30" i="1"/>
  <c r="BH31" i="1"/>
  <c r="BH32" i="1"/>
  <c r="BH33" i="1"/>
  <c r="BH34" i="1"/>
  <c r="BH35" i="1"/>
  <c r="BF27" i="1"/>
  <c r="BF28" i="1"/>
  <c r="BF29" i="1"/>
  <c r="BF30" i="1"/>
  <c r="BF31" i="1"/>
  <c r="BF32" i="1"/>
  <c r="BF33" i="1"/>
  <c r="BF34" i="1"/>
  <c r="BF3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AX27" i="1"/>
  <c r="AX28" i="1"/>
  <c r="AX29" i="1"/>
  <c r="AX30" i="1"/>
  <c r="AX31" i="1"/>
  <c r="AX32" i="1"/>
  <c r="AX33" i="1"/>
  <c r="AX34" i="1"/>
  <c r="AX3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I27" i="1"/>
  <c r="AI28" i="1"/>
  <c r="AI29" i="1"/>
  <c r="AI30" i="1"/>
  <c r="AI31" i="1"/>
  <c r="AI32" i="1"/>
  <c r="AI33" i="1"/>
  <c r="AI34" i="1"/>
  <c r="AI3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C45" i="10"/>
  <c r="D45" i="10"/>
  <c r="C46" i="10"/>
  <c r="D46" i="10"/>
  <c r="C47" i="10"/>
  <c r="D47" i="10"/>
  <c r="C48" i="10"/>
  <c r="D48" i="10"/>
  <c r="C49" i="10"/>
  <c r="D49" i="10"/>
  <c r="C50" i="10"/>
  <c r="D50" i="10"/>
  <c r="C51" i="10"/>
  <c r="D51" i="10"/>
  <c r="C52" i="10"/>
  <c r="D52" i="10"/>
  <c r="C53" i="10"/>
  <c r="D53" i="10"/>
  <c r="C54" i="10"/>
  <c r="D54" i="10"/>
  <c r="C55" i="10"/>
  <c r="D55" i="10"/>
  <c r="C56" i="10"/>
  <c r="D56" i="10"/>
  <c r="C57" i="10"/>
  <c r="D57" i="10"/>
  <c r="C58" i="10"/>
  <c r="D58" i="10"/>
  <c r="C59" i="10"/>
  <c r="D59" i="10"/>
  <c r="C60" i="10"/>
  <c r="D60" i="10"/>
  <c r="C61" i="10"/>
  <c r="D61" i="10"/>
  <c r="C62" i="10"/>
  <c r="D62" i="10"/>
  <c r="C63" i="10"/>
  <c r="D63" i="10"/>
  <c r="C64" i="10"/>
  <c r="D64" i="10"/>
  <c r="C65" i="10"/>
  <c r="D65" i="10"/>
  <c r="C66" i="10"/>
  <c r="D66" i="10"/>
  <c r="C67" i="10"/>
  <c r="D67" i="10"/>
  <c r="C68" i="10"/>
  <c r="D68" i="10"/>
  <c r="C69" i="10"/>
  <c r="D69" i="10"/>
  <c r="C70" i="10"/>
  <c r="D70" i="10"/>
  <c r="C71" i="10"/>
  <c r="D71" i="10"/>
  <c r="C72" i="10"/>
  <c r="D72" i="10"/>
  <c r="C73" i="10"/>
  <c r="D73" i="10"/>
  <c r="C74" i="10"/>
  <c r="D74" i="10"/>
  <c r="C75" i="10"/>
  <c r="D75" i="10"/>
  <c r="C76" i="10"/>
  <c r="D76" i="10"/>
  <c r="C77" i="10"/>
  <c r="D77" i="10"/>
  <c r="C78" i="10"/>
  <c r="D78" i="10"/>
  <c r="C79" i="10"/>
  <c r="D79" i="10"/>
  <c r="C80" i="10"/>
  <c r="D80" i="10"/>
  <c r="C81" i="10"/>
  <c r="D81" i="10"/>
  <c r="C82" i="10"/>
  <c r="D82" i="10"/>
  <c r="C83" i="10"/>
  <c r="D83" i="10"/>
  <c r="C84" i="10"/>
  <c r="D84" i="10"/>
  <c r="C85" i="10"/>
  <c r="D85" i="10"/>
  <c r="C86" i="10"/>
  <c r="D86" i="10"/>
  <c r="C87" i="10"/>
  <c r="D87" i="10"/>
  <c r="C88" i="10"/>
  <c r="D88" i="10"/>
  <c r="C89" i="10"/>
  <c r="D89" i="10"/>
  <c r="C90" i="10"/>
  <c r="D90" i="10"/>
  <c r="C91" i="10"/>
  <c r="D91" i="10"/>
  <c r="C93" i="10"/>
  <c r="D93" i="10"/>
  <c r="C94" i="10"/>
  <c r="D94" i="10"/>
  <c r="C95" i="10"/>
  <c r="D95" i="10"/>
  <c r="C96" i="10"/>
  <c r="D96" i="10"/>
  <c r="C97" i="10"/>
  <c r="D97" i="10"/>
  <c r="C98" i="10"/>
  <c r="D98" i="10"/>
  <c r="C99" i="10"/>
  <c r="D99" i="10"/>
  <c r="C100" i="10"/>
  <c r="D100" i="10"/>
  <c r="C101" i="10"/>
  <c r="D101" i="10"/>
  <c r="C102" i="10"/>
  <c r="D102" i="10"/>
  <c r="C103" i="10"/>
  <c r="D103" i="10"/>
  <c r="C104" i="10"/>
  <c r="D104" i="10"/>
  <c r="C105" i="10"/>
  <c r="D105" i="10"/>
  <c r="C106" i="10"/>
  <c r="D106" i="10"/>
  <c r="C107" i="10"/>
  <c r="D107" i="10"/>
  <c r="C108" i="10"/>
  <c r="D108" i="10"/>
  <c r="C109" i="10"/>
  <c r="D109" i="10"/>
  <c r="C110" i="10"/>
  <c r="D110" i="10"/>
  <c r="C111" i="10"/>
  <c r="D111" i="10"/>
  <c r="C112" i="10"/>
  <c r="D112" i="10"/>
  <c r="C113" i="10"/>
  <c r="D113" i="10"/>
  <c r="C114" i="10"/>
  <c r="D114" i="10"/>
  <c r="C115" i="10"/>
  <c r="D115" i="10"/>
  <c r="C116" i="10"/>
  <c r="D116" i="10"/>
  <c r="C117" i="10"/>
  <c r="D117" i="10"/>
  <c r="C118" i="10"/>
  <c r="D118" i="10"/>
  <c r="C120" i="10"/>
  <c r="D120" i="10"/>
  <c r="C121" i="10"/>
  <c r="D121" i="10"/>
  <c r="C122" i="10"/>
  <c r="D122" i="10"/>
  <c r="C123" i="10"/>
  <c r="D123" i="10"/>
  <c r="C124" i="10"/>
  <c r="D124" i="10"/>
  <c r="C125" i="10"/>
  <c r="D125" i="10"/>
  <c r="C127" i="10"/>
  <c r="D127" i="10"/>
  <c r="C128" i="10"/>
  <c r="D128" i="10"/>
  <c r="C129" i="10"/>
  <c r="D129" i="10"/>
  <c r="C130" i="10"/>
  <c r="D130" i="10"/>
  <c r="C131" i="10"/>
  <c r="D131" i="10"/>
  <c r="C132" i="10"/>
  <c r="D132" i="10"/>
  <c r="C133" i="10"/>
  <c r="D133" i="10"/>
  <c r="C134" i="10"/>
  <c r="D134" i="10"/>
  <c r="C135" i="10"/>
  <c r="D135" i="10"/>
  <c r="C136" i="10"/>
  <c r="D136" i="10"/>
  <c r="C137" i="10"/>
  <c r="D137" i="10"/>
  <c r="C138" i="10"/>
  <c r="D138" i="10"/>
  <c r="C139" i="10"/>
  <c r="D139" i="10"/>
  <c r="C140" i="10"/>
  <c r="D140" i="10"/>
  <c r="C141" i="10"/>
  <c r="D141" i="10"/>
  <c r="C142" i="10"/>
  <c r="D142" i="10"/>
  <c r="C143" i="10"/>
  <c r="D143" i="10"/>
  <c r="C144" i="10"/>
  <c r="D144" i="10"/>
  <c r="C145" i="10"/>
  <c r="D145" i="10"/>
  <c r="C146" i="10"/>
  <c r="D146" i="10"/>
  <c r="C147" i="10"/>
  <c r="D147" i="10"/>
  <c r="C148" i="10"/>
  <c r="D148" i="10"/>
  <c r="C149" i="10"/>
  <c r="D149" i="10"/>
  <c r="C150" i="10"/>
  <c r="D150" i="10"/>
  <c r="C151" i="10"/>
  <c r="D151" i="10"/>
  <c r="C152" i="10"/>
  <c r="D152" i="10"/>
  <c r="C153" i="10"/>
  <c r="D153" i="10"/>
  <c r="C154" i="10"/>
  <c r="D154" i="10"/>
  <c r="C155" i="10"/>
  <c r="D155" i="10"/>
  <c r="C156" i="10"/>
  <c r="D156" i="10"/>
  <c r="C157" i="10"/>
  <c r="D157" i="10"/>
  <c r="C158" i="10"/>
  <c r="D158" i="10"/>
  <c r="C159" i="10"/>
  <c r="D159" i="10"/>
  <c r="C160" i="10"/>
  <c r="D160" i="10"/>
  <c r="C161" i="10"/>
  <c r="D161" i="10"/>
  <c r="C162" i="10"/>
  <c r="D162" i="10"/>
  <c r="C163" i="10"/>
  <c r="D163" i="10"/>
  <c r="C164" i="10"/>
  <c r="D164" i="10"/>
  <c r="C165" i="10"/>
  <c r="D165" i="10"/>
  <c r="C166" i="10"/>
  <c r="D166" i="10"/>
  <c r="C167" i="10"/>
  <c r="D167" i="10"/>
  <c r="C168" i="10"/>
  <c r="D168" i="10"/>
  <c r="C169" i="10"/>
  <c r="D169" i="10"/>
  <c r="C171" i="10"/>
  <c r="D171" i="10"/>
  <c r="C172" i="10"/>
  <c r="D172" i="10"/>
  <c r="C173" i="10"/>
  <c r="D173" i="10"/>
  <c r="C174" i="10"/>
  <c r="D174" i="10"/>
  <c r="C175" i="10"/>
  <c r="D175" i="10"/>
  <c r="C176" i="10"/>
  <c r="D176" i="10"/>
  <c r="C177" i="10"/>
  <c r="D177" i="10"/>
  <c r="C178" i="10"/>
  <c r="D178" i="10"/>
  <c r="C179" i="10"/>
  <c r="D179" i="10"/>
  <c r="C180" i="10"/>
  <c r="D180" i="10"/>
  <c r="C181" i="10"/>
  <c r="D181" i="10"/>
  <c r="C182" i="10"/>
  <c r="D182" i="10"/>
  <c r="C183" i="10"/>
  <c r="D183" i="10"/>
  <c r="C184" i="10"/>
  <c r="D184" i="10"/>
  <c r="C185" i="10"/>
  <c r="D185" i="10"/>
  <c r="C186" i="10"/>
  <c r="D186" i="10"/>
  <c r="C187" i="10"/>
  <c r="D187" i="10"/>
  <c r="C188" i="10"/>
  <c r="D188" i="10"/>
  <c r="C189" i="10"/>
  <c r="D189" i="10"/>
  <c r="C190" i="10"/>
  <c r="D190" i="10"/>
  <c r="C191" i="10"/>
  <c r="D191" i="10"/>
  <c r="C192" i="10"/>
  <c r="D192" i="10"/>
  <c r="C193" i="10"/>
  <c r="D193" i="10"/>
  <c r="C194" i="10"/>
  <c r="D194" i="10"/>
  <c r="C195" i="10"/>
  <c r="D195" i="10"/>
  <c r="C196" i="10"/>
  <c r="D196" i="10"/>
  <c r="C197" i="10"/>
  <c r="D197" i="10"/>
  <c r="C198" i="10"/>
  <c r="D198" i="10"/>
  <c r="C199" i="10"/>
  <c r="D199" i="10"/>
  <c r="C200" i="10"/>
  <c r="D200" i="10"/>
  <c r="C201" i="10"/>
  <c r="D201" i="10"/>
  <c r="C202" i="10"/>
  <c r="D202" i="10"/>
  <c r="C203" i="10"/>
  <c r="D203" i="10"/>
  <c r="C204" i="10"/>
  <c r="D204" i="10"/>
  <c r="C205" i="10"/>
  <c r="D205" i="10"/>
  <c r="C206" i="10"/>
  <c r="D206" i="10"/>
  <c r="C207" i="10"/>
  <c r="D207" i="10"/>
  <c r="C208" i="10"/>
  <c r="D208" i="10"/>
  <c r="C209" i="10"/>
  <c r="D209" i="10"/>
  <c r="C210" i="10"/>
  <c r="D210" i="10"/>
  <c r="C211" i="10"/>
  <c r="D211" i="10"/>
  <c r="C212" i="10"/>
  <c r="D212" i="10"/>
  <c r="C213" i="10"/>
  <c r="D213" i="10"/>
  <c r="C214" i="10"/>
  <c r="D214" i="10"/>
  <c r="C215" i="10"/>
  <c r="D215" i="10"/>
  <c r="C216" i="10"/>
  <c r="D216" i="10"/>
  <c r="C217" i="10"/>
  <c r="D217" i="10"/>
  <c r="C218" i="10"/>
  <c r="D218" i="10"/>
  <c r="C219" i="10"/>
  <c r="D219" i="10"/>
  <c r="C220" i="10"/>
  <c r="D220" i="10"/>
  <c r="C221" i="10"/>
  <c r="D221" i="10"/>
  <c r="C222" i="10"/>
  <c r="D222" i="10"/>
  <c r="C223" i="10"/>
  <c r="D223" i="10"/>
  <c r="C224" i="10"/>
  <c r="D224" i="10"/>
  <c r="C225" i="10"/>
  <c r="D225" i="10"/>
  <c r="C226" i="10"/>
  <c r="D226" i="10"/>
  <c r="C227" i="10"/>
  <c r="D227" i="10"/>
  <c r="C228" i="10"/>
  <c r="D228" i="10"/>
  <c r="C229" i="10"/>
  <c r="D229" i="10"/>
  <c r="C230" i="10"/>
  <c r="D230" i="10"/>
  <c r="C231" i="10"/>
  <c r="D231" i="10"/>
  <c r="C232" i="10"/>
  <c r="D232" i="10"/>
  <c r="C233" i="10"/>
  <c r="D233" i="10"/>
  <c r="C234" i="10"/>
  <c r="D234" i="10"/>
  <c r="C235" i="10"/>
  <c r="D235" i="10"/>
  <c r="C236" i="10"/>
  <c r="D236" i="10"/>
  <c r="C237" i="10"/>
  <c r="D237" i="10"/>
  <c r="C238" i="10"/>
  <c r="D238" i="10"/>
  <c r="C239" i="10"/>
  <c r="D239" i="10"/>
  <c r="C240" i="10"/>
  <c r="D240" i="10"/>
  <c r="C241" i="10"/>
  <c r="D241" i="10"/>
  <c r="C242" i="10"/>
  <c r="D242" i="10"/>
  <c r="C243" i="10"/>
  <c r="D243" i="10"/>
  <c r="C244" i="10"/>
  <c r="D244" i="10"/>
  <c r="C245" i="10"/>
  <c r="D245" i="10"/>
  <c r="C246" i="10"/>
  <c r="D246" i="10"/>
  <c r="C247" i="10"/>
  <c r="D247" i="10"/>
  <c r="C248" i="10"/>
  <c r="D248" i="10"/>
  <c r="C249" i="10"/>
  <c r="D249" i="10"/>
  <c r="C250" i="10"/>
  <c r="D250" i="10"/>
  <c r="C251" i="10"/>
  <c r="D251" i="10"/>
  <c r="C252" i="10"/>
  <c r="D252" i="10"/>
  <c r="C253" i="10"/>
  <c r="D253" i="10"/>
  <c r="C254" i="10"/>
  <c r="D254" i="10"/>
  <c r="C255" i="10"/>
  <c r="D255" i="10"/>
  <c r="C256" i="10"/>
  <c r="D256" i="10"/>
  <c r="C257" i="10"/>
  <c r="D257" i="10"/>
  <c r="C258" i="10"/>
  <c r="D258" i="10"/>
  <c r="C259" i="10"/>
  <c r="D259" i="10"/>
  <c r="C260" i="10"/>
  <c r="D260" i="10"/>
  <c r="C262" i="10"/>
  <c r="D262" i="10"/>
  <c r="C263" i="10"/>
  <c r="D263" i="10"/>
  <c r="C264" i="10"/>
  <c r="D264" i="10"/>
  <c r="C265" i="10"/>
  <c r="D265" i="10"/>
  <c r="C266" i="10"/>
  <c r="D266" i="10"/>
  <c r="C267" i="10"/>
  <c r="D267" i="10"/>
  <c r="C268" i="10"/>
  <c r="D268" i="10"/>
  <c r="C269" i="10"/>
  <c r="D269" i="10"/>
  <c r="C270" i="10"/>
  <c r="D270" i="10"/>
  <c r="C271" i="10"/>
  <c r="D271" i="10"/>
  <c r="C272" i="10"/>
  <c r="D272" i="10"/>
  <c r="C273" i="10"/>
  <c r="D273" i="10"/>
  <c r="C275" i="10"/>
  <c r="D275" i="10"/>
  <c r="C276" i="10"/>
  <c r="D276" i="10"/>
  <c r="C277" i="10"/>
  <c r="D277" i="10"/>
  <c r="C278" i="10"/>
  <c r="D278" i="10"/>
  <c r="C279" i="10"/>
  <c r="D279" i="10"/>
  <c r="C280" i="10"/>
  <c r="D280" i="10"/>
  <c r="C281" i="10"/>
  <c r="D281" i="10"/>
  <c r="C282" i="10"/>
  <c r="D282" i="10"/>
  <c r="C283" i="10"/>
  <c r="D283" i="10"/>
  <c r="C284" i="10"/>
  <c r="D284" i="10"/>
  <c r="C285" i="10"/>
  <c r="D285" i="10"/>
  <c r="C286" i="10"/>
  <c r="D286" i="10"/>
  <c r="C287" i="10"/>
  <c r="D287" i="10"/>
  <c r="C288" i="10"/>
  <c r="D288" i="10"/>
  <c r="C289" i="10"/>
  <c r="D289" i="10"/>
  <c r="C290" i="10"/>
  <c r="D290" i="10"/>
  <c r="C291" i="10"/>
  <c r="D291" i="10"/>
  <c r="C292" i="10"/>
  <c r="D292" i="10"/>
  <c r="C293" i="10"/>
  <c r="D293" i="10"/>
  <c r="C294" i="10"/>
  <c r="D294" i="10"/>
  <c r="C295" i="10"/>
  <c r="D295" i="10"/>
  <c r="C296" i="10"/>
  <c r="D296" i="10"/>
  <c r="C297" i="10"/>
  <c r="D297" i="10"/>
  <c r="C298" i="10"/>
  <c r="D298" i="10"/>
  <c r="C299" i="10"/>
  <c r="D299" i="10"/>
  <c r="C300" i="10"/>
  <c r="D300" i="10"/>
  <c r="C301" i="10"/>
  <c r="D301" i="10"/>
  <c r="C302" i="10"/>
  <c r="D302" i="10"/>
  <c r="C303" i="10"/>
  <c r="D303" i="10"/>
  <c r="C304" i="10"/>
  <c r="D304" i="10"/>
  <c r="C305" i="10"/>
  <c r="D305" i="10"/>
  <c r="C306" i="10"/>
  <c r="D306" i="10"/>
  <c r="C307" i="10"/>
  <c r="D307" i="10"/>
  <c r="C308" i="10"/>
  <c r="D308" i="10"/>
  <c r="C309" i="10"/>
  <c r="D309" i="10"/>
  <c r="C310" i="10"/>
  <c r="D310" i="10"/>
  <c r="C311" i="10"/>
  <c r="D311" i="10"/>
  <c r="C312" i="10"/>
  <c r="D312" i="10"/>
  <c r="C313" i="10"/>
  <c r="D313" i="10"/>
  <c r="C314" i="10"/>
  <c r="D314" i="10"/>
  <c r="C315" i="10"/>
  <c r="D315" i="10"/>
  <c r="C316" i="10"/>
  <c r="D316" i="10"/>
  <c r="C317" i="10"/>
  <c r="D317" i="10"/>
  <c r="C318" i="10"/>
  <c r="D318" i="10"/>
  <c r="C319" i="10"/>
  <c r="D319" i="10"/>
  <c r="C320" i="10"/>
  <c r="D320" i="10"/>
  <c r="C321" i="10"/>
  <c r="D321" i="10"/>
  <c r="C322" i="10"/>
  <c r="D322" i="10"/>
  <c r="C323" i="10"/>
  <c r="D323" i="10"/>
  <c r="C324" i="10"/>
  <c r="D324" i="10"/>
  <c r="C325" i="10"/>
  <c r="D325" i="10"/>
  <c r="C326" i="10"/>
  <c r="D326" i="10"/>
  <c r="C327" i="10"/>
  <c r="D327" i="10"/>
  <c r="C328" i="10"/>
  <c r="D328" i="10"/>
  <c r="C329" i="10"/>
  <c r="D329" i="10"/>
  <c r="C330" i="10"/>
  <c r="D330" i="10"/>
  <c r="C331" i="10"/>
  <c r="D331" i="10"/>
  <c r="C332" i="10"/>
  <c r="D332" i="10"/>
  <c r="C333" i="10"/>
  <c r="D333" i="10"/>
  <c r="C334" i="10"/>
  <c r="D334" i="10"/>
  <c r="C335" i="10"/>
  <c r="D335" i="10"/>
  <c r="C336" i="10"/>
  <c r="D336" i="10"/>
  <c r="C337" i="10"/>
  <c r="D337" i="10"/>
  <c r="C338" i="10"/>
  <c r="D338" i="10"/>
  <c r="C339" i="10"/>
  <c r="D339" i="10"/>
  <c r="C340" i="10"/>
  <c r="D340" i="10"/>
  <c r="C341" i="10"/>
  <c r="D341" i="10"/>
  <c r="C342" i="10"/>
  <c r="D342" i="10"/>
  <c r="C343" i="10"/>
  <c r="D343" i="10"/>
  <c r="C344" i="10"/>
  <c r="D344" i="10"/>
  <c r="C345" i="10"/>
  <c r="D345" i="10"/>
  <c r="C346" i="10"/>
  <c r="D346" i="10"/>
  <c r="C347" i="10"/>
  <c r="D347" i="10"/>
  <c r="C348" i="10"/>
  <c r="D348" i="10"/>
  <c r="C349" i="10"/>
  <c r="D349" i="10"/>
  <c r="C350" i="10"/>
  <c r="D350" i="10"/>
  <c r="C351" i="10"/>
  <c r="D351" i="10"/>
  <c r="C352" i="10"/>
  <c r="D352" i="10"/>
  <c r="C353" i="10"/>
  <c r="D353" i="10"/>
  <c r="C354" i="10"/>
  <c r="D354" i="10"/>
  <c r="C355" i="10"/>
  <c r="D355" i="10"/>
  <c r="C356" i="10"/>
  <c r="D356" i="10"/>
  <c r="C357" i="10"/>
  <c r="D357" i="10"/>
  <c r="C358" i="10"/>
  <c r="D358" i="10"/>
  <c r="C359" i="10"/>
  <c r="D359" i="10"/>
  <c r="C360" i="10"/>
  <c r="D360" i="10"/>
  <c r="C361" i="10"/>
  <c r="D361" i="10"/>
  <c r="C362" i="10"/>
  <c r="D362" i="10"/>
  <c r="C363" i="10"/>
  <c r="D363" i="10"/>
  <c r="C364" i="10"/>
  <c r="D364" i="10"/>
  <c r="C365" i="10"/>
  <c r="D365" i="10"/>
  <c r="C366" i="10"/>
  <c r="D366" i="10"/>
  <c r="C367" i="10"/>
  <c r="D367" i="10"/>
  <c r="C368" i="10"/>
  <c r="D368" i="10"/>
  <c r="C369" i="10"/>
  <c r="D369" i="10"/>
  <c r="C370" i="10"/>
  <c r="D370" i="10"/>
  <c r="C371" i="10"/>
  <c r="D371" i="10"/>
  <c r="C372" i="10"/>
  <c r="D372" i="10"/>
  <c r="C373" i="10"/>
  <c r="D373" i="10"/>
  <c r="C374" i="10"/>
  <c r="D374" i="10"/>
  <c r="C375" i="10"/>
  <c r="D375" i="10"/>
  <c r="C376" i="10"/>
  <c r="D376" i="10"/>
  <c r="C377" i="10"/>
  <c r="D377" i="10"/>
  <c r="C378" i="10"/>
  <c r="D378" i="10"/>
  <c r="C379" i="10"/>
  <c r="D379" i="10"/>
  <c r="C380" i="10"/>
  <c r="D380" i="10"/>
  <c r="C381" i="10"/>
  <c r="D381" i="10"/>
  <c r="C382" i="10"/>
  <c r="D382" i="10"/>
  <c r="C383" i="10"/>
  <c r="D383" i="10"/>
  <c r="C384" i="10"/>
  <c r="D384" i="10"/>
  <c r="C385" i="10"/>
  <c r="D385" i="10"/>
  <c r="C386" i="10"/>
  <c r="D386" i="10"/>
  <c r="C387" i="10"/>
  <c r="D387" i="10"/>
  <c r="C388" i="10"/>
  <c r="D388" i="10"/>
  <c r="C389" i="10"/>
  <c r="D389" i="10"/>
  <c r="C390" i="10"/>
  <c r="D390" i="10"/>
  <c r="C391" i="10"/>
  <c r="D391" i="10"/>
  <c r="C392" i="10"/>
  <c r="D392" i="10"/>
  <c r="C393" i="10"/>
  <c r="D393" i="10"/>
  <c r="C394" i="10"/>
  <c r="D394" i="10"/>
  <c r="C395" i="10"/>
  <c r="D395" i="10"/>
  <c r="C396" i="10"/>
  <c r="D396" i="10"/>
  <c r="C397" i="10"/>
  <c r="D397" i="10"/>
  <c r="C398" i="10"/>
  <c r="D398" i="10"/>
  <c r="C399" i="10"/>
  <c r="D399" i="10"/>
  <c r="C400" i="10"/>
  <c r="D400" i="10"/>
  <c r="C401" i="10"/>
  <c r="D401" i="10"/>
  <c r="C402" i="10"/>
  <c r="D402" i="10"/>
  <c r="C403" i="10"/>
  <c r="D403" i="10"/>
  <c r="C404" i="10"/>
  <c r="D404" i="10"/>
  <c r="C405" i="10"/>
  <c r="D405" i="10"/>
  <c r="C406" i="10"/>
  <c r="D406" i="10"/>
  <c r="C407" i="10"/>
  <c r="D407" i="10"/>
  <c r="C408" i="10"/>
  <c r="D408" i="10"/>
  <c r="C409" i="10"/>
  <c r="D409" i="10"/>
  <c r="C410" i="10"/>
  <c r="D410" i="10"/>
  <c r="C411" i="10"/>
  <c r="D411" i="10"/>
  <c r="C412" i="10"/>
  <c r="D412" i="10"/>
  <c r="C413" i="10"/>
  <c r="D413" i="10"/>
  <c r="C414" i="10"/>
  <c r="D414" i="10"/>
  <c r="C415" i="10"/>
  <c r="D415" i="10"/>
  <c r="C416" i="10"/>
  <c r="D416" i="10"/>
  <c r="C417" i="10"/>
  <c r="D417" i="10"/>
  <c r="C418" i="10"/>
  <c r="D418" i="10"/>
  <c r="C419" i="10"/>
  <c r="D419" i="10"/>
  <c r="C420" i="10"/>
  <c r="D420" i="10"/>
  <c r="C421" i="10"/>
  <c r="D421" i="10"/>
  <c r="C422" i="10"/>
  <c r="D422" i="10"/>
  <c r="C423" i="10"/>
  <c r="D423" i="10"/>
  <c r="C424" i="10"/>
  <c r="D424" i="10"/>
  <c r="C425" i="10"/>
  <c r="D425" i="10"/>
  <c r="C426" i="10"/>
  <c r="D426" i="10"/>
  <c r="C427" i="10"/>
  <c r="D427" i="10"/>
  <c r="C428" i="10"/>
  <c r="D428" i="10"/>
  <c r="C429" i="10"/>
  <c r="D429" i="10"/>
  <c r="C430" i="10"/>
  <c r="D430" i="10"/>
  <c r="C431" i="10"/>
  <c r="D431" i="10"/>
  <c r="C432" i="10"/>
  <c r="D432" i="10"/>
  <c r="C433" i="10"/>
  <c r="D433" i="10"/>
  <c r="C434" i="10"/>
  <c r="D434" i="10"/>
  <c r="C435" i="10"/>
  <c r="D435" i="10"/>
  <c r="C436" i="10"/>
  <c r="D436" i="10"/>
  <c r="C437" i="10"/>
  <c r="D437" i="10"/>
  <c r="C438" i="10"/>
  <c r="D438" i="10"/>
  <c r="C439" i="10"/>
  <c r="D439" i="10"/>
  <c r="C440" i="10"/>
  <c r="D440" i="10"/>
  <c r="C441" i="10"/>
  <c r="D441" i="10"/>
  <c r="C442" i="10"/>
  <c r="D442" i="10"/>
  <c r="C443" i="10"/>
  <c r="D443" i="10"/>
  <c r="C444" i="10"/>
  <c r="D444" i="10"/>
  <c r="C445" i="10"/>
  <c r="D445" i="10"/>
  <c r="C446" i="10"/>
  <c r="D446" i="10"/>
  <c r="C447" i="10"/>
  <c r="D447" i="10"/>
  <c r="C448" i="10"/>
  <c r="D448" i="10"/>
  <c r="C449" i="10"/>
  <c r="D449" i="10"/>
  <c r="C450" i="10"/>
  <c r="D450" i="10"/>
  <c r="C451" i="10"/>
  <c r="D451" i="10"/>
  <c r="C452" i="10"/>
  <c r="D452" i="10"/>
  <c r="C453" i="10"/>
  <c r="D453" i="10"/>
  <c r="C454" i="10"/>
  <c r="D454" i="10"/>
  <c r="C455" i="10"/>
  <c r="D455" i="10"/>
  <c r="C456" i="10"/>
  <c r="D456" i="10"/>
  <c r="C457" i="10"/>
  <c r="D457" i="10"/>
  <c r="C458" i="10"/>
  <c r="D458" i="10"/>
  <c r="C459" i="10"/>
  <c r="D459" i="10"/>
  <c r="C460" i="10"/>
  <c r="D460" i="10"/>
  <c r="C461" i="10"/>
  <c r="D461" i="10"/>
  <c r="C462" i="10"/>
  <c r="D462" i="10"/>
  <c r="C463" i="10"/>
  <c r="D463" i="10"/>
  <c r="C464" i="10"/>
  <c r="D464" i="10"/>
  <c r="C465" i="10"/>
  <c r="D465" i="10"/>
  <c r="C466" i="10"/>
  <c r="D466" i="10"/>
  <c r="C467" i="10"/>
  <c r="D467" i="10"/>
  <c r="C468" i="10"/>
  <c r="D468" i="10"/>
  <c r="C469" i="10"/>
  <c r="D469" i="10"/>
  <c r="C470" i="10"/>
  <c r="D470" i="10"/>
  <c r="C471" i="10"/>
  <c r="D471" i="10"/>
  <c r="C472" i="10"/>
  <c r="D472" i="10"/>
  <c r="C473" i="10"/>
  <c r="D473" i="10"/>
  <c r="C474" i="10"/>
  <c r="D474" i="10"/>
  <c r="C475" i="10"/>
  <c r="D475" i="10"/>
  <c r="C476" i="10"/>
  <c r="D476" i="10"/>
  <c r="C477" i="10"/>
  <c r="D477" i="10"/>
  <c r="C478" i="10"/>
  <c r="D478" i="10"/>
  <c r="C479" i="10"/>
  <c r="D479" i="10"/>
  <c r="C480" i="10"/>
  <c r="D480" i="10"/>
  <c r="C481" i="10"/>
  <c r="D481" i="10"/>
  <c r="C482" i="10"/>
  <c r="D482" i="10"/>
  <c r="C483" i="10"/>
  <c r="D483" i="10"/>
  <c r="C484" i="10"/>
  <c r="D484" i="10"/>
  <c r="C485" i="10"/>
  <c r="D485" i="10"/>
  <c r="C486" i="10"/>
  <c r="D486" i="10"/>
  <c r="C487" i="10"/>
  <c r="D487" i="10"/>
  <c r="C488" i="10"/>
  <c r="D488" i="10"/>
  <c r="C489" i="10"/>
  <c r="D489" i="10"/>
  <c r="C490" i="10"/>
  <c r="D490" i="10"/>
  <c r="C491" i="10"/>
  <c r="D491" i="10"/>
  <c r="C492" i="10"/>
  <c r="D492" i="10"/>
  <c r="C493" i="10"/>
  <c r="D493" i="10"/>
  <c r="C494" i="10"/>
  <c r="D494" i="10"/>
  <c r="C495" i="10"/>
  <c r="D495" i="10"/>
  <c r="C496" i="10"/>
  <c r="D496" i="10"/>
  <c r="C498" i="10"/>
  <c r="D498" i="10"/>
  <c r="C499" i="10"/>
  <c r="D499" i="10"/>
  <c r="C500" i="10"/>
  <c r="D500" i="10"/>
  <c r="C501" i="10"/>
  <c r="D501" i="10"/>
  <c r="C502" i="10"/>
  <c r="D502" i="10"/>
  <c r="C503" i="10"/>
  <c r="D503" i="10"/>
  <c r="C504" i="10"/>
  <c r="D504" i="10"/>
  <c r="C505" i="10"/>
  <c r="D505" i="10"/>
  <c r="C506" i="10"/>
  <c r="D506" i="10"/>
  <c r="C507" i="10"/>
  <c r="D507" i="10"/>
  <c r="C508" i="10"/>
  <c r="D508" i="10"/>
  <c r="C509" i="10"/>
  <c r="D509" i="10"/>
  <c r="C510" i="10"/>
  <c r="D510" i="10"/>
  <c r="C511" i="10"/>
  <c r="D511" i="10"/>
  <c r="C513" i="10"/>
  <c r="D513" i="10"/>
  <c r="C514" i="10"/>
  <c r="D514" i="10"/>
  <c r="C515" i="10"/>
  <c r="D515" i="10"/>
  <c r="C516" i="10"/>
  <c r="D516" i="10"/>
  <c r="C517" i="10"/>
  <c r="D517" i="10"/>
  <c r="C518" i="10"/>
  <c r="D518" i="10"/>
  <c r="C519" i="10"/>
  <c r="D519" i="10"/>
  <c r="C520" i="10"/>
  <c r="D520" i="10"/>
  <c r="C521" i="10"/>
  <c r="D521" i="10"/>
  <c r="C522" i="10"/>
  <c r="D522" i="10"/>
  <c r="C523" i="10"/>
  <c r="D523" i="10"/>
  <c r="C524" i="10"/>
  <c r="D524" i="10"/>
  <c r="C525" i="10"/>
  <c r="D525" i="10"/>
  <c r="C526" i="10"/>
  <c r="D526" i="10"/>
  <c r="C527" i="10"/>
  <c r="D527" i="10"/>
  <c r="C528" i="10"/>
  <c r="D528" i="10"/>
  <c r="C529" i="10"/>
  <c r="D529" i="10"/>
  <c r="C530" i="10"/>
  <c r="D530" i="10"/>
  <c r="C531" i="10"/>
  <c r="D531" i="10"/>
  <c r="C532" i="10"/>
  <c r="D532" i="10"/>
  <c r="C533" i="10"/>
  <c r="D533" i="10"/>
  <c r="C534" i="10"/>
  <c r="D534" i="10"/>
  <c r="C535" i="10"/>
  <c r="D535" i="10"/>
  <c r="C536" i="10"/>
  <c r="D536" i="10"/>
  <c r="C537" i="10"/>
  <c r="D537" i="10"/>
  <c r="C538" i="10"/>
  <c r="D538" i="10"/>
  <c r="C539" i="10"/>
  <c r="D539" i="10"/>
  <c r="C540" i="10"/>
  <c r="D540" i="10"/>
  <c r="C541" i="10"/>
  <c r="D541" i="10"/>
  <c r="C542" i="10"/>
  <c r="D542" i="10"/>
  <c r="C543" i="10"/>
  <c r="D543" i="10"/>
  <c r="C544" i="10"/>
  <c r="D544" i="10"/>
  <c r="C545" i="10"/>
  <c r="D545" i="10"/>
  <c r="C546" i="10"/>
  <c r="D546" i="10"/>
  <c r="C547" i="10"/>
  <c r="D547" i="10"/>
  <c r="C548" i="10"/>
  <c r="D548" i="10"/>
  <c r="C549" i="10"/>
  <c r="D549" i="10"/>
  <c r="C550" i="10"/>
  <c r="D550" i="10"/>
  <c r="C551" i="10"/>
  <c r="D551" i="10"/>
  <c r="C552" i="10"/>
  <c r="D552" i="10"/>
  <c r="C553" i="10"/>
  <c r="D553" i="10"/>
  <c r="C554" i="10"/>
  <c r="D554" i="10"/>
  <c r="C555" i="10"/>
  <c r="D555" i="10"/>
  <c r="C556" i="10"/>
  <c r="D556" i="10"/>
  <c r="C557" i="10"/>
  <c r="D557" i="10"/>
  <c r="C558" i="10"/>
  <c r="D558" i="10"/>
  <c r="C559" i="10"/>
  <c r="D559" i="10"/>
  <c r="C560" i="10"/>
  <c r="D560" i="10"/>
  <c r="C561" i="10"/>
  <c r="D561" i="10"/>
  <c r="C562" i="10"/>
  <c r="D562" i="10"/>
  <c r="C563" i="10"/>
  <c r="D563" i="10"/>
  <c r="C564" i="10"/>
  <c r="D564" i="10"/>
  <c r="C565" i="10"/>
  <c r="D565" i="10"/>
  <c r="C566" i="10"/>
  <c r="D566" i="10"/>
  <c r="C567" i="10"/>
  <c r="D567" i="10"/>
  <c r="C568" i="10"/>
  <c r="D568" i="10"/>
  <c r="C569" i="10"/>
  <c r="D569" i="10"/>
  <c r="C570" i="10"/>
  <c r="D570" i="10"/>
  <c r="C571" i="10"/>
  <c r="D571" i="10"/>
  <c r="C572" i="10"/>
  <c r="D572" i="10"/>
  <c r="C573" i="10"/>
  <c r="D573" i="10"/>
  <c r="C574" i="10"/>
  <c r="D574" i="10"/>
  <c r="C575" i="10"/>
  <c r="D575" i="10"/>
  <c r="C576" i="10"/>
  <c r="D576" i="10"/>
  <c r="C577" i="10"/>
  <c r="D577" i="10"/>
  <c r="C578" i="10"/>
  <c r="D578" i="10"/>
  <c r="C579" i="10"/>
  <c r="D579" i="10"/>
  <c r="C580" i="10"/>
  <c r="D580" i="10"/>
  <c r="C581" i="10"/>
  <c r="D581" i="10"/>
  <c r="C582" i="10"/>
  <c r="D582" i="10"/>
  <c r="C583" i="10"/>
  <c r="D583" i="10"/>
  <c r="C584" i="10"/>
  <c r="D584" i="10"/>
  <c r="C585" i="10"/>
  <c r="D585" i="10"/>
  <c r="C586" i="10"/>
  <c r="D586" i="10"/>
  <c r="C587" i="10"/>
  <c r="D587" i="10"/>
  <c r="C588" i="10"/>
  <c r="D588" i="10"/>
  <c r="C589" i="10"/>
  <c r="D589" i="10"/>
  <c r="C590" i="10"/>
  <c r="D590" i="10"/>
  <c r="C591" i="10"/>
  <c r="D591" i="10"/>
  <c r="C592" i="10"/>
  <c r="D592" i="10"/>
  <c r="C593" i="10"/>
  <c r="D593" i="10"/>
  <c r="C594" i="10"/>
  <c r="D594" i="10"/>
  <c r="C595" i="10"/>
  <c r="D595" i="10"/>
  <c r="C596" i="10"/>
  <c r="D596" i="10"/>
  <c r="C597" i="10"/>
  <c r="D597" i="10"/>
  <c r="C598" i="10"/>
  <c r="D598" i="10"/>
  <c r="C599" i="10"/>
  <c r="D599" i="10"/>
  <c r="C600" i="10"/>
  <c r="D600" i="10"/>
  <c r="C601" i="10"/>
  <c r="D601" i="10"/>
  <c r="C602" i="10"/>
  <c r="D602" i="10"/>
  <c r="C603" i="10"/>
  <c r="D603" i="10"/>
  <c r="C604" i="10"/>
  <c r="D604" i="10"/>
  <c r="C605" i="10"/>
  <c r="D605" i="10"/>
  <c r="C606" i="10"/>
  <c r="D606" i="10"/>
  <c r="C607" i="10"/>
  <c r="D607" i="10"/>
  <c r="C608" i="10"/>
  <c r="D608" i="10"/>
  <c r="C609" i="10"/>
  <c r="D609" i="10"/>
  <c r="C610" i="10"/>
  <c r="D610" i="10"/>
  <c r="C611" i="10"/>
  <c r="D611" i="10"/>
  <c r="C612" i="10"/>
  <c r="D612" i="10"/>
  <c r="C613" i="10"/>
  <c r="D613" i="10"/>
  <c r="C614" i="10"/>
  <c r="D614" i="10"/>
  <c r="C615" i="10"/>
  <c r="D615" i="10"/>
  <c r="C616" i="10"/>
  <c r="D616" i="10"/>
  <c r="C617" i="10"/>
  <c r="D617" i="10"/>
  <c r="C618" i="10"/>
  <c r="D618" i="10"/>
  <c r="C619" i="10"/>
  <c r="D619" i="10"/>
  <c r="C620" i="10"/>
  <c r="D620" i="10"/>
  <c r="C621" i="10"/>
  <c r="D621" i="10"/>
  <c r="C622" i="10"/>
  <c r="D622" i="10"/>
  <c r="C623" i="10"/>
  <c r="D623" i="10"/>
  <c r="C624" i="10"/>
  <c r="D624" i="10"/>
  <c r="C625" i="10"/>
  <c r="D625" i="10"/>
  <c r="C626" i="10"/>
  <c r="D626" i="10"/>
  <c r="C627" i="10"/>
  <c r="D627" i="10"/>
  <c r="C628" i="10"/>
  <c r="D628" i="10"/>
  <c r="C629" i="10"/>
  <c r="D629" i="10"/>
  <c r="C630" i="10"/>
  <c r="D630" i="10"/>
  <c r="C631" i="10"/>
  <c r="D631" i="10"/>
  <c r="C632" i="10"/>
  <c r="D632" i="10"/>
  <c r="C633" i="10"/>
  <c r="D633" i="10"/>
  <c r="C634" i="10"/>
  <c r="D634" i="10"/>
  <c r="C635" i="10"/>
  <c r="D635" i="10"/>
  <c r="C636" i="10"/>
  <c r="D636" i="10"/>
  <c r="C637" i="10"/>
  <c r="D637" i="10"/>
  <c r="C638" i="10"/>
  <c r="D638" i="10"/>
  <c r="C639" i="10"/>
  <c r="D639" i="10"/>
  <c r="C640" i="10"/>
  <c r="D640" i="10"/>
  <c r="C641" i="10"/>
  <c r="D641" i="10"/>
  <c r="C642" i="10"/>
  <c r="D642" i="10"/>
  <c r="C643" i="10"/>
  <c r="D643" i="10"/>
  <c r="C644" i="10"/>
  <c r="D644" i="10"/>
  <c r="C645" i="10"/>
  <c r="D645" i="10"/>
  <c r="C646" i="10"/>
  <c r="D646" i="10"/>
  <c r="C647" i="10"/>
  <c r="D647" i="10"/>
  <c r="C648" i="10"/>
  <c r="D648" i="10"/>
  <c r="C649" i="10"/>
  <c r="D649" i="10"/>
  <c r="C650" i="10"/>
  <c r="D650" i="10"/>
  <c r="C651" i="10"/>
  <c r="D651" i="10"/>
  <c r="C652" i="10"/>
  <c r="D652" i="10"/>
  <c r="C653" i="10"/>
  <c r="D653" i="10"/>
  <c r="C654" i="10"/>
  <c r="D654" i="10"/>
  <c r="C655" i="10"/>
  <c r="D655" i="10"/>
  <c r="C656" i="10"/>
  <c r="D656" i="10"/>
  <c r="C657" i="10"/>
  <c r="D657" i="10"/>
  <c r="C658" i="10"/>
  <c r="D658" i="10"/>
  <c r="C659" i="10"/>
  <c r="D659" i="10"/>
  <c r="C660" i="10"/>
  <c r="D660" i="10"/>
  <c r="C661" i="10"/>
  <c r="D661" i="10"/>
  <c r="C662" i="10"/>
  <c r="D662" i="10"/>
  <c r="C663" i="10"/>
  <c r="D663" i="10"/>
  <c r="C664" i="10"/>
  <c r="D664" i="10"/>
  <c r="C665" i="10"/>
  <c r="D665" i="10"/>
  <c r="C666" i="10"/>
  <c r="D666" i="10"/>
  <c r="C667" i="10"/>
  <c r="D667" i="10"/>
  <c r="C668" i="10"/>
  <c r="D668" i="10"/>
  <c r="C669" i="10"/>
  <c r="D669" i="10"/>
  <c r="C670" i="10"/>
  <c r="D670" i="10"/>
  <c r="C671" i="10"/>
  <c r="D671" i="10"/>
  <c r="C672" i="10"/>
  <c r="D672" i="10"/>
  <c r="C673" i="10"/>
  <c r="D673" i="10"/>
  <c r="C674" i="10"/>
  <c r="D674" i="10"/>
  <c r="C675" i="10"/>
  <c r="D675" i="10"/>
  <c r="C676" i="10"/>
  <c r="D676" i="10"/>
  <c r="C677" i="10"/>
  <c r="D677" i="10"/>
  <c r="C678" i="10"/>
  <c r="D678" i="10"/>
  <c r="C679" i="10"/>
  <c r="D679" i="10"/>
  <c r="C680" i="10"/>
  <c r="D680" i="10"/>
  <c r="C681" i="10"/>
  <c r="D681" i="10"/>
  <c r="C682" i="10"/>
  <c r="D682" i="10"/>
  <c r="C683" i="10"/>
  <c r="D683" i="10"/>
  <c r="C684" i="10"/>
  <c r="D684" i="10"/>
  <c r="C685" i="10"/>
  <c r="D685" i="10"/>
  <c r="C686" i="10"/>
  <c r="D686" i="10"/>
  <c r="C687" i="10"/>
  <c r="D687" i="10"/>
  <c r="C688" i="10"/>
  <c r="D688" i="10"/>
  <c r="C689" i="10"/>
  <c r="D689" i="10"/>
  <c r="C690" i="10"/>
  <c r="D690" i="10"/>
  <c r="C691" i="10"/>
  <c r="D691" i="10"/>
  <c r="C692" i="10"/>
  <c r="D692" i="10"/>
  <c r="C693" i="10"/>
  <c r="D693" i="10"/>
  <c r="C694" i="10"/>
  <c r="D694" i="10"/>
  <c r="C695" i="10"/>
  <c r="D695" i="10"/>
  <c r="C696" i="10"/>
  <c r="D696" i="10"/>
  <c r="C697" i="10"/>
  <c r="D697" i="10"/>
  <c r="C698" i="10"/>
  <c r="D698" i="10"/>
  <c r="C699" i="10"/>
  <c r="D699" i="10"/>
  <c r="C700" i="10"/>
  <c r="D700" i="10"/>
  <c r="C701" i="10"/>
  <c r="D701" i="10"/>
  <c r="C702" i="10"/>
  <c r="D702" i="10"/>
  <c r="C703" i="10"/>
  <c r="D703" i="10"/>
  <c r="C704" i="10"/>
  <c r="D704" i="10"/>
  <c r="C705" i="10"/>
  <c r="D705" i="10"/>
  <c r="C706" i="10"/>
  <c r="D706" i="10"/>
  <c r="C707" i="10"/>
  <c r="D707" i="10"/>
  <c r="C708" i="10"/>
  <c r="D708" i="10"/>
  <c r="C709" i="10"/>
  <c r="D709" i="10"/>
  <c r="C710" i="10"/>
  <c r="D710" i="10"/>
  <c r="C711" i="10"/>
  <c r="D711" i="10"/>
  <c r="C712" i="10"/>
  <c r="D712" i="10"/>
  <c r="C713" i="10"/>
  <c r="D713" i="10"/>
  <c r="C714" i="10"/>
  <c r="D714" i="10"/>
  <c r="C715" i="10"/>
  <c r="D715" i="10"/>
  <c r="C716" i="10"/>
  <c r="D716" i="10"/>
  <c r="C717" i="10"/>
  <c r="D717" i="10"/>
  <c r="C718" i="10"/>
  <c r="D718" i="10"/>
  <c r="C719" i="10"/>
  <c r="D719" i="10"/>
  <c r="C720" i="10"/>
  <c r="D720" i="10"/>
  <c r="C721" i="10"/>
  <c r="D721" i="10"/>
  <c r="C722" i="10"/>
  <c r="D722" i="10"/>
  <c r="C723" i="10"/>
  <c r="D723" i="10"/>
  <c r="C724" i="10"/>
  <c r="D724" i="10"/>
  <c r="C725" i="10"/>
  <c r="D725" i="10"/>
  <c r="C726" i="10"/>
  <c r="D726" i="10"/>
  <c r="C727" i="10"/>
  <c r="D727" i="10"/>
  <c r="C728" i="10"/>
  <c r="D728" i="10"/>
  <c r="C729" i="10"/>
  <c r="D729" i="10"/>
  <c r="C730" i="10"/>
  <c r="D730" i="10"/>
  <c r="C731" i="10"/>
  <c r="D731" i="10"/>
  <c r="C732" i="10"/>
  <c r="D732" i="10"/>
  <c r="C733" i="10"/>
  <c r="D733" i="10"/>
  <c r="C734" i="10"/>
  <c r="D734" i="10"/>
  <c r="C735" i="10"/>
  <c r="D735" i="10"/>
  <c r="C736" i="10"/>
  <c r="D736" i="10"/>
  <c r="C737" i="10"/>
  <c r="D737" i="10"/>
  <c r="C738" i="10"/>
  <c r="D738" i="10"/>
  <c r="C739" i="10"/>
  <c r="D739" i="10"/>
  <c r="C740" i="10"/>
  <c r="D740" i="10"/>
  <c r="C741" i="10"/>
  <c r="D741" i="10"/>
  <c r="C742" i="10"/>
  <c r="D742" i="10"/>
  <c r="C743" i="10"/>
  <c r="D743" i="10"/>
  <c r="C744" i="10"/>
  <c r="D744" i="10"/>
  <c r="C745" i="10"/>
  <c r="D745" i="10"/>
  <c r="C746" i="10"/>
  <c r="D746" i="10"/>
  <c r="C747" i="10"/>
  <c r="D747" i="10"/>
  <c r="C748" i="10"/>
  <c r="D748" i="10"/>
  <c r="C749" i="10"/>
  <c r="D749" i="10"/>
  <c r="C750" i="10"/>
  <c r="D750" i="10"/>
  <c r="C751" i="10"/>
  <c r="D751" i="10"/>
  <c r="C752" i="10"/>
  <c r="D752" i="10"/>
  <c r="C753" i="10"/>
  <c r="D753" i="10"/>
  <c r="C754" i="10"/>
  <c r="D754" i="10"/>
  <c r="C755" i="10"/>
  <c r="D755" i="10"/>
  <c r="C756" i="10"/>
  <c r="D756" i="10"/>
  <c r="C757" i="10"/>
  <c r="D757" i="10"/>
  <c r="C758" i="10"/>
  <c r="D758" i="10"/>
  <c r="C759" i="10"/>
  <c r="D759" i="10"/>
  <c r="C760" i="10"/>
  <c r="D760" i="10"/>
  <c r="C761" i="10"/>
  <c r="D761" i="10"/>
  <c r="C762" i="10"/>
  <c r="D762" i="10"/>
  <c r="C763" i="10"/>
  <c r="D763" i="10"/>
  <c r="C764" i="10"/>
  <c r="D764" i="10"/>
  <c r="C765" i="10"/>
  <c r="D765" i="10"/>
  <c r="C766" i="10"/>
  <c r="D766" i="10"/>
  <c r="C767" i="10"/>
  <c r="D767" i="10"/>
  <c r="C768" i="10"/>
  <c r="D768" i="10"/>
  <c r="C769" i="10"/>
  <c r="D769" i="10"/>
  <c r="C770" i="10"/>
  <c r="D770" i="10"/>
  <c r="C771" i="10"/>
  <c r="D771" i="10"/>
  <c r="C772" i="10"/>
  <c r="D772" i="10"/>
  <c r="C773" i="10"/>
  <c r="D773" i="10"/>
  <c r="C774" i="10"/>
  <c r="D774" i="10"/>
  <c r="C776" i="10"/>
  <c r="D776" i="10"/>
  <c r="C777" i="10"/>
  <c r="D777" i="10"/>
  <c r="C778" i="10"/>
  <c r="D778" i="10"/>
  <c r="C779" i="10"/>
  <c r="D779" i="10"/>
  <c r="C780" i="10"/>
  <c r="D780" i="10"/>
  <c r="C781" i="10"/>
  <c r="D781" i="10"/>
  <c r="C782" i="10"/>
  <c r="D782" i="10"/>
  <c r="C783" i="10"/>
  <c r="D783" i="10"/>
  <c r="C784" i="10"/>
  <c r="D784" i="10"/>
  <c r="C785" i="10"/>
  <c r="D785" i="10"/>
  <c r="C786" i="10"/>
  <c r="D786" i="10"/>
  <c r="C787" i="10"/>
  <c r="D787" i="10"/>
  <c r="C788" i="10"/>
  <c r="D788" i="10"/>
  <c r="C789" i="10"/>
  <c r="D789" i="10"/>
  <c r="C790" i="10"/>
  <c r="D790" i="10"/>
  <c r="C791" i="10"/>
  <c r="D791" i="10"/>
  <c r="C792" i="10"/>
  <c r="D792" i="10"/>
  <c r="C793" i="10"/>
  <c r="D793" i="10"/>
  <c r="C794" i="10"/>
  <c r="D794" i="10"/>
  <c r="C795" i="10"/>
  <c r="D795" i="10"/>
  <c r="C796" i="10"/>
  <c r="D796" i="10"/>
  <c r="C797" i="10"/>
  <c r="D797" i="10"/>
  <c r="C798" i="10"/>
  <c r="D798" i="10"/>
  <c r="C799" i="10"/>
  <c r="D799" i="10"/>
  <c r="C800" i="10"/>
  <c r="D800" i="10"/>
  <c r="C801" i="10"/>
  <c r="D801" i="10"/>
  <c r="C802" i="10"/>
  <c r="D802" i="10"/>
  <c r="C803" i="10"/>
  <c r="D803" i="10"/>
  <c r="C804" i="10"/>
  <c r="D804" i="10"/>
  <c r="C805" i="10"/>
  <c r="D805" i="10"/>
  <c r="C806" i="10"/>
  <c r="D806" i="10"/>
  <c r="C807" i="10"/>
  <c r="D807" i="10"/>
  <c r="C808" i="10"/>
  <c r="D808" i="10"/>
  <c r="C809" i="10"/>
  <c r="D809" i="10"/>
  <c r="C810" i="10"/>
  <c r="D810" i="10"/>
  <c r="C811" i="10"/>
  <c r="D811" i="10"/>
  <c r="C812" i="10"/>
  <c r="D812" i="10"/>
  <c r="C813" i="10"/>
  <c r="D813" i="10"/>
  <c r="C814" i="10"/>
  <c r="D814" i="10"/>
  <c r="C815" i="10"/>
  <c r="D815" i="10"/>
  <c r="C816" i="10"/>
  <c r="D816" i="10"/>
  <c r="C817" i="10"/>
  <c r="D817" i="10"/>
  <c r="C818" i="10"/>
  <c r="D818" i="10"/>
  <c r="C819" i="10"/>
  <c r="D819" i="10"/>
  <c r="C820" i="10"/>
  <c r="D820" i="10"/>
  <c r="C821" i="10"/>
  <c r="D821" i="10"/>
  <c r="C822" i="10"/>
  <c r="D822" i="10"/>
  <c r="C823" i="10"/>
  <c r="D823" i="10"/>
  <c r="C824" i="10"/>
  <c r="D824" i="10"/>
  <c r="C825" i="10"/>
  <c r="D825" i="10"/>
  <c r="C826" i="10"/>
  <c r="D826" i="10"/>
  <c r="C827" i="10"/>
  <c r="D827" i="10"/>
  <c r="C828" i="10"/>
  <c r="D828" i="10"/>
  <c r="C829" i="10"/>
  <c r="D829" i="10"/>
  <c r="C830" i="10"/>
  <c r="D830" i="10"/>
  <c r="C831" i="10"/>
  <c r="D831" i="10"/>
  <c r="C832" i="10"/>
  <c r="D832" i="10"/>
  <c r="C833" i="10"/>
  <c r="D833" i="10"/>
  <c r="C834" i="10"/>
  <c r="D834" i="10"/>
  <c r="C835" i="10"/>
  <c r="D835" i="10"/>
  <c r="C836" i="10"/>
  <c r="D836" i="10"/>
  <c r="C837" i="10"/>
  <c r="D837" i="10"/>
  <c r="C838" i="10"/>
  <c r="D838" i="10"/>
  <c r="C839" i="10"/>
  <c r="D839" i="10"/>
  <c r="C840" i="10"/>
  <c r="D840" i="10"/>
  <c r="C841" i="10"/>
  <c r="D841" i="10"/>
  <c r="C842" i="10"/>
  <c r="D842" i="10"/>
  <c r="C843" i="10"/>
  <c r="D843" i="10"/>
  <c r="C844" i="10"/>
  <c r="D844" i="10"/>
  <c r="C845" i="10"/>
  <c r="D845" i="10"/>
  <c r="C846" i="10"/>
  <c r="D846" i="10"/>
  <c r="C847" i="10"/>
  <c r="D847" i="10"/>
  <c r="C848" i="10"/>
  <c r="D848" i="10"/>
  <c r="C849" i="10"/>
  <c r="D849" i="10"/>
  <c r="C850" i="10"/>
  <c r="D850" i="10"/>
  <c r="C851" i="10"/>
  <c r="D851" i="10"/>
  <c r="C852" i="10"/>
  <c r="D852" i="10"/>
  <c r="C853" i="10"/>
  <c r="D853" i="10"/>
  <c r="C854" i="10"/>
  <c r="D854" i="10"/>
  <c r="C855" i="10"/>
  <c r="D855" i="10"/>
  <c r="C856" i="10"/>
  <c r="D856" i="10"/>
  <c r="C857" i="10"/>
  <c r="D857" i="10"/>
  <c r="C858" i="10"/>
  <c r="D858" i="10"/>
  <c r="C859" i="10"/>
  <c r="D859" i="10"/>
  <c r="C860" i="10"/>
  <c r="D860" i="10"/>
  <c r="C861" i="10"/>
  <c r="D861" i="10"/>
  <c r="C862" i="10"/>
  <c r="D862" i="10"/>
  <c r="C863" i="10"/>
  <c r="D863" i="10"/>
  <c r="C864" i="10"/>
  <c r="D864" i="10"/>
  <c r="C865" i="10"/>
  <c r="D865" i="10"/>
  <c r="C866" i="10"/>
  <c r="D866" i="10"/>
  <c r="C867" i="10"/>
  <c r="D867" i="10"/>
  <c r="C868" i="10"/>
  <c r="D868" i="10"/>
  <c r="C869" i="10"/>
  <c r="D869" i="10"/>
  <c r="C870" i="10"/>
  <c r="D870" i="10"/>
  <c r="C871" i="10"/>
  <c r="D871" i="10"/>
  <c r="C872" i="10"/>
  <c r="D872" i="10"/>
  <c r="C873" i="10"/>
  <c r="D873" i="10"/>
  <c r="C874" i="10"/>
  <c r="D874" i="10"/>
  <c r="C875" i="10"/>
  <c r="D875" i="10"/>
  <c r="C876" i="10"/>
  <c r="D876" i="10"/>
  <c r="C877" i="10"/>
  <c r="D877" i="10"/>
  <c r="C878" i="10"/>
  <c r="D878" i="10"/>
  <c r="C879" i="10"/>
  <c r="D879" i="10"/>
  <c r="C880" i="10"/>
  <c r="D880" i="10"/>
  <c r="C881" i="10"/>
  <c r="D881" i="10"/>
  <c r="C882" i="10"/>
  <c r="D882" i="10"/>
  <c r="C883" i="10"/>
  <c r="D883" i="10"/>
  <c r="C884" i="10"/>
  <c r="D884" i="10"/>
  <c r="C885" i="10"/>
  <c r="D885" i="10"/>
  <c r="C886" i="10"/>
  <c r="D886" i="10"/>
  <c r="C887" i="10"/>
  <c r="D887" i="10"/>
  <c r="C888" i="10"/>
  <c r="D888" i="10"/>
  <c r="C889" i="10"/>
  <c r="D889" i="10"/>
  <c r="C890" i="10"/>
  <c r="D890" i="10"/>
  <c r="C891" i="10"/>
  <c r="D891" i="10"/>
  <c r="C892" i="10"/>
  <c r="D892" i="10"/>
  <c r="C893" i="10"/>
  <c r="D893" i="10"/>
  <c r="C894" i="10"/>
  <c r="D894" i="10"/>
  <c r="C895" i="10"/>
  <c r="D895" i="10"/>
  <c r="C896" i="10"/>
  <c r="D896" i="10"/>
  <c r="C897" i="10"/>
  <c r="D897" i="10"/>
  <c r="C898" i="10"/>
  <c r="D898" i="10"/>
  <c r="C899" i="10"/>
  <c r="D899" i="10"/>
  <c r="C900" i="10"/>
  <c r="D900" i="10"/>
  <c r="C901" i="10"/>
  <c r="D901" i="10"/>
  <c r="C902" i="10"/>
  <c r="D902" i="10"/>
  <c r="C903" i="10"/>
  <c r="D903" i="10"/>
  <c r="C904" i="10"/>
  <c r="D904" i="10"/>
  <c r="C905" i="10"/>
  <c r="D905" i="10"/>
  <c r="C906" i="10"/>
  <c r="D906" i="10"/>
  <c r="C907" i="10"/>
  <c r="D907" i="10"/>
  <c r="C908" i="10"/>
  <c r="D908" i="10"/>
  <c r="C909" i="10"/>
  <c r="D909" i="10"/>
  <c r="C910" i="10"/>
  <c r="D910" i="10"/>
  <c r="C911" i="10"/>
  <c r="D911" i="10"/>
  <c r="C912" i="10"/>
  <c r="D912" i="10"/>
  <c r="C913" i="10"/>
  <c r="D913" i="10"/>
  <c r="C914" i="10"/>
  <c r="D914" i="10"/>
  <c r="C915" i="10"/>
  <c r="D915" i="10"/>
  <c r="C916" i="10"/>
  <c r="D916" i="10"/>
  <c r="C917" i="10"/>
  <c r="D917" i="10"/>
  <c r="C918" i="10"/>
  <c r="D918" i="10"/>
  <c r="C919" i="10"/>
  <c r="D919" i="10"/>
  <c r="C920" i="10"/>
  <c r="D920" i="10"/>
  <c r="C921" i="10"/>
  <c r="D921" i="10"/>
  <c r="C922" i="10"/>
  <c r="D922" i="10"/>
  <c r="C923" i="10"/>
  <c r="D923" i="10"/>
  <c r="C924" i="10"/>
  <c r="D924" i="10"/>
  <c r="C925" i="10"/>
  <c r="D925" i="10"/>
  <c r="C926" i="10"/>
  <c r="D926" i="10"/>
  <c r="C927" i="10"/>
  <c r="D927" i="10"/>
  <c r="C928" i="10"/>
  <c r="D928" i="10"/>
  <c r="C929" i="10"/>
  <c r="D929" i="10"/>
  <c r="C930" i="10"/>
  <c r="D930" i="10"/>
  <c r="C931" i="10"/>
  <c r="D931" i="10"/>
  <c r="C932" i="10"/>
  <c r="D932" i="10"/>
  <c r="C933" i="10"/>
  <c r="D933" i="10"/>
  <c r="C934" i="10"/>
  <c r="D934" i="10"/>
  <c r="C935" i="10"/>
  <c r="D935" i="10"/>
  <c r="C936" i="10"/>
  <c r="D936" i="10"/>
  <c r="C937" i="10"/>
  <c r="D937" i="10"/>
  <c r="C938" i="10"/>
  <c r="D938" i="10"/>
  <c r="C939" i="10"/>
  <c r="D939" i="10"/>
  <c r="C940" i="10"/>
  <c r="D940" i="10"/>
  <c r="C941" i="10"/>
  <c r="D941" i="10"/>
  <c r="C942" i="10"/>
  <c r="D942" i="10"/>
  <c r="C943" i="10"/>
  <c r="D943" i="10"/>
  <c r="C944" i="10"/>
  <c r="D944" i="10"/>
  <c r="C945" i="10"/>
  <c r="D945" i="10"/>
  <c r="C946" i="10"/>
  <c r="D946" i="10"/>
  <c r="C947" i="10"/>
  <c r="D947" i="10"/>
  <c r="C948" i="10"/>
  <c r="D948" i="10"/>
  <c r="C949" i="10"/>
  <c r="D949" i="10"/>
  <c r="C950" i="10"/>
  <c r="D950" i="10"/>
  <c r="C951" i="10"/>
  <c r="D951" i="10"/>
  <c r="C952" i="10"/>
  <c r="D952" i="10"/>
  <c r="C953" i="10"/>
  <c r="D953" i="10"/>
  <c r="C954" i="10"/>
  <c r="D954" i="10"/>
  <c r="C955" i="10"/>
  <c r="D955" i="10"/>
  <c r="C956" i="10"/>
  <c r="D956" i="10"/>
  <c r="C957" i="10"/>
  <c r="D957" i="10"/>
  <c r="C958" i="10"/>
  <c r="D958" i="10"/>
  <c r="C959" i="10"/>
  <c r="D959" i="10"/>
  <c r="C960" i="10"/>
  <c r="D960" i="10"/>
  <c r="C961" i="10"/>
  <c r="D961" i="10"/>
  <c r="C962" i="10"/>
  <c r="D962" i="10"/>
  <c r="C963" i="10"/>
  <c r="D963" i="10"/>
  <c r="C964" i="10"/>
  <c r="D964" i="10"/>
  <c r="C965" i="10"/>
  <c r="D965" i="10"/>
  <c r="C966" i="10"/>
  <c r="D966" i="10"/>
  <c r="C967" i="10"/>
  <c r="D967" i="10"/>
  <c r="C968" i="10"/>
  <c r="D968" i="10"/>
  <c r="C969" i="10"/>
  <c r="D969" i="10"/>
  <c r="C970" i="10"/>
  <c r="D970" i="10"/>
  <c r="C971" i="10"/>
  <c r="D971" i="10"/>
  <c r="C972" i="10"/>
  <c r="D972" i="10"/>
  <c r="C973" i="10"/>
  <c r="D973" i="10"/>
  <c r="C975" i="10"/>
  <c r="D975" i="10"/>
  <c r="C976" i="10"/>
  <c r="D976" i="10"/>
  <c r="C977" i="10"/>
  <c r="D977" i="10"/>
  <c r="C978" i="10"/>
  <c r="D978" i="10"/>
  <c r="C979" i="10"/>
  <c r="D979" i="10"/>
  <c r="C980" i="10"/>
  <c r="D980" i="10"/>
  <c r="C981" i="10"/>
  <c r="D981" i="10"/>
  <c r="C982" i="10"/>
  <c r="D982" i="10"/>
  <c r="C983" i="10"/>
  <c r="D983" i="10"/>
  <c r="C985" i="10"/>
  <c r="D985" i="10"/>
  <c r="C986" i="10"/>
  <c r="D986" i="10"/>
  <c r="C987" i="10"/>
  <c r="D987" i="10"/>
  <c r="C988" i="10"/>
  <c r="D988" i="10"/>
  <c r="C989" i="10"/>
  <c r="D989" i="10"/>
  <c r="C990" i="10"/>
  <c r="D990" i="10"/>
  <c r="C991" i="10"/>
  <c r="D991" i="10"/>
  <c r="C992" i="10"/>
  <c r="D992" i="10"/>
  <c r="C993" i="10"/>
  <c r="D993" i="10"/>
  <c r="C994" i="10"/>
  <c r="D994" i="10"/>
  <c r="C995" i="10"/>
  <c r="D995" i="10"/>
  <c r="C996" i="10"/>
  <c r="D996" i="10"/>
  <c r="C997" i="10"/>
  <c r="D997" i="10"/>
  <c r="C998" i="10"/>
  <c r="D998" i="10"/>
  <c r="C999" i="10"/>
  <c r="D999" i="10"/>
  <c r="C1000" i="10"/>
  <c r="D1000" i="10"/>
  <c r="C1001" i="10"/>
  <c r="D1001" i="10"/>
  <c r="C1002" i="10"/>
  <c r="D1002" i="10"/>
  <c r="C1003" i="10"/>
  <c r="D1003" i="10"/>
  <c r="C1004" i="10"/>
  <c r="D1004" i="10"/>
  <c r="C1005" i="10"/>
  <c r="D1005" i="10"/>
  <c r="C1006" i="10"/>
  <c r="D1006" i="10"/>
  <c r="C1007" i="10"/>
  <c r="D1007" i="10"/>
  <c r="C1008" i="10"/>
  <c r="D1008" i="10"/>
  <c r="C1009" i="10"/>
  <c r="D1009" i="10"/>
  <c r="C1010" i="10"/>
  <c r="D1010" i="10"/>
  <c r="C1011" i="10"/>
  <c r="D1011" i="10"/>
  <c r="C1012" i="10"/>
  <c r="D1012" i="10"/>
  <c r="C1013" i="10"/>
  <c r="D1013" i="10"/>
  <c r="C1014" i="10"/>
  <c r="D1014" i="10"/>
  <c r="C1015" i="10"/>
  <c r="D1015" i="10"/>
  <c r="C1016" i="10"/>
  <c r="D1016" i="10"/>
  <c r="C1017" i="10"/>
  <c r="D1017" i="10"/>
  <c r="C1018" i="10"/>
  <c r="D1018" i="10"/>
  <c r="C1019" i="10"/>
  <c r="D1019" i="10"/>
  <c r="C1020" i="10"/>
  <c r="D1020" i="10"/>
  <c r="C1021" i="10"/>
  <c r="D1021" i="10"/>
  <c r="C1022" i="10"/>
  <c r="D1022" i="10"/>
  <c r="C1023" i="10"/>
  <c r="D1023" i="10"/>
  <c r="C1024" i="10"/>
  <c r="D1024" i="10"/>
  <c r="C1025" i="10"/>
  <c r="D1025" i="10"/>
  <c r="C1026" i="10"/>
  <c r="D1026" i="10"/>
  <c r="C1027" i="10"/>
  <c r="D1027" i="10"/>
  <c r="C1028" i="10"/>
  <c r="D1028" i="10"/>
  <c r="C1029" i="10"/>
  <c r="D1029" i="10"/>
  <c r="C1030" i="10"/>
  <c r="D1030" i="10"/>
  <c r="C1031" i="10"/>
  <c r="D1031" i="10"/>
  <c r="C1032" i="10"/>
  <c r="D1032" i="10"/>
  <c r="C1033" i="10"/>
  <c r="D1033" i="10"/>
  <c r="C1034" i="10"/>
  <c r="D1034" i="10"/>
  <c r="C1035" i="10"/>
  <c r="D1035" i="10"/>
  <c r="C1036" i="10"/>
  <c r="D1036" i="10"/>
  <c r="C1037" i="10"/>
  <c r="D1037" i="10"/>
  <c r="C1038" i="10"/>
  <c r="D1038" i="10"/>
  <c r="C1039" i="10"/>
  <c r="D1039" i="10"/>
  <c r="C1040" i="10"/>
  <c r="D1040" i="10"/>
  <c r="C1041" i="10"/>
  <c r="D1041" i="10"/>
  <c r="C1042" i="10"/>
  <c r="D1042" i="10"/>
  <c r="C1043" i="10"/>
  <c r="D1043" i="10"/>
  <c r="C1044" i="10"/>
  <c r="D1044" i="10"/>
</calcChain>
</file>

<file path=xl/sharedStrings.xml><?xml version="1.0" encoding="utf-8"?>
<sst xmlns="http://schemas.openxmlformats.org/spreadsheetml/2006/main" count="568" uniqueCount="92">
  <si>
    <t>RP</t>
  </si>
  <si>
    <t>AAL</t>
  </si>
  <si>
    <t xml:space="preserve">% of total asset value </t>
  </si>
  <si>
    <t>Housing</t>
  </si>
  <si>
    <t>US$ million</t>
  </si>
  <si>
    <t>Services Sector</t>
  </si>
  <si>
    <t xml:space="preserve">Productive Sector </t>
  </si>
  <si>
    <t>Roads</t>
  </si>
  <si>
    <t>Schools</t>
  </si>
  <si>
    <t>Health Centers</t>
  </si>
  <si>
    <t>no adaptation</t>
  </si>
  <si>
    <t>with adaptation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</si>
  <si>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</si>
  <si>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</si>
  <si>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</si>
  <si>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</si>
  <si>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</si>
  <si>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</si>
  <si>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</si>
  <si>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</si>
  <si>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</si>
  <si>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Kratié</t>
  </si>
  <si>
    <t>Mondulkiri</t>
  </si>
  <si>
    <t>Phnom Penh</t>
  </si>
  <si>
    <t>Preah Vihear</t>
  </si>
  <si>
    <t>Prey Veng</t>
  </si>
  <si>
    <t>Pursat</t>
  </si>
  <si>
    <t>Ratanakiri</t>
  </si>
  <si>
    <t>Siem Reap</t>
  </si>
  <si>
    <t>Preah Sihanouk</t>
  </si>
  <si>
    <t>Stung Treng</t>
  </si>
  <si>
    <t>Svay Rieng</t>
  </si>
  <si>
    <t>Takéo</t>
  </si>
  <si>
    <t>Oddar Meanchey</t>
  </si>
  <si>
    <t>Kep</t>
  </si>
  <si>
    <t>Pailin</t>
  </si>
  <si>
    <t>Tboung Khmum</t>
  </si>
  <si>
    <t>Total</t>
  </si>
  <si>
    <t xml:space="preserve">Number </t>
  </si>
  <si>
    <t>%</t>
  </si>
  <si>
    <t>Base year</t>
  </si>
  <si>
    <t xml:space="preserve">Base year 2020 (no climate change) </t>
  </si>
  <si>
    <t>with socio-economic projections</t>
  </si>
  <si>
    <t>no socio-economic projections</t>
  </si>
  <si>
    <t>Number</t>
  </si>
  <si>
    <t>% of asset</t>
  </si>
  <si>
    <t>km</t>
  </si>
  <si>
    <t>Year 2050 (SSP585, no adaptation, no socio-economic projections)</t>
  </si>
  <si>
    <t>Year 2050 (SSP585, no adaptation, with socio-economic projections)</t>
  </si>
  <si>
    <t>Year 2050 (SSP585, with adaptation, no socio-economic projections)</t>
  </si>
  <si>
    <t>Year 2050 (SSP585, with adaptation, with socio-economic projections)</t>
  </si>
  <si>
    <t>Year 2050 (SSP126, no adaptation, no socio-economic projections)</t>
  </si>
  <si>
    <t>Year 2050 (SSP126, no adaptation, with socio-economic projections)</t>
  </si>
  <si>
    <t>Year 2050 (SSP126, with adaptation, no socio-economic projections)</t>
  </si>
  <si>
    <t>Year 2050 (SSP126, with adaptation, with socio-economic projections)</t>
  </si>
  <si>
    <t>SSP126</t>
  </si>
  <si>
    <t>SSP585</t>
  </si>
  <si>
    <t xml:space="preserve">Baseline period (1981 - 2016) </t>
  </si>
  <si>
    <t xml:space="preserve">This mock data is based on Iizumi (2019), covering 1981-2016. </t>
  </si>
  <si>
    <t>Crop Yield - Maize</t>
  </si>
  <si>
    <t>Crop Yield - Rice</t>
  </si>
  <si>
    <t>Production loss* (tonne/ha)</t>
  </si>
  <si>
    <t>Reduction (% below expected yield)</t>
  </si>
  <si>
    <t>Production loss* (tonne)</t>
  </si>
  <si>
    <t>*Production based on average expected production of last 5 years</t>
  </si>
  <si>
    <t>Production* (tonne/ha)</t>
  </si>
  <si>
    <t>Production* (tonne)</t>
  </si>
  <si>
    <t>weighted average</t>
  </si>
  <si>
    <t>weighted average (%of damage of total capital in the dataset)</t>
  </si>
  <si>
    <t>housing</t>
  </si>
  <si>
    <t>services</t>
  </si>
  <si>
    <t>sector</t>
  </si>
  <si>
    <t>productive</t>
  </si>
  <si>
    <t>roads</t>
  </si>
  <si>
    <t>schools</t>
  </si>
  <si>
    <t>health centers</t>
  </si>
  <si>
    <t>total asset value</t>
  </si>
  <si>
    <t>asset value (all sectors)</t>
  </si>
  <si>
    <t>%AAL per sector</t>
  </si>
  <si>
    <t>CGE interpolation</t>
  </si>
  <si>
    <t>Services</t>
  </si>
  <si>
    <t>Return Period</t>
  </si>
  <si>
    <t>Exceedance Probability (1/return period)</t>
  </si>
  <si>
    <t>Probable Maximum Losses (US$million)</t>
  </si>
  <si>
    <t>Probable Maximum Losses (% value)</t>
  </si>
  <si>
    <t>Probable Maximum Losses</t>
  </si>
  <si>
    <t>Productive</t>
  </si>
  <si>
    <t>Health centers</t>
  </si>
  <si>
    <t>Hazard  ID</t>
  </si>
  <si>
    <t>Probability</t>
  </si>
  <si>
    <t>Estimated Damages (US$ million)</t>
  </si>
  <si>
    <t>Productive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</si>
</sst>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00000"/>
  </numFmts>
  <fonts count="20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7"/>
      <color rgb="FF202122"/>
      <name val="Arial"/>
      <family val="2"/>
    </font>
    <font>
      <i/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2"/>
      <color rgb="FF0000FF"/>
      <name val="Inherit"/>
    </font>
    <font>
      <u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u/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3" xfId="0" applyFont="1" applyBorder="1"/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1" fillId="2" borderId="0" xfId="0" applyFont="1" applyFill="1"/>
    <xf numFmtId="0" fontId="0" fillId="2" borderId="7" xfId="0" applyFill="1" applyBorder="1"/>
    <xf numFmtId="2" fontId="1" fillId="0" borderId="0" xfId="0" applyNumberFormat="1" applyFont="1"/>
    <xf numFmtId="2" fontId="1" fillId="0" borderId="3" xfId="0" applyNumberFormat="1" applyFont="1" applyBorder="1"/>
    <xf numFmtId="2" fontId="0" fillId="2" borderId="0" xfId="0" applyNumberFormat="1" applyFill="1"/>
    <xf numFmtId="2" fontId="0" fillId="2" borderId="2" xfId="0" applyNumberFormat="1" applyFill="1" applyBorder="1"/>
    <xf numFmtId="1" fontId="0" fillId="2" borderId="0" xfId="0" applyNumberFormat="1" applyFill="1"/>
    <xf numFmtId="1" fontId="0" fillId="2" borderId="2" xfId="0" applyNumberFormat="1" applyFill="1" applyBorder="1"/>
    <xf numFmtId="1" fontId="0" fillId="2" borderId="3" xfId="0" applyNumberFormat="1" applyFill="1" applyBorder="1"/>
    <xf numFmtId="2" fontId="0" fillId="0" borderId="0" xfId="0" applyNumberFormat="1"/>
    <xf numFmtId="0" fontId="1" fillId="3" borderId="0" xfId="0" applyFont="1" applyFill="1"/>
    <xf numFmtId="0" fontId="2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9" fontId="1" fillId="0" borderId="0" xfId="0" applyNumberFormat="1" applyFont="1"/>
    <xf numFmtId="0" fontId="1" fillId="3" borderId="3" xfId="0" applyFont="1" applyFill="1" applyBorder="1"/>
    <xf numFmtId="0" fontId="4" fillId="0" borderId="0" xfId="0" applyFont="1"/>
    <xf numFmtId="0" fontId="1" fillId="0" borderId="3" xfId="0" applyFont="1" applyBorder="1" applyAlignment="1">
      <alignment vertical="center"/>
    </xf>
    <xf numFmtId="2" fontId="1" fillId="4" borderId="3" xfId="0" applyNumberFormat="1" applyFont="1" applyFill="1" applyBorder="1"/>
    <xf numFmtId="2" fontId="1" fillId="4" borderId="0" xfId="0" applyNumberFormat="1" applyFont="1" applyFill="1"/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1" fillId="4" borderId="0" xfId="0" applyFont="1" applyFill="1"/>
    <xf numFmtId="2" fontId="1" fillId="0" borderId="1" xfId="0" applyNumberFormat="1" applyFont="1" applyBorder="1"/>
    <xf numFmtId="2" fontId="2" fillId="0" borderId="3" xfId="0" applyNumberFormat="1" applyFont="1" applyBorder="1"/>
    <xf numFmtId="2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0" xfId="0" applyNumberFormat="1" applyFont="1"/>
    <xf numFmtId="2" fontId="1" fillId="0" borderId="0" xfId="0" applyNumberFormat="1" applyFont="1" applyAlignment="1">
      <alignment vertical="center"/>
    </xf>
    <xf numFmtId="2" fontId="1" fillId="5" borderId="0" xfId="0" applyNumberFormat="1" applyFont="1" applyFill="1"/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5" fillId="0" borderId="0" xfId="0" applyNumberFormat="1" applyFont="1"/>
    <xf numFmtId="2" fontId="0" fillId="0" borderId="3" xfId="0" applyNumberFormat="1" applyBorder="1"/>
    <xf numFmtId="2" fontId="6" fillId="0" borderId="0" xfId="0" applyNumberFormat="1" applyFont="1"/>
    <xf numFmtId="0" fontId="7" fillId="0" borderId="0" xfId="0" applyFont="1"/>
    <xf numFmtId="2" fontId="8" fillId="0" borderId="0" xfId="0" applyNumberFormat="1" applyFont="1"/>
    <xf numFmtId="0" fontId="9" fillId="0" borderId="0" xfId="0" applyFont="1"/>
    <xf numFmtId="166" fontId="1" fillId="5" borderId="0" xfId="0" applyNumberFormat="1" applyFont="1" applyFill="1"/>
    <xf numFmtId="0" fontId="10" fillId="0" borderId="0" xfId="0" applyFont="1"/>
    <xf numFmtId="2" fontId="10" fillId="0" borderId="0" xfId="0" applyNumberFormat="1" applyFont="1"/>
    <xf numFmtId="167" fontId="1" fillId="5" borderId="0" xfId="0" applyNumberFormat="1" applyFont="1" applyFill="1"/>
    <xf numFmtId="2" fontId="11" fillId="0" borderId="0" xfId="0" applyNumberFormat="1" applyFont="1"/>
    <xf numFmtId="0" fontId="11" fillId="0" borderId="0" xfId="0" applyFont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9" xfId="0" applyBorder="1"/>
    <xf numFmtId="10" fontId="0" fillId="0" borderId="7" xfId="0" applyNumberFormat="1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2" fontId="2" fillId="0" borderId="11" xfId="0" applyNumberFormat="1" applyFont="1" applyBorder="1"/>
    <xf numFmtId="2" fontId="12" fillId="0" borderId="1" xfId="0" applyNumberFormat="1" applyFont="1" applyBorder="1"/>
    <xf numFmtId="2" fontId="2" fillId="0" borderId="12" xfId="0" applyNumberFormat="1" applyFont="1" applyBorder="1"/>
    <xf numFmtId="2" fontId="1" fillId="0" borderId="9" xfId="0" applyNumberFormat="1" applyFont="1" applyBorder="1"/>
    <xf numFmtId="2" fontId="1" fillId="0" borderId="7" xfId="0" applyNumberFormat="1" applyFont="1" applyBorder="1"/>
    <xf numFmtId="0" fontId="1" fillId="0" borderId="9" xfId="0" applyFont="1" applyBorder="1"/>
    <xf numFmtId="2" fontId="2" fillId="0" borderId="7" xfId="0" applyNumberFormat="1" applyFont="1" applyBorder="1"/>
    <xf numFmtId="2" fontId="2" fillId="0" borderId="10" xfId="0" applyNumberFormat="1" applyFont="1" applyBorder="1"/>
    <xf numFmtId="2" fontId="2" fillId="0" borderId="8" xfId="0" applyNumberFormat="1" applyFont="1" applyBorder="1"/>
    <xf numFmtId="1" fontId="2" fillId="0" borderId="0" xfId="0" applyNumberFormat="1" applyFont="1"/>
    <xf numFmtId="167" fontId="1" fillId="6" borderId="0" xfId="0" applyNumberFormat="1" applyFont="1" applyFill="1"/>
    <xf numFmtId="0" fontId="0" fillId="6" borderId="3" xfId="0" applyFill="1" applyBorder="1"/>
    <xf numFmtId="2" fontId="13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64" fontId="10" fillId="0" borderId="0" xfId="0" applyNumberFormat="1" applyFont="1"/>
    <xf numFmtId="0" fontId="14" fillId="0" borderId="11" xfId="0" applyFont="1" applyBorder="1"/>
    <xf numFmtId="0" fontId="14" fillId="0" borderId="1" xfId="0" applyFont="1" applyBorder="1"/>
    <xf numFmtId="0" fontId="14" fillId="0" borderId="12" xfId="0" applyFont="1" applyBorder="1"/>
    <xf numFmtId="0" fontId="14" fillId="0" borderId="9" xfId="0" applyFont="1" applyBorder="1"/>
    <xf numFmtId="2" fontId="15" fillId="0" borderId="0" xfId="0" applyNumberFormat="1" applyFont="1"/>
    <xf numFmtId="2" fontId="14" fillId="0" borderId="0" xfId="0" applyNumberFormat="1" applyFont="1"/>
    <xf numFmtId="10" fontId="14" fillId="0" borderId="7" xfId="0" applyNumberFormat="1" applyFont="1" applyBorder="1"/>
    <xf numFmtId="0" fontId="14" fillId="0" borderId="0" xfId="0" applyFont="1"/>
    <xf numFmtId="0" fontId="14" fillId="5" borderId="0" xfId="0" applyFont="1" applyFill="1"/>
    <xf numFmtId="0" fontId="14" fillId="0" borderId="7" xfId="0" applyFont="1" applyBorder="1"/>
    <xf numFmtId="0" fontId="16" fillId="0" borderId="10" xfId="0" applyFont="1" applyBorder="1"/>
    <xf numFmtId="0" fontId="14" fillId="0" borderId="3" xfId="0" applyFont="1" applyBorder="1"/>
    <xf numFmtId="2" fontId="15" fillId="0" borderId="3" xfId="0" applyNumberFormat="1" applyFont="1" applyBorder="1"/>
    <xf numFmtId="0" fontId="14" fillId="0" borderId="8" xfId="0" applyFont="1" applyBorder="1"/>
    <xf numFmtId="2" fontId="14" fillId="0" borderId="3" xfId="0" applyNumberFormat="1" applyFont="1" applyBorder="1"/>
    <xf numFmtId="2" fontId="14" fillId="4" borderId="3" xfId="0" applyNumberFormat="1" applyFont="1" applyFill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17" fillId="0" borderId="0" xfId="0" applyFont="1"/>
    <xf numFmtId="0" fontId="0" fillId="7" borderId="0" xfId="0" applyFill="1"/>
    <xf numFmtId="0" fontId="0" fillId="8" borderId="0" xfId="0" applyFill="1"/>
    <xf numFmtId="2" fontId="0" fillId="8" borderId="0" xfId="0" applyNumberFormat="1" applyFill="1"/>
    <xf numFmtId="2" fontId="1" fillId="7" borderId="0" xfId="0" applyNumberFormat="1" applyFont="1" applyFill="1" applyAlignment="1">
      <alignment vertical="center"/>
    </xf>
    <xf numFmtId="2" fontId="1" fillId="7" borderId="0" xfId="0" applyNumberFormat="1" applyFont="1" applyFill="1"/>
    <xf numFmtId="0" fontId="18" fillId="7" borderId="0" xfId="0" applyFont="1" applyFill="1"/>
    <xf numFmtId="0" fontId="18" fillId="8" borderId="0" xfId="0" applyFont="1" applyFill="1"/>
    <xf numFmtId="2" fontId="18" fillId="8" borderId="0" xfId="0" applyNumberFormat="1" applyFont="1" applyFill="1"/>
    <xf numFmtId="0" fontId="18" fillId="0" borderId="0" xfId="0" applyFont="1"/>
    <xf numFmtId="0" fontId="19" fillId="0" borderId="0" xfId="0" applyFont="1"/>
    <xf numFmtId="2" fontId="1" fillId="8" borderId="0" xfId="0" applyNumberFormat="1" applyFont="1" applyFill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b563660\AppData\Local\Microsoft\Windows\INetCache\Content.Outlook\ZF1KWWIX\data%20exchange_CCDR_0308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ood (national AAL PML)"/>
      <sheetName val="Calcs"/>
      <sheetName val="Drought (national AAL PML)"/>
      <sheetName val="Flood Affected Population"/>
      <sheetName val="Drought Affected Population"/>
      <sheetName val="Flood AAL (admin 1)"/>
      <sheetName val="Drought AAL (admin 1)"/>
    </sheetNames>
    <sheetDataSet>
      <sheetData sheetId="0" refreshError="1">
        <row r="6">
          <cell r="C6">
            <v>1.5623834261001326</v>
          </cell>
        </row>
        <row r="7">
          <cell r="C7">
            <v>1.8158097039480634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5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Kandal_province" TargetMode="External"/><Relationship Id="rId13" Type="http://schemas.openxmlformats.org/officeDocument/2006/relationships/hyperlink" Target="https://en.wikipedia.org/wiki/Preah_Vihear_province" TargetMode="External"/><Relationship Id="rId18" Type="http://schemas.openxmlformats.org/officeDocument/2006/relationships/hyperlink" Target="https://en.wikipedia.org/wiki/Sihanoukville_province" TargetMode="External"/><Relationship Id="rId26" Type="http://schemas.openxmlformats.org/officeDocument/2006/relationships/printerSettings" Target="../printerSettings/printerSettings7.bin"/><Relationship Id="rId3" Type="http://schemas.openxmlformats.org/officeDocument/2006/relationships/hyperlink" Target="https://en.wikipedia.org/wiki/Kampong_Cham_province" TargetMode="External"/><Relationship Id="rId21" Type="http://schemas.openxmlformats.org/officeDocument/2006/relationships/hyperlink" Target="https://en.wikipedia.org/wiki/Tak%C3%A9o_province" TargetMode="External"/><Relationship Id="rId7" Type="http://schemas.openxmlformats.org/officeDocument/2006/relationships/hyperlink" Target="https://en.wikipedia.org/wiki/Kampot_province" TargetMode="External"/><Relationship Id="rId12" Type="http://schemas.openxmlformats.org/officeDocument/2006/relationships/hyperlink" Target="https://en.wikipedia.org/wiki/Phnom_Penh" TargetMode="External"/><Relationship Id="rId17" Type="http://schemas.openxmlformats.org/officeDocument/2006/relationships/hyperlink" Target="https://en.wikipedia.org/wiki/Siem_Reap_province" TargetMode="External"/><Relationship Id="rId25" Type="http://schemas.openxmlformats.org/officeDocument/2006/relationships/hyperlink" Target="https://en.wikipedia.org/wiki/Tboung_Khmum_province" TargetMode="External"/><Relationship Id="rId2" Type="http://schemas.openxmlformats.org/officeDocument/2006/relationships/hyperlink" Target="https://en.wikipedia.org/wiki/Battambang_province" TargetMode="External"/><Relationship Id="rId16" Type="http://schemas.openxmlformats.org/officeDocument/2006/relationships/hyperlink" Target="https://en.wikipedia.org/wiki/Ratanakiri_province" TargetMode="External"/><Relationship Id="rId20" Type="http://schemas.openxmlformats.org/officeDocument/2006/relationships/hyperlink" Target="https://en.wikipedia.org/wiki/Svay_Rieng_province" TargetMode="External"/><Relationship Id="rId1" Type="http://schemas.openxmlformats.org/officeDocument/2006/relationships/hyperlink" Target="https://en.wikipedia.org/wiki/Banteay_Meanchey_province" TargetMode="External"/><Relationship Id="rId6" Type="http://schemas.openxmlformats.org/officeDocument/2006/relationships/hyperlink" Target="https://en.wikipedia.org/wiki/Kampong_Thom_province" TargetMode="External"/><Relationship Id="rId11" Type="http://schemas.openxmlformats.org/officeDocument/2006/relationships/hyperlink" Target="https://en.wikipedia.org/wiki/Mondulkiri_province" TargetMode="External"/><Relationship Id="rId24" Type="http://schemas.openxmlformats.org/officeDocument/2006/relationships/hyperlink" Target="https://en.wikipedia.org/wiki/Pailin_province" TargetMode="External"/><Relationship Id="rId5" Type="http://schemas.openxmlformats.org/officeDocument/2006/relationships/hyperlink" Target="https://en.wikipedia.org/wiki/Kampong_Speu_province" TargetMode="External"/><Relationship Id="rId15" Type="http://schemas.openxmlformats.org/officeDocument/2006/relationships/hyperlink" Target="https://en.wikipedia.org/wiki/Pursat_province" TargetMode="External"/><Relationship Id="rId23" Type="http://schemas.openxmlformats.org/officeDocument/2006/relationships/hyperlink" Target="https://en.wikipedia.org/wiki/Kep_province" TargetMode="External"/><Relationship Id="rId10" Type="http://schemas.openxmlformats.org/officeDocument/2006/relationships/hyperlink" Target="https://en.wikipedia.org/wiki/Krati%C3%A9_province" TargetMode="External"/><Relationship Id="rId19" Type="http://schemas.openxmlformats.org/officeDocument/2006/relationships/hyperlink" Target="https://en.wikipedia.org/wiki/Stung_Treng_province" TargetMode="External"/><Relationship Id="rId4" Type="http://schemas.openxmlformats.org/officeDocument/2006/relationships/hyperlink" Target="https://en.wikipedia.org/wiki/Kampong_Chhnang_province" TargetMode="External"/><Relationship Id="rId9" Type="http://schemas.openxmlformats.org/officeDocument/2006/relationships/hyperlink" Target="https://en.wikipedia.org/wiki/Koh_Kong_province" TargetMode="External"/><Relationship Id="rId14" Type="http://schemas.openxmlformats.org/officeDocument/2006/relationships/hyperlink" Target="https://en.wikipedia.org/wiki/Prey_Veng_province" TargetMode="External"/><Relationship Id="rId22" Type="http://schemas.openxmlformats.org/officeDocument/2006/relationships/hyperlink" Target="https://en.wikipedia.org/wiki/Oddar_Meanchey_provi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8271-DC26-4EF4-91FC-4237CF1C3FA0}">
  <dimension ref="A2:BY98"/>
  <sheetViews>
    <sheetView zoomScale="86" zoomScaleNormal="400" workbookViewId="0">
      <selection activeCell="N12" sqref="N12"/>
    </sheetView>
  </sheetViews>
  <sheetFormatPr defaultColWidth="8.81640625" defaultRowHeight="14.5"/>
  <cols>
    <col min="1" max="1" width="14.6328125" style="26" customWidth="1"/>
    <col min="2" max="2" width="9.81640625" style="26" customWidth="1"/>
    <col min="3" max="3" width="10.453125" style="26" customWidth="1"/>
    <col min="4" max="4" width="13.6328125" style="26" customWidth="1"/>
    <col min="5" max="5" width="11.36328125" style="26" customWidth="1"/>
    <col min="6" max="6" width="12.6328125" style="26" customWidth="1"/>
    <col min="7" max="7" width="8.81640625" style="26"/>
    <col min="8" max="9" width="9" style="26" bestFit="1" customWidth="1"/>
    <col min="10" max="10" width="11.1796875" style="26" bestFit="1" customWidth="1"/>
    <col min="11" max="11" width="9" style="26" bestFit="1" customWidth="1"/>
    <col min="12" max="15" width="8.81640625" style="26"/>
    <col min="16" max="16" width="10.6328125" style="26" bestFit="1" customWidth="1"/>
    <col min="17" max="19" width="8.81640625" style="26"/>
    <col min="20" max="20" width="16.453125" style="26" customWidth="1"/>
    <col min="21" max="46" width="8.81640625" style="26"/>
    <col min="49" max="55" width="8.81640625" style="26"/>
    <col min="56" max="56" width="9.1796875" style="26" bestFit="1" customWidth="1"/>
    <col min="57" max="74" width="8.81640625" style="26"/>
    <col min="76" max="16384" width="8.81640625" style="26"/>
  </cols>
  <sheetData>
    <row r="2" spans="1:77">
      <c r="A2" s="58" t="s">
        <v>41</v>
      </c>
      <c r="B2" s="19"/>
      <c r="AE2" s="49"/>
      <c r="AF2" s="49"/>
      <c r="AG2" s="20" t="s">
        <v>3</v>
      </c>
      <c r="AH2" s="49"/>
      <c r="AI2" s="49"/>
      <c r="AJ2" s="49"/>
      <c r="AN2" s="49"/>
      <c r="AO2" s="49" t="s">
        <v>80</v>
      </c>
      <c r="AP2" s="49"/>
      <c r="AQ2" s="49"/>
      <c r="AR2" s="49"/>
      <c r="AS2" s="49"/>
      <c r="AW2" s="49" t="s">
        <v>6</v>
      </c>
      <c r="AX2" s="49"/>
      <c r="AY2" s="49"/>
      <c r="AZ2" s="49"/>
      <c r="BA2" s="49"/>
      <c r="BE2" s="49" t="s">
        <v>7</v>
      </c>
      <c r="BF2" s="49"/>
      <c r="BG2" s="49"/>
      <c r="BH2" s="49"/>
      <c r="BI2" s="49"/>
      <c r="BM2" s="49" t="s">
        <v>8</v>
      </c>
      <c r="BN2" s="49"/>
      <c r="BO2" s="49"/>
      <c r="BP2" s="49"/>
      <c r="BQ2" s="49"/>
      <c r="BU2" s="49" t="s">
        <v>9</v>
      </c>
      <c r="BV2" s="49"/>
      <c r="BW2" s="49"/>
      <c r="BX2" s="49"/>
      <c r="BY2" s="49"/>
    </row>
    <row r="3" spans="1:77" s="19" customFormat="1"/>
    <row r="4" spans="1:77" s="19" customFormat="1">
      <c r="A4" s="39" t="s">
        <v>0</v>
      </c>
      <c r="B4" s="100" t="s">
        <v>3</v>
      </c>
      <c r="C4" s="100"/>
      <c r="D4" s="100" t="s">
        <v>5</v>
      </c>
      <c r="E4" s="100"/>
      <c r="F4" s="100" t="s">
        <v>6</v>
      </c>
      <c r="G4" s="100"/>
      <c r="H4" s="100" t="s">
        <v>7</v>
      </c>
      <c r="I4" s="100"/>
      <c r="J4" s="100"/>
      <c r="K4" s="100"/>
      <c r="L4" s="100" t="s">
        <v>8</v>
      </c>
      <c r="M4" s="100"/>
      <c r="N4" s="100"/>
      <c r="O4" s="100"/>
      <c r="P4" s="100" t="s">
        <v>9</v>
      </c>
      <c r="Q4" s="100"/>
      <c r="R4" s="100"/>
      <c r="S4" s="100"/>
      <c r="AF4" s="19">
        <v>1</v>
      </c>
      <c r="AG4" s="19">
        <f>1/AG5</f>
        <v>0.1</v>
      </c>
      <c r="AH4" s="19">
        <f>1/AH5</f>
        <v>0.04</v>
      </c>
      <c r="AI4" s="19">
        <f>1/AI5</f>
        <v>0.01</v>
      </c>
      <c r="AJ4" s="19">
        <f>1/AJ5</f>
        <v>5.0000000000000001E-3</v>
      </c>
      <c r="AO4" s="19">
        <v>1</v>
      </c>
      <c r="AP4" s="19">
        <f>1/AP5</f>
        <v>0.1</v>
      </c>
      <c r="AQ4" s="19">
        <f>1/AQ5</f>
        <v>0.04</v>
      </c>
      <c r="AR4" s="19">
        <f>1/AR5</f>
        <v>0.01</v>
      </c>
      <c r="AS4" s="19">
        <f>1/AS5</f>
        <v>5.0000000000000001E-3</v>
      </c>
      <c r="AW4" s="19">
        <v>1</v>
      </c>
      <c r="AX4" s="19">
        <f>1/AX5</f>
        <v>0.1</v>
      </c>
      <c r="AY4" s="19">
        <f>1/AY5</f>
        <v>0.04</v>
      </c>
      <c r="AZ4" s="19">
        <f>1/AZ5</f>
        <v>0.01</v>
      </c>
      <c r="BA4" s="19">
        <f>1/BA5</f>
        <v>5.0000000000000001E-3</v>
      </c>
      <c r="BE4" s="19">
        <v>1</v>
      </c>
      <c r="BF4" s="19">
        <f>1/BF5</f>
        <v>0.1</v>
      </c>
      <c r="BG4" s="19">
        <f>1/BG5</f>
        <v>0.04</v>
      </c>
      <c r="BH4" s="19">
        <f>1/BH5</f>
        <v>0.01</v>
      </c>
      <c r="BI4" s="19">
        <f>1/BI5</f>
        <v>5.0000000000000001E-3</v>
      </c>
      <c r="BM4" s="19">
        <v>1</v>
      </c>
      <c r="BN4" s="19">
        <f>1/BN5</f>
        <v>0.1</v>
      </c>
      <c r="BO4" s="19">
        <f>1/BO5</f>
        <v>0.04</v>
      </c>
      <c r="BP4" s="19">
        <f>1/BP5</f>
        <v>0.01</v>
      </c>
      <c r="BQ4" s="19">
        <f>1/BQ5</f>
        <v>5.0000000000000001E-3</v>
      </c>
      <c r="BU4" s="19">
        <v>1</v>
      </c>
      <c r="BV4" s="19">
        <f>1/BV5</f>
        <v>0.1</v>
      </c>
      <c r="BW4" s="19">
        <f>1/BW5</f>
        <v>0.04</v>
      </c>
      <c r="BX4" s="19">
        <f>1/BX5</f>
        <v>0.01</v>
      </c>
      <c r="BY4" s="19">
        <f>1/BY5</f>
        <v>5.0000000000000001E-3</v>
      </c>
    </row>
    <row r="5" spans="1:77" s="43" customFormat="1" ht="24">
      <c r="A5" s="40"/>
      <c r="B5" s="41" t="s">
        <v>4</v>
      </c>
      <c r="C5" s="42" t="s">
        <v>2</v>
      </c>
      <c r="D5" s="41" t="s">
        <v>4</v>
      </c>
      <c r="E5" s="42" t="s">
        <v>2</v>
      </c>
      <c r="F5" s="41" t="s">
        <v>4</v>
      </c>
      <c r="G5" s="42" t="s">
        <v>2</v>
      </c>
      <c r="H5" s="41" t="s">
        <v>46</v>
      </c>
      <c r="I5" s="41" t="s">
        <v>45</v>
      </c>
      <c r="J5" s="41" t="s">
        <v>4</v>
      </c>
      <c r="K5" s="42" t="s">
        <v>2</v>
      </c>
      <c r="L5" s="41" t="s">
        <v>44</v>
      </c>
      <c r="M5" s="41" t="s">
        <v>45</v>
      </c>
      <c r="N5" s="41" t="s">
        <v>4</v>
      </c>
      <c r="O5" s="42" t="s">
        <v>2</v>
      </c>
      <c r="P5" s="41" t="s">
        <v>44</v>
      </c>
      <c r="Q5" s="41" t="s">
        <v>45</v>
      </c>
      <c r="R5" s="41" t="s">
        <v>4</v>
      </c>
      <c r="S5" s="42" t="s">
        <v>2</v>
      </c>
      <c r="Z5" s="68"/>
      <c r="AA5" s="69" t="s">
        <v>79</v>
      </c>
      <c r="AB5" s="70"/>
      <c r="AE5" s="43" t="s">
        <v>0</v>
      </c>
      <c r="AF5" s="43">
        <v>1</v>
      </c>
      <c r="AG5" s="77">
        <v>10</v>
      </c>
      <c r="AH5" s="77">
        <v>25</v>
      </c>
      <c r="AI5" s="77">
        <v>100</v>
      </c>
      <c r="AJ5" s="77">
        <v>200</v>
      </c>
      <c r="AN5" s="43" t="s">
        <v>0</v>
      </c>
      <c r="AO5" s="43">
        <v>1</v>
      </c>
      <c r="AP5" s="77">
        <v>10</v>
      </c>
      <c r="AQ5" s="77">
        <v>25</v>
      </c>
      <c r="AR5" s="77">
        <v>100</v>
      </c>
      <c r="AS5" s="77">
        <v>200</v>
      </c>
      <c r="AW5" s="43">
        <v>1</v>
      </c>
      <c r="AX5" s="77">
        <v>10</v>
      </c>
      <c r="AY5" s="77">
        <v>25</v>
      </c>
      <c r="AZ5" s="77">
        <v>100</v>
      </c>
      <c r="BA5" s="77">
        <v>200</v>
      </c>
      <c r="BB5" s="77"/>
      <c r="BC5" s="77"/>
      <c r="BE5" s="43">
        <v>1</v>
      </c>
      <c r="BF5" s="77">
        <v>10</v>
      </c>
      <c r="BG5" s="77">
        <v>25</v>
      </c>
      <c r="BH5" s="77">
        <v>100</v>
      </c>
      <c r="BI5" s="77">
        <v>200</v>
      </c>
      <c r="BM5" s="43">
        <v>1</v>
      </c>
      <c r="BN5" s="77">
        <v>10</v>
      </c>
      <c r="BO5" s="77">
        <v>25</v>
      </c>
      <c r="BP5" s="77">
        <v>100</v>
      </c>
      <c r="BQ5" s="77">
        <v>200</v>
      </c>
      <c r="BU5" s="43">
        <v>1</v>
      </c>
      <c r="BV5" s="77">
        <v>10</v>
      </c>
      <c r="BW5" s="77">
        <v>25</v>
      </c>
      <c r="BX5" s="77">
        <v>100</v>
      </c>
      <c r="BY5" s="77">
        <v>200</v>
      </c>
    </row>
    <row r="6" spans="1:77" s="19" customFormat="1">
      <c r="A6" s="19">
        <v>10</v>
      </c>
      <c r="B6" s="44">
        <v>92.689411276849498</v>
      </c>
      <c r="C6" s="19">
        <v>1.5623834261001326</v>
      </c>
      <c r="D6" s="44">
        <v>298.13221510010902</v>
      </c>
      <c r="E6" s="19">
        <v>1.5314150914001237</v>
      </c>
      <c r="F6" s="19">
        <v>357.43199441973098</v>
      </c>
      <c r="G6" s="19">
        <v>1.5311836807774646</v>
      </c>
      <c r="H6" s="19">
        <v>658.26636097941105</v>
      </c>
      <c r="I6" s="19">
        <v>4.8198011693529335</v>
      </c>
      <c r="J6" s="19">
        <v>19.126417432657799</v>
      </c>
      <c r="K6" s="19">
        <v>4.9440017308329729</v>
      </c>
      <c r="L6" s="26">
        <v>970</v>
      </c>
      <c r="M6" s="19">
        <v>8.486439195100612</v>
      </c>
      <c r="N6" s="19">
        <v>14.263540259444</v>
      </c>
      <c r="O6" s="19">
        <v>2.3545354428835075</v>
      </c>
      <c r="P6" s="19">
        <v>156</v>
      </c>
      <c r="Q6" s="19">
        <v>10.561949898442789</v>
      </c>
      <c r="R6" s="19">
        <v>5.5796796168612799</v>
      </c>
      <c r="S6" s="19">
        <v>5.6383751016696619</v>
      </c>
      <c r="Z6" s="71"/>
      <c r="AB6" s="72"/>
      <c r="AD6" s="80">
        <f>(AG36-AG6)/30</f>
        <v>3.7679676803104613E-2</v>
      </c>
      <c r="AE6" s="1">
        <v>2020</v>
      </c>
      <c r="AF6" s="19">
        <v>0</v>
      </c>
      <c r="AG6" s="19">
        <f>C6</f>
        <v>1.5623834261001326</v>
      </c>
      <c r="AH6" s="19">
        <f>C7</f>
        <v>1.8158097039480634</v>
      </c>
      <c r="AI6" s="19">
        <f>C8</f>
        <v>2.5044538144060473</v>
      </c>
      <c r="AJ6" s="19">
        <f>C9</f>
        <v>2.6002784052427712</v>
      </c>
      <c r="AM6" s="80">
        <f>($AP36-$AP6)/30</f>
        <v>3.1711954626438249E-2</v>
      </c>
      <c r="AN6" s="1">
        <v>2020</v>
      </c>
      <c r="AO6" s="19">
        <v>0</v>
      </c>
      <c r="AP6" s="19">
        <f>E6</f>
        <v>1.5314150914001237</v>
      </c>
      <c r="AQ6" s="19">
        <f>E7</f>
        <v>1.7673307464551811</v>
      </c>
      <c r="AR6" s="19">
        <f>E8</f>
        <v>2.4226856374835295</v>
      </c>
      <c r="AS6" s="19">
        <f>E9</f>
        <v>2.5199447152147076</v>
      </c>
      <c r="AV6" s="80">
        <f>(AX36-AX6)/30</f>
        <v>3.7053001647193558E-2</v>
      </c>
      <c r="AW6" s="19">
        <v>0</v>
      </c>
      <c r="AX6" s="19">
        <f>G6</f>
        <v>1.5311836807774646</v>
      </c>
      <c r="AY6" s="19">
        <f>G7</f>
        <v>1.7667284052216539</v>
      </c>
      <c r="AZ6" s="19">
        <f>G8</f>
        <v>2.421874179869953</v>
      </c>
      <c r="BA6" s="19">
        <f>G9</f>
        <v>2.5192070728478795</v>
      </c>
      <c r="BD6" s="80">
        <f>(BF36-BF6)/30</f>
        <v>-7.5276022765727008E-2</v>
      </c>
      <c r="BE6" s="19">
        <v>0</v>
      </c>
      <c r="BF6" s="19">
        <f>K6</f>
        <v>4.9440017308329729</v>
      </c>
      <c r="BG6" s="19">
        <f>K7</f>
        <v>6.8530204935033172</v>
      </c>
      <c r="BH6" s="19">
        <f>K8</f>
        <v>7.9104107932226855</v>
      </c>
      <c r="BI6" s="19">
        <f>K9</f>
        <v>8.232001801550485</v>
      </c>
      <c r="BL6" s="82">
        <f>(BN36-BN6)/30</f>
        <v>-1.9443779719110554E-2</v>
      </c>
      <c r="BM6" s="19">
        <v>0</v>
      </c>
      <c r="BN6" s="19">
        <f>O6</f>
        <v>2.3545354428835075</v>
      </c>
      <c r="BO6" s="19">
        <f>O7</f>
        <v>2.7634155999360668</v>
      </c>
      <c r="BP6" s="19">
        <f>O8</f>
        <v>3.4956868154891794</v>
      </c>
      <c r="BQ6" s="19">
        <f>O9</f>
        <v>3.6356308242668254</v>
      </c>
      <c r="BT6" s="80">
        <f>(BV36-BV6)/30</f>
        <v>-5.9568554462025171E-2</v>
      </c>
      <c r="BU6" s="19">
        <v>0</v>
      </c>
      <c r="BV6" s="19">
        <f>S6</f>
        <v>5.6383751016696619</v>
      </c>
      <c r="BW6" s="19">
        <f>S7</f>
        <v>6.4471225733613418</v>
      </c>
      <c r="BX6" s="19">
        <f>S8</f>
        <v>8.0198375205840406</v>
      </c>
      <c r="BY6" s="19">
        <f>S9</f>
        <v>8.3341909453150507</v>
      </c>
    </row>
    <row r="7" spans="1:77" s="19" customFormat="1">
      <c r="A7" s="19">
        <v>25</v>
      </c>
      <c r="B7" s="19">
        <v>107.724089770874</v>
      </c>
      <c r="C7" s="19">
        <v>1.8158097039480634</v>
      </c>
      <c r="D7" s="19">
        <v>344.05970870607399</v>
      </c>
      <c r="E7" s="19">
        <v>1.7673307464551811</v>
      </c>
      <c r="F7" s="19">
        <v>412.41639746037998</v>
      </c>
      <c r="G7" s="19">
        <v>1.7667284052216539</v>
      </c>
      <c r="H7" s="19">
        <v>868.77512192819302</v>
      </c>
      <c r="I7" s="19">
        <v>6.3611382819928277</v>
      </c>
      <c r="J7" s="19">
        <v>26.511667626625101</v>
      </c>
      <c r="K7" s="19">
        <v>6.8530204935033172</v>
      </c>
      <c r="L7" s="26">
        <v>1301</v>
      </c>
      <c r="M7" s="19">
        <v>11.382327209098863</v>
      </c>
      <c r="N7" s="19">
        <v>16.740495362852698</v>
      </c>
      <c r="O7" s="19">
        <v>2.7634155999360668</v>
      </c>
      <c r="P7" s="19">
        <v>184</v>
      </c>
      <c r="Q7" s="19">
        <v>12.457684495599187</v>
      </c>
      <c r="R7" s="19">
        <v>6.38000802737265</v>
      </c>
      <c r="S7" s="19">
        <v>6.4471225733613418</v>
      </c>
      <c r="Z7" s="73">
        <v>2020</v>
      </c>
      <c r="AA7" s="78">
        <f>T10</f>
        <v>1.558061691319184</v>
      </c>
      <c r="AB7" s="72">
        <f>(AA37-AA7)/30</f>
        <v>-9.5527653901336627E-3</v>
      </c>
      <c r="AD7" s="80">
        <f>(AH36-AH6)/30</f>
        <v>5.9095809346842262E-2</v>
      </c>
      <c r="AE7" s="1">
        <v>2021</v>
      </c>
      <c r="AF7" s="19">
        <v>0</v>
      </c>
      <c r="AG7" s="19">
        <f>AG6+$AD$6</f>
        <v>1.6000631029032373</v>
      </c>
      <c r="AH7" s="19">
        <f>AH6+$AD$7</f>
        <v>1.8749055132949057</v>
      </c>
      <c r="AI7" s="19">
        <f>AI6+$AD$8</f>
        <v>2.5684638739292289</v>
      </c>
      <c r="AJ7" s="19">
        <f>AJ6+$AD$9</f>
        <v>2.6796915989620596</v>
      </c>
      <c r="AM7" s="80">
        <f>(AQ36-AQ6)/30</f>
        <v>5.3711774596605012E-2</v>
      </c>
      <c r="AN7" s="1">
        <v>2021</v>
      </c>
      <c r="AP7" s="19">
        <f>AP6+$AM$6</f>
        <v>1.5631270460265618</v>
      </c>
      <c r="AQ7" s="19">
        <f>AQ6+$AM$7</f>
        <v>1.821042521051786</v>
      </c>
      <c r="AR7" s="19">
        <f>AR6+$AM$8</f>
        <v>2.4824213029041284</v>
      </c>
      <c r="AS7" s="19">
        <f>AS6+$AM$9</f>
        <v>2.5950356986015981</v>
      </c>
      <c r="AV7" s="80">
        <f>(AY36-AY6)/30</f>
        <v>5.9065185971055922E-2</v>
      </c>
      <c r="AX7" s="19">
        <f>AX6+$AV$6</f>
        <v>1.5682366824246581</v>
      </c>
      <c r="AY7" s="19">
        <f>AY6+$AV$7</f>
        <v>1.8257935911927099</v>
      </c>
      <c r="AZ7" s="19">
        <f>AZ6+$AV$8</f>
        <v>2.4869702272110046</v>
      </c>
      <c r="BA7" s="19">
        <f>BA6+$AV$9</f>
        <v>2.5996559776469974</v>
      </c>
      <c r="BD7" s="80">
        <f>(BG36-BG6)/30</f>
        <v>-0.11380165488995415</v>
      </c>
      <c r="BF7" s="19">
        <f>BF6+$BD$6</f>
        <v>4.8687257080672461</v>
      </c>
      <c r="BG7" s="19">
        <f t="shared" ref="BG7:BG35" si="0">BG6+$BD$7</f>
        <v>6.7392188386133629</v>
      </c>
      <c r="BH7" s="19">
        <f t="shared" ref="BH7:BH35" si="1">BH6+$BD$8</f>
        <v>7.793326125761177</v>
      </c>
      <c r="BI7" s="19">
        <f t="shared" ref="BI7:BI35" si="2">BI6+$BD$9</f>
        <v>8.1097962401656716</v>
      </c>
      <c r="BL7" s="82">
        <f>(BO36-BO6)/30</f>
        <v>-1.9685502009299874E-2</v>
      </c>
      <c r="BN7" s="19">
        <f t="shared" ref="BN7:BN35" si="3">BN6+$BL$6</f>
        <v>2.335091663164397</v>
      </c>
      <c r="BO7" s="19">
        <f>BO6+$BL$7</f>
        <v>2.7437300979267669</v>
      </c>
      <c r="BP7" s="19">
        <f>BP6+$BL$8</f>
        <v>3.473208037317673</v>
      </c>
      <c r="BQ7" s="19">
        <f>BQ6+$BL$9</f>
        <v>3.6117486385237005</v>
      </c>
      <c r="BT7" s="80">
        <f>(BW36-BW6)/30</f>
        <v>-7.228632537925668E-2</v>
      </c>
      <c r="BV7" s="19">
        <f t="shared" ref="BV7:BV35" si="4">BV6+$BT$6</f>
        <v>5.5788065472076367</v>
      </c>
      <c r="BW7" s="19">
        <f>BW6+$BT$7</f>
        <v>6.3748362479820848</v>
      </c>
      <c r="BX7" s="19">
        <f t="shared" ref="BX7:BX35" si="5">BX6+$BT$8</f>
        <v>7.9499053663531773</v>
      </c>
      <c r="BY7" s="19">
        <f>BY6+$BT$9</f>
        <v>8.2602159983692669</v>
      </c>
    </row>
    <row r="8" spans="1:77" s="19" customFormat="1">
      <c r="A8" s="19">
        <v>100</v>
      </c>
      <c r="B8" s="19">
        <v>148.578348790343</v>
      </c>
      <c r="C8" s="19">
        <v>2.5044538144060473</v>
      </c>
      <c r="D8" s="19">
        <v>471.64262625479699</v>
      </c>
      <c r="E8" s="19">
        <v>2.4226856374835295</v>
      </c>
      <c r="F8" s="19">
        <v>565.35040780021097</v>
      </c>
      <c r="G8" s="19">
        <v>2.421874179869953</v>
      </c>
      <c r="H8" s="19">
        <v>1049.4224710757801</v>
      </c>
      <c r="I8" s="19">
        <v>7.6838312772213664</v>
      </c>
      <c r="J8" s="19">
        <v>30.602298933558</v>
      </c>
      <c r="K8" s="19">
        <v>7.9104107932226855</v>
      </c>
      <c r="L8" s="26">
        <v>1472</v>
      </c>
      <c r="M8" s="19">
        <v>12.878390201224846</v>
      </c>
      <c r="N8" s="19">
        <v>21.1765211595519</v>
      </c>
      <c r="O8" s="19">
        <v>3.4956868154891794</v>
      </c>
      <c r="P8" s="19">
        <v>227</v>
      </c>
      <c r="Q8" s="19">
        <v>15.368991198375085</v>
      </c>
      <c r="R8" s="19">
        <v>7.93635101199476</v>
      </c>
      <c r="S8" s="19">
        <v>8.0198375205840406</v>
      </c>
      <c r="Z8" s="73">
        <v>2021</v>
      </c>
      <c r="AA8" s="19">
        <f>AA7+$AB$7</f>
        <v>1.5485089259290503</v>
      </c>
      <c r="AB8" s="72"/>
      <c r="AD8" s="80">
        <f>(AI36-AI6)/30</f>
        <v>6.4010059523181798E-2</v>
      </c>
      <c r="AE8" s="1">
        <v>2022</v>
      </c>
      <c r="AG8" s="19">
        <f>AG7+$AD$6</f>
        <v>1.637742779706342</v>
      </c>
      <c r="AH8" s="19">
        <f>AH7+$AD$7</f>
        <v>1.9340013226417481</v>
      </c>
      <c r="AI8" s="19">
        <f t="shared" ref="AI8:AI34" si="6">AI7+$AD$8</f>
        <v>2.6324739334524105</v>
      </c>
      <c r="AJ8" s="19">
        <f t="shared" ref="AJ8:AJ34" si="7">AJ7+$AD$9</f>
        <v>2.7591047926813479</v>
      </c>
      <c r="AM8" s="80">
        <f>(AR36-AR6)/30</f>
        <v>5.9735665420599056E-2</v>
      </c>
      <c r="AN8" s="1">
        <v>2022</v>
      </c>
      <c r="AP8" s="19">
        <f t="shared" ref="AP8:AP34" si="8">AP7+$AM$6</f>
        <v>1.594839000653</v>
      </c>
      <c r="AQ8" s="19">
        <f t="shared" ref="AQ8:AQ34" si="9">AQ7+$AM$7</f>
        <v>1.8747542956483909</v>
      </c>
      <c r="AR8" s="19">
        <f t="shared" ref="AR8:AR35" si="10">AR7+$AM$8</f>
        <v>2.5421569683247274</v>
      </c>
      <c r="AS8" s="19">
        <f t="shared" ref="AS8:AS34" si="11">AS7+$AM$9</f>
        <v>2.6701266819884886</v>
      </c>
      <c r="AV8" s="80">
        <f>(AZ36-AZ6)/30</f>
        <v>6.5096047341051608E-2</v>
      </c>
      <c r="AX8" s="19">
        <f t="shared" ref="AX8:AX35" si="12">AX7+$AV$6</f>
        <v>1.6052896840718516</v>
      </c>
      <c r="AY8" s="19">
        <f t="shared" ref="AY8:AY34" si="13">AY7+$AV$7</f>
        <v>1.8848587771637657</v>
      </c>
      <c r="AZ8" s="19">
        <f t="shared" ref="AZ8:AZ35" si="14">AZ7+$AV$8</f>
        <v>2.5520662745520561</v>
      </c>
      <c r="BA8" s="19">
        <f t="shared" ref="BA8:BA35" si="15">BA7+$AV$9</f>
        <v>2.6801048824461153</v>
      </c>
      <c r="BD8" s="82">
        <f>(BH36-BH6)/30</f>
        <v>-0.11708466746150829</v>
      </c>
      <c r="BF8" s="19">
        <f t="shared" ref="BF8:BF35" si="16">BF7+$BD$6</f>
        <v>4.7934496853015194</v>
      </c>
      <c r="BG8" s="19">
        <f t="shared" si="0"/>
        <v>6.6254171837234086</v>
      </c>
      <c r="BH8" s="19">
        <f t="shared" si="1"/>
        <v>7.6762414582996685</v>
      </c>
      <c r="BI8" s="19">
        <f t="shared" si="2"/>
        <v>7.9875906787808573</v>
      </c>
      <c r="BL8" s="82">
        <f>(BP36-BP6)/30</f>
        <v>-2.247877817150621E-2</v>
      </c>
      <c r="BN8" s="19">
        <f t="shared" si="3"/>
        <v>2.3156478834452865</v>
      </c>
      <c r="BO8" s="19">
        <f t="shared" ref="BO8:BO35" si="17">BO7+$BL$7</f>
        <v>2.7240445959174671</v>
      </c>
      <c r="BP8" s="19">
        <f t="shared" ref="BP8:BP35" si="18">BP7+$BL$8</f>
        <v>3.4507292591461667</v>
      </c>
      <c r="BQ8" s="19">
        <f t="shared" ref="BQ8:BQ35" si="19">BQ7+$BL$9</f>
        <v>3.5878664527805757</v>
      </c>
      <c r="BT8" s="80">
        <f>(BX36-BX6)/30</f>
        <v>-6.9932154230863713E-2</v>
      </c>
      <c r="BV8" s="19">
        <f t="shared" si="4"/>
        <v>5.5192379927456114</v>
      </c>
      <c r="BW8" s="19">
        <f>BW7+$BT$7</f>
        <v>6.3025499226028279</v>
      </c>
      <c r="BX8" s="19">
        <f t="shared" si="5"/>
        <v>7.8799732121223141</v>
      </c>
      <c r="BY8" s="19">
        <f>BY7+$BT$9</f>
        <v>8.1862410514234831</v>
      </c>
    </row>
    <row r="9" spans="1:77" s="19" customFormat="1">
      <c r="A9" s="19">
        <v>200</v>
      </c>
      <c r="B9" s="19">
        <v>154.26320486480299</v>
      </c>
      <c r="C9" s="19">
        <v>2.6002784052427712</v>
      </c>
      <c r="D9" s="19">
        <v>490.57679011763298</v>
      </c>
      <c r="E9" s="19">
        <v>2.5199447152147076</v>
      </c>
      <c r="F9" s="19">
        <v>588.07132005685003</v>
      </c>
      <c r="G9" s="19">
        <v>2.5192070728478795</v>
      </c>
      <c r="H9" s="19">
        <v>1089.6601071222101</v>
      </c>
      <c r="I9" s="19">
        <v>7.9784497125004048</v>
      </c>
      <c r="J9" s="19">
        <v>31.846409312708399</v>
      </c>
      <c r="K9" s="19">
        <v>8.232001801550485</v>
      </c>
      <c r="L9" s="26">
        <v>1502</v>
      </c>
      <c r="M9" s="19">
        <v>13.140857392825897</v>
      </c>
      <c r="N9" s="19">
        <v>22.024287970326</v>
      </c>
      <c r="O9" s="19">
        <v>3.6356308242668254</v>
      </c>
      <c r="P9" s="19">
        <v>234</v>
      </c>
      <c r="Q9" s="19">
        <v>15.842924847664184</v>
      </c>
      <c r="R9" s="19">
        <v>8.2474320175743205</v>
      </c>
      <c r="S9" s="19">
        <v>8.3341909453150507</v>
      </c>
      <c r="T9" s="19" t="s">
        <v>68</v>
      </c>
      <c r="Z9" s="73">
        <v>2022</v>
      </c>
      <c r="AA9" s="19">
        <f t="shared" ref="AA9:AA36" si="20">AA8+$AB$7</f>
        <v>1.5389561605389166</v>
      </c>
      <c r="AB9" s="72"/>
      <c r="AD9" s="80">
        <f>(AJ36-AJ6)/30</f>
        <v>7.9413193719288372E-2</v>
      </c>
      <c r="AE9" s="1">
        <v>2023</v>
      </c>
      <c r="AG9" s="19">
        <f t="shared" ref="AG9:AG33" si="21">AG8+$AD$6</f>
        <v>1.6754224565094467</v>
      </c>
      <c r="AH9" s="19">
        <f t="shared" ref="AH9:AH35" si="22">AH8+$AD$7</f>
        <v>1.9930971319885904</v>
      </c>
      <c r="AI9" s="19">
        <f t="shared" si="6"/>
        <v>2.6964839929755922</v>
      </c>
      <c r="AJ9" s="19">
        <f t="shared" si="7"/>
        <v>2.8385179864006362</v>
      </c>
      <c r="AM9" s="80">
        <f>(AS36-AS6)/30</f>
        <v>7.5090983386890492E-2</v>
      </c>
      <c r="AN9" s="1">
        <v>2023</v>
      </c>
      <c r="AP9" s="19">
        <f>AP8+$AM$6</f>
        <v>1.6265509552794382</v>
      </c>
      <c r="AQ9" s="19">
        <f t="shared" si="9"/>
        <v>1.9284660702449958</v>
      </c>
      <c r="AR9" s="19">
        <f t="shared" si="10"/>
        <v>2.6018926337453263</v>
      </c>
      <c r="AS9" s="19">
        <f t="shared" si="11"/>
        <v>2.745217665375379</v>
      </c>
      <c r="AV9" s="80">
        <f>(BA36-BA6)/30</f>
        <v>8.0448904799118107E-2</v>
      </c>
      <c r="AX9" s="19">
        <f t="shared" si="12"/>
        <v>1.6423426857190451</v>
      </c>
      <c r="AY9" s="19">
        <f t="shared" si="13"/>
        <v>1.9439239631348215</v>
      </c>
      <c r="AZ9" s="19">
        <f t="shared" si="14"/>
        <v>2.6171623218931077</v>
      </c>
      <c r="BA9" s="19">
        <f t="shared" si="15"/>
        <v>2.7605537872452333</v>
      </c>
      <c r="BD9" s="81">
        <f>(BI36-BI6)/30</f>
        <v>-0.12220556138481413</v>
      </c>
      <c r="BF9" s="19">
        <f t="shared" si="16"/>
        <v>4.7181736625357926</v>
      </c>
      <c r="BG9" s="19">
        <f t="shared" si="0"/>
        <v>6.5116155288334543</v>
      </c>
      <c r="BH9" s="19">
        <f t="shared" si="1"/>
        <v>7.5591567908381601</v>
      </c>
      <c r="BI9" s="19">
        <f t="shared" si="2"/>
        <v>7.865385117396043</v>
      </c>
      <c r="BL9" s="82">
        <f>(BQ36-BQ6)/30</f>
        <v>-2.3882185743124989E-2</v>
      </c>
      <c r="BN9" s="19">
        <f t="shared" si="3"/>
        <v>2.296204103726176</v>
      </c>
      <c r="BO9" s="19">
        <f t="shared" si="17"/>
        <v>2.7043590939081672</v>
      </c>
      <c r="BP9" s="19">
        <f t="shared" si="18"/>
        <v>3.4282504809746603</v>
      </c>
      <c r="BQ9" s="19">
        <f t="shared" si="19"/>
        <v>3.5639842670374509</v>
      </c>
      <c r="BT9" s="80">
        <f>(BY36-BY6)/30</f>
        <v>-7.3974946945783007E-2</v>
      </c>
      <c r="BV9" s="19">
        <f t="shared" si="4"/>
        <v>5.4596694382835862</v>
      </c>
      <c r="BW9" s="19">
        <f t="shared" ref="BW9:BW35" si="23">BW8+$BT$7</f>
        <v>6.2302635972235709</v>
      </c>
      <c r="BX9" s="19">
        <f t="shared" si="5"/>
        <v>7.8100410578914508</v>
      </c>
      <c r="BY9" s="19">
        <f t="shared" ref="BY9:BY35" si="24">BY8+$BT$9</f>
        <v>8.1122661044776994</v>
      </c>
    </row>
    <row r="10" spans="1:77" s="19" customFormat="1">
      <c r="A10" s="20" t="s">
        <v>1</v>
      </c>
      <c r="B10" s="20">
        <v>56.327998339077297</v>
      </c>
      <c r="C10" s="34">
        <v>0.94947124831238305</v>
      </c>
      <c r="D10" s="20">
        <v>180.32301130247399</v>
      </c>
      <c r="E10" s="34">
        <v>0.92626481422880191</v>
      </c>
      <c r="F10" s="20">
        <v>216.188258158633</v>
      </c>
      <c r="G10" s="34">
        <v>0.9261172419822169</v>
      </c>
      <c r="H10" s="20">
        <v>461.36247520754102</v>
      </c>
      <c r="I10" s="20">
        <v>3.3780784334662677</v>
      </c>
      <c r="J10" s="20">
        <v>13.8419578685898</v>
      </c>
      <c r="K10" s="34">
        <v>3.5780178855437335</v>
      </c>
      <c r="L10" s="20">
        <v>690.85066666665296</v>
      </c>
      <c r="M10" s="20">
        <v>6.0441878098569815</v>
      </c>
      <c r="N10" s="20">
        <v>8.0799589540424606</v>
      </c>
      <c r="O10" s="34">
        <v>1.3337887641001769</v>
      </c>
      <c r="P10" s="20">
        <v>103.465999999999</v>
      </c>
      <c r="Q10" s="20">
        <v>7.0051455653350709</v>
      </c>
      <c r="R10" s="20">
        <v>3.10134829387008</v>
      </c>
      <c r="S10" s="34">
        <v>3.1339729523035604</v>
      </c>
      <c r="T10" s="54">
        <f>'CGE-Flood Weighted Av Calcs'!C9</f>
        <v>1.558061691319184</v>
      </c>
      <c r="Z10" s="73">
        <v>2023</v>
      </c>
      <c r="AA10" s="19">
        <f t="shared" si="20"/>
        <v>1.5294033951487829</v>
      </c>
      <c r="AB10" s="72"/>
      <c r="AE10" s="1">
        <v>2024</v>
      </c>
      <c r="AG10" s="19">
        <f t="shared" si="21"/>
        <v>1.7131021333125513</v>
      </c>
      <c r="AH10" s="19">
        <f t="shared" si="22"/>
        <v>2.0521929413354325</v>
      </c>
      <c r="AI10" s="19">
        <f>AI9+$AD$8</f>
        <v>2.7604940524987738</v>
      </c>
      <c r="AJ10" s="19">
        <f t="shared" si="7"/>
        <v>2.9179311801199246</v>
      </c>
      <c r="AN10" s="1">
        <v>2024</v>
      </c>
      <c r="AP10" s="19">
        <f t="shared" si="8"/>
        <v>1.6582629099058763</v>
      </c>
      <c r="AQ10" s="19">
        <f t="shared" si="9"/>
        <v>1.9821778448416008</v>
      </c>
      <c r="AR10" s="19">
        <f t="shared" si="10"/>
        <v>2.6616282991659252</v>
      </c>
      <c r="AS10" s="19">
        <f t="shared" si="11"/>
        <v>2.8203086487622695</v>
      </c>
      <c r="AX10" s="19">
        <f t="shared" si="12"/>
        <v>1.6793956873662386</v>
      </c>
      <c r="AY10" s="19">
        <f t="shared" si="13"/>
        <v>2.0029891491058773</v>
      </c>
      <c r="AZ10" s="19">
        <f t="shared" si="14"/>
        <v>2.6822583692341593</v>
      </c>
      <c r="BA10" s="19">
        <f t="shared" si="15"/>
        <v>2.8410026920443512</v>
      </c>
      <c r="BD10" s="80"/>
      <c r="BF10" s="19">
        <f t="shared" si="16"/>
        <v>4.6428976397700659</v>
      </c>
      <c r="BG10" s="19">
        <f t="shared" si="0"/>
        <v>6.3978138739435</v>
      </c>
      <c r="BH10" s="19">
        <f t="shared" si="1"/>
        <v>7.4420721233766516</v>
      </c>
      <c r="BI10" s="19">
        <f t="shared" si="2"/>
        <v>7.7431795560112286</v>
      </c>
      <c r="BL10" s="80"/>
      <c r="BN10" s="19">
        <f t="shared" si="3"/>
        <v>2.2767603240070655</v>
      </c>
      <c r="BO10" s="19">
        <f t="shared" si="17"/>
        <v>2.6846735918988673</v>
      </c>
      <c r="BP10" s="19">
        <f t="shared" si="18"/>
        <v>3.405771702803154</v>
      </c>
      <c r="BQ10" s="19">
        <f t="shared" si="19"/>
        <v>3.540102081294326</v>
      </c>
      <c r="BV10" s="19">
        <f t="shared" si="4"/>
        <v>5.4001008838215609</v>
      </c>
      <c r="BW10" s="19">
        <f t="shared" si="23"/>
        <v>6.157977271844314</v>
      </c>
      <c r="BX10" s="19">
        <f t="shared" si="5"/>
        <v>7.7401089036605875</v>
      </c>
      <c r="BY10" s="19">
        <f t="shared" si="24"/>
        <v>8.0382911575319156</v>
      </c>
    </row>
    <row r="11" spans="1:77" s="19" customFormat="1">
      <c r="B11" s="48"/>
      <c r="D11" s="48"/>
      <c r="F11" s="48"/>
      <c r="J11" s="48"/>
      <c r="N11" s="48"/>
      <c r="R11" s="48"/>
      <c r="T11" s="50"/>
      <c r="Z11" s="73">
        <v>2024</v>
      </c>
      <c r="AA11" s="19">
        <f t="shared" si="20"/>
        <v>1.5198506297586492</v>
      </c>
      <c r="AB11" s="72"/>
      <c r="AE11" s="1">
        <v>2025</v>
      </c>
      <c r="AG11" s="19">
        <f t="shared" si="21"/>
        <v>1.750781810115656</v>
      </c>
      <c r="AH11" s="19">
        <f t="shared" si="22"/>
        <v>2.1112887506822746</v>
      </c>
      <c r="AI11" s="19">
        <f t="shared" si="6"/>
        <v>2.8245041120219554</v>
      </c>
      <c r="AJ11" s="19">
        <f t="shared" si="7"/>
        <v>2.9973443738392129</v>
      </c>
      <c r="AN11" s="1">
        <v>2025</v>
      </c>
      <c r="AP11" s="19">
        <f t="shared" si="8"/>
        <v>1.6899748645323145</v>
      </c>
      <c r="AQ11" s="19">
        <f t="shared" si="9"/>
        <v>2.0358896194382057</v>
      </c>
      <c r="AR11" s="19">
        <f t="shared" si="10"/>
        <v>2.7213639645865242</v>
      </c>
      <c r="AS11" s="19">
        <f t="shared" si="11"/>
        <v>2.89539963214916</v>
      </c>
      <c r="AX11" s="19">
        <f t="shared" si="12"/>
        <v>1.7164486890134321</v>
      </c>
      <c r="AY11" s="19">
        <f t="shared" si="13"/>
        <v>2.0620543350769331</v>
      </c>
      <c r="AZ11" s="19">
        <f t="shared" si="14"/>
        <v>2.7473544165752108</v>
      </c>
      <c r="BA11" s="19">
        <f t="shared" si="15"/>
        <v>2.9214515968434691</v>
      </c>
      <c r="BF11" s="19">
        <f t="shared" si="16"/>
        <v>4.5676216170043391</v>
      </c>
      <c r="BG11" s="19">
        <f t="shared" si="0"/>
        <v>6.2840122190535457</v>
      </c>
      <c r="BH11" s="19">
        <f t="shared" si="1"/>
        <v>7.3249874559151431</v>
      </c>
      <c r="BI11" s="19">
        <f t="shared" si="2"/>
        <v>7.6209739946264143</v>
      </c>
      <c r="BN11" s="19">
        <f t="shared" si="3"/>
        <v>2.257316544287955</v>
      </c>
      <c r="BO11" s="19">
        <f t="shared" si="17"/>
        <v>2.6649880898895675</v>
      </c>
      <c r="BP11" s="19">
        <f t="shared" si="18"/>
        <v>3.3832929246316477</v>
      </c>
      <c r="BQ11" s="19">
        <f t="shared" si="19"/>
        <v>3.5162198955512012</v>
      </c>
      <c r="BV11" s="19">
        <f t="shared" si="4"/>
        <v>5.3405323293595357</v>
      </c>
      <c r="BW11" s="19">
        <f t="shared" si="23"/>
        <v>6.085690946465057</v>
      </c>
      <c r="BX11" s="19">
        <f t="shared" si="5"/>
        <v>7.6701767494297242</v>
      </c>
      <c r="BY11" s="19">
        <f t="shared" si="24"/>
        <v>7.9643162105861327</v>
      </c>
    </row>
    <row r="12" spans="1:77" s="19" customFormat="1">
      <c r="Z12" s="73">
        <v>2025</v>
      </c>
      <c r="AA12" s="19">
        <f t="shared" si="20"/>
        <v>1.5102978643685154</v>
      </c>
      <c r="AB12" s="72"/>
      <c r="AE12" s="1">
        <v>2026</v>
      </c>
      <c r="AG12" s="19">
        <f t="shared" si="21"/>
        <v>1.7884614869187607</v>
      </c>
      <c r="AH12" s="19">
        <f>AH11+$AD$7</f>
        <v>2.1703845600291167</v>
      </c>
      <c r="AI12" s="19">
        <f t="shared" si="6"/>
        <v>2.888514171545137</v>
      </c>
      <c r="AJ12" s="19">
        <f t="shared" si="7"/>
        <v>3.0767575675585013</v>
      </c>
      <c r="AN12" s="1">
        <v>2026</v>
      </c>
      <c r="AP12" s="19">
        <f t="shared" si="8"/>
        <v>1.7216868191587527</v>
      </c>
      <c r="AQ12" s="19">
        <f t="shared" si="9"/>
        <v>2.0896013940348106</v>
      </c>
      <c r="AR12" s="19">
        <f t="shared" si="10"/>
        <v>2.7810996300071231</v>
      </c>
      <c r="AS12" s="19">
        <f t="shared" si="11"/>
        <v>2.9704906155360504</v>
      </c>
      <c r="AX12" s="19">
        <f t="shared" si="12"/>
        <v>1.7535016906606256</v>
      </c>
      <c r="AY12" s="19">
        <f t="shared" si="13"/>
        <v>2.121119521047989</v>
      </c>
      <c r="AZ12" s="19">
        <f t="shared" si="14"/>
        <v>2.8124504639162624</v>
      </c>
      <c r="BA12" s="19">
        <f t="shared" si="15"/>
        <v>3.001900501642587</v>
      </c>
      <c r="BF12" s="19">
        <f t="shared" si="16"/>
        <v>4.4923455942386123</v>
      </c>
      <c r="BG12" s="19">
        <f t="shared" si="0"/>
        <v>6.1702105641635914</v>
      </c>
      <c r="BH12" s="19">
        <f t="shared" si="1"/>
        <v>7.2079027884536346</v>
      </c>
      <c r="BI12" s="19">
        <f t="shared" si="2"/>
        <v>7.4987684332416</v>
      </c>
      <c r="BN12" s="19">
        <f t="shared" si="3"/>
        <v>2.2378727645688445</v>
      </c>
      <c r="BO12" s="19">
        <f t="shared" si="17"/>
        <v>2.6453025878802676</v>
      </c>
      <c r="BP12" s="19">
        <f t="shared" si="18"/>
        <v>3.3608141464601413</v>
      </c>
      <c r="BQ12" s="19">
        <f t="shared" si="19"/>
        <v>3.4923377098080763</v>
      </c>
      <c r="BV12" s="19">
        <f t="shared" si="4"/>
        <v>5.2809637748975105</v>
      </c>
      <c r="BW12" s="19">
        <f t="shared" si="23"/>
        <v>6.0134046210858001</v>
      </c>
      <c r="BX12" s="19">
        <f t="shared" si="5"/>
        <v>7.6002445951988609</v>
      </c>
      <c r="BY12" s="19">
        <f t="shared" si="24"/>
        <v>7.8903412636403498</v>
      </c>
    </row>
    <row r="13" spans="1:77" s="19" customFormat="1">
      <c r="A13" s="58" t="s">
        <v>47</v>
      </c>
      <c r="Z13" s="73">
        <v>2026</v>
      </c>
      <c r="AA13" s="19">
        <f t="shared" si="20"/>
        <v>1.5007450989783817</v>
      </c>
      <c r="AB13" s="72"/>
      <c r="AE13" s="1">
        <v>2027</v>
      </c>
      <c r="AG13" s="19">
        <f t="shared" si="21"/>
        <v>1.8261411637218654</v>
      </c>
      <c r="AH13" s="19">
        <f t="shared" si="22"/>
        <v>2.2294803693759588</v>
      </c>
      <c r="AI13" s="19">
        <f t="shared" si="6"/>
        <v>2.9525242310683186</v>
      </c>
      <c r="AJ13" s="19">
        <f>AJ12+$AD$9</f>
        <v>3.1561707612777896</v>
      </c>
      <c r="AN13" s="1">
        <v>2027</v>
      </c>
      <c r="AP13" s="19">
        <f t="shared" si="8"/>
        <v>1.7533987737851908</v>
      </c>
      <c r="AQ13" s="19">
        <f t="shared" si="9"/>
        <v>2.1433131686314155</v>
      </c>
      <c r="AR13" s="19">
        <f t="shared" si="10"/>
        <v>2.8408352954277221</v>
      </c>
      <c r="AS13" s="19">
        <f t="shared" si="11"/>
        <v>3.0455815989229409</v>
      </c>
      <c r="AX13" s="19">
        <f t="shared" si="12"/>
        <v>1.7905546923078191</v>
      </c>
      <c r="AY13" s="19">
        <f t="shared" si="13"/>
        <v>2.1801847070190448</v>
      </c>
      <c r="AZ13" s="19">
        <f t="shared" si="14"/>
        <v>2.877546511257314</v>
      </c>
      <c r="BA13" s="19">
        <f t="shared" si="15"/>
        <v>3.082349406441705</v>
      </c>
      <c r="BF13" s="19">
        <f t="shared" si="16"/>
        <v>4.4170695714728856</v>
      </c>
      <c r="BG13" s="19">
        <f t="shared" si="0"/>
        <v>6.0564089092736371</v>
      </c>
      <c r="BH13" s="19">
        <f t="shared" si="1"/>
        <v>7.0908181209921262</v>
      </c>
      <c r="BI13" s="19">
        <f t="shared" si="2"/>
        <v>7.3765628718567857</v>
      </c>
      <c r="BN13" s="19">
        <f t="shared" si="3"/>
        <v>2.2184289848497341</v>
      </c>
      <c r="BO13" s="19">
        <f t="shared" si="17"/>
        <v>2.6256170858709678</v>
      </c>
      <c r="BP13" s="19">
        <f t="shared" si="18"/>
        <v>3.338335368288635</v>
      </c>
      <c r="BQ13" s="19">
        <f t="shared" si="19"/>
        <v>3.4684555240649515</v>
      </c>
      <c r="BV13" s="19">
        <f t="shared" si="4"/>
        <v>5.2213952204354852</v>
      </c>
      <c r="BW13" s="19">
        <f t="shared" si="23"/>
        <v>5.9411182957065432</v>
      </c>
      <c r="BX13" s="19">
        <f t="shared" si="5"/>
        <v>7.5303124409679976</v>
      </c>
      <c r="BY13" s="19">
        <f t="shared" si="24"/>
        <v>7.8163663166945669</v>
      </c>
    </row>
    <row r="14" spans="1:77" s="19" customFormat="1">
      <c r="Z14" s="73">
        <v>2027</v>
      </c>
      <c r="AA14" s="19">
        <f t="shared" si="20"/>
        <v>1.491192333588248</v>
      </c>
      <c r="AB14" s="72"/>
      <c r="AE14" s="1">
        <v>2028</v>
      </c>
      <c r="AG14" s="19">
        <f t="shared" si="21"/>
        <v>1.8638208405249701</v>
      </c>
      <c r="AH14" s="19">
        <f t="shared" si="22"/>
        <v>2.2885761787228009</v>
      </c>
      <c r="AI14" s="19">
        <f t="shared" si="6"/>
        <v>3.0165342905915002</v>
      </c>
      <c r="AJ14" s="19">
        <f t="shared" si="7"/>
        <v>3.235583954997078</v>
      </c>
      <c r="AN14" s="1">
        <v>2028</v>
      </c>
      <c r="AP14" s="19">
        <f t="shared" si="8"/>
        <v>1.785110728411629</v>
      </c>
      <c r="AQ14" s="19">
        <f t="shared" si="9"/>
        <v>2.1970249432280204</v>
      </c>
      <c r="AR14" s="19">
        <f t="shared" si="10"/>
        <v>2.900570960848321</v>
      </c>
      <c r="AS14" s="19">
        <f t="shared" si="11"/>
        <v>3.1206725823098314</v>
      </c>
      <c r="AX14" s="19">
        <f t="shared" si="12"/>
        <v>1.8276076939550125</v>
      </c>
      <c r="AY14" s="19">
        <f t="shared" si="13"/>
        <v>2.2392498929901006</v>
      </c>
      <c r="AZ14" s="19">
        <f t="shared" si="14"/>
        <v>2.9426425585983655</v>
      </c>
      <c r="BA14" s="19">
        <f t="shared" si="15"/>
        <v>3.1627983112408229</v>
      </c>
      <c r="BF14" s="19">
        <f t="shared" si="16"/>
        <v>4.3417935487071588</v>
      </c>
      <c r="BG14" s="19">
        <f t="shared" si="0"/>
        <v>5.9426072543836828</v>
      </c>
      <c r="BH14" s="19">
        <f t="shared" si="1"/>
        <v>6.9737334535306177</v>
      </c>
      <c r="BI14" s="19">
        <f t="shared" si="2"/>
        <v>7.2543573104719714</v>
      </c>
      <c r="BN14" s="19">
        <f t="shared" si="3"/>
        <v>2.1989852051306236</v>
      </c>
      <c r="BO14" s="19">
        <f t="shared" si="17"/>
        <v>2.6059315838616679</v>
      </c>
      <c r="BP14" s="19">
        <f t="shared" si="18"/>
        <v>3.3158565901171286</v>
      </c>
      <c r="BQ14" s="19">
        <f t="shared" si="19"/>
        <v>3.4445733383218267</v>
      </c>
      <c r="BV14" s="19">
        <f t="shared" si="4"/>
        <v>5.16182666597346</v>
      </c>
      <c r="BW14" s="19">
        <f t="shared" si="23"/>
        <v>5.8688319703272862</v>
      </c>
      <c r="BX14" s="19">
        <f t="shared" si="5"/>
        <v>7.4603802867371343</v>
      </c>
      <c r="BY14" s="19">
        <f t="shared" si="24"/>
        <v>7.7423913697487841</v>
      </c>
    </row>
    <row r="15" spans="1:77" s="19" customFormat="1">
      <c r="A15" s="39" t="s">
        <v>0</v>
      </c>
      <c r="B15" s="100" t="s">
        <v>3</v>
      </c>
      <c r="C15" s="100"/>
      <c r="D15" s="100" t="s">
        <v>5</v>
      </c>
      <c r="E15" s="100"/>
      <c r="F15" s="100" t="s">
        <v>6</v>
      </c>
      <c r="G15" s="100"/>
      <c r="H15" s="100" t="s">
        <v>7</v>
      </c>
      <c r="I15" s="100"/>
      <c r="J15" s="100"/>
      <c r="K15" s="100"/>
      <c r="L15" s="100" t="s">
        <v>8</v>
      </c>
      <c r="M15" s="100"/>
      <c r="N15" s="100"/>
      <c r="O15" s="100"/>
      <c r="P15" s="100" t="s">
        <v>9</v>
      </c>
      <c r="Q15" s="100"/>
      <c r="R15" s="100"/>
      <c r="S15" s="100"/>
      <c r="Z15" s="73">
        <v>2028</v>
      </c>
      <c r="AA15" s="19">
        <f t="shared" si="20"/>
        <v>1.4816395681981143</v>
      </c>
      <c r="AB15" s="72"/>
      <c r="AE15" s="1">
        <v>2029</v>
      </c>
      <c r="AG15" s="19">
        <f>AG14+$AD$6</f>
        <v>1.9015005173280748</v>
      </c>
      <c r="AH15" s="19">
        <f t="shared" si="22"/>
        <v>2.3476719880696431</v>
      </c>
      <c r="AI15" s="19">
        <f t="shared" si="6"/>
        <v>3.0805443501146819</v>
      </c>
      <c r="AJ15" s="19">
        <f t="shared" si="7"/>
        <v>3.3149971487163663</v>
      </c>
      <c r="AN15" s="1">
        <v>2029</v>
      </c>
      <c r="AP15" s="19">
        <f t="shared" si="8"/>
        <v>1.8168226830380672</v>
      </c>
      <c r="AQ15" s="19">
        <f t="shared" si="9"/>
        <v>2.2507367178246254</v>
      </c>
      <c r="AR15" s="19">
        <f t="shared" si="10"/>
        <v>2.9603066262689199</v>
      </c>
      <c r="AS15" s="19">
        <f t="shared" si="11"/>
        <v>3.1957635656967218</v>
      </c>
      <c r="AX15" s="19">
        <f t="shared" si="12"/>
        <v>1.864660695602206</v>
      </c>
      <c r="AY15" s="19">
        <f t="shared" si="13"/>
        <v>2.2983150789611564</v>
      </c>
      <c r="AZ15" s="19">
        <f t="shared" si="14"/>
        <v>3.0077386059394171</v>
      </c>
      <c r="BA15" s="19">
        <f t="shared" si="15"/>
        <v>3.2432472160399408</v>
      </c>
      <c r="BF15" s="19">
        <f t="shared" si="16"/>
        <v>4.2665175259414321</v>
      </c>
      <c r="BG15" s="19">
        <f t="shared" si="0"/>
        <v>5.8288055994937285</v>
      </c>
      <c r="BH15" s="19">
        <f t="shared" si="1"/>
        <v>6.8566487860691092</v>
      </c>
      <c r="BI15" s="19">
        <f t="shared" si="2"/>
        <v>7.1321517490871571</v>
      </c>
      <c r="BN15" s="19">
        <f t="shared" si="3"/>
        <v>2.1795414254115131</v>
      </c>
      <c r="BO15" s="19">
        <f t="shared" si="17"/>
        <v>2.586246081852368</v>
      </c>
      <c r="BP15" s="19">
        <f t="shared" si="18"/>
        <v>3.2933778119456223</v>
      </c>
      <c r="BQ15" s="19">
        <f t="shared" si="19"/>
        <v>3.4206911525787018</v>
      </c>
      <c r="BV15" s="19">
        <f t="shared" si="4"/>
        <v>5.1022581115114347</v>
      </c>
      <c r="BW15" s="19">
        <f t="shared" si="23"/>
        <v>5.7965456449480293</v>
      </c>
      <c r="BX15" s="19">
        <f t="shared" si="5"/>
        <v>7.390448132506271</v>
      </c>
      <c r="BY15" s="19">
        <f t="shared" si="24"/>
        <v>7.6684164228030012</v>
      </c>
    </row>
    <row r="16" spans="1:77" s="43" customFormat="1" ht="24">
      <c r="B16" s="46" t="s">
        <v>4</v>
      </c>
      <c r="C16" s="47" t="s">
        <v>2</v>
      </c>
      <c r="D16" s="46" t="s">
        <v>4</v>
      </c>
      <c r="E16" s="47" t="s">
        <v>2</v>
      </c>
      <c r="F16" s="46" t="s">
        <v>4</v>
      </c>
      <c r="G16" s="47" t="s">
        <v>2</v>
      </c>
      <c r="H16" s="46" t="s">
        <v>46</v>
      </c>
      <c r="I16" s="46" t="s">
        <v>45</v>
      </c>
      <c r="J16" s="46" t="s">
        <v>4</v>
      </c>
      <c r="K16" s="47" t="s">
        <v>2</v>
      </c>
      <c r="L16" s="46" t="s">
        <v>44</v>
      </c>
      <c r="M16" s="46" t="s">
        <v>45</v>
      </c>
      <c r="N16" s="46" t="s">
        <v>4</v>
      </c>
      <c r="O16" s="47" t="s">
        <v>2</v>
      </c>
      <c r="P16" s="46" t="s">
        <v>44</v>
      </c>
      <c r="Q16" s="46" t="s">
        <v>45</v>
      </c>
      <c r="R16" s="46" t="s">
        <v>4</v>
      </c>
      <c r="S16" s="47" t="s">
        <v>2</v>
      </c>
      <c r="Z16" s="73">
        <v>2029</v>
      </c>
      <c r="AA16" s="19">
        <f t="shared" si="20"/>
        <v>1.4720868028079805</v>
      </c>
      <c r="AB16" s="74"/>
      <c r="AE16" s="1">
        <v>2030</v>
      </c>
      <c r="AF16" s="19"/>
      <c r="AG16" s="19">
        <f>AG15+$AD$6</f>
        <v>1.9391801941311795</v>
      </c>
      <c r="AH16" s="19">
        <f t="shared" si="22"/>
        <v>2.4067677974164852</v>
      </c>
      <c r="AI16" s="19">
        <f t="shared" si="6"/>
        <v>3.1445544096378635</v>
      </c>
      <c r="AJ16" s="19">
        <f t="shared" si="7"/>
        <v>3.3944103424356546</v>
      </c>
      <c r="AN16" s="1">
        <v>2030</v>
      </c>
      <c r="AP16" s="19">
        <f>AP15+$AM$6</f>
        <v>1.8485346376645053</v>
      </c>
      <c r="AQ16" s="19">
        <f>AQ15+$AM$7</f>
        <v>2.3044484924212303</v>
      </c>
      <c r="AR16" s="19">
        <f>AR15+$AM$8</f>
        <v>3.0200422916895189</v>
      </c>
      <c r="AS16" s="19">
        <f>AS15+$AM$9</f>
        <v>3.2708545490836123</v>
      </c>
      <c r="AX16" s="19">
        <f>AX15+$AV$6</f>
        <v>1.9017136972493995</v>
      </c>
      <c r="AY16" s="19">
        <f t="shared" si="13"/>
        <v>2.3573802649322122</v>
      </c>
      <c r="AZ16" s="19">
        <f t="shared" si="14"/>
        <v>3.0728346532804687</v>
      </c>
      <c r="BA16" s="19">
        <f t="shared" si="15"/>
        <v>3.3236961208390587</v>
      </c>
      <c r="BB16" s="19"/>
      <c r="BC16" s="19"/>
      <c r="BF16" s="19">
        <f t="shared" si="16"/>
        <v>4.1912415031757053</v>
      </c>
      <c r="BG16" s="19">
        <f t="shared" si="0"/>
        <v>5.7150039446037741</v>
      </c>
      <c r="BH16" s="19">
        <f t="shared" si="1"/>
        <v>6.7395641186076007</v>
      </c>
      <c r="BI16" s="19">
        <f t="shared" si="2"/>
        <v>7.0099461877023428</v>
      </c>
      <c r="BN16" s="19">
        <f t="shared" si="3"/>
        <v>2.1600976456924026</v>
      </c>
      <c r="BO16" s="19">
        <f t="shared" si="17"/>
        <v>2.5665605798430682</v>
      </c>
      <c r="BP16" s="19">
        <f t="shared" si="18"/>
        <v>3.2708990337741159</v>
      </c>
      <c r="BQ16" s="19">
        <f>BQ15+$BL$9</f>
        <v>3.396808966835577</v>
      </c>
      <c r="BV16" s="19">
        <f t="shared" si="4"/>
        <v>5.0426895570494095</v>
      </c>
      <c r="BW16" s="19">
        <f t="shared" si="23"/>
        <v>5.7242593195687723</v>
      </c>
      <c r="BX16" s="19">
        <f t="shared" si="5"/>
        <v>7.3205159782754077</v>
      </c>
      <c r="BY16" s="19">
        <f t="shared" si="24"/>
        <v>7.5944414758572183</v>
      </c>
    </row>
    <row r="17" spans="1:77" s="19" customFormat="1">
      <c r="A17" s="19">
        <v>10</v>
      </c>
      <c r="B17" s="89">
        <v>160.97012770929473</v>
      </c>
      <c r="C17" s="89">
        <v>2.692773730193271</v>
      </c>
      <c r="D17" s="89">
        <v>483.22920967621445</v>
      </c>
      <c r="E17" s="89">
        <v>2.4827737301932711</v>
      </c>
      <c r="F17" s="89">
        <v>665.06326091162805</v>
      </c>
      <c r="G17" s="89">
        <f t="shared" ref="G17:G20" si="25">E17+0.16</f>
        <v>2.6427737301932712</v>
      </c>
      <c r="H17" s="89">
        <v>415.85768542136049</v>
      </c>
      <c r="I17" s="89">
        <v>2.5957036728129363</v>
      </c>
      <c r="J17" s="89">
        <v>12.23117685926065</v>
      </c>
      <c r="K17" s="89">
        <v>2.6857210478611626</v>
      </c>
      <c r="L17" s="89">
        <v>586.5</v>
      </c>
      <c r="M17" s="89">
        <v>5.1267482517482517</v>
      </c>
      <c r="N17" s="89">
        <v>10.73927354150395</v>
      </c>
      <c r="O17" s="89">
        <v>1.7712220513101908</v>
      </c>
      <c r="P17" s="89">
        <v>85.5</v>
      </c>
      <c r="Q17" s="89">
        <v>5.7809330628803242</v>
      </c>
      <c r="R17" s="89">
        <v>3.8163870093058798</v>
      </c>
      <c r="S17" s="89">
        <v>3.8513184678089067</v>
      </c>
      <c r="Z17" s="73">
        <v>2030</v>
      </c>
      <c r="AA17" s="19">
        <f t="shared" si="20"/>
        <v>1.4625340374178468</v>
      </c>
      <c r="AB17" s="72"/>
      <c r="AE17" s="1">
        <v>2031</v>
      </c>
      <c r="AG17" s="19">
        <f t="shared" si="21"/>
        <v>1.9768598709342842</v>
      </c>
      <c r="AH17" s="19">
        <f t="shared" si="22"/>
        <v>2.4658636067633273</v>
      </c>
      <c r="AI17" s="19">
        <f t="shared" si="6"/>
        <v>3.2085644691610451</v>
      </c>
      <c r="AJ17" s="19">
        <f t="shared" si="7"/>
        <v>3.473823536154943</v>
      </c>
      <c r="AN17" s="1">
        <v>2031</v>
      </c>
      <c r="AP17" s="19">
        <f t="shared" si="8"/>
        <v>1.8802465922909435</v>
      </c>
      <c r="AQ17" s="19">
        <f t="shared" si="9"/>
        <v>2.3581602670178352</v>
      </c>
      <c r="AR17" s="19">
        <f t="shared" si="10"/>
        <v>3.0797779571101178</v>
      </c>
      <c r="AS17" s="19">
        <f t="shared" si="11"/>
        <v>3.3459455324705027</v>
      </c>
      <c r="AX17" s="19">
        <f t="shared" si="12"/>
        <v>1.938766698896593</v>
      </c>
      <c r="AY17" s="19">
        <f t="shared" si="13"/>
        <v>2.416445450903268</v>
      </c>
      <c r="AZ17" s="19">
        <f t="shared" si="14"/>
        <v>3.1379307006215202</v>
      </c>
      <c r="BA17" s="19">
        <f t="shared" si="15"/>
        <v>3.4041450256381767</v>
      </c>
      <c r="BF17" s="19">
        <f t="shared" si="16"/>
        <v>4.1159654804099786</v>
      </c>
      <c r="BG17" s="19">
        <f t="shared" si="0"/>
        <v>5.6012022897138198</v>
      </c>
      <c r="BH17" s="19">
        <f t="shared" si="1"/>
        <v>6.6224794511460923</v>
      </c>
      <c r="BI17" s="19">
        <f t="shared" si="2"/>
        <v>6.8877406263175285</v>
      </c>
      <c r="BN17" s="19">
        <f t="shared" si="3"/>
        <v>2.1406538659732921</v>
      </c>
      <c r="BO17" s="19">
        <f t="shared" si="17"/>
        <v>2.5468750778337683</v>
      </c>
      <c r="BP17" s="19">
        <f t="shared" si="18"/>
        <v>3.2484202556026096</v>
      </c>
      <c r="BQ17" s="19">
        <f t="shared" si="19"/>
        <v>3.3729267810924521</v>
      </c>
      <c r="BV17" s="19">
        <f t="shared" si="4"/>
        <v>4.9831210025873842</v>
      </c>
      <c r="BW17" s="19">
        <f t="shared" si="23"/>
        <v>5.6519729941895154</v>
      </c>
      <c r="BX17" s="19">
        <f t="shared" si="5"/>
        <v>7.2505838240445444</v>
      </c>
      <c r="BY17" s="19">
        <f t="shared" si="24"/>
        <v>7.5204665289114354</v>
      </c>
    </row>
    <row r="18" spans="1:77" s="19" customFormat="1">
      <c r="A18" s="19">
        <v>25</v>
      </c>
      <c r="B18" s="89">
        <v>214.52634983489483</v>
      </c>
      <c r="C18" s="89">
        <v>3.5886839843533314</v>
      </c>
      <c r="D18" s="89">
        <v>657.60273344669565</v>
      </c>
      <c r="E18" s="89">
        <v>3.3786839843533314</v>
      </c>
      <c r="F18" s="89">
        <v>873.92560032874269</v>
      </c>
      <c r="G18" s="89">
        <f t="shared" si="25"/>
        <v>3.5386839843533315</v>
      </c>
      <c r="H18" s="89">
        <v>528.185541493355</v>
      </c>
      <c r="I18" s="89">
        <v>3.2968325416225888</v>
      </c>
      <c r="J18" s="89">
        <v>15.6615895290418</v>
      </c>
      <c r="K18" s="89">
        <v>3.4389708468046924</v>
      </c>
      <c r="L18" s="89">
        <v>735</v>
      </c>
      <c r="M18" s="89">
        <v>6.424825174825175</v>
      </c>
      <c r="N18" s="89">
        <v>13.17442739204875</v>
      </c>
      <c r="O18" s="89">
        <v>2.1728505396570705</v>
      </c>
      <c r="P18" s="89">
        <v>102</v>
      </c>
      <c r="Q18" s="89">
        <v>6.8965517241379306</v>
      </c>
      <c r="R18" s="89">
        <v>4.2397265193789497</v>
      </c>
      <c r="S18" s="89">
        <v>4.2785328119836414</v>
      </c>
      <c r="Z18" s="73">
        <v>2031</v>
      </c>
      <c r="AA18" s="19">
        <f t="shared" si="20"/>
        <v>1.4529812720277131</v>
      </c>
      <c r="AB18" s="72"/>
      <c r="AE18" s="1">
        <v>2032</v>
      </c>
      <c r="AG18" s="19">
        <f>AG17+$AD$6</f>
        <v>2.0145395477373889</v>
      </c>
      <c r="AH18" s="19">
        <f t="shared" si="22"/>
        <v>2.5249594161101694</v>
      </c>
      <c r="AI18" s="19">
        <f t="shared" si="6"/>
        <v>3.2725745286842267</v>
      </c>
      <c r="AJ18" s="19">
        <f t="shared" si="7"/>
        <v>3.5532367298742313</v>
      </c>
      <c r="AN18" s="1">
        <v>2032</v>
      </c>
      <c r="AP18" s="19">
        <f t="shared" si="8"/>
        <v>1.9119585469173817</v>
      </c>
      <c r="AQ18" s="19">
        <f t="shared" si="9"/>
        <v>2.4118720416144401</v>
      </c>
      <c r="AR18" s="19">
        <f t="shared" si="10"/>
        <v>3.1395136225307168</v>
      </c>
      <c r="AS18" s="19">
        <f t="shared" si="11"/>
        <v>3.4210365158573932</v>
      </c>
      <c r="AX18" s="19">
        <f t="shared" si="12"/>
        <v>1.9758197005437865</v>
      </c>
      <c r="AY18" s="19">
        <f t="shared" si="13"/>
        <v>2.4755106368743238</v>
      </c>
      <c r="AZ18" s="19">
        <f t="shared" si="14"/>
        <v>3.2030267479625718</v>
      </c>
      <c r="BA18" s="19">
        <f t="shared" si="15"/>
        <v>3.4845939304372946</v>
      </c>
      <c r="BF18" s="19">
        <f t="shared" si="16"/>
        <v>4.0406894576442518</v>
      </c>
      <c r="BG18" s="19">
        <f t="shared" si="0"/>
        <v>5.4874006348238655</v>
      </c>
      <c r="BH18" s="19">
        <f t="shared" si="1"/>
        <v>6.5053947836845838</v>
      </c>
      <c r="BI18" s="19">
        <f t="shared" si="2"/>
        <v>6.7655350649327142</v>
      </c>
      <c r="BN18" s="19">
        <f t="shared" si="3"/>
        <v>2.1212100862541816</v>
      </c>
      <c r="BO18" s="19">
        <f t="shared" si="17"/>
        <v>2.5271895758244685</v>
      </c>
      <c r="BP18" s="19">
        <f t="shared" si="18"/>
        <v>3.2259414774311033</v>
      </c>
      <c r="BQ18" s="19">
        <f t="shared" si="19"/>
        <v>3.3490445953493273</v>
      </c>
      <c r="BV18" s="19">
        <f t="shared" si="4"/>
        <v>4.923552448125359</v>
      </c>
      <c r="BW18" s="19">
        <f t="shared" si="23"/>
        <v>5.5796866688102584</v>
      </c>
      <c r="BX18" s="19">
        <f t="shared" si="5"/>
        <v>7.1806516698136811</v>
      </c>
      <c r="BY18" s="19">
        <f t="shared" si="24"/>
        <v>7.4464915819656525</v>
      </c>
    </row>
    <row r="19" spans="1:77" s="19" customFormat="1">
      <c r="A19" s="19">
        <v>100</v>
      </c>
      <c r="B19" s="89">
        <v>297.85707429565099</v>
      </c>
      <c r="C19" s="89">
        <v>4.4247556001015012</v>
      </c>
      <c r="D19" s="89">
        <v>928.91895938383755</v>
      </c>
      <c r="E19" s="89">
        <v>4.2147556001015012</v>
      </c>
      <c r="F19" s="89">
        <v>1198.9046478683379</v>
      </c>
      <c r="G19" s="89">
        <f t="shared" si="25"/>
        <v>4.3747556001015013</v>
      </c>
      <c r="H19" s="89">
        <v>693.53492150275497</v>
      </c>
      <c r="I19" s="89">
        <v>4.3289115629658266</v>
      </c>
      <c r="J19" s="89">
        <v>20.028563736083452</v>
      </c>
      <c r="K19" s="89">
        <v>4.3978707693774366</v>
      </c>
      <c r="L19" s="89">
        <v>891</v>
      </c>
      <c r="M19" s="89">
        <v>7.7884615384615383</v>
      </c>
      <c r="N19" s="89">
        <v>17.106248465389697</v>
      </c>
      <c r="O19" s="89">
        <v>2.8213234703439931</v>
      </c>
      <c r="P19" s="89">
        <v>138.99999999999997</v>
      </c>
      <c r="Q19" s="89">
        <v>9.3982420554428661</v>
      </c>
      <c r="R19" s="89">
        <v>5.8681615065126502</v>
      </c>
      <c r="S19" s="89">
        <v>5.9218728936581293</v>
      </c>
      <c r="Z19" s="73">
        <v>2032</v>
      </c>
      <c r="AA19" s="19">
        <f t="shared" si="20"/>
        <v>1.4434285066375794</v>
      </c>
      <c r="AB19" s="72"/>
      <c r="AE19" s="1">
        <v>2033</v>
      </c>
      <c r="AG19" s="19">
        <f t="shared" si="21"/>
        <v>2.0522192245404933</v>
      </c>
      <c r="AH19" s="19">
        <f t="shared" si="22"/>
        <v>2.5840552254570115</v>
      </c>
      <c r="AI19" s="19">
        <f t="shared" si="6"/>
        <v>3.3365845882074083</v>
      </c>
      <c r="AJ19" s="19">
        <f t="shared" si="7"/>
        <v>3.6326499235935197</v>
      </c>
      <c r="AN19" s="1">
        <v>2033</v>
      </c>
      <c r="AP19" s="19">
        <f t="shared" si="8"/>
        <v>1.9436705015438198</v>
      </c>
      <c r="AQ19" s="19">
        <f t="shared" si="9"/>
        <v>2.4655838162110451</v>
      </c>
      <c r="AR19" s="19">
        <f t="shared" si="10"/>
        <v>3.1992492879513157</v>
      </c>
      <c r="AS19" s="19">
        <f t="shared" si="11"/>
        <v>3.4961274992442837</v>
      </c>
      <c r="AX19" s="19">
        <f t="shared" si="12"/>
        <v>2.0128727021909802</v>
      </c>
      <c r="AY19" s="19">
        <f t="shared" si="13"/>
        <v>2.5345758228453796</v>
      </c>
      <c r="AZ19" s="19">
        <f t="shared" si="14"/>
        <v>3.2681227953036234</v>
      </c>
      <c r="BA19" s="19">
        <f t="shared" si="15"/>
        <v>3.5650428352364125</v>
      </c>
      <c r="BF19" s="19">
        <f t="shared" si="16"/>
        <v>3.9654134348785246</v>
      </c>
      <c r="BG19" s="19">
        <f t="shared" si="0"/>
        <v>5.3735989799339112</v>
      </c>
      <c r="BH19" s="19">
        <f t="shared" si="1"/>
        <v>6.3883101162230753</v>
      </c>
      <c r="BI19" s="19">
        <f t="shared" si="2"/>
        <v>6.6433295035478999</v>
      </c>
      <c r="BN19" s="19">
        <f t="shared" si="3"/>
        <v>2.1017663065350711</v>
      </c>
      <c r="BO19" s="19">
        <f t="shared" si="17"/>
        <v>2.5075040738151686</v>
      </c>
      <c r="BP19" s="19">
        <f t="shared" si="18"/>
        <v>3.2034626992595969</v>
      </c>
      <c r="BQ19" s="19">
        <f t="shared" si="19"/>
        <v>3.3251624096062025</v>
      </c>
      <c r="BV19" s="19">
        <f t="shared" si="4"/>
        <v>4.8639838936633337</v>
      </c>
      <c r="BW19" s="19">
        <f t="shared" si="23"/>
        <v>5.5074003434310015</v>
      </c>
      <c r="BX19" s="19">
        <f t="shared" si="5"/>
        <v>7.1107195155828178</v>
      </c>
      <c r="BY19" s="19">
        <f t="shared" si="24"/>
        <v>7.3725166350198696</v>
      </c>
    </row>
    <row r="20" spans="1:77" s="19" customFormat="1">
      <c r="A20" s="19">
        <v>200</v>
      </c>
      <c r="B20" s="89">
        <v>314.01283811480874</v>
      </c>
      <c r="C20" s="89">
        <v>4.9826742168214224</v>
      </c>
      <c r="D20" s="89">
        <v>981.52045654962751</v>
      </c>
      <c r="E20" s="89">
        <v>4.7726742168214225</v>
      </c>
      <c r="F20" s="89">
        <v>1261.9100372034216</v>
      </c>
      <c r="G20" s="89">
        <f t="shared" si="25"/>
        <v>4.9326742168214226</v>
      </c>
      <c r="H20" s="89">
        <v>714.04189303133001</v>
      </c>
      <c r="I20" s="89">
        <v>4.4569121342695839</v>
      </c>
      <c r="J20" s="89">
        <v>20.793497876670148</v>
      </c>
      <c r="K20" s="89">
        <v>4.565834960006061</v>
      </c>
      <c r="L20" s="89">
        <v>924.5</v>
      </c>
      <c r="M20" s="89">
        <v>8.0812937062937067</v>
      </c>
      <c r="N20" s="89">
        <v>17.699482755763153</v>
      </c>
      <c r="O20" s="89">
        <v>2.9191652519730757</v>
      </c>
      <c r="P20" s="89">
        <v>144.5</v>
      </c>
      <c r="Q20" s="89">
        <v>9.7701149425287355</v>
      </c>
      <c r="R20" s="89">
        <v>6.0594800081315006</v>
      </c>
      <c r="S20" s="89">
        <v>6.1149425369415606</v>
      </c>
      <c r="T20" s="19" t="s">
        <v>67</v>
      </c>
      <c r="Z20" s="73">
        <v>2033</v>
      </c>
      <c r="AA20" s="19">
        <f t="shared" si="20"/>
        <v>1.4338757412474457</v>
      </c>
      <c r="AB20" s="72"/>
      <c r="AE20" s="1">
        <v>2034</v>
      </c>
      <c r="AG20" s="19">
        <f t="shared" si="21"/>
        <v>2.0898989013435978</v>
      </c>
      <c r="AH20" s="19">
        <f t="shared" si="22"/>
        <v>2.6431510348038536</v>
      </c>
      <c r="AI20" s="19">
        <f t="shared" si="6"/>
        <v>3.4005946477305899</v>
      </c>
      <c r="AJ20" s="19">
        <f t="shared" si="7"/>
        <v>3.712063117312808</v>
      </c>
      <c r="AN20" s="1">
        <v>2034</v>
      </c>
      <c r="AP20" s="19">
        <f t="shared" si="8"/>
        <v>1.975382456170258</v>
      </c>
      <c r="AQ20" s="19">
        <f t="shared" si="9"/>
        <v>2.51929559080765</v>
      </c>
      <c r="AR20" s="19">
        <f t="shared" si="10"/>
        <v>3.2589849533719146</v>
      </c>
      <c r="AS20" s="19">
        <f t="shared" si="11"/>
        <v>3.5712184826311741</v>
      </c>
      <c r="AX20" s="19">
        <f t="shared" si="12"/>
        <v>2.049925703838174</v>
      </c>
      <c r="AY20" s="19">
        <f t="shared" si="13"/>
        <v>2.5936410088164354</v>
      </c>
      <c r="AZ20" s="19">
        <f t="shared" si="14"/>
        <v>3.3332188426446749</v>
      </c>
      <c r="BA20" s="19">
        <f t="shared" si="15"/>
        <v>3.6454917400355304</v>
      </c>
      <c r="BF20" s="19">
        <f t="shared" si="16"/>
        <v>3.8901374121127974</v>
      </c>
      <c r="BG20" s="19">
        <f t="shared" si="0"/>
        <v>5.2597973250439569</v>
      </c>
      <c r="BH20" s="19">
        <f t="shared" si="1"/>
        <v>6.2712254487615668</v>
      </c>
      <c r="BI20" s="19">
        <f t="shared" si="2"/>
        <v>6.5211239421630856</v>
      </c>
      <c r="BN20" s="19">
        <f t="shared" si="3"/>
        <v>2.0823225268159606</v>
      </c>
      <c r="BO20" s="19">
        <f t="shared" si="17"/>
        <v>2.4878185718058687</v>
      </c>
      <c r="BP20" s="19">
        <f t="shared" si="18"/>
        <v>3.1809839210880906</v>
      </c>
      <c r="BQ20" s="19">
        <f t="shared" si="19"/>
        <v>3.3012802238630776</v>
      </c>
      <c r="BV20" s="19">
        <f t="shared" si="4"/>
        <v>4.8044153392013085</v>
      </c>
      <c r="BW20" s="19">
        <f t="shared" si="23"/>
        <v>5.4351140180517445</v>
      </c>
      <c r="BX20" s="19">
        <f t="shared" si="5"/>
        <v>7.0407873613519545</v>
      </c>
      <c r="BY20" s="19">
        <f t="shared" si="24"/>
        <v>7.2985416880740868</v>
      </c>
    </row>
    <row r="21" spans="1:77" s="19" customFormat="1">
      <c r="A21" s="20" t="s">
        <v>1</v>
      </c>
      <c r="B21" s="98">
        <v>75.959705965139065</v>
      </c>
      <c r="C21" s="99">
        <v>1.2706848387765857</v>
      </c>
      <c r="D21" s="98">
        <v>206.44406299467846</v>
      </c>
      <c r="E21" s="99">
        <v>1.0606848387765857</v>
      </c>
      <c r="F21" s="98">
        <v>333.53361121602887</v>
      </c>
      <c r="G21" s="99">
        <v>1.4306848387765856</v>
      </c>
      <c r="H21" s="98">
        <v>236.0688194365415</v>
      </c>
      <c r="I21" s="98">
        <v>1.4734961577713095</v>
      </c>
      <c r="J21" s="98">
        <v>6.8610879041755997</v>
      </c>
      <c r="K21" s="99">
        <v>1.5065572518083852</v>
      </c>
      <c r="L21" s="98">
        <v>321.53483333333452</v>
      </c>
      <c r="M21" s="98">
        <v>2.8106191724941829</v>
      </c>
      <c r="N21" s="98">
        <v>5.8761272571636498</v>
      </c>
      <c r="O21" s="99">
        <v>2.009270144297342</v>
      </c>
      <c r="P21" s="98">
        <v>48</v>
      </c>
      <c r="Q21" s="98">
        <v>3.2672864548118392</v>
      </c>
      <c r="R21" s="98">
        <v>1.991046064088565</v>
      </c>
      <c r="S21" s="99">
        <v>2.009270144297342</v>
      </c>
      <c r="T21" s="57">
        <f>'CGE-Flood Weighted Av Calcs'!C24</f>
        <v>1.2714787296151742</v>
      </c>
      <c r="Z21" s="73">
        <v>2034</v>
      </c>
      <c r="AA21" s="19">
        <f t="shared" si="20"/>
        <v>1.4243229758573119</v>
      </c>
      <c r="AB21" s="72"/>
      <c r="AE21" s="38">
        <v>2035</v>
      </c>
      <c r="AF21" s="35"/>
      <c r="AG21" s="35">
        <f>AG20+$AD$6</f>
        <v>2.1275785781467023</v>
      </c>
      <c r="AH21" s="35">
        <f t="shared" si="22"/>
        <v>2.7022468441506957</v>
      </c>
      <c r="AI21" s="35">
        <f t="shared" si="6"/>
        <v>3.4646047072537716</v>
      </c>
      <c r="AJ21" s="35">
        <f t="shared" si="7"/>
        <v>3.7914763110320964</v>
      </c>
      <c r="AN21" s="38">
        <v>2035</v>
      </c>
      <c r="AO21" s="35"/>
      <c r="AP21" s="35">
        <f t="shared" si="8"/>
        <v>2.0070944107966961</v>
      </c>
      <c r="AQ21" s="35">
        <f t="shared" si="9"/>
        <v>2.5730073654042549</v>
      </c>
      <c r="AR21" s="35">
        <f t="shared" si="10"/>
        <v>3.3187206187925136</v>
      </c>
      <c r="AS21" s="35">
        <f t="shared" si="11"/>
        <v>3.6463094660180646</v>
      </c>
      <c r="AX21" s="35">
        <f t="shared" si="12"/>
        <v>2.0869787054853677</v>
      </c>
      <c r="AY21" s="35">
        <f t="shared" si="13"/>
        <v>2.6527061947874913</v>
      </c>
      <c r="AZ21" s="35">
        <f t="shared" si="14"/>
        <v>3.3983148899857265</v>
      </c>
      <c r="BA21" s="35">
        <f t="shared" si="15"/>
        <v>3.7259406448346484</v>
      </c>
      <c r="BF21" s="35">
        <f t="shared" si="16"/>
        <v>3.8148613893470702</v>
      </c>
      <c r="BG21" s="35">
        <f t="shared" si="0"/>
        <v>5.1459956701540026</v>
      </c>
      <c r="BH21" s="35">
        <f t="shared" si="1"/>
        <v>6.1541407813000584</v>
      </c>
      <c r="BI21" s="35">
        <f t="shared" si="2"/>
        <v>6.3989183807782712</v>
      </c>
      <c r="BN21" s="35">
        <f t="shared" si="3"/>
        <v>2.0628787470968502</v>
      </c>
      <c r="BO21" s="35">
        <f t="shared" si="17"/>
        <v>2.4681330697965689</v>
      </c>
      <c r="BP21" s="35">
        <f t="shared" si="18"/>
        <v>3.1585051429165842</v>
      </c>
      <c r="BQ21" s="35">
        <f t="shared" si="19"/>
        <v>3.2773980381199528</v>
      </c>
      <c r="BV21" s="35">
        <f t="shared" si="4"/>
        <v>4.7448467847392832</v>
      </c>
      <c r="BW21" s="35">
        <f t="shared" si="23"/>
        <v>5.3628276926724876</v>
      </c>
      <c r="BX21" s="35">
        <f t="shared" si="5"/>
        <v>6.9708552071210912</v>
      </c>
      <c r="BY21" s="35">
        <f t="shared" si="24"/>
        <v>7.2245667411283039</v>
      </c>
    </row>
    <row r="22" spans="1:77" s="19" customFormat="1">
      <c r="B22" s="48"/>
      <c r="D22" s="48"/>
      <c r="F22" s="48"/>
      <c r="J22" s="48"/>
      <c r="N22" s="48"/>
      <c r="R22" s="48"/>
      <c r="T22" s="50"/>
      <c r="Z22" s="73">
        <v>2035</v>
      </c>
      <c r="AA22" s="19">
        <f t="shared" si="20"/>
        <v>1.4147702104671782</v>
      </c>
      <c r="AB22" s="72"/>
      <c r="AE22" s="1">
        <v>2036</v>
      </c>
      <c r="AG22" s="19">
        <f>AG21+$AD$6</f>
        <v>2.1652582549498067</v>
      </c>
      <c r="AH22" s="19">
        <f t="shared" si="22"/>
        <v>2.7613426534975378</v>
      </c>
      <c r="AI22" s="19">
        <f t="shared" si="6"/>
        <v>3.5286147667769532</v>
      </c>
      <c r="AJ22" s="19">
        <f t="shared" si="7"/>
        <v>3.8708895047513847</v>
      </c>
      <c r="AN22" s="1">
        <v>2036</v>
      </c>
      <c r="AP22" s="19">
        <f t="shared" si="8"/>
        <v>2.0388063654231345</v>
      </c>
      <c r="AQ22" s="19">
        <f t="shared" si="9"/>
        <v>2.6267191400008598</v>
      </c>
      <c r="AR22" s="19">
        <f t="shared" si="10"/>
        <v>3.3784562842131125</v>
      </c>
      <c r="AS22" s="19">
        <f t="shared" si="11"/>
        <v>3.7214004494049551</v>
      </c>
      <c r="AX22" s="19">
        <f t="shared" si="12"/>
        <v>2.1240317071325614</v>
      </c>
      <c r="AY22" s="19">
        <f t="shared" si="13"/>
        <v>2.7117713807585471</v>
      </c>
      <c r="AZ22" s="19">
        <f t="shared" si="14"/>
        <v>3.4634109373267781</v>
      </c>
      <c r="BA22" s="19">
        <f t="shared" si="15"/>
        <v>3.8063895496337663</v>
      </c>
      <c r="BF22" s="19">
        <f t="shared" si="16"/>
        <v>3.739585366581343</v>
      </c>
      <c r="BG22" s="19">
        <f t="shared" si="0"/>
        <v>5.0321940152640483</v>
      </c>
      <c r="BH22" s="19">
        <f t="shared" si="1"/>
        <v>6.0370561138385499</v>
      </c>
      <c r="BI22" s="19">
        <f t="shared" si="2"/>
        <v>6.2767128193934569</v>
      </c>
      <c r="BN22" s="19">
        <f t="shared" si="3"/>
        <v>2.0434349673777397</v>
      </c>
      <c r="BO22" s="19">
        <f t="shared" si="17"/>
        <v>2.448447567787269</v>
      </c>
      <c r="BP22" s="19">
        <f t="shared" si="18"/>
        <v>3.1360263647450779</v>
      </c>
      <c r="BQ22" s="19">
        <f t="shared" si="19"/>
        <v>3.2535158523768279</v>
      </c>
      <c r="BV22" s="19">
        <f t="shared" si="4"/>
        <v>4.685278230277258</v>
      </c>
      <c r="BW22" s="19">
        <f t="shared" si="23"/>
        <v>5.2905413672932307</v>
      </c>
      <c r="BX22" s="19">
        <f t="shared" si="5"/>
        <v>6.9009230528902279</v>
      </c>
      <c r="BY22" s="19">
        <f t="shared" si="24"/>
        <v>7.150591794182521</v>
      </c>
    </row>
    <row r="23" spans="1:77" s="19" customFormat="1">
      <c r="Z23" s="73">
        <v>2036</v>
      </c>
      <c r="AA23" s="19">
        <f t="shared" si="20"/>
        <v>1.4052174450770445</v>
      </c>
      <c r="AB23" s="72"/>
      <c r="AE23" s="1">
        <v>2037</v>
      </c>
      <c r="AG23" s="19">
        <f t="shared" si="21"/>
        <v>2.2029379317529112</v>
      </c>
      <c r="AH23" s="19">
        <f t="shared" si="22"/>
        <v>2.8204384628443799</v>
      </c>
      <c r="AI23" s="19">
        <f t="shared" si="6"/>
        <v>3.5926248263001348</v>
      </c>
      <c r="AJ23" s="19">
        <f t="shared" si="7"/>
        <v>3.9503026984706731</v>
      </c>
      <c r="AN23" s="1">
        <v>2037</v>
      </c>
      <c r="AP23" s="19">
        <f t="shared" si="8"/>
        <v>2.0705183200495729</v>
      </c>
      <c r="AQ23" s="19">
        <f t="shared" si="9"/>
        <v>2.6804309145974647</v>
      </c>
      <c r="AR23" s="19">
        <f t="shared" si="10"/>
        <v>3.4381919496337114</v>
      </c>
      <c r="AS23" s="19">
        <f t="shared" si="11"/>
        <v>3.7964914327918455</v>
      </c>
      <c r="AX23" s="19">
        <f t="shared" si="12"/>
        <v>2.1610847087797551</v>
      </c>
      <c r="AY23" s="19">
        <f t="shared" si="13"/>
        <v>2.7708365667296029</v>
      </c>
      <c r="AZ23" s="19">
        <f t="shared" si="14"/>
        <v>3.5285069846678296</v>
      </c>
      <c r="BA23" s="19">
        <f t="shared" si="15"/>
        <v>3.8868384544328842</v>
      </c>
      <c r="BF23" s="19">
        <f t="shared" si="16"/>
        <v>3.6643093438156158</v>
      </c>
      <c r="BG23" s="19">
        <f t="shared" si="0"/>
        <v>4.918392360374094</v>
      </c>
      <c r="BH23" s="19">
        <f t="shared" si="1"/>
        <v>5.9199714463770414</v>
      </c>
      <c r="BI23" s="19">
        <f t="shared" si="2"/>
        <v>6.1545072580086426</v>
      </c>
      <c r="BN23" s="19">
        <f t="shared" si="3"/>
        <v>2.0239911876586292</v>
      </c>
      <c r="BO23" s="19">
        <f t="shared" si="17"/>
        <v>2.4287620657779692</v>
      </c>
      <c r="BP23" s="19">
        <f t="shared" si="18"/>
        <v>3.1135475865735716</v>
      </c>
      <c r="BQ23" s="19">
        <f t="shared" si="19"/>
        <v>3.2296336666337031</v>
      </c>
      <c r="BV23" s="19">
        <f t="shared" si="4"/>
        <v>4.6257096758152327</v>
      </c>
      <c r="BW23" s="19">
        <f t="shared" si="23"/>
        <v>5.2182550419139737</v>
      </c>
      <c r="BX23" s="19">
        <f t="shared" si="5"/>
        <v>6.8309908986593646</v>
      </c>
      <c r="BY23" s="19">
        <f t="shared" si="24"/>
        <v>7.0766168472367381</v>
      </c>
    </row>
    <row r="24" spans="1:77" s="19" customFormat="1">
      <c r="A24" s="19" t="s">
        <v>48</v>
      </c>
      <c r="Z24" s="73">
        <v>2037</v>
      </c>
      <c r="AA24" s="19">
        <f t="shared" si="20"/>
        <v>1.3956646796869108</v>
      </c>
      <c r="AB24" s="72"/>
      <c r="AE24" s="1">
        <v>2038</v>
      </c>
      <c r="AG24" s="19">
        <f t="shared" si="21"/>
        <v>2.2406176085560157</v>
      </c>
      <c r="AH24" s="19">
        <f t="shared" si="22"/>
        <v>2.879534272191222</v>
      </c>
      <c r="AI24" s="19">
        <f t="shared" si="6"/>
        <v>3.6566348858233164</v>
      </c>
      <c r="AJ24" s="19">
        <f t="shared" si="7"/>
        <v>4.0297158921899614</v>
      </c>
      <c r="AN24" s="1">
        <v>2038</v>
      </c>
      <c r="AP24" s="19">
        <f t="shared" si="8"/>
        <v>2.1022302746760113</v>
      </c>
      <c r="AQ24" s="19">
        <f t="shared" si="9"/>
        <v>2.7341426891940697</v>
      </c>
      <c r="AR24" s="19">
        <f t="shared" si="10"/>
        <v>3.4979276150543104</v>
      </c>
      <c r="AS24" s="19">
        <f t="shared" si="11"/>
        <v>3.871582416178736</v>
      </c>
      <c r="AX24" s="19">
        <f t="shared" si="12"/>
        <v>2.1981377104269488</v>
      </c>
      <c r="AY24" s="19">
        <f t="shared" si="13"/>
        <v>2.8299017527006587</v>
      </c>
      <c r="AZ24" s="19">
        <f t="shared" si="14"/>
        <v>3.5936030320088812</v>
      </c>
      <c r="BA24" s="19">
        <f t="shared" si="15"/>
        <v>3.9672873592320022</v>
      </c>
      <c r="BF24" s="19">
        <f t="shared" si="16"/>
        <v>3.5890333210498886</v>
      </c>
      <c r="BG24" s="19">
        <f t="shared" si="0"/>
        <v>4.8045907054841397</v>
      </c>
      <c r="BH24" s="19">
        <f t="shared" si="1"/>
        <v>5.802886778915533</v>
      </c>
      <c r="BI24" s="19">
        <f t="shared" si="2"/>
        <v>6.0323016966238283</v>
      </c>
      <c r="BN24" s="19">
        <f t="shared" si="3"/>
        <v>2.0045474079395187</v>
      </c>
      <c r="BO24" s="19">
        <f t="shared" si="17"/>
        <v>2.4090765637686693</v>
      </c>
      <c r="BP24" s="19">
        <f t="shared" si="18"/>
        <v>3.0910688084020652</v>
      </c>
      <c r="BQ24" s="19">
        <f t="shared" si="19"/>
        <v>3.2057514808905783</v>
      </c>
      <c r="BV24" s="19">
        <f t="shared" si="4"/>
        <v>4.5661411213532075</v>
      </c>
      <c r="BW24" s="19">
        <f t="shared" si="23"/>
        <v>5.1459687165347168</v>
      </c>
      <c r="BX24" s="19">
        <f t="shared" si="5"/>
        <v>6.7610587444285013</v>
      </c>
      <c r="BY24" s="19">
        <f t="shared" si="24"/>
        <v>7.0026419002909552</v>
      </c>
    </row>
    <row r="25" spans="1:77" s="19" customFormat="1">
      <c r="Z25" s="73">
        <v>2038</v>
      </c>
      <c r="AA25" s="19">
        <f t="shared" si="20"/>
        <v>1.386111914296777</v>
      </c>
      <c r="AB25" s="72"/>
      <c r="AE25" s="1">
        <v>2039</v>
      </c>
      <c r="AG25" s="19">
        <f t="shared" si="21"/>
        <v>2.2782972853591201</v>
      </c>
      <c r="AH25" s="19">
        <f t="shared" si="22"/>
        <v>2.9386300815380642</v>
      </c>
      <c r="AI25" s="19">
        <f t="shared" si="6"/>
        <v>3.720644945346498</v>
      </c>
      <c r="AJ25" s="19">
        <f t="shared" si="7"/>
        <v>4.1091290859092497</v>
      </c>
      <c r="AN25" s="1">
        <v>2039</v>
      </c>
      <c r="AP25" s="19">
        <f t="shared" si="8"/>
        <v>2.1339422293024497</v>
      </c>
      <c r="AQ25" s="19">
        <f t="shared" si="9"/>
        <v>2.7878544637906746</v>
      </c>
      <c r="AR25" s="19">
        <f t="shared" si="10"/>
        <v>3.5576632804749093</v>
      </c>
      <c r="AS25" s="19">
        <f t="shared" si="11"/>
        <v>3.9466733995656265</v>
      </c>
      <c r="AX25" s="19">
        <f t="shared" si="12"/>
        <v>2.2351907120741425</v>
      </c>
      <c r="AY25" s="19">
        <f t="shared" si="13"/>
        <v>2.8889669386717145</v>
      </c>
      <c r="AZ25" s="19">
        <f t="shared" si="14"/>
        <v>3.6586990793499328</v>
      </c>
      <c r="BA25" s="19">
        <f t="shared" si="15"/>
        <v>4.0477362640311201</v>
      </c>
      <c r="BF25" s="19">
        <f t="shared" si="16"/>
        <v>3.5137572982841614</v>
      </c>
      <c r="BG25" s="19">
        <f t="shared" si="0"/>
        <v>4.6907890505941854</v>
      </c>
      <c r="BH25" s="19">
        <f t="shared" si="1"/>
        <v>5.6858021114540245</v>
      </c>
      <c r="BI25" s="19">
        <f t="shared" si="2"/>
        <v>5.910096135239014</v>
      </c>
      <c r="BN25" s="19">
        <f t="shared" si="3"/>
        <v>1.9851036282204082</v>
      </c>
      <c r="BO25" s="19">
        <f t="shared" si="17"/>
        <v>2.3893910617593694</v>
      </c>
      <c r="BP25" s="19">
        <f t="shared" si="18"/>
        <v>3.0685900302305589</v>
      </c>
      <c r="BQ25" s="19">
        <f t="shared" si="19"/>
        <v>3.1818692951474534</v>
      </c>
      <c r="BV25" s="19">
        <f t="shared" si="4"/>
        <v>4.5065725668911822</v>
      </c>
      <c r="BW25" s="19">
        <f t="shared" si="23"/>
        <v>5.0736823911554598</v>
      </c>
      <c r="BX25" s="19">
        <f t="shared" si="5"/>
        <v>6.691126590197638</v>
      </c>
      <c r="BY25" s="19">
        <f t="shared" si="24"/>
        <v>6.9286669533451724</v>
      </c>
    </row>
    <row r="26" spans="1:77" s="19" customFormat="1">
      <c r="A26" s="39" t="s">
        <v>0</v>
      </c>
      <c r="B26" s="100" t="s">
        <v>3</v>
      </c>
      <c r="C26" s="100"/>
      <c r="D26" s="100" t="s">
        <v>5</v>
      </c>
      <c r="E26" s="100"/>
      <c r="F26" s="100" t="s">
        <v>6</v>
      </c>
      <c r="G26" s="100"/>
      <c r="H26" s="100" t="s">
        <v>7</v>
      </c>
      <c r="I26" s="100"/>
      <c r="J26" s="100"/>
      <c r="K26" s="100"/>
      <c r="L26" s="100" t="s">
        <v>8</v>
      </c>
      <c r="M26" s="100"/>
      <c r="N26" s="100"/>
      <c r="O26" s="100"/>
      <c r="P26" s="100" t="s">
        <v>9</v>
      </c>
      <c r="Q26" s="100"/>
      <c r="R26" s="100"/>
      <c r="S26" s="100"/>
      <c r="Z26" s="73">
        <v>2039</v>
      </c>
      <c r="AA26" s="19">
        <f t="shared" si="20"/>
        <v>1.3765591489066433</v>
      </c>
      <c r="AB26" s="72"/>
      <c r="AE26" s="1">
        <v>2040</v>
      </c>
      <c r="AG26" s="19">
        <f t="shared" si="21"/>
        <v>2.3159769621622246</v>
      </c>
      <c r="AH26" s="19">
        <f t="shared" si="22"/>
        <v>2.9977258908849063</v>
      </c>
      <c r="AI26" s="19">
        <f>AI25+$AD$8</f>
        <v>3.7846550048696797</v>
      </c>
      <c r="AJ26" s="19">
        <f t="shared" si="7"/>
        <v>4.1885422796285381</v>
      </c>
      <c r="AN26" s="1">
        <v>2040</v>
      </c>
      <c r="AP26" s="19">
        <f t="shared" si="8"/>
        <v>2.1656541839288881</v>
      </c>
      <c r="AQ26" s="19">
        <f t="shared" si="9"/>
        <v>2.8415662383872795</v>
      </c>
      <c r="AR26" s="19">
        <f t="shared" si="10"/>
        <v>3.6173989458955083</v>
      </c>
      <c r="AS26" s="19">
        <f t="shared" si="11"/>
        <v>4.0217643829525169</v>
      </c>
      <c r="AX26" s="19">
        <f t="shared" si="12"/>
        <v>2.2722437137213363</v>
      </c>
      <c r="AY26" s="19">
        <f t="shared" si="13"/>
        <v>2.9480321246427703</v>
      </c>
      <c r="AZ26" s="19">
        <f t="shared" si="14"/>
        <v>3.7237951266909843</v>
      </c>
      <c r="BA26" s="19">
        <f t="shared" si="15"/>
        <v>4.128185168830238</v>
      </c>
      <c r="BF26" s="19">
        <f t="shared" si="16"/>
        <v>3.4384812755184342</v>
      </c>
      <c r="BG26" s="19">
        <f t="shared" si="0"/>
        <v>4.5769873957042311</v>
      </c>
      <c r="BH26" s="19">
        <f t="shared" si="1"/>
        <v>5.568717443992516</v>
      </c>
      <c r="BI26" s="19">
        <f t="shared" si="2"/>
        <v>5.7878905738541997</v>
      </c>
      <c r="BN26" s="19">
        <f t="shared" si="3"/>
        <v>1.9656598485012977</v>
      </c>
      <c r="BO26" s="19">
        <f t="shared" si="17"/>
        <v>2.3697055597500696</v>
      </c>
      <c r="BP26" s="19">
        <f t="shared" si="18"/>
        <v>3.0461112520590525</v>
      </c>
      <c r="BQ26" s="19">
        <f t="shared" si="19"/>
        <v>3.1579871094043286</v>
      </c>
      <c r="BV26" s="19">
        <f t="shared" si="4"/>
        <v>4.447004012429157</v>
      </c>
      <c r="BW26" s="19">
        <f t="shared" si="23"/>
        <v>5.0013960657762029</v>
      </c>
      <c r="BX26" s="19">
        <f t="shared" si="5"/>
        <v>6.6211944359667747</v>
      </c>
      <c r="BY26" s="19">
        <f t="shared" si="24"/>
        <v>6.8546920063993895</v>
      </c>
    </row>
    <row r="27" spans="1:77" s="43" customFormat="1" ht="24">
      <c r="A27" s="40"/>
      <c r="B27" s="41" t="s">
        <v>4</v>
      </c>
      <c r="C27" s="42" t="s">
        <v>2</v>
      </c>
      <c r="D27" s="41" t="s">
        <v>4</v>
      </c>
      <c r="E27" s="42" t="s">
        <v>2</v>
      </c>
      <c r="F27" s="41" t="s">
        <v>4</v>
      </c>
      <c r="G27" s="42" t="s">
        <v>2</v>
      </c>
      <c r="H27" s="41" t="s">
        <v>46</v>
      </c>
      <c r="I27" s="41" t="s">
        <v>45</v>
      </c>
      <c r="J27" s="41" t="s">
        <v>4</v>
      </c>
      <c r="K27" s="42" t="s">
        <v>2</v>
      </c>
      <c r="L27" s="41" t="s">
        <v>44</v>
      </c>
      <c r="M27" s="41" t="s">
        <v>45</v>
      </c>
      <c r="N27" s="41" t="s">
        <v>4</v>
      </c>
      <c r="O27" s="42" t="s">
        <v>2</v>
      </c>
      <c r="P27" s="41" t="s">
        <v>44</v>
      </c>
      <c r="Q27" s="41" t="s">
        <v>45</v>
      </c>
      <c r="R27" s="41" t="s">
        <v>4</v>
      </c>
      <c r="S27" s="42" t="s">
        <v>2</v>
      </c>
      <c r="Z27" s="73">
        <v>2040</v>
      </c>
      <c r="AA27" s="19">
        <f t="shared" si="20"/>
        <v>1.3670063835165096</v>
      </c>
      <c r="AB27" s="74"/>
      <c r="AE27" s="1">
        <v>2041</v>
      </c>
      <c r="AF27" s="19"/>
      <c r="AG27" s="19">
        <f t="shared" si="21"/>
        <v>2.3536566389653291</v>
      </c>
      <c r="AH27" s="19">
        <f t="shared" si="22"/>
        <v>3.0568217002317484</v>
      </c>
      <c r="AI27" s="19">
        <f>AI26+$AD$8</f>
        <v>3.8486650643928613</v>
      </c>
      <c r="AJ27" s="19">
        <f t="shared" si="7"/>
        <v>4.2679554733478264</v>
      </c>
      <c r="AK27" s="19"/>
      <c r="AL27" s="19"/>
      <c r="AN27" s="1">
        <v>2041</v>
      </c>
      <c r="AP27" s="19">
        <f t="shared" si="8"/>
        <v>2.1973661385553265</v>
      </c>
      <c r="AQ27" s="19">
        <f t="shared" si="9"/>
        <v>2.8952780129838844</v>
      </c>
      <c r="AR27" s="19">
        <f t="shared" si="10"/>
        <v>3.6771346113161072</v>
      </c>
      <c r="AS27" s="19">
        <f t="shared" si="11"/>
        <v>4.0968553663394074</v>
      </c>
      <c r="AX27" s="19">
        <f>AX26+$AV$6</f>
        <v>2.30929671536853</v>
      </c>
      <c r="AY27" s="19">
        <f>AY26+$AV$7</f>
        <v>3.0070973106138261</v>
      </c>
      <c r="AZ27" s="19">
        <f>AZ26+$AV$8</f>
        <v>3.7888911740320359</v>
      </c>
      <c r="BA27" s="19">
        <f>BA26+$AV$9</f>
        <v>4.2086340736293559</v>
      </c>
      <c r="BB27" s="19"/>
      <c r="BC27" s="19"/>
      <c r="BF27" s="19">
        <f>BF26+$BD$6</f>
        <v>3.363205252752707</v>
      </c>
      <c r="BG27" s="19">
        <f t="shared" si="0"/>
        <v>4.4631857408142768</v>
      </c>
      <c r="BH27" s="19">
        <f t="shared" si="1"/>
        <v>5.4516327765310075</v>
      </c>
      <c r="BI27" s="19">
        <f t="shared" si="2"/>
        <v>5.6656850124693854</v>
      </c>
      <c r="BN27" s="19">
        <f t="shared" si="3"/>
        <v>1.9462160687821872</v>
      </c>
      <c r="BO27" s="19">
        <f>BO26+$BL$7</f>
        <v>2.3500200577407697</v>
      </c>
      <c r="BP27" s="19">
        <f>BP26+$BL$8</f>
        <v>3.0236324738875462</v>
      </c>
      <c r="BQ27" s="19">
        <f t="shared" si="19"/>
        <v>3.1341049236612037</v>
      </c>
      <c r="BV27" s="19">
        <f t="shared" si="4"/>
        <v>4.3874354579671317</v>
      </c>
      <c r="BW27" s="19">
        <f t="shared" si="23"/>
        <v>4.9291097403969459</v>
      </c>
      <c r="BX27" s="19">
        <f t="shared" si="5"/>
        <v>6.5512622817359114</v>
      </c>
      <c r="BY27" s="19">
        <f t="shared" si="24"/>
        <v>6.7807170594536066</v>
      </c>
    </row>
    <row r="28" spans="1:77" s="19" customFormat="1">
      <c r="A28" s="19">
        <v>10</v>
      </c>
      <c r="B28" s="44"/>
      <c r="C28" s="44"/>
      <c r="Z28" s="73">
        <v>2041</v>
      </c>
      <c r="AA28" s="19">
        <f t="shared" si="20"/>
        <v>1.3574536181263759</v>
      </c>
      <c r="AB28" s="72"/>
      <c r="AE28" s="1">
        <v>2042</v>
      </c>
      <c r="AG28" s="19">
        <f t="shared" si="21"/>
        <v>2.3913363157684335</v>
      </c>
      <c r="AH28" s="19">
        <f>AH27+$AD$7</f>
        <v>3.1159175095785905</v>
      </c>
      <c r="AI28" s="19">
        <f t="shared" si="6"/>
        <v>3.9126751239160429</v>
      </c>
      <c r="AJ28" s="19">
        <f t="shared" si="7"/>
        <v>4.3473686670671148</v>
      </c>
      <c r="AN28" s="1">
        <v>2042</v>
      </c>
      <c r="AP28" s="19">
        <f t="shared" si="8"/>
        <v>2.2290780931817649</v>
      </c>
      <c r="AQ28" s="19">
        <f t="shared" si="9"/>
        <v>2.9489897875804894</v>
      </c>
      <c r="AR28" s="19">
        <f t="shared" si="10"/>
        <v>3.7368702767367061</v>
      </c>
      <c r="AS28" s="19">
        <f t="shared" si="11"/>
        <v>4.1719463497262979</v>
      </c>
      <c r="AX28" s="19">
        <f t="shared" si="12"/>
        <v>2.3463497170157237</v>
      </c>
      <c r="AY28" s="19">
        <f t="shared" si="13"/>
        <v>3.0661624965848819</v>
      </c>
      <c r="AZ28" s="19">
        <f t="shared" si="14"/>
        <v>3.8539872213730875</v>
      </c>
      <c r="BA28" s="19">
        <f t="shared" si="15"/>
        <v>4.2890829784284739</v>
      </c>
      <c r="BF28" s="19">
        <f t="shared" si="16"/>
        <v>3.2879292299869798</v>
      </c>
      <c r="BG28" s="19">
        <f t="shared" si="0"/>
        <v>4.3493840859243225</v>
      </c>
      <c r="BH28" s="19">
        <f t="shared" si="1"/>
        <v>5.3345481090694991</v>
      </c>
      <c r="BI28" s="19">
        <f t="shared" si="2"/>
        <v>5.5434794510845711</v>
      </c>
      <c r="BN28" s="19">
        <f t="shared" si="3"/>
        <v>1.9267722890630767</v>
      </c>
      <c r="BO28" s="19">
        <f t="shared" si="17"/>
        <v>2.3303345557314699</v>
      </c>
      <c r="BP28" s="19">
        <f t="shared" si="18"/>
        <v>3.0011536957160398</v>
      </c>
      <c r="BQ28" s="19">
        <f t="shared" si="19"/>
        <v>3.1102227379180789</v>
      </c>
      <c r="BV28" s="19">
        <f t="shared" si="4"/>
        <v>4.3278669035051065</v>
      </c>
      <c r="BW28" s="19">
        <f t="shared" si="23"/>
        <v>4.856823415017689</v>
      </c>
      <c r="BX28" s="19">
        <f t="shared" si="5"/>
        <v>6.4813301275050481</v>
      </c>
      <c r="BY28" s="19">
        <f t="shared" si="24"/>
        <v>6.7067421125078237</v>
      </c>
    </row>
    <row r="29" spans="1:77" s="19" customFormat="1">
      <c r="A29" s="19">
        <v>25</v>
      </c>
      <c r="Z29" s="73">
        <v>2042</v>
      </c>
      <c r="AA29" s="19">
        <f t="shared" si="20"/>
        <v>1.3479008527362422</v>
      </c>
      <c r="AB29" s="72"/>
      <c r="AE29" s="1">
        <v>2043</v>
      </c>
      <c r="AG29" s="19">
        <f t="shared" si="21"/>
        <v>2.429015992571538</v>
      </c>
      <c r="AH29" s="19">
        <f t="shared" si="22"/>
        <v>3.1750133189254326</v>
      </c>
      <c r="AI29" s="19">
        <f t="shared" si="6"/>
        <v>3.9766851834392245</v>
      </c>
      <c r="AJ29" s="19">
        <f t="shared" si="7"/>
        <v>4.4267818607864031</v>
      </c>
      <c r="AN29" s="1">
        <v>2043</v>
      </c>
      <c r="AP29" s="19">
        <f t="shared" si="8"/>
        <v>2.2607900478082033</v>
      </c>
      <c r="AQ29" s="19">
        <f t="shared" si="9"/>
        <v>3.0027015621770943</v>
      </c>
      <c r="AR29" s="19">
        <f t="shared" si="10"/>
        <v>3.7966059421573051</v>
      </c>
      <c r="AS29" s="19">
        <f t="shared" si="11"/>
        <v>4.2470373331131883</v>
      </c>
      <c r="AX29" s="19">
        <f t="shared" si="12"/>
        <v>2.3834027186629174</v>
      </c>
      <c r="AY29" s="19">
        <f t="shared" si="13"/>
        <v>3.1252276825559377</v>
      </c>
      <c r="AZ29" s="19">
        <f t="shared" si="14"/>
        <v>3.919083268714139</v>
      </c>
      <c r="BA29" s="19">
        <f t="shared" si="15"/>
        <v>4.3695318832275918</v>
      </c>
      <c r="BF29" s="19">
        <f t="shared" si="16"/>
        <v>3.2126532072212526</v>
      </c>
      <c r="BG29" s="19">
        <f t="shared" si="0"/>
        <v>4.2355824310343682</v>
      </c>
      <c r="BH29" s="19">
        <f t="shared" si="1"/>
        <v>5.2174634416079906</v>
      </c>
      <c r="BI29" s="19">
        <f t="shared" si="2"/>
        <v>5.4212738896997568</v>
      </c>
      <c r="BN29" s="19">
        <f t="shared" si="3"/>
        <v>1.9073285093439662</v>
      </c>
      <c r="BO29" s="19">
        <f t="shared" si="17"/>
        <v>2.31064905372217</v>
      </c>
      <c r="BP29" s="19">
        <f t="shared" si="18"/>
        <v>2.9786749175445335</v>
      </c>
      <c r="BQ29" s="19">
        <f t="shared" si="19"/>
        <v>3.0863405521749541</v>
      </c>
      <c r="BV29" s="19">
        <f t="shared" si="4"/>
        <v>4.2682983490430813</v>
      </c>
      <c r="BW29" s="19">
        <f t="shared" si="23"/>
        <v>4.7845370896384321</v>
      </c>
      <c r="BX29" s="19">
        <f t="shared" si="5"/>
        <v>6.4113979732741848</v>
      </c>
      <c r="BY29" s="19">
        <f t="shared" si="24"/>
        <v>6.6327671655620408</v>
      </c>
    </row>
    <row r="30" spans="1:77" s="19" customFormat="1">
      <c r="A30" s="19">
        <v>100</v>
      </c>
      <c r="Z30" s="73">
        <v>2043</v>
      </c>
      <c r="AA30" s="19">
        <f t="shared" si="20"/>
        <v>1.3383480873461084</v>
      </c>
      <c r="AB30" s="72"/>
      <c r="AE30" s="1">
        <v>2044</v>
      </c>
      <c r="AG30" s="19">
        <f t="shared" si="21"/>
        <v>2.4666956693746425</v>
      </c>
      <c r="AH30" s="19">
        <f t="shared" si="22"/>
        <v>3.2341091282722747</v>
      </c>
      <c r="AI30" s="19">
        <f t="shared" si="6"/>
        <v>4.0406952429624061</v>
      </c>
      <c r="AJ30" s="19">
        <f t="shared" si="7"/>
        <v>4.5061950545056915</v>
      </c>
      <c r="AN30" s="1">
        <v>2044</v>
      </c>
      <c r="AP30" s="19">
        <f>AP29+$AM$6</f>
        <v>2.2925020024346416</v>
      </c>
      <c r="AQ30" s="19">
        <f t="shared" si="9"/>
        <v>3.0564133367736992</v>
      </c>
      <c r="AR30" s="19">
        <f t="shared" si="10"/>
        <v>3.856341607577904</v>
      </c>
      <c r="AS30" s="19">
        <f t="shared" si="11"/>
        <v>4.3221283165000788</v>
      </c>
      <c r="AX30" s="19">
        <f t="shared" si="12"/>
        <v>2.4204557203101111</v>
      </c>
      <c r="AY30" s="19">
        <f t="shared" si="13"/>
        <v>3.1842928685269936</v>
      </c>
      <c r="AZ30" s="19">
        <f t="shared" si="14"/>
        <v>3.9841793160551906</v>
      </c>
      <c r="BA30" s="19">
        <f t="shared" si="15"/>
        <v>4.4499807880267097</v>
      </c>
      <c r="BF30" s="19">
        <f t="shared" si="16"/>
        <v>3.1373771844555254</v>
      </c>
      <c r="BG30" s="19">
        <f t="shared" si="0"/>
        <v>4.1217807761444138</v>
      </c>
      <c r="BH30" s="19">
        <f t="shared" si="1"/>
        <v>5.1003787741464821</v>
      </c>
      <c r="BI30" s="19">
        <f t="shared" si="2"/>
        <v>5.2990683283149425</v>
      </c>
      <c r="BN30" s="19">
        <f t="shared" si="3"/>
        <v>1.8878847296248558</v>
      </c>
      <c r="BO30" s="19">
        <f t="shared" si="17"/>
        <v>2.2909635517128701</v>
      </c>
      <c r="BP30" s="19">
        <f t="shared" si="18"/>
        <v>2.9561961393730272</v>
      </c>
      <c r="BQ30" s="19">
        <f t="shared" si="19"/>
        <v>3.0624583664318292</v>
      </c>
      <c r="BV30" s="19">
        <f t="shared" si="4"/>
        <v>4.208729794581056</v>
      </c>
      <c r="BW30" s="19">
        <f t="shared" si="23"/>
        <v>4.7122507642591751</v>
      </c>
      <c r="BX30" s="19">
        <f t="shared" si="5"/>
        <v>6.3414658190433215</v>
      </c>
      <c r="BY30" s="19">
        <f t="shared" si="24"/>
        <v>6.5587922186162579</v>
      </c>
    </row>
    <row r="31" spans="1:77" s="19" customFormat="1">
      <c r="A31" s="19">
        <v>200</v>
      </c>
      <c r="Z31" s="73">
        <v>2044</v>
      </c>
      <c r="AA31" s="19">
        <f t="shared" si="20"/>
        <v>1.3287953219559747</v>
      </c>
      <c r="AB31" s="72"/>
      <c r="AE31" s="1">
        <v>2045</v>
      </c>
      <c r="AG31" s="19">
        <f t="shared" si="21"/>
        <v>2.5043753461777469</v>
      </c>
      <c r="AH31" s="19">
        <f t="shared" si="22"/>
        <v>3.2932049376191168</v>
      </c>
      <c r="AI31" s="19">
        <f t="shared" si="6"/>
        <v>4.1047053024855877</v>
      </c>
      <c r="AJ31" s="19">
        <f t="shared" si="7"/>
        <v>4.5856082482249798</v>
      </c>
      <c r="AN31" s="1">
        <v>2045</v>
      </c>
      <c r="AP31" s="19">
        <f t="shared" si="8"/>
        <v>2.32421395706108</v>
      </c>
      <c r="AQ31" s="19">
        <f t="shared" si="9"/>
        <v>3.1101251113703041</v>
      </c>
      <c r="AR31" s="19">
        <f t="shared" si="10"/>
        <v>3.9160772729985029</v>
      </c>
      <c r="AS31" s="19">
        <f t="shared" si="11"/>
        <v>4.3972192998869692</v>
      </c>
      <c r="AX31" s="19">
        <f t="shared" si="12"/>
        <v>2.4575087219573049</v>
      </c>
      <c r="AY31" s="19">
        <f t="shared" si="13"/>
        <v>3.2433580544980494</v>
      </c>
      <c r="AZ31" s="19">
        <f t="shared" si="14"/>
        <v>4.0492753633962426</v>
      </c>
      <c r="BA31" s="19">
        <f t="shared" si="15"/>
        <v>4.5304296928258276</v>
      </c>
      <c r="BF31" s="19">
        <f t="shared" si="16"/>
        <v>3.0621011616897982</v>
      </c>
      <c r="BG31" s="19">
        <f t="shared" si="0"/>
        <v>4.0079791212544595</v>
      </c>
      <c r="BH31" s="19">
        <f t="shared" si="1"/>
        <v>4.9832941066849736</v>
      </c>
      <c r="BI31" s="19">
        <f t="shared" si="2"/>
        <v>5.1768627669301281</v>
      </c>
      <c r="BN31" s="19">
        <f t="shared" si="3"/>
        <v>1.8684409499057453</v>
      </c>
      <c r="BO31" s="19">
        <f t="shared" si="17"/>
        <v>2.2712780497035703</v>
      </c>
      <c r="BP31" s="19">
        <f t="shared" si="18"/>
        <v>2.9337173612015208</v>
      </c>
      <c r="BQ31" s="19">
        <f t="shared" si="19"/>
        <v>3.0385761806887044</v>
      </c>
      <c r="BV31" s="19">
        <f t="shared" si="4"/>
        <v>4.1491612401190308</v>
      </c>
      <c r="BW31" s="19">
        <f t="shared" si="23"/>
        <v>4.6399644388799182</v>
      </c>
      <c r="BX31" s="19">
        <f t="shared" si="5"/>
        <v>6.2715336648124582</v>
      </c>
      <c r="BY31" s="19">
        <f t="shared" si="24"/>
        <v>6.4848172716704751</v>
      </c>
    </row>
    <row r="32" spans="1:77" s="19" customFormat="1">
      <c r="A32" s="20" t="s">
        <v>1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Z32" s="73">
        <v>2045</v>
      </c>
      <c r="AA32" s="19">
        <f t="shared" si="20"/>
        <v>1.319242556565841</v>
      </c>
      <c r="AB32" s="72"/>
      <c r="AE32" s="1">
        <v>2046</v>
      </c>
      <c r="AG32" s="19">
        <f t="shared" si="21"/>
        <v>2.5420550229808514</v>
      </c>
      <c r="AH32" s="19">
        <f t="shared" si="22"/>
        <v>3.3523007469659589</v>
      </c>
      <c r="AI32" s="19">
        <f t="shared" si="6"/>
        <v>4.1687153620087694</v>
      </c>
      <c r="AJ32" s="19">
        <f t="shared" si="7"/>
        <v>4.6650214419442682</v>
      </c>
      <c r="AN32" s="1">
        <v>2046</v>
      </c>
      <c r="AP32" s="19">
        <f t="shared" si="8"/>
        <v>2.3559259116875184</v>
      </c>
      <c r="AQ32" s="19">
        <f t="shared" si="9"/>
        <v>3.163836885966909</v>
      </c>
      <c r="AR32" s="19">
        <f t="shared" si="10"/>
        <v>3.9758129384191019</v>
      </c>
      <c r="AS32" s="19">
        <f t="shared" si="11"/>
        <v>4.4723102832738597</v>
      </c>
      <c r="AX32" s="19">
        <f t="shared" si="12"/>
        <v>2.4945617236044986</v>
      </c>
      <c r="AY32" s="19">
        <f t="shared" si="13"/>
        <v>3.3024232404691052</v>
      </c>
      <c r="AZ32" s="19">
        <f t="shared" si="14"/>
        <v>4.1143714107372942</v>
      </c>
      <c r="BA32" s="19">
        <f t="shared" si="15"/>
        <v>4.6108785976249456</v>
      </c>
      <c r="BF32" s="19">
        <f t="shared" si="16"/>
        <v>2.986825138924071</v>
      </c>
      <c r="BG32" s="19">
        <f t="shared" si="0"/>
        <v>3.8941774663645052</v>
      </c>
      <c r="BH32" s="19">
        <f t="shared" si="1"/>
        <v>4.8662094392234652</v>
      </c>
      <c r="BI32" s="19">
        <f t="shared" si="2"/>
        <v>5.0546572055453138</v>
      </c>
      <c r="BN32" s="19">
        <f t="shared" si="3"/>
        <v>1.8489971701866348</v>
      </c>
      <c r="BO32" s="19">
        <f t="shared" si="17"/>
        <v>2.2515925476942704</v>
      </c>
      <c r="BP32" s="19">
        <f t="shared" si="18"/>
        <v>2.9112385830300145</v>
      </c>
      <c r="BQ32" s="19">
        <f t="shared" si="19"/>
        <v>3.0146939949455795</v>
      </c>
      <c r="BV32" s="19">
        <f t="shared" si="4"/>
        <v>4.0895926856570055</v>
      </c>
      <c r="BW32" s="19">
        <f t="shared" si="23"/>
        <v>4.5676781135006612</v>
      </c>
      <c r="BX32" s="19">
        <f t="shared" si="5"/>
        <v>6.2016015105815949</v>
      </c>
      <c r="BY32" s="19">
        <f t="shared" si="24"/>
        <v>6.4108423247246922</v>
      </c>
    </row>
    <row r="33" spans="1:77" s="19" customFormat="1">
      <c r="Z33" s="73">
        <v>2046</v>
      </c>
      <c r="AA33" s="19">
        <f t="shared" si="20"/>
        <v>1.3096897911757073</v>
      </c>
      <c r="AB33" s="72"/>
      <c r="AE33" s="1">
        <v>2047</v>
      </c>
      <c r="AG33" s="19">
        <f t="shared" si="21"/>
        <v>2.5797346997839559</v>
      </c>
      <c r="AH33" s="19">
        <f t="shared" si="22"/>
        <v>3.411396556312801</v>
      </c>
      <c r="AI33" s="19">
        <f t="shared" si="6"/>
        <v>4.232725421531951</v>
      </c>
      <c r="AJ33" s="19">
        <f t="shared" si="7"/>
        <v>4.7444346356635565</v>
      </c>
      <c r="AN33" s="1">
        <v>2047</v>
      </c>
      <c r="AP33" s="19">
        <f t="shared" si="8"/>
        <v>2.3876378663139568</v>
      </c>
      <c r="AQ33" s="19">
        <f t="shared" si="9"/>
        <v>3.217548660563514</v>
      </c>
      <c r="AR33" s="19">
        <f t="shared" si="10"/>
        <v>4.0355486038397013</v>
      </c>
      <c r="AS33" s="19">
        <f>AS32+$AM$9</f>
        <v>4.5474012666607502</v>
      </c>
      <c r="AX33" s="19">
        <f t="shared" si="12"/>
        <v>2.5316147252516923</v>
      </c>
      <c r="AY33" s="19">
        <f t="shared" si="13"/>
        <v>3.361488426440161</v>
      </c>
      <c r="AZ33" s="19">
        <f t="shared" si="14"/>
        <v>4.1794674580783457</v>
      </c>
      <c r="BA33" s="19">
        <f t="shared" si="15"/>
        <v>4.6913275024240635</v>
      </c>
      <c r="BF33" s="19">
        <f t="shared" si="16"/>
        <v>2.9115491161583438</v>
      </c>
      <c r="BG33" s="19">
        <f t="shared" si="0"/>
        <v>3.7803758114745509</v>
      </c>
      <c r="BH33" s="19">
        <f t="shared" si="1"/>
        <v>4.7491247717619567</v>
      </c>
      <c r="BI33" s="19">
        <f t="shared" si="2"/>
        <v>4.9324516441604995</v>
      </c>
      <c r="BN33" s="19">
        <f t="shared" si="3"/>
        <v>1.8295533904675243</v>
      </c>
      <c r="BO33" s="19">
        <f t="shared" si="17"/>
        <v>2.2319070456849706</v>
      </c>
      <c r="BP33" s="19">
        <f t="shared" si="18"/>
        <v>2.8887598048585081</v>
      </c>
      <c r="BQ33" s="19">
        <f t="shared" si="19"/>
        <v>2.9908118092024547</v>
      </c>
      <c r="BV33" s="19">
        <f t="shared" si="4"/>
        <v>4.0300241311949803</v>
      </c>
      <c r="BW33" s="19">
        <f t="shared" si="23"/>
        <v>4.4953917881214043</v>
      </c>
      <c r="BX33" s="19">
        <f t="shared" si="5"/>
        <v>6.1316693563507316</v>
      </c>
      <c r="BY33" s="19">
        <f t="shared" si="24"/>
        <v>6.3368673777789093</v>
      </c>
    </row>
    <row r="34" spans="1:77" s="19" customFormat="1">
      <c r="Z34" s="73">
        <v>2047</v>
      </c>
      <c r="AA34" s="19">
        <f t="shared" si="20"/>
        <v>1.3001370257855736</v>
      </c>
      <c r="AB34" s="72"/>
      <c r="AE34" s="1">
        <v>2048</v>
      </c>
      <c r="AG34" s="19">
        <f>AG33+$AD$6</f>
        <v>2.6174143765870603</v>
      </c>
      <c r="AH34" s="19">
        <f t="shared" si="22"/>
        <v>3.4704923656596431</v>
      </c>
      <c r="AI34" s="19">
        <f t="shared" si="6"/>
        <v>4.2967354810551326</v>
      </c>
      <c r="AJ34" s="19">
        <f t="shared" si="7"/>
        <v>4.8238478293828448</v>
      </c>
      <c r="AN34" s="1">
        <v>2048</v>
      </c>
      <c r="AP34" s="19">
        <f t="shared" si="8"/>
        <v>2.4193498209403952</v>
      </c>
      <c r="AQ34" s="19">
        <f t="shared" si="9"/>
        <v>3.2712604351601189</v>
      </c>
      <c r="AR34" s="19">
        <f t="shared" si="10"/>
        <v>4.0952842692603006</v>
      </c>
      <c r="AS34" s="19">
        <f t="shared" si="11"/>
        <v>4.6224922500476406</v>
      </c>
      <c r="AX34" s="19">
        <f t="shared" si="12"/>
        <v>2.568667726898886</v>
      </c>
      <c r="AY34" s="19">
        <f t="shared" si="13"/>
        <v>3.4205536124112168</v>
      </c>
      <c r="AZ34" s="19">
        <f>AZ33+$AV$8</f>
        <v>4.2445635054193973</v>
      </c>
      <c r="BA34" s="19">
        <f>BA33+$AV$9</f>
        <v>4.7717764072231814</v>
      </c>
      <c r="BF34" s="19">
        <f t="shared" si="16"/>
        <v>2.8362730933926166</v>
      </c>
      <c r="BG34" s="19">
        <f t="shared" si="0"/>
        <v>3.6665741565845966</v>
      </c>
      <c r="BH34" s="19">
        <f t="shared" si="1"/>
        <v>4.6320401043004482</v>
      </c>
      <c r="BI34" s="19">
        <f t="shared" si="2"/>
        <v>4.8102460827756852</v>
      </c>
      <c r="BN34" s="19">
        <f t="shared" si="3"/>
        <v>1.8101096107484138</v>
      </c>
      <c r="BO34" s="19">
        <f t="shared" si="17"/>
        <v>2.2122215436756707</v>
      </c>
      <c r="BP34" s="19">
        <f t="shared" si="18"/>
        <v>2.8662810266870018</v>
      </c>
      <c r="BQ34" s="19">
        <f t="shared" si="19"/>
        <v>2.9669296234593299</v>
      </c>
      <c r="BV34" s="19">
        <f t="shared" si="4"/>
        <v>3.970455576732955</v>
      </c>
      <c r="BW34" s="19">
        <f t="shared" si="23"/>
        <v>4.4231054627421473</v>
      </c>
      <c r="BX34" s="19">
        <f t="shared" si="5"/>
        <v>6.0617372021198683</v>
      </c>
      <c r="BY34" s="19">
        <f t="shared" si="24"/>
        <v>6.2628924308331264</v>
      </c>
    </row>
    <row r="35" spans="1:77" s="19" customFormat="1">
      <c r="A35" s="19" t="s">
        <v>51</v>
      </c>
      <c r="Z35" s="73">
        <v>2048</v>
      </c>
      <c r="AA35" s="19">
        <f t="shared" si="20"/>
        <v>1.2905842603954398</v>
      </c>
      <c r="AB35" s="72"/>
      <c r="AE35" s="1">
        <v>2049</v>
      </c>
      <c r="AG35" s="19">
        <f>AG34+$AD$6</f>
        <v>2.6550940533901648</v>
      </c>
      <c r="AH35" s="19">
        <f t="shared" si="22"/>
        <v>3.5295881750064853</v>
      </c>
      <c r="AI35" s="19">
        <f>AI34+$AD$8</f>
        <v>4.3607455405783142</v>
      </c>
      <c r="AJ35" s="19">
        <f>AJ34+$AD$9</f>
        <v>4.9032610231021332</v>
      </c>
      <c r="AN35" s="1">
        <v>2049</v>
      </c>
      <c r="AP35" s="19">
        <f>AP34+$AM$6</f>
        <v>2.4510617755668336</v>
      </c>
      <c r="AQ35" s="19">
        <f>AQ34+$AM$7</f>
        <v>3.3249722097567238</v>
      </c>
      <c r="AR35" s="19">
        <f t="shared" si="10"/>
        <v>4.1550199346809</v>
      </c>
      <c r="AS35" s="19">
        <f>AS34+$AM$9</f>
        <v>4.6975832334345311</v>
      </c>
      <c r="AX35" s="19">
        <f t="shared" si="12"/>
        <v>2.6057207285460797</v>
      </c>
      <c r="AY35" s="19">
        <f>AY34+$AV$7</f>
        <v>3.4796187983822726</v>
      </c>
      <c r="AZ35" s="19">
        <f t="shared" si="14"/>
        <v>4.3096595527604489</v>
      </c>
      <c r="BA35" s="19">
        <f t="shared" si="15"/>
        <v>4.8522253120222993</v>
      </c>
      <c r="BF35" s="19">
        <f t="shared" si="16"/>
        <v>2.7609970706268894</v>
      </c>
      <c r="BG35" s="19">
        <f t="shared" si="0"/>
        <v>3.5527725016946423</v>
      </c>
      <c r="BH35" s="19">
        <f t="shared" si="1"/>
        <v>4.5149554368389397</v>
      </c>
      <c r="BI35" s="19">
        <f t="shared" si="2"/>
        <v>4.6880405213908709</v>
      </c>
      <c r="BN35" s="19">
        <f t="shared" si="3"/>
        <v>1.7906658310293033</v>
      </c>
      <c r="BO35" s="19">
        <f t="shared" si="17"/>
        <v>2.1925360416663708</v>
      </c>
      <c r="BP35" s="19">
        <f t="shared" si="18"/>
        <v>2.8438022485154955</v>
      </c>
      <c r="BQ35" s="19">
        <f t="shared" si="19"/>
        <v>2.943047437716205</v>
      </c>
      <c r="BV35" s="19">
        <f t="shared" si="4"/>
        <v>3.9108870222709298</v>
      </c>
      <c r="BW35" s="19">
        <f t="shared" si="23"/>
        <v>4.3508191373628904</v>
      </c>
      <c r="BX35" s="19">
        <f t="shared" si="5"/>
        <v>5.991805047889005</v>
      </c>
      <c r="BY35" s="19">
        <f t="shared" si="24"/>
        <v>6.1889174838873435</v>
      </c>
    </row>
    <row r="36" spans="1:77" s="19" customFormat="1">
      <c r="Z36" s="73">
        <v>2049</v>
      </c>
      <c r="AA36" s="19">
        <f t="shared" si="20"/>
        <v>1.2810314950053061</v>
      </c>
      <c r="AB36" s="72"/>
      <c r="AE36" s="1">
        <v>2050</v>
      </c>
      <c r="AG36" s="45">
        <f>C17</f>
        <v>2.692773730193271</v>
      </c>
      <c r="AH36" s="45">
        <f>C18</f>
        <v>3.5886839843533314</v>
      </c>
      <c r="AI36" s="45">
        <f>C19</f>
        <v>4.4247556001015012</v>
      </c>
      <c r="AJ36" s="45">
        <f>C20</f>
        <v>4.9826742168214224</v>
      </c>
      <c r="AN36" s="1">
        <v>2050</v>
      </c>
      <c r="AP36" s="45">
        <f>E17</f>
        <v>2.4827737301932711</v>
      </c>
      <c r="AQ36" s="45">
        <f>E18</f>
        <v>3.3786839843533314</v>
      </c>
      <c r="AR36" s="45">
        <f>E19</f>
        <v>4.2147556001015012</v>
      </c>
      <c r="AS36" s="45">
        <f>E20</f>
        <v>4.7726742168214225</v>
      </c>
      <c r="AX36" s="45">
        <f>G17</f>
        <v>2.6427737301932712</v>
      </c>
      <c r="AY36" s="45">
        <f>G18</f>
        <v>3.5386839843533315</v>
      </c>
      <c r="AZ36" s="45">
        <f>G19</f>
        <v>4.3747556001015013</v>
      </c>
      <c r="BA36" s="45">
        <f>G20</f>
        <v>4.9326742168214226</v>
      </c>
      <c r="BF36" s="45">
        <f>K17</f>
        <v>2.6857210478611626</v>
      </c>
      <c r="BG36" s="45">
        <f>K18</f>
        <v>3.4389708468046924</v>
      </c>
      <c r="BH36" s="45">
        <f>K19</f>
        <v>4.3978707693774366</v>
      </c>
      <c r="BI36" s="45">
        <f>K20</f>
        <v>4.565834960006061</v>
      </c>
      <c r="BN36" s="45">
        <f>O17</f>
        <v>1.7712220513101908</v>
      </c>
      <c r="BO36" s="45">
        <f>O18</f>
        <v>2.1728505396570705</v>
      </c>
      <c r="BP36" s="45">
        <f>O19</f>
        <v>2.8213234703439931</v>
      </c>
      <c r="BQ36" s="45">
        <f>O20</f>
        <v>2.9191652519730757</v>
      </c>
      <c r="BV36" s="45">
        <f>S17</f>
        <v>3.8513184678089067</v>
      </c>
      <c r="BW36" s="45">
        <f>S18</f>
        <v>4.2785328119836414</v>
      </c>
      <c r="BX36" s="45">
        <f>S19</f>
        <v>5.9218728936581293</v>
      </c>
      <c r="BY36" s="45">
        <f>S20</f>
        <v>6.1149425369415606</v>
      </c>
    </row>
    <row r="37" spans="1:77" s="19" customFormat="1">
      <c r="A37" s="39" t="s">
        <v>0</v>
      </c>
      <c r="B37" s="100" t="s">
        <v>3</v>
      </c>
      <c r="C37" s="100"/>
      <c r="D37" s="100" t="s">
        <v>5</v>
      </c>
      <c r="E37" s="100"/>
      <c r="F37" s="100" t="s">
        <v>6</v>
      </c>
      <c r="G37" s="100"/>
      <c r="H37" s="100" t="s">
        <v>7</v>
      </c>
      <c r="I37" s="100"/>
      <c r="J37" s="100"/>
      <c r="K37" s="100"/>
      <c r="L37" s="100" t="s">
        <v>8</v>
      </c>
      <c r="M37" s="100"/>
      <c r="N37" s="100"/>
      <c r="O37" s="100"/>
      <c r="P37" s="100" t="s">
        <v>9</v>
      </c>
      <c r="Q37" s="100"/>
      <c r="R37" s="100"/>
      <c r="S37" s="100"/>
      <c r="Z37" s="73">
        <v>2050</v>
      </c>
      <c r="AA37" s="57">
        <f>T21</f>
        <v>1.2714787296151742</v>
      </c>
      <c r="AB37" s="72"/>
    </row>
    <row r="38" spans="1:77" s="43" customFormat="1" ht="24">
      <c r="A38" s="40"/>
      <c r="B38" s="41" t="s">
        <v>4</v>
      </c>
      <c r="C38" s="42" t="s">
        <v>2</v>
      </c>
      <c r="D38" s="41" t="s">
        <v>4</v>
      </c>
      <c r="E38" s="42" t="s">
        <v>2</v>
      </c>
      <c r="F38" s="41" t="s">
        <v>4</v>
      </c>
      <c r="G38" s="42" t="s">
        <v>2</v>
      </c>
      <c r="H38" s="41" t="s">
        <v>46</v>
      </c>
      <c r="I38" s="41" t="s">
        <v>45</v>
      </c>
      <c r="J38" s="41" t="s">
        <v>4</v>
      </c>
      <c r="K38" s="42" t="s">
        <v>2</v>
      </c>
      <c r="L38" s="41" t="s">
        <v>44</v>
      </c>
      <c r="M38" s="41" t="s">
        <v>45</v>
      </c>
      <c r="N38" s="41" t="s">
        <v>4</v>
      </c>
      <c r="O38" s="42" t="s">
        <v>2</v>
      </c>
      <c r="P38" s="41" t="s">
        <v>44</v>
      </c>
      <c r="Q38" s="41" t="s">
        <v>45</v>
      </c>
      <c r="R38" s="41" t="s">
        <v>4</v>
      </c>
      <c r="S38" s="42" t="s">
        <v>2</v>
      </c>
      <c r="Z38" s="75"/>
      <c r="AA38" s="40"/>
      <c r="AB38" s="76"/>
      <c r="BB38" s="19"/>
      <c r="BC38" s="19"/>
    </row>
    <row r="39" spans="1:77" s="19" customFormat="1">
      <c r="A39" s="19">
        <v>10</v>
      </c>
      <c r="B39" s="44"/>
      <c r="C39" s="44"/>
    </row>
    <row r="40" spans="1:77" s="19" customFormat="1">
      <c r="A40" s="19">
        <v>25</v>
      </c>
    </row>
    <row r="41" spans="1:77" s="19" customFormat="1">
      <c r="A41" s="19">
        <v>100</v>
      </c>
    </row>
    <row r="42" spans="1:77" s="19" customFormat="1">
      <c r="A42" s="19">
        <v>200</v>
      </c>
    </row>
    <row r="43" spans="1:77" s="19" customFormat="1">
      <c r="A43" s="20" t="s">
        <v>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 spans="1:77" s="19" customFormat="1"/>
    <row r="45" spans="1:77" s="19" customFormat="1"/>
    <row r="46" spans="1:77" s="19" customFormat="1">
      <c r="A46" s="19" t="s">
        <v>52</v>
      </c>
    </row>
    <row r="47" spans="1:77" s="19" customFormat="1"/>
    <row r="48" spans="1:77" s="19" customFormat="1">
      <c r="A48" s="39" t="s">
        <v>0</v>
      </c>
      <c r="B48" s="100" t="s">
        <v>3</v>
      </c>
      <c r="C48" s="100"/>
      <c r="D48" s="100" t="s">
        <v>5</v>
      </c>
      <c r="E48" s="100"/>
      <c r="F48" s="100" t="s">
        <v>6</v>
      </c>
      <c r="G48" s="100"/>
      <c r="H48" s="100" t="s">
        <v>7</v>
      </c>
      <c r="I48" s="100"/>
      <c r="J48" s="100"/>
      <c r="K48" s="100"/>
      <c r="L48" s="100" t="s">
        <v>8</v>
      </c>
      <c r="M48" s="100"/>
      <c r="N48" s="100"/>
      <c r="O48" s="100"/>
      <c r="P48" s="100" t="s">
        <v>9</v>
      </c>
      <c r="Q48" s="100"/>
      <c r="R48" s="100"/>
      <c r="S48" s="100"/>
    </row>
    <row r="49" spans="1:19" s="43" customFormat="1" ht="24">
      <c r="A49" s="40"/>
      <c r="B49" s="41" t="s">
        <v>4</v>
      </c>
      <c r="C49" s="42" t="s">
        <v>2</v>
      </c>
      <c r="D49" s="41" t="s">
        <v>4</v>
      </c>
      <c r="E49" s="42" t="s">
        <v>2</v>
      </c>
      <c r="F49" s="41" t="s">
        <v>4</v>
      </c>
      <c r="G49" s="42" t="s">
        <v>2</v>
      </c>
      <c r="H49" s="41" t="s">
        <v>46</v>
      </c>
      <c r="I49" s="41" t="s">
        <v>45</v>
      </c>
      <c r="J49" s="41" t="s">
        <v>4</v>
      </c>
      <c r="K49" s="42" t="s">
        <v>2</v>
      </c>
      <c r="L49" s="41" t="s">
        <v>44</v>
      </c>
      <c r="M49" s="41" t="s">
        <v>45</v>
      </c>
      <c r="N49" s="41" t="s">
        <v>4</v>
      </c>
      <c r="O49" s="42" t="s">
        <v>2</v>
      </c>
      <c r="P49" s="41" t="s">
        <v>44</v>
      </c>
      <c r="Q49" s="41" t="s">
        <v>45</v>
      </c>
      <c r="R49" s="41" t="s">
        <v>4</v>
      </c>
      <c r="S49" s="42" t="s">
        <v>2</v>
      </c>
    </row>
    <row r="50" spans="1:19" s="19" customFormat="1">
      <c r="A50" s="19">
        <v>10</v>
      </c>
      <c r="B50" s="44"/>
      <c r="C50" s="44"/>
    </row>
    <row r="51" spans="1:19" s="19" customFormat="1">
      <c r="A51" s="19">
        <v>25</v>
      </c>
    </row>
    <row r="52" spans="1:19" s="19" customFormat="1">
      <c r="A52" s="19">
        <v>100</v>
      </c>
    </row>
    <row r="53" spans="1:19" s="19" customFormat="1">
      <c r="A53" s="19">
        <v>200</v>
      </c>
    </row>
    <row r="54" spans="1:19" s="19" customFormat="1">
      <c r="A54" s="20" t="s">
        <v>1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 spans="1:19" s="19" customFormat="1"/>
    <row r="56" spans="1:19" s="19" customFormat="1"/>
    <row r="57" spans="1:19" s="19" customFormat="1">
      <c r="A57" s="19" t="s">
        <v>49</v>
      </c>
    </row>
    <row r="58" spans="1:19" s="19" customFormat="1"/>
    <row r="59" spans="1:19" s="19" customFormat="1">
      <c r="A59" s="39" t="s">
        <v>0</v>
      </c>
      <c r="B59" s="100" t="s">
        <v>3</v>
      </c>
      <c r="C59" s="100"/>
      <c r="D59" s="100" t="s">
        <v>5</v>
      </c>
      <c r="E59" s="100"/>
      <c r="F59" s="100" t="s">
        <v>6</v>
      </c>
      <c r="G59" s="100"/>
      <c r="H59" s="100" t="s">
        <v>7</v>
      </c>
      <c r="I59" s="100"/>
      <c r="J59" s="100"/>
      <c r="K59" s="100"/>
      <c r="L59" s="100" t="s">
        <v>8</v>
      </c>
      <c r="M59" s="100"/>
      <c r="N59" s="100"/>
      <c r="O59" s="100"/>
      <c r="P59" s="100" t="s">
        <v>9</v>
      </c>
      <c r="Q59" s="100"/>
      <c r="R59" s="100"/>
      <c r="S59" s="100"/>
    </row>
    <row r="60" spans="1:19" s="43" customFormat="1" ht="24">
      <c r="A60" s="40"/>
      <c r="B60" s="41" t="s">
        <v>4</v>
      </c>
      <c r="C60" s="42" t="s">
        <v>2</v>
      </c>
      <c r="D60" s="41" t="s">
        <v>4</v>
      </c>
      <c r="E60" s="42" t="s">
        <v>2</v>
      </c>
      <c r="F60" s="41" t="s">
        <v>4</v>
      </c>
      <c r="G60" s="42" t="s">
        <v>2</v>
      </c>
      <c r="H60" s="41" t="s">
        <v>46</v>
      </c>
      <c r="I60" s="41" t="s">
        <v>45</v>
      </c>
      <c r="J60" s="41" t="s">
        <v>4</v>
      </c>
      <c r="K60" s="42" t="s">
        <v>2</v>
      </c>
      <c r="L60" s="41" t="s">
        <v>44</v>
      </c>
      <c r="M60" s="41" t="s">
        <v>45</v>
      </c>
      <c r="N60" s="41" t="s">
        <v>4</v>
      </c>
      <c r="O60" s="42" t="s">
        <v>2</v>
      </c>
      <c r="P60" s="41" t="s">
        <v>44</v>
      </c>
      <c r="Q60" s="41" t="s">
        <v>45</v>
      </c>
      <c r="R60" s="41" t="s">
        <v>4</v>
      </c>
      <c r="S60" s="42" t="s">
        <v>2</v>
      </c>
    </row>
    <row r="61" spans="1:19" s="19" customFormat="1">
      <c r="A61" s="19">
        <v>10</v>
      </c>
      <c r="B61" s="44"/>
      <c r="C61" s="44"/>
    </row>
    <row r="62" spans="1:19" s="19" customFormat="1">
      <c r="A62" s="19">
        <v>25</v>
      </c>
    </row>
    <row r="63" spans="1:19" s="19" customFormat="1">
      <c r="A63" s="19">
        <v>100</v>
      </c>
    </row>
    <row r="64" spans="1:19" s="19" customFormat="1">
      <c r="A64" s="19">
        <v>200</v>
      </c>
    </row>
    <row r="65" spans="1:19" s="19" customFormat="1">
      <c r="A65" s="20" t="s">
        <v>1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 spans="1:19" s="19" customFormat="1"/>
    <row r="67" spans="1:19" s="19" customFormat="1"/>
    <row r="68" spans="1:19" s="19" customFormat="1">
      <c r="A68" s="19" t="s">
        <v>50</v>
      </c>
    </row>
    <row r="69" spans="1:19" s="19" customFormat="1"/>
    <row r="70" spans="1:19" s="19" customFormat="1">
      <c r="A70" s="39" t="s">
        <v>0</v>
      </c>
      <c r="B70" s="100" t="s">
        <v>3</v>
      </c>
      <c r="C70" s="100"/>
      <c r="D70" s="100" t="s">
        <v>5</v>
      </c>
      <c r="E70" s="100"/>
      <c r="F70" s="100" t="s">
        <v>6</v>
      </c>
      <c r="G70" s="100"/>
      <c r="H70" s="100" t="s">
        <v>7</v>
      </c>
      <c r="I70" s="100"/>
      <c r="J70" s="100"/>
      <c r="K70" s="100"/>
      <c r="L70" s="100" t="s">
        <v>8</v>
      </c>
      <c r="M70" s="100"/>
      <c r="N70" s="100"/>
      <c r="O70" s="100"/>
      <c r="P70" s="100" t="s">
        <v>9</v>
      </c>
      <c r="Q70" s="100"/>
      <c r="R70" s="100"/>
      <c r="S70" s="100"/>
    </row>
    <row r="71" spans="1:19" s="43" customFormat="1" ht="24">
      <c r="A71" s="40"/>
      <c r="B71" s="41" t="s">
        <v>4</v>
      </c>
      <c r="C71" s="42" t="s">
        <v>2</v>
      </c>
      <c r="D71" s="41" t="s">
        <v>4</v>
      </c>
      <c r="E71" s="42" t="s">
        <v>2</v>
      </c>
      <c r="F71" s="41" t="s">
        <v>4</v>
      </c>
      <c r="G71" s="42" t="s">
        <v>2</v>
      </c>
      <c r="H71" s="41" t="s">
        <v>46</v>
      </c>
      <c r="I71" s="41" t="s">
        <v>45</v>
      </c>
      <c r="J71" s="41" t="s">
        <v>4</v>
      </c>
      <c r="K71" s="42" t="s">
        <v>2</v>
      </c>
      <c r="L71" s="41" t="s">
        <v>44</v>
      </c>
      <c r="M71" s="41" t="s">
        <v>45</v>
      </c>
      <c r="N71" s="41" t="s">
        <v>4</v>
      </c>
      <c r="O71" s="42" t="s">
        <v>2</v>
      </c>
      <c r="P71" s="41" t="s">
        <v>44</v>
      </c>
      <c r="Q71" s="41" t="s">
        <v>45</v>
      </c>
      <c r="R71" s="41" t="s">
        <v>4</v>
      </c>
      <c r="S71" s="42" t="s">
        <v>2</v>
      </c>
    </row>
    <row r="72" spans="1:19" s="19" customFormat="1">
      <c r="A72" s="19">
        <v>10</v>
      </c>
      <c r="B72" s="44"/>
      <c r="C72" s="44"/>
    </row>
    <row r="73" spans="1:19" s="19" customFormat="1">
      <c r="A73" s="19">
        <v>25</v>
      </c>
    </row>
    <row r="74" spans="1:19" s="19" customFormat="1">
      <c r="A74" s="19">
        <v>100</v>
      </c>
    </row>
    <row r="75" spans="1:19" s="19" customFormat="1">
      <c r="A75" s="19">
        <v>200</v>
      </c>
    </row>
    <row r="76" spans="1:19" s="19" customFormat="1">
      <c r="A76" s="20" t="s">
        <v>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1:19" s="19" customFormat="1"/>
    <row r="78" spans="1:19" s="19" customFormat="1"/>
    <row r="79" spans="1:19" s="19" customFormat="1">
      <c r="A79" s="19" t="s">
        <v>53</v>
      </c>
    </row>
    <row r="80" spans="1:19" s="19" customFormat="1"/>
    <row r="81" spans="1:19" s="19" customFormat="1">
      <c r="A81" s="39" t="s">
        <v>0</v>
      </c>
      <c r="B81" s="100" t="s">
        <v>3</v>
      </c>
      <c r="C81" s="100"/>
      <c r="D81" s="100" t="s">
        <v>5</v>
      </c>
      <c r="E81" s="100"/>
      <c r="F81" s="100" t="s">
        <v>6</v>
      </c>
      <c r="G81" s="100"/>
      <c r="H81" s="100" t="s">
        <v>7</v>
      </c>
      <c r="I81" s="100"/>
      <c r="J81" s="100"/>
      <c r="K81" s="100"/>
      <c r="L81" s="100" t="s">
        <v>8</v>
      </c>
      <c r="M81" s="100"/>
      <c r="N81" s="100"/>
      <c r="O81" s="100"/>
      <c r="P81" s="100" t="s">
        <v>9</v>
      </c>
      <c r="Q81" s="100"/>
      <c r="R81" s="100"/>
      <c r="S81" s="100"/>
    </row>
    <row r="82" spans="1:19" s="43" customFormat="1" ht="24">
      <c r="A82" s="40"/>
      <c r="B82" s="41" t="s">
        <v>4</v>
      </c>
      <c r="C82" s="42" t="s">
        <v>2</v>
      </c>
      <c r="D82" s="41" t="s">
        <v>4</v>
      </c>
      <c r="E82" s="42" t="s">
        <v>2</v>
      </c>
      <c r="F82" s="41" t="s">
        <v>4</v>
      </c>
      <c r="G82" s="42" t="s">
        <v>2</v>
      </c>
      <c r="H82" s="41" t="s">
        <v>46</v>
      </c>
      <c r="I82" s="41" t="s">
        <v>45</v>
      </c>
      <c r="J82" s="41" t="s">
        <v>4</v>
      </c>
      <c r="K82" s="42" t="s">
        <v>2</v>
      </c>
      <c r="L82" s="41" t="s">
        <v>44</v>
      </c>
      <c r="M82" s="41" t="s">
        <v>45</v>
      </c>
      <c r="N82" s="41" t="s">
        <v>4</v>
      </c>
      <c r="O82" s="42" t="s">
        <v>2</v>
      </c>
      <c r="P82" s="41" t="s">
        <v>44</v>
      </c>
      <c r="Q82" s="41" t="s">
        <v>45</v>
      </c>
      <c r="R82" s="41" t="s">
        <v>4</v>
      </c>
      <c r="S82" s="42" t="s">
        <v>2</v>
      </c>
    </row>
    <row r="83" spans="1:19" s="19" customFormat="1">
      <c r="A83" s="19">
        <v>10</v>
      </c>
      <c r="B83" s="44"/>
      <c r="C83" s="44"/>
    </row>
    <row r="84" spans="1:19" s="19" customFormat="1">
      <c r="A84" s="19">
        <v>25</v>
      </c>
    </row>
    <row r="85" spans="1:19" s="19" customFormat="1">
      <c r="A85" s="19">
        <v>100</v>
      </c>
    </row>
    <row r="86" spans="1:19" s="19" customFormat="1">
      <c r="A86" s="19">
        <v>200</v>
      </c>
    </row>
    <row r="87" spans="1:19" s="19" customFormat="1">
      <c r="A87" s="20" t="s">
        <v>1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1:19" s="19" customFormat="1"/>
    <row r="89" spans="1:19" s="19" customFormat="1"/>
    <row r="90" spans="1:19" s="19" customFormat="1">
      <c r="A90" s="19" t="s">
        <v>54</v>
      </c>
    </row>
    <row r="91" spans="1:19" s="19" customFormat="1"/>
    <row r="92" spans="1:19" s="19" customFormat="1">
      <c r="A92" s="39" t="s">
        <v>0</v>
      </c>
      <c r="B92" s="100" t="s">
        <v>3</v>
      </c>
      <c r="C92" s="100"/>
      <c r="D92" s="100" t="s">
        <v>5</v>
      </c>
      <c r="E92" s="100"/>
      <c r="F92" s="100" t="s">
        <v>6</v>
      </c>
      <c r="G92" s="100"/>
      <c r="H92" s="100" t="s">
        <v>7</v>
      </c>
      <c r="I92" s="100"/>
      <c r="J92" s="100"/>
      <c r="K92" s="100"/>
      <c r="L92" s="100" t="s">
        <v>8</v>
      </c>
      <c r="M92" s="100"/>
      <c r="N92" s="100"/>
      <c r="O92" s="100"/>
      <c r="P92" s="100" t="s">
        <v>9</v>
      </c>
      <c r="Q92" s="100"/>
      <c r="R92" s="100"/>
      <c r="S92" s="100"/>
    </row>
    <row r="93" spans="1:19" s="43" customFormat="1" ht="24">
      <c r="A93" s="40"/>
      <c r="B93" s="41" t="s">
        <v>4</v>
      </c>
      <c r="C93" s="42" t="s">
        <v>2</v>
      </c>
      <c r="D93" s="41" t="s">
        <v>4</v>
      </c>
      <c r="E93" s="42" t="s">
        <v>2</v>
      </c>
      <c r="F93" s="41" t="s">
        <v>4</v>
      </c>
      <c r="G93" s="42" t="s">
        <v>2</v>
      </c>
      <c r="H93" s="41" t="s">
        <v>46</v>
      </c>
      <c r="I93" s="41" t="s">
        <v>45</v>
      </c>
      <c r="J93" s="41" t="s">
        <v>4</v>
      </c>
      <c r="K93" s="42" t="s">
        <v>2</v>
      </c>
      <c r="L93" s="41" t="s">
        <v>44</v>
      </c>
      <c r="M93" s="41" t="s">
        <v>45</v>
      </c>
      <c r="N93" s="41" t="s">
        <v>4</v>
      </c>
      <c r="O93" s="42" t="s">
        <v>2</v>
      </c>
      <c r="P93" s="41" t="s">
        <v>44</v>
      </c>
      <c r="Q93" s="41" t="s">
        <v>45</v>
      </c>
      <c r="R93" s="41" t="s">
        <v>4</v>
      </c>
      <c r="S93" s="42" t="s">
        <v>2</v>
      </c>
    </row>
    <row r="94" spans="1:19" s="19" customFormat="1">
      <c r="A94" s="19">
        <v>10</v>
      </c>
      <c r="B94" s="44"/>
      <c r="C94" s="44"/>
    </row>
    <row r="95" spans="1:19" s="19" customFormat="1">
      <c r="A95" s="19">
        <v>25</v>
      </c>
    </row>
    <row r="96" spans="1:19" s="19" customFormat="1">
      <c r="A96" s="19">
        <v>100</v>
      </c>
    </row>
    <row r="97" spans="1:19" s="19" customFormat="1">
      <c r="A97" s="19">
        <v>200</v>
      </c>
    </row>
    <row r="98" spans="1:19" s="19" customFormat="1">
      <c r="A98" s="20" t="s">
        <v>1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</sheetData>
  <mergeCells count="54">
    <mergeCell ref="P92:S92"/>
    <mergeCell ref="B92:C92"/>
    <mergeCell ref="D92:E92"/>
    <mergeCell ref="F92:G92"/>
    <mergeCell ref="H92:K92"/>
    <mergeCell ref="L92:O92"/>
    <mergeCell ref="P4:S4"/>
    <mergeCell ref="B15:C15"/>
    <mergeCell ref="D15:E15"/>
    <mergeCell ref="F15:G15"/>
    <mergeCell ref="H15:K15"/>
    <mergeCell ref="L15:O15"/>
    <mergeCell ref="P15:S15"/>
    <mergeCell ref="H4:K4"/>
    <mergeCell ref="L4:O4"/>
    <mergeCell ref="B4:C4"/>
    <mergeCell ref="D4:E4"/>
    <mergeCell ref="F4:G4"/>
    <mergeCell ref="P26:S26"/>
    <mergeCell ref="B37:C37"/>
    <mergeCell ref="D37:E37"/>
    <mergeCell ref="F37:G37"/>
    <mergeCell ref="H37:K37"/>
    <mergeCell ref="L37:O37"/>
    <mergeCell ref="P37:S37"/>
    <mergeCell ref="D26:E26"/>
    <mergeCell ref="F26:G26"/>
    <mergeCell ref="H26:K26"/>
    <mergeCell ref="L26:O26"/>
    <mergeCell ref="B26:C26"/>
    <mergeCell ref="P48:S48"/>
    <mergeCell ref="B59:C59"/>
    <mergeCell ref="D59:E59"/>
    <mergeCell ref="F59:G59"/>
    <mergeCell ref="H59:K59"/>
    <mergeCell ref="L59:O59"/>
    <mergeCell ref="P59:S59"/>
    <mergeCell ref="D48:E48"/>
    <mergeCell ref="F48:G48"/>
    <mergeCell ref="H48:K48"/>
    <mergeCell ref="L48:O48"/>
    <mergeCell ref="B48:C48"/>
    <mergeCell ref="P70:S70"/>
    <mergeCell ref="B81:C81"/>
    <mergeCell ref="D81:E81"/>
    <mergeCell ref="F81:G81"/>
    <mergeCell ref="H81:K81"/>
    <mergeCell ref="L81:O81"/>
    <mergeCell ref="P81:S81"/>
    <mergeCell ref="B70:C70"/>
    <mergeCell ref="D70:E70"/>
    <mergeCell ref="F70:G70"/>
    <mergeCell ref="H70:K70"/>
    <mergeCell ref="L70:O7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5B14-E561-4F4E-963F-851A74451728}">
  <dimension ref="A1:O26"/>
  <sheetViews>
    <sheetView workbookViewId="0">
      <selection activeCell="C15" sqref="C15"/>
    </sheetView>
  </sheetViews>
  <sheetFormatPr defaultColWidth="10.90625" defaultRowHeight="14.5"/>
  <cols>
    <col min="1" max="1" width="21.1796875" customWidth="1"/>
    <col min="3" max="4" width="15.1796875" customWidth="1"/>
  </cols>
  <sheetData>
    <row r="1" spans="1:15">
      <c r="A1" s="59">
        <v>2020</v>
      </c>
    </row>
    <row r="2" spans="1:15">
      <c r="A2" s="60" t="s">
        <v>71</v>
      </c>
      <c r="B2" s="61" t="s">
        <v>1</v>
      </c>
      <c r="C2" s="61" t="s">
        <v>78</v>
      </c>
      <c r="D2" s="61" t="s">
        <v>76</v>
      </c>
      <c r="E2" s="62"/>
    </row>
    <row r="3" spans="1:15">
      <c r="A3" s="63" t="s">
        <v>69</v>
      </c>
      <c r="B3" s="52">
        <f>'Flood (national AAL PML)'!B10</f>
        <v>56.327998339077297</v>
      </c>
      <c r="C3" s="19">
        <f>(B3/D3)*100</f>
        <v>0.94947124831238316</v>
      </c>
      <c r="D3" s="52">
        <f>('Flood (national AAL PML)'!B10*100)/'Flood (national AAL PML)'!C10</f>
        <v>5932.56493434596</v>
      </c>
      <c r="E3" s="64">
        <f>D3/$D$11</f>
        <v>0.19343015027879329</v>
      </c>
    </row>
    <row r="4" spans="1:15">
      <c r="A4" s="63" t="s">
        <v>70</v>
      </c>
      <c r="B4" s="52">
        <f>'Flood (national AAL PML)'!D10</f>
        <v>180.32301130247399</v>
      </c>
      <c r="C4" s="19">
        <f>(B4/D4)*100</f>
        <v>59.583713726961562</v>
      </c>
      <c r="D4" s="83">
        <f>('Flood (national AAL PML)'!D10+100)/'Flood (national AAL PML)'!E10</f>
        <v>302.63808685841957</v>
      </c>
      <c r="E4" s="64">
        <f t="shared" ref="E4:E8" si="0">D4/$D$11</f>
        <v>9.8674572076241935E-3</v>
      </c>
    </row>
    <row r="5" spans="1:15">
      <c r="A5" s="63" t="s">
        <v>72</v>
      </c>
      <c r="B5" s="52">
        <f>'Flood (national AAL PML)'!F10</f>
        <v>216.188258158633</v>
      </c>
      <c r="C5" s="19">
        <f t="shared" ref="C5:C7" si="1">(B5/D5)*100</f>
        <v>0.92611724198221701</v>
      </c>
      <c r="D5" s="52">
        <f>('Flood (national AAL PML)'!F10*100)/'Flood (national AAL PML)'!G10</f>
        <v>23343.508614083679</v>
      </c>
      <c r="E5" s="64">
        <f t="shared" si="0"/>
        <v>0.76111065436729319</v>
      </c>
    </row>
    <row r="6" spans="1:15">
      <c r="A6" s="63" t="s">
        <v>73</v>
      </c>
      <c r="B6" s="52">
        <f>'Flood (national AAL PML)'!J10</f>
        <v>13.8419578685898</v>
      </c>
      <c r="C6" s="19">
        <f t="shared" si="1"/>
        <v>3.5780178855437335</v>
      </c>
      <c r="D6" s="56">
        <f>('Flood (national AAL PML)'!J10*100)/'Flood (national AAL PML)'!K10</f>
        <v>386.86105859099996</v>
      </c>
      <c r="E6" s="64">
        <f t="shared" si="0"/>
        <v>1.2613531167108907E-2</v>
      </c>
    </row>
    <row r="7" spans="1:15" ht="15.5">
      <c r="A7" s="63" t="s">
        <v>74</v>
      </c>
      <c r="B7" s="52">
        <f>'Flood (national AAL PML)'!N10</f>
        <v>8.0799589540424606</v>
      </c>
      <c r="C7" s="19">
        <f t="shared" si="1"/>
        <v>1.3337887641001769</v>
      </c>
      <c r="D7" s="55">
        <f>('Flood (national AAL PML)'!N10*100)/'Flood (national AAL PML)'!O10</f>
        <v>605.79</v>
      </c>
      <c r="E7" s="64">
        <f t="shared" si="0"/>
        <v>1.9751667623391731E-2</v>
      </c>
      <c r="O7" s="53"/>
    </row>
    <row r="8" spans="1:15">
      <c r="A8" s="63" t="s">
        <v>75</v>
      </c>
      <c r="B8" s="52">
        <f>'Flood (national AAL PML)'!R10</f>
        <v>3.10134829387008</v>
      </c>
      <c r="C8" s="19">
        <f>(B8/D8)*100</f>
        <v>3.1339729523035604</v>
      </c>
      <c r="D8" s="56">
        <f>('Flood (national AAL PML)'!R10*100)/'Flood (national AAL PML)'!S10</f>
        <v>98.958999999999989</v>
      </c>
      <c r="E8" s="64">
        <f t="shared" si="0"/>
        <v>3.2265393557886759E-3</v>
      </c>
    </row>
    <row r="9" spans="1:15">
      <c r="A9" s="67"/>
      <c r="B9" s="65"/>
      <c r="C9" s="79">
        <f>SUMPRODUCT(C3:C8,D3:D8)/SUM(D3:D8)</f>
        <v>1.558061691319184</v>
      </c>
      <c r="D9" s="65"/>
      <c r="E9" s="66"/>
      <c r="F9" s="26"/>
    </row>
    <row r="11" spans="1:15">
      <c r="A11" s="51" t="s">
        <v>77</v>
      </c>
      <c r="C11" s="52"/>
      <c r="D11" s="52">
        <f>SUM(D3:D8)</f>
        <v>30670.321693879057</v>
      </c>
    </row>
    <row r="14" spans="1:15">
      <c r="B14">
        <f>SUM(B3:B8)/D11</f>
        <v>1.5580616913191842E-2</v>
      </c>
    </row>
    <row r="16" spans="1:15">
      <c r="A16" s="59">
        <v>2050</v>
      </c>
    </row>
    <row r="17" spans="1:5">
      <c r="A17" s="84" t="s">
        <v>71</v>
      </c>
      <c r="B17" s="85" t="s">
        <v>1</v>
      </c>
      <c r="C17" s="85" t="s">
        <v>78</v>
      </c>
      <c r="D17" s="85" t="s">
        <v>76</v>
      </c>
      <c r="E17" s="86"/>
    </row>
    <row r="18" spans="1:5">
      <c r="A18" s="87" t="s">
        <v>69</v>
      </c>
      <c r="B18" s="88">
        <f>'Flood (national AAL PML)'!B21</f>
        <v>75.959705965139065</v>
      </c>
      <c r="C18" s="89">
        <f>(B18/D18)*100</f>
        <v>1.2706848387765857</v>
      </c>
      <c r="D18" s="88">
        <f>('Flood (national AAL PML)'!B21*100)/'Flood (national AAL PML)'!C21</f>
        <v>5977.8556922323087</v>
      </c>
      <c r="E18" s="90">
        <f>D18/$D$26</f>
        <v>0.12051895429873685</v>
      </c>
    </row>
    <row r="19" spans="1:5">
      <c r="A19" s="87" t="s">
        <v>70</v>
      </c>
      <c r="B19" s="88">
        <f>'Flood (national AAL PML)'!D21</f>
        <v>206.44406299467846</v>
      </c>
      <c r="C19" s="89">
        <f t="shared" ref="C19:C23" si="2">(B19/D19)*100</f>
        <v>1.0606848387765857</v>
      </c>
      <c r="D19" s="88">
        <f>('Flood (national AAL PML)'!D21*100)/'Flood (national AAL PML)'!E21</f>
        <v>19463.280273977991</v>
      </c>
      <c r="E19" s="90">
        <f t="shared" ref="E19:E22" si="3">D19/$D$26</f>
        <v>0.39239725858405727</v>
      </c>
    </row>
    <row r="20" spans="1:5">
      <c r="A20" s="87" t="s">
        <v>72</v>
      </c>
      <c r="B20" s="88">
        <f>'Flood (national AAL PML)'!F21</f>
        <v>333.53361121602887</v>
      </c>
      <c r="C20" s="89">
        <f t="shared" si="2"/>
        <v>1.4306848387765854</v>
      </c>
      <c r="D20" s="88">
        <f>('Flood (national AAL PML)'!F21*100)/'Flood (national AAL PML)'!G21</f>
        <v>23312.864033789709</v>
      </c>
      <c r="E20" s="90">
        <f t="shared" si="3"/>
        <v>0.47000833404390269</v>
      </c>
    </row>
    <row r="21" spans="1:5">
      <c r="A21" s="87" t="s">
        <v>73</v>
      </c>
      <c r="B21" s="88">
        <f>'Flood (national AAL PML)'!J21</f>
        <v>6.8610879041755997</v>
      </c>
      <c r="C21" s="89">
        <f t="shared" si="2"/>
        <v>1.5065572518083852</v>
      </c>
      <c r="D21" s="88">
        <f>('Flood (national AAL PML)'!J21*100)/'Flood (national AAL PML)'!K21</f>
        <v>455.41501299999993</v>
      </c>
      <c r="E21" s="90">
        <f t="shared" si="3"/>
        <v>9.1815768001936374E-3</v>
      </c>
    </row>
    <row r="22" spans="1:5">
      <c r="A22" s="87" t="s">
        <v>74</v>
      </c>
      <c r="B22" s="88">
        <f>'Flood (national AAL PML)'!N21</f>
        <v>5.8761272571636498</v>
      </c>
      <c r="C22" s="89">
        <f>(B22/D22)*100</f>
        <v>2.009270144297342</v>
      </c>
      <c r="D22" s="88">
        <f>('Flood (national AAL PML)'!N21*100)/'Flood (national AAL PML)'!O21</f>
        <v>292.4508321512227</v>
      </c>
      <c r="E22" s="90">
        <f t="shared" si="3"/>
        <v>5.896072151835254E-3</v>
      </c>
    </row>
    <row r="23" spans="1:5">
      <c r="A23" s="87" t="s">
        <v>75</v>
      </c>
      <c r="B23" s="88">
        <f>'Flood (national AAL PML)'!R21</f>
        <v>1.991046064088565</v>
      </c>
      <c r="C23" s="89">
        <f t="shared" si="2"/>
        <v>2.009270144297342</v>
      </c>
      <c r="D23" s="88">
        <f>('Flood (national AAL PML)'!R21*100)/'Flood (national AAL PML)'!S21</f>
        <v>99.093000000000004</v>
      </c>
      <c r="E23" s="90">
        <f>D23/$D$26</f>
        <v>1.9978041212742985E-3</v>
      </c>
    </row>
    <row r="24" spans="1:5">
      <c r="A24" s="87"/>
      <c r="B24" s="91"/>
      <c r="C24" s="92">
        <f>SUMPRODUCT(C18:C23,D18:D23)/SUM(D18:D23)</f>
        <v>1.2714787296151742</v>
      </c>
      <c r="D24" s="91"/>
      <c r="E24" s="93"/>
    </row>
    <row r="25" spans="1:5">
      <c r="A25" s="87"/>
      <c r="B25" s="91"/>
      <c r="C25" s="91"/>
      <c r="D25" s="91"/>
      <c r="E25" s="93"/>
    </row>
    <row r="26" spans="1:5">
      <c r="A26" s="94" t="s">
        <v>77</v>
      </c>
      <c r="B26" s="95"/>
      <c r="C26" s="96"/>
      <c r="D26" s="96">
        <f>SUM(D18:D23)</f>
        <v>49600.958845151232</v>
      </c>
      <c r="E26" s="9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37FF-A1A7-42AF-8720-D9FDD64B5BE1}">
  <dimension ref="A1:I1044"/>
  <sheetViews>
    <sheetView tabSelected="1" topLeftCell="A31" zoomScale="50" zoomScaleNormal="50" workbookViewId="0">
      <selection activeCell="E39" sqref="E39"/>
    </sheetView>
  </sheetViews>
  <sheetFormatPr defaultColWidth="8.81640625" defaultRowHeight="14.5"/>
  <cols>
    <col min="1" max="1" width="33.1796875" customWidth="1"/>
    <col min="2" max="2" width="11.81640625" bestFit="1" customWidth="1"/>
    <col min="3" max="3" width="19" bestFit="1" customWidth="1"/>
    <col min="4" max="5" width="14.81640625" bestFit="1" customWidth="1"/>
    <col min="6" max="6" width="12.6328125" bestFit="1" customWidth="1"/>
    <col min="7" max="7" width="11.1796875" bestFit="1" customWidth="1"/>
    <col min="8" max="8" width="12.1796875" bestFit="1" customWidth="1"/>
  </cols>
  <sheetData>
    <row r="1" spans="1:8">
      <c r="A1" s="116" t="s">
        <v>3</v>
      </c>
    </row>
    <row r="2" spans="1:8">
      <c r="A2" s="117" t="s">
        <v>81</v>
      </c>
      <c r="B2" s="117">
        <v>1</v>
      </c>
      <c r="C2" s="117">
        <v>10</v>
      </c>
      <c r="D2" s="117">
        <v>25</v>
      </c>
      <c r="E2" s="117">
        <v>100</v>
      </c>
      <c r="F2" s="117">
        <v>200</v>
      </c>
    </row>
    <row r="3" spans="1:8">
      <c r="A3" s="117" t="s">
        <v>82</v>
      </c>
      <c r="B3" s="117">
        <f>1/B2</f>
        <v>1</v>
      </c>
      <c r="C3" s="117">
        <f>1/C2</f>
        <v>0.1</v>
      </c>
      <c r="D3" s="117">
        <f t="shared" ref="D3:F3" si="0">1/D2</f>
        <v>0.04</v>
      </c>
      <c r="E3" s="117">
        <f>1/E2</f>
        <v>0.01</v>
      </c>
      <c r="F3" s="117">
        <f t="shared" si="0"/>
        <v>5.0000000000000001E-3</v>
      </c>
    </row>
    <row r="4" spans="1:8">
      <c r="A4" s="117" t="s">
        <v>83</v>
      </c>
      <c r="B4" s="117">
        <v>1.0000000000000001E-5</v>
      </c>
      <c r="C4" s="117">
        <v>92.69</v>
      </c>
      <c r="D4" s="117">
        <v>107.72</v>
      </c>
      <c r="E4" s="117">
        <v>148.58000000000001</v>
      </c>
      <c r="F4" s="117">
        <v>154.26</v>
      </c>
    </row>
    <row r="5" spans="1:8">
      <c r="A5" s="118" t="s">
        <v>84</v>
      </c>
      <c r="B5" s="118">
        <v>1.0000000000000001E-5</v>
      </c>
      <c r="C5" s="119">
        <f>'[1]Flood (national AAL PML)'!$C$6</f>
        <v>1.5623834261001326</v>
      </c>
      <c r="D5" s="119">
        <f>'[1]Flood (national AAL PML)'!$C$7</f>
        <v>1.8158097039480634</v>
      </c>
      <c r="E5" s="119">
        <v>2.5</v>
      </c>
      <c r="F5" s="119">
        <v>2.6</v>
      </c>
    </row>
    <row r="7" spans="1:8">
      <c r="A7" s="116" t="s">
        <v>80</v>
      </c>
    </row>
    <row r="8" spans="1:8">
      <c r="A8" s="117" t="s">
        <v>81</v>
      </c>
      <c r="B8" s="117">
        <v>1</v>
      </c>
      <c r="C8" s="117">
        <v>10</v>
      </c>
      <c r="D8" s="117">
        <v>25</v>
      </c>
      <c r="E8" s="117">
        <v>100</v>
      </c>
      <c r="F8" s="117">
        <v>200</v>
      </c>
    </row>
    <row r="9" spans="1:8">
      <c r="A9" s="117" t="s">
        <v>82</v>
      </c>
      <c r="B9" s="117">
        <f>1/B8</f>
        <v>1</v>
      </c>
      <c r="C9" s="117">
        <f>1/C8</f>
        <v>0.1</v>
      </c>
      <c r="D9" s="117">
        <f>1/D8</f>
        <v>0.04</v>
      </c>
      <c r="E9" s="117">
        <f>1/E8</f>
        <v>0.01</v>
      </c>
      <c r="F9" s="117">
        <f>1/F8</f>
        <v>5.0000000000000001E-3</v>
      </c>
    </row>
    <row r="10" spans="1:8">
      <c r="A10" s="117" t="s">
        <v>83</v>
      </c>
      <c r="B10" s="117">
        <v>1.0000000000000001E-5</v>
      </c>
      <c r="C10" s="120">
        <v>298.13221510010902</v>
      </c>
      <c r="D10" s="121">
        <v>344.05970870607399</v>
      </c>
      <c r="E10" s="121">
        <v>471.64262625479699</v>
      </c>
      <c r="F10" s="121">
        <v>490.57679011763298</v>
      </c>
    </row>
    <row r="11" spans="1:8">
      <c r="A11" s="118" t="s">
        <v>85</v>
      </c>
      <c r="B11" s="118">
        <v>1.0000000000000001E-5</v>
      </c>
      <c r="C11" s="119">
        <v>1.5314150914001201</v>
      </c>
      <c r="D11" s="119">
        <v>1.7673307464551811</v>
      </c>
      <c r="E11" s="119">
        <v>2.42</v>
      </c>
      <c r="F11" s="119">
        <v>2.52</v>
      </c>
      <c r="H11" s="26"/>
    </row>
    <row r="13" spans="1:8">
      <c r="A13" s="116" t="s">
        <v>86</v>
      </c>
    </row>
    <row r="14" spans="1:8">
      <c r="A14" s="122" t="s">
        <v>81</v>
      </c>
      <c r="B14" s="122">
        <v>1</v>
      </c>
      <c r="C14" s="122">
        <v>10</v>
      </c>
      <c r="D14" s="122">
        <v>25</v>
      </c>
      <c r="E14" s="122">
        <v>100</v>
      </c>
      <c r="F14" s="122">
        <v>200</v>
      </c>
    </row>
    <row r="15" spans="1:8">
      <c r="A15" s="122" t="s">
        <v>82</v>
      </c>
      <c r="B15" s="122">
        <v>1</v>
      </c>
      <c r="C15" s="122">
        <v>0.1</v>
      </c>
      <c r="D15" s="122">
        <v>0.04</v>
      </c>
      <c r="E15" s="122">
        <v>0.01</v>
      </c>
      <c r="F15" s="122">
        <v>5.0000000000000001E-3</v>
      </c>
    </row>
    <row r="16" spans="1:8">
      <c r="A16" s="117" t="s">
        <v>83</v>
      </c>
      <c r="B16" s="122">
        <v>1.0000000000000001E-5</v>
      </c>
      <c r="C16" s="121">
        <v>357.43199441973098</v>
      </c>
      <c r="D16" s="121">
        <v>412.41639746037998</v>
      </c>
      <c r="E16" s="121">
        <v>565.35040780021097</v>
      </c>
      <c r="F16" s="121">
        <v>588.07132005685003</v>
      </c>
    </row>
    <row r="17" spans="1:6">
      <c r="A17" s="123" t="s">
        <v>85</v>
      </c>
      <c r="B17" s="118">
        <v>1.0000000000000001E-5</v>
      </c>
      <c r="C17" s="124">
        <v>1.5311836807774646</v>
      </c>
      <c r="D17" s="124">
        <v>1.7667284052216539</v>
      </c>
      <c r="E17" s="124">
        <v>2.421874179869953</v>
      </c>
      <c r="F17" s="124">
        <v>2.5192070728478795</v>
      </c>
    </row>
    <row r="18" spans="1:6">
      <c r="A18" s="125"/>
      <c r="B18" s="125"/>
      <c r="C18" s="125"/>
      <c r="D18" s="125"/>
      <c r="E18" s="125"/>
      <c r="F18" s="125"/>
    </row>
    <row r="19" spans="1:6">
      <c r="A19" s="126" t="s">
        <v>7</v>
      </c>
    </row>
    <row r="20" spans="1:6">
      <c r="A20" s="122" t="s">
        <v>81</v>
      </c>
      <c r="B20" s="122">
        <v>1</v>
      </c>
      <c r="C20" s="122">
        <v>10</v>
      </c>
      <c r="D20" s="122">
        <v>25</v>
      </c>
      <c r="E20" s="122">
        <v>100</v>
      </c>
      <c r="F20" s="122">
        <v>200</v>
      </c>
    </row>
    <row r="21" spans="1:6">
      <c r="A21" s="122" t="s">
        <v>82</v>
      </c>
      <c r="B21" s="122">
        <v>1</v>
      </c>
      <c r="C21" s="122">
        <v>0.1</v>
      </c>
      <c r="D21" s="122">
        <v>0.04</v>
      </c>
      <c r="E21" s="122">
        <v>0.01</v>
      </c>
      <c r="F21" s="122">
        <v>5.0000000000000001E-3</v>
      </c>
    </row>
    <row r="22" spans="1:6">
      <c r="A22" s="117" t="s">
        <v>83</v>
      </c>
      <c r="B22" s="122">
        <v>1.0000000000000001E-5</v>
      </c>
      <c r="C22" s="121">
        <v>19.126417432657799</v>
      </c>
      <c r="D22" s="121">
        <v>26.511667626625101</v>
      </c>
      <c r="E22" s="121">
        <v>30.602298933558</v>
      </c>
      <c r="F22" s="121">
        <v>31.846409312708399</v>
      </c>
    </row>
    <row r="23" spans="1:6">
      <c r="A23" s="123" t="s">
        <v>85</v>
      </c>
      <c r="B23" s="118">
        <v>1.0000000000000001E-5</v>
      </c>
      <c r="C23" s="127">
        <v>4.9440017308329729</v>
      </c>
      <c r="D23" s="127">
        <v>6.8530204935033172</v>
      </c>
      <c r="E23" s="127">
        <v>7.9104107932226855</v>
      </c>
      <c r="F23" s="127">
        <v>8.232001801550485</v>
      </c>
    </row>
    <row r="24" spans="1:6">
      <c r="A24" s="125"/>
      <c r="B24" s="125"/>
      <c r="C24" s="125"/>
      <c r="D24" s="125"/>
      <c r="E24" s="125"/>
      <c r="F24" s="125"/>
    </row>
    <row r="25" spans="1:6">
      <c r="A25" s="126" t="s">
        <v>8</v>
      </c>
      <c r="B25" s="125"/>
      <c r="C25" s="125"/>
      <c r="D25" s="125"/>
      <c r="E25" s="125"/>
      <c r="F25" s="125"/>
    </row>
    <row r="26" spans="1:6">
      <c r="A26" s="122" t="s">
        <v>81</v>
      </c>
      <c r="B26" s="122">
        <v>1</v>
      </c>
      <c r="C26" s="122">
        <v>10</v>
      </c>
      <c r="D26" s="122">
        <v>25</v>
      </c>
      <c r="E26" s="122">
        <v>100</v>
      </c>
      <c r="F26" s="122">
        <v>200</v>
      </c>
    </row>
    <row r="27" spans="1:6">
      <c r="A27" s="122" t="s">
        <v>82</v>
      </c>
      <c r="B27" s="122">
        <v>1</v>
      </c>
      <c r="C27" s="122">
        <v>0.1</v>
      </c>
      <c r="D27" s="122">
        <v>0.04</v>
      </c>
      <c r="E27" s="122">
        <v>0.01</v>
      </c>
      <c r="F27" s="122">
        <v>5.0000000000000001E-3</v>
      </c>
    </row>
    <row r="28" spans="1:6">
      <c r="A28" s="117" t="s">
        <v>83</v>
      </c>
      <c r="B28" s="122">
        <v>1.0000000000000001E-5</v>
      </c>
      <c r="C28" s="121">
        <v>14.263540259444</v>
      </c>
      <c r="D28" s="121">
        <v>16.740495362852698</v>
      </c>
      <c r="E28" s="121">
        <v>21.1765211595519</v>
      </c>
      <c r="F28" s="121">
        <v>22.024287970326</v>
      </c>
    </row>
    <row r="29" spans="1:6">
      <c r="A29" s="123" t="s">
        <v>85</v>
      </c>
      <c r="B29" s="118">
        <v>1.0000000000000001E-5</v>
      </c>
      <c r="C29" s="127">
        <v>2.3545354428835075</v>
      </c>
      <c r="D29" s="127">
        <v>2.7634155999360668</v>
      </c>
      <c r="E29" s="127">
        <v>3.4956868154891794</v>
      </c>
      <c r="F29" s="127">
        <v>3.6356308242668254</v>
      </c>
    </row>
    <row r="30" spans="1:6">
      <c r="A30" s="125"/>
      <c r="B30" s="125"/>
      <c r="C30" s="125"/>
      <c r="D30" s="125"/>
      <c r="E30" s="125"/>
      <c r="F30" s="125"/>
    </row>
    <row r="31" spans="1:6">
      <c r="A31" s="126" t="s">
        <v>87</v>
      </c>
      <c r="B31" s="125"/>
      <c r="C31" s="125"/>
      <c r="D31" s="125"/>
      <c r="E31" s="125"/>
      <c r="F31" s="125"/>
    </row>
    <row r="32" spans="1:6">
      <c r="A32" s="122" t="s">
        <v>81</v>
      </c>
      <c r="B32" s="122">
        <v>1</v>
      </c>
      <c r="C32" s="122">
        <v>10</v>
      </c>
      <c r="D32" s="122">
        <v>25</v>
      </c>
      <c r="E32" s="122">
        <v>100</v>
      </c>
      <c r="F32" s="122">
        <v>200</v>
      </c>
    </row>
    <row r="33" spans="1:9">
      <c r="A33" s="122" t="s">
        <v>82</v>
      </c>
      <c r="B33" s="122">
        <v>1</v>
      </c>
      <c r="C33" s="122">
        <v>0.1</v>
      </c>
      <c r="D33" s="122">
        <v>0.04</v>
      </c>
      <c r="E33" s="122">
        <v>0.01</v>
      </c>
      <c r="F33" s="122">
        <v>5.0000000000000001E-3</v>
      </c>
    </row>
    <row r="34" spans="1:9">
      <c r="A34" s="117" t="s">
        <v>83</v>
      </c>
      <c r="B34" s="122">
        <v>1.0000000000000001E-5</v>
      </c>
      <c r="C34" s="121">
        <v>5.5796796168612799</v>
      </c>
      <c r="D34" s="121">
        <v>6.38000802737265</v>
      </c>
      <c r="E34" s="121">
        <v>7.93635101199476</v>
      </c>
      <c r="F34" s="121">
        <v>8.2474320175743205</v>
      </c>
    </row>
    <row r="35" spans="1:9">
      <c r="A35" s="123" t="s">
        <v>85</v>
      </c>
      <c r="B35" s="118">
        <v>1.0000000000000001E-5</v>
      </c>
      <c r="C35" s="127">
        <v>5.6383751016696619</v>
      </c>
      <c r="D35" s="127">
        <v>6.4471225733613418</v>
      </c>
      <c r="E35" s="127">
        <v>8.0198375205840406</v>
      </c>
      <c r="F35" s="127">
        <v>8.3341909453150507</v>
      </c>
    </row>
    <row r="36" spans="1:9">
      <c r="A36" s="125"/>
      <c r="B36" s="125"/>
      <c r="C36" s="125"/>
      <c r="D36" s="125"/>
      <c r="E36" s="125"/>
      <c r="F36" s="125"/>
    </row>
    <row r="37" spans="1:9">
      <c r="A37" s="125"/>
      <c r="B37" s="125"/>
      <c r="C37" s="125"/>
      <c r="D37" s="125"/>
      <c r="E37" s="125"/>
      <c r="F37" s="125"/>
    </row>
    <row r="38" spans="1:9">
      <c r="A38" s="125"/>
      <c r="B38" s="125"/>
      <c r="C38" s="125"/>
      <c r="D38" s="125"/>
      <c r="E38" s="125"/>
      <c r="F38" s="125"/>
    </row>
    <row r="39" spans="1:9">
      <c r="A39" s="125"/>
      <c r="B39" s="125"/>
      <c r="C39" s="125"/>
      <c r="D39" s="125"/>
      <c r="E39" s="125"/>
      <c r="F39" s="125"/>
    </row>
    <row r="43" spans="1:9">
      <c r="A43" s="61" t="s">
        <v>88</v>
      </c>
      <c r="B43" s="61" t="s">
        <v>89</v>
      </c>
      <c r="C43" s="128" t="s">
        <v>90</v>
      </c>
      <c r="D43" s="128"/>
      <c r="E43" s="128"/>
      <c r="F43" s="128"/>
      <c r="G43" s="128"/>
      <c r="H43" s="128"/>
      <c r="I43" s="128"/>
    </row>
    <row r="44" spans="1:9">
      <c r="A44" s="65"/>
      <c r="B44" s="65"/>
      <c r="C44" s="129" t="s">
        <v>3</v>
      </c>
      <c r="D44" s="129" t="s">
        <v>80</v>
      </c>
      <c r="E44" s="129" t="s">
        <v>91</v>
      </c>
      <c r="F44" s="129" t="s">
        <v>7</v>
      </c>
      <c r="G44" s="129" t="s">
        <v>8</v>
      </c>
      <c r="H44" s="129" t="s">
        <v>87</v>
      </c>
      <c r="I44" s="129"/>
    </row>
    <row r="45" spans="1:9">
      <c r="A45">
        <v>1</v>
      </c>
      <c r="B45">
        <f t="shared" ref="B45:B109" ca="1" si="1">RAND()</f>
        <v>0.93998378676388683</v>
      </c>
      <c r="C45" s="1">
        <f ca="1">IF($B45&lt;=0.005,$F$4,IF(B45&lt;=0.01,$F$4+($B45-0.005)*SLOPE($E$4:$F$4,$E$3:$F$3),IF($B45&lt;=0.04,$E$4+($B45-0.01)*SLOPE($D$4:$E$4,$D$3:$E$3),IF($B45&lt;=0.1,$D$4+($B45-0.04)*SLOPE($C$4:$D$4,$C$3:$D$3),IF($B45&lt;=1,$C$4+($B45-0.1)*SLOPE($B$4:$C$4,$B$3:$C$3),)))))</f>
        <v>6.1810124496591214</v>
      </c>
      <c r="D45" s="1">
        <f ca="1">IF($B45&lt;=0.005,$F$10,IF($B45&lt;=0.01,$F$10+($B45-0.005)*SLOPE($E$10:$F$10,$E$9:$F$9),IF($B45&lt;=0.04,$E$10+($B45-0.01)*SLOPE($D$10:$E$10,$D$9:$E$9),IF($B45&lt;=0.1,$D$10+($B45-0.04)*SLOPE($C$10:$D$10,$C$9:$D$9),IF($B45&lt;=1,$C$10+($B45-0.1)*SLOPE($B$10:$C$10,$B$9:$C$9),)))))</f>
        <v>19.880861104267524</v>
      </c>
      <c r="E45" s="1">
        <f ca="1">IF($B45&lt;=0.005,$F$16,IF($B45&lt;=0.01,$F$16+($B45-0.005)*SLOPE($E$16:$F$16,$E$15:$F$15),IF($B45&lt;=0.04,$E$16+($B45-0.01)*SLOPE($D$16:$E$16,$D$15:$E$15),IF($B45&lt;=0.1,$D$16+($B45-0.04)*SLOPE($C$16:$D$16,$C$15:$D$15),IF($B45&lt;=1,$C$16+($B45-0.1)*SLOPE($B$16:$C$16,$B$15:$C$15),)))))</f>
        <v>23.835247993712926</v>
      </c>
      <c r="F45" s="1">
        <f ca="1">IF($B45&lt;=0.005,$F$22,IF($B45&lt;=0.01,$F$22+($B45-0.005)*SLOPE($E$22:$F$22,$E$21:$F$21),IF($B45&lt;=0.04,$E$22+($B45-0.01)*SLOPE($D$22:$E$22,$D$21:$E$21),IF($B45&lt;=0.1,$D$22+($B45-0.04)*SLOPE($C$22:$D$22,$C$21:$D$21),IF($B45&lt;=1,$C$22+($B45-0.1)*SLOPE($B$22:$C$22,$B$21:$C$21),)))))</f>
        <v>1.2754483854657437</v>
      </c>
      <c r="G45" s="1">
        <f ca="1">IF($B45&lt;=0.005,$F$28,IF($B45&lt;=0.01,$F$28+($B45-0.005)*SLOPE($E$28:$F$28,$E$27:$F$27),IF($B45&lt;=0.04,$E$28+($B45-0.01)*SLOPE($D$28:$E$28,$D$27:$E$27),IF($B45&lt;=0.1,$D$28+($B45-0.04)*SLOPE($C$28:$D$28,$C$27:$D$27),IF($B45&lt;=1,$C$28+($B45-0.1)*SLOPE($B$28:$C$28,$B$27:$C$27),)))))</f>
        <v>0.95116897061171457</v>
      </c>
      <c r="H45" s="1">
        <f ca="1">IF($B45&lt;=0.005,$F$34,IF($B45&lt;=0.01,$F$34+($B45-0.005)*SLOPE($E$34:$F$34,$E$33:$F$33),IF($B45&lt;=0.04,$E$34+($B45-0.01)*SLOPE($D$34:$E$34,$D$33:$E$33),IF($B45&lt;=0.1,$D$34+($B45-0.04)*SLOPE($C$34:$D$34,$C$33:$D$33),IF($B45&lt;=1,$C$34+($B45-0.1)*SLOPE($B$34:$C$34,$B$33:$C$33),)))))</f>
        <v>0.37208849056956517</v>
      </c>
    </row>
    <row r="46" spans="1:9">
      <c r="A46">
        <v>2</v>
      </c>
      <c r="B46">
        <f t="shared" ca="1" si="1"/>
        <v>0.64555142056350889</v>
      </c>
      <c r="C46" s="1">
        <f t="shared" ref="C46:C109" ca="1" si="2">IF($B46&lt;=0.005,$F$4,IF(B46&lt;=0.01,$F$4+($B46-0.005)*SLOPE($E$4:$F$4,$E$3:$F$3),IF($B46&lt;=0.04,$E$4+($B46-0.01)*SLOPE($D$4:$E$4,$D$3:$E$3),IF($B46&lt;=0.1,$D$4+($B46-0.04)*SLOPE($C$4:$D$4,$C$3:$D$3),IF($B46&lt;=1,$C$4+($B46-0.1)*SLOPE($B$4:$C$4,$B$3:$C$3),)))))</f>
        <v>36.504271426091748</v>
      </c>
      <c r="D46" s="1">
        <f ca="1">IF($B46&lt;=0.005,$F$10,IF($B46&lt;=0.01,$F$10+($B46-0.005)*SLOPE($E$10:$F$10,$E$9:$F$9),IF($B46&lt;=0.04,$E$10+($B46-0.01)*SLOPE($D$10:$E$10,$D$9:$E$9),IF($B46&lt;=0.1,$D$10+($B46-0.04)*SLOPE($C$10:$D$10,$C$9:$D$9),IF($B46&lt;=1,$C$10+($B46-0.1)*SLOPE($B$10:$C$10,$B$9:$C$9),)))))</f>
        <v>117.41393953555806</v>
      </c>
      <c r="E46" s="1">
        <f ca="1">IF($B46&lt;=0.005,$F$16,IF($B46&lt;=0.01,$F$16+($B46-0.005)*SLOPE($E$16:$F$16,$E$15:$F$15),IF($B46&lt;=0.04,$E$16+($B46-0.01)*SLOPE($D$16:$E$16,$D$15:$E$15),IF($B46&lt;=0.1,$D$16+($B46-0.04)*SLOPE($C$16:$D$16,$C$15:$D$15),IF($B46&lt;=1,$C$16+($B46-0.1)*SLOPE($B$16:$C$16,$B$15:$C$15),)))))</f>
        <v>140.76807569193295</v>
      </c>
      <c r="F46" s="1">
        <f t="shared" ref="F46:F109" ca="1" si="3">IF($B46&lt;=0.005,$F$22,IF($B46&lt;=0.01,$F$22+($B46-0.005)*SLOPE($E$22:$F$22,$E$21:$F$21),IF($B46&lt;=0.04,$E$22+($B46-0.01)*SLOPE($D$22:$E$22,$D$21:$E$21),IF($B46&lt;=0.1,$D$22+($B46-0.04)*SLOPE($C$22:$D$22,$C$21:$D$21),IF($B46&lt;=1,$C$22+($B46-0.1)*SLOPE($B$22:$C$22,$B$21:$C$21),)))))</f>
        <v>7.5325966046990001</v>
      </c>
      <c r="G46" s="1">
        <f ca="1">IF($B46&lt;=0.005,$F$28,IF($B46&lt;=0.01,$F$28+($B46-0.005)*SLOPE($E$28:$F$28,$E$27:$F$27),IF($B46&lt;=0.04,$E$28+($B46-0.01)*SLOPE($D$28:$E$28,$D$27:$E$27),IF($B46&lt;=0.1,$D$28+($B46-0.04)*SLOPE($C$28:$D$28,$C$27:$D$27),IF($B46&lt;=1,$C$28+($B46-0.1)*SLOPE($B$28:$C$28,$B$27:$C$27),)))))</f>
        <v>5.6174411535659239</v>
      </c>
      <c r="H46" s="1">
        <f t="shared" ref="H46:H109" ca="1" si="4">IF($B46&lt;=0.005,$F$34,IF($B46&lt;=0.01,$F$34+($B46-0.005)*SLOPE($E$34:$F$34,$E$33:$F$33),IF($B46&lt;=0.04,$E$34+($B46-0.01)*SLOPE($D$34:$E$34,$D$33:$E$33),IF($B46&lt;=0.1,$D$34+($B46-0.04)*SLOPE($C$34:$D$34,$C$33:$D$33),IF($B46&lt;=1,$C$34+($B46-0.1)*SLOPE($B$34:$C$34,$B$33:$C$33),)))))</f>
        <v>2.1974610771349234</v>
      </c>
    </row>
    <row r="47" spans="1:9">
      <c r="A47">
        <v>3</v>
      </c>
      <c r="B47">
        <f t="shared" ca="1" si="1"/>
        <v>0.13755456570945668</v>
      </c>
      <c r="C47" s="1">
        <f ca="1">IF($B47&lt;=0.005,$F$4,IF(B47&lt;=0.01,$F$4+($B47-0.005)*SLOPE($E$4:$F$4,$E$3:$F$3),IF($B47&lt;=0.04,$E$4+($B47-0.01)*SLOPE($D$4:$E$4,$D$3:$E$3),IF($B47&lt;=0.1,$D$4+($B47-0.04)*SLOPE($C$4:$D$4,$C$3:$D$3),IF($B47&lt;=1,$C$4+($B47-0.1)*SLOPE($B$4:$C$4,$B$3:$C$3),)))))</f>
        <v>88.822297422151237</v>
      </c>
      <c r="D47" s="1">
        <f ca="1">IF($B47&lt;=0.005,$F$10,IF($B47&lt;=0.01,$F$10+($B47-0.005)*SLOPE($E$10:$F$10,$E$9:$F$9),IF($B47&lt;=0.04,$E$10+($B47-0.01)*SLOPE($D$10:$E$10,$D$9:$E$9),IF($B47&lt;=0.1,$D$10+($B47-0.04)*SLOPE($C$10:$D$10,$C$9:$D$9),IF($B47&lt;=1,$C$10+($B47-0.1)*SLOPE($B$10:$C$10,$B$9:$C$9),)))))</f>
        <v>285.69196455951209</v>
      </c>
      <c r="E47" s="1">
        <f t="shared" ref="E47:E110" ca="1" si="5">IF($B47&lt;=0.005,$F$16,IF($B47&lt;=0.01,$F$16+($B47-0.005)*SLOPE($E$16:$F$16,$E$15:$F$15),IF($B47&lt;=0.04,$E$16+($B47-0.01)*SLOPE($D$16:$E$16,$D$15:$E$15),IF($B47&lt;=0.1,$D$16+($B47-0.04)*SLOPE($C$16:$D$16,$C$15:$D$15),IF($B47&lt;=1,$C$16+($B47-0.1)*SLOPE($B$16:$C$16,$B$15:$C$15),)))))</f>
        <v>342.51732448022847</v>
      </c>
      <c r="F47" s="1">
        <f ca="1">IF($B47&lt;=0.005,$F$22,IF($B47&lt;=0.01,$F$22+($B47-0.005)*SLOPE($E$22:$F$22,$E$21:$F$21),IF($B47&lt;=0.04,$E$22+($B47-0.01)*SLOPE($D$22:$E$22,$D$21:$E$21),IF($B47&lt;=0.1,$D$22+($B47-0.04)*SLOPE($C$22:$D$22,$C$21:$D$21),IF($B47&lt;=1,$C$22+($B47-0.1)*SLOPE($B$22:$C$22,$B$21:$C$21),)))))</f>
        <v>18.328324182973812</v>
      </c>
      <c r="G47" s="1">
        <f t="shared" ref="G47:G110" ca="1" si="6">IF($B47&lt;=0.005,$F$28,IF($B47&lt;=0.01,$F$28+($B47-0.005)*SLOPE($E$28:$F$28,$E$27:$F$27),IF($B47&lt;=0.04,$E$28+($B47-0.01)*SLOPE($D$28:$E$28,$D$27:$E$27),IF($B47&lt;=0.1,$D$28+($B47-0.04)*SLOPE($C$28:$D$28,$C$27:$D$27),IF($B47&lt;=1,$C$28+($B47-0.1)*SLOPE($B$28:$C$28,$B$27:$C$27),)))))</f>
        <v>13.668361721247207</v>
      </c>
      <c r="H47" s="1">
        <f t="shared" ca="1" si="4"/>
        <v>5.3468550954574177</v>
      </c>
    </row>
    <row r="48" spans="1:9">
      <c r="A48">
        <v>4</v>
      </c>
      <c r="B48">
        <f t="shared" ca="1" si="1"/>
        <v>0.59284965323148953</v>
      </c>
      <c r="C48" s="1">
        <f t="shared" ca="1" si="2"/>
        <v>41.931967300521968</v>
      </c>
      <c r="D48" s="1">
        <f t="shared" ref="D48:D111" ca="1" si="7">IF($B48&lt;=0.005,$F$10,IF($B48&lt;=0.01,$F$10+($B48-0.005)*SLOPE($E$10:$F$10,$E$9:$F$9),IF($B48&lt;=0.04,$E$10+($B48-0.01)*SLOPE($D$10:$E$10,$D$9:$E$9),IF($B48&lt;=0.1,$D$10+($B48-0.04)*SLOPE($C$10:$D$10,$C$9:$D$9),IF($B48&lt;=1,$C$10+($B48-0.1)*SLOPE($B$10:$C$10,$B$9:$C$9),)))))</f>
        <v>134.87182187707788</v>
      </c>
      <c r="E48" s="1">
        <f t="shared" ca="1" si="5"/>
        <v>161.69840600294475</v>
      </c>
      <c r="F48" s="1">
        <f ca="1">IF($B48&lt;=0.005,$F$22,IF($B48&lt;=0.01,$F$22+($B48-0.005)*SLOPE($E$22:$F$22,$E$21:$F$21),IF($B48&lt;=0.04,$E$22+($B48-0.01)*SLOPE($D$22:$E$22,$D$21:$E$21),IF($B48&lt;=0.1,$D$22+($B48-0.04)*SLOPE($C$22:$D$22,$C$21:$D$21),IF($B48&lt;=1,$C$22+($B48-0.1)*SLOPE($B$22:$C$22,$B$21:$C$21),)))))</f>
        <v>8.6525915762693764</v>
      </c>
      <c r="G48" s="1">
        <f ca="1">IF($B48&lt;=0.005,$F$28,IF($B48&lt;=0.01,$F$28+($B48-0.005)*SLOPE($E$28:$F$28,$E$27:$F$27),IF($B48&lt;=0.04,$E$28+($B48-0.01)*SLOPE($D$28:$E$28,$D$27:$E$27),IF($B48&lt;=0.1,$D$28+($B48-0.04)*SLOPE($C$28:$D$28,$C$27:$D$27),IF($B48&lt;=1,$C$28+($B48-0.1)*SLOPE($B$28:$C$28,$B$27:$C$27),)))))</f>
        <v>6.4526781014175176</v>
      </c>
      <c r="H48" s="1">
        <f ca="1">IF($B48&lt;=0.005,$F$34,IF($B48&lt;=0.01,$F$34+($B48-0.005)*SLOPE($E$34:$F$34,$E$33:$F$33),IF($B48&lt;=0.04,$E$34+($B48-0.01)*SLOPE($D$34:$E$34,$D$33:$E$33),IF($B48&lt;=0.1,$D$34+($B48-0.04)*SLOPE($C$34:$D$34,$C$33:$D$33),IF($B48&lt;=1,$C$34+($B48-0.1)*SLOPE($B$34:$C$34,$B$33:$C$33),)))))</f>
        <v>2.5241926881764356</v>
      </c>
    </row>
    <row r="49" spans="1:8">
      <c r="A49">
        <v>5</v>
      </c>
      <c r="B49">
        <f t="shared" ca="1" si="1"/>
        <v>0.31100361856660608</v>
      </c>
      <c r="C49" s="1">
        <f t="shared" ca="1" si="2"/>
        <v>70.958974116774968</v>
      </c>
      <c r="D49" s="1">
        <f t="shared" ca="1" si="7"/>
        <v>228.2355772252595</v>
      </c>
      <c r="E49" s="1">
        <f t="shared" ca="1" si="5"/>
        <v>273.63261430416878</v>
      </c>
      <c r="F49" s="1">
        <f t="shared" ca="1" si="3"/>
        <v>14.642260567691103</v>
      </c>
      <c r="G49" s="1">
        <f t="shared" ca="1" si="6"/>
        <v>10.919477483580705</v>
      </c>
      <c r="H49" s="1">
        <f t="shared" ca="1" si="4"/>
        <v>4.2715346395680811</v>
      </c>
    </row>
    <row r="50" spans="1:8">
      <c r="A50">
        <v>6</v>
      </c>
      <c r="B50">
        <f t="shared" ca="1" si="1"/>
        <v>0.52204404679297256</v>
      </c>
      <c r="C50" s="1">
        <f t="shared" ca="1" si="2"/>
        <v>49.224157247999827</v>
      </c>
      <c r="D50" s="1">
        <f t="shared" ca="1" si="7"/>
        <v>158.32674585592846</v>
      </c>
      <c r="E50" s="1">
        <f t="shared" ca="1" si="5"/>
        <v>189.81861535556877</v>
      </c>
      <c r="F50" s="1">
        <f t="shared" ca="1" si="3"/>
        <v>10.157321439891035</v>
      </c>
      <c r="G50" s="1">
        <f t="shared" ca="1" si="6"/>
        <v>7.57483133472204</v>
      </c>
      <c r="H50" s="1">
        <f t="shared" ca="1" si="4"/>
        <v>2.9631614558969139</v>
      </c>
    </row>
    <row r="51" spans="1:8">
      <c r="A51">
        <v>7</v>
      </c>
      <c r="B51">
        <f t="shared" ca="1" si="1"/>
        <v>0.80867258848668355</v>
      </c>
      <c r="C51" s="1">
        <f t="shared" ca="1" si="2"/>
        <v>19.704605399883548</v>
      </c>
      <c r="D51" s="1">
        <f t="shared" ca="1" si="7"/>
        <v>63.378746767290039</v>
      </c>
      <c r="E51" s="1">
        <f ca="1">IF($B51&lt;=0.005,$F$16,IF($B51&lt;=0.01,$F$16+($B51-0.005)*SLOPE($E$16:$F$16,$E$15:$F$15),IF($B51&lt;=0.04,$E$16+($B51-0.01)*SLOPE($D$16:$E$16,$D$15:$E$15),IF($B51&lt;=0.1,$D$16+($B51-0.04)*SLOPE($C$16:$D$16,$C$15:$D$15),IF($B51&lt;=1,$C$16+($B51-0.1)*SLOPE($B$16:$C$16,$B$15:$C$15),)))))</f>
        <v>75.985050412327951</v>
      </c>
      <c r="F51" s="1">
        <f t="shared" ca="1" si="3"/>
        <v>4.0660166951549677</v>
      </c>
      <c r="G51" s="1">
        <f t="shared" ca="1" si="6"/>
        <v>3.0322370262014253</v>
      </c>
      <c r="H51" s="1">
        <f ca="1">IF($B51&lt;=0.005,$F$34,IF($B51&lt;=0.01,$F$34+($B51-0.005)*SLOPE($E$34:$F$34,$E$33:$F$33),IF($B51&lt;=0.04,$E$34+($B51-0.01)*SLOPE($D$34:$E$34,$D$33:$E$33),IF($B51&lt;=0.1,$D$34+($B51-0.04)*SLOPE($C$34:$D$34,$C$33:$D$33),IF($B51&lt;=1,$C$34+($B51-0.1)*SLOPE($B$34:$C$34,$B$33:$C$33),)))))</f>
        <v>1.1861697165484077</v>
      </c>
    </row>
    <row r="52" spans="1:8">
      <c r="A52">
        <v>8</v>
      </c>
      <c r="B52">
        <f t="shared" ca="1" si="1"/>
        <v>0.67475595575768632</v>
      </c>
      <c r="C52" s="1">
        <f t="shared" ca="1" si="2"/>
        <v>33.496529120421798</v>
      </c>
      <c r="D52" s="1">
        <f t="shared" ca="1" si="7"/>
        <v>107.73970345070933</v>
      </c>
      <c r="E52" s="1">
        <f t="shared" ca="1" si="5"/>
        <v>129.16959239358772</v>
      </c>
      <c r="F52" s="1">
        <f t="shared" ca="1" si="3"/>
        <v>6.9119545613598543</v>
      </c>
      <c r="G52" s="1">
        <f t="shared" ca="1" si="6"/>
        <v>5.1545969630602038</v>
      </c>
      <c r="H52" s="1">
        <f t="shared" ca="1" si="4"/>
        <v>2.0164036796932483</v>
      </c>
    </row>
    <row r="53" spans="1:8">
      <c r="A53">
        <v>9</v>
      </c>
      <c r="B53">
        <f t="shared" ca="1" si="1"/>
        <v>6.5511904448029679E-2</v>
      </c>
      <c r="C53" s="1">
        <f t="shared" ca="1" si="2"/>
        <v>101.32926793576857</v>
      </c>
      <c r="D53" s="1">
        <f t="shared" ca="1" si="7"/>
        <v>324.53141156585946</v>
      </c>
      <c r="E53" s="1">
        <f t="shared" ca="1" si="5"/>
        <v>389.0371168519635</v>
      </c>
      <c r="F53" s="1">
        <f t="shared" ca="1" si="3"/>
        <v>23.371471005403663</v>
      </c>
      <c r="G53" s="1">
        <f ca="1">IF($B53&lt;=0.005,$F$28,IF($B53&lt;=0.01,$F$28+($B53-0.005)*SLOPE($E$28:$F$28,$E$27:$F$27),IF($B53&lt;=0.04,$E$28+($B53-0.01)*SLOPE($D$28:$E$28,$D$27:$E$27),IF($B53&lt;=0.1,$D$28+($B53-0.04)*SLOPE($C$28:$D$28,$C$27:$D$27),IF($B53&lt;=1,$C$28+($B53-0.1)*SLOPE($B$28:$C$28,$B$27:$C$27),)))))</f>
        <v>15.687297997515662</v>
      </c>
      <c r="H53" s="1">
        <f t="shared" ca="1" si="4"/>
        <v>6.0397096617724912</v>
      </c>
    </row>
    <row r="54" spans="1:8">
      <c r="A54">
        <v>10</v>
      </c>
      <c r="B54">
        <f t="shared" ca="1" si="1"/>
        <v>0.47516024649569255</v>
      </c>
      <c r="C54" s="1">
        <f t="shared" ca="1" si="2"/>
        <v>54.052667226574137</v>
      </c>
      <c r="D54" s="1">
        <f t="shared" ca="1" si="7"/>
        <v>173.8573800404854</v>
      </c>
      <c r="E54" s="1">
        <f t="shared" ca="1" si="5"/>
        <v>208.43835955267451</v>
      </c>
      <c r="F54" s="1">
        <f ca="1">IF($B54&lt;=0.005,$F$22,IF($B54&lt;=0.01,$F$22+($B54-0.005)*SLOPE($E$22:$F$22,$E$21:$F$21),IF($B54&lt;=0.04,$E$22+($B54-0.01)*SLOPE($D$22:$E$22,$D$21:$E$21),IF($B54&lt;=0.1,$D$22+($B54-0.04)*SLOPE($C$22:$D$22,$C$21:$D$21),IF($B54&lt;=1,$C$22+($B54-0.1)*SLOPE($B$22:$C$22,$B$21:$C$21),)))))</f>
        <v>11.153675513754525</v>
      </c>
      <c r="G54" s="1">
        <f t="shared" ca="1" si="6"/>
        <v>8.3178630060753544</v>
      </c>
      <c r="H54" s="1">
        <f t="shared" ca="1" si="4"/>
        <v>3.2538238070543861</v>
      </c>
    </row>
    <row r="55" spans="1:8">
      <c r="A55">
        <v>11</v>
      </c>
      <c r="B55">
        <f t="shared" ca="1" si="1"/>
        <v>0.52610284022031251</v>
      </c>
      <c r="C55" s="1">
        <f t="shared" ca="1" si="2"/>
        <v>48.806146667786265</v>
      </c>
      <c r="D55" s="1">
        <f t="shared" ca="1" si="7"/>
        <v>156.98223803977436</v>
      </c>
      <c r="E55" s="1">
        <f t="shared" ca="1" si="5"/>
        <v>188.20667914547556</v>
      </c>
      <c r="F55" s="1">
        <f t="shared" ca="1" si="3"/>
        <v>10.071065732361816</v>
      </c>
      <c r="G55" s="1">
        <f t="shared" ca="1" si="6"/>
        <v>7.510506087091267</v>
      </c>
      <c r="H55" s="1">
        <f ca="1">IF($B55&lt;=0.005,$F$34,IF($B55&lt;=0.01,$F$34+($B55-0.005)*SLOPE($E$34:$F$34,$E$33:$F$33),IF($B55&lt;=0.04,$E$34+($B55-0.01)*SLOPE($D$34:$E$34,$D$33:$E$33),IF($B55&lt;=0.1,$D$34+($B55-0.04)*SLOPE($C$34:$D$34,$C$33:$D$33),IF($B55&lt;=1,$C$34+($B55-0.1)*SLOPE($B$34:$C$34,$B$33:$C$33),)))))</f>
        <v>2.9379984265995307</v>
      </c>
    </row>
    <row r="56" spans="1:8">
      <c r="A56">
        <v>12</v>
      </c>
      <c r="B56">
        <f t="shared" ca="1" si="1"/>
        <v>0.51648607517396838</v>
      </c>
      <c r="C56" s="1">
        <f t="shared" ca="1" si="2"/>
        <v>49.796566507761803</v>
      </c>
      <c r="D56" s="1">
        <f t="shared" ca="1" si="7"/>
        <v>160.1678684499924</v>
      </c>
      <c r="E56" s="1">
        <f t="shared" ca="1" si="5"/>
        <v>192.02594516126788</v>
      </c>
      <c r="F56" s="1">
        <f t="shared" ca="1" si="3"/>
        <v>10.27543702842906</v>
      </c>
      <c r="G56" s="1">
        <f t="shared" ca="1" si="6"/>
        <v>7.662916108465148</v>
      </c>
      <c r="H56" s="1">
        <f t="shared" ca="1" si="4"/>
        <v>2.9976188396457304</v>
      </c>
    </row>
    <row r="57" spans="1:8">
      <c r="A57">
        <v>13</v>
      </c>
      <c r="B57">
        <f t="shared" ca="1" si="1"/>
        <v>0.25788391631147045</v>
      </c>
      <c r="C57" s="1">
        <f t="shared" ca="1" si="2"/>
        <v>76.429712639921078</v>
      </c>
      <c r="D57" s="1">
        <f t="shared" ca="1" si="7"/>
        <v>245.8319038559093</v>
      </c>
      <c r="E57" s="1">
        <f t="shared" ca="1" si="5"/>
        <v>294.72892606954474</v>
      </c>
      <c r="F57" s="1">
        <f t="shared" ca="1" si="3"/>
        <v>15.771137309950209</v>
      </c>
      <c r="G57" s="1">
        <f t="shared" ca="1" si="6"/>
        <v>11.761338017457129</v>
      </c>
      <c r="H57" s="1">
        <f t="shared" ca="1" si="4"/>
        <v>4.6008572937121901</v>
      </c>
    </row>
    <row r="58" spans="1:8">
      <c r="A58">
        <v>14</v>
      </c>
      <c r="B58">
        <f t="shared" ca="1" si="1"/>
        <v>0.5088206558718642</v>
      </c>
      <c r="C58" s="1">
        <f t="shared" ca="1" si="2"/>
        <v>50.58601943938163</v>
      </c>
      <c r="D58" s="1">
        <f t="shared" ca="1" si="7"/>
        <v>162.70709996060714</v>
      </c>
      <c r="E58" s="1">
        <f t="shared" ca="1" si="5"/>
        <v>195.07024075300166</v>
      </c>
      <c r="F58" s="1">
        <f t="shared" ca="1" si="3"/>
        <v>10.438339175889288</v>
      </c>
      <c r="G58" s="1">
        <f t="shared" ca="1" si="6"/>
        <v>7.7844004864283578</v>
      </c>
      <c r="H58" s="1">
        <f t="shared" ca="1" si="4"/>
        <v>3.0451416254017891</v>
      </c>
    </row>
    <row r="59" spans="1:8">
      <c r="A59">
        <v>15</v>
      </c>
      <c r="B59">
        <f t="shared" ca="1" si="1"/>
        <v>0.79191898752480183</v>
      </c>
      <c r="C59" s="1">
        <f t="shared" ca="1" si="2"/>
        <v>21.430039961684443</v>
      </c>
      <c r="D59" s="1">
        <f t="shared" ca="1" si="7"/>
        <v>68.928511209660144</v>
      </c>
      <c r="E59" s="1">
        <f t="shared" ca="1" si="5"/>
        <v>82.638686898974299</v>
      </c>
      <c r="F59" s="1">
        <f t="shared" ca="1" si="3"/>
        <v>4.4220569151117655</v>
      </c>
      <c r="G59" s="1">
        <f t="shared" ca="1" si="6"/>
        <v>3.2977542420619255</v>
      </c>
      <c r="H59" s="1">
        <f t="shared" ca="1" si="4"/>
        <v>1.2900358923928845</v>
      </c>
    </row>
    <row r="60" spans="1:8">
      <c r="A60">
        <v>16</v>
      </c>
      <c r="B60">
        <f t="shared" ca="1" si="1"/>
        <v>0.7190026960291741</v>
      </c>
      <c r="C60" s="1">
        <f t="shared" ca="1" si="2"/>
        <v>28.939606994536469</v>
      </c>
      <c r="D60" s="1">
        <f t="shared" ca="1" si="7"/>
        <v>93.082616511119966</v>
      </c>
      <c r="E60" s="1">
        <f t="shared" ca="1" si="5"/>
        <v>111.59714774987404</v>
      </c>
      <c r="F60" s="1">
        <f t="shared" ca="1" si="3"/>
        <v>5.9716421369160066</v>
      </c>
      <c r="G60" s="1">
        <f t="shared" ca="1" si="6"/>
        <v>4.4533583866778432</v>
      </c>
      <c r="H60" s="1">
        <f t="shared" ca="1" si="4"/>
        <v>1.7420901326510565</v>
      </c>
    </row>
    <row r="61" spans="1:8">
      <c r="A61">
        <v>17</v>
      </c>
      <c r="B61">
        <f t="shared" ca="1" si="1"/>
        <v>0.81458355639177948</v>
      </c>
      <c r="C61" s="1">
        <f ca="1">IF($B61&lt;=0.005,$F$4,IF(B61&lt;=0.01,$F$4+($B61-0.005)*SLOPE($E$4:$F$4,$E$3:$F$3),IF($B61&lt;=0.04,$E$4+($B61-0.01)*SLOPE($D$4:$E$4,$D$3:$E$3),IF($B61&lt;=0.1,$D$4+($B61-0.04)*SLOPE($C$4:$D$4,$C$3:$D$3),IF($B61&lt;=1,$C$4+($B61-0.1)*SLOPE($B$4:$C$4,$B$3:$C$3),)))))</f>
        <v>19.095841448757255</v>
      </c>
      <c r="D61" s="1">
        <f t="shared" ca="1" si="7"/>
        <v>61.42069132748756</v>
      </c>
      <c r="E61" s="1">
        <f t="shared" ca="1" si="5"/>
        <v>73.637529314372671</v>
      </c>
      <c r="F61" s="1">
        <f t="shared" ca="1" si="3"/>
        <v>3.9403993835169366</v>
      </c>
      <c r="G61" s="1">
        <f t="shared" ca="1" si="6"/>
        <v>2.9385578377826054</v>
      </c>
      <c r="H61" s="1">
        <f t="shared" ca="1" si="4"/>
        <v>1.149523885408068</v>
      </c>
    </row>
    <row r="62" spans="1:8">
      <c r="A62">
        <v>18</v>
      </c>
      <c r="B62">
        <f t="shared" ca="1" si="1"/>
        <v>0.11784243270819572</v>
      </c>
      <c r="C62" s="1">
        <f t="shared" ca="1" si="2"/>
        <v>90.852427878557407</v>
      </c>
      <c r="D62" s="1">
        <f t="shared" ca="1" si="7"/>
        <v>292.22176642494827</v>
      </c>
      <c r="E62" s="1">
        <f t="shared" ca="1" si="5"/>
        <v>350.34593205332442</v>
      </c>
      <c r="F62" s="1">
        <f t="shared" ca="1" si="3"/>
        <v>18.747237835361432</v>
      </c>
      <c r="G62" s="1">
        <f t="shared" ca="1" si="6"/>
        <v>13.980766838515729</v>
      </c>
      <c r="H62" s="1">
        <f t="shared" ca="1" si="4"/>
        <v>5.4690630838914895</v>
      </c>
    </row>
    <row r="63" spans="1:8">
      <c r="A63">
        <v>19</v>
      </c>
      <c r="B63">
        <f t="shared" ca="1" si="1"/>
        <v>0.67854291153571211</v>
      </c>
      <c r="C63" s="1">
        <f t="shared" ca="1" si="2"/>
        <v>33.106514794648852</v>
      </c>
      <c r="D63" s="1">
        <f t="shared" ca="1" si="7"/>
        <v>106.48524403213219</v>
      </c>
      <c r="E63" s="1">
        <f ca="1">IF($B63&lt;=0.005,$F$16,IF($B63&lt;=0.01,$F$16+($B63-0.005)*SLOPE($E$16:$F$16,$E$15:$F$15),IF($B63&lt;=0.04,$E$16+($B63-0.01)*SLOPE($D$16:$E$16,$D$15:$E$15),IF($B63&lt;=0.1,$D$16+($B63-0.04)*SLOPE($C$16:$D$16,$C$15:$D$15),IF($B63&lt;=1,$C$16+($B63-0.1)*SLOPE($B$16:$C$16,$B$15:$C$15),)))))</f>
        <v>127.66561559508824</v>
      </c>
      <c r="F63" s="1">
        <f t="shared" ca="1" si="3"/>
        <v>6.8314758289821</v>
      </c>
      <c r="G63" s="1">
        <f ca="1">IF($B63&lt;=0.005,$F$28,IF($B63&lt;=0.01,$F$28+($B63-0.005)*SLOPE($E$28:$F$28,$E$27:$F$27),IF($B63&lt;=0.04,$E$28+($B63-0.01)*SLOPE($D$28:$E$28,$D$27:$E$27),IF($B63&lt;=0.1,$D$28+($B63-0.04)*SLOPE($C$28:$D$28,$C$27:$D$27),IF($B63&lt;=1,$C$28+($B63-0.1)*SLOPE($B$28:$C$28,$B$27:$C$27),)))))</f>
        <v>5.0945798982479289</v>
      </c>
      <c r="H63" s="1">
        <f t="shared" ca="1" si="4"/>
        <v>1.9929259440320841</v>
      </c>
    </row>
    <row r="64" spans="1:8">
      <c r="A64">
        <v>20</v>
      </c>
      <c r="B64">
        <f t="shared" ca="1" si="1"/>
        <v>0.87872558680054436</v>
      </c>
      <c r="C64" s="1">
        <f t="shared" ca="1" si="2"/>
        <v>12.489925718570461</v>
      </c>
      <c r="D64" s="1">
        <f t="shared" ca="1" si="7"/>
        <v>40.17313025486169</v>
      </c>
      <c r="E64" s="1">
        <f t="shared" ca="1" si="5"/>
        <v>48.163736854688693</v>
      </c>
      <c r="F64" s="1">
        <f t="shared" ca="1" si="3"/>
        <v>2.5772809311214218</v>
      </c>
      <c r="G64" s="1">
        <f t="shared" ca="1" si="6"/>
        <v>1.9220114026297228</v>
      </c>
      <c r="H64" s="1">
        <f t="shared" ca="1" si="4"/>
        <v>0.75186684292409289</v>
      </c>
    </row>
    <row r="65" spans="1:8">
      <c r="A65">
        <v>21</v>
      </c>
      <c r="B65">
        <f t="shared" ca="1" si="1"/>
        <v>0.90385745580224774</v>
      </c>
      <c r="C65" s="1">
        <f t="shared" ca="1" si="2"/>
        <v>9.9016227336269225</v>
      </c>
      <c r="D65" s="1">
        <f t="shared" ca="1" si="7"/>
        <v>31.847997450678406</v>
      </c>
      <c r="E65" s="1">
        <f t="shared" ca="1" si="5"/>
        <v>38.182699288626964</v>
      </c>
      <c r="F65" s="1">
        <f t="shared" ca="1" si="3"/>
        <v>2.0431894132650186</v>
      </c>
      <c r="G65" s="1">
        <f t="shared" ca="1" si="6"/>
        <v>1.5237123204273004</v>
      </c>
      <c r="H65" s="1">
        <f t="shared" ca="1" si="4"/>
        <v>0.5960584808310454</v>
      </c>
    </row>
    <row r="66" spans="1:8">
      <c r="A66">
        <v>22</v>
      </c>
      <c r="B66">
        <f t="shared" ca="1" si="1"/>
        <v>0.85265820183787089</v>
      </c>
      <c r="C66" s="1">
        <f t="shared" ca="1" si="2"/>
        <v>15.17457644247753</v>
      </c>
      <c r="D66" s="1">
        <f t="shared" ca="1" si="7"/>
        <v>48.808160210545282</v>
      </c>
      <c r="E66" s="1">
        <f t="shared" ca="1" si="5"/>
        <v>58.516311450068088</v>
      </c>
      <c r="F66" s="1">
        <f t="shared" ca="1" si="3"/>
        <v>3.1312536261214561</v>
      </c>
      <c r="G66" s="1">
        <f t="shared" ca="1" si="6"/>
        <v>2.3351368850737977</v>
      </c>
      <c r="H66" s="1">
        <f t="shared" ca="1" si="4"/>
        <v>0.91347506055437666</v>
      </c>
    </row>
    <row r="67" spans="1:8">
      <c r="A67">
        <v>23</v>
      </c>
      <c r="B67">
        <f t="shared" ca="1" si="1"/>
        <v>0.68782192853722723</v>
      </c>
      <c r="C67" s="1">
        <f t="shared" ca="1" si="2"/>
        <v>32.150879246781891</v>
      </c>
      <c r="D67" s="1">
        <f t="shared" ca="1" si="7"/>
        <v>103.41149536566209</v>
      </c>
      <c r="E67" s="1">
        <f t="shared" ca="1" si="5"/>
        <v>123.98048508362604</v>
      </c>
      <c r="F67" s="1">
        <f t="shared" ca="1" si="3"/>
        <v>6.6342822070426148</v>
      </c>
      <c r="G67" s="1">
        <f t="shared" ca="1" si="6"/>
        <v>4.9475226318268106</v>
      </c>
      <c r="H67" s="1">
        <f t="shared" ca="1" si="4"/>
        <v>1.9353994448790917</v>
      </c>
    </row>
    <row r="68" spans="1:8">
      <c r="A68">
        <v>24</v>
      </c>
      <c r="B68">
        <f t="shared" ca="1" si="1"/>
        <v>0.76852673472088662</v>
      </c>
      <c r="C68" s="1">
        <f t="shared" ca="1" si="2"/>
        <v>23.839181826653743</v>
      </c>
      <c r="D68" s="1">
        <f t="shared" ca="1" si="7"/>
        <v>76.677382221538437</v>
      </c>
      <c r="E68" s="1">
        <f t="shared" ca="1" si="5"/>
        <v>91.928841720920332</v>
      </c>
      <c r="F68" s="1">
        <f t="shared" ca="1" si="3"/>
        <v>4.919178868328892</v>
      </c>
      <c r="G68" s="1">
        <f t="shared" ca="1" si="6"/>
        <v>3.6684832484010457</v>
      </c>
      <c r="H68" s="1">
        <f t="shared" ca="1" si="4"/>
        <v>1.4350592726594886</v>
      </c>
    </row>
    <row r="69" spans="1:8">
      <c r="A69">
        <v>25</v>
      </c>
      <c r="B69">
        <f t="shared" ca="1" si="1"/>
        <v>0.19070185150565488</v>
      </c>
      <c r="C69" s="1">
        <f t="shared" ca="1" si="2"/>
        <v>83.348718101065955</v>
      </c>
      <c r="D69" s="1">
        <f t="shared" ca="1" si="7"/>
        <v>268.08650066006066</v>
      </c>
      <c r="E69" s="1">
        <f t="shared" ca="1" si="5"/>
        <v>321.41005800394208</v>
      </c>
      <c r="F69" s="1">
        <f t="shared" ca="1" si="3"/>
        <v>17.198861247331596</v>
      </c>
      <c r="G69" s="1">
        <f t="shared" ca="1" si="6"/>
        <v>12.826064033290105</v>
      </c>
      <c r="H69" s="1">
        <f t="shared" ca="1" si="4"/>
        <v>5.017361433484429</v>
      </c>
    </row>
    <row r="70" spans="1:8">
      <c r="A70">
        <v>26</v>
      </c>
      <c r="B70">
        <f t="shared" ca="1" si="1"/>
        <v>0.50168619925392266</v>
      </c>
      <c r="C70" s="1">
        <f t="shared" ca="1" si="2"/>
        <v>51.320789120017672</v>
      </c>
      <c r="D70" s="1">
        <f t="shared" ca="1" si="7"/>
        <v>165.07044583138267</v>
      </c>
      <c r="E70" s="1">
        <f t="shared" ca="1" si="5"/>
        <v>197.90366629378758</v>
      </c>
      <c r="F70" s="1">
        <f t="shared" ca="1" si="3"/>
        <v>10.589957535984144</v>
      </c>
      <c r="G70" s="1">
        <f t="shared" ca="1" si="6"/>
        <v>7.89746997293358</v>
      </c>
      <c r="H70" s="1">
        <f t="shared" ca="1" si="4"/>
        <v>3.0893726374283927</v>
      </c>
    </row>
    <row r="71" spans="1:8">
      <c r="A71">
        <v>27</v>
      </c>
      <c r="B71">
        <f t="shared" ca="1" si="1"/>
        <v>8.3909390219688462E-2</v>
      </c>
      <c r="C71" s="1">
        <f t="shared" ca="1" si="2"/>
        <v>96.720697749968039</v>
      </c>
      <c r="D71" s="1">
        <f ca="1">IF($B71&lt;=0.005,$F$10,IF($B71&lt;=0.01,$F$10+($B71-0.005)*SLOPE($E$10:$F$10,$E$9:$F$9),IF($B71&lt;=0.04,$E$10+($B71-0.01)*SLOPE($D$10:$E$10,$D$9:$E$9),IF($B71&lt;=0.1,$D$10+($B71-0.04)*SLOPE($C$10:$D$10,$C$9:$D$9),IF($B71&lt;=1,$C$10+($B71-0.1)*SLOPE($B$10:$C$10,$B$9:$C$9),)))))</f>
        <v>310.44890473013129</v>
      </c>
      <c r="E71" s="1">
        <f t="shared" ca="1" si="5"/>
        <v>372.17753730857197</v>
      </c>
      <c r="F71" s="1">
        <f t="shared" ca="1" si="3"/>
        <v>21.106970416009432</v>
      </c>
      <c r="G71" s="1">
        <f t="shared" ca="1" si="6"/>
        <v>14.927802226315675</v>
      </c>
      <c r="H71" s="1">
        <f t="shared" ca="1" si="4"/>
        <v>5.7943091526885375</v>
      </c>
    </row>
    <row r="72" spans="1:8">
      <c r="A72">
        <v>28</v>
      </c>
      <c r="B72">
        <f t="shared" ca="1" si="1"/>
        <v>0.34936239997644603</v>
      </c>
      <c r="C72" s="1">
        <f t="shared" ca="1" si="2"/>
        <v>67.008446266452466</v>
      </c>
      <c r="D72" s="1">
        <f t="shared" ca="1" si="7"/>
        <v>215.52892379562766</v>
      </c>
      <c r="E72" s="1">
        <f t="shared" ca="1" si="5"/>
        <v>258.39855279390008</v>
      </c>
      <c r="F72" s="1">
        <f t="shared" ca="1" si="3"/>
        <v>13.827076476730149</v>
      </c>
      <c r="G72" s="1">
        <f t="shared" ca="1" si="6"/>
        <v>10.311553439853316</v>
      </c>
      <c r="H72" s="1">
        <f t="shared" ca="1" si="4"/>
        <v>4.0337242760432961</v>
      </c>
    </row>
    <row r="73" spans="1:8">
      <c r="A73">
        <v>29</v>
      </c>
      <c r="B73">
        <f t="shared" ca="1" si="1"/>
        <v>0.5426288922591801</v>
      </c>
      <c r="C73" s="1">
        <f t="shared" ca="1" si="2"/>
        <v>47.104147114206135</v>
      </c>
      <c r="D73" s="1">
        <f t="shared" ca="1" si="7"/>
        <v>151.50785099983355</v>
      </c>
      <c r="E73" s="1">
        <f t="shared" ca="1" si="5"/>
        <v>181.6434129511687</v>
      </c>
      <c r="F73" s="1">
        <f t="shared" ca="1" si="3"/>
        <v>9.7198612828632758</v>
      </c>
      <c r="G73" s="1">
        <f t="shared" ca="1" si="6"/>
        <v>7.2485951500628953</v>
      </c>
      <c r="H73" s="1">
        <f t="shared" ca="1" si="4"/>
        <v>2.8355429705462663</v>
      </c>
    </row>
    <row r="74" spans="1:8">
      <c r="A74">
        <v>30</v>
      </c>
      <c r="B74">
        <f t="shared" ca="1" si="1"/>
        <v>0.39532972845610603</v>
      </c>
      <c r="C74" s="1">
        <f t="shared" ca="1" si="2"/>
        <v>62.274322691889793</v>
      </c>
      <c r="D74" s="1">
        <f t="shared" ca="1" si="7"/>
        <v>200.30187823762535</v>
      </c>
      <c r="E74" s="1">
        <f t="shared" ca="1" si="5"/>
        <v>240.14278230839068</v>
      </c>
      <c r="F74" s="1">
        <f t="shared" ca="1" si="3"/>
        <v>12.850198862182602</v>
      </c>
      <c r="G74" s="1">
        <f t="shared" ca="1" si="6"/>
        <v>9.5830463501695018</v>
      </c>
      <c r="H74" s="1">
        <f t="shared" ca="1" si="4"/>
        <v>3.7487437137252497</v>
      </c>
    </row>
    <row r="75" spans="1:8">
      <c r="A75">
        <v>31</v>
      </c>
      <c r="B75">
        <f t="shared" ca="1" si="1"/>
        <v>0.51697497960412453</v>
      </c>
      <c r="C75" s="1">
        <f t="shared" ca="1" si="2"/>
        <v>49.746214789159438</v>
      </c>
      <c r="D75" s="1">
        <f t="shared" ca="1" si="7"/>
        <v>160.00591494349723</v>
      </c>
      <c r="E75" s="1">
        <f t="shared" ca="1" si="5"/>
        <v>191.83177840497643</v>
      </c>
      <c r="F75" s="1">
        <f t="shared" ca="1" si="3"/>
        <v>10.265047044732619</v>
      </c>
      <c r="G75" s="1">
        <f t="shared" ca="1" si="6"/>
        <v>7.6551677716501381</v>
      </c>
      <c r="H75" s="1">
        <f t="shared" ca="1" si="4"/>
        <v>2.9945878116518516</v>
      </c>
    </row>
    <row r="76" spans="1:8">
      <c r="A76">
        <v>32</v>
      </c>
      <c r="B76">
        <f t="shared" ca="1" si="1"/>
        <v>0.35221122581539732</v>
      </c>
      <c r="C76" s="1">
        <f t="shared" ca="1" si="2"/>
        <v>66.715048890314534</v>
      </c>
      <c r="D76" s="1">
        <f t="shared" ca="1" si="7"/>
        <v>214.58522742972463</v>
      </c>
      <c r="E76" s="1">
        <f t="shared" ca="1" si="5"/>
        <v>257.26715115736391</v>
      </c>
      <c r="F76" s="1">
        <f t="shared" ca="1" si="3"/>
        <v>13.76653447261852</v>
      </c>
      <c r="G76" s="1">
        <f t="shared" ca="1" si="6"/>
        <v>10.266404202566907</v>
      </c>
      <c r="H76" s="1">
        <f t="shared" ca="1" si="4"/>
        <v>4.0160626016240446</v>
      </c>
    </row>
    <row r="77" spans="1:8">
      <c r="A77">
        <v>33</v>
      </c>
      <c r="B77">
        <f t="shared" ca="1" si="1"/>
        <v>0.64852352709903349</v>
      </c>
      <c r="C77" s="1">
        <f t="shared" ca="1" si="2"/>
        <v>36.198177509362068</v>
      </c>
      <c r="D77" s="1">
        <f t="shared" ca="1" si="7"/>
        <v>116.42940545197098</v>
      </c>
      <c r="E77" s="1">
        <f t="shared" ca="1" si="5"/>
        <v>139.58771353982249</v>
      </c>
      <c r="F77" s="1">
        <f t="shared" ca="1" si="3"/>
        <v>7.4694346929971029</v>
      </c>
      <c r="G77" s="1">
        <f t="shared" ca="1" si="6"/>
        <v>5.5703381185617609</v>
      </c>
      <c r="H77" s="1">
        <f t="shared" ca="1" si="4"/>
        <v>2.179035107652322</v>
      </c>
    </row>
    <row r="78" spans="1:8">
      <c r="A78">
        <v>34</v>
      </c>
      <c r="B78">
        <f t="shared" ca="1" si="1"/>
        <v>5.6440110529597742E-2</v>
      </c>
      <c r="C78" s="1">
        <f t="shared" ca="1" si="2"/>
        <v>103.60175231233576</v>
      </c>
      <c r="D78" s="1">
        <f t="shared" ca="1" si="7"/>
        <v>331.47549085224972</v>
      </c>
      <c r="E78" s="1">
        <f t="shared" ca="1" si="5"/>
        <v>397.35056973717633</v>
      </c>
      <c r="F78" s="1">
        <f t="shared" ca="1" si="3"/>
        <v>24.48809546866584</v>
      </c>
      <c r="G78" s="1">
        <f t="shared" ca="1" si="6"/>
        <v>16.061805101571196</v>
      </c>
      <c r="H78" s="1">
        <f t="shared" ca="1" si="4"/>
        <v>6.1607165685595797</v>
      </c>
    </row>
    <row r="79" spans="1:8">
      <c r="A79">
        <v>35</v>
      </c>
      <c r="B79">
        <f t="shared" ca="1" si="1"/>
        <v>0.18098940595995638</v>
      </c>
      <c r="C79" s="1">
        <f t="shared" ca="1" si="2"/>
        <v>84.348991968295223</v>
      </c>
      <c r="D79" s="1">
        <f t="shared" ca="1" si="7"/>
        <v>271.30382600167604</v>
      </c>
      <c r="E79" s="1">
        <f t="shared" ca="1" si="5"/>
        <v>325.26732320946167</v>
      </c>
      <c r="F79" s="1">
        <f t="shared" ca="1" si="3"/>
        <v>17.405265903636632</v>
      </c>
      <c r="G79" s="1">
        <f t="shared" ca="1" si="6"/>
        <v>12.979990434328187</v>
      </c>
      <c r="H79" s="1">
        <f t="shared" ca="1" si="4"/>
        <v>5.077575030503044</v>
      </c>
    </row>
    <row r="80" spans="1:8">
      <c r="A80">
        <v>36</v>
      </c>
      <c r="B80">
        <f t="shared" ca="1" si="1"/>
        <v>0.98066841630909085</v>
      </c>
      <c r="C80" s="1">
        <f t="shared" ca="1" si="2"/>
        <v>1.990948109993937</v>
      </c>
      <c r="D80" s="1">
        <f t="shared" ca="1" si="7"/>
        <v>6.4037518598311749</v>
      </c>
      <c r="E80" s="1">
        <f t="shared" ca="1" si="5"/>
        <v>7.6774836895752401</v>
      </c>
      <c r="F80" s="1">
        <f t="shared" ca="1" si="3"/>
        <v>0.41083638443427617</v>
      </c>
      <c r="G80" s="1">
        <f t="shared" ca="1" si="6"/>
        <v>0.30638403215361798</v>
      </c>
      <c r="H80" s="1">
        <f t="shared" ca="1" si="4"/>
        <v>0.11985872240664097</v>
      </c>
    </row>
    <row r="81" spans="1:8">
      <c r="A81">
        <v>37</v>
      </c>
      <c r="B81">
        <f t="shared" ca="1" si="1"/>
        <v>0.31879341999867483</v>
      </c>
      <c r="C81" s="1">
        <f t="shared" ca="1" si="2"/>
        <v>70.156711209174475</v>
      </c>
      <c r="D81" s="1">
        <f t="shared" ca="1" si="7"/>
        <v>225.65514313833211</v>
      </c>
      <c r="E81" s="1">
        <f t="shared" ca="1" si="5"/>
        <v>270.53892076627989</v>
      </c>
      <c r="F81" s="1">
        <f t="shared" ca="1" si="3"/>
        <v>14.476715105458606</v>
      </c>
      <c r="G81" s="1">
        <f t="shared" ca="1" si="6"/>
        <v>10.79602185197918</v>
      </c>
      <c r="H81" s="1">
        <f t="shared" ca="1" si="4"/>
        <v>4.2232407302659745</v>
      </c>
    </row>
    <row r="82" spans="1:8">
      <c r="A82">
        <v>38</v>
      </c>
      <c r="B82">
        <f t="shared" ca="1" si="1"/>
        <v>0.17319557882880343</v>
      </c>
      <c r="C82" s="1">
        <f t="shared" ca="1" si="2"/>
        <v>85.151669478126664</v>
      </c>
      <c r="D82" s="1">
        <f t="shared" ca="1" si="7"/>
        <v>273.88559363365346</v>
      </c>
      <c r="E82" s="1">
        <f t="shared" ca="1" si="5"/>
        <v>328.36261554025316</v>
      </c>
      <c r="F82" s="1">
        <f t="shared" ca="1" si="3"/>
        <v>17.570896918270115</v>
      </c>
      <c r="G82" s="1">
        <f t="shared" ca="1" si="6"/>
        <v>13.103509866686048</v>
      </c>
      <c r="H82" s="1">
        <f t="shared" ca="1" si="4"/>
        <v>5.1258938976616699</v>
      </c>
    </row>
    <row r="83" spans="1:8">
      <c r="A83">
        <v>39</v>
      </c>
      <c r="B83">
        <f t="shared" ca="1" si="1"/>
        <v>0.33389760979181726</v>
      </c>
      <c r="C83" s="1">
        <f t="shared" ca="1" si="2"/>
        <v>68.601147652636172</v>
      </c>
      <c r="D83" s="1">
        <f t="shared" ca="1" si="7"/>
        <v>220.65175935024311</v>
      </c>
      <c r="E83" s="1">
        <f t="shared" ca="1" si="5"/>
        <v>264.54034239870748</v>
      </c>
      <c r="F83" s="1">
        <f t="shared" ca="1" si="3"/>
        <v>14.155727452209902</v>
      </c>
      <c r="G83" s="1">
        <f t="shared" ca="1" si="6"/>
        <v>10.556645109580433</v>
      </c>
      <c r="H83" s="1">
        <f t="shared" ca="1" si="4"/>
        <v>4.1296002981814155</v>
      </c>
    </row>
    <row r="84" spans="1:8">
      <c r="A84">
        <v>40</v>
      </c>
      <c r="B84">
        <f t="shared" ca="1" si="1"/>
        <v>0.16337852740283965</v>
      </c>
      <c r="C84" s="1">
        <f t="shared" ca="1" si="2"/>
        <v>86.162716587573414</v>
      </c>
      <c r="D84" s="1">
        <f t="shared" ca="1" si="7"/>
        <v>277.13757051054648</v>
      </c>
      <c r="E84" s="1">
        <f t="shared" ca="1" si="5"/>
        <v>332.2614246206229</v>
      </c>
      <c r="F84" s="1">
        <f t="shared" ca="1" si="3"/>
        <v>17.779524613114933</v>
      </c>
      <c r="G84" s="1">
        <f t="shared" ca="1" si="6"/>
        <v>13.259094100100217</v>
      </c>
      <c r="H84" s="1">
        <f t="shared" ca="1" si="4"/>
        <v>5.1867560127379084</v>
      </c>
    </row>
    <row r="85" spans="1:8">
      <c r="A85">
        <v>41</v>
      </c>
      <c r="B85">
        <f t="shared" ca="1" si="1"/>
        <v>0.74506507920882725</v>
      </c>
      <c r="C85" s="1">
        <f t="shared" ca="1" si="2"/>
        <v>26.255471398649561</v>
      </c>
      <c r="D85" s="1">
        <f t="shared" ca="1" si="7"/>
        <v>84.44924343610441</v>
      </c>
      <c r="E85" s="1">
        <f t="shared" ca="1" si="5"/>
        <v>101.24655959586198</v>
      </c>
      <c r="F85" s="1">
        <f t="shared" ca="1" si="3"/>
        <v>5.4177757376270144</v>
      </c>
      <c r="G85" s="1">
        <f t="shared" ca="1" si="6"/>
        <v>4.0403121743265018</v>
      </c>
      <c r="H85" s="1">
        <f t="shared" ca="1" si="4"/>
        <v>1.5805129242393816</v>
      </c>
    </row>
    <row r="86" spans="1:8">
      <c r="A86">
        <v>42</v>
      </c>
      <c r="B86">
        <f t="shared" ca="1" si="1"/>
        <v>0.63149578300222919</v>
      </c>
      <c r="C86" s="1">
        <f t="shared" ca="1" si="2"/>
        <v>37.951845764979126</v>
      </c>
      <c r="D86" s="1">
        <f t="shared" ca="1" si="7"/>
        <v>122.06998200248279</v>
      </c>
      <c r="E86" s="1">
        <f t="shared" ca="1" si="5"/>
        <v>146.35022505394707</v>
      </c>
      <c r="F86" s="1">
        <f t="shared" ca="1" si="3"/>
        <v>7.8313008832798943</v>
      </c>
      <c r="G86" s="1">
        <f t="shared" ca="1" si="6"/>
        <v>5.8402000554226898</v>
      </c>
      <c r="H86" s="1">
        <f t="shared" ca="1" si="4"/>
        <v>2.2846008702974641</v>
      </c>
    </row>
    <row r="87" spans="1:8">
      <c r="A87">
        <v>43</v>
      </c>
      <c r="B87">
        <f t="shared" ca="1" si="1"/>
        <v>0.28253993060430294</v>
      </c>
      <c r="C87" s="1">
        <f t="shared" ca="1" si="2"/>
        <v>73.890417397429417</v>
      </c>
      <c r="D87" s="1">
        <f t="shared" ca="1" si="7"/>
        <v>237.66440173357381</v>
      </c>
      <c r="E87" s="1">
        <f t="shared" ca="1" si="5"/>
        <v>284.936872606691</v>
      </c>
      <c r="F87" s="1">
        <f t="shared" ca="1" si="3"/>
        <v>15.247158448805601</v>
      </c>
      <c r="G87" s="1">
        <f t="shared" ca="1" si="6"/>
        <v>11.37058045529813</v>
      </c>
      <c r="H87" s="1">
        <f t="shared" ca="1" si="4"/>
        <v>4.4479990561315068</v>
      </c>
    </row>
    <row r="88" spans="1:8">
      <c r="A88">
        <v>44</v>
      </c>
      <c r="B88">
        <f t="shared" ca="1" si="1"/>
        <v>0.94769999459679455</v>
      </c>
      <c r="C88" s="1">
        <f t="shared" ca="1" si="2"/>
        <v>5.386328864247858</v>
      </c>
      <c r="D88" s="1">
        <f t="shared" ca="1" si="7"/>
        <v>17.324805486228058</v>
      </c>
      <c r="E88" s="1">
        <f t="shared" ca="1" si="5"/>
        <v>20.770781907144851</v>
      </c>
      <c r="F88" s="1">
        <f t="shared" ca="1" si="3"/>
        <v>1.1114669023021229</v>
      </c>
      <c r="G88" s="1">
        <f t="shared" ca="1" si="6"/>
        <v>0.8288796773752285</v>
      </c>
      <c r="H88" s="1">
        <f t="shared" ca="1" si="4"/>
        <v>0.32425083456660708</v>
      </c>
    </row>
    <row r="89" spans="1:8">
      <c r="A89">
        <v>45</v>
      </c>
      <c r="B89">
        <f t="shared" ca="1" si="1"/>
        <v>0.47839191537707648</v>
      </c>
      <c r="C89" s="1">
        <f t="shared" ca="1" si="2"/>
        <v>53.719841275131039</v>
      </c>
      <c r="D89" s="1">
        <f t="shared" ca="1" si="7"/>
        <v>172.78686385186273</v>
      </c>
      <c r="E89" s="1">
        <f t="shared" ca="1" si="5"/>
        <v>207.15491308460722</v>
      </c>
      <c r="F89" s="1">
        <f t="shared" ca="1" si="3"/>
        <v>11.084997496295868</v>
      </c>
      <c r="G89" s="1">
        <f t="shared" ca="1" si="6"/>
        <v>8.2666463317663279</v>
      </c>
      <c r="H89" s="1">
        <f t="shared" ca="1" si="4"/>
        <v>3.2337886463108152</v>
      </c>
    </row>
    <row r="90" spans="1:8">
      <c r="A90">
        <v>46</v>
      </c>
      <c r="B90">
        <f t="shared" ca="1" si="1"/>
        <v>0.79216949461507602</v>
      </c>
      <c r="C90" s="1">
        <f t="shared" ca="1" si="2"/>
        <v>21.404240517581727</v>
      </c>
      <c r="D90" s="1">
        <f t="shared" ca="1" si="7"/>
        <v>68.845528730530532</v>
      </c>
      <c r="E90" s="1">
        <f t="shared" ca="1" si="5"/>
        <v>82.539198847432147</v>
      </c>
      <c r="F90" s="1">
        <f t="shared" ca="1" si="3"/>
        <v>4.4167332476969285</v>
      </c>
      <c r="G90" s="1">
        <f t="shared" ca="1" si="6"/>
        <v>3.293784113770446</v>
      </c>
      <c r="H90" s="1">
        <f t="shared" ca="1" si="4"/>
        <v>1.2884828403924278</v>
      </c>
    </row>
    <row r="91" spans="1:8">
      <c r="A91">
        <v>47</v>
      </c>
      <c r="B91">
        <f t="shared" ca="1" si="1"/>
        <v>0.57923783108827775</v>
      </c>
      <c r="C91" s="1">
        <f t="shared" ca="1" si="2"/>
        <v>43.333833587562054</v>
      </c>
      <c r="D91" s="1">
        <f t="shared" ca="1" si="7"/>
        <v>139.38084693372923</v>
      </c>
      <c r="E91" s="1">
        <f t="shared" ca="1" si="5"/>
        <v>167.104295558741</v>
      </c>
      <c r="F91" s="1">
        <f t="shared" ca="1" si="3"/>
        <v>8.9418640831715326</v>
      </c>
      <c r="G91" s="1">
        <f t="shared" ca="1" si="6"/>
        <v>6.6684032536684859</v>
      </c>
      <c r="H91" s="1">
        <f t="shared" ca="1" si="4"/>
        <v>2.6085809886682116</v>
      </c>
    </row>
    <row r="92" spans="1:8">
      <c r="A92">
        <v>48</v>
      </c>
      <c r="B92">
        <f t="shared" ca="1" si="1"/>
        <v>1.3299575314873469E-4</v>
      </c>
      <c r="C92" s="1">
        <f t="shared" ca="1" si="2"/>
        <v>154.26</v>
      </c>
      <c r="D92" s="1">
        <f t="shared" ca="1" si="7"/>
        <v>490.57679011763298</v>
      </c>
      <c r="E92" s="1">
        <f t="shared" ca="1" si="5"/>
        <v>588.07132005685003</v>
      </c>
      <c r="F92" s="1">
        <f t="shared" ca="1" si="3"/>
        <v>31.846409312708399</v>
      </c>
      <c r="G92" s="1">
        <f t="shared" ca="1" si="6"/>
        <v>22.024287970326</v>
      </c>
      <c r="H92" s="1">
        <f t="shared" ca="1" si="4"/>
        <v>8.2474320175743205</v>
      </c>
    </row>
    <row r="93" spans="1:8">
      <c r="A93">
        <v>49</v>
      </c>
      <c r="B93">
        <f t="shared" ca="1" si="1"/>
        <v>0.33681476335682903</v>
      </c>
      <c r="C93" s="1">
        <f t="shared" ca="1" si="2"/>
        <v>68.300713280670166</v>
      </c>
      <c r="D93" s="1">
        <f t="shared" ca="1" si="7"/>
        <v>219.68542887807354</v>
      </c>
      <c r="E93" s="1">
        <f t="shared" ca="1" si="5"/>
        <v>263.38180463470832</v>
      </c>
      <c r="F93" s="1">
        <f t="shared" ca="1" si="3"/>
        <v>14.093733377067629</v>
      </c>
      <c r="G93" s="1">
        <f t="shared" ca="1" si="6"/>
        <v>10.510412989418221</v>
      </c>
      <c r="H93" s="1">
        <f t="shared" ca="1" si="4"/>
        <v>4.1115150169431764</v>
      </c>
    </row>
    <row r="94" spans="1:8">
      <c r="A94">
        <v>50</v>
      </c>
      <c r="B94">
        <f t="shared" ca="1" si="1"/>
        <v>0.9378368990199476</v>
      </c>
      <c r="C94" s="1">
        <f t="shared" ca="1" si="2"/>
        <v>6.4021180091222902</v>
      </c>
      <c r="D94" s="1">
        <f t="shared" ca="1" si="7"/>
        <v>20.592034856715316</v>
      </c>
      <c r="E94" s="1">
        <f t="shared" ca="1" si="5"/>
        <v>24.687877267760257</v>
      </c>
      <c r="F94" s="1">
        <f t="shared" ca="1" si="3"/>
        <v>1.3210731073577016</v>
      </c>
      <c r="G94" s="1">
        <f t="shared" ca="1" si="6"/>
        <v>0.98519363538872184</v>
      </c>
      <c r="H94" s="1">
        <f t="shared" ca="1" si="4"/>
        <v>0.38539840647586487</v>
      </c>
    </row>
    <row r="95" spans="1:8">
      <c r="A95">
        <v>51</v>
      </c>
      <c r="B95">
        <f t="shared" ca="1" si="1"/>
        <v>0.25674362569728604</v>
      </c>
      <c r="C95" s="1">
        <f t="shared" ca="1" si="2"/>
        <v>76.547149890616453</v>
      </c>
      <c r="D95" s="1">
        <f t="shared" ca="1" si="7"/>
        <v>246.20963425064457</v>
      </c>
      <c r="E95" s="1">
        <f t="shared" ca="1" si="5"/>
        <v>295.18178866625931</v>
      </c>
      <c r="F95" s="1">
        <f t="shared" ca="1" si="3"/>
        <v>15.795370268704129</v>
      </c>
      <c r="G95" s="1">
        <f t="shared" ca="1" si="6"/>
        <v>11.779409761545995</v>
      </c>
      <c r="H95" s="1">
        <f t="shared" ca="1" si="4"/>
        <v>4.6079266769281428</v>
      </c>
    </row>
    <row r="96" spans="1:8">
      <c r="A96">
        <v>52</v>
      </c>
      <c r="B96">
        <f t="shared" ca="1" si="1"/>
        <v>0.64298563921361274</v>
      </c>
      <c r="C96" s="1">
        <f t="shared" ca="1" si="2"/>
        <v>36.7685183679407</v>
      </c>
      <c r="D96" s="1">
        <f t="shared" ca="1" si="7"/>
        <v>118.26387514850171</v>
      </c>
      <c r="E96" s="1">
        <f t="shared" ca="1" si="5"/>
        <v>141.78706715802241</v>
      </c>
      <c r="F96" s="1">
        <f t="shared" ca="1" si="3"/>
        <v>7.5871234707892548</v>
      </c>
      <c r="G96" s="1">
        <f t="shared" ca="1" si="6"/>
        <v>5.6581045979252131</v>
      </c>
      <c r="H96" s="1">
        <f t="shared" ca="1" si="4"/>
        <v>2.2133679796255068</v>
      </c>
    </row>
    <row r="97" spans="1:8">
      <c r="A97">
        <v>53</v>
      </c>
      <c r="B97">
        <f t="shared" ca="1" si="1"/>
        <v>0.95632399919079936</v>
      </c>
      <c r="C97" s="1">
        <f t="shared" ca="1" si="2"/>
        <v>4.4981523091609006</v>
      </c>
      <c r="D97" s="1">
        <f t="shared" ca="1" si="7"/>
        <v>14.468034923556843</v>
      </c>
      <c r="E97" s="1">
        <f t="shared" ca="1" si="5"/>
        <v>17.345787378611476</v>
      </c>
      <c r="F97" s="1">
        <f t="shared" ca="1" si="3"/>
        <v>0.9281933183398472</v>
      </c>
      <c r="G97" s="1">
        <f t="shared" ca="1" si="6"/>
        <v>0.69220328794837016</v>
      </c>
      <c r="H97" s="1">
        <f t="shared" ca="1" si="4"/>
        <v>0.2707851718901173</v>
      </c>
    </row>
    <row r="98" spans="1:8">
      <c r="A98">
        <v>54</v>
      </c>
      <c r="B98">
        <f t="shared" ca="1" si="1"/>
        <v>0.27330210896947404</v>
      </c>
      <c r="C98" s="1">
        <f t="shared" ca="1" si="2"/>
        <v>74.841810280711712</v>
      </c>
      <c r="D98" s="1">
        <f t="shared" ca="1" si="7"/>
        <v>240.72450410503274</v>
      </c>
      <c r="E98" s="1">
        <f t="shared" ca="1" si="5"/>
        <v>288.60564251630478</v>
      </c>
      <c r="F98" s="1">
        <f t="shared" ca="1" si="3"/>
        <v>15.443476604781111</v>
      </c>
      <c r="G98" s="1">
        <f t="shared" ca="1" si="6"/>
        <v>11.51698484243116</v>
      </c>
      <c r="H98" s="1">
        <f t="shared" ca="1" si="4"/>
        <v>4.5052701591335502</v>
      </c>
    </row>
    <row r="99" spans="1:8">
      <c r="A99">
        <v>55</v>
      </c>
      <c r="B99">
        <f t="shared" ca="1" si="1"/>
        <v>0.48261704199415534</v>
      </c>
      <c r="C99" s="1">
        <f t="shared" ca="1" si="2"/>
        <v>53.284700226369068</v>
      </c>
      <c r="D99" s="1">
        <f t="shared" ca="1" si="7"/>
        <v>171.38725683499953</v>
      </c>
      <c r="E99" s="1">
        <f t="shared" ca="1" si="5"/>
        <v>205.47691820553266</v>
      </c>
      <c r="F99" s="1">
        <f t="shared" ca="1" si="3"/>
        <v>10.995206948370516</v>
      </c>
      <c r="G99" s="1">
        <f t="shared" ca="1" si="6"/>
        <v>8.1996849747077878</v>
      </c>
      <c r="H99" s="1">
        <f t="shared" ca="1" si="4"/>
        <v>3.2075944122966966</v>
      </c>
    </row>
    <row r="100" spans="1:8">
      <c r="A100">
        <v>56</v>
      </c>
      <c r="B100">
        <f t="shared" ca="1" si="1"/>
        <v>0.300511284130213</v>
      </c>
      <c r="C100" s="1">
        <f t="shared" ca="1" si="2"/>
        <v>72.039567865648223</v>
      </c>
      <c r="D100" s="1">
        <f t="shared" ca="1" si="7"/>
        <v>231.71124700544803</v>
      </c>
      <c r="E100" s="1">
        <f t="shared" ca="1" si="5"/>
        <v>277.79960976949701</v>
      </c>
      <c r="F100" s="1">
        <f t="shared" ca="1" si="3"/>
        <v>14.865239082524615</v>
      </c>
      <c r="G100" s="1">
        <f t="shared" ca="1" si="6"/>
        <v>11.085763849942593</v>
      </c>
      <c r="H100" s="1">
        <f t="shared" ca="1" si="4"/>
        <v>4.3365832614177364</v>
      </c>
    </row>
    <row r="101" spans="1:8">
      <c r="A101">
        <v>57</v>
      </c>
      <c r="B101">
        <f t="shared" ca="1" si="1"/>
        <v>0.89084540902110942</v>
      </c>
      <c r="C101" s="1">
        <f t="shared" ca="1" si="2"/>
        <v>11.241718829208295</v>
      </c>
      <c r="D101" s="1">
        <f t="shared" ca="1" si="7"/>
        <v>36.158342117041286</v>
      </c>
      <c r="E101" s="1">
        <f t="shared" ca="1" si="5"/>
        <v>43.350390069009904</v>
      </c>
      <c r="F101" s="1">
        <f t="shared" ca="1" si="3"/>
        <v>2.3197157557859711</v>
      </c>
      <c r="G101" s="1">
        <f t="shared" ca="1" si="6"/>
        <v>1.7299320126495985</v>
      </c>
      <c r="H101" s="1">
        <f t="shared" ca="1" si="4"/>
        <v>0.67672839425092945</v>
      </c>
    </row>
    <row r="102" spans="1:8">
      <c r="A102">
        <v>58</v>
      </c>
      <c r="B102">
        <f t="shared" ca="1" si="1"/>
        <v>0.27995974062916917</v>
      </c>
      <c r="C102" s="1">
        <f t="shared" ca="1" si="2"/>
        <v>74.156148267421912</v>
      </c>
      <c r="D102" s="1">
        <f t="shared" ca="1" si="7"/>
        <v>238.51911031897805</v>
      </c>
      <c r="E102" s="1">
        <f t="shared" ca="1" si="5"/>
        <v>285.9615864100154</v>
      </c>
      <c r="F102" s="1">
        <f t="shared" ca="1" si="3"/>
        <v>15.301991520714566</v>
      </c>
      <c r="G102" s="1">
        <f t="shared" ca="1" si="6"/>
        <v>11.411472252837502</v>
      </c>
      <c r="H102" s="1">
        <f t="shared" ca="1" si="4"/>
        <v>4.4639952868092667</v>
      </c>
    </row>
    <row r="103" spans="1:8">
      <c r="A103">
        <v>59</v>
      </c>
      <c r="B103">
        <f t="shared" ca="1" si="1"/>
        <v>0.86076419308471919</v>
      </c>
      <c r="C103" s="1">
        <f t="shared" ca="1" si="2"/>
        <v>14.339749500688129</v>
      </c>
      <c r="D103" s="1">
        <f t="shared" ca="1" si="7"/>
        <v>46.122985716161878</v>
      </c>
      <c r="E103" s="1">
        <f t="shared" ca="1" si="5"/>
        <v>55.297044186679216</v>
      </c>
      <c r="F103" s="1">
        <f t="shared" ca="1" si="3"/>
        <v>2.9589886358628128</v>
      </c>
      <c r="G103" s="1">
        <f t="shared" ca="1" si="6"/>
        <v>2.2066701612602326</v>
      </c>
      <c r="H103" s="1">
        <f t="shared" ca="1" si="4"/>
        <v>0.86322089047150641</v>
      </c>
    </row>
    <row r="104" spans="1:8">
      <c r="A104">
        <v>60</v>
      </c>
      <c r="B104">
        <f t="shared" ca="1" si="1"/>
        <v>0.37589029388996975</v>
      </c>
      <c r="C104" s="1">
        <f t="shared" ca="1" si="2"/>
        <v>64.276368242490719</v>
      </c>
      <c r="D104" s="1">
        <f t="shared" ca="1" si="7"/>
        <v>206.74134656329369</v>
      </c>
      <c r="E104" s="1">
        <f t="shared" ca="1" si="5"/>
        <v>247.86308861169243</v>
      </c>
      <c r="F104" s="1">
        <f t="shared" ca="1" si="3"/>
        <v>13.263317246374175</v>
      </c>
      <c r="G104" s="1">
        <f t="shared" ca="1" si="6"/>
        <v>9.8911296425701316</v>
      </c>
      <c r="H104" s="1">
        <f t="shared" ca="1" si="4"/>
        <v>3.869261071967065</v>
      </c>
    </row>
    <row r="105" spans="1:8">
      <c r="A105">
        <v>61</v>
      </c>
      <c r="B105">
        <f t="shared" ca="1" si="1"/>
        <v>0.49263283836698402</v>
      </c>
      <c r="C105" s="1">
        <f t="shared" ca="1" si="2"/>
        <v>52.253184597880711</v>
      </c>
      <c r="D105" s="1">
        <f t="shared" ca="1" si="7"/>
        <v>168.06944410337167</v>
      </c>
      <c r="E105" s="1">
        <f t="shared" ca="1" si="5"/>
        <v>201.49917823543922</v>
      </c>
      <c r="F105" s="1">
        <f t="shared" ca="1" si="3"/>
        <v>10.782355612604674</v>
      </c>
      <c r="G105" s="1">
        <f t="shared" ca="1" si="6"/>
        <v>8.040950958445265</v>
      </c>
      <c r="H105" s="1">
        <f t="shared" ca="1" si="4"/>
        <v>3.1455001515076502</v>
      </c>
    </row>
    <row r="106" spans="1:8">
      <c r="A106">
        <v>62</v>
      </c>
      <c r="B106">
        <f t="shared" ca="1" si="1"/>
        <v>0.38385017207160199</v>
      </c>
      <c r="C106" s="1">
        <f t="shared" ca="1" si="2"/>
        <v>63.456589321316592</v>
      </c>
      <c r="D106" s="1">
        <f t="shared" ca="1" si="7"/>
        <v>204.1045731914956</v>
      </c>
      <c r="E106" s="1">
        <f t="shared" ca="1" si="5"/>
        <v>244.7018496625812</v>
      </c>
      <c r="F106" s="1">
        <f t="shared" ca="1" si="3"/>
        <v>13.094157387245039</v>
      </c>
      <c r="G106" s="1">
        <f t="shared" ca="1" si="6"/>
        <v>9.7649785722310192</v>
      </c>
      <c r="H106" s="1">
        <f t="shared" ca="1" si="4"/>
        <v>3.8199127492515421</v>
      </c>
    </row>
    <row r="107" spans="1:8">
      <c r="A107">
        <v>63</v>
      </c>
      <c r="B107">
        <f t="shared" ca="1" si="1"/>
        <v>0.11777216135766999</v>
      </c>
      <c r="C107" s="1">
        <f t="shared" ca="1" si="2"/>
        <v>90.859665046087983</v>
      </c>
      <c r="D107" s="1">
        <f t="shared" ca="1" si="7"/>
        <v>292.24504437237891</v>
      </c>
      <c r="E107" s="1">
        <f t="shared" ca="1" si="5"/>
        <v>350.3738400847314</v>
      </c>
      <c r="F107" s="1">
        <f t="shared" ca="1" si="3"/>
        <v>18.748731211451428</v>
      </c>
      <c r="G107" s="1">
        <f t="shared" ca="1" si="6"/>
        <v>13.98188052466528</v>
      </c>
      <c r="H107" s="1">
        <f t="shared" ca="1" si="4"/>
        <v>5.4694987404686719</v>
      </c>
    </row>
    <row r="108" spans="1:8">
      <c r="A108">
        <v>64</v>
      </c>
      <c r="B108">
        <f t="shared" ca="1" si="1"/>
        <v>0.98565194557822711</v>
      </c>
      <c r="C108" s="1">
        <f t="shared" ca="1" si="2"/>
        <v>1.477700023192881</v>
      </c>
      <c r="D108" s="1">
        <f t="shared" ca="1" si="7"/>
        <v>4.752917892955054</v>
      </c>
      <c r="E108" s="1">
        <f t="shared" ca="1" si="5"/>
        <v>5.6982917383739391</v>
      </c>
      <c r="F108" s="1">
        <f t="shared" ca="1" si="3"/>
        <v>0.3049285941519706</v>
      </c>
      <c r="G108" s="1">
        <f t="shared" ca="1" si="6"/>
        <v>0.22740323156567399</v>
      </c>
      <c r="H108" s="1">
        <f t="shared" ca="1" si="4"/>
        <v>8.896267035359795E-2</v>
      </c>
    </row>
    <row r="109" spans="1:8">
      <c r="A109">
        <v>65</v>
      </c>
      <c r="B109">
        <f t="shared" ca="1" si="1"/>
        <v>0.75081099682903385</v>
      </c>
      <c r="C109" s="1">
        <f t="shared" ca="1" si="2"/>
        <v>25.663705791140913</v>
      </c>
      <c r="D109" s="1">
        <f t="shared" ca="1" si="7"/>
        <v>82.545862224509136</v>
      </c>
      <c r="E109" s="1">
        <f t="shared" ca="1" si="5"/>
        <v>98.964587665525585</v>
      </c>
      <c r="F109" s="1">
        <f t="shared" ca="1" si="3"/>
        <v>5.2956660026508366</v>
      </c>
      <c r="G109" s="1">
        <f t="shared" ca="1" si="6"/>
        <v>3.9492487633886242</v>
      </c>
      <c r="H109" s="1">
        <f t="shared" ca="1" si="4"/>
        <v>1.5448903442766548</v>
      </c>
    </row>
    <row r="110" spans="1:8">
      <c r="A110">
        <v>66</v>
      </c>
      <c r="B110">
        <f t="shared" ref="B110:B173" ca="1" si="8">RAND()</f>
        <v>0.26287035257897595</v>
      </c>
      <c r="C110" s="1">
        <f t="shared" ref="C110:C173" ca="1" si="9">IF($B110&lt;=0.005,$F$4,IF(B110&lt;=0.01,$F$4+($B110-0.005)*SLOPE($E$4:$F$4,$E$3:$F$3),IF($B110&lt;=0.04,$E$4+($B110-0.01)*SLOPE($D$4:$E$4,$D$3:$E$3),IF($B110&lt;=0.1,$D$4+($B110-0.04)*SLOPE($C$4:$D$4,$C$3:$D$3),IF($B110&lt;=1,$C$4+($B110-0.1)*SLOPE($B$4:$C$4,$B$3:$C$3),)))))</f>
        <v>75.916165164620281</v>
      </c>
      <c r="D110" s="1">
        <f t="shared" ca="1" si="7"/>
        <v>244.18010692255089</v>
      </c>
      <c r="E110" s="1">
        <f t="shared" ca="1" si="5"/>
        <v>292.74857961368139</v>
      </c>
      <c r="F110" s="1">
        <f t="shared" ref="F110:F173" ca="1" si="10">IF($B110&lt;=0.005,$F$22,IF($B110&lt;=0.01,$F$22+($B110-0.005)*SLOPE($E$22:$F$22,$E$21:$F$21),IF($B110&lt;=0.04,$E$22+($B110-0.01)*SLOPE($D$22:$E$22,$D$21:$E$21),IF($B110&lt;=0.1,$D$22+($B110-0.04)*SLOPE($C$22:$D$22,$C$21:$D$21),IF($B110&lt;=1,$C$22+($B110-0.1)*SLOPE($B$22:$C$22,$B$21:$C$21),)))))</f>
        <v>15.665167741406552</v>
      </c>
      <c r="G110" s="1">
        <f t="shared" ca="1" si="6"/>
        <v>11.682311145692292</v>
      </c>
      <c r="H110" s="1">
        <f t="shared" ref="H110:H173" ca="1" si="11">IF($B110&lt;=0.005,$F$34,IF($B110&lt;=0.01,$F$34+($B110-0.005)*SLOPE($E$34:$F$34,$E$33:$F$33),IF($B110&lt;=0.04,$E$34+($B110-0.01)*SLOPE($D$34:$E$34,$D$33:$E$33),IF($B110&lt;=0.1,$D$34+($B110-0.04)*SLOPE($C$34:$D$34,$C$33:$D$33),IF($B110&lt;=1,$C$34+($B110-0.1)*SLOPE($B$34:$C$34,$B$33:$C$33),)))))</f>
        <v>4.5699432193363947</v>
      </c>
    </row>
    <row r="111" spans="1:8">
      <c r="A111">
        <v>67</v>
      </c>
      <c r="B111">
        <f t="shared" ca="1" si="8"/>
        <v>0.98967020227593372</v>
      </c>
      <c r="C111" s="1">
        <f t="shared" ca="1" si="9"/>
        <v>1.0638642752730476</v>
      </c>
      <c r="D111" s="1">
        <f t="shared" ca="1" si="7"/>
        <v>3.4218381930155601</v>
      </c>
      <c r="E111" s="1">
        <f t="shared" ref="E111:E174" ca="1" si="12">IF($B111&lt;=0.005,$F$16,IF($B111&lt;=0.01,$F$16+($B111-0.005)*SLOPE($E$16:$F$16,$E$15:$F$15),IF($B111&lt;=0.04,$E$16+($B111-0.01)*SLOPE($D$16:$E$16,$D$15:$E$15),IF($B111&lt;=0.1,$D$16+($B111-0.04)*SLOPE($C$16:$D$16,$C$15:$D$15),IF($B111&lt;=1,$C$16+($B111-0.1)*SLOPE($B$16:$C$16,$B$15:$C$15),)))))</f>
        <v>4.1024545546304694</v>
      </c>
      <c r="F111" s="1">
        <f t="shared" ca="1" si="10"/>
        <v>0.21953435551936806</v>
      </c>
      <c r="G111" s="1">
        <f t="shared" ref="G111:G174" ca="1" si="13">IF($B111&lt;=0.005,$F$28,IF($B111&lt;=0.01,$F$28+($B111-0.005)*SLOPE($E$28:$F$28,$E$27:$F$27),IF($B111&lt;=0.04,$E$28+($B111-0.01)*SLOPE($D$28:$E$28,$D$27:$E$27),IF($B111&lt;=0.1,$D$28+($B111-0.04)*SLOPE($C$28:$D$28,$C$27:$D$27),IF($B111&lt;=1,$C$28+($B111-0.1)*SLOPE($B$28:$C$28,$B$27:$C$27),)))))</f>
        <v>0.16372042490128358</v>
      </c>
      <c r="H111" s="1">
        <f t="shared" ca="1" si="11"/>
        <v>6.4050953899217333E-2</v>
      </c>
    </row>
    <row r="112" spans="1:8">
      <c r="A112">
        <v>68</v>
      </c>
      <c r="B112">
        <f t="shared" ca="1" si="8"/>
        <v>0.80652889034666309</v>
      </c>
      <c r="C112" s="1">
        <f t="shared" ca="1" si="9"/>
        <v>19.925382465618569</v>
      </c>
      <c r="D112" s="1">
        <f t="shared" ref="D112:D175" ca="1" si="14">IF($B112&lt;=0.005,$F$10,IF($B112&lt;=0.01,$F$10+($B112-0.005)*SLOPE($E$10:$F$10,$E$9:$F$9),IF($B112&lt;=0.04,$E$10+($B112-0.01)*SLOPE($D$10:$E$10,$D$9:$E$9),IF($B112&lt;=0.1,$D$10+($B112-0.04)*SLOPE($C$10:$D$10,$C$9:$D$9),IF($B112&lt;=1,$C$10+($B112-0.1)*SLOPE($B$10:$C$10,$B$9:$C$9),)))))</f>
        <v>64.088863937904819</v>
      </c>
      <c r="E112" s="1">
        <f t="shared" ca="1" si="12"/>
        <v>76.836412945866186</v>
      </c>
      <c r="F112" s="1">
        <f t="shared" ca="1" si="10"/>
        <v>4.1115736329757038</v>
      </c>
      <c r="G112" s="1">
        <f t="shared" ca="1" si="13"/>
        <v>3.0662111409650876</v>
      </c>
      <c r="H112" s="1">
        <f t="shared" ca="1" si="11"/>
        <v>1.1994598580812905</v>
      </c>
    </row>
    <row r="113" spans="1:8">
      <c r="A113">
        <v>69</v>
      </c>
      <c r="B113">
        <f t="shared" ca="1" si="8"/>
        <v>0.43689439726645618</v>
      </c>
      <c r="C113" s="1">
        <f t="shared" ca="1" si="9"/>
        <v>57.993624095906831</v>
      </c>
      <c r="D113" s="1">
        <f t="shared" ca="1" si="14"/>
        <v>186.53324894130822</v>
      </c>
      <c r="E113" s="1">
        <f t="shared" ca="1" si="12"/>
        <v>223.63551335879916</v>
      </c>
      <c r="F113" s="1">
        <f t="shared" ca="1" si="10"/>
        <v>11.966884650549002</v>
      </c>
      <c r="G113" s="1">
        <f t="shared" ca="1" si="13"/>
        <v>8.9243142265026147</v>
      </c>
      <c r="H113" s="1">
        <f t="shared" ca="1" si="11"/>
        <v>3.4910580251741248</v>
      </c>
    </row>
    <row r="114" spans="1:8">
      <c r="A114">
        <v>70</v>
      </c>
      <c r="B114">
        <f t="shared" ca="1" si="8"/>
        <v>0.52148339723485015</v>
      </c>
      <c r="C114" s="1">
        <f t="shared" ca="1" si="9"/>
        <v>49.281897916817464</v>
      </c>
      <c r="D114" s="1">
        <f t="shared" ca="1" si="14"/>
        <v>158.51246551043008</v>
      </c>
      <c r="E114" s="1">
        <f t="shared" ca="1" si="12"/>
        <v>190.04127544903957</v>
      </c>
      <c r="F114" s="1">
        <f t="shared" ca="1" si="10"/>
        <v>10.169236119752801</v>
      </c>
      <c r="G114" s="1">
        <f t="shared" ca="1" si="13"/>
        <v>7.5837167146522875</v>
      </c>
      <c r="H114" s="1">
        <f t="shared" ca="1" si="11"/>
        <v>2.9666372773470941</v>
      </c>
    </row>
    <row r="115" spans="1:8">
      <c r="A115">
        <v>71</v>
      </c>
      <c r="B115">
        <f t="shared" ca="1" si="8"/>
        <v>0.99552923295481366</v>
      </c>
      <c r="C115" s="1">
        <f t="shared" ca="1" si="9"/>
        <v>0.46044928078961789</v>
      </c>
      <c r="D115" s="1">
        <f t="shared" ca="1" si="14"/>
        <v>1.4809873751892724</v>
      </c>
      <c r="E115" s="1">
        <f t="shared" ca="1" si="12"/>
        <v>1.7755601520436244</v>
      </c>
      <c r="F115" s="1">
        <f t="shared" ca="1" si="10"/>
        <v>9.5020791158589191E-2</v>
      </c>
      <c r="G115" s="1">
        <f t="shared" ca="1" si="13"/>
        <v>7.0864356702156073E-2</v>
      </c>
      <c r="H115" s="1">
        <f t="shared" ca="1" si="11"/>
        <v>2.7727114495657013E-2</v>
      </c>
    </row>
    <row r="116" spans="1:8">
      <c r="A116">
        <v>72</v>
      </c>
      <c r="B116">
        <f t="shared" ca="1" si="8"/>
        <v>0.68304440873863004</v>
      </c>
      <c r="C116" s="1">
        <f t="shared" ca="1" si="9"/>
        <v>32.642910649400527</v>
      </c>
      <c r="D116" s="1">
        <f t="shared" ca="1" si="14"/>
        <v>104.99408704617898</v>
      </c>
      <c r="E116" s="1">
        <f t="shared" ca="1" si="12"/>
        <v>125.87786106386733</v>
      </c>
      <c r="F116" s="1">
        <f t="shared" ca="1" si="10"/>
        <v>6.7358119739154585</v>
      </c>
      <c r="G116" s="1">
        <f t="shared" ca="1" si="13"/>
        <v>5.0232385187294604</v>
      </c>
      <c r="H116" s="1">
        <f t="shared" ca="1" si="11"/>
        <v>1.9650183138392983</v>
      </c>
    </row>
    <row r="117" spans="1:8">
      <c r="A117">
        <v>73</v>
      </c>
      <c r="B117">
        <f t="shared" ca="1" si="8"/>
        <v>0.27624753200152519</v>
      </c>
      <c r="C117" s="1">
        <f t="shared" ca="1" si="9"/>
        <v>74.538464468059942</v>
      </c>
      <c r="D117" s="1">
        <f t="shared" ca="1" si="14"/>
        <v>239.74880914559043</v>
      </c>
      <c r="E117" s="1">
        <f t="shared" ca="1" si="12"/>
        <v>287.43587762819186</v>
      </c>
      <c r="F117" s="1">
        <f t="shared" ca="1" si="10"/>
        <v>15.380881759256061</v>
      </c>
      <c r="G117" s="1">
        <f t="shared" ca="1" si="13"/>
        <v>11.470304697381689</v>
      </c>
      <c r="H117" s="1">
        <f t="shared" ca="1" si="11"/>
        <v>4.487009617577173</v>
      </c>
    </row>
    <row r="118" spans="1:8">
      <c r="A118">
        <v>74</v>
      </c>
      <c r="B118">
        <f t="shared" ca="1" si="8"/>
        <v>0.98879213192046544</v>
      </c>
      <c r="C118" s="1">
        <f t="shared" ca="1" si="9"/>
        <v>1.1542957557926599</v>
      </c>
      <c r="D118" s="1">
        <f t="shared" ca="1" si="14"/>
        <v>3.7127060278031081</v>
      </c>
      <c r="E118" s="1">
        <f t="shared" ca="1" si="12"/>
        <v>4.4511772542028325</v>
      </c>
      <c r="F118" s="1">
        <f t="shared" ca="1" si="10"/>
        <v>0.23819472371183892</v>
      </c>
      <c r="G118" s="1">
        <f t="shared" ca="1" si="13"/>
        <v>0.1776364061069966</v>
      </c>
      <c r="H118" s="1">
        <f t="shared" ca="1" si="11"/>
        <v>6.9494667770187313E-2</v>
      </c>
    </row>
    <row r="119" spans="1:8">
      <c r="A119">
        <v>75</v>
      </c>
      <c r="B119">
        <f t="shared" ca="1" si="8"/>
        <v>3.2507826502871096E-3</v>
      </c>
      <c r="C119" s="1">
        <f t="shared" ca="1" si="9"/>
        <v>154.26</v>
      </c>
      <c r="D119" s="1">
        <f t="shared" ca="1" si="14"/>
        <v>490.57679011763298</v>
      </c>
      <c r="E119" s="1">
        <f t="shared" ca="1" si="12"/>
        <v>588.07132005685003</v>
      </c>
      <c r="F119" s="1">
        <f t="shared" ca="1" si="10"/>
        <v>31.846409312708399</v>
      </c>
      <c r="G119" s="1">
        <f t="shared" ca="1" si="13"/>
        <v>22.024287970326</v>
      </c>
      <c r="H119" s="1">
        <f t="shared" ca="1" si="11"/>
        <v>8.2474320175743205</v>
      </c>
    </row>
    <row r="120" spans="1:8">
      <c r="A120">
        <v>76</v>
      </c>
      <c r="B120">
        <f t="shared" ca="1" si="8"/>
        <v>0.9690781108649289</v>
      </c>
      <c r="C120" s="1">
        <f t="shared" ca="1" si="9"/>
        <v>3.1846206607898466</v>
      </c>
      <c r="D120" s="1">
        <f t="shared" ca="1" si="14"/>
        <v>10.243133326333179</v>
      </c>
      <c r="E120" s="1">
        <f t="shared" ca="1" si="12"/>
        <v>12.280534661728154</v>
      </c>
      <c r="F120" s="1">
        <f t="shared" ca="1" si="10"/>
        <v>0.65714850020538051</v>
      </c>
      <c r="G120" s="1">
        <f t="shared" ca="1" si="13"/>
        <v>0.49007144595250907</v>
      </c>
      <c r="H120" s="1">
        <f t="shared" ca="1" si="11"/>
        <v>0.19171436144767728</v>
      </c>
    </row>
    <row r="121" spans="1:8">
      <c r="A121">
        <v>77</v>
      </c>
      <c r="B121">
        <f t="shared" ca="1" si="8"/>
        <v>0.43673900812525102</v>
      </c>
      <c r="C121" s="1">
        <f t="shared" ca="1" si="9"/>
        <v>58.00962744917841</v>
      </c>
      <c r="D121" s="1">
        <f t="shared" ca="1" si="14"/>
        <v>186.58472283832612</v>
      </c>
      <c r="E121" s="1">
        <f t="shared" ca="1" si="12"/>
        <v>223.69722563557499</v>
      </c>
      <c r="F121" s="1">
        <f t="shared" ca="1" si="10"/>
        <v>11.970186912799335</v>
      </c>
      <c r="G121" s="1">
        <f t="shared" ca="1" si="13"/>
        <v>8.9267768906332474</v>
      </c>
      <c r="H121" s="1">
        <f t="shared" ca="1" si="11"/>
        <v>3.4920213808074281</v>
      </c>
    </row>
    <row r="122" spans="1:8">
      <c r="A122">
        <v>78</v>
      </c>
      <c r="B122">
        <f t="shared" ca="1" si="8"/>
        <v>0.19996758579686669</v>
      </c>
      <c r="C122" s="1">
        <f t="shared" ca="1" si="9"/>
        <v>82.39445052462699</v>
      </c>
      <c r="D122" s="1">
        <f t="shared" ca="1" si="14"/>
        <v>265.01715199771547</v>
      </c>
      <c r="E122" s="1">
        <f t="shared" ca="1" si="12"/>
        <v>317.73020267637122</v>
      </c>
      <c r="F122" s="1">
        <f t="shared" ca="1" si="10"/>
        <v>17.001949903757748</v>
      </c>
      <c r="G122" s="1">
        <f t="shared" ca="1" si="13"/>
        <v>12.679217276136031</v>
      </c>
      <c r="H122" s="1">
        <f t="shared" ca="1" si="11"/>
        <v>4.9599172822593349</v>
      </c>
    </row>
    <row r="123" spans="1:8">
      <c r="A123">
        <v>79</v>
      </c>
      <c r="B123">
        <f t="shared" ca="1" si="8"/>
        <v>0.53412089298049559</v>
      </c>
      <c r="C123" s="1">
        <f t="shared" ca="1" si="9"/>
        <v>47.980376412051996</v>
      </c>
      <c r="D123" s="1">
        <f t="shared" ca="1" si="14"/>
        <v>154.32619387310504</v>
      </c>
      <c r="E123" s="1">
        <f t="shared" ca="1" si="12"/>
        <v>185.02233635741518</v>
      </c>
      <c r="F123" s="1">
        <f t="shared" ca="1" si="10"/>
        <v>9.9006695724642508</v>
      </c>
      <c r="G123" s="1">
        <f t="shared" ca="1" si="13"/>
        <v>7.3834330446838337</v>
      </c>
      <c r="H123" s="1">
        <f t="shared" ca="1" si="11"/>
        <v>2.8882894428524373</v>
      </c>
    </row>
    <row r="124" spans="1:8">
      <c r="A124">
        <v>80</v>
      </c>
      <c r="B124">
        <f t="shared" ca="1" si="8"/>
        <v>0.22782626689997054</v>
      </c>
      <c r="C124" s="1">
        <f t="shared" ca="1" si="9"/>
        <v>79.52531622144933</v>
      </c>
      <c r="D124" s="1">
        <f t="shared" ca="1" si="14"/>
        <v>255.78874085499427</v>
      </c>
      <c r="E124" s="1">
        <f t="shared" ca="1" si="12"/>
        <v>306.66622082081693</v>
      </c>
      <c r="F124" s="1">
        <f t="shared" ca="1" si="10"/>
        <v>16.409909364519471</v>
      </c>
      <c r="G124" s="1">
        <f t="shared" ca="1" si="13"/>
        <v>12.23770267513345</v>
      </c>
      <c r="H124" s="1">
        <f t="shared" ca="1" si="11"/>
        <v>4.7872036861295397</v>
      </c>
    </row>
    <row r="125" spans="1:8">
      <c r="A125">
        <v>81</v>
      </c>
      <c r="B125">
        <f t="shared" ca="1" si="8"/>
        <v>0.15662304996701304</v>
      </c>
      <c r="C125" s="1">
        <f t="shared" ca="1" si="9"/>
        <v>86.858455627542284</v>
      </c>
      <c r="D125" s="1">
        <f t="shared" ca="1" si="14"/>
        <v>279.37537649326543</v>
      </c>
      <c r="E125" s="1">
        <f t="shared" ca="1" si="12"/>
        <v>334.94433984905646</v>
      </c>
      <c r="F125" s="1">
        <f t="shared" ca="1" si="10"/>
        <v>17.923089072936875</v>
      </c>
      <c r="G125" s="1">
        <f t="shared" ca="1" si="13"/>
        <v>13.366157385458999</v>
      </c>
      <c r="H125" s="1">
        <f t="shared" ca="1" si="11"/>
        <v>5.2286374929557677</v>
      </c>
    </row>
    <row r="126" spans="1:8">
      <c r="A126">
        <v>82</v>
      </c>
      <c r="B126">
        <f t="shared" ca="1" si="8"/>
        <v>2.7235963092053783E-4</v>
      </c>
      <c r="C126" s="1">
        <f t="shared" ca="1" si="9"/>
        <v>154.26</v>
      </c>
      <c r="D126" s="1">
        <f t="shared" ca="1" si="14"/>
        <v>490.57679011763298</v>
      </c>
      <c r="E126" s="1">
        <f t="shared" ca="1" si="12"/>
        <v>588.07132005685003</v>
      </c>
      <c r="F126" s="1">
        <f t="shared" ca="1" si="10"/>
        <v>31.846409312708399</v>
      </c>
      <c r="G126" s="1">
        <f t="shared" ca="1" si="13"/>
        <v>22.024287970326</v>
      </c>
      <c r="H126" s="1">
        <f t="shared" ca="1" si="11"/>
        <v>8.2474320175743205</v>
      </c>
    </row>
    <row r="127" spans="1:8">
      <c r="A127">
        <v>83</v>
      </c>
      <c r="B127">
        <f t="shared" ca="1" si="8"/>
        <v>0.27752635079886867</v>
      </c>
      <c r="C127" s="1">
        <f t="shared" ca="1" si="9"/>
        <v>74.406760355240408</v>
      </c>
      <c r="D127" s="1">
        <f t="shared" ca="1" si="14"/>
        <v>239.32519018117324</v>
      </c>
      <c r="E127" s="1">
        <f t="shared" ca="1" si="12"/>
        <v>286.9279990276944</v>
      </c>
      <c r="F127" s="1">
        <f t="shared" ca="1" si="10"/>
        <v>15.353704859977691</v>
      </c>
      <c r="G127" s="1">
        <f t="shared" ca="1" si="13"/>
        <v>11.450037507812517</v>
      </c>
      <c r="H127" s="1">
        <f t="shared" ca="1" si="11"/>
        <v>4.4790814104782743</v>
      </c>
    </row>
    <row r="128" spans="1:8">
      <c r="A128">
        <v>84</v>
      </c>
      <c r="B128">
        <f t="shared" ca="1" si="8"/>
        <v>0.50687416307898903</v>
      </c>
      <c r="C128" s="1">
        <f t="shared" ca="1" si="9"/>
        <v>50.786486547722376</v>
      </c>
      <c r="D128" s="1">
        <f t="shared" ca="1" si="14"/>
        <v>163.35189128121974</v>
      </c>
      <c r="E128" s="1">
        <f t="shared" ca="1" si="12"/>
        <v>195.84328384368621</v>
      </c>
      <c r="F128" s="1">
        <f t="shared" ca="1" si="10"/>
        <v>10.479705191690691</v>
      </c>
      <c r="G128" s="1">
        <f t="shared" ca="1" si="13"/>
        <v>7.8152492184849853</v>
      </c>
      <c r="H128" s="1">
        <f t="shared" ca="1" si="11"/>
        <v>3.0572091661749501</v>
      </c>
    </row>
    <row r="129" spans="1:8">
      <c r="A129">
        <v>85</v>
      </c>
      <c r="B129">
        <f t="shared" ca="1" si="8"/>
        <v>0.17942197324436715</v>
      </c>
      <c r="C129" s="1">
        <f t="shared" ca="1" si="9"/>
        <v>84.51042010466594</v>
      </c>
      <c r="D129" s="1">
        <f t="shared" ca="1" si="14"/>
        <v>271.823050637059</v>
      </c>
      <c r="E129" s="1">
        <f t="shared" ca="1" si="12"/>
        <v>325.88982386054772</v>
      </c>
      <c r="F129" s="1">
        <f t="shared" ca="1" si="10"/>
        <v>17.43857630001623</v>
      </c>
      <c r="G129" s="1">
        <f t="shared" ca="1" si="13"/>
        <v>13.004831683182019</v>
      </c>
      <c r="H129" s="1">
        <f t="shared" ca="1" si="11"/>
        <v>5.0872925379470963</v>
      </c>
    </row>
    <row r="130" spans="1:8">
      <c r="A130">
        <v>86</v>
      </c>
      <c r="B130">
        <f t="shared" ca="1" si="8"/>
        <v>8.6947765428854962E-2</v>
      </c>
      <c r="C130" s="1">
        <f t="shared" ca="1" si="9"/>
        <v>95.959584760071834</v>
      </c>
      <c r="D130" s="1">
        <f t="shared" ca="1" si="14"/>
        <v>308.12315543027267</v>
      </c>
      <c r="E130" s="1">
        <f t="shared" ca="1" si="12"/>
        <v>369.39314985707983</v>
      </c>
      <c r="F130" s="1">
        <f t="shared" ca="1" si="10"/>
        <v>20.732984397628726</v>
      </c>
      <c r="G130" s="1">
        <f t="shared" ca="1" si="13"/>
        <v>14.802370243308753</v>
      </c>
      <c r="H130" s="1">
        <f t="shared" ca="1" si="11"/>
        <v>5.7537808526603813</v>
      </c>
    </row>
    <row r="131" spans="1:8">
      <c r="A131">
        <v>87</v>
      </c>
      <c r="B131">
        <f t="shared" ca="1" si="8"/>
        <v>0.7307022808447734</v>
      </c>
      <c r="C131" s="1">
        <f t="shared" ca="1" si="9"/>
        <v>27.734679883911966</v>
      </c>
      <c r="D131" s="1">
        <f t="shared" ca="1" si="14"/>
        <v>89.207035377975103</v>
      </c>
      <c r="E131" s="1">
        <f t="shared" ca="1" si="12"/>
        <v>106.95069684151113</v>
      </c>
      <c r="F131" s="1">
        <f t="shared" ca="1" si="10"/>
        <v>5.7230076636092413</v>
      </c>
      <c r="G131" s="1">
        <f t="shared" ca="1" si="13"/>
        <v>4.2679390732998073</v>
      </c>
      <c r="H131" s="1">
        <f t="shared" ca="1" si="11"/>
        <v>1.6695570016227332</v>
      </c>
    </row>
    <row r="132" spans="1:8">
      <c r="A132">
        <v>88</v>
      </c>
      <c r="B132">
        <f t="shared" ca="1" si="8"/>
        <v>0.76228849106606011</v>
      </c>
      <c r="C132" s="1">
        <f t="shared" ca="1" si="9"/>
        <v>24.481651539968666</v>
      </c>
      <c r="D132" s="1">
        <f t="shared" ca="1" si="14"/>
        <v>78.743850373499754</v>
      </c>
      <c r="E132" s="1">
        <f t="shared" ca="1" si="12"/>
        <v>94.406339286296372</v>
      </c>
      <c r="F132" s="1">
        <f t="shared" ca="1" si="10"/>
        <v>5.0517513014471191</v>
      </c>
      <c r="G132" s="1">
        <f t="shared" ca="1" si="13"/>
        <v>3.7673492229970496</v>
      </c>
      <c r="H132" s="1">
        <f t="shared" ca="1" si="11"/>
        <v>1.4737340933077254</v>
      </c>
    </row>
    <row r="133" spans="1:8">
      <c r="A133">
        <v>89</v>
      </c>
      <c r="B133">
        <f t="shared" ca="1" si="8"/>
        <v>0.59382837255969978</v>
      </c>
      <c r="C133" s="1">
        <f t="shared" ca="1" si="9"/>
        <v>41.831170095250172</v>
      </c>
      <c r="D133" s="1">
        <f t="shared" ca="1" si="14"/>
        <v>134.54761326430742</v>
      </c>
      <c r="E133" s="1">
        <f t="shared" ca="1" si="12"/>
        <v>161.30971090108685</v>
      </c>
      <c r="F133" s="1">
        <f t="shared" ca="1" si="10"/>
        <v>8.631792260009858</v>
      </c>
      <c r="G133" s="1">
        <f t="shared" ca="1" si="13"/>
        <v>6.4371669983581521</v>
      </c>
      <c r="H133" s="1">
        <f t="shared" ca="1" si="11"/>
        <v>2.518124987621936</v>
      </c>
    </row>
    <row r="134" spans="1:8">
      <c r="A134">
        <v>90</v>
      </c>
      <c r="B134">
        <f t="shared" ca="1" si="8"/>
        <v>0.31708727818270599</v>
      </c>
      <c r="C134" s="1">
        <f t="shared" ca="1" si="9"/>
        <v>70.332424840130855</v>
      </c>
      <c r="D134" s="1">
        <f t="shared" ca="1" si="14"/>
        <v>226.22031627367465</v>
      </c>
      <c r="E134" s="1">
        <f t="shared" ca="1" si="12"/>
        <v>271.21650927181679</v>
      </c>
      <c r="F134" s="1">
        <f t="shared" ca="1" si="10"/>
        <v>14.512973287136511</v>
      </c>
      <c r="G134" s="1">
        <f t="shared" ca="1" si="13"/>
        <v>10.823061413555816</v>
      </c>
      <c r="H134" s="1">
        <f t="shared" ca="1" si="11"/>
        <v>4.2338181832133275</v>
      </c>
    </row>
    <row r="135" spans="1:8">
      <c r="A135">
        <v>91</v>
      </c>
      <c r="B135">
        <f t="shared" ca="1" si="8"/>
        <v>0.62921252441582209</v>
      </c>
      <c r="C135" s="1">
        <f t="shared" ca="1" si="9"/>
        <v>38.186996004469663</v>
      </c>
      <c r="D135" s="1">
        <f t="shared" ca="1" si="14"/>
        <v>122.82632968823756</v>
      </c>
      <c r="E135" s="1">
        <f t="shared" ca="1" si="12"/>
        <v>147.25701355115027</v>
      </c>
      <c r="F135" s="1">
        <f t="shared" ca="1" si="10"/>
        <v>7.8798236988329347</v>
      </c>
      <c r="G135" s="1">
        <f t="shared" ca="1" si="13"/>
        <v>5.8763859753530827</v>
      </c>
      <c r="H135" s="1">
        <f t="shared" ca="1" si="11"/>
        <v>2.2987562353663678</v>
      </c>
    </row>
    <row r="136" spans="1:8">
      <c r="A136">
        <v>92</v>
      </c>
      <c r="B136">
        <f t="shared" ca="1" si="8"/>
        <v>0.72037191859260441</v>
      </c>
      <c r="C136" s="1">
        <f t="shared" ca="1" si="9"/>
        <v>28.798592299300765</v>
      </c>
      <c r="D136" s="1">
        <f t="shared" ca="1" si="14"/>
        <v>92.629050575444069</v>
      </c>
      <c r="E136" s="1">
        <f t="shared" ca="1" si="12"/>
        <v>111.05336559658608</v>
      </c>
      <c r="F136" s="1">
        <f t="shared" ca="1" si="10"/>
        <v>5.9425440162336116</v>
      </c>
      <c r="G136" s="1">
        <f t="shared" ca="1" si="13"/>
        <v>4.431658445049619</v>
      </c>
      <c r="H136" s="1">
        <f t="shared" ca="1" si="11"/>
        <v>1.7336014553889529</v>
      </c>
    </row>
    <row r="137" spans="1:8">
      <c r="A137">
        <v>93</v>
      </c>
      <c r="B137">
        <f t="shared" ca="1" si="8"/>
        <v>0.94523078027235008</v>
      </c>
      <c r="C137" s="1">
        <f t="shared" ca="1" si="9"/>
        <v>5.6406304765151987</v>
      </c>
      <c r="D137" s="1">
        <f t="shared" ca="1" si="14"/>
        <v>18.142752498907441</v>
      </c>
      <c r="E137" s="1">
        <f t="shared" ca="1" si="12"/>
        <v>21.751422102637946</v>
      </c>
      <c r="F137" s="1">
        <f t="shared" ca="1" si="10"/>
        <v>1.1639415680886565</v>
      </c>
      <c r="G137" s="1">
        <f t="shared" ca="1" si="13"/>
        <v>0.86801269207941267</v>
      </c>
      <c r="H137" s="1">
        <f t="shared" ca="1" si="11"/>
        <v>0.33955905694840904</v>
      </c>
    </row>
    <row r="138" spans="1:8">
      <c r="A138">
        <v>94</v>
      </c>
      <c r="B138">
        <f t="shared" ca="1" si="8"/>
        <v>0.20965187425146525</v>
      </c>
      <c r="C138" s="1">
        <f t="shared" ca="1" si="9"/>
        <v>81.397076524611592</v>
      </c>
      <c r="D138" s="1">
        <f t="shared" ca="1" si="14"/>
        <v>261.80915391794326</v>
      </c>
      <c r="E138" s="1">
        <f t="shared" ca="1" si="12"/>
        <v>313.88411996523763</v>
      </c>
      <c r="F138" s="1">
        <f t="shared" ca="1" si="10"/>
        <v>16.79614362967104</v>
      </c>
      <c r="G138" s="1">
        <f t="shared" ca="1" si="13"/>
        <v>12.525737119010085</v>
      </c>
      <c r="H138" s="1">
        <f t="shared" ca="1" si="11"/>
        <v>4.8998782488692862</v>
      </c>
    </row>
    <row r="139" spans="1:8">
      <c r="A139">
        <v>95</v>
      </c>
      <c r="B139">
        <f t="shared" ca="1" si="8"/>
        <v>6.8278986084993831E-2</v>
      </c>
      <c r="C139" s="1">
        <f t="shared" ca="1" si="9"/>
        <v>100.63611398570904</v>
      </c>
      <c r="D139" s="1">
        <f t="shared" ca="1" si="14"/>
        <v>322.41332616271188</v>
      </c>
      <c r="E139" s="1">
        <f t="shared" ca="1" si="12"/>
        <v>386.5013446524099</v>
      </c>
      <c r="F139" s="1">
        <f t="shared" ca="1" si="10"/>
        <v>23.030877835468445</v>
      </c>
      <c r="G139" s="1">
        <f t="shared" ca="1" si="13"/>
        <v>15.573065714478547</v>
      </c>
      <c r="H139" s="1">
        <f t="shared" ca="1" si="11"/>
        <v>6.0028000943013788</v>
      </c>
    </row>
    <row r="140" spans="1:8">
      <c r="A140">
        <v>96</v>
      </c>
      <c r="B140">
        <f t="shared" ca="1" si="8"/>
        <v>0.31314186190676474</v>
      </c>
      <c r="C140" s="1">
        <f t="shared" ca="1" si="9"/>
        <v>70.738758834756226</v>
      </c>
      <c r="D140" s="1">
        <f t="shared" ca="1" si="14"/>
        <v>227.52726700076823</v>
      </c>
      <c r="E140" s="1">
        <f t="shared" ca="1" si="12"/>
        <v>272.78341812611853</v>
      </c>
      <c r="F140" s="1">
        <f t="shared" ca="1" si="10"/>
        <v>14.596819552897724</v>
      </c>
      <c r="G140" s="1">
        <f t="shared" ca="1" si="13"/>
        <v>10.885589818486919</v>
      </c>
      <c r="H140" s="1">
        <f t="shared" ca="1" si="11"/>
        <v>4.2582783157919266</v>
      </c>
    </row>
    <row r="141" spans="1:8">
      <c r="A141">
        <v>97</v>
      </c>
      <c r="B141">
        <f t="shared" ca="1" si="8"/>
        <v>0.48705190843003576</v>
      </c>
      <c r="C141" s="1">
        <f t="shared" ca="1" si="9"/>
        <v>52.82795830904341</v>
      </c>
      <c r="D141" s="1">
        <f t="shared" ca="1" si="14"/>
        <v>169.9181718240512</v>
      </c>
      <c r="E141" s="1">
        <f t="shared" ca="1" si="12"/>
        <v>203.71562586018464</v>
      </c>
      <c r="F141" s="1">
        <f t="shared" ca="1" si="10"/>
        <v>10.900959101301552</v>
      </c>
      <c r="G141" s="1">
        <f t="shared" ca="1" si="13"/>
        <v>8.1293995840358182</v>
      </c>
      <c r="H141" s="1">
        <f t="shared" ca="1" si="11"/>
        <v>3.1800998683998967</v>
      </c>
    </row>
    <row r="142" spans="1:8">
      <c r="A142">
        <v>98</v>
      </c>
      <c r="B142">
        <f t="shared" ca="1" si="8"/>
        <v>0.54685093360349946</v>
      </c>
      <c r="C142" s="1">
        <f t="shared" ca="1" si="9"/>
        <v>46.669323814223304</v>
      </c>
      <c r="D142" s="1">
        <f t="shared" ca="1" si="14"/>
        <v>150.10926600427157</v>
      </c>
      <c r="E142" s="1">
        <f t="shared" ca="1" si="12"/>
        <v>179.9666433778329</v>
      </c>
      <c r="F142" s="1">
        <f t="shared" ca="1" si="10"/>
        <v>9.6301363018088555</v>
      </c>
      <c r="G142" s="1">
        <f t="shared" ca="1" si="13"/>
        <v>7.1816826895392039</v>
      </c>
      <c r="H142" s="1">
        <f t="shared" ca="1" si="11"/>
        <v>2.8093678640906763</v>
      </c>
    </row>
    <row r="143" spans="1:8">
      <c r="A143">
        <v>99</v>
      </c>
      <c r="B143">
        <f t="shared" ca="1" si="8"/>
        <v>0.1651347244082223</v>
      </c>
      <c r="C143" s="1">
        <f t="shared" ca="1" si="9"/>
        <v>85.981847828832358</v>
      </c>
      <c r="D143" s="1">
        <f t="shared" ca="1" si="14"/>
        <v>276.55581619298545</v>
      </c>
      <c r="E143" s="1">
        <f t="shared" ca="1" si="12"/>
        <v>331.56395686432745</v>
      </c>
      <c r="F143" s="1">
        <f t="shared" ca="1" si="10"/>
        <v>17.742202680384977</v>
      </c>
      <c r="G143" s="1">
        <f t="shared" ca="1" si="13"/>
        <v>13.23126124551375</v>
      </c>
      <c r="H143" s="1">
        <f t="shared" ca="1" si="11"/>
        <v>5.1758682359910679</v>
      </c>
    </row>
    <row r="144" spans="1:8">
      <c r="A144">
        <v>100</v>
      </c>
      <c r="B144">
        <f t="shared" ca="1" si="8"/>
        <v>0.70912134900542156</v>
      </c>
      <c r="C144" s="1">
        <f t="shared" ca="1" si="9"/>
        <v>29.957275835445522</v>
      </c>
      <c r="D144" s="1">
        <f t="shared" ca="1" si="14"/>
        <v>96.355891819509679</v>
      </c>
      <c r="E144" s="1">
        <f t="shared" ca="1" si="12"/>
        <v>115.52149161147389</v>
      </c>
      <c r="F144" s="1">
        <f t="shared" ca="1" si="10"/>
        <v>6.1816362137601981</v>
      </c>
      <c r="G144" s="1">
        <f t="shared" ca="1" si="13"/>
        <v>4.6099616003193553</v>
      </c>
      <c r="H144" s="1">
        <f t="shared" ca="1" si="11"/>
        <v>1.8033508568311616</v>
      </c>
    </row>
    <row r="145" spans="1:8">
      <c r="A145">
        <v>101</v>
      </c>
      <c r="B145">
        <f t="shared" ca="1" si="8"/>
        <v>9.3107675862219796E-2</v>
      </c>
      <c r="C145" s="1">
        <f t="shared" ca="1" si="9"/>
        <v>94.41652719651394</v>
      </c>
      <c r="D145" s="1">
        <f t="shared" ca="1" si="14"/>
        <v>303.40800131291132</v>
      </c>
      <c r="E145" s="1">
        <f t="shared" ca="1" si="12"/>
        <v>363.74816655770599</v>
      </c>
      <c r="F145" s="1">
        <f t="shared" ca="1" si="10"/>
        <v>19.974776402248246</v>
      </c>
      <c r="G145" s="1">
        <f t="shared" ca="1" si="13"/>
        <v>14.548073216901027</v>
      </c>
      <c r="H145" s="1">
        <f t="shared" ca="1" si="11"/>
        <v>5.6716149972265928</v>
      </c>
    </row>
    <row r="146" spans="1:8">
      <c r="A146">
        <v>102</v>
      </c>
      <c r="B146">
        <f t="shared" ca="1" si="8"/>
        <v>0.45448799895013381</v>
      </c>
      <c r="C146" s="1">
        <f t="shared" ca="1" si="9"/>
        <v>56.181678802435655</v>
      </c>
      <c r="D146" s="1">
        <f t="shared" ca="1" si="14"/>
        <v>180.70522753507731</v>
      </c>
      <c r="E146" s="1">
        <f t="shared" ca="1" si="12"/>
        <v>216.64827340003558</v>
      </c>
      <c r="F146" s="1">
        <f t="shared" ca="1" si="10"/>
        <v>11.5929931016491</v>
      </c>
      <c r="G146" s="1">
        <f t="shared" ca="1" si="13"/>
        <v>8.6454843709606806</v>
      </c>
      <c r="H146" s="1">
        <f t="shared" ca="1" si="11"/>
        <v>3.3819841532123744</v>
      </c>
    </row>
    <row r="147" spans="1:8">
      <c r="A147">
        <v>103</v>
      </c>
      <c r="B147">
        <f t="shared" ca="1" si="8"/>
        <v>7.4720956221171697E-2</v>
      </c>
      <c r="C147" s="1">
        <f t="shared" ca="1" si="9"/>
        <v>99.022400466596494</v>
      </c>
      <c r="D147" s="1">
        <f t="shared" ca="1" si="14"/>
        <v>317.48226712539315</v>
      </c>
      <c r="E147" s="1">
        <f t="shared" ca="1" si="12"/>
        <v>380.59787994668608</v>
      </c>
      <c r="F147" s="1">
        <f t="shared" ca="1" si="10"/>
        <v>22.237951815506129</v>
      </c>
      <c r="G147" s="1">
        <f t="shared" ca="1" si="13"/>
        <v>15.307124534398344</v>
      </c>
      <c r="H147" s="1">
        <f t="shared" ca="1" si="11"/>
        <v>5.9168718989738966</v>
      </c>
    </row>
    <row r="148" spans="1:8">
      <c r="A148">
        <v>104</v>
      </c>
      <c r="B148">
        <f t="shared" ca="1" si="8"/>
        <v>0.85431583512660481</v>
      </c>
      <c r="C148" s="1">
        <f t="shared" ca="1" si="9"/>
        <v>15.003858650303741</v>
      </c>
      <c r="D148" s="1">
        <f t="shared" ca="1" si="14"/>
        <v>48.259055913192412</v>
      </c>
      <c r="E148" s="1">
        <f t="shared" ca="1" si="12"/>
        <v>57.857987943587659</v>
      </c>
      <c r="F148" s="1">
        <f t="shared" ca="1" si="10"/>
        <v>3.0960263265056085</v>
      </c>
      <c r="G148" s="1">
        <f t="shared" ca="1" si="13"/>
        <v>2.3088661044372234</v>
      </c>
      <c r="H148" s="1">
        <f t="shared" ca="1" si="11"/>
        <v>0.90319834266876953</v>
      </c>
    </row>
    <row r="149" spans="1:8">
      <c r="A149">
        <v>105</v>
      </c>
      <c r="B149">
        <f t="shared" ca="1" si="8"/>
        <v>0.38474017885621847</v>
      </c>
      <c r="C149" s="1">
        <f t="shared" ca="1" si="9"/>
        <v>63.364928521354329</v>
      </c>
      <c r="D149" s="1">
        <f t="shared" ca="1" si="14"/>
        <v>203.80975131899362</v>
      </c>
      <c r="E149" s="1">
        <f t="shared" ca="1" si="12"/>
        <v>244.34838645016731</v>
      </c>
      <c r="F149" s="1">
        <f t="shared" ca="1" si="10"/>
        <v>13.075243351266812</v>
      </c>
      <c r="G149" s="1">
        <f t="shared" ca="1" si="13"/>
        <v>9.7508734181160328</v>
      </c>
      <c r="H149" s="1">
        <f t="shared" ca="1" si="11"/>
        <v>3.8143950339016257</v>
      </c>
    </row>
    <row r="150" spans="1:8">
      <c r="A150">
        <v>106</v>
      </c>
      <c r="B150">
        <f t="shared" ca="1" si="8"/>
        <v>0.21474758316452813</v>
      </c>
      <c r="C150" s="1">
        <f t="shared" ca="1" si="9"/>
        <v>80.872275182173027</v>
      </c>
      <c r="D150" s="1">
        <f t="shared" ca="1" si="14"/>
        <v>260.12115954594356</v>
      </c>
      <c r="E150" s="1">
        <f t="shared" ca="1" si="12"/>
        <v>311.86037624432498</v>
      </c>
      <c r="F150" s="1">
        <f t="shared" ca="1" si="10"/>
        <v>16.687851846527188</v>
      </c>
      <c r="G150" s="1">
        <f t="shared" ca="1" si="13"/>
        <v>12.444978454260317</v>
      </c>
      <c r="H150" s="1">
        <f t="shared" ca="1" si="11"/>
        <v>4.8682867242041903</v>
      </c>
    </row>
    <row r="151" spans="1:8">
      <c r="A151">
        <v>107</v>
      </c>
      <c r="B151">
        <f t="shared" ca="1" si="8"/>
        <v>0.11497385879171984</v>
      </c>
      <c r="C151" s="1">
        <f t="shared" ca="1" si="9"/>
        <v>91.147859087037858</v>
      </c>
      <c r="D151" s="1">
        <f t="shared" ca="1" si="14"/>
        <v>293.1720044996278</v>
      </c>
      <c r="E151" s="1">
        <f t="shared" ca="1" si="12"/>
        <v>351.4851765726807</v>
      </c>
      <c r="F151" s="1">
        <f t="shared" ca="1" si="10"/>
        <v>18.80819951700278</v>
      </c>
      <c r="G151" s="1">
        <f t="shared" ca="1" si="13"/>
        <v>14.026229050581403</v>
      </c>
      <c r="H151" s="1">
        <f t="shared" ca="1" si="11"/>
        <v>5.4868471891420239</v>
      </c>
    </row>
    <row r="152" spans="1:8">
      <c r="A152">
        <v>108</v>
      </c>
      <c r="B152">
        <f t="shared" ca="1" si="8"/>
        <v>0.36707326830898845</v>
      </c>
      <c r="C152" s="1">
        <f t="shared" ca="1" si="9"/>
        <v>65.184423812413939</v>
      </c>
      <c r="D152" s="1">
        <f t="shared" ca="1" si="14"/>
        <v>209.66205687316258</v>
      </c>
      <c r="E152" s="1">
        <f t="shared" ca="1" si="12"/>
        <v>251.36474077845875</v>
      </c>
      <c r="F152" s="1">
        <f t="shared" ca="1" si="10"/>
        <v>13.450692828158633</v>
      </c>
      <c r="G152" s="1">
        <f t="shared" ca="1" si="13"/>
        <v>10.030865099428595</v>
      </c>
      <c r="H152" s="1">
        <f t="shared" ca="1" si="11"/>
        <v>3.9239233939062759</v>
      </c>
    </row>
    <row r="153" spans="1:8">
      <c r="A153">
        <v>109</v>
      </c>
      <c r="B153">
        <f t="shared" ca="1" si="8"/>
        <v>0.86833166245474558</v>
      </c>
      <c r="C153" s="1">
        <f t="shared" ca="1" si="9"/>
        <v>13.560384322651402</v>
      </c>
      <c r="D153" s="1">
        <f t="shared" ca="1" si="14"/>
        <v>43.616200904702424</v>
      </c>
      <c r="E153" s="1">
        <f t="shared" ca="1" si="12"/>
        <v>52.291649082274716</v>
      </c>
      <c r="F153" s="1">
        <f t="shared" ca="1" si="10"/>
        <v>2.7981680776347204</v>
      </c>
      <c r="G153" s="1">
        <f t="shared" ca="1" si="13"/>
        <v>2.0867381297638037</v>
      </c>
      <c r="H153" s="1">
        <f t="shared" ca="1" si="11"/>
        <v>0.81630535833765716</v>
      </c>
    </row>
    <row r="154" spans="1:8">
      <c r="A154">
        <v>110</v>
      </c>
      <c r="B154">
        <f t="shared" ca="1" si="8"/>
        <v>9.5897938463718413E-2</v>
      </c>
      <c r="C154" s="1">
        <f t="shared" ca="1" si="9"/>
        <v>93.717566414838529</v>
      </c>
      <c r="D154" s="1">
        <f t="shared" ca="1" si="14"/>
        <v>301.27217184975649</v>
      </c>
      <c r="E154" s="1">
        <f t="shared" ca="1" si="12"/>
        <v>361.19115116653848</v>
      </c>
      <c r="F154" s="1">
        <f t="shared" ca="1" si="10"/>
        <v>19.631329945265957</v>
      </c>
      <c r="G154" s="1">
        <f t="shared" ca="1" si="13"/>
        <v>14.432883963723819</v>
      </c>
      <c r="H154" s="1">
        <f t="shared" ca="1" si="11"/>
        <v>5.6343962233471476</v>
      </c>
    </row>
    <row r="155" spans="1:8">
      <c r="A155">
        <v>111</v>
      </c>
      <c r="B155">
        <f t="shared" ca="1" si="8"/>
        <v>0.421773999103354</v>
      </c>
      <c r="C155" s="1">
        <f t="shared" ca="1" si="9"/>
        <v>59.550856934277903</v>
      </c>
      <c r="D155" s="1">
        <f t="shared" ca="1" si="14"/>
        <v>191.54200188170523</v>
      </c>
      <c r="E155" s="1">
        <f t="shared" ca="1" si="12"/>
        <v>229.64052882619256</v>
      </c>
      <c r="F155" s="1">
        <f t="shared" ca="1" si="10"/>
        <v>12.288216757006227</v>
      </c>
      <c r="G155" s="1">
        <f t="shared" ca="1" si="13"/>
        <v>9.1639478450962244</v>
      </c>
      <c r="H155" s="1">
        <f t="shared" ca="1" si="11"/>
        <v>3.5847989432024656</v>
      </c>
    </row>
    <row r="156" spans="1:8">
      <c r="A156">
        <v>112</v>
      </c>
      <c r="B156">
        <f t="shared" ca="1" si="8"/>
        <v>0.39116118178763903</v>
      </c>
      <c r="C156" s="1">
        <f t="shared" ca="1" si="9"/>
        <v>62.703636635239505</v>
      </c>
      <c r="D156" s="1">
        <f t="shared" ca="1" si="14"/>
        <v>201.68274269355067</v>
      </c>
      <c r="E156" s="1">
        <f t="shared" ca="1" si="12"/>
        <v>241.79830665045336</v>
      </c>
      <c r="F156" s="1">
        <f t="shared" ca="1" si="10"/>
        <v>12.938786997719435</v>
      </c>
      <c r="G156" s="1">
        <f t="shared" ca="1" si="13"/>
        <v>9.6491110074401494</v>
      </c>
      <c r="H156" s="1">
        <f t="shared" ca="1" si="11"/>
        <v>3.7745871728280429</v>
      </c>
    </row>
    <row r="157" spans="1:8">
      <c r="A157">
        <v>113</v>
      </c>
      <c r="B157">
        <f t="shared" ca="1" si="8"/>
        <v>0.8320088253721587</v>
      </c>
      <c r="C157" s="1">
        <f t="shared" ca="1" si="9"/>
        <v>17.301232551492078</v>
      </c>
      <c r="D157" s="1">
        <f t="shared" ca="1" si="14"/>
        <v>55.648431476839818</v>
      </c>
      <c r="E157" s="1">
        <f t="shared" ca="1" si="12"/>
        <v>66.717142124700956</v>
      </c>
      <c r="F157" s="1">
        <f t="shared" ca="1" si="10"/>
        <v>3.5700851678031746</v>
      </c>
      <c r="G157" s="1">
        <f t="shared" ca="1" si="13"/>
        <v>2.6623957806930605</v>
      </c>
      <c r="H157" s="1">
        <f t="shared" ca="1" si="11"/>
        <v>1.0414936144131151</v>
      </c>
    </row>
    <row r="158" spans="1:8">
      <c r="A158">
        <v>114</v>
      </c>
      <c r="B158">
        <f t="shared" ca="1" si="8"/>
        <v>0.4596695409393039</v>
      </c>
      <c r="C158" s="1">
        <f t="shared" ca="1" si="9"/>
        <v>55.64803760781259</v>
      </c>
      <c r="D158" s="1">
        <f t="shared" ca="1" si="14"/>
        <v>178.98880026946614</v>
      </c>
      <c r="E158" s="1">
        <f t="shared" ca="1" si="12"/>
        <v>214.59044136054311</v>
      </c>
      <c r="F158" s="1">
        <f t="shared" ca="1" si="10"/>
        <v>11.482877231410997</v>
      </c>
      <c r="G158" s="1">
        <f t="shared" ca="1" si="13"/>
        <v>8.5633653921238952</v>
      </c>
      <c r="H158" s="1">
        <f t="shared" ca="1" si="11"/>
        <v>3.3498604949840818</v>
      </c>
    </row>
    <row r="159" spans="1:8">
      <c r="A159">
        <v>115</v>
      </c>
      <c r="B159">
        <f t="shared" ca="1" si="8"/>
        <v>0.11735800757736969</v>
      </c>
      <c r="C159" s="1">
        <f t="shared" ca="1" si="9"/>
        <v>90.902318279148531</v>
      </c>
      <c r="D159" s="1">
        <f t="shared" ca="1" si="14"/>
        <v>292.38223612768053</v>
      </c>
      <c r="E159" s="1">
        <f t="shared" ca="1" si="12"/>
        <v>350.53831987089546</v>
      </c>
      <c r="F159" s="1">
        <f t="shared" ca="1" si="10"/>
        <v>18.757532626942318</v>
      </c>
      <c r="G159" s="1">
        <f t="shared" ca="1" si="13"/>
        <v>13.988444185751254</v>
      </c>
      <c r="H159" s="1">
        <f t="shared" ca="1" si="11"/>
        <v>5.4720663418738384</v>
      </c>
    </row>
    <row r="160" spans="1:8">
      <c r="A160">
        <v>116</v>
      </c>
      <c r="B160">
        <f t="shared" ca="1" si="8"/>
        <v>0.35492226865111764</v>
      </c>
      <c r="C160" s="1">
        <f t="shared" ca="1" si="9"/>
        <v>66.435841631056206</v>
      </c>
      <c r="D160" s="1">
        <f t="shared" ca="1" si="14"/>
        <v>213.68717278668669</v>
      </c>
      <c r="E160" s="1">
        <f t="shared" ca="1" si="12"/>
        <v>256.19046957889901</v>
      </c>
      <c r="F160" s="1">
        <f t="shared" ca="1" si="10"/>
        <v>13.708920572792548</v>
      </c>
      <c r="G160" s="1">
        <f t="shared" ca="1" si="13"/>
        <v>10.223438600875856</v>
      </c>
      <c r="H160" s="1">
        <f t="shared" ca="1" si="11"/>
        <v>3.9992551312457358</v>
      </c>
    </row>
    <row r="161" spans="1:8">
      <c r="A161">
        <v>117</v>
      </c>
      <c r="B161">
        <f t="shared" ca="1" si="8"/>
        <v>0.13799390314210069</v>
      </c>
      <c r="C161" s="1">
        <f t="shared" ca="1" si="9"/>
        <v>88.777050552997466</v>
      </c>
      <c r="D161" s="1">
        <f t="shared" ca="1" si="14"/>
        <v>285.54643051775963</v>
      </c>
      <c r="E161" s="1">
        <f t="shared" ca="1" si="12"/>
        <v>342.34284309091754</v>
      </c>
      <c r="F161" s="1">
        <f t="shared" ca="1" si="10"/>
        <v>18.318987575488073</v>
      </c>
      <c r="G161" s="1">
        <f t="shared" ca="1" si="13"/>
        <v>13.661398940397625</v>
      </c>
      <c r="H161" s="1">
        <f t="shared" ca="1" si="11"/>
        <v>5.3441313646524469</v>
      </c>
    </row>
    <row r="162" spans="1:8">
      <c r="A162">
        <v>118</v>
      </c>
      <c r="B162">
        <f t="shared" ca="1" si="8"/>
        <v>0.23020779783632073</v>
      </c>
      <c r="C162" s="1">
        <f t="shared" ca="1" si="9"/>
        <v>79.28004502292157</v>
      </c>
      <c r="D162" s="1">
        <f t="shared" ca="1" si="14"/>
        <v>254.99983966658513</v>
      </c>
      <c r="E162" s="1">
        <f t="shared" ca="1" si="12"/>
        <v>305.72040378910958</v>
      </c>
      <c r="F162" s="1">
        <f t="shared" ca="1" si="10"/>
        <v>16.359298107850456</v>
      </c>
      <c r="G162" s="1">
        <f t="shared" ca="1" si="13"/>
        <v>12.199959298939635</v>
      </c>
      <c r="H162" s="1">
        <f t="shared" ca="1" si="11"/>
        <v>4.772439068566019</v>
      </c>
    </row>
    <row r="163" spans="1:8">
      <c r="A163">
        <v>119</v>
      </c>
      <c r="B163">
        <f t="shared" ca="1" si="8"/>
        <v>0.8031761235114403</v>
      </c>
      <c r="C163" s="1">
        <f t="shared" ca="1" si="9"/>
        <v>20.270680159428707</v>
      </c>
      <c r="D163" s="1">
        <f t="shared" ca="1" si="14"/>
        <v>65.199494793206469</v>
      </c>
      <c r="E163" s="1">
        <f t="shared" ca="1" si="12"/>
        <v>78.167953060544335</v>
      </c>
      <c r="F163" s="1">
        <f t="shared" ca="1" si="10"/>
        <v>4.182825171328119</v>
      </c>
      <c r="G163" s="1">
        <f t="shared" ca="1" si="13"/>
        <v>3.1193470200840441</v>
      </c>
      <c r="H163" s="1">
        <f t="shared" ca="1" si="11"/>
        <v>1.2202457816845262</v>
      </c>
    </row>
    <row r="164" spans="1:8">
      <c r="A164">
        <v>120</v>
      </c>
      <c r="B164">
        <f t="shared" ca="1" si="8"/>
        <v>0.58329930219826231</v>
      </c>
      <c r="C164" s="1">
        <f t="shared" ca="1" si="9"/>
        <v>42.915547235817883</v>
      </c>
      <c r="D164" s="1">
        <f t="shared" ca="1" si="14"/>
        <v>138.03545211376246</v>
      </c>
      <c r="E164" s="1">
        <f t="shared" ca="1" si="12"/>
        <v>165.49129591595747</v>
      </c>
      <c r="F164" s="1">
        <f t="shared" ca="1" si="10"/>
        <v>8.8555514706987175</v>
      </c>
      <c r="G164" s="1">
        <f t="shared" ca="1" si="13"/>
        <v>6.6040355691405717</v>
      </c>
      <c r="H164" s="1">
        <f t="shared" ca="1" si="11"/>
        <v>2.5834013587213884</v>
      </c>
    </row>
    <row r="165" spans="1:8">
      <c r="A165">
        <v>121</v>
      </c>
      <c r="B165">
        <f t="shared" ca="1" si="8"/>
        <v>0.31387306091939127</v>
      </c>
      <c r="C165" s="1">
        <f t="shared" ca="1" si="9"/>
        <v>70.663453469013589</v>
      </c>
      <c r="D165" s="1">
        <f t="shared" ca="1" si="14"/>
        <v>227.28505147410007</v>
      </c>
      <c r="E165" s="1">
        <f t="shared" ca="1" si="12"/>
        <v>272.49302488824208</v>
      </c>
      <c r="F165" s="1">
        <f t="shared" ca="1" si="10"/>
        <v>14.581280430420112</v>
      </c>
      <c r="G165" s="1">
        <f t="shared" ca="1" si="13"/>
        <v>10.874001508217725</v>
      </c>
      <c r="H165" s="1">
        <f t="shared" ca="1" si="11"/>
        <v>4.2537451503312251</v>
      </c>
    </row>
    <row r="166" spans="1:8">
      <c r="A166">
        <v>122</v>
      </c>
      <c r="B166">
        <f t="shared" ca="1" si="8"/>
        <v>0.90441188381686866</v>
      </c>
      <c r="C166" s="1">
        <f t="shared" ca="1" si="9"/>
        <v>9.8445228145925512</v>
      </c>
      <c r="D166" s="1">
        <f t="shared" ca="1" si="14"/>
        <v>31.6643387322693</v>
      </c>
      <c r="E166" s="1">
        <f t="shared" ca="1" si="12"/>
        <v>37.962510060311558</v>
      </c>
      <c r="F166" s="1">
        <f t="shared" ca="1" si="10"/>
        <v>2.0314069509319985</v>
      </c>
      <c r="G166" s="1">
        <f t="shared" ca="1" si="13"/>
        <v>1.5149255418014906</v>
      </c>
      <c r="H166" s="1">
        <f t="shared" ca="1" si="11"/>
        <v>0.59262123066669314</v>
      </c>
    </row>
    <row r="167" spans="1:8">
      <c r="A167">
        <v>123</v>
      </c>
      <c r="B167">
        <f t="shared" ca="1" si="8"/>
        <v>0.9145585858515376</v>
      </c>
      <c r="C167" s="1">
        <f t="shared" ca="1" si="9"/>
        <v>8.7995253588965028</v>
      </c>
      <c r="D167" s="1">
        <f t="shared" ca="1" si="14"/>
        <v>28.303162452169715</v>
      </c>
      <c r="E167" s="1">
        <f t="shared" ca="1" si="12"/>
        <v>33.932781345236663</v>
      </c>
      <c r="F167" s="1">
        <f t="shared" ca="1" si="10"/>
        <v>1.8157736651399361</v>
      </c>
      <c r="G167" s="1">
        <f t="shared" ca="1" si="13"/>
        <v>1.354116884573644</v>
      </c>
      <c r="H167" s="1">
        <f t="shared" ca="1" si="11"/>
        <v>0.52971540282870766</v>
      </c>
    </row>
    <row r="168" spans="1:8">
      <c r="A168">
        <v>124</v>
      </c>
      <c r="B168">
        <f t="shared" ca="1" si="8"/>
        <v>0.75922165199969294</v>
      </c>
      <c r="C168" s="1">
        <f t="shared" ca="1" si="9"/>
        <v>24.797501853738879</v>
      </c>
      <c r="D168" s="1">
        <f t="shared" ca="1" si="14"/>
        <v>79.759765366325524</v>
      </c>
      <c r="E168" s="1">
        <f t="shared" ca="1" si="12"/>
        <v>95.624324145615901</v>
      </c>
      <c r="F168" s="1">
        <f t="shared" ca="1" si="10"/>
        <v>5.1169264275734871</v>
      </c>
      <c r="G168" s="1">
        <f t="shared" ca="1" si="13"/>
        <v>3.8159536139125745</v>
      </c>
      <c r="H168" s="1">
        <f t="shared" ca="1" si="11"/>
        <v>1.4927473697059614</v>
      </c>
    </row>
    <row r="169" spans="1:8">
      <c r="A169">
        <v>125</v>
      </c>
      <c r="B169">
        <f t="shared" ca="1" si="8"/>
        <v>0.94966671876629949</v>
      </c>
      <c r="C169" s="1">
        <f t="shared" ca="1" si="9"/>
        <v>5.1837781491321095</v>
      </c>
      <c r="D169" s="1">
        <f t="shared" ca="1" si="14"/>
        <v>16.67331236014121</v>
      </c>
      <c r="E169" s="1">
        <f t="shared" ca="1" si="12"/>
        <v>19.98970399301993</v>
      </c>
      <c r="F169" s="1">
        <f t="shared" ca="1" si="10"/>
        <v>1.0696709381092262</v>
      </c>
      <c r="G169" s="1">
        <f t="shared" ca="1" si="13"/>
        <v>0.79771031103776835</v>
      </c>
      <c r="H169" s="1">
        <f t="shared" ca="1" si="11"/>
        <v>0.3120578666851257</v>
      </c>
    </row>
    <row r="170" spans="1:8">
      <c r="A170">
        <v>126</v>
      </c>
      <c r="B170">
        <f t="shared" ca="1" si="8"/>
        <v>3.8748114260356292E-4</v>
      </c>
      <c r="C170" s="1">
        <f t="shared" ca="1" si="9"/>
        <v>154.26</v>
      </c>
      <c r="D170" s="1">
        <f t="shared" ca="1" si="14"/>
        <v>490.57679011763298</v>
      </c>
      <c r="E170" s="1">
        <f t="shared" ca="1" si="12"/>
        <v>588.07132005685003</v>
      </c>
      <c r="F170" s="1">
        <f t="shared" ca="1" si="10"/>
        <v>31.846409312708399</v>
      </c>
      <c r="G170" s="1">
        <f t="shared" ca="1" si="13"/>
        <v>22.024287970326</v>
      </c>
      <c r="H170" s="1">
        <f t="shared" ca="1" si="11"/>
        <v>8.2474320175743205</v>
      </c>
    </row>
    <row r="171" spans="1:8">
      <c r="A171">
        <v>127</v>
      </c>
      <c r="B171">
        <f t="shared" ca="1" si="8"/>
        <v>0.24768896071975244</v>
      </c>
      <c r="C171" s="1">
        <f t="shared" ca="1" si="9"/>
        <v>77.4796796753064</v>
      </c>
      <c r="D171" s="1">
        <f t="shared" ca="1" si="14"/>
        <v>249.20906451308326</v>
      </c>
      <c r="E171" s="1">
        <f t="shared" ca="1" si="12"/>
        <v>298.7778185231212</v>
      </c>
      <c r="F171" s="1">
        <f t="shared" ca="1" si="10"/>
        <v>15.987796059289156</v>
      </c>
      <c r="G171" s="1">
        <f t="shared" ca="1" si="13"/>
        <v>11.922911414763972</v>
      </c>
      <c r="H171" s="1">
        <f t="shared" ca="1" si="11"/>
        <v>4.6640622758903669</v>
      </c>
    </row>
    <row r="172" spans="1:8">
      <c r="A172">
        <v>128</v>
      </c>
      <c r="B172">
        <f t="shared" ca="1" si="8"/>
        <v>0.55791250094046563</v>
      </c>
      <c r="C172" s="1">
        <f t="shared" ca="1" si="9"/>
        <v>45.530105407725834</v>
      </c>
      <c r="D172" s="1">
        <f t="shared" ca="1" si="14"/>
        <v>146.44503326867928</v>
      </c>
      <c r="E172" s="1">
        <f t="shared" ca="1" si="12"/>
        <v>175.57357897333924</v>
      </c>
      <c r="F172" s="1">
        <f t="shared" ca="1" si="10"/>
        <v>9.3950606976637498</v>
      </c>
      <c r="G172" s="1">
        <f t="shared" ca="1" si="13"/>
        <v>7.0063749112862101</v>
      </c>
      <c r="H172" s="1">
        <f t="shared" ca="1" si="11"/>
        <v>2.7407902072185264</v>
      </c>
    </row>
    <row r="173" spans="1:8">
      <c r="A173">
        <v>129</v>
      </c>
      <c r="B173">
        <f t="shared" ca="1" si="8"/>
        <v>0.41018128889387417</v>
      </c>
      <c r="C173" s="1">
        <f t="shared" ca="1" si="9"/>
        <v>60.744777149155212</v>
      </c>
      <c r="D173" s="1">
        <f t="shared" ca="1" si="14"/>
        <v>195.38217994597051</v>
      </c>
      <c r="E173" s="1">
        <f t="shared" ca="1" si="12"/>
        <v>234.24453484283396</v>
      </c>
      <c r="F173" s="1">
        <f t="shared" ca="1" si="10"/>
        <v>12.534579977800941</v>
      </c>
      <c r="G173" s="1">
        <f t="shared" ca="1" si="13"/>
        <v>9.3476733704983168</v>
      </c>
      <c r="H173" s="1">
        <f t="shared" ca="1" si="11"/>
        <v>3.6566694909057009</v>
      </c>
    </row>
    <row r="174" spans="1:8">
      <c r="A174">
        <v>130</v>
      </c>
      <c r="B174">
        <f t="shared" ref="B174:B237" ca="1" si="15">RAND()</f>
        <v>0.58215693468211516</v>
      </c>
      <c r="C174" s="1">
        <f t="shared" ref="C174:C237" ca="1" si="16">IF($B174&lt;=0.005,$F$4,IF(B174&lt;=0.01,$F$4+($B174-0.005)*SLOPE($E$4:$F$4,$E$3:$F$3),IF($B174&lt;=0.04,$E$4+($B174-0.01)*SLOPE($D$4:$E$4,$D$3:$E$3),IF($B174&lt;=0.1,$D$4+($B174-0.04)*SLOPE($C$4:$D$4,$C$3:$D$3),IF($B174&lt;=1,$C$4+($B174-0.1)*SLOPE($B$4:$C$4,$B$3:$C$3),)))))</f>
        <v>43.033198384315661</v>
      </c>
      <c r="D174" s="1">
        <f t="shared" ca="1" si="14"/>
        <v>138.41387049889988</v>
      </c>
      <c r="E174" s="1">
        <f t="shared" ca="1" si="12"/>
        <v>165.94498334732759</v>
      </c>
      <c r="F174" s="1">
        <f t="shared" ref="F174:F237" ca="1" si="17">IF($B174&lt;=0.005,$F$22,IF($B174&lt;=0.01,$F$22+($B174-0.005)*SLOPE($E$22:$F$22,$E$21:$F$21),IF($B174&lt;=0.04,$E$22+($B174-0.01)*SLOPE($D$22:$E$22,$D$21:$E$21),IF($B174&lt;=0.1,$D$22+($B174-0.04)*SLOPE($C$22:$D$22,$C$21:$D$21),IF($B174&lt;=1,$C$22+($B174-0.1)*SLOPE($B$22:$C$22,$B$21:$C$21),)))))</f>
        <v>8.8798285668672339</v>
      </c>
      <c r="G174" s="1">
        <f t="shared" ca="1" si="13"/>
        <v>6.6221402287338726</v>
      </c>
      <c r="H174" s="1">
        <f t="shared" ref="H174:H237" ca="1" si="18">IF($B174&lt;=0.005,$F$34,IF($B174&lt;=0.01,$F$34+($B174-0.005)*SLOPE($E$34:$F$34,$E$33:$F$33),IF($B174&lt;=0.04,$E$34+($B174-0.01)*SLOPE($D$34:$E$34,$D$33:$E$33),IF($B174&lt;=0.1,$D$34+($B174-0.04)*SLOPE($C$34:$D$34,$C$33:$D$33),IF($B174&lt;=1,$C$34+($B174-0.1)*SLOPE($B$34:$C$34,$B$33:$C$33),)))))</f>
        <v>2.5904836179670947</v>
      </c>
    </row>
    <row r="175" spans="1:8">
      <c r="A175">
        <v>131</v>
      </c>
      <c r="B175">
        <f t="shared" ca="1" si="15"/>
        <v>0.21621334506664935</v>
      </c>
      <c r="C175" s="1">
        <f t="shared" ca="1" si="16"/>
        <v>80.721318008784138</v>
      </c>
      <c r="D175" s="1">
        <f t="shared" ca="1" si="14"/>
        <v>259.63561418146452</v>
      </c>
      <c r="E175" s="1">
        <f t="shared" ref="E175:E238" ca="1" si="19">IF($B175&lt;=0.005,$F$16,IF($B175&lt;=0.01,$F$16+($B175-0.005)*SLOPE($E$16:$F$16,$E$15:$F$15),IF($B175&lt;=0.04,$E$16+($B175-0.01)*SLOPE($D$16:$E$16,$D$15:$E$15),IF($B175&lt;=0.1,$D$16+($B175-0.04)*SLOPE($C$16:$D$16,$C$15:$D$15),IF($B175&lt;=1,$C$16+($B175-0.1)*SLOPE($B$16:$C$16,$B$15:$C$15),)))))</f>
        <v>311.27825381614497</v>
      </c>
      <c r="F175" s="1">
        <f t="shared" ca="1" si="17"/>
        <v>16.656702113928034</v>
      </c>
      <c r="G175" s="1">
        <f t="shared" ref="G175:G238" ca="1" si="20">IF($B175&lt;=0.005,$F$28,IF($B175&lt;=0.01,$F$28+($B175-0.005)*SLOPE($E$28:$F$28,$E$27:$F$27),IF($B175&lt;=0.04,$E$28+($B175-0.01)*SLOPE($D$28:$E$28,$D$27:$E$27),IF($B175&lt;=0.1,$D$28+($B175-0.04)*SLOPE($C$28:$D$28,$C$27:$D$27),IF($B175&lt;=1,$C$28+($B175-0.1)*SLOPE($B$28:$C$28,$B$27:$C$27),)))))</f>
        <v>12.421748521766933</v>
      </c>
      <c r="H175" s="1">
        <f t="shared" ca="1" si="18"/>
        <v>4.8591995384810591</v>
      </c>
    </row>
    <row r="176" spans="1:8">
      <c r="A176">
        <v>132</v>
      </c>
      <c r="B176">
        <f t="shared" ca="1" si="15"/>
        <v>0.30627937372024261</v>
      </c>
      <c r="C176" s="1">
        <f t="shared" ca="1" si="16"/>
        <v>71.445518791849395</v>
      </c>
      <c r="D176" s="1">
        <f t="shared" ref="D176:D239" ca="1" si="21">IF($B176&lt;=0.005,$F$10,IF($B176&lt;=0.01,$F$10+($B176-0.005)*SLOPE($E$10:$F$10,$E$9:$F$9),IF($B176&lt;=0.04,$E$10+($B176-0.01)*SLOPE($D$10:$E$10,$D$9:$E$9),IF($B176&lt;=0.1,$D$10+($B176-0.04)*SLOPE($C$10:$D$10,$C$9:$D$9),IF($B176&lt;=1,$C$10+($B176-0.1)*SLOPE($B$10:$C$10,$B$9:$C$9),)))))</f>
        <v>229.80052115134748</v>
      </c>
      <c r="E176" s="1">
        <f t="shared" ca="1" si="19"/>
        <v>275.50883231563586</v>
      </c>
      <c r="F176" s="1">
        <f t="shared" ca="1" si="17"/>
        <v>14.742658158516861</v>
      </c>
      <c r="G176" s="1">
        <f t="shared" ca="1" si="20"/>
        <v>10.994349049490847</v>
      </c>
      <c r="H176" s="1">
        <f t="shared" ca="1" si="18"/>
        <v>4.3008232233812684</v>
      </c>
    </row>
    <row r="177" spans="1:8">
      <c r="A177">
        <v>133</v>
      </c>
      <c r="B177">
        <f t="shared" ca="1" si="15"/>
        <v>9.4967866289015768E-2</v>
      </c>
      <c r="C177" s="1">
        <f t="shared" ca="1" si="16"/>
        <v>93.950549494601546</v>
      </c>
      <c r="D177" s="1">
        <f t="shared" ca="1" si="21"/>
        <v>301.98410324736886</v>
      </c>
      <c r="E177" s="1">
        <f t="shared" ca="1" si="19"/>
        <v>362.04347555505092</v>
      </c>
      <c r="F177" s="1">
        <f t="shared" ca="1" si="17"/>
        <v>19.745810207076396</v>
      </c>
      <c r="G177" s="1">
        <f t="shared" ca="1" si="20"/>
        <v>14.471279747384955</v>
      </c>
      <c r="H177" s="1">
        <f t="shared" ca="1" si="18"/>
        <v>5.6468022764344914</v>
      </c>
    </row>
    <row r="178" spans="1:8">
      <c r="A178">
        <v>134</v>
      </c>
      <c r="B178">
        <f t="shared" ca="1" si="15"/>
        <v>0.64491657398411284</v>
      </c>
      <c r="C178" s="1">
        <f t="shared" ca="1" si="16"/>
        <v>36.569653562864808</v>
      </c>
      <c r="D178" s="1">
        <f t="shared" ca="1" si="21"/>
        <v>117.62423754735318</v>
      </c>
      <c r="E178" s="1">
        <f t="shared" ca="1" si="19"/>
        <v>141.02020288379472</v>
      </c>
      <c r="F178" s="1">
        <f t="shared" ca="1" si="17"/>
        <v>7.5460880872931764</v>
      </c>
      <c r="G178" s="1">
        <f t="shared" ca="1" si="20"/>
        <v>5.6275024351162788</v>
      </c>
      <c r="H178" s="1">
        <f t="shared" ca="1" si="18"/>
        <v>2.2013968928798398</v>
      </c>
    </row>
    <row r="179" spans="1:8">
      <c r="A179">
        <v>135</v>
      </c>
      <c r="B179">
        <f t="shared" ca="1" si="15"/>
        <v>0.42030086585072601</v>
      </c>
      <c r="C179" s="1">
        <f t="shared" ca="1" si="16"/>
        <v>59.702573274783184</v>
      </c>
      <c r="D179" s="1">
        <f t="shared" ca="1" si="21"/>
        <v>192.02998906505218</v>
      </c>
      <c r="E179" s="1">
        <f t="shared" ca="1" si="19"/>
        <v>230.22557876152757</v>
      </c>
      <c r="F179" s="1">
        <f t="shared" ca="1" si="17"/>
        <v>12.319523142331072</v>
      </c>
      <c r="G179" s="1">
        <f t="shared" ca="1" si="20"/>
        <v>9.1872946014573955</v>
      </c>
      <c r="H179" s="1">
        <f t="shared" ca="1" si="18"/>
        <v>3.5939318285927726</v>
      </c>
    </row>
    <row r="180" spans="1:8">
      <c r="A180">
        <v>136</v>
      </c>
      <c r="B180">
        <f t="shared" ca="1" si="15"/>
        <v>0.14504142842875223</v>
      </c>
      <c r="C180" s="1">
        <f t="shared" ca="1" si="16"/>
        <v>88.051233832614713</v>
      </c>
      <c r="D180" s="1">
        <f t="shared" ca="1" si="21"/>
        <v>283.21188134641721</v>
      </c>
      <c r="E180" s="1">
        <f t="shared" ca="1" si="19"/>
        <v>339.54394203707744</v>
      </c>
      <c r="F180" s="1">
        <f t="shared" ca="1" si="17"/>
        <v>18.169216642127566</v>
      </c>
      <c r="G180" s="1">
        <f t="shared" ca="1" si="20"/>
        <v>13.549707173530567</v>
      </c>
      <c r="H180" s="1">
        <f t="shared" ca="1" si="18"/>
        <v>5.3004392949680126</v>
      </c>
    </row>
    <row r="181" spans="1:8">
      <c r="A181">
        <v>137</v>
      </c>
      <c r="B181">
        <f t="shared" ca="1" si="15"/>
        <v>0.63755200696596837</v>
      </c>
      <c r="C181" s="1">
        <f t="shared" ca="1" si="16"/>
        <v>37.328122055382742</v>
      </c>
      <c r="D181" s="1">
        <f t="shared" ca="1" si="21"/>
        <v>120.06380933038312</v>
      </c>
      <c r="E181" s="1">
        <f t="shared" ca="1" si="19"/>
        <v>143.94501599900303</v>
      </c>
      <c r="F181" s="1">
        <f t="shared" ca="1" si="17"/>
        <v>7.7025966532422263</v>
      </c>
      <c r="G181" s="1">
        <f t="shared" ca="1" si="20"/>
        <v>5.7442187956840645</v>
      </c>
      <c r="H181" s="1">
        <f t="shared" ca="1" si="18"/>
        <v>2.2470545049159281</v>
      </c>
    </row>
    <row r="182" spans="1:8">
      <c r="A182">
        <v>138</v>
      </c>
      <c r="B182">
        <f t="shared" ca="1" si="15"/>
        <v>9.8736727370250854E-2</v>
      </c>
      <c r="C182" s="1">
        <f t="shared" ca="1" si="16"/>
        <v>93.006449793752154</v>
      </c>
      <c r="D182" s="1">
        <f t="shared" ca="1" si="21"/>
        <v>299.09919752719895</v>
      </c>
      <c r="E182" s="1">
        <f t="shared" ca="1" si="19"/>
        <v>358.5896659434701</v>
      </c>
      <c r="F182" s="1">
        <f t="shared" ca="1" si="17"/>
        <v>19.281910506555942</v>
      </c>
      <c r="G182" s="1">
        <f t="shared" ca="1" si="20"/>
        <v>14.315691419231561</v>
      </c>
      <c r="H182" s="1">
        <f t="shared" ca="1" si="18"/>
        <v>5.5965301664581073</v>
      </c>
    </row>
    <row r="183" spans="1:8">
      <c r="A183">
        <v>139</v>
      </c>
      <c r="B183">
        <f t="shared" ca="1" si="15"/>
        <v>0.42349265392905511</v>
      </c>
      <c r="C183" s="1">
        <f t="shared" ca="1" si="16"/>
        <v>59.373854602491583</v>
      </c>
      <c r="D183" s="1">
        <f t="shared" ca="1" si="21"/>
        <v>190.97268371171387</v>
      </c>
      <c r="E183" s="1">
        <f t="shared" ca="1" si="19"/>
        <v>228.95797082076714</v>
      </c>
      <c r="F183" s="1">
        <f t="shared" ca="1" si="17"/>
        <v>12.25169265430349</v>
      </c>
      <c r="G183" s="1">
        <f t="shared" ca="1" si="20"/>
        <v>9.1367099727496388</v>
      </c>
      <c r="H183" s="1">
        <f t="shared" ca="1" si="18"/>
        <v>3.5741439141882028</v>
      </c>
    </row>
    <row r="184" spans="1:8">
      <c r="A184">
        <v>140</v>
      </c>
      <c r="B184">
        <f t="shared" ca="1" si="15"/>
        <v>0.11061616968942745</v>
      </c>
      <c r="C184" s="1">
        <f t="shared" ca="1" si="16"/>
        <v>91.596652597387404</v>
      </c>
      <c r="D184" s="1">
        <f t="shared" ca="1" si="21"/>
        <v>294.61552390096909</v>
      </c>
      <c r="E184" s="1">
        <f t="shared" ca="1" si="19"/>
        <v>353.21581819858807</v>
      </c>
      <c r="F184" s="1">
        <f t="shared" ca="1" si="17"/>
        <v>18.900807225041998</v>
      </c>
      <c r="G184" s="1">
        <f t="shared" ca="1" si="20"/>
        <v>14.095291306550065</v>
      </c>
      <c r="H184" s="1">
        <f t="shared" ca="1" si="18"/>
        <v>5.5138632619017889</v>
      </c>
    </row>
    <row r="185" spans="1:8">
      <c r="A185">
        <v>141</v>
      </c>
      <c r="B185">
        <f t="shared" ca="1" si="15"/>
        <v>0.36137042778507544</v>
      </c>
      <c r="C185" s="1">
        <f t="shared" ca="1" si="16"/>
        <v>65.771752958117375</v>
      </c>
      <c r="D185" s="1">
        <f t="shared" ca="1" si="21"/>
        <v>211.55116845174973</v>
      </c>
      <c r="E185" s="1">
        <f t="shared" ca="1" si="19"/>
        <v>253.6296047843382</v>
      </c>
      <c r="F185" s="1">
        <f t="shared" ca="1" si="17"/>
        <v>13.571887107474003</v>
      </c>
      <c r="G185" s="1">
        <f t="shared" ca="1" si="20"/>
        <v>10.121245808737058</v>
      </c>
      <c r="H185" s="1">
        <f t="shared" ca="1" si="18"/>
        <v>3.9592789116852565</v>
      </c>
    </row>
    <row r="186" spans="1:8">
      <c r="A186">
        <v>142</v>
      </c>
      <c r="B186">
        <f t="shared" ca="1" si="15"/>
        <v>0.39898148185091886</v>
      </c>
      <c r="C186" s="1">
        <f t="shared" ca="1" si="16"/>
        <v>61.898232707836833</v>
      </c>
      <c r="D186" s="1">
        <f t="shared" ca="1" si="21"/>
        <v>199.09220569087273</v>
      </c>
      <c r="E186" s="1">
        <f t="shared" ca="1" si="19"/>
        <v>238.69250068336908</v>
      </c>
      <c r="F186" s="1">
        <f t="shared" ca="1" si="17"/>
        <v>12.772593391879512</v>
      </c>
      <c r="G186" s="1">
        <f t="shared" ca="1" si="20"/>
        <v>9.5251720223395679</v>
      </c>
      <c r="H186" s="1">
        <f t="shared" ca="1" si="18"/>
        <v>3.7261041832082418</v>
      </c>
    </row>
    <row r="187" spans="1:8">
      <c r="A187">
        <v>143</v>
      </c>
      <c r="B187">
        <f t="shared" ca="1" si="15"/>
        <v>0.29505031054990927</v>
      </c>
      <c r="C187" s="1">
        <f t="shared" ca="1" si="16"/>
        <v>72.601987406257791</v>
      </c>
      <c r="D187" s="1">
        <f t="shared" ca="1" si="21"/>
        <v>233.52023822265846</v>
      </c>
      <c r="E187" s="1">
        <f t="shared" ca="1" si="19"/>
        <v>279.96841712913226</v>
      </c>
      <c r="F187" s="1">
        <f t="shared" ca="1" si="17"/>
        <v>14.981293311053358</v>
      </c>
      <c r="G187" s="1">
        <f t="shared" ca="1" si="20"/>
        <v>11.172311363174465</v>
      </c>
      <c r="H187" s="1">
        <f t="shared" ca="1" si="18"/>
        <v>4.3704392929338507</v>
      </c>
    </row>
    <row r="188" spans="1:8">
      <c r="A188">
        <v>144</v>
      </c>
      <c r="B188">
        <f t="shared" ca="1" si="15"/>
        <v>0.63101628399100684</v>
      </c>
      <c r="C188" s="1">
        <f t="shared" ca="1" si="16"/>
        <v>38.001228830040468</v>
      </c>
      <c r="D188" s="1">
        <f t="shared" ca="1" si="21"/>
        <v>122.2288198886595</v>
      </c>
      <c r="E188" s="1">
        <f t="shared" ca="1" si="19"/>
        <v>146.54065647962318</v>
      </c>
      <c r="F188" s="1">
        <f t="shared" ca="1" si="17"/>
        <v>7.8414909871156677</v>
      </c>
      <c r="G188" s="1">
        <f t="shared" ca="1" si="20"/>
        <v>5.8477993317070727</v>
      </c>
      <c r="H188" s="1">
        <f t="shared" ca="1" si="18"/>
        <v>2.2875735881466115</v>
      </c>
    </row>
    <row r="189" spans="1:8">
      <c r="A189">
        <v>145</v>
      </c>
      <c r="B189">
        <f t="shared" ca="1" si="15"/>
        <v>0.51545508223914738</v>
      </c>
      <c r="C189" s="1">
        <f t="shared" ca="1" si="16"/>
        <v>49.902747313115839</v>
      </c>
      <c r="D189" s="1">
        <f t="shared" ca="1" si="21"/>
        <v>160.50939311343777</v>
      </c>
      <c r="E189" s="1">
        <f t="shared" ca="1" si="19"/>
        <v>192.435400550841</v>
      </c>
      <c r="F189" s="1">
        <f t="shared" ca="1" si="17"/>
        <v>10.297347240575258</v>
      </c>
      <c r="G189" s="1">
        <f t="shared" ca="1" si="20"/>
        <v>7.6792556628241391</v>
      </c>
      <c r="H189" s="1">
        <f t="shared" ca="1" si="18"/>
        <v>3.0040106173719745</v>
      </c>
    </row>
    <row r="190" spans="1:8">
      <c r="A190">
        <v>146</v>
      </c>
      <c r="B190">
        <f t="shared" ca="1" si="15"/>
        <v>0.32409582286510685</v>
      </c>
      <c r="C190" s="1">
        <f t="shared" ca="1" si="16"/>
        <v>69.610622688434972</v>
      </c>
      <c r="D190" s="1">
        <f t="shared" ca="1" si="21"/>
        <v>223.89867973955597</v>
      </c>
      <c r="E190" s="1">
        <f t="shared" ca="1" si="19"/>
        <v>268.43308923434466</v>
      </c>
      <c r="F190" s="1">
        <f t="shared" ca="1" si="17"/>
        <v>14.364030752574749</v>
      </c>
      <c r="G190" s="1">
        <f t="shared" ca="1" si="20"/>
        <v>10.711987425609051</v>
      </c>
      <c r="H190" s="1">
        <f t="shared" ca="1" si="18"/>
        <v>4.190367778965765</v>
      </c>
    </row>
    <row r="191" spans="1:8">
      <c r="A191">
        <v>147</v>
      </c>
      <c r="B191">
        <f t="shared" ca="1" si="15"/>
        <v>0.66313474985730336</v>
      </c>
      <c r="C191" s="1">
        <f t="shared" ca="1" si="16"/>
        <v>34.693384074526726</v>
      </c>
      <c r="D191" s="1">
        <f t="shared" ca="1" si="21"/>
        <v>111.58932094071329</v>
      </c>
      <c r="E191" s="1">
        <f t="shared" ca="1" si="19"/>
        <v>133.78491537839233</v>
      </c>
      <c r="F191" s="1">
        <f t="shared" ca="1" si="17"/>
        <v>7.1589233601482221</v>
      </c>
      <c r="G191" s="1">
        <f t="shared" ca="1" si="20"/>
        <v>5.3387740986283614</v>
      </c>
      <c r="H191" s="1">
        <f t="shared" ca="1" si="18"/>
        <v>2.0884508902195327</v>
      </c>
    </row>
    <row r="192" spans="1:8">
      <c r="A192">
        <v>148</v>
      </c>
      <c r="B192">
        <f t="shared" ca="1" si="15"/>
        <v>0.79195574144051395</v>
      </c>
      <c r="C192" s="1">
        <f t="shared" ca="1" si="16"/>
        <v>21.426254717151309</v>
      </c>
      <c r="D192" s="1">
        <f t="shared" ca="1" si="21"/>
        <v>68.916336180840915</v>
      </c>
      <c r="E192" s="1">
        <f t="shared" ca="1" si="19"/>
        <v>82.624090204498543</v>
      </c>
      <c r="F192" s="1">
        <f t="shared" ca="1" si="17"/>
        <v>4.4212758369265934</v>
      </c>
      <c r="G192" s="1">
        <f t="shared" ca="1" si="20"/>
        <v>3.2971717525186897</v>
      </c>
      <c r="H192" s="1">
        <f t="shared" ca="1" si="18"/>
        <v>1.289808031607552</v>
      </c>
    </row>
    <row r="193" spans="1:8">
      <c r="A193">
        <v>149</v>
      </c>
      <c r="B193">
        <f t="shared" ca="1" si="15"/>
        <v>0.72489432240569018</v>
      </c>
      <c r="C193" s="1">
        <f t="shared" ca="1" si="16"/>
        <v>28.332835005733116</v>
      </c>
      <c r="D193" s="1">
        <f t="shared" ca="1" si="21"/>
        <v>91.130968107501388</v>
      </c>
      <c r="E193" s="1">
        <f t="shared" ca="1" si="19"/>
        <v>109.25730807518764</v>
      </c>
      <c r="F193" s="1">
        <f t="shared" ca="1" si="17"/>
        <v>5.8464358630068514</v>
      </c>
      <c r="G193" s="1">
        <f t="shared" ca="1" si="20"/>
        <v>4.3599857299014246</v>
      </c>
      <c r="H193" s="1">
        <f t="shared" ca="1" si="18"/>
        <v>1.7055642118877841</v>
      </c>
    </row>
    <row r="194" spans="1:8">
      <c r="A194">
        <v>150</v>
      </c>
      <c r="B194">
        <f t="shared" ca="1" si="15"/>
        <v>0.2128528307052171</v>
      </c>
      <c r="C194" s="1">
        <f t="shared" ca="1" si="16"/>
        <v>81.067413611624147</v>
      </c>
      <c r="D194" s="1">
        <f t="shared" ca="1" si="21"/>
        <v>260.7488114668472</v>
      </c>
      <c r="E194" s="1">
        <f t="shared" ca="1" si="19"/>
        <v>312.61287083489799</v>
      </c>
      <c r="F194" s="1">
        <f t="shared" ca="1" si="17"/>
        <v>16.728118299328091</v>
      </c>
      <c r="G194" s="1">
        <f t="shared" ca="1" si="20"/>
        <v>12.47500718652425</v>
      </c>
      <c r="H194" s="1">
        <f t="shared" ca="1" si="18"/>
        <v>4.8800334939027357</v>
      </c>
    </row>
    <row r="195" spans="1:8">
      <c r="A195">
        <v>151</v>
      </c>
      <c r="B195">
        <f t="shared" ca="1" si="15"/>
        <v>0.72398512319613295</v>
      </c>
      <c r="C195" s="1">
        <f t="shared" ca="1" si="16"/>
        <v>28.426472412001857</v>
      </c>
      <c r="D195" s="1">
        <f t="shared" ca="1" si="21"/>
        <v>91.432147624413147</v>
      </c>
      <c r="E195" s="1">
        <f t="shared" ca="1" si="19"/>
        <v>109.61839349485973</v>
      </c>
      <c r="F195" s="1">
        <f t="shared" ca="1" si="17"/>
        <v>5.8657577680284536</v>
      </c>
      <c r="G195" s="1">
        <f t="shared" ca="1" si="20"/>
        <v>4.3743950526096285</v>
      </c>
      <c r="H195" s="1">
        <f t="shared" ca="1" si="18"/>
        <v>1.7112009132269401</v>
      </c>
    </row>
    <row r="196" spans="1:8">
      <c r="A196">
        <v>152</v>
      </c>
      <c r="B196">
        <f t="shared" ca="1" si="15"/>
        <v>0.28962655286988848</v>
      </c>
      <c r="C196" s="1">
        <f t="shared" ca="1" si="16"/>
        <v>73.160574123061735</v>
      </c>
      <c r="D196" s="1">
        <f t="shared" ca="1" si="21"/>
        <v>235.31690137496207</v>
      </c>
      <c r="E196" s="1">
        <f t="shared" ca="1" si="19"/>
        <v>282.12244431866736</v>
      </c>
      <c r="F196" s="1">
        <f t="shared" ca="1" si="17"/>
        <v>15.096556643502343</v>
      </c>
      <c r="G196" s="1">
        <f t="shared" ca="1" si="20"/>
        <v>11.258269065162098</v>
      </c>
      <c r="H196" s="1">
        <f t="shared" ca="1" si="18"/>
        <v>4.4040645995298844</v>
      </c>
    </row>
    <row r="197" spans="1:8">
      <c r="A197">
        <v>153</v>
      </c>
      <c r="B197">
        <f t="shared" ca="1" si="15"/>
        <v>0.27004980088254915</v>
      </c>
      <c r="C197" s="1">
        <f t="shared" ca="1" si="16"/>
        <v>75.176761840771704</v>
      </c>
      <c r="D197" s="1">
        <f t="shared" ca="1" si="21"/>
        <v>241.80185719572142</v>
      </c>
      <c r="E197" s="1">
        <f t="shared" ca="1" si="19"/>
        <v>289.89728577569804</v>
      </c>
      <c r="F197" s="1">
        <f t="shared" ca="1" si="17"/>
        <v>15.512593237633391</v>
      </c>
      <c r="G197" s="1">
        <f t="shared" ca="1" si="20"/>
        <v>11.56852861444326</v>
      </c>
      <c r="H197" s="1">
        <f t="shared" ca="1" si="18"/>
        <v>4.5254332753749802</v>
      </c>
    </row>
    <row r="198" spans="1:8">
      <c r="A198">
        <v>154</v>
      </c>
      <c r="B198">
        <f t="shared" ca="1" si="15"/>
        <v>0.48378583139938924</v>
      </c>
      <c r="C198" s="1">
        <f t="shared" ca="1" si="16"/>
        <v>53.164327917165473</v>
      </c>
      <c r="D198" s="1">
        <f t="shared" ca="1" si="21"/>
        <v>171.00008598757728</v>
      </c>
      <c r="E198" s="1">
        <f t="shared" ca="1" si="19"/>
        <v>205.01273740944208</v>
      </c>
      <c r="F198" s="1">
        <f t="shared" ca="1" si="17"/>
        <v>10.970368345739985</v>
      </c>
      <c r="G198" s="1">
        <f t="shared" ca="1" si="20"/>
        <v>8.1811615713205974</v>
      </c>
      <c r="H198" s="1">
        <f t="shared" ca="1" si="18"/>
        <v>3.2003483470379264</v>
      </c>
    </row>
    <row r="199" spans="1:8">
      <c r="A199">
        <v>155</v>
      </c>
      <c r="B199">
        <f t="shared" ca="1" si="15"/>
        <v>0.8158159209582766</v>
      </c>
      <c r="C199" s="1">
        <f t="shared" ca="1" si="16"/>
        <v>18.96892160504062</v>
      </c>
      <c r="D199" s="1">
        <f t="shared" ca="1" si="21"/>
        <v>61.012460698935314</v>
      </c>
      <c r="E199" s="1">
        <f t="shared" ca="1" si="19"/>
        <v>73.148099856004194</v>
      </c>
      <c r="F199" s="1">
        <f t="shared" ca="1" si="17"/>
        <v>3.9142097092898318</v>
      </c>
      <c r="G199" s="1">
        <f t="shared" ca="1" si="20"/>
        <v>2.9190268719104964</v>
      </c>
      <c r="H199" s="1">
        <f t="shared" ca="1" si="18"/>
        <v>1.1418836774874226</v>
      </c>
    </row>
    <row r="200" spans="1:8">
      <c r="A200">
        <v>156</v>
      </c>
      <c r="B200">
        <f t="shared" ca="1" si="15"/>
        <v>0.87774504536207321</v>
      </c>
      <c r="C200" s="1">
        <f t="shared" ca="1" si="16"/>
        <v>12.590910580933226</v>
      </c>
      <c r="D200" s="1">
        <f t="shared" ca="1" si="21"/>
        <v>40.497942456243265</v>
      </c>
      <c r="E200" s="1">
        <f t="shared" ca="1" si="19"/>
        <v>48.5531556015315</v>
      </c>
      <c r="F200" s="1">
        <f t="shared" ca="1" si="17"/>
        <v>2.5981189700734255</v>
      </c>
      <c r="G200" s="1">
        <f t="shared" ca="1" si="20"/>
        <v>1.9375513831611357</v>
      </c>
      <c r="H200" s="1">
        <f t="shared" ca="1" si="18"/>
        <v>0.75794583989332676</v>
      </c>
    </row>
    <row r="201" spans="1:8">
      <c r="A201">
        <v>157</v>
      </c>
      <c r="B201">
        <f t="shared" ca="1" si="15"/>
        <v>0.11782778228377555</v>
      </c>
      <c r="C201" s="1">
        <f t="shared" ca="1" si="16"/>
        <v>90.8539367093274</v>
      </c>
      <c r="D201" s="1">
        <f t="shared" ca="1" si="21"/>
        <v>292.22661949532386</v>
      </c>
      <c r="E201" s="1">
        <f t="shared" ca="1" si="19"/>
        <v>350.35175042029454</v>
      </c>
      <c r="F201" s="1">
        <f t="shared" ca="1" si="17"/>
        <v>18.747549179790902</v>
      </c>
      <c r="G201" s="1">
        <f t="shared" ca="1" si="20"/>
        <v>13.980999023817986</v>
      </c>
      <c r="H201" s="1">
        <f t="shared" ca="1" si="18"/>
        <v>5.4691539111448355</v>
      </c>
    </row>
    <row r="202" spans="1:8">
      <c r="A202">
        <v>158</v>
      </c>
      <c r="B202">
        <f t="shared" ca="1" si="15"/>
        <v>0.19254946532210748</v>
      </c>
      <c r="C202" s="1">
        <f t="shared" ca="1" si="16"/>
        <v>83.158434427542787</v>
      </c>
      <c r="D202" s="1">
        <f t="shared" ca="1" si="21"/>
        <v>267.47446379198016</v>
      </c>
      <c r="E202" s="1">
        <f t="shared" ca="1" si="19"/>
        <v>320.67628436743547</v>
      </c>
      <c r="F202" s="1">
        <f t="shared" ca="1" si="17"/>
        <v>17.159596564407508</v>
      </c>
      <c r="G202" s="1">
        <f t="shared" ca="1" si="20"/>
        <v>12.796782371535951</v>
      </c>
      <c r="H202" s="1">
        <f t="shared" ca="1" si="18"/>
        <v>5.0059069060673691</v>
      </c>
    </row>
    <row r="203" spans="1:8">
      <c r="A203">
        <v>159</v>
      </c>
      <c r="B203">
        <f t="shared" ca="1" si="15"/>
        <v>0.80536407694221546</v>
      </c>
      <c r="C203" s="1">
        <f t="shared" ca="1" si="16"/>
        <v>20.045345290963141</v>
      </c>
      <c r="D203" s="1">
        <f t="shared" ca="1" si="21"/>
        <v>64.474717703236081</v>
      </c>
      <c r="E203" s="1">
        <f t="shared" ca="1" si="19"/>
        <v>77.299014686566636</v>
      </c>
      <c r="F203" s="1">
        <f t="shared" ca="1" si="17"/>
        <v>4.1363277393718008</v>
      </c>
      <c r="G203" s="1">
        <f t="shared" ca="1" si="20"/>
        <v>3.0846715312328037</v>
      </c>
      <c r="H203" s="1">
        <f t="shared" ca="1" si="18"/>
        <v>1.2066812735947448</v>
      </c>
    </row>
    <row r="204" spans="1:8">
      <c r="A204">
        <v>160</v>
      </c>
      <c r="B204">
        <f t="shared" ca="1" si="15"/>
        <v>0.86507770773483217</v>
      </c>
      <c r="C204" s="1">
        <f t="shared" ca="1" si="16"/>
        <v>13.895505467594987</v>
      </c>
      <c r="D204" s="1">
        <f t="shared" ca="1" si="21"/>
        <v>44.694099455750973</v>
      </c>
      <c r="E204" s="1">
        <f t="shared" ca="1" si="19"/>
        <v>53.583946296442036</v>
      </c>
      <c r="F204" s="1">
        <f t="shared" ca="1" si="17"/>
        <v>2.8673197040130347</v>
      </c>
      <c r="G204" s="1">
        <f t="shared" ca="1" si="20"/>
        <v>2.1383079982197426</v>
      </c>
      <c r="H204" s="1">
        <f t="shared" ca="1" si="18"/>
        <v>0.8364786830991493</v>
      </c>
    </row>
    <row r="205" spans="1:8">
      <c r="A205">
        <v>161</v>
      </c>
      <c r="B205">
        <f t="shared" ca="1" si="15"/>
        <v>0.55505712810979857</v>
      </c>
      <c r="C205" s="1">
        <f t="shared" ca="1" si="16"/>
        <v>45.824177051193395</v>
      </c>
      <c r="D205" s="1">
        <f t="shared" ca="1" si="21"/>
        <v>147.3908983780012</v>
      </c>
      <c r="E205" s="1">
        <f t="shared" ca="1" si="19"/>
        <v>176.70758072569868</v>
      </c>
      <c r="F205" s="1">
        <f t="shared" ca="1" si="17"/>
        <v>9.4557418355876166</v>
      </c>
      <c r="G205" s="1">
        <f t="shared" ca="1" si="20"/>
        <v>7.051627907699781</v>
      </c>
      <c r="H205" s="1">
        <f t="shared" ca="1" si="18"/>
        <v>2.758492470583064</v>
      </c>
    </row>
    <row r="206" spans="1:8">
      <c r="A206">
        <v>162</v>
      </c>
      <c r="B206">
        <f t="shared" ca="1" si="15"/>
        <v>0.90387460125490693</v>
      </c>
      <c r="C206" s="1">
        <f t="shared" ca="1" si="16"/>
        <v>9.8998569426985483</v>
      </c>
      <c r="D206" s="1">
        <f t="shared" ca="1" si="21"/>
        <v>31.842317882224279</v>
      </c>
      <c r="E206" s="1">
        <f t="shared" ca="1" si="19"/>
        <v>38.175890029551681</v>
      </c>
      <c r="F206" s="1">
        <f t="shared" ca="1" si="17"/>
        <v>2.0428250455837116</v>
      </c>
      <c r="G206" s="1">
        <f t="shared" ca="1" si="20"/>
        <v>1.5234405930019506</v>
      </c>
      <c r="H206" s="1">
        <f t="shared" ca="1" si="18"/>
        <v>0.59595218531852368</v>
      </c>
    </row>
    <row r="207" spans="1:8">
      <c r="A207">
        <v>163</v>
      </c>
      <c r="B207">
        <f t="shared" ca="1" si="15"/>
        <v>0.76812971612597258</v>
      </c>
      <c r="C207" s="1">
        <f t="shared" ca="1" si="16"/>
        <v>23.880070326200851</v>
      </c>
      <c r="D207" s="1">
        <f t="shared" ca="1" si="21"/>
        <v>76.808897809502298</v>
      </c>
      <c r="E207" s="1">
        <f t="shared" ca="1" si="19"/>
        <v>92.086516325622142</v>
      </c>
      <c r="F207" s="1">
        <f t="shared" ca="1" si="17"/>
        <v>4.9276161343340785</v>
      </c>
      <c r="G207" s="1">
        <f t="shared" ca="1" si="20"/>
        <v>3.6747753447811782</v>
      </c>
      <c r="H207" s="1">
        <f t="shared" ca="1" si="18"/>
        <v>1.4375206422054561</v>
      </c>
    </row>
    <row r="208" spans="1:8">
      <c r="A208">
        <v>164</v>
      </c>
      <c r="B208">
        <f t="shared" ca="1" si="15"/>
        <v>0.12335449787607478</v>
      </c>
      <c r="C208" s="1">
        <f t="shared" ca="1" si="16"/>
        <v>90.284746472679558</v>
      </c>
      <c r="D208" s="1">
        <f t="shared" ca="1" si="21"/>
        <v>290.39585071033127</v>
      </c>
      <c r="E208" s="1">
        <f t="shared" ca="1" si="19"/>
        <v>348.15683384087345</v>
      </c>
      <c r="F208" s="1">
        <f t="shared" ca="1" si="17"/>
        <v>18.630097830698968</v>
      </c>
      <c r="G208" s="1">
        <f t="shared" ca="1" si="20"/>
        <v>13.893409607055652</v>
      </c>
      <c r="H208" s="1">
        <f t="shared" ca="1" si="18"/>
        <v>5.43489030328774</v>
      </c>
    </row>
    <row r="209" spans="1:8">
      <c r="A209">
        <v>165</v>
      </c>
      <c r="B209">
        <f t="shared" ca="1" si="15"/>
        <v>0.29594158239495305</v>
      </c>
      <c r="C209" s="1">
        <f t="shared" ca="1" si="16"/>
        <v>72.510196319141812</v>
      </c>
      <c r="D209" s="1">
        <f t="shared" ca="1" si="21"/>
        <v>233.22499728876232</v>
      </c>
      <c r="E209" s="1">
        <f t="shared" ca="1" si="19"/>
        <v>279.61445150220845</v>
      </c>
      <c r="F209" s="1">
        <f t="shared" ca="1" si="17"/>
        <v>14.962352390562732</v>
      </c>
      <c r="G209" s="1">
        <f t="shared" ca="1" si="20"/>
        <v>11.158186159917609</v>
      </c>
      <c r="H209" s="1">
        <f t="shared" ca="1" si="18"/>
        <v>4.3649137346736797</v>
      </c>
    </row>
    <row r="210" spans="1:8">
      <c r="A210">
        <v>166</v>
      </c>
      <c r="B210">
        <f t="shared" ca="1" si="15"/>
        <v>0.12064236759396407</v>
      </c>
      <c r="C210" s="1">
        <f t="shared" ca="1" si="16"/>
        <v>90.564065726821269</v>
      </c>
      <c r="D210" s="1">
        <f t="shared" ca="1" si="21"/>
        <v>291.29426557869175</v>
      </c>
      <c r="E210" s="1">
        <f t="shared" ca="1" si="19"/>
        <v>349.2339472950286</v>
      </c>
      <c r="F210" s="1">
        <f t="shared" ca="1" si="17"/>
        <v>18.6877348404613</v>
      </c>
      <c r="G210" s="1">
        <f t="shared" ca="1" si="20"/>
        <v>13.936392442996141</v>
      </c>
      <c r="H210" s="1">
        <f t="shared" ca="1" si="18"/>
        <v>5.4517045154344768</v>
      </c>
    </row>
    <row r="211" spans="1:8">
      <c r="A211">
        <v>167</v>
      </c>
      <c r="B211">
        <f t="shared" ca="1" si="15"/>
        <v>0.36526569370999407</v>
      </c>
      <c r="C211" s="1">
        <f t="shared" ca="1" si="16"/>
        <v>65.370583891863987</v>
      </c>
      <c r="D211" s="1">
        <f t="shared" ca="1" si="21"/>
        <v>210.26083042991939</v>
      </c>
      <c r="E211" s="1">
        <f t="shared" ca="1" si="19"/>
        <v>252.08261297390905</v>
      </c>
      <c r="F211" s="1">
        <f t="shared" ca="1" si="17"/>
        <v>13.489106615097846</v>
      </c>
      <c r="G211" s="1">
        <f t="shared" ca="1" si="20"/>
        <v>10.059512204971885</v>
      </c>
      <c r="H211" s="1">
        <f t="shared" ca="1" si="18"/>
        <v>3.9351296928731863</v>
      </c>
    </row>
    <row r="212" spans="1:8">
      <c r="A212">
        <v>168</v>
      </c>
      <c r="B212">
        <f t="shared" ca="1" si="15"/>
        <v>0.47457636652972712</v>
      </c>
      <c r="C212" s="1">
        <f t="shared" ca="1" si="16"/>
        <v>54.112800369025848</v>
      </c>
      <c r="D212" s="1">
        <f t="shared" ca="1" si="21"/>
        <v>174.05079495355989</v>
      </c>
      <c r="E212" s="1">
        <f t="shared" ca="1" si="19"/>
        <v>208.67024552478333</v>
      </c>
      <c r="F212" s="1">
        <f t="shared" ca="1" si="17"/>
        <v>11.166083876110992</v>
      </c>
      <c r="G212" s="1">
        <f t="shared" ca="1" si="20"/>
        <v>8.3271165500336117</v>
      </c>
      <c r="H212" s="1">
        <f t="shared" ca="1" si="18"/>
        <v>3.2574436485054878</v>
      </c>
    </row>
    <row r="213" spans="1:8">
      <c r="A213">
        <v>169</v>
      </c>
      <c r="B213">
        <f t="shared" ca="1" si="15"/>
        <v>0.34255234715968896</v>
      </c>
      <c r="C213" s="1">
        <f t="shared" ca="1" si="16"/>
        <v>67.709805963657672</v>
      </c>
      <c r="D213" s="1">
        <f t="shared" ca="1" si="21"/>
        <v>217.78480831019209</v>
      </c>
      <c r="E213" s="1">
        <f t="shared" ca="1" si="19"/>
        <v>261.10314245200749</v>
      </c>
      <c r="F213" s="1">
        <f t="shared" ca="1" si="17"/>
        <v>13.971800748742609</v>
      </c>
      <c r="G213" s="1">
        <f t="shared" ca="1" si="20"/>
        <v>10.419481655875789</v>
      </c>
      <c r="H213" s="1">
        <f t="shared" ca="1" si="18"/>
        <v>4.0759441035887178</v>
      </c>
    </row>
    <row r="214" spans="1:8">
      <c r="A214">
        <v>170</v>
      </c>
      <c r="B214">
        <f t="shared" ca="1" si="15"/>
        <v>0.98599967874507999</v>
      </c>
      <c r="C214" s="1">
        <f t="shared" ca="1" si="16"/>
        <v>1.4418873745725875</v>
      </c>
      <c r="D214" s="1">
        <f t="shared" ca="1" si="21"/>
        <v>4.6377284975991415</v>
      </c>
      <c r="E214" s="1">
        <f t="shared" ca="1" si="19"/>
        <v>5.5601906762886415</v>
      </c>
      <c r="F214" s="1">
        <f t="shared" ca="1" si="17"/>
        <v>0.29753872056632957</v>
      </c>
      <c r="G214" s="1">
        <f t="shared" ca="1" si="20"/>
        <v>0.22189222873498693</v>
      </c>
      <c r="H214" s="1">
        <f t="shared" ca="1" si="18"/>
        <v>8.6806852369305076E-2</v>
      </c>
    </row>
    <row r="215" spans="1:8">
      <c r="A215">
        <v>171</v>
      </c>
      <c r="B215">
        <f t="shared" ca="1" si="15"/>
        <v>0.84303469457460278</v>
      </c>
      <c r="C215" s="1">
        <f t="shared" ca="1" si="16"/>
        <v>16.165690655807808</v>
      </c>
      <c r="D215" s="1">
        <f t="shared" ca="1" si="21"/>
        <v>51.996024034095342</v>
      </c>
      <c r="E215" s="1">
        <f t="shared" ca="1" si="19"/>
        <v>62.338255114720994</v>
      </c>
      <c r="F215" s="1">
        <f t="shared" ca="1" si="17"/>
        <v>3.3357682048419086</v>
      </c>
      <c r="G215" s="1">
        <f t="shared" ca="1" si="20"/>
        <v>2.487653759575581</v>
      </c>
      <c r="H215" s="1">
        <f t="shared" ca="1" si="18"/>
        <v>0.97313727287048923</v>
      </c>
    </row>
    <row r="216" spans="1:8">
      <c r="A216">
        <v>172</v>
      </c>
      <c r="B216">
        <f t="shared" ca="1" si="15"/>
        <v>0.4050007862473668</v>
      </c>
      <c r="C216" s="1">
        <f t="shared" ca="1" si="16"/>
        <v>61.278311303043822</v>
      </c>
      <c r="D216" s="1">
        <f t="shared" ca="1" si="21"/>
        <v>197.09826292100405</v>
      </c>
      <c r="E216" s="1">
        <f t="shared" ca="1" si="19"/>
        <v>236.30195411087038</v>
      </c>
      <c r="F216" s="1">
        <f t="shared" ca="1" si="17"/>
        <v>12.644673760382123</v>
      </c>
      <c r="G216" s="1">
        <f t="shared" ca="1" si="20"/>
        <v>9.4297758774511919</v>
      </c>
      <c r="H216" s="1">
        <f t="shared" ca="1" si="18"/>
        <v>3.6887867055910197</v>
      </c>
    </row>
    <row r="217" spans="1:8">
      <c r="A217">
        <v>173</v>
      </c>
      <c r="B217">
        <f t="shared" ca="1" si="15"/>
        <v>0.50019430920408836</v>
      </c>
      <c r="C217" s="1">
        <f t="shared" ca="1" si="16"/>
        <v>51.474437202017938</v>
      </c>
      <c r="D217" s="1">
        <f t="shared" ca="1" si="21"/>
        <v>165.56464635396489</v>
      </c>
      <c r="E217" s="1">
        <f t="shared" ca="1" si="19"/>
        <v>198.49616542828574</v>
      </c>
      <c r="F217" s="1">
        <f t="shared" ca="1" si="17"/>
        <v>10.621662532581766</v>
      </c>
      <c r="G217" s="1">
        <f t="shared" ca="1" si="20"/>
        <v>7.9211139938997741</v>
      </c>
      <c r="H217" s="1">
        <f t="shared" ca="1" si="18"/>
        <v>3.0986218080759018</v>
      </c>
    </row>
    <row r="218" spans="1:8">
      <c r="A218">
        <v>174</v>
      </c>
      <c r="B218">
        <f t="shared" ca="1" si="15"/>
        <v>0.43252786261480003</v>
      </c>
      <c r="C218" s="1">
        <f t="shared" ca="1" si="16"/>
        <v>58.443328599458681</v>
      </c>
      <c r="D218" s="1">
        <f t="shared" ca="1" si="21"/>
        <v>187.97969850169076</v>
      </c>
      <c r="E218" s="1">
        <f t="shared" ca="1" si="19"/>
        <v>225.36966796499803</v>
      </c>
      <c r="F218" s="1">
        <f t="shared" ca="1" si="17"/>
        <v>12.059680340344995</v>
      </c>
      <c r="G218" s="1">
        <f t="shared" ca="1" si="20"/>
        <v>8.9935166699835136</v>
      </c>
      <c r="H218" s="1">
        <f t="shared" ca="1" si="18"/>
        <v>3.5181289370928113</v>
      </c>
    </row>
    <row r="219" spans="1:8">
      <c r="A219">
        <v>175</v>
      </c>
      <c r="B219">
        <f t="shared" ca="1" si="15"/>
        <v>0.48076432102873579</v>
      </c>
      <c r="C219" s="1">
        <f t="shared" ca="1" si="16"/>
        <v>53.475509879432991</v>
      </c>
      <c r="D219" s="1">
        <f t="shared" ca="1" si="21"/>
        <v>172.00098548706146</v>
      </c>
      <c r="E219" s="1">
        <f t="shared" ca="1" si="19"/>
        <v>206.21272012913926</v>
      </c>
      <c r="F219" s="1">
        <f t="shared" ca="1" si="17"/>
        <v>11.034580166196784</v>
      </c>
      <c r="G219" s="1">
        <f t="shared" ca="1" si="20"/>
        <v>8.2290475764328637</v>
      </c>
      <c r="H219" s="1">
        <f t="shared" ca="1" si="18"/>
        <v>3.2190806021625558</v>
      </c>
    </row>
    <row r="220" spans="1:8">
      <c r="A220">
        <v>176</v>
      </c>
      <c r="B220">
        <f t="shared" ca="1" si="15"/>
        <v>0.19073293878499353</v>
      </c>
      <c r="C220" s="1">
        <f t="shared" ca="1" si="16"/>
        <v>83.345516457053705</v>
      </c>
      <c r="D220" s="1">
        <f t="shared" ca="1" si="21"/>
        <v>268.07620274990535</v>
      </c>
      <c r="E220" s="1">
        <f t="shared" ca="1" si="19"/>
        <v>321.39771179511519</v>
      </c>
      <c r="F220" s="1">
        <f t="shared" ca="1" si="17"/>
        <v>17.198200594030926</v>
      </c>
      <c r="G220" s="1">
        <f t="shared" ca="1" si="20"/>
        <v>12.825571350679516</v>
      </c>
      <c r="H220" s="1">
        <f t="shared" ca="1" si="18"/>
        <v>5.0171687037644324</v>
      </c>
    </row>
    <row r="221" spans="1:8">
      <c r="A221">
        <v>177</v>
      </c>
      <c r="B221">
        <f t="shared" ca="1" si="15"/>
        <v>0.27695887713762379</v>
      </c>
      <c r="C221" s="1">
        <f t="shared" ca="1" si="16"/>
        <v>74.465203830780467</v>
      </c>
      <c r="D221" s="1">
        <f t="shared" ca="1" si="21"/>
        <v>239.51317037446563</v>
      </c>
      <c r="E221" s="1">
        <f t="shared" ca="1" si="19"/>
        <v>287.15336929085515</v>
      </c>
      <c r="F221" s="1">
        <f t="shared" ca="1" si="17"/>
        <v>15.365764562702438</v>
      </c>
      <c r="G221" s="1">
        <f t="shared" ca="1" si="20"/>
        <v>11.459031038633189</v>
      </c>
      <c r="H221" s="1">
        <f t="shared" ca="1" si="18"/>
        <v>4.482599538862738</v>
      </c>
    </row>
    <row r="222" spans="1:8">
      <c r="A222">
        <v>178</v>
      </c>
      <c r="B222">
        <f t="shared" ca="1" si="15"/>
        <v>0.84498325228701632</v>
      </c>
      <c r="C222" s="1">
        <f t="shared" ca="1" si="16"/>
        <v>15.965010883721092</v>
      </c>
      <c r="D222" s="1">
        <f t="shared" ca="1" si="21"/>
        <v>51.350548692354579</v>
      </c>
      <c r="E222" s="1">
        <f t="shared" ca="1" si="19"/>
        <v>61.564391948160562</v>
      </c>
      <c r="F222" s="1">
        <f t="shared" ca="1" si="17"/>
        <v>3.2943583062711657</v>
      </c>
      <c r="G222" s="1">
        <f t="shared" ca="1" si="20"/>
        <v>2.4567723019163772</v>
      </c>
      <c r="H222" s="1">
        <f t="shared" ca="1" si="18"/>
        <v>0.96105693035420625</v>
      </c>
    </row>
    <row r="223" spans="1:8">
      <c r="A223">
        <v>179</v>
      </c>
      <c r="B223">
        <f t="shared" ca="1" si="15"/>
        <v>9.7523256443144857E-2</v>
      </c>
      <c r="C223" s="1">
        <f t="shared" ca="1" si="16"/>
        <v>93.310424260992207</v>
      </c>
      <c r="D223" s="1">
        <f t="shared" ca="1" si="21"/>
        <v>300.02805883129372</v>
      </c>
      <c r="E223" s="1">
        <f t="shared" ca="1" si="19"/>
        <v>359.70169885237192</v>
      </c>
      <c r="F223" s="1">
        <f t="shared" ca="1" si="17"/>
        <v>19.431273613218998</v>
      </c>
      <c r="G223" s="1">
        <f t="shared" ca="1" si="20"/>
        <v>14.365786635993782</v>
      </c>
      <c r="H223" s="1">
        <f t="shared" ca="1" si="18"/>
        <v>5.6127164207629825</v>
      </c>
    </row>
    <row r="224" spans="1:8">
      <c r="A224">
        <v>180</v>
      </c>
      <c r="B224">
        <f t="shared" ca="1" si="15"/>
        <v>0.25605717681916984</v>
      </c>
      <c r="C224" s="1">
        <f t="shared" ca="1" si="16"/>
        <v>76.61784649022546</v>
      </c>
      <c r="D224" s="1">
        <f t="shared" ca="1" si="21"/>
        <v>246.43702593700155</v>
      </c>
      <c r="E224" s="1">
        <f t="shared" ca="1" si="19"/>
        <v>295.45440953815682</v>
      </c>
      <c r="F224" s="1">
        <f t="shared" ca="1" si="17"/>
        <v>15.809958380842508</v>
      </c>
      <c r="G224" s="1">
        <f t="shared" ca="1" si="20"/>
        <v>11.790288855262187</v>
      </c>
      <c r="H224" s="1">
        <f t="shared" ca="1" si="18"/>
        <v>4.6121824079823126</v>
      </c>
    </row>
    <row r="225" spans="1:8">
      <c r="A225">
        <v>181</v>
      </c>
      <c r="B225">
        <f t="shared" ca="1" si="15"/>
        <v>0.61393412012117832</v>
      </c>
      <c r="C225" s="1">
        <f t="shared" ca="1" si="16"/>
        <v>39.760501717010207</v>
      </c>
      <c r="D225" s="1">
        <f t="shared" ca="1" si="21"/>
        <v>127.88742342465216</v>
      </c>
      <c r="E225" s="1">
        <f t="shared" ca="1" si="19"/>
        <v>153.32478062426301</v>
      </c>
      <c r="F225" s="1">
        <f t="shared" ca="1" si="17"/>
        <v>8.2045136826776304</v>
      </c>
      <c r="G225" s="1">
        <f t="shared" ca="1" si="20"/>
        <v>6.1185237331004938</v>
      </c>
      <c r="H225" s="1">
        <f t="shared" ca="1" si="18"/>
        <v>2.3934767334074198</v>
      </c>
    </row>
    <row r="226" spans="1:8">
      <c r="A226">
        <v>182</v>
      </c>
      <c r="B226">
        <f t="shared" ca="1" si="15"/>
        <v>0.94885656279559127</v>
      </c>
      <c r="C226" s="1">
        <f t="shared" ca="1" si="16"/>
        <v>5.2672152033803172</v>
      </c>
      <c r="D226" s="1">
        <f t="shared" ca="1" si="21"/>
        <v>16.941683011277064</v>
      </c>
      <c r="E226" s="1">
        <f t="shared" ca="1" si="19"/>
        <v>20.311454722241876</v>
      </c>
      <c r="F226" s="1">
        <f t="shared" ca="1" si="17"/>
        <v>1.0868880194200763</v>
      </c>
      <c r="G226" s="1">
        <f t="shared" ca="1" si="20"/>
        <v>0.81054996015228653</v>
      </c>
      <c r="H226" s="1">
        <f t="shared" ca="1" si="18"/>
        <v>0.31708053630143596</v>
      </c>
    </row>
    <row r="227" spans="1:8">
      <c r="A227">
        <v>183</v>
      </c>
      <c r="B227">
        <f t="shared" ca="1" si="15"/>
        <v>0.52018490066969336</v>
      </c>
      <c r="C227" s="1">
        <f t="shared" ca="1" si="16"/>
        <v>49.415628620861256</v>
      </c>
      <c r="D227" s="1">
        <f t="shared" ca="1" si="21"/>
        <v>158.94260289296906</v>
      </c>
      <c r="E227" s="1">
        <f t="shared" ca="1" si="19"/>
        <v>190.55696900909092</v>
      </c>
      <c r="F227" s="1">
        <f t="shared" ca="1" si="17"/>
        <v>10.196831202369573</v>
      </c>
      <c r="G227" s="1">
        <f t="shared" ca="1" si="20"/>
        <v>7.6042957647066185</v>
      </c>
      <c r="H227" s="1">
        <f t="shared" ca="1" si="18"/>
        <v>2.9746874793828768</v>
      </c>
    </row>
    <row r="228" spans="1:8">
      <c r="A228">
        <v>184</v>
      </c>
      <c r="B228">
        <f t="shared" ca="1" si="15"/>
        <v>0.90628587482308642</v>
      </c>
      <c r="C228" s="1">
        <f t="shared" ca="1" si="16"/>
        <v>9.6515225838965364</v>
      </c>
      <c r="D228" s="1">
        <f t="shared" ca="1" si="21"/>
        <v>31.04356420891213</v>
      </c>
      <c r="E228" s="1">
        <f t="shared" ca="1" si="19"/>
        <v>37.218260811270284</v>
      </c>
      <c r="F228" s="1">
        <f t="shared" ca="1" si="17"/>
        <v>1.9915817114763783</v>
      </c>
      <c r="G228" s="1">
        <f t="shared" ca="1" si="20"/>
        <v>1.4852258446646989</v>
      </c>
      <c r="H228" s="1">
        <f t="shared" ca="1" si="18"/>
        <v>0.58100317435595539</v>
      </c>
    </row>
    <row r="229" spans="1:8">
      <c r="A229">
        <v>185</v>
      </c>
      <c r="B229">
        <f t="shared" ca="1" si="15"/>
        <v>0.1217134772734223</v>
      </c>
      <c r="C229" s="1">
        <f t="shared" ca="1" si="16"/>
        <v>90.453753342956958</v>
      </c>
      <c r="D229" s="1">
        <f t="shared" ca="1" si="21"/>
        <v>290.93945192242404</v>
      </c>
      <c r="E229" s="1">
        <f t="shared" ca="1" si="19"/>
        <v>348.8085596747398</v>
      </c>
      <c r="F229" s="1">
        <f t="shared" ca="1" si="17"/>
        <v>18.664972084756432</v>
      </c>
      <c r="G229" s="1">
        <f t="shared" ca="1" si="20"/>
        <v>13.919417103747101</v>
      </c>
      <c r="H229" s="1">
        <f t="shared" ca="1" si="18"/>
        <v>5.4450640286180327</v>
      </c>
    </row>
    <row r="230" spans="1:8">
      <c r="A230">
        <v>186</v>
      </c>
      <c r="B230">
        <f t="shared" ca="1" si="15"/>
        <v>0.45103092349790996</v>
      </c>
      <c r="C230" s="1">
        <f t="shared" ca="1" si="16"/>
        <v>56.537719123653289</v>
      </c>
      <c r="D230" s="1">
        <f t="shared" ca="1" si="21"/>
        <v>181.85041145482063</v>
      </c>
      <c r="E230" s="1">
        <f t="shared" ca="1" si="19"/>
        <v>218.0212393324546</v>
      </c>
      <c r="F230" s="1">
        <f t="shared" ca="1" si="17"/>
        <v>11.66646136123207</v>
      </c>
      <c r="G230" s="1">
        <f t="shared" ca="1" si="20"/>
        <v>8.7002733713184313</v>
      </c>
      <c r="H230" s="1">
        <f t="shared" ca="1" si="18"/>
        <v>3.4034167519501191</v>
      </c>
    </row>
    <row r="231" spans="1:8">
      <c r="A231">
        <v>187</v>
      </c>
      <c r="B231">
        <f t="shared" ca="1" si="15"/>
        <v>0.49617969386587357</v>
      </c>
      <c r="C231" s="1">
        <f t="shared" ca="1" si="16"/>
        <v>51.887897930410134</v>
      </c>
      <c r="D231" s="1">
        <f t="shared" ca="1" si="21"/>
        <v>166.89451982442122</v>
      </c>
      <c r="E231" s="1">
        <f t="shared" ca="1" si="19"/>
        <v>200.09055645830796</v>
      </c>
      <c r="F231" s="1">
        <f t="shared" ca="1" si="17"/>
        <v>10.706979386630758</v>
      </c>
      <c r="G231" s="1">
        <f t="shared" ca="1" si="20"/>
        <v>7.9847390909627238</v>
      </c>
      <c r="H231" s="1">
        <f t="shared" ca="1" si="18"/>
        <v>3.123510949438149</v>
      </c>
    </row>
    <row r="232" spans="1:8">
      <c r="A232">
        <v>188</v>
      </c>
      <c r="B232">
        <f t="shared" ca="1" si="15"/>
        <v>0.58016452792048789</v>
      </c>
      <c r="C232" s="1">
        <f t="shared" ca="1" si="16"/>
        <v>43.238394120772512</v>
      </c>
      <c r="D232" s="1">
        <f t="shared" ca="1" si="21"/>
        <v>139.07387118923356</v>
      </c>
      <c r="E232" s="1">
        <f t="shared" ca="1" si="19"/>
        <v>166.73626101686062</v>
      </c>
      <c r="F232" s="1">
        <f t="shared" ca="1" si="17"/>
        <v>8.9221703263055279</v>
      </c>
      <c r="G232" s="1">
        <f t="shared" ca="1" si="20"/>
        <v>6.653716622215641</v>
      </c>
      <c r="H232" s="1">
        <f t="shared" ca="1" si="18"/>
        <v>2.602835808491851</v>
      </c>
    </row>
    <row r="233" spans="1:8">
      <c r="A233">
        <v>189</v>
      </c>
      <c r="B233">
        <f t="shared" ca="1" si="15"/>
        <v>0.52887442085148795</v>
      </c>
      <c r="C233" s="1">
        <f t="shared" ca="1" si="16"/>
        <v>48.520704688910882</v>
      </c>
      <c r="D233" s="1">
        <f t="shared" ca="1" si="21"/>
        <v>156.06412976734649</v>
      </c>
      <c r="E233" s="1">
        <f t="shared" ca="1" si="19"/>
        <v>187.10595518438632</v>
      </c>
      <c r="F233" s="1">
        <f t="shared" ca="1" si="17"/>
        <v>10.012165309712566</v>
      </c>
      <c r="G233" s="1">
        <f t="shared" ca="1" si="20"/>
        <v>7.4665810602032003</v>
      </c>
      <c r="H233" s="1">
        <f t="shared" ca="1" si="18"/>
        <v>2.9208156441123632</v>
      </c>
    </row>
    <row r="234" spans="1:8">
      <c r="A234">
        <v>190</v>
      </c>
      <c r="B234">
        <f t="shared" ca="1" si="15"/>
        <v>0.84181724924387635</v>
      </c>
      <c r="C234" s="1">
        <f t="shared" ca="1" si="16"/>
        <v>16.291073984175114</v>
      </c>
      <c r="D234" s="1">
        <f t="shared" ca="1" si="21"/>
        <v>52.399312546360107</v>
      </c>
      <c r="E234" s="1">
        <f t="shared" ca="1" si="19"/>
        <v>62.821759448592161</v>
      </c>
      <c r="F234" s="1">
        <f t="shared" ca="1" si="17"/>
        <v>3.361640821977975</v>
      </c>
      <c r="G234" s="1">
        <f t="shared" ca="1" si="20"/>
        <v>2.506948279924508</v>
      </c>
      <c r="H234" s="1">
        <f t="shared" ca="1" si="18"/>
        <v>0.98068498700609297</v>
      </c>
    </row>
    <row r="235" spans="1:8">
      <c r="A235">
        <v>191</v>
      </c>
      <c r="B235">
        <f t="shared" ca="1" si="15"/>
        <v>0.54686265961141223</v>
      </c>
      <c r="C235" s="1">
        <f t="shared" ca="1" si="16"/>
        <v>46.668116165827556</v>
      </c>
      <c r="D235" s="1">
        <f t="shared" ca="1" si="21"/>
        <v>150.10538167027596</v>
      </c>
      <c r="E235" s="1">
        <f t="shared" ca="1" si="19"/>
        <v>179.96198643308003</v>
      </c>
      <c r="F235" s="1">
        <f t="shared" ca="1" si="17"/>
        <v>9.6298871058034123</v>
      </c>
      <c r="G235" s="1">
        <f t="shared" ca="1" si="20"/>
        <v>7.1814968514628852</v>
      </c>
      <c r="H235" s="1">
        <f t="shared" ca="1" si="18"/>
        <v>2.8092951671461455</v>
      </c>
    </row>
    <row r="236" spans="1:8">
      <c r="A236">
        <v>192</v>
      </c>
      <c r="B236">
        <f t="shared" ca="1" si="15"/>
        <v>0.27858774753788063</v>
      </c>
      <c r="C236" s="1">
        <f t="shared" ca="1" si="16"/>
        <v>74.297448296212579</v>
      </c>
      <c r="D236" s="1">
        <f t="shared" ca="1" si="21"/>
        <v>238.97359401418692</v>
      </c>
      <c r="E236" s="1">
        <f t="shared" ca="1" si="19"/>
        <v>286.50646886915922</v>
      </c>
      <c r="F236" s="1">
        <f t="shared" ca="1" si="17"/>
        <v>15.331148519446538</v>
      </c>
      <c r="G236" s="1">
        <f t="shared" ca="1" si="20"/>
        <v>11.433216102807883</v>
      </c>
      <c r="H236" s="1">
        <f t="shared" ca="1" si="18"/>
        <v>4.4725011403270516</v>
      </c>
    </row>
    <row r="237" spans="1:8">
      <c r="A237">
        <v>193</v>
      </c>
      <c r="B237">
        <f t="shared" ca="1" si="15"/>
        <v>0.10708084778578508</v>
      </c>
      <c r="C237" s="1">
        <f t="shared" ca="1" si="16"/>
        <v>91.960751432826726</v>
      </c>
      <c r="D237" s="1">
        <f t="shared" ca="1" si="21"/>
        <v>295.78662758415976</v>
      </c>
      <c r="E237" s="1">
        <f t="shared" ca="1" si="19"/>
        <v>354.61985944701183</v>
      </c>
      <c r="F237" s="1">
        <f t="shared" ca="1" si="17"/>
        <v>18.975938344080511</v>
      </c>
      <c r="G237" s="1">
        <f t="shared" ca="1" si="20"/>
        <v>14.151320385382819</v>
      </c>
      <c r="H237" s="1">
        <f t="shared" ca="1" si="18"/>
        <v>5.5357809599146526</v>
      </c>
    </row>
    <row r="238" spans="1:8">
      <c r="A238">
        <v>194</v>
      </c>
      <c r="B238">
        <f t="shared" ref="B238:B301" ca="1" si="22">RAND()</f>
        <v>0.61542723578802194</v>
      </c>
      <c r="C238" s="1">
        <f t="shared" ref="C238:C301" ca="1" si="23">IF($B238&lt;=0.005,$F$4,IF(B238&lt;=0.01,$F$4+($B238-0.005)*SLOPE($E$4:$F$4,$E$3:$F$3),IF($B238&lt;=0.04,$E$4+($B238-0.01)*SLOPE($D$4:$E$4,$D$3:$E$3),IF($B238&lt;=0.1,$D$4+($B238-0.04)*SLOPE($C$4:$D$4,$C$3:$D$3),IF($B238&lt;=1,$C$4+($B238-0.1)*SLOPE($B$4:$C$4,$B$3:$C$3),)))))</f>
        <v>39.606727410089562</v>
      </c>
      <c r="D238" s="1">
        <f t="shared" ca="1" si="21"/>
        <v>127.39281690662369</v>
      </c>
      <c r="E238" s="1">
        <f t="shared" ca="1" si="19"/>
        <v>152.73179474007623</v>
      </c>
      <c r="F238" s="1">
        <f t="shared" ref="F238:F301" ca="1" si="24">IF($B238&lt;=0.005,$F$22,IF($B238&lt;=0.01,$F$22+($B238-0.005)*SLOPE($E$22:$F$22,$E$21:$F$21),IF($B238&lt;=0.04,$E$22+($B238-0.01)*SLOPE($D$22:$E$22,$D$21:$E$21),IF($B238&lt;=0.1,$D$22+($B238-0.04)*SLOPE($C$22:$D$22,$C$21:$D$21),IF($B238&lt;=1,$C$22+($B238-0.1)*SLOPE($B$22:$C$22,$B$21:$C$21),)))))</f>
        <v>8.1727826398019232</v>
      </c>
      <c r="G238" s="1">
        <f t="shared" ca="1" si="20"/>
        <v>6.0948602881061902</v>
      </c>
      <c r="H238" s="1">
        <f t="shared" ref="H238:H301" ca="1" si="25">IF($B238&lt;=0.005,$F$34,IF($B238&lt;=0.01,$F$34+($B238-0.005)*SLOPE($E$34:$F$34,$E$33:$F$33),IF($B238&lt;=0.04,$E$34+($B238-0.01)*SLOPE($D$34:$E$34,$D$33:$E$33),IF($B238&lt;=0.1,$D$34+($B238-0.04)*SLOPE($C$34:$D$34,$C$33:$D$33),IF($B238&lt;=1,$C$34+($B238-0.1)*SLOPE($B$34:$C$34,$B$33:$C$33),)))))</f>
        <v>2.3842199643843678</v>
      </c>
    </row>
    <row r="239" spans="1:8">
      <c r="A239">
        <v>195</v>
      </c>
      <c r="B239">
        <f t="shared" ca="1" si="22"/>
        <v>0.19249649759621312</v>
      </c>
      <c r="C239" s="1">
        <f t="shared" ca="1" si="23"/>
        <v>83.163889514191084</v>
      </c>
      <c r="D239" s="1">
        <f t="shared" ca="1" si="21"/>
        <v>267.49200977522463</v>
      </c>
      <c r="E239" s="1">
        <f t="shared" ref="E239:E302" ca="1" si="26">IF($B239&lt;=0.005,$F$16,IF($B239&lt;=0.01,$F$16+($B239-0.005)*SLOPE($E$16:$F$16,$E$15:$F$15),IF($B239&lt;=0.04,$E$16+($B239-0.01)*SLOPE($D$16:$E$16,$D$15:$E$15),IF($B239&lt;=0.1,$D$16+($B239-0.04)*SLOPE($C$16:$D$16,$C$15:$D$15),IF($B239&lt;=1,$C$16+($B239-0.1)*SLOPE($B$16:$C$16,$B$15:$C$15),)))))</f>
        <v>320.69732032229837</v>
      </c>
      <c r="F239" s="1">
        <f t="shared" ca="1" si="24"/>
        <v>17.160722211414438</v>
      </c>
      <c r="G239" s="1">
        <f t="shared" ref="G239:G302" ca="1" si="27">IF($B239&lt;=0.005,$F$28,IF($B239&lt;=0.01,$F$28+($B239-0.005)*SLOPE($E$28:$F$28,$E$27:$F$27),IF($B239&lt;=0.04,$E$28+($B239-0.01)*SLOPE($D$28:$E$28,$D$27:$E$27),IF($B239&lt;=0.1,$D$28+($B239-0.04)*SLOPE($C$28:$D$28,$C$27:$D$27),IF($B239&lt;=1,$C$28+($B239-0.1)*SLOPE($B$28:$C$28,$B$27:$C$27),)))))</f>
        <v>12.797621823492694</v>
      </c>
      <c r="H239" s="1">
        <f t="shared" ca="1" si="25"/>
        <v>5.0062352865238662</v>
      </c>
    </row>
    <row r="240" spans="1:8">
      <c r="A240">
        <v>196</v>
      </c>
      <c r="B240">
        <f t="shared" ca="1" si="22"/>
        <v>0.27420404193725023</v>
      </c>
      <c r="C240" s="1">
        <f t="shared" ca="1" si="23"/>
        <v>74.748921216529666</v>
      </c>
      <c r="D240" s="1">
        <f t="shared" ref="D240:D303" ca="1" si="28">IF($B240&lt;=0.005,$F$10,IF($B240&lt;=0.01,$F$10+($B240-0.005)*SLOPE($E$10:$F$10,$E$9:$F$9),IF($B240&lt;=0.04,$E$10+($B240-0.01)*SLOPE($D$10:$E$10,$D$9:$E$9),IF($B240&lt;=0.1,$D$10+($B240-0.04)*SLOPE($C$10:$D$10,$C$9:$D$9),IF($B240&lt;=1,$C$10+($B240-0.1)*SLOPE($B$10:$C$10,$B$9:$C$9),)))))</f>
        <v>240.42573158888206</v>
      </c>
      <c r="E240" s="1">
        <f t="shared" ca="1" si="26"/>
        <v>288.24744286020945</v>
      </c>
      <c r="F240" s="1">
        <f t="shared" ca="1" si="24"/>
        <v>15.424309118760405</v>
      </c>
      <c r="G240" s="1">
        <f t="shared" ca="1" si="27"/>
        <v>11.502690677789088</v>
      </c>
      <c r="H240" s="1">
        <f t="shared" ca="1" si="25"/>
        <v>4.4996785058260542</v>
      </c>
    </row>
    <row r="241" spans="1:8">
      <c r="A241">
        <v>197</v>
      </c>
      <c r="B241">
        <f t="shared" ca="1" si="22"/>
        <v>0.59783288873885743</v>
      </c>
      <c r="C241" s="1">
        <f t="shared" ca="1" si="23"/>
        <v>41.418749467915774</v>
      </c>
      <c r="D241" s="1">
        <f t="shared" ca="1" si="28"/>
        <v>133.22108522113925</v>
      </c>
      <c r="E241" s="1">
        <f t="shared" ca="1" si="26"/>
        <v>159.71933071824546</v>
      </c>
      <c r="F241" s="1">
        <f t="shared" ca="1" si="24"/>
        <v>8.5466900288840364</v>
      </c>
      <c r="G241" s="1">
        <f t="shared" ca="1" si="27"/>
        <v>6.3737019564738757</v>
      </c>
      <c r="H241" s="1">
        <f t="shared" ca="1" si="25"/>
        <v>2.4932984573385188</v>
      </c>
    </row>
    <row r="242" spans="1:8">
      <c r="A242">
        <v>198</v>
      </c>
      <c r="B242">
        <f t="shared" ca="1" si="22"/>
        <v>0.57619273581454089</v>
      </c>
      <c r="C242" s="1">
        <f t="shared" ca="1" si="23"/>
        <v>43.647444532530628</v>
      </c>
      <c r="D242" s="1">
        <f t="shared" ca="1" si="28"/>
        <v>140.38955912117265</v>
      </c>
      <c r="E242" s="1">
        <f t="shared" ca="1" si="26"/>
        <v>168.31364494367313</v>
      </c>
      <c r="F242" s="1">
        <f t="shared" ca="1" si="24"/>
        <v>9.006577119701257</v>
      </c>
      <c r="G242" s="1">
        <f t="shared" ca="1" si="27"/>
        <v>6.7166630409794141</v>
      </c>
      <c r="H242" s="1">
        <f t="shared" ca="1" si="25"/>
        <v>2.6274594615341198</v>
      </c>
    </row>
    <row r="243" spans="1:8">
      <c r="A243">
        <v>199</v>
      </c>
      <c r="B243">
        <f t="shared" ca="1" si="22"/>
        <v>0.56278010895587849</v>
      </c>
      <c r="C243" s="1">
        <f t="shared" ca="1" si="23"/>
        <v>45.028795920756352</v>
      </c>
      <c r="D243" s="1">
        <f t="shared" ca="1" si="28"/>
        <v>144.83259914512595</v>
      </c>
      <c r="E243" s="1">
        <f t="shared" ca="1" si="26"/>
        <v>173.64042475964322</v>
      </c>
      <c r="F243" s="1">
        <f t="shared" ca="1" si="24"/>
        <v>9.2916164153023537</v>
      </c>
      <c r="G243" s="1">
        <f t="shared" ca="1" si="27"/>
        <v>6.9292312732651506</v>
      </c>
      <c r="H243" s="1">
        <f t="shared" ca="1" si="25"/>
        <v>2.7106128243847598</v>
      </c>
    </row>
    <row r="244" spans="1:8">
      <c r="A244">
        <v>200</v>
      </c>
      <c r="B244">
        <f t="shared" ca="1" si="22"/>
        <v>0.40604528016356889</v>
      </c>
      <c r="C244" s="1">
        <f t="shared" ca="1" si="23"/>
        <v>61.170740046768444</v>
      </c>
      <c r="D244" s="1">
        <f t="shared" ca="1" si="28"/>
        <v>196.75226594939187</v>
      </c>
      <c r="E244" s="1">
        <f t="shared" ca="1" si="26"/>
        <v>235.88713685177879</v>
      </c>
      <c r="F244" s="1">
        <f t="shared" ca="1" si="24"/>
        <v>12.622476631268551</v>
      </c>
      <c r="G244" s="1">
        <f t="shared" ca="1" si="27"/>
        <v>9.4132223545850202</v>
      </c>
      <c r="H244" s="1">
        <f t="shared" ca="1" si="25"/>
        <v>3.6823112267363207</v>
      </c>
    </row>
    <row r="245" spans="1:8">
      <c r="A245">
        <v>201</v>
      </c>
      <c r="B245">
        <f t="shared" ca="1" si="22"/>
        <v>2.7072620201399E-2</v>
      </c>
      <c r="C245" s="1">
        <f t="shared" ca="1" si="23"/>
        <v>125.32709128569456</v>
      </c>
      <c r="D245" s="1">
        <f t="shared" ca="1" si="28"/>
        <v>399.03680307160528</v>
      </c>
      <c r="E245" s="1">
        <f t="shared" ca="1" si="26"/>
        <v>478.31759865325228</v>
      </c>
      <c r="F245" s="1">
        <f t="shared" ca="1" si="24"/>
        <v>28.274372443984074</v>
      </c>
      <c r="G245" s="1">
        <f t="shared" ca="1" si="27"/>
        <v>18.652035038530105</v>
      </c>
      <c r="H245" s="1">
        <f t="shared" ca="1" si="25"/>
        <v>7.0506559226759249</v>
      </c>
    </row>
    <row r="246" spans="1:8">
      <c r="A246">
        <v>202</v>
      </c>
      <c r="B246">
        <f t="shared" ca="1" si="22"/>
        <v>0.63214891915482296</v>
      </c>
      <c r="C246" s="1">
        <f t="shared" ca="1" si="23"/>
        <v>37.884580005587395</v>
      </c>
      <c r="D246" s="1">
        <f t="shared" ca="1" si="28"/>
        <v>121.85362542314567</v>
      </c>
      <c r="E246" s="1">
        <f t="shared" ca="1" si="26"/>
        <v>146.09083421937166</v>
      </c>
      <c r="F246" s="1">
        <f t="shared" ca="1" si="24"/>
        <v>7.817420718653775</v>
      </c>
      <c r="G246" s="1">
        <f t="shared" ca="1" si="27"/>
        <v>5.8298489140048488</v>
      </c>
      <c r="H246" s="1">
        <f t="shared" ca="1" si="25"/>
        <v>2.280551665912685</v>
      </c>
    </row>
    <row r="247" spans="1:8">
      <c r="A247">
        <v>203</v>
      </c>
      <c r="B247">
        <f t="shared" ca="1" si="22"/>
        <v>0.44326974279884657</v>
      </c>
      <c r="C247" s="1">
        <f t="shared" ca="1" si="23"/>
        <v>57.337034414080378</v>
      </c>
      <c r="D247" s="1">
        <f t="shared" ca="1" si="28"/>
        <v>184.42136469481193</v>
      </c>
      <c r="E247" s="1">
        <f t="shared" ca="1" si="26"/>
        <v>221.10356624212832</v>
      </c>
      <c r="F247" s="1">
        <f t="shared" ca="1" si="24"/>
        <v>11.831398588130698</v>
      </c>
      <c r="G247" s="1">
        <f t="shared" ca="1" si="27"/>
        <v>8.8232754110407683</v>
      </c>
      <c r="H247" s="1">
        <f t="shared" ca="1" si="25"/>
        <v>3.4515332232140463</v>
      </c>
    </row>
    <row r="248" spans="1:8">
      <c r="A248">
        <v>204</v>
      </c>
      <c r="B248">
        <f t="shared" ca="1" si="22"/>
        <v>0.88389011147885033</v>
      </c>
      <c r="C248" s="1">
        <f t="shared" ca="1" si="23"/>
        <v>11.958037117696094</v>
      </c>
      <c r="D248" s="1">
        <f t="shared" ca="1" si="28"/>
        <v>38.462340109709146</v>
      </c>
      <c r="E248" s="1">
        <f t="shared" ca="1" si="26"/>
        <v>46.112663183186953</v>
      </c>
      <c r="F248" s="1">
        <f t="shared" ca="1" si="24"/>
        <v>2.4675267053510943</v>
      </c>
      <c r="G248" s="1">
        <f t="shared" ca="1" si="27"/>
        <v>1.8401621203800964</v>
      </c>
      <c r="H248" s="1">
        <f t="shared" ca="1" si="25"/>
        <v>0.71984868577623207</v>
      </c>
    </row>
    <row r="249" spans="1:8">
      <c r="A249">
        <v>205</v>
      </c>
      <c r="B249">
        <f t="shared" ca="1" si="22"/>
        <v>0.14554541816400535</v>
      </c>
      <c r="C249" s="1">
        <f t="shared" ca="1" si="23"/>
        <v>87.999328495369468</v>
      </c>
      <c r="D249" s="1">
        <f t="shared" ca="1" si="28"/>
        <v>283.04493071184072</v>
      </c>
      <c r="E249" s="1">
        <f t="shared" ca="1" si="26"/>
        <v>339.34378420241222</v>
      </c>
      <c r="F249" s="1">
        <f t="shared" ca="1" si="24"/>
        <v>18.158506072107201</v>
      </c>
      <c r="G249" s="1">
        <f t="shared" ca="1" si="27"/>
        <v>13.541719759264755</v>
      </c>
      <c r="H249" s="1">
        <f t="shared" ca="1" si="25"/>
        <v>5.297314743620233</v>
      </c>
    </row>
    <row r="250" spans="1:8">
      <c r="A250">
        <v>206</v>
      </c>
      <c r="B250">
        <f t="shared" ca="1" si="22"/>
        <v>9.7780026616492877E-2</v>
      </c>
      <c r="C250" s="1">
        <f t="shared" ca="1" si="23"/>
        <v>93.246103332568538</v>
      </c>
      <c r="D250" s="1">
        <f t="shared" ca="1" si="28"/>
        <v>299.83151198971632</v>
      </c>
      <c r="E250" s="1">
        <f t="shared" ca="1" si="26"/>
        <v>359.46639294070212</v>
      </c>
      <c r="F250" s="1">
        <f t="shared" ca="1" si="24"/>
        <v>19.399668413676938</v>
      </c>
      <c r="G250" s="1">
        <f t="shared" ca="1" si="27"/>
        <v>14.35518649947249</v>
      </c>
      <c r="H250" s="1">
        <f t="shared" ca="1" si="25"/>
        <v>5.6092914130179432</v>
      </c>
    </row>
    <row r="251" spans="1:8">
      <c r="A251">
        <v>207</v>
      </c>
      <c r="B251">
        <f t="shared" ca="1" si="22"/>
        <v>0.67986900764401226</v>
      </c>
      <c r="C251" s="1">
        <f t="shared" ca="1" si="23"/>
        <v>32.969941644629543</v>
      </c>
      <c r="D251" s="1">
        <f t="shared" ca="1" si="28"/>
        <v>106.0459640799742</v>
      </c>
      <c r="E251" s="1">
        <f t="shared" ca="1" si="26"/>
        <v>127.1389609689538</v>
      </c>
      <c r="F251" s="1">
        <f t="shared" ca="1" si="24"/>
        <v>6.8032942129129772</v>
      </c>
      <c r="G251" s="1">
        <f t="shared" ca="1" si="27"/>
        <v>5.0735634405060743</v>
      </c>
      <c r="H251" s="1">
        <f t="shared" ca="1" si="25"/>
        <v>1.9847046349603952</v>
      </c>
    </row>
    <row r="252" spans="1:8">
      <c r="A252">
        <v>208</v>
      </c>
      <c r="B252">
        <f t="shared" ca="1" si="22"/>
        <v>9.7908282228288068E-2</v>
      </c>
      <c r="C252" s="1">
        <f t="shared" ca="1" si="23"/>
        <v>93.213975301813832</v>
      </c>
      <c r="D252" s="1">
        <f t="shared" ca="1" si="28"/>
        <v>299.73333767653878</v>
      </c>
      <c r="E252" s="1">
        <f t="shared" ca="1" si="26"/>
        <v>359.34885863651596</v>
      </c>
      <c r="F252" s="1">
        <f t="shared" ca="1" si="24"/>
        <v>19.383881750645475</v>
      </c>
      <c r="G252" s="1">
        <f t="shared" ca="1" si="27"/>
        <v>14.349891776269542</v>
      </c>
      <c r="H252" s="1">
        <f t="shared" ca="1" si="25"/>
        <v>5.6075806361858236</v>
      </c>
    </row>
    <row r="253" spans="1:8">
      <c r="A253">
        <v>209</v>
      </c>
      <c r="B253">
        <f t="shared" ca="1" si="22"/>
        <v>0.8443650847531432</v>
      </c>
      <c r="C253" s="1">
        <f t="shared" ca="1" si="23"/>
        <v>16.02867526431335</v>
      </c>
      <c r="D253" s="1">
        <f t="shared" ca="1" si="28"/>
        <v>51.555321636793337</v>
      </c>
      <c r="E253" s="1">
        <f t="shared" ca="1" si="26"/>
        <v>61.809895112978495</v>
      </c>
      <c r="F253" s="1">
        <f t="shared" ca="1" si="24"/>
        <v>3.3074953330650523</v>
      </c>
      <c r="G253" s="1">
        <f t="shared" ca="1" si="27"/>
        <v>2.4665692478328261</v>
      </c>
      <c r="H253" s="1">
        <f t="shared" ca="1" si="25"/>
        <v>0.96488934213963073</v>
      </c>
    </row>
    <row r="254" spans="1:8">
      <c r="A254">
        <v>210</v>
      </c>
      <c r="B254">
        <f t="shared" ca="1" si="22"/>
        <v>4.7237024777109116E-2</v>
      </c>
      <c r="C254" s="1">
        <f t="shared" ca="1" si="23"/>
        <v>105.90712529333416</v>
      </c>
      <c r="D254" s="1">
        <f t="shared" ca="1" si="28"/>
        <v>338.52006855312584</v>
      </c>
      <c r="E254" s="1">
        <f t="shared" ca="1" si="26"/>
        <v>405.78433934105112</v>
      </c>
      <c r="F254" s="1">
        <f t="shared" ca="1" si="24"/>
        <v>25.620880315976915</v>
      </c>
      <c r="G254" s="1">
        <f t="shared" ca="1" si="27"/>
        <v>16.441732271933439</v>
      </c>
      <c r="H254" s="1">
        <f t="shared" ca="1" si="25"/>
        <v>6.2834747517610641</v>
      </c>
    </row>
    <row r="255" spans="1:8">
      <c r="A255">
        <v>211</v>
      </c>
      <c r="B255">
        <f t="shared" ca="1" si="22"/>
        <v>0.43365499922911188</v>
      </c>
      <c r="C255" s="1">
        <f t="shared" ca="1" si="23"/>
        <v>58.32724606444846</v>
      </c>
      <c r="D255" s="1">
        <f t="shared" ca="1" si="28"/>
        <v>187.6063254747198</v>
      </c>
      <c r="E255" s="1">
        <f t="shared" ca="1" si="26"/>
        <v>224.92202943525845</v>
      </c>
      <c r="F255" s="1">
        <f t="shared" ca="1" si="24"/>
        <v>12.035726924658778</v>
      </c>
      <c r="G255" s="1">
        <f t="shared" ca="1" si="27"/>
        <v>8.9756533953115536</v>
      </c>
      <c r="H255" s="1">
        <f t="shared" ca="1" si="25"/>
        <v>3.5111411038473364</v>
      </c>
    </row>
    <row r="256" spans="1:8">
      <c r="A256">
        <v>212</v>
      </c>
      <c r="B256">
        <f t="shared" ca="1" si="22"/>
        <v>0.63997182956046683</v>
      </c>
      <c r="C256" s="1">
        <f t="shared" ca="1" si="23"/>
        <v>37.078907241954035</v>
      </c>
      <c r="D256" s="1">
        <f t="shared" ca="1" si="28"/>
        <v>119.26222372366215</v>
      </c>
      <c r="E256" s="1">
        <f t="shared" ca="1" si="26"/>
        <v>142.98399156356385</v>
      </c>
      <c r="F256" s="1">
        <f t="shared" ca="1" si="24"/>
        <v>7.6511716389565283</v>
      </c>
      <c r="G256" s="1">
        <f t="shared" ca="1" si="27"/>
        <v>5.7058685592406029</v>
      </c>
      <c r="H256" s="1">
        <f t="shared" ca="1" si="25"/>
        <v>2.2320524931284642</v>
      </c>
    </row>
    <row r="257" spans="1:8">
      <c r="A257">
        <v>213</v>
      </c>
      <c r="B257">
        <f t="shared" ca="1" si="22"/>
        <v>0.96060802754117025</v>
      </c>
      <c r="C257" s="1">
        <f t="shared" ca="1" si="23"/>
        <v>4.0569450369880116</v>
      </c>
      <c r="D257" s="1">
        <f t="shared" ca="1" si="28"/>
        <v>13.048916235992976</v>
      </c>
      <c r="E257" s="1">
        <f t="shared" ca="1" si="26"/>
        <v>15.644399873518751</v>
      </c>
      <c r="F257" s="1">
        <f t="shared" ca="1" si="24"/>
        <v>0.83715101647067769</v>
      </c>
      <c r="G257" s="1">
        <f t="shared" ca="1" si="27"/>
        <v>0.62430843460633589</v>
      </c>
      <c r="H257" s="1">
        <f t="shared" ca="1" si="25"/>
        <v>0.24422576875196533</v>
      </c>
    </row>
    <row r="258" spans="1:8">
      <c r="A258">
        <v>214</v>
      </c>
      <c r="B258">
        <f t="shared" ca="1" si="22"/>
        <v>1.1114884747945197E-2</v>
      </c>
      <c r="C258" s="1">
        <f t="shared" ca="1" si="23"/>
        <v>147.06152697329864</v>
      </c>
      <c r="D258" s="1">
        <f t="shared" ca="1" si="28"/>
        <v>466.90128462568299</v>
      </c>
      <c r="E258" s="1">
        <f t="shared" ca="1" si="26"/>
        <v>559.66694794787861</v>
      </c>
      <c r="F258" s="1">
        <f t="shared" ca="1" si="24"/>
        <v>30.450279518439114</v>
      </c>
      <c r="G258" s="1">
        <f t="shared" ca="1" si="27"/>
        <v>21.011665909477522</v>
      </c>
      <c r="H258" s="1">
        <f t="shared" ca="1" si="25"/>
        <v>7.8785129101238702</v>
      </c>
    </row>
    <row r="259" spans="1:8">
      <c r="A259">
        <v>215</v>
      </c>
      <c r="B259">
        <f t="shared" ca="1" si="22"/>
        <v>0.73175762724345716</v>
      </c>
      <c r="C259" s="1">
        <f t="shared" ca="1" si="23"/>
        <v>27.625990942644705</v>
      </c>
      <c r="D259" s="1">
        <f t="shared" ca="1" si="28"/>
        <v>88.857443434659501</v>
      </c>
      <c r="E259" s="1">
        <f t="shared" ca="1" si="26"/>
        <v>106.53156955536474</v>
      </c>
      <c r="F259" s="1">
        <f t="shared" ca="1" si="24"/>
        <v>5.7005799022716701</v>
      </c>
      <c r="G259" s="1">
        <f t="shared" ca="1" si="27"/>
        <v>4.251213556308894</v>
      </c>
      <c r="H259" s="1">
        <f t="shared" ca="1" si="25"/>
        <v>1.6630142413605111</v>
      </c>
    </row>
    <row r="260" spans="1:8">
      <c r="A260">
        <v>216</v>
      </c>
      <c r="B260">
        <f t="shared" ca="1" si="22"/>
        <v>0.62573817935321363</v>
      </c>
      <c r="C260" s="1">
        <f t="shared" ca="1" si="23"/>
        <v>38.544814903480471</v>
      </c>
      <c r="D260" s="1">
        <f t="shared" ca="1" si="28"/>
        <v>123.97723430467548</v>
      </c>
      <c r="E260" s="1">
        <f t="shared" ca="1" si="26"/>
        <v>148.6368380514692</v>
      </c>
      <c r="F260" s="1">
        <f t="shared" ca="1" si="24"/>
        <v>7.9536589646430382</v>
      </c>
      <c r="G260" s="1">
        <f t="shared" ca="1" si="27"/>
        <v>5.9314486708333778</v>
      </c>
      <c r="H260" s="1">
        <f t="shared" ca="1" si="25"/>
        <v>2.3202958993489551</v>
      </c>
    </row>
    <row r="261" spans="1:8">
      <c r="A261">
        <v>217</v>
      </c>
      <c r="B261">
        <f t="shared" ca="1" si="22"/>
        <v>2.9241781731284E-3</v>
      </c>
      <c r="C261" s="1">
        <f t="shared" ca="1" si="23"/>
        <v>154.26</v>
      </c>
      <c r="D261" s="1">
        <f t="shared" ca="1" si="28"/>
        <v>490.57679011763298</v>
      </c>
      <c r="E261" s="1">
        <f t="shared" ca="1" si="26"/>
        <v>588.07132005685003</v>
      </c>
      <c r="F261" s="1">
        <f t="shared" ca="1" si="24"/>
        <v>31.846409312708399</v>
      </c>
      <c r="G261" s="1">
        <f t="shared" ca="1" si="27"/>
        <v>22.024287970326</v>
      </c>
      <c r="H261" s="1">
        <f t="shared" ca="1" si="25"/>
        <v>8.2474320175743205</v>
      </c>
    </row>
    <row r="262" spans="1:8">
      <c r="A262">
        <v>218</v>
      </c>
      <c r="B262">
        <f t="shared" ca="1" si="22"/>
        <v>0.41249640771593565</v>
      </c>
      <c r="C262" s="1">
        <f t="shared" ca="1" si="23"/>
        <v>60.506345659748895</v>
      </c>
      <c r="D262" s="1">
        <f t="shared" ca="1" si="28"/>
        <v>194.61527830209278</v>
      </c>
      <c r="E262" s="1">
        <f t="shared" ca="1" si="26"/>
        <v>233.32509315979297</v>
      </c>
      <c r="F262" s="1">
        <f t="shared" ca="1" si="24"/>
        <v>12.485380082416761</v>
      </c>
      <c r="G262" s="1">
        <f t="shared" ca="1" si="27"/>
        <v>9.3109825178620014</v>
      </c>
      <c r="H262" s="1">
        <f t="shared" ca="1" si="25"/>
        <v>3.6423166040713899</v>
      </c>
    </row>
    <row r="263" spans="1:8">
      <c r="A263">
        <v>219</v>
      </c>
      <c r="B263">
        <f t="shared" ca="1" si="22"/>
        <v>0.68410139914251156</v>
      </c>
      <c r="C263" s="1">
        <f t="shared" ca="1" si="23"/>
        <v>32.534052393882888</v>
      </c>
      <c r="D263" s="1">
        <f t="shared" ca="1" si="28"/>
        <v>104.64395051298027</v>
      </c>
      <c r="E263" s="1">
        <f t="shared" ca="1" si="26"/>
        <v>125.45808086656513</v>
      </c>
      <c r="F263" s="1">
        <f t="shared" ca="1" si="24"/>
        <v>6.7133492748965171</v>
      </c>
      <c r="G263" s="1">
        <f t="shared" ca="1" si="27"/>
        <v>5.0064869469408979</v>
      </c>
      <c r="H263" s="1">
        <f t="shared" ca="1" si="25"/>
        <v>1.958465361348352</v>
      </c>
    </row>
    <row r="264" spans="1:8">
      <c r="A264">
        <v>220</v>
      </c>
      <c r="B264">
        <f t="shared" ca="1" si="22"/>
        <v>0.35524202931828996</v>
      </c>
      <c r="C264" s="1">
        <f t="shared" ca="1" si="23"/>
        <v>66.402909838786655</v>
      </c>
      <c r="D264" s="1">
        <f t="shared" ca="1" si="28"/>
        <v>213.58124950578849</v>
      </c>
      <c r="E264" s="1">
        <f t="shared" ca="1" si="26"/>
        <v>256.06347770133596</v>
      </c>
      <c r="F264" s="1">
        <f t="shared" ca="1" si="24"/>
        <v>13.702125158568908</v>
      </c>
      <c r="G264" s="1">
        <f t="shared" ca="1" si="27"/>
        <v>10.218370916484753</v>
      </c>
      <c r="H264" s="1">
        <f t="shared" ca="1" si="25"/>
        <v>3.9972727324909703</v>
      </c>
    </row>
    <row r="265" spans="1:8">
      <c r="A265">
        <v>221</v>
      </c>
      <c r="B265">
        <f t="shared" ca="1" si="22"/>
        <v>0.49185183657228049</v>
      </c>
      <c r="C265" s="1">
        <f t="shared" ca="1" si="23"/>
        <v>52.333619096259653</v>
      </c>
      <c r="D265" s="1">
        <f t="shared" ca="1" si="28"/>
        <v>168.32815720030734</v>
      </c>
      <c r="E265" s="1">
        <f t="shared" ca="1" si="26"/>
        <v>201.80935048134614</v>
      </c>
      <c r="F265" s="1">
        <f t="shared" ca="1" si="24"/>
        <v>10.798953122083715</v>
      </c>
      <c r="G265" s="1">
        <f t="shared" ca="1" si="27"/>
        <v>8.0533285614801908</v>
      </c>
      <c r="H265" s="1">
        <f t="shared" ca="1" si="25"/>
        <v>3.1503420759350074</v>
      </c>
    </row>
    <row r="266" spans="1:8">
      <c r="A266">
        <v>222</v>
      </c>
      <c r="B266">
        <f t="shared" ca="1" si="22"/>
        <v>0.37248751172834405</v>
      </c>
      <c r="C266" s="1">
        <f t="shared" ca="1" si="23"/>
        <v>64.626816958638784</v>
      </c>
      <c r="D266" s="1">
        <f t="shared" ca="1" si="28"/>
        <v>207.86854539587233</v>
      </c>
      <c r="E266" s="1">
        <f t="shared" ca="1" si="26"/>
        <v>249.21449214566792</v>
      </c>
      <c r="F266" s="1">
        <f t="shared" ca="1" si="24"/>
        <v>13.335631688627322</v>
      </c>
      <c r="G266" s="1">
        <f t="shared" ca="1" si="27"/>
        <v>9.9450581829352913</v>
      </c>
      <c r="H266" s="1">
        <f t="shared" ca="1" si="25"/>
        <v>3.8903570722337544</v>
      </c>
    </row>
    <row r="267" spans="1:8">
      <c r="A267">
        <v>223</v>
      </c>
      <c r="B267">
        <f t="shared" ca="1" si="22"/>
        <v>2.0631464472233074E-2</v>
      </c>
      <c r="C267" s="1">
        <f t="shared" ca="1" si="23"/>
        <v>134.09994538881855</v>
      </c>
      <c r="D267" s="1">
        <f t="shared" ca="1" si="28"/>
        <v>426.42951774869402</v>
      </c>
      <c r="E267" s="1">
        <f t="shared" ca="1" si="26"/>
        <v>511.15332454940972</v>
      </c>
      <c r="F267" s="1">
        <f t="shared" ca="1" si="24"/>
        <v>29.152652219935952</v>
      </c>
      <c r="G267" s="1">
        <f t="shared" ca="1" si="27"/>
        <v>19.604472804368001</v>
      </c>
      <c r="H267" s="1">
        <f t="shared" ca="1" si="25"/>
        <v>7.3848108404074555</v>
      </c>
    </row>
    <row r="268" spans="1:8">
      <c r="A268">
        <v>224</v>
      </c>
      <c r="B268">
        <f t="shared" ca="1" si="22"/>
        <v>0.40222949965513022</v>
      </c>
      <c r="C268" s="1">
        <f t="shared" ca="1" si="23"/>
        <v>61.563722999178864</v>
      </c>
      <c r="D268" s="1">
        <f t="shared" ca="1" si="28"/>
        <v>198.01627379067946</v>
      </c>
      <c r="E268" s="1">
        <f t="shared" ca="1" si="26"/>
        <v>237.40256129538031</v>
      </c>
      <c r="F268" s="1">
        <f t="shared" ca="1" si="24"/>
        <v>12.703567934244099</v>
      </c>
      <c r="G268" s="1">
        <f t="shared" ca="1" si="27"/>
        <v>9.4736962443022552</v>
      </c>
      <c r="H268" s="1">
        <f t="shared" ca="1" si="25"/>
        <v>3.7059676651447058</v>
      </c>
    </row>
    <row r="269" spans="1:8">
      <c r="A269">
        <v>225</v>
      </c>
      <c r="B269">
        <f t="shared" ca="1" si="22"/>
        <v>0.20287457142999599</v>
      </c>
      <c r="C269" s="1">
        <f t="shared" ca="1" si="23"/>
        <v>82.095063336554873</v>
      </c>
      <c r="D269" s="1">
        <f t="shared" ca="1" si="28"/>
        <v>264.05418973438304</v>
      </c>
      <c r="E269" s="1">
        <f t="shared" ca="1" si="26"/>
        <v>316.57570307245004</v>
      </c>
      <c r="F269" s="1">
        <f t="shared" ca="1" si="24"/>
        <v>16.940171913068731</v>
      </c>
      <c r="G269" s="1">
        <f t="shared" ca="1" si="27"/>
        <v>12.633146301089464</v>
      </c>
      <c r="H269" s="1">
        <f t="shared" ca="1" si="25"/>
        <v>4.9418950384661979</v>
      </c>
    </row>
    <row r="270" spans="1:8">
      <c r="A270">
        <v>226</v>
      </c>
      <c r="B270">
        <f t="shared" ca="1" si="22"/>
        <v>0.43961079347241683</v>
      </c>
      <c r="C270" s="1">
        <f t="shared" ca="1" si="23"/>
        <v>57.713865499055132</v>
      </c>
      <c r="D270" s="1">
        <f t="shared" ca="1" si="28"/>
        <v>185.63342095152086</v>
      </c>
      <c r="E270" s="1">
        <f t="shared" ca="1" si="26"/>
        <v>222.55670570728057</v>
      </c>
      <c r="F270" s="1">
        <f t="shared" ca="1" si="24"/>
        <v>11.909156983233746</v>
      </c>
      <c r="G270" s="1">
        <f t="shared" ca="1" si="27"/>
        <v>8.8812637826355498</v>
      </c>
      <c r="H270" s="1">
        <f t="shared" ca="1" si="25"/>
        <v>3.4742173658655076</v>
      </c>
    </row>
    <row r="271" spans="1:8">
      <c r="A271">
        <v>227</v>
      </c>
      <c r="B271">
        <f t="shared" ca="1" si="22"/>
        <v>8.9442262452889887E-2</v>
      </c>
      <c r="C271" s="1">
        <f t="shared" ca="1" si="23"/>
        <v>95.33471325555108</v>
      </c>
      <c r="D271" s="1">
        <f t="shared" ca="1" si="28"/>
        <v>306.21372216158164</v>
      </c>
      <c r="E271" s="1">
        <f t="shared" ca="1" si="26"/>
        <v>367.10717602785928</v>
      </c>
      <c r="F271" s="1">
        <f t="shared" ca="1" si="24"/>
        <v>20.425942987118649</v>
      </c>
      <c r="G271" s="1">
        <f t="shared" ca="1" si="27"/>
        <v>14.699390957740066</v>
      </c>
      <c r="H271" s="1">
        <f t="shared" ca="1" si="25"/>
        <v>5.7205072386891942</v>
      </c>
    </row>
    <row r="272" spans="1:8">
      <c r="A272">
        <v>228</v>
      </c>
      <c r="B272">
        <f t="shared" ca="1" si="22"/>
        <v>0.52611902107545516</v>
      </c>
      <c r="C272" s="1">
        <f t="shared" ca="1" si="23"/>
        <v>48.804480219673636</v>
      </c>
      <c r="D272" s="1">
        <f t="shared" ca="1" si="28"/>
        <v>156.97687800196982</v>
      </c>
      <c r="E272" s="1">
        <f t="shared" ca="1" si="26"/>
        <v>188.20025297307197</v>
      </c>
      <c r="F272" s="1">
        <f t="shared" ca="1" si="24"/>
        <v>10.070721863886186</v>
      </c>
      <c r="G272" s="1">
        <f t="shared" ca="1" si="27"/>
        <v>7.5102496469613209</v>
      </c>
      <c r="H272" s="1">
        <f t="shared" ca="1" si="25"/>
        <v>2.9378981112375149</v>
      </c>
    </row>
    <row r="273" spans="1:8">
      <c r="A273">
        <v>229</v>
      </c>
      <c r="B273">
        <f t="shared" ca="1" si="22"/>
        <v>0.37244926083694541</v>
      </c>
      <c r="C273" s="1">
        <f t="shared" ca="1" si="23"/>
        <v>64.630756375017938</v>
      </c>
      <c r="D273" s="1">
        <f t="shared" ca="1" si="28"/>
        <v>207.881216309872</v>
      </c>
      <c r="E273" s="1">
        <f t="shared" ca="1" si="26"/>
        <v>249.22968335902175</v>
      </c>
      <c r="F273" s="1">
        <f t="shared" ca="1" si="24"/>
        <v>13.336444579886825</v>
      </c>
      <c r="G273" s="1">
        <f t="shared" ca="1" si="27"/>
        <v>9.9456643970985308</v>
      </c>
      <c r="H273" s="1">
        <f t="shared" ca="1" si="25"/>
        <v>3.8905942137188152</v>
      </c>
    </row>
    <row r="274" spans="1:8">
      <c r="A274">
        <v>230</v>
      </c>
      <c r="B274">
        <f t="shared" ca="1" si="22"/>
        <v>4.5415278792456659E-3</v>
      </c>
      <c r="C274" s="1">
        <f t="shared" ca="1" si="23"/>
        <v>154.26</v>
      </c>
      <c r="D274" s="1">
        <f t="shared" ca="1" si="28"/>
        <v>490.57679011763298</v>
      </c>
      <c r="E274" s="1">
        <f t="shared" ca="1" si="26"/>
        <v>588.07132005685003</v>
      </c>
      <c r="F274" s="1">
        <f t="shared" ca="1" si="24"/>
        <v>31.846409312708399</v>
      </c>
      <c r="G274" s="1">
        <f t="shared" ca="1" si="27"/>
        <v>22.024287970326</v>
      </c>
      <c r="H274" s="1">
        <f t="shared" ca="1" si="25"/>
        <v>8.2474320175743205</v>
      </c>
    </row>
    <row r="275" spans="1:8">
      <c r="A275">
        <v>231</v>
      </c>
      <c r="B275">
        <f t="shared" ca="1" si="22"/>
        <v>0.52486022108523722</v>
      </c>
      <c r="C275" s="1">
        <f t="shared" ca="1" si="23"/>
        <v>48.934122618012864</v>
      </c>
      <c r="D275" s="1">
        <f t="shared" ca="1" si="28"/>
        <v>157.39386557626281</v>
      </c>
      <c r="E275" s="1">
        <f t="shared" ca="1" si="26"/>
        <v>188.70018117139543</v>
      </c>
      <c r="F275" s="1">
        <f t="shared" ca="1" si="24"/>
        <v>10.097473332207446</v>
      </c>
      <c r="G275" s="1">
        <f t="shared" ca="1" si="27"/>
        <v>7.5301995711291676</v>
      </c>
      <c r="H275" s="1">
        <f t="shared" ca="1" si="25"/>
        <v>2.9457022090809861</v>
      </c>
    </row>
    <row r="276" spans="1:8">
      <c r="A276">
        <v>232</v>
      </c>
      <c r="B276">
        <f t="shared" ca="1" si="22"/>
        <v>0.91284790429806706</v>
      </c>
      <c r="C276" s="1">
        <f t="shared" ca="1" si="23"/>
        <v>8.9757065323235707</v>
      </c>
      <c r="D276" s="1">
        <f t="shared" ca="1" si="28"/>
        <v>28.869839411903342</v>
      </c>
      <c r="E276" s="1">
        <f t="shared" ca="1" si="26"/>
        <v>34.612172792311299</v>
      </c>
      <c r="F276" s="1">
        <f t="shared" ca="1" si="24"/>
        <v>1.8521283233390591</v>
      </c>
      <c r="G276" s="1">
        <f t="shared" ca="1" si="27"/>
        <v>1.3812283935760892</v>
      </c>
      <c r="H276" s="1">
        <f t="shared" ca="1" si="25"/>
        <v>0.5403210004820691</v>
      </c>
    </row>
    <row r="277" spans="1:8">
      <c r="A277">
        <v>233</v>
      </c>
      <c r="B277">
        <f t="shared" ca="1" si="22"/>
        <v>0.92507871119784846</v>
      </c>
      <c r="C277" s="1">
        <f t="shared" ca="1" si="23"/>
        <v>7.7160694553983831</v>
      </c>
      <c r="D277" s="1">
        <f t="shared" ca="1" si="28"/>
        <v>24.818286710586165</v>
      </c>
      <c r="E277" s="1">
        <f t="shared" ca="1" si="26"/>
        <v>29.754748813151991</v>
      </c>
      <c r="F277" s="1">
        <f t="shared" ca="1" si="24"/>
        <v>1.5922045500108553</v>
      </c>
      <c r="G277" s="1">
        <f t="shared" ca="1" si="27"/>
        <v>1.187390077673367</v>
      </c>
      <c r="H277" s="1">
        <f t="shared" ca="1" si="25"/>
        <v>0.46449448753939393</v>
      </c>
    </row>
    <row r="278" spans="1:8">
      <c r="A278">
        <v>234</v>
      </c>
      <c r="B278">
        <f t="shared" ca="1" si="22"/>
        <v>0.20543376700652149</v>
      </c>
      <c r="C278" s="1">
        <f t="shared" ca="1" si="23"/>
        <v>81.831494656114657</v>
      </c>
      <c r="D278" s="1">
        <f t="shared" ca="1" si="28"/>
        <v>263.20643571159195</v>
      </c>
      <c r="E278" s="1">
        <f t="shared" ca="1" si="26"/>
        <v>315.55932712418814</v>
      </c>
      <c r="F278" s="1">
        <f t="shared" ca="1" si="24"/>
        <v>16.88578500496153</v>
      </c>
      <c r="G278" s="1">
        <f t="shared" ca="1" si="27"/>
        <v>12.592587230483236</v>
      </c>
      <c r="H278" s="1">
        <f t="shared" ca="1" si="25"/>
        <v>4.9260289653529252</v>
      </c>
    </row>
    <row r="279" spans="1:8">
      <c r="A279">
        <v>235</v>
      </c>
      <c r="B279">
        <f t="shared" ca="1" si="22"/>
        <v>0.41325449454233532</v>
      </c>
      <c r="C279" s="1">
        <f t="shared" ca="1" si="23"/>
        <v>60.428271148239872</v>
      </c>
      <c r="D279" s="1">
        <f t="shared" ca="1" si="28"/>
        <v>194.36415597185737</v>
      </c>
      <c r="E279" s="1">
        <f t="shared" ca="1" si="26"/>
        <v>233.02402151676796</v>
      </c>
      <c r="F279" s="1">
        <f t="shared" ca="1" si="24"/>
        <v>12.469269551848928</v>
      </c>
      <c r="G279" s="1">
        <f t="shared" ca="1" si="27"/>
        <v>9.2989680796535161</v>
      </c>
      <c r="H279" s="1">
        <f t="shared" ca="1" si="25"/>
        <v>3.6376167440356064</v>
      </c>
    </row>
    <row r="280" spans="1:8">
      <c r="A280">
        <v>236</v>
      </c>
      <c r="B280">
        <f t="shared" ca="1" si="22"/>
        <v>0.96722417864205001</v>
      </c>
      <c r="C280" s="1">
        <f t="shared" ca="1" si="23"/>
        <v>3.3755550599002078</v>
      </c>
      <c r="D280" s="1">
        <f t="shared" ca="1" si="28"/>
        <v>10.857263217125421</v>
      </c>
      <c r="E280" s="1">
        <f t="shared" ca="1" si="26"/>
        <v>13.016817632176242</v>
      </c>
      <c r="F280" s="1">
        <f t="shared" ca="1" si="24"/>
        <v>0.69654745914684213</v>
      </c>
      <c r="G280" s="1">
        <f t="shared" ca="1" si="27"/>
        <v>0.51945324413027727</v>
      </c>
      <c r="H280" s="1">
        <f t="shared" ca="1" si="25"/>
        <v>0.20320806066514052</v>
      </c>
    </row>
    <row r="281" spans="1:8">
      <c r="A281">
        <v>237</v>
      </c>
      <c r="B281">
        <f t="shared" ca="1" si="22"/>
        <v>0.76036268825821229</v>
      </c>
      <c r="C281" s="1">
        <f t="shared" ca="1" si="23"/>
        <v>24.679987809970214</v>
      </c>
      <c r="D281" s="1">
        <f t="shared" ca="1" si="28"/>
        <v>79.381787970934937</v>
      </c>
      <c r="E281" s="1">
        <f t="shared" ca="1" si="26"/>
        <v>95.171165418752082</v>
      </c>
      <c r="F281" s="1">
        <f t="shared" ca="1" si="24"/>
        <v>5.0926776227114008</v>
      </c>
      <c r="G281" s="1">
        <f t="shared" ca="1" si="27"/>
        <v>3.7978700525786699</v>
      </c>
      <c r="H281" s="1">
        <f t="shared" ca="1" si="25"/>
        <v>1.4856733637688526</v>
      </c>
    </row>
    <row r="282" spans="1:8">
      <c r="A282">
        <v>238</v>
      </c>
      <c r="B282">
        <f t="shared" ca="1" si="22"/>
        <v>0.22105170354679349</v>
      </c>
      <c r="C282" s="1">
        <f t="shared" ca="1" si="23"/>
        <v>80.223020898627496</v>
      </c>
      <c r="D282" s="1">
        <f t="shared" ca="1" si="28"/>
        <v>258.03286920063101</v>
      </c>
      <c r="E282" s="1">
        <f t="shared" ca="1" si="26"/>
        <v>309.35671595737608</v>
      </c>
      <c r="F282" s="1">
        <f t="shared" ca="1" si="24"/>
        <v>16.553879429931932</v>
      </c>
      <c r="G282" s="1">
        <f t="shared" ca="1" si="27"/>
        <v>12.345068441114073</v>
      </c>
      <c r="H282" s="1">
        <f t="shared" ca="1" si="25"/>
        <v>4.829203492028677</v>
      </c>
    </row>
    <row r="283" spans="1:8">
      <c r="A283">
        <v>239</v>
      </c>
      <c r="B283">
        <f t="shared" ca="1" si="22"/>
        <v>0.10428945878103812</v>
      </c>
      <c r="C283" s="1">
        <f t="shared" ca="1" si="23"/>
        <v>92.248233453866845</v>
      </c>
      <c r="D283" s="1">
        <f t="shared" ca="1" si="28"/>
        <v>296.71129753891245</v>
      </c>
      <c r="E283" s="1">
        <f t="shared" ca="1" si="26"/>
        <v>355.72845023729423</v>
      </c>
      <c r="F283" s="1">
        <f t="shared" ca="1" si="24"/>
        <v>19.035259725644771</v>
      </c>
      <c r="G283" s="1">
        <f t="shared" ca="1" si="27"/>
        <v>14.195559342644028</v>
      </c>
      <c r="H283" s="1">
        <f t="shared" ca="1" si="25"/>
        <v>5.553086547046461</v>
      </c>
    </row>
    <row r="284" spans="1:8">
      <c r="A284">
        <v>240</v>
      </c>
      <c r="B284">
        <f t="shared" ca="1" si="22"/>
        <v>0.36845863275993684</v>
      </c>
      <c r="C284" s="1">
        <f t="shared" ca="1" si="23"/>
        <v>65.041746682297543</v>
      </c>
      <c r="D284" s="1">
        <f t="shared" ca="1" si="28"/>
        <v>209.20314380801977</v>
      </c>
      <c r="E284" s="1">
        <f t="shared" ca="1" si="26"/>
        <v>250.81454792862871</v>
      </c>
      <c r="F284" s="1">
        <f t="shared" ca="1" si="24"/>
        <v>13.421251667123569</v>
      </c>
      <c r="G284" s="1">
        <f t="shared" ca="1" si="27"/>
        <v>10.00890933524364</v>
      </c>
      <c r="H284" s="1">
        <f t="shared" ca="1" si="25"/>
        <v>3.9153346428671245</v>
      </c>
    </row>
    <row r="285" spans="1:8">
      <c r="A285">
        <v>241</v>
      </c>
      <c r="B285">
        <f t="shared" ca="1" si="22"/>
        <v>0.99165138206623404</v>
      </c>
      <c r="C285" s="1">
        <f t="shared" ca="1" si="23"/>
        <v>0.85982479199400075</v>
      </c>
      <c r="D285" s="1">
        <f t="shared" ca="1" si="28"/>
        <v>2.7655565268133273</v>
      </c>
      <c r="E285" s="1">
        <f t="shared" ca="1" si="26"/>
        <v>3.3156356391423287</v>
      </c>
      <c r="F285" s="1">
        <f t="shared" ca="1" si="24"/>
        <v>0.17743118677866576</v>
      </c>
      <c r="G285" s="1">
        <f t="shared" ca="1" si="27"/>
        <v>0.13232196058089762</v>
      </c>
      <c r="H285" s="1">
        <f t="shared" ca="1" si="25"/>
        <v>5.1768366475352323E-2</v>
      </c>
    </row>
    <row r="286" spans="1:8">
      <c r="A286">
        <v>242</v>
      </c>
      <c r="B286">
        <f t="shared" ca="1" si="22"/>
        <v>0.78500598037526026</v>
      </c>
      <c r="C286" s="1">
        <f t="shared" ca="1" si="23"/>
        <v>22.142002810085486</v>
      </c>
      <c r="D286" s="1">
        <f t="shared" ca="1" si="28"/>
        <v>71.218500171177539</v>
      </c>
      <c r="E286" s="1">
        <f t="shared" ca="1" si="26"/>
        <v>85.384164525383653</v>
      </c>
      <c r="F286" s="1">
        <f t="shared" ca="1" si="24"/>
        <v>4.568969127697331</v>
      </c>
      <c r="G286" s="1">
        <f t="shared" ca="1" si="27"/>
        <v>3.4073141161299692</v>
      </c>
      <c r="H286" s="1">
        <f t="shared" ca="1" si="25"/>
        <v>1.3328939990078199</v>
      </c>
    </row>
    <row r="287" spans="1:8">
      <c r="A287">
        <v>243</v>
      </c>
      <c r="B287">
        <f t="shared" ca="1" si="22"/>
        <v>0.93013000284228553</v>
      </c>
      <c r="C287" s="1">
        <f t="shared" ca="1" si="23"/>
        <v>7.1958425976095413</v>
      </c>
      <c r="D287" s="1">
        <f t="shared" ca="1" si="28"/>
        <v>23.145005914408671</v>
      </c>
      <c r="E287" s="1">
        <f t="shared" ca="1" si="26"/>
        <v>27.748645261647596</v>
      </c>
      <c r="F287" s="1">
        <f t="shared" ca="1" si="24"/>
        <v>1.4848567032856543</v>
      </c>
      <c r="G287" s="1">
        <f t="shared" ca="1" si="27"/>
        <v>1.1073353540959179</v>
      </c>
      <c r="H287" s="1">
        <f t="shared" ca="1" si="25"/>
        <v>0.43317833363453762</v>
      </c>
    </row>
    <row r="288" spans="1:8">
      <c r="A288">
        <v>244</v>
      </c>
      <c r="B288">
        <f t="shared" ca="1" si="22"/>
        <v>0.67774757991954182</v>
      </c>
      <c r="C288" s="1">
        <f t="shared" ca="1" si="23"/>
        <v>33.188425105259412</v>
      </c>
      <c r="D288" s="1">
        <f t="shared" ca="1" si="28"/>
        <v>106.74870399714851</v>
      </c>
      <c r="E288" s="1">
        <f t="shared" ca="1" si="26"/>
        <v>127.98147888157658</v>
      </c>
      <c r="F288" s="1">
        <f t="shared" ca="1" si="24"/>
        <v>6.8483778695764865</v>
      </c>
      <c r="G288" s="1">
        <f t="shared" ca="1" si="27"/>
        <v>5.1071846055518595</v>
      </c>
      <c r="H288" s="1">
        <f t="shared" ca="1" si="25"/>
        <v>1.9978567080921672</v>
      </c>
    </row>
    <row r="289" spans="1:8">
      <c r="A289">
        <v>245</v>
      </c>
      <c r="B289">
        <f t="shared" ca="1" si="22"/>
        <v>0.20878416263236943</v>
      </c>
      <c r="C289" s="1">
        <f t="shared" ca="1" si="23"/>
        <v>81.486441170497002</v>
      </c>
      <c r="D289" s="1">
        <f t="shared" ca="1" si="28"/>
        <v>262.09659033837886</v>
      </c>
      <c r="E289" s="1">
        <f t="shared" ca="1" si="26"/>
        <v>314.22872872736815</v>
      </c>
      <c r="F289" s="1">
        <f t="shared" ca="1" si="24"/>
        <v>16.81458385851646</v>
      </c>
      <c r="G289" s="1">
        <f t="shared" ca="1" si="27"/>
        <v>12.539488931160578</v>
      </c>
      <c r="H289" s="1">
        <f t="shared" ca="1" si="25"/>
        <v>4.9052577423773602</v>
      </c>
    </row>
    <row r="290" spans="1:8">
      <c r="A290">
        <v>246</v>
      </c>
      <c r="B290">
        <f t="shared" ca="1" si="22"/>
        <v>7.4664809585222036E-3</v>
      </c>
      <c r="C290" s="1">
        <f t="shared" ca="1" si="23"/>
        <v>151.45807763111878</v>
      </c>
      <c r="D290" s="1">
        <f t="shared" ca="1" si="28"/>
        <v>481.23663919098817</v>
      </c>
      <c r="E290" s="1">
        <f t="shared" ca="1" si="26"/>
        <v>576.8631805685992</v>
      </c>
      <c r="F290" s="1">
        <f t="shared" ca="1" si="24"/>
        <v>31.232694400613539</v>
      </c>
      <c r="G290" s="1">
        <f t="shared" ca="1" si="27"/>
        <v>21.606087831117716</v>
      </c>
      <c r="H290" s="1">
        <f t="shared" ca="1" si="25"/>
        <v>8.093976942210336</v>
      </c>
    </row>
    <row r="291" spans="1:8">
      <c r="A291">
        <v>247</v>
      </c>
      <c r="B291">
        <f t="shared" ca="1" si="22"/>
        <v>0.14258896172248747</v>
      </c>
      <c r="C291" s="1">
        <f t="shared" ca="1" si="23"/>
        <v>88.303810626480285</v>
      </c>
      <c r="D291" s="1">
        <f t="shared" ca="1" si="28"/>
        <v>284.02428057649865</v>
      </c>
      <c r="E291" s="1">
        <f t="shared" ca="1" si="26"/>
        <v>340.51793097212578</v>
      </c>
      <c r="F291" s="1">
        <f t="shared" ca="1" si="24"/>
        <v>18.221335394837617</v>
      </c>
      <c r="G291" s="1">
        <f t="shared" ca="1" si="27"/>
        <v>13.588574765836219</v>
      </c>
      <c r="H291" s="1">
        <f t="shared" ca="1" si="25"/>
        <v>5.3156436882650224</v>
      </c>
    </row>
    <row r="292" spans="1:8">
      <c r="A292">
        <v>248</v>
      </c>
      <c r="B292">
        <f t="shared" ca="1" si="22"/>
        <v>0.65019568038244757</v>
      </c>
      <c r="C292" s="1">
        <f t="shared" ca="1" si="23"/>
        <v>36.025964319230823</v>
      </c>
      <c r="D292" s="1">
        <f t="shared" ca="1" si="28"/>
        <v>115.87549129013806</v>
      </c>
      <c r="E292" s="1">
        <f t="shared" ca="1" si="26"/>
        <v>138.92362346610619</v>
      </c>
      <c r="F292" s="1">
        <f t="shared" ca="1" si="24"/>
        <v>7.4338988207877303</v>
      </c>
      <c r="G292" s="1">
        <f t="shared" ca="1" si="27"/>
        <v>5.5438372197213095</v>
      </c>
      <c r="H292" s="1">
        <f t="shared" ca="1" si="25"/>
        <v>2.1686683711298773</v>
      </c>
    </row>
    <row r="293" spans="1:8">
      <c r="A293">
        <v>249</v>
      </c>
      <c r="B293">
        <f t="shared" ca="1" si="22"/>
        <v>2.4136809730866626E-2</v>
      </c>
      <c r="C293" s="1">
        <f t="shared" ca="1" si="23"/>
        <v>129.32566514655966</v>
      </c>
      <c r="D293" s="1">
        <f t="shared" ca="1" si="28"/>
        <v>411.52211191162564</v>
      </c>
      <c r="E293" s="1">
        <f t="shared" ca="1" si="26"/>
        <v>493.28377428179169</v>
      </c>
      <c r="F293" s="1">
        <f t="shared" ca="1" si="24"/>
        <v>28.674683051383443</v>
      </c>
      <c r="G293" s="1">
        <f t="shared" ca="1" si="27"/>
        <v>19.086146071246812</v>
      </c>
      <c r="H293" s="1">
        <f t="shared" ca="1" si="25"/>
        <v>7.202960190342365</v>
      </c>
    </row>
    <row r="294" spans="1:8">
      <c r="A294">
        <v>250</v>
      </c>
      <c r="B294">
        <f t="shared" ca="1" si="22"/>
        <v>0.23861587292307374</v>
      </c>
      <c r="C294" s="1">
        <f t="shared" ca="1" si="23"/>
        <v>78.414106805465579</v>
      </c>
      <c r="D294" s="1">
        <f t="shared" ca="1" si="28"/>
        <v>252.21459748185072</v>
      </c>
      <c r="E294" s="1">
        <f t="shared" ca="1" si="26"/>
        <v>302.38116494087819</v>
      </c>
      <c r="F294" s="1">
        <f t="shared" ca="1" si="24"/>
        <v>16.180613363590879</v>
      </c>
      <c r="G294" s="1">
        <f t="shared" ca="1" si="27"/>
        <v>12.066705039580103</v>
      </c>
      <c r="H294" s="1">
        <f t="shared" ca="1" si="25"/>
        <v>4.7203120895684147</v>
      </c>
    </row>
    <row r="295" spans="1:8">
      <c r="A295">
        <v>251</v>
      </c>
      <c r="B295">
        <f t="shared" ca="1" si="22"/>
        <v>0.50582621270396999</v>
      </c>
      <c r="C295" s="1">
        <f t="shared" ca="1" si="23"/>
        <v>50.894413780812393</v>
      </c>
      <c r="D295" s="1">
        <f t="shared" ca="1" si="28"/>
        <v>163.6990332324863</v>
      </c>
      <c r="E295" s="1">
        <f t="shared" ca="1" si="26"/>
        <v>196.2594738238156</v>
      </c>
      <c r="F295" s="1">
        <f t="shared" ca="1" si="24"/>
        <v>10.50197577595938</v>
      </c>
      <c r="G295" s="1">
        <f t="shared" ca="1" si="27"/>
        <v>7.8318575205788514</v>
      </c>
      <c r="H295" s="1">
        <f t="shared" ca="1" si="25"/>
        <v>3.0637060738054749</v>
      </c>
    </row>
    <row r="296" spans="1:8">
      <c r="A296">
        <v>252</v>
      </c>
      <c r="B296">
        <f t="shared" ca="1" si="22"/>
        <v>0.32542124081444579</v>
      </c>
      <c r="C296" s="1">
        <f t="shared" ca="1" si="23"/>
        <v>69.474119381246027</v>
      </c>
      <c r="D296" s="1">
        <f t="shared" ca="1" si="28"/>
        <v>223.45962443298299</v>
      </c>
      <c r="E296" s="1">
        <f t="shared" ca="1" si="26"/>
        <v>267.90670393676942</v>
      </c>
      <c r="F296" s="1">
        <f t="shared" ca="1" si="24"/>
        <v>14.335863548444067</v>
      </c>
      <c r="G296" s="1">
        <f t="shared" ca="1" si="27"/>
        <v>10.690981715579266</v>
      </c>
      <c r="H296" s="1">
        <f t="shared" ca="1" si="25"/>
        <v>4.1821506742306873</v>
      </c>
    </row>
    <row r="297" spans="1:8">
      <c r="A297">
        <v>253</v>
      </c>
      <c r="B297">
        <f t="shared" ca="1" si="22"/>
        <v>0.23521169847780432</v>
      </c>
      <c r="C297" s="1">
        <f t="shared" ca="1" si="23"/>
        <v>78.764698911343672</v>
      </c>
      <c r="D297" s="1">
        <f t="shared" ca="1" si="28"/>
        <v>253.34225751953252</v>
      </c>
      <c r="E297" s="1">
        <f t="shared" ca="1" si="26"/>
        <v>303.73312141563775</v>
      </c>
      <c r="F297" s="1">
        <f t="shared" ca="1" si="24"/>
        <v>16.252957394048732</v>
      </c>
      <c r="G297" s="1">
        <f t="shared" ca="1" si="27"/>
        <v>12.120655645367355</v>
      </c>
      <c r="H297" s="1">
        <f t="shared" ca="1" si="25"/>
        <v>4.7414167214825982</v>
      </c>
    </row>
    <row r="298" spans="1:8">
      <c r="A298">
        <v>254</v>
      </c>
      <c r="B298">
        <f t="shared" ca="1" si="22"/>
        <v>0.85298927112522671</v>
      </c>
      <c r="C298" s="1">
        <f t="shared" ca="1" si="23"/>
        <v>15.140479988106065</v>
      </c>
      <c r="D298" s="1">
        <f t="shared" ca="1" si="28"/>
        <v>48.698490858678269</v>
      </c>
      <c r="E298" s="1">
        <f t="shared" ca="1" si="26"/>
        <v>58.384828391890267</v>
      </c>
      <c r="F298" s="1">
        <f t="shared" ca="1" si="24"/>
        <v>3.1242178860343373</v>
      </c>
      <c r="G298" s="1">
        <f t="shared" ca="1" si="27"/>
        <v>2.3298899775202742</v>
      </c>
      <c r="H298" s="1">
        <f t="shared" ca="1" si="25"/>
        <v>0.91142255250578241</v>
      </c>
    </row>
    <row r="299" spans="1:8">
      <c r="A299">
        <v>255</v>
      </c>
      <c r="B299">
        <f t="shared" ca="1" si="22"/>
        <v>0.33845310756201019</v>
      </c>
      <c r="C299" s="1">
        <f t="shared" ca="1" si="23"/>
        <v>68.13198204956484</v>
      </c>
      <c r="D299" s="1">
        <f t="shared" ca="1" si="28"/>
        <v>219.14271424406951</v>
      </c>
      <c r="E299" s="1">
        <f t="shared" ca="1" si="26"/>
        <v>262.73114172313001</v>
      </c>
      <c r="F299" s="1">
        <f t="shared" ca="1" si="24"/>
        <v>14.058916000641819</v>
      </c>
      <c r="G299" s="1">
        <f t="shared" ca="1" si="27"/>
        <v>10.484447909256014</v>
      </c>
      <c r="H299" s="1">
        <f t="shared" ca="1" si="25"/>
        <v>4.1013578842947211</v>
      </c>
    </row>
    <row r="300" spans="1:8">
      <c r="A300">
        <v>256</v>
      </c>
      <c r="B300">
        <f t="shared" ca="1" si="22"/>
        <v>0.54781522169376562</v>
      </c>
      <c r="C300" s="1">
        <f t="shared" ca="1" si="23"/>
        <v>46.570012865952314</v>
      </c>
      <c r="D300" s="1">
        <f t="shared" ca="1" si="28"/>
        <v>149.78983785460179</v>
      </c>
      <c r="E300" s="1">
        <f t="shared" ca="1" si="26"/>
        <v>179.58367959377051</v>
      </c>
      <c r="F300" s="1">
        <f t="shared" ca="1" si="24"/>
        <v>9.6096436719234219</v>
      </c>
      <c r="G300" s="1">
        <f t="shared" ca="1" si="27"/>
        <v>7.1664002980343895</v>
      </c>
      <c r="H300" s="1">
        <f t="shared" ca="1" si="25"/>
        <v>2.8033896319138329</v>
      </c>
    </row>
    <row r="301" spans="1:8">
      <c r="A301">
        <v>257</v>
      </c>
      <c r="B301">
        <f t="shared" ca="1" si="22"/>
        <v>0.59676584325459048</v>
      </c>
      <c r="C301" s="1">
        <f t="shared" ca="1" si="23"/>
        <v>41.528643284878271</v>
      </c>
      <c r="D301" s="1">
        <f t="shared" ca="1" si="28"/>
        <v>133.57455258021326</v>
      </c>
      <c r="E301" s="1">
        <f t="shared" ca="1" si="26"/>
        <v>160.14310425703172</v>
      </c>
      <c r="F301" s="1">
        <f t="shared" ca="1" si="24"/>
        <v>8.5693664140854438</v>
      </c>
      <c r="G301" s="1">
        <f t="shared" ca="1" si="27"/>
        <v>6.3906128848661483</v>
      </c>
      <c r="H301" s="1">
        <f t="shared" ca="1" si="25"/>
        <v>2.4999137476367115</v>
      </c>
    </row>
    <row r="302" spans="1:8">
      <c r="A302">
        <v>258</v>
      </c>
      <c r="B302">
        <f t="shared" ref="B302:B365" ca="1" si="29">RAND()</f>
        <v>0.39701556015160278</v>
      </c>
      <c r="C302" s="1">
        <f t="shared" ref="C302:C365" ca="1" si="30">IF($B302&lt;=0.005,$F$4,IF(B302&lt;=0.01,$F$4+($B302-0.005)*SLOPE($E$4:$F$4,$E$3:$F$3),IF($B302&lt;=0.04,$E$4+($B302-0.01)*SLOPE($D$4:$E$4,$D$3:$E$3),IF($B302&lt;=0.1,$D$4+($B302-0.04)*SLOPE($C$4:$D$4,$C$3:$D$3),IF($B302&lt;=1,$C$4+($B302-0.1)*SLOPE($B$4:$C$4,$B$3:$C$3),)))))</f>
        <v>62.100700777448381</v>
      </c>
      <c r="D302" s="1">
        <f t="shared" ca="1" si="28"/>
        <v>199.74343299228525</v>
      </c>
      <c r="E302" s="1">
        <f t="shared" ca="1" si="26"/>
        <v>239.47325989914725</v>
      </c>
      <c r="F302" s="1">
        <f t="shared" ref="F302:F365" ca="1" si="31">IF($B302&lt;=0.005,$F$22,IF($B302&lt;=0.01,$F$22+($B302-0.005)*SLOPE($E$22:$F$22,$E$21:$F$21),IF($B302&lt;=0.04,$E$22+($B302-0.01)*SLOPE($D$22:$E$22,$D$21:$E$21),IF($B302&lt;=0.1,$D$22+($B302-0.04)*SLOPE($C$22:$D$22,$C$21:$D$21),IF($B302&lt;=1,$C$22+($B302-0.1)*SLOPE($B$22:$C$22,$B$21:$C$21),)))))</f>
        <v>12.814372302325982</v>
      </c>
      <c r="G302" s="1">
        <f t="shared" ca="1" si="27"/>
        <v>9.5563286708350041</v>
      </c>
      <c r="H302" s="1">
        <f t="shared" ref="H302:H365" ca="1" si="32">IF($B302&lt;=0.005,$F$34,IF($B302&lt;=0.01,$F$34+($B302-0.005)*SLOPE($E$34:$F$34,$E$33:$F$33),IF($B302&lt;=0.04,$E$34+($B302-0.01)*SLOPE($D$34:$E$34,$D$33:$E$33),IF($B302&lt;=0.1,$D$34+($B302-0.04)*SLOPE($C$34:$D$34,$C$33:$D$33),IF($B302&lt;=1,$C$34+($B302-0.1)*SLOPE($B$34:$C$34,$B$33:$C$33),)))))</f>
        <v>3.738292176069133</v>
      </c>
    </row>
    <row r="303" spans="1:8">
      <c r="A303">
        <v>259</v>
      </c>
      <c r="B303">
        <f t="shared" ca="1" si="29"/>
        <v>0.92202403120529164</v>
      </c>
      <c r="C303" s="1">
        <f t="shared" ca="1" si="30"/>
        <v>8.0306675198020372</v>
      </c>
      <c r="D303" s="1">
        <f t="shared" ca="1" si="28"/>
        <v>25.830173912870805</v>
      </c>
      <c r="E303" s="1">
        <f t="shared" ref="E303:E366" ca="1" si="33">IF($B303&lt;=0.005,$F$16,IF($B303&lt;=0.01,$F$16+($B303-0.005)*SLOPE($E$16:$F$16,$E$15:$F$15),IF($B303&lt;=0.04,$E$16+($B303-0.01)*SLOPE($D$16:$E$16,$D$15:$E$15),IF($B303&lt;=0.1,$D$16+($B303-0.04)*SLOPE($C$16:$D$16,$C$15:$D$15),IF($B303&lt;=1,$C$16+($B303-0.1)*SLOPE($B$16:$C$16,$B$15:$C$15),)))))</f>
        <v>30.967904737048457</v>
      </c>
      <c r="F303" s="1">
        <f t="shared" ca="1" si="31"/>
        <v>1.6571212768042223</v>
      </c>
      <c r="G303" s="1">
        <f t="shared" ref="G303:G366" ca="1" si="34">IF($B303&lt;=0.005,$F$28,IF($B303&lt;=0.01,$F$28+($B303-0.005)*SLOPE($E$28:$F$28,$E$27:$F$27),IF($B303&lt;=0.04,$E$28+($B303-0.01)*SLOPE($D$28:$E$28,$D$27:$E$27),IF($B303&lt;=0.1,$D$28+($B303-0.04)*SLOPE($C$28:$D$28,$C$27:$D$27),IF($B303&lt;=1,$C$28+($B303-0.1)*SLOPE($B$28:$C$28,$B$27:$C$27),)))))</f>
        <v>1.2358017671253148</v>
      </c>
      <c r="H303" s="1">
        <f t="shared" ca="1" si="32"/>
        <v>0.48343238214350848</v>
      </c>
    </row>
    <row r="304" spans="1:8">
      <c r="A304">
        <v>260</v>
      </c>
      <c r="B304">
        <f t="shared" ca="1" si="29"/>
        <v>0.43272922050900409</v>
      </c>
      <c r="C304" s="1">
        <f t="shared" ca="1" si="30"/>
        <v>58.422590975902907</v>
      </c>
      <c r="D304" s="1">
        <f t="shared" ref="D304:D367" ca="1" si="35">IF($B304&lt;=0.005,$F$10,IF($B304&lt;=0.01,$F$10+($B304-0.005)*SLOPE($E$10:$F$10,$E$9:$F$9),IF($B304&lt;=0.04,$E$10+($B304-0.01)*SLOPE($D$10:$E$10,$D$9:$E$9),IF($B304&lt;=0.1,$D$10+($B304-0.04)*SLOPE($C$10:$D$10,$C$9:$D$9),IF($B304&lt;=1,$C$10+($B304-0.1)*SLOPE($B$10:$C$10,$B$9:$C$9),)))))</f>
        <v>187.91299708723147</v>
      </c>
      <c r="E304" s="1">
        <f t="shared" ca="1" si="33"/>
        <v>225.28969935199365</v>
      </c>
      <c r="F304" s="1">
        <f t="shared" ca="1" si="31"/>
        <v>12.055401170206853</v>
      </c>
      <c r="G304" s="1">
        <f t="shared" ca="1" si="34"/>
        <v>8.9903254761868929</v>
      </c>
      <c r="H304" s="1">
        <f t="shared" ca="1" si="32"/>
        <v>3.5168805920656943</v>
      </c>
    </row>
    <row r="305" spans="1:8">
      <c r="A305">
        <v>261</v>
      </c>
      <c r="B305">
        <f t="shared" ca="1" si="29"/>
        <v>0.71468905774160529</v>
      </c>
      <c r="C305" s="1">
        <f t="shared" ca="1" si="30"/>
        <v>29.383863760912433</v>
      </c>
      <c r="D305" s="1">
        <f t="shared" ca="1" si="35"/>
        <v>94.511543727427892</v>
      </c>
      <c r="E305" s="1">
        <f t="shared" ca="1" si="33"/>
        <v>113.31029474231255</v>
      </c>
      <c r="F305" s="1">
        <f t="shared" ca="1" si="31"/>
        <v>6.0633136962550669</v>
      </c>
      <c r="G305" s="1">
        <f t="shared" ca="1" si="34"/>
        <v>4.5217225091701021</v>
      </c>
      <c r="H305" s="1">
        <f t="shared" ca="1" si="32"/>
        <v>1.7688331065302534</v>
      </c>
    </row>
    <row r="306" spans="1:8">
      <c r="A306">
        <v>262</v>
      </c>
      <c r="B306">
        <f t="shared" ca="1" si="29"/>
        <v>0.49560170851067487</v>
      </c>
      <c r="C306" s="1">
        <f t="shared" ca="1" si="30"/>
        <v>51.947423993514036</v>
      </c>
      <c r="D306" s="1">
        <f t="shared" ca="1" si="35"/>
        <v>167.08598210048896</v>
      </c>
      <c r="E306" s="1">
        <f t="shared" ca="1" si="33"/>
        <v>200.32010140550153</v>
      </c>
      <c r="F306" s="1">
        <f t="shared" ca="1" si="31"/>
        <v>10.719262479290359</v>
      </c>
      <c r="G306" s="1">
        <f t="shared" ca="1" si="34"/>
        <v>7.9938992149664925</v>
      </c>
      <c r="H306" s="1">
        <f t="shared" ca="1" si="32"/>
        <v>3.1270942464663634</v>
      </c>
    </row>
    <row r="307" spans="1:8">
      <c r="A307">
        <v>263</v>
      </c>
      <c r="B307">
        <f t="shared" ca="1" si="29"/>
        <v>0.63742762796837193</v>
      </c>
      <c r="C307" s="1">
        <f t="shared" ca="1" si="30"/>
        <v>37.340931708764323</v>
      </c>
      <c r="D307" s="1">
        <f t="shared" ca="1" si="35"/>
        <v>120.10501086907377</v>
      </c>
      <c r="E307" s="1">
        <f t="shared" ca="1" si="33"/>
        <v>143.99441270114863</v>
      </c>
      <c r="F307" s="1">
        <f t="shared" ca="1" si="31"/>
        <v>7.7052399014467756</v>
      </c>
      <c r="G307" s="1">
        <f t="shared" ca="1" si="34"/>
        <v>5.7461899996794603</v>
      </c>
      <c r="H307" s="1">
        <f t="shared" ca="1" si="32"/>
        <v>2.2478256090424442</v>
      </c>
    </row>
    <row r="308" spans="1:8">
      <c r="A308">
        <v>264</v>
      </c>
      <c r="B308">
        <f t="shared" ca="1" si="29"/>
        <v>0.83374306381987917</v>
      </c>
      <c r="C308" s="1">
        <f t="shared" ca="1" si="30"/>
        <v>17.122625279962278</v>
      </c>
      <c r="D308" s="1">
        <f t="shared" ca="1" si="35"/>
        <v>55.073951107297262</v>
      </c>
      <c r="E308" s="1">
        <f t="shared" ca="1" si="33"/>
        <v>66.028395136005713</v>
      </c>
      <c r="F308" s="1">
        <f t="shared" ca="1" si="31"/>
        <v>3.533229888762639</v>
      </c>
      <c r="G308" s="1">
        <f t="shared" ca="1" si="34"/>
        <v>2.6349109333862248</v>
      </c>
      <c r="H308" s="1">
        <f t="shared" ca="1" si="32"/>
        <v>1.0307419726629616</v>
      </c>
    </row>
    <row r="309" spans="1:8">
      <c r="A309">
        <v>265</v>
      </c>
      <c r="B309">
        <f t="shared" ca="1" si="29"/>
        <v>0.55103090114474984</v>
      </c>
      <c r="C309" s="1">
        <f t="shared" ca="1" si="30"/>
        <v>46.238833648002391</v>
      </c>
      <c r="D309" s="1">
        <f t="shared" ca="1" si="35"/>
        <v>148.72461829280508</v>
      </c>
      <c r="E309" s="1">
        <f t="shared" ca="1" si="33"/>
        <v>178.30658327441157</v>
      </c>
      <c r="F309" s="1">
        <f t="shared" ca="1" si="31"/>
        <v>9.5413054548652561</v>
      </c>
      <c r="G309" s="1">
        <f t="shared" ca="1" si="34"/>
        <v>7.1154370300857384</v>
      </c>
      <c r="H309" s="1">
        <f t="shared" ca="1" si="32"/>
        <v>2.7834535997691421</v>
      </c>
    </row>
    <row r="310" spans="1:8">
      <c r="A310">
        <v>266</v>
      </c>
      <c r="B310">
        <f t="shared" ca="1" si="29"/>
        <v>0.20240814253559392</v>
      </c>
      <c r="C310" s="1">
        <f t="shared" ca="1" si="30"/>
        <v>82.143100324952471</v>
      </c>
      <c r="D310" s="1">
        <f t="shared" ca="1" si="35"/>
        <v>264.20869803972806</v>
      </c>
      <c r="E310" s="1">
        <f t="shared" ca="1" si="33"/>
        <v>316.76094374502429</v>
      </c>
      <c r="F310" s="1">
        <f t="shared" ca="1" si="31"/>
        <v>16.950084256482839</v>
      </c>
      <c r="G310" s="1">
        <f t="shared" ca="1" si="34"/>
        <v>12.640538437366335</v>
      </c>
      <c r="H310" s="1">
        <f t="shared" ca="1" si="32"/>
        <v>4.9447867263889993</v>
      </c>
    </row>
    <row r="311" spans="1:8">
      <c r="A311">
        <v>267</v>
      </c>
      <c r="B311">
        <f t="shared" ca="1" si="29"/>
        <v>0.86807426683640665</v>
      </c>
      <c r="C311" s="1">
        <f t="shared" ca="1" si="30"/>
        <v>13.586893208529048</v>
      </c>
      <c r="D311" s="1">
        <f t="shared" ca="1" si="35"/>
        <v>43.701465263900758</v>
      </c>
      <c r="E311" s="1">
        <f t="shared" ca="1" si="33"/>
        <v>52.393872889656734</v>
      </c>
      <c r="F311" s="1">
        <f t="shared" ca="1" si="31"/>
        <v>2.8036381370433112</v>
      </c>
      <c r="G311" s="1">
        <f t="shared" ca="1" si="34"/>
        <v>2.0908174299758304</v>
      </c>
      <c r="H311" s="1">
        <f t="shared" ca="1" si="32"/>
        <v>0.81790111668338916</v>
      </c>
    </row>
    <row r="312" spans="1:8">
      <c r="A312">
        <v>268</v>
      </c>
      <c r="B312">
        <f t="shared" ca="1" si="29"/>
        <v>6.1508263177839639E-3</v>
      </c>
      <c r="C312" s="1">
        <f t="shared" ca="1" si="30"/>
        <v>152.9526613029974</v>
      </c>
      <c r="D312" s="1">
        <f t="shared" ca="1" si="35"/>
        <v>486.21880330191584</v>
      </c>
      <c r="E312" s="1">
        <f t="shared" ca="1" si="33"/>
        <v>582.84175529904996</v>
      </c>
      <c r="F312" s="1">
        <f t="shared" ca="1" si="31"/>
        <v>31.560058319397505</v>
      </c>
      <c r="G312" s="1">
        <f t="shared" ca="1" si="34"/>
        <v>21.829161498889476</v>
      </c>
      <c r="H312" s="1">
        <f t="shared" ca="1" si="32"/>
        <v>8.175831975937589</v>
      </c>
    </row>
    <row r="313" spans="1:8">
      <c r="A313">
        <v>269</v>
      </c>
      <c r="B313">
        <f t="shared" ca="1" si="29"/>
        <v>0.2785043291233924</v>
      </c>
      <c r="C313" s="1">
        <f t="shared" ca="1" si="30"/>
        <v>74.306039465106721</v>
      </c>
      <c r="D313" s="1">
        <f t="shared" ca="1" si="35"/>
        <v>239.00122703180614</v>
      </c>
      <c r="E313" s="1">
        <f t="shared" ca="1" si="33"/>
        <v>286.53959821296775</v>
      </c>
      <c r="F313" s="1">
        <f t="shared" ca="1" si="31"/>
        <v>15.332921291205302</v>
      </c>
      <c r="G313" s="1">
        <f t="shared" ca="1" si="34"/>
        <v>11.434538148451491</v>
      </c>
      <c r="H313" s="1">
        <f t="shared" ca="1" si="32"/>
        <v>4.473018303874615</v>
      </c>
    </row>
    <row r="314" spans="1:8">
      <c r="A314">
        <v>270</v>
      </c>
      <c r="B314">
        <f t="shared" ca="1" si="29"/>
        <v>0.1486604544684853</v>
      </c>
      <c r="C314" s="1">
        <f t="shared" ca="1" si="30"/>
        <v>87.678514402134041</v>
      </c>
      <c r="D314" s="1">
        <f t="shared" ca="1" si="35"/>
        <v>282.01304999803904</v>
      </c>
      <c r="E314" s="1">
        <f t="shared" ca="1" si="33"/>
        <v>338.106657971468</v>
      </c>
      <c r="F314" s="1">
        <f t="shared" ca="1" si="31"/>
        <v>18.092306679299419</v>
      </c>
      <c r="G314" s="1">
        <f t="shared" ca="1" si="34"/>
        <v>13.492351520833402</v>
      </c>
      <c r="H314" s="1">
        <f t="shared" ca="1" si="32"/>
        <v>5.2780026620385367</v>
      </c>
    </row>
    <row r="315" spans="1:8">
      <c r="A315">
        <v>271</v>
      </c>
      <c r="B315">
        <f t="shared" ca="1" si="29"/>
        <v>0.2524806600597842</v>
      </c>
      <c r="C315" s="1">
        <f t="shared" ca="1" si="30"/>
        <v>76.986187937628003</v>
      </c>
      <c r="D315" s="1">
        <f t="shared" ca="1" si="35"/>
        <v>247.62177574594949</v>
      </c>
      <c r="E315" s="1">
        <f t="shared" ca="1" si="33"/>
        <v>296.87481118550977</v>
      </c>
      <c r="F315" s="1">
        <f t="shared" ca="1" si="31"/>
        <v>15.885964954986662</v>
      </c>
      <c r="G315" s="1">
        <f t="shared" ca="1" si="34"/>
        <v>11.846970805285416</v>
      </c>
      <c r="H315" s="1">
        <f t="shared" ca="1" si="32"/>
        <v>4.6343554989784677</v>
      </c>
    </row>
    <row r="316" spans="1:8">
      <c r="A316">
        <v>272</v>
      </c>
      <c r="B316">
        <f t="shared" ca="1" si="29"/>
        <v>0.74763613044062083</v>
      </c>
      <c r="C316" s="1">
        <f t="shared" ca="1" si="30"/>
        <v>25.990681717577957</v>
      </c>
      <c r="D316" s="1">
        <f t="shared" ca="1" si="35"/>
        <v>83.597562132593339</v>
      </c>
      <c r="E316" s="1">
        <f t="shared" ca="1" si="33"/>
        <v>100.22547521383444</v>
      </c>
      <c r="F316" s="1">
        <f t="shared" ca="1" si="31"/>
        <v>5.3631368783053244</v>
      </c>
      <c r="G316" s="1">
        <f t="shared" ca="1" si="34"/>
        <v>3.999565210945093</v>
      </c>
      <c r="H316" s="1">
        <f t="shared" ca="1" si="32"/>
        <v>1.5645733504155679</v>
      </c>
    </row>
    <row r="317" spans="1:8">
      <c r="A317">
        <v>273</v>
      </c>
      <c r="B317">
        <f t="shared" ca="1" si="29"/>
        <v>0.98612423130431559</v>
      </c>
      <c r="C317" s="1">
        <f t="shared" ca="1" si="30"/>
        <v>1.4290598462725654</v>
      </c>
      <c r="D317" s="1">
        <f t="shared" ca="1" si="35"/>
        <v>4.5964694652261073</v>
      </c>
      <c r="E317" s="1">
        <f t="shared" ca="1" si="33"/>
        <v>5.5107250447196066</v>
      </c>
      <c r="F317" s="1">
        <f t="shared" ca="1" si="31"/>
        <v>0.2948917839055305</v>
      </c>
      <c r="G317" s="1">
        <f t="shared" ca="1" si="34"/>
        <v>0.21991827407104481</v>
      </c>
      <c r="H317" s="1">
        <f t="shared" ca="1" si="32"/>
        <v>8.6034672224339026E-2</v>
      </c>
    </row>
    <row r="318" spans="1:8">
      <c r="A318">
        <v>274</v>
      </c>
      <c r="B318">
        <f t="shared" ca="1" si="29"/>
        <v>0.65779567382768689</v>
      </c>
      <c r="C318" s="1">
        <f t="shared" ca="1" si="30"/>
        <v>35.24324952318716</v>
      </c>
      <c r="D318" s="1">
        <f t="shared" ca="1" si="35"/>
        <v>113.35793261838742</v>
      </c>
      <c r="E318" s="1">
        <f t="shared" ca="1" si="33"/>
        <v>135.9053115342075</v>
      </c>
      <c r="F318" s="1">
        <f t="shared" ca="1" si="31"/>
        <v>7.2723870750997577</v>
      </c>
      <c r="G318" s="1">
        <f t="shared" ca="1" si="34"/>
        <v>5.4233897347460349</v>
      </c>
      <c r="H318" s="1">
        <f t="shared" ca="1" si="32"/>
        <v>2.1215512016690474</v>
      </c>
    </row>
    <row r="319" spans="1:8">
      <c r="A319">
        <v>275</v>
      </c>
      <c r="B319">
        <f t="shared" ca="1" si="29"/>
        <v>0.17111796784967925</v>
      </c>
      <c r="C319" s="1">
        <f t="shared" ca="1" si="30"/>
        <v>85.365640301325456</v>
      </c>
      <c r="D319" s="1">
        <f t="shared" ca="1" si="35"/>
        <v>274.57381890314957</v>
      </c>
      <c r="E319" s="1">
        <f t="shared" ca="1" si="33"/>
        <v>329.18773177927602</v>
      </c>
      <c r="F319" s="1">
        <f t="shared" ca="1" si="31"/>
        <v>17.615049400573774</v>
      </c>
      <c r="G319" s="1">
        <f t="shared" ca="1" si="34"/>
        <v>13.136436607872815</v>
      </c>
      <c r="H319" s="1">
        <f t="shared" ca="1" si="32"/>
        <v>5.1387743230570884</v>
      </c>
    </row>
    <row r="320" spans="1:8">
      <c r="A320">
        <v>276</v>
      </c>
      <c r="B320">
        <f t="shared" ca="1" si="29"/>
        <v>0.67561001878064475</v>
      </c>
      <c r="C320" s="1">
        <f t="shared" ca="1" si="30"/>
        <v>33.408570128135814</v>
      </c>
      <c r="D320" s="1">
        <f t="shared" ca="1" si="35"/>
        <v>107.45678823701039</v>
      </c>
      <c r="E320" s="1">
        <f t="shared" ca="1" si="33"/>
        <v>128.83040412568155</v>
      </c>
      <c r="F320" s="1">
        <f t="shared" ca="1" si="31"/>
        <v>6.8938043865262202</v>
      </c>
      <c r="G320" s="1">
        <f t="shared" ca="1" si="34"/>
        <v>5.1410614588697161</v>
      </c>
      <c r="H320" s="1">
        <f t="shared" ca="1" si="32"/>
        <v>2.0111088024709307</v>
      </c>
    </row>
    <row r="321" spans="1:8">
      <c r="A321">
        <v>277</v>
      </c>
      <c r="B321">
        <f t="shared" ca="1" si="29"/>
        <v>0.98399936099645258</v>
      </c>
      <c r="C321" s="1">
        <f t="shared" ca="1" si="30"/>
        <v>1.6478978547027054</v>
      </c>
      <c r="D321" s="1">
        <f t="shared" ca="1" si="35"/>
        <v>5.3003497657093703</v>
      </c>
      <c r="E321" s="1">
        <f t="shared" ca="1" si="33"/>
        <v>6.3546101678018658</v>
      </c>
      <c r="F321" s="1">
        <f t="shared" ca="1" si="31"/>
        <v>0.34004860084969124</v>
      </c>
      <c r="G321" s="1">
        <f t="shared" ca="1" si="34"/>
        <v>0.25359399844170838</v>
      </c>
      <c r="H321" s="1">
        <f t="shared" ca="1" si="32"/>
        <v>9.9208088109398851E-2</v>
      </c>
    </row>
    <row r="322" spans="1:8">
      <c r="A322">
        <v>278</v>
      </c>
      <c r="B322">
        <f t="shared" ca="1" si="29"/>
        <v>0.10313897639393466</v>
      </c>
      <c r="C322" s="1">
        <f t="shared" ca="1" si="30"/>
        <v>92.366720343817732</v>
      </c>
      <c r="D322" s="1">
        <f t="shared" ca="1" si="35"/>
        <v>297.09240404001912</v>
      </c>
      <c r="E322" s="1">
        <f t="shared" ca="1" si="33"/>
        <v>356.18536046247459</v>
      </c>
      <c r="F322" s="1">
        <f t="shared" ca="1" si="31"/>
        <v>19.059709275511256</v>
      </c>
      <c r="G322" s="1">
        <f t="shared" ca="1" si="34"/>
        <v>14.213792609690035</v>
      </c>
      <c r="H322" s="1">
        <f t="shared" ca="1" si="32"/>
        <v>5.5602191155131893</v>
      </c>
    </row>
    <row r="323" spans="1:8">
      <c r="A323">
        <v>279</v>
      </c>
      <c r="B323">
        <f t="shared" ca="1" si="29"/>
        <v>0.49470101716934078</v>
      </c>
      <c r="C323" s="1">
        <f t="shared" ca="1" si="30"/>
        <v>52.040185183982196</v>
      </c>
      <c r="D323" s="1">
        <f t="shared" ca="1" si="35"/>
        <v>167.38434331794062</v>
      </c>
      <c r="E323" s="1">
        <f t="shared" ca="1" si="33"/>
        <v>200.67780795381566</v>
      </c>
      <c r="F323" s="1">
        <f t="shared" ca="1" si="31"/>
        <v>10.738403578807494</v>
      </c>
      <c r="G323" s="1">
        <f t="shared" ca="1" si="34"/>
        <v>8.0081737018570891</v>
      </c>
      <c r="H323" s="1">
        <f t="shared" ca="1" si="32"/>
        <v>3.1326782021457098</v>
      </c>
    </row>
    <row r="324" spans="1:8">
      <c r="A324">
        <v>280</v>
      </c>
      <c r="B324">
        <f t="shared" ca="1" si="29"/>
        <v>0.24492653640429196</v>
      </c>
      <c r="C324" s="1">
        <f t="shared" ca="1" si="30"/>
        <v>77.764178655501709</v>
      </c>
      <c r="D324" s="1">
        <f t="shared" ca="1" si="35"/>
        <v>250.12413968262814</v>
      </c>
      <c r="E324" s="1">
        <f t="shared" ca="1" si="33"/>
        <v>299.87490608410383</v>
      </c>
      <c r="F324" s="1">
        <f t="shared" ca="1" si="31"/>
        <v>16.046501895910687</v>
      </c>
      <c r="G324" s="1">
        <f t="shared" ca="1" si="34"/>
        <v>11.966691329000632</v>
      </c>
      <c r="H324" s="1">
        <f t="shared" ca="1" si="32"/>
        <v>4.6811882925813153</v>
      </c>
    </row>
    <row r="325" spans="1:8">
      <c r="A325">
        <v>281</v>
      </c>
      <c r="B325">
        <f t="shared" ca="1" si="29"/>
        <v>7.5739867866184696E-3</v>
      </c>
      <c r="C325" s="1">
        <f t="shared" ca="1" si="30"/>
        <v>151.33595101040143</v>
      </c>
      <c r="D325" s="1">
        <f t="shared" ca="1" si="35"/>
        <v>480.82953259791122</v>
      </c>
      <c r="E325" s="1">
        <f t="shared" ca="1" si="33"/>
        <v>576.37465447114869</v>
      </c>
      <c r="F325" s="1">
        <f t="shared" ca="1" si="31"/>
        <v>31.205944577302795</v>
      </c>
      <c r="G325" s="1">
        <f t="shared" ca="1" si="34"/>
        <v>21.587859856512758</v>
      </c>
      <c r="H325" s="1">
        <f t="shared" ca="1" si="32"/>
        <v>8.0872883379883653</v>
      </c>
    </row>
    <row r="326" spans="1:8">
      <c r="A326">
        <v>282</v>
      </c>
      <c r="B326">
        <f t="shared" ca="1" si="29"/>
        <v>0.86320102566850276</v>
      </c>
      <c r="C326" s="1">
        <f t="shared" ca="1" si="30"/>
        <v>14.08878284755194</v>
      </c>
      <c r="D326" s="1">
        <f t="shared" ca="1" si="35"/>
        <v>45.315765414313887</v>
      </c>
      <c r="E326" s="1">
        <f t="shared" ca="1" si="33"/>
        <v>54.32926429098984</v>
      </c>
      <c r="F326" s="1">
        <f t="shared" ca="1" si="31"/>
        <v>2.9072021327043451</v>
      </c>
      <c r="G326" s="1">
        <f t="shared" ca="1" si="34"/>
        <v>2.1680503442646817</v>
      </c>
      <c r="H326" s="1">
        <f t="shared" ca="1" si="32"/>
        <v>0.84811342299471271</v>
      </c>
    </row>
    <row r="327" spans="1:8">
      <c r="A327">
        <v>283</v>
      </c>
      <c r="B327">
        <f t="shared" ca="1" si="29"/>
        <v>0.16146208614745783</v>
      </c>
      <c r="C327" s="1">
        <f t="shared" ca="1" si="30"/>
        <v>86.360088721792209</v>
      </c>
      <c r="D327" s="1">
        <f t="shared" ca="1" si="35"/>
        <v>277.77240701878185</v>
      </c>
      <c r="E327" s="1">
        <f t="shared" ca="1" si="33"/>
        <v>333.02253284388399</v>
      </c>
      <c r="F327" s="1">
        <f t="shared" ca="1" si="31"/>
        <v>17.820251986749586</v>
      </c>
      <c r="G327" s="1">
        <f t="shared" ca="1" si="34"/>
        <v>13.28946656436309</v>
      </c>
      <c r="H327" s="1">
        <f t="shared" ca="1" si="32"/>
        <v>5.1986372450103007</v>
      </c>
    </row>
    <row r="328" spans="1:8">
      <c r="A328">
        <v>284</v>
      </c>
      <c r="B328">
        <f t="shared" ca="1" si="29"/>
        <v>0.5706528554279896</v>
      </c>
      <c r="C328" s="1">
        <f t="shared" ca="1" si="30"/>
        <v>44.217990596564668</v>
      </c>
      <c r="D328" s="1">
        <f t="shared" ca="1" si="35"/>
        <v>142.2246888496542</v>
      </c>
      <c r="E328" s="1">
        <f t="shared" ca="1" si="33"/>
        <v>170.51378987702088</v>
      </c>
      <c r="F328" s="1">
        <f t="shared" ca="1" si="31"/>
        <v>9.1243082412583352</v>
      </c>
      <c r="G328" s="1">
        <f t="shared" ca="1" si="34"/>
        <v>6.8044610982319416</v>
      </c>
      <c r="H328" s="1">
        <f t="shared" ca="1" si="32"/>
        <v>2.6618046862828821</v>
      </c>
    </row>
    <row r="329" spans="1:8">
      <c r="A329">
        <v>285</v>
      </c>
      <c r="B329">
        <f t="shared" ca="1" si="29"/>
        <v>0.57339485251272171</v>
      </c>
      <c r="C329" s="1">
        <f t="shared" ca="1" si="30"/>
        <v>43.935595393938172</v>
      </c>
      <c r="D329" s="1">
        <f t="shared" ca="1" si="35"/>
        <v>141.31638036382168</v>
      </c>
      <c r="E329" s="1">
        <f t="shared" ca="1" si="33"/>
        <v>169.42481492227765</v>
      </c>
      <c r="F329" s="1">
        <f t="shared" ca="1" si="31"/>
        <v>9.0660365152341722</v>
      </c>
      <c r="G329" s="1">
        <f t="shared" ca="1" si="34"/>
        <v>6.7610049222437381</v>
      </c>
      <c r="H329" s="1">
        <f t="shared" ca="1" si="32"/>
        <v>2.6448053109237688</v>
      </c>
    </row>
    <row r="330" spans="1:8">
      <c r="A330">
        <v>286</v>
      </c>
      <c r="B330">
        <f t="shared" ca="1" si="29"/>
        <v>0.83881628036532274</v>
      </c>
      <c r="C330" s="1">
        <f t="shared" ca="1" si="30"/>
        <v>16.600140401223385</v>
      </c>
      <c r="D330" s="1">
        <f t="shared" ca="1" si="35"/>
        <v>53.393407512137884</v>
      </c>
      <c r="E330" s="1">
        <f t="shared" ca="1" si="33"/>
        <v>64.013584183529133</v>
      </c>
      <c r="F330" s="1">
        <f t="shared" ca="1" si="31"/>
        <v>3.4254161036045776</v>
      </c>
      <c r="G330" s="1">
        <f t="shared" ca="1" si="34"/>
        <v>2.5545087359321741</v>
      </c>
      <c r="H330" s="1">
        <f t="shared" ca="1" si="32"/>
        <v>0.99928989242032884</v>
      </c>
    </row>
    <row r="331" spans="1:8">
      <c r="A331">
        <v>287</v>
      </c>
      <c r="B331">
        <f t="shared" ca="1" si="29"/>
        <v>0.82624984730681206</v>
      </c>
      <c r="C331" s="1">
        <f t="shared" ca="1" si="30"/>
        <v>17.894343239588963</v>
      </c>
      <c r="D331" s="1">
        <f t="shared" ca="1" si="35"/>
        <v>57.556139065445308</v>
      </c>
      <c r="E331" s="1">
        <f t="shared" ca="1" si="33"/>
        <v>69.004300967063784</v>
      </c>
      <c r="F331" s="1">
        <f t="shared" ca="1" si="31"/>
        <v>3.6924724576626851</v>
      </c>
      <c r="G331" s="1">
        <f t="shared" ca="1" si="34"/>
        <v>2.7536661783581131</v>
      </c>
      <c r="H331" s="1">
        <f t="shared" ca="1" si="32"/>
        <v>1.077197164341321</v>
      </c>
    </row>
    <row r="332" spans="1:8">
      <c r="A332">
        <v>288</v>
      </c>
      <c r="B332">
        <f t="shared" ca="1" si="29"/>
        <v>0.15715405227654766</v>
      </c>
      <c r="C332" s="1">
        <f t="shared" ca="1" si="30"/>
        <v>86.803768295585911</v>
      </c>
      <c r="D332" s="1">
        <f t="shared" ca="1" si="35"/>
        <v>279.19947772720451</v>
      </c>
      <c r="E332" s="1">
        <f t="shared" ca="1" si="33"/>
        <v>334.73345406102487</v>
      </c>
      <c r="F332" s="1">
        <f t="shared" ca="1" si="31"/>
        <v>17.911804443470384</v>
      </c>
      <c r="G332" s="1">
        <f t="shared" ca="1" si="34"/>
        <v>13.357741866003575</v>
      </c>
      <c r="H332" s="1">
        <f t="shared" ca="1" si="32"/>
        <v>5.2253454735635527</v>
      </c>
    </row>
    <row r="333" spans="1:8">
      <c r="A333">
        <v>289</v>
      </c>
      <c r="B333">
        <f t="shared" ca="1" si="29"/>
        <v>0.14375364823981185</v>
      </c>
      <c r="C333" s="1">
        <f t="shared" ca="1" si="30"/>
        <v>88.18386086909814</v>
      </c>
      <c r="D333" s="1">
        <f t="shared" ca="1" si="35"/>
        <v>283.6384688435428</v>
      </c>
      <c r="E333" s="1">
        <f t="shared" ca="1" si="33"/>
        <v>340.05537962422119</v>
      </c>
      <c r="F333" s="1">
        <f t="shared" ca="1" si="31"/>
        <v>18.196583984991321</v>
      </c>
      <c r="G333" s="1">
        <f t="shared" ca="1" si="34"/>
        <v>13.570116386522194</v>
      </c>
      <c r="H333" s="1">
        <f t="shared" ca="1" si="32"/>
        <v>5.3084230594051531</v>
      </c>
    </row>
    <row r="334" spans="1:8">
      <c r="A334">
        <v>290</v>
      </c>
      <c r="B334">
        <f t="shared" ca="1" si="29"/>
        <v>0.9372368644390966</v>
      </c>
      <c r="C334" s="1">
        <f t="shared" ca="1" si="30"/>
        <v>6.4639148972319873</v>
      </c>
      <c r="D334" s="1">
        <f t="shared" ca="1" si="35"/>
        <v>20.790801115299132</v>
      </c>
      <c r="E334" s="1">
        <f t="shared" ca="1" si="33"/>
        <v>24.926178991042491</v>
      </c>
      <c r="F334" s="1">
        <f t="shared" ca="1" si="31"/>
        <v>1.3338247805432992</v>
      </c>
      <c r="G334" s="1">
        <f t="shared" ca="1" si="34"/>
        <v>0.99470320361170117</v>
      </c>
      <c r="H334" s="1">
        <f t="shared" ca="1" si="32"/>
        <v>0.38911840060902048</v>
      </c>
    </row>
    <row r="335" spans="1:8">
      <c r="A335">
        <v>291</v>
      </c>
      <c r="B335">
        <f t="shared" ca="1" si="29"/>
        <v>0.3608044687679739</v>
      </c>
      <c r="C335" s="1">
        <f t="shared" ca="1" si="30"/>
        <v>65.830040442156871</v>
      </c>
      <c r="D335" s="1">
        <f t="shared" ca="1" si="35"/>
        <v>211.73864690704394</v>
      </c>
      <c r="E335" s="1">
        <f t="shared" ca="1" si="33"/>
        <v>253.85437351165245</v>
      </c>
      <c r="F335" s="1">
        <f t="shared" ca="1" si="31"/>
        <v>13.583914621642082</v>
      </c>
      <c r="G335" s="1">
        <f t="shared" ca="1" si="34"/>
        <v>10.130215334921541</v>
      </c>
      <c r="H335" s="1">
        <f t="shared" ca="1" si="32"/>
        <v>3.9627876498320456</v>
      </c>
    </row>
    <row r="336" spans="1:8">
      <c r="A336">
        <v>292</v>
      </c>
      <c r="B336">
        <f t="shared" ca="1" si="29"/>
        <v>0.137061913569411</v>
      </c>
      <c r="C336" s="1">
        <f t="shared" ca="1" si="30"/>
        <v>88.87303511318936</v>
      </c>
      <c r="D336" s="1">
        <f t="shared" ca="1" si="35"/>
        <v>285.85515952491107</v>
      </c>
      <c r="E336" s="1">
        <f t="shared" ca="1" si="33"/>
        <v>342.7129796269453</v>
      </c>
      <c r="F336" s="1">
        <f t="shared" ca="1" si="31"/>
        <v>18.338793811366131</v>
      </c>
      <c r="G336" s="1">
        <f t="shared" ca="1" si="34"/>
        <v>13.676169453143785</v>
      </c>
      <c r="H336" s="1">
        <f t="shared" ca="1" si="32"/>
        <v>5.3499093578768564</v>
      </c>
    </row>
    <row r="337" spans="1:8">
      <c r="A337">
        <v>293</v>
      </c>
      <c r="B337">
        <f t="shared" ca="1" si="29"/>
        <v>2.1599334395235092E-2</v>
      </c>
      <c r="C337" s="1">
        <f t="shared" ca="1" si="30"/>
        <v>132.78170655368982</v>
      </c>
      <c r="D337" s="1">
        <f t="shared" ca="1" si="35"/>
        <v>422.31339546255214</v>
      </c>
      <c r="E337" s="1">
        <f t="shared" ca="1" si="33"/>
        <v>506.21931692234295</v>
      </c>
      <c r="F337" s="1">
        <f t="shared" ca="1" si="31"/>
        <v>29.020678919666924</v>
      </c>
      <c r="G337" s="1">
        <f t="shared" ca="1" si="34"/>
        <v>19.461356272825128</v>
      </c>
      <c r="H337" s="1">
        <f t="shared" ca="1" si="32"/>
        <v>7.3345995882510904</v>
      </c>
    </row>
    <row r="338" spans="1:8">
      <c r="A338">
        <v>294</v>
      </c>
      <c r="B338">
        <f t="shared" ca="1" si="29"/>
        <v>0.56214149048257678</v>
      </c>
      <c r="C338" s="1">
        <f t="shared" ca="1" si="30"/>
        <v>45.094566520649849</v>
      </c>
      <c r="D338" s="1">
        <f t="shared" ca="1" si="35"/>
        <v>145.04414662697386</v>
      </c>
      <c r="E338" s="1">
        <f t="shared" ca="1" si="33"/>
        <v>173.89404994653137</v>
      </c>
      <c r="F338" s="1">
        <f t="shared" ca="1" si="31"/>
        <v>9.3051880565405654</v>
      </c>
      <c r="G338" s="1">
        <f t="shared" ca="1" si="34"/>
        <v>6.9393523331742379</v>
      </c>
      <c r="H338" s="1">
        <f t="shared" ca="1" si="32"/>
        <v>2.7145720244872575</v>
      </c>
    </row>
    <row r="339" spans="1:8">
      <c r="A339">
        <v>295</v>
      </c>
      <c r="B339">
        <f t="shared" ca="1" si="29"/>
        <v>0.18347915452213537</v>
      </c>
      <c r="C339" s="1">
        <f t="shared" ca="1" si="30"/>
        <v>84.092575557927574</v>
      </c>
      <c r="D339" s="1">
        <f t="shared" ca="1" si="35"/>
        <v>270.47907685835685</v>
      </c>
      <c r="E339" s="1">
        <f t="shared" ca="1" si="33"/>
        <v>324.27852791025521</v>
      </c>
      <c r="F339" s="1">
        <f t="shared" ca="1" si="31"/>
        <v>17.352354853186512</v>
      </c>
      <c r="G339" s="1">
        <f t="shared" ca="1" si="34"/>
        <v>12.940531985489244</v>
      </c>
      <c r="H339" s="1">
        <f t="shared" ca="1" si="32"/>
        <v>5.0621395033852501</v>
      </c>
    </row>
    <row r="340" spans="1:8">
      <c r="A340">
        <v>296</v>
      </c>
      <c r="B340">
        <f t="shared" ca="1" si="29"/>
        <v>0.43598805976312893</v>
      </c>
      <c r="C340" s="1">
        <f t="shared" ca="1" si="30"/>
        <v>58.086966778262422</v>
      </c>
      <c r="D340" s="1">
        <f t="shared" ca="1" si="35"/>
        <v>186.83348049512142</v>
      </c>
      <c r="E340" s="1">
        <f t="shared" ca="1" si="33"/>
        <v>223.99546226143059</v>
      </c>
      <c r="F340" s="1">
        <f t="shared" ca="1" si="31"/>
        <v>11.98614573983804</v>
      </c>
      <c r="G340" s="1">
        <f t="shared" ca="1" si="34"/>
        <v>8.9386781958403674</v>
      </c>
      <c r="H340" s="1">
        <f t="shared" ca="1" si="32"/>
        <v>3.4966769849851662</v>
      </c>
    </row>
    <row r="341" spans="1:8">
      <c r="A341">
        <v>297</v>
      </c>
      <c r="B341">
        <f t="shared" ca="1" si="29"/>
        <v>0.31763349518425799</v>
      </c>
      <c r="C341" s="1">
        <f t="shared" ca="1" si="30"/>
        <v>70.276170564117876</v>
      </c>
      <c r="D341" s="1">
        <f t="shared" ca="1" si="35"/>
        <v>226.03937751907927</v>
      </c>
      <c r="E341" s="1">
        <f t="shared" ca="1" si="33"/>
        <v>270.99958101982952</v>
      </c>
      <c r="F341" s="1">
        <f t="shared" ca="1" si="31"/>
        <v>14.501365321671702</v>
      </c>
      <c r="G341" s="1">
        <f t="shared" ca="1" si="34"/>
        <v>10.814404766078194</v>
      </c>
      <c r="H341" s="1">
        <f t="shared" ca="1" si="32"/>
        <v>4.2304318383158019</v>
      </c>
    </row>
    <row r="342" spans="1:8">
      <c r="A342">
        <v>298</v>
      </c>
      <c r="B342">
        <f t="shared" ca="1" si="29"/>
        <v>0.38204710458489155</v>
      </c>
      <c r="C342" s="1">
        <f t="shared" ca="1" si="30"/>
        <v>63.6422852183305</v>
      </c>
      <c r="D342" s="1">
        <f t="shared" ca="1" si="35"/>
        <v>204.70185373122592</v>
      </c>
      <c r="E342" s="1">
        <f t="shared" ca="1" si="33"/>
        <v>245.41793187348964</v>
      </c>
      <c r="F342" s="1">
        <f t="shared" ca="1" si="31"/>
        <v>13.132475390999931</v>
      </c>
      <c r="G342" s="1">
        <f t="shared" ca="1" si="34"/>
        <v>9.7935542474049235</v>
      </c>
      <c r="H342" s="1">
        <f t="shared" ca="1" si="32"/>
        <v>3.8310911057768182</v>
      </c>
    </row>
    <row r="343" spans="1:8">
      <c r="A343">
        <v>299</v>
      </c>
      <c r="B343">
        <f t="shared" ca="1" si="29"/>
        <v>0.8327249350884568</v>
      </c>
      <c r="C343" s="1">
        <f t="shared" ca="1" si="30"/>
        <v>17.227481215444783</v>
      </c>
      <c r="D343" s="1">
        <f t="shared" ca="1" si="35"/>
        <v>55.411214400380288</v>
      </c>
      <c r="E343" s="1">
        <f t="shared" ca="1" si="33"/>
        <v>66.43274155030241</v>
      </c>
      <c r="F343" s="1">
        <f t="shared" ca="1" si="31"/>
        <v>3.5548667164693928</v>
      </c>
      <c r="G343" s="1">
        <f t="shared" ca="1" si="34"/>
        <v>2.6510466111291731</v>
      </c>
      <c r="H343" s="1">
        <f t="shared" ca="1" si="32"/>
        <v>1.0370539970504842</v>
      </c>
    </row>
    <row r="344" spans="1:8">
      <c r="A344">
        <v>300</v>
      </c>
      <c r="B344">
        <f t="shared" ca="1" si="29"/>
        <v>0.13445743911484198</v>
      </c>
      <c r="C344" s="1">
        <f t="shared" ca="1" si="30"/>
        <v>89.141267014466322</v>
      </c>
      <c r="D344" s="1">
        <f t="shared" ca="1" si="35"/>
        <v>286.71791253854173</v>
      </c>
      <c r="E344" s="1">
        <f t="shared" ca="1" si="33"/>
        <v>343.74733792990872</v>
      </c>
      <c r="F344" s="1">
        <f t="shared" ca="1" si="31"/>
        <v>18.394142966439503</v>
      </c>
      <c r="G344" s="1">
        <f t="shared" ca="1" si="34"/>
        <v>13.717446120024558</v>
      </c>
      <c r="H344" s="1">
        <f t="shared" ca="1" si="32"/>
        <v>5.3660561434124672</v>
      </c>
    </row>
    <row r="345" spans="1:8">
      <c r="A345">
        <v>301</v>
      </c>
      <c r="B345">
        <f t="shared" ca="1" si="29"/>
        <v>0.87408750777633804</v>
      </c>
      <c r="C345" s="1">
        <f t="shared" ca="1" si="30"/>
        <v>12.967596272318133</v>
      </c>
      <c r="D345" s="1">
        <f t="shared" ca="1" si="35"/>
        <v>41.709531062545182</v>
      </c>
      <c r="E345" s="1">
        <f t="shared" ca="1" si="33"/>
        <v>50.005734398597156</v>
      </c>
      <c r="F345" s="1">
        <f t="shared" ca="1" si="31"/>
        <v>2.675847363479015</v>
      </c>
      <c r="G345" s="1">
        <f t="shared" ca="1" si="34"/>
        <v>1.9955173809713429</v>
      </c>
      <c r="H345" s="1">
        <f t="shared" ca="1" si="32"/>
        <v>0.78062123027072072</v>
      </c>
    </row>
    <row r="346" spans="1:8">
      <c r="A346">
        <v>302</v>
      </c>
      <c r="B346">
        <f t="shared" ca="1" si="29"/>
        <v>0.91269408848992706</v>
      </c>
      <c r="C346" s="1">
        <f t="shared" ca="1" si="30"/>
        <v>8.9915478497883896</v>
      </c>
      <c r="D346" s="1">
        <f t="shared" ca="1" si="35"/>
        <v>28.920792129747838</v>
      </c>
      <c r="E346" s="1">
        <f t="shared" ca="1" si="33"/>
        <v>34.673260225131969</v>
      </c>
      <c r="F346" s="1">
        <f t="shared" ca="1" si="31"/>
        <v>1.8553971498013588</v>
      </c>
      <c r="G346" s="1">
        <f t="shared" ca="1" si="34"/>
        <v>1.3836661229469609</v>
      </c>
      <c r="H346" s="1">
        <f t="shared" ca="1" si="32"/>
        <v>0.54127460202792577</v>
      </c>
    </row>
    <row r="347" spans="1:8">
      <c r="A347">
        <v>303</v>
      </c>
      <c r="B347">
        <f t="shared" ca="1" si="29"/>
        <v>0.26321766138282521</v>
      </c>
      <c r="C347" s="1">
        <f t="shared" ca="1" si="30"/>
        <v>75.880396220669496</v>
      </c>
      <c r="D347" s="1">
        <f t="shared" ca="1" si="35"/>
        <v>244.06505810083726</v>
      </c>
      <c r="E347" s="1">
        <f t="shared" ca="1" si="33"/>
        <v>292.61064708594108</v>
      </c>
      <c r="F347" s="1">
        <f t="shared" ca="1" si="31"/>
        <v>15.657786886198364</v>
      </c>
      <c r="G347" s="1">
        <f t="shared" ca="1" si="34"/>
        <v>11.67680686832221</v>
      </c>
      <c r="H347" s="1">
        <f t="shared" ca="1" si="32"/>
        <v>4.5677900322469442</v>
      </c>
    </row>
    <row r="348" spans="1:8">
      <c r="A348">
        <v>304</v>
      </c>
      <c r="B348">
        <f t="shared" ca="1" si="29"/>
        <v>0.88448150738417197</v>
      </c>
      <c r="C348" s="1">
        <f t="shared" ca="1" si="30"/>
        <v>11.897129917084641</v>
      </c>
      <c r="D348" s="1">
        <f t="shared" ca="1" si="35"/>
        <v>38.266435481552776</v>
      </c>
      <c r="E348" s="1">
        <f t="shared" ca="1" si="33"/>
        <v>45.877792280946039</v>
      </c>
      <c r="F348" s="1">
        <f t="shared" ca="1" si="31"/>
        <v>2.4549586175297726</v>
      </c>
      <c r="G348" s="1">
        <f t="shared" ca="1" si="34"/>
        <v>1.8307894610569129</v>
      </c>
      <c r="H348" s="1">
        <f t="shared" ca="1" si="32"/>
        <v>0.71618224826016608</v>
      </c>
    </row>
    <row r="349" spans="1:8">
      <c r="A349">
        <v>305</v>
      </c>
      <c r="B349">
        <f t="shared" ca="1" si="29"/>
        <v>0.53849107071781999</v>
      </c>
      <c r="C349" s="1">
        <f t="shared" ca="1" si="30"/>
        <v>47.530296711195525</v>
      </c>
      <c r="D349" s="1">
        <f t="shared" ca="1" si="35"/>
        <v>152.87853751142956</v>
      </c>
      <c r="E349" s="1">
        <f t="shared" ca="1" si="33"/>
        <v>183.28673491194988</v>
      </c>
      <c r="F349" s="1">
        <f t="shared" ca="1" si="31"/>
        <v>9.8077964614006987</v>
      </c>
      <c r="G349" s="1">
        <f t="shared" ca="1" si="34"/>
        <v>7.3141728642444166</v>
      </c>
      <c r="H349" s="1">
        <f t="shared" ca="1" si="32"/>
        <v>2.8611959451399565</v>
      </c>
    </row>
    <row r="350" spans="1:8">
      <c r="A350">
        <v>306</v>
      </c>
      <c r="B350">
        <f t="shared" ca="1" si="29"/>
        <v>0.47377939796000645</v>
      </c>
      <c r="C350" s="1">
        <f t="shared" ca="1" si="30"/>
        <v>54.19487926764554</v>
      </c>
      <c r="D350" s="1">
        <f t="shared" ca="1" si="35"/>
        <v>174.31479717254467</v>
      </c>
      <c r="E350" s="1">
        <f t="shared" ca="1" si="33"/>
        <v>208.98675892188936</v>
      </c>
      <c r="F350" s="1">
        <f t="shared" ca="1" si="31"/>
        <v>11.183020704528214</v>
      </c>
      <c r="G350" s="1">
        <f t="shared" ca="1" si="34"/>
        <v>8.3397472003780955</v>
      </c>
      <c r="H350" s="1">
        <f t="shared" ca="1" si="32"/>
        <v>3.26238456107667</v>
      </c>
    </row>
    <row r="351" spans="1:8">
      <c r="A351">
        <v>307</v>
      </c>
      <c r="B351">
        <f t="shared" ca="1" si="29"/>
        <v>0.30977479752585291</v>
      </c>
      <c r="C351" s="1">
        <f t="shared" ca="1" si="30"/>
        <v>71.085529016751849</v>
      </c>
      <c r="D351" s="1">
        <f t="shared" ca="1" si="35"/>
        <v>228.6426340325408</v>
      </c>
      <c r="E351" s="1">
        <f t="shared" ca="1" si="33"/>
        <v>274.12063646316113</v>
      </c>
      <c r="F351" s="1">
        <f t="shared" ca="1" si="31"/>
        <v>14.668374936454736</v>
      </c>
      <c r="G351" s="1">
        <f t="shared" ca="1" si="34"/>
        <v>10.938952290356509</v>
      </c>
      <c r="H351" s="1">
        <f t="shared" ca="1" si="32"/>
        <v>4.2791528789299154</v>
      </c>
    </row>
    <row r="352" spans="1:8">
      <c r="A352">
        <v>308</v>
      </c>
      <c r="B352">
        <f t="shared" ca="1" si="29"/>
        <v>0.82590078020460789</v>
      </c>
      <c r="C352" s="1">
        <f t="shared" ca="1" si="30"/>
        <v>17.930293268714124</v>
      </c>
      <c r="D352" s="1">
        <f t="shared" ca="1" si="35"/>
        <v>57.671770337565363</v>
      </c>
      <c r="E352" s="1">
        <f t="shared" ca="1" si="33"/>
        <v>69.142931797104325</v>
      </c>
      <c r="F352" s="1">
        <f t="shared" ca="1" si="31"/>
        <v>3.6998906794605659</v>
      </c>
      <c r="G352" s="1">
        <f t="shared" ca="1" si="34"/>
        <v>2.7591983218857408</v>
      </c>
      <c r="H352" s="1">
        <f t="shared" ca="1" si="32"/>
        <v>1.079361252235115</v>
      </c>
    </row>
    <row r="353" spans="1:8">
      <c r="A353">
        <v>309</v>
      </c>
      <c r="B353">
        <f t="shared" ca="1" si="29"/>
        <v>0.87465534766472819</v>
      </c>
      <c r="C353" s="1">
        <f t="shared" ca="1" si="30"/>
        <v>12.909115079455361</v>
      </c>
      <c r="D353" s="1">
        <f t="shared" ca="1" si="35"/>
        <v>41.521429553579026</v>
      </c>
      <c r="E353" s="1">
        <f t="shared" ca="1" si="33"/>
        <v>49.780218689552726</v>
      </c>
      <c r="F353" s="1">
        <f t="shared" ca="1" si="31"/>
        <v>2.6637798778547221</v>
      </c>
      <c r="G353" s="1">
        <f t="shared" ca="1" si="34"/>
        <v>1.9865180460484861</v>
      </c>
      <c r="H353" s="1">
        <f t="shared" ca="1" si="32"/>
        <v>0.77710083141239572</v>
      </c>
    </row>
    <row r="354" spans="1:8">
      <c r="A354">
        <v>310</v>
      </c>
      <c r="B354">
        <f t="shared" ca="1" si="29"/>
        <v>0.15317000282652737</v>
      </c>
      <c r="C354" s="1">
        <f t="shared" ca="1" si="30"/>
        <v>87.214081077454665</v>
      </c>
      <c r="D354" s="1">
        <f t="shared" ca="1" si="35"/>
        <v>280.51922600249611</v>
      </c>
      <c r="E354" s="1">
        <f t="shared" ca="1" si="33"/>
        <v>336.31570595096611</v>
      </c>
      <c r="F354" s="1">
        <f t="shared" ca="1" si="31"/>
        <v>17.996471724595878</v>
      </c>
      <c r="G354" s="1">
        <f t="shared" ca="1" si="34"/>
        <v>13.420882543654114</v>
      </c>
      <c r="H354" s="1">
        <f t="shared" ca="1" si="32"/>
        <v>5.2500451176394982</v>
      </c>
    </row>
    <row r="355" spans="1:8">
      <c r="A355">
        <v>311</v>
      </c>
      <c r="B355">
        <f t="shared" ca="1" si="29"/>
        <v>0.1452691676700375</v>
      </c>
      <c r="C355" s="1">
        <f t="shared" ca="1" si="30"/>
        <v>88.027779223728771</v>
      </c>
      <c r="D355" s="1">
        <f t="shared" ca="1" si="35"/>
        <v>283.13644089953698</v>
      </c>
      <c r="E355" s="1">
        <f t="shared" ca="1" si="33"/>
        <v>339.45349616047429</v>
      </c>
      <c r="F355" s="1">
        <f t="shared" ca="1" si="31"/>
        <v>18.164376827108423</v>
      </c>
      <c r="G355" s="1">
        <f t="shared" ca="1" si="34"/>
        <v>13.546097878464639</v>
      </c>
      <c r="H355" s="1">
        <f t="shared" ca="1" si="32"/>
        <v>5.2990273952733826</v>
      </c>
    </row>
    <row r="356" spans="1:8">
      <c r="A356">
        <v>312</v>
      </c>
      <c r="B356">
        <f t="shared" ca="1" si="29"/>
        <v>0.21474142369392146</v>
      </c>
      <c r="C356" s="1">
        <f t="shared" ca="1" si="30"/>
        <v>80.872909539138504</v>
      </c>
      <c r="D356" s="1">
        <f t="shared" ca="1" si="35"/>
        <v>260.12319991989267</v>
      </c>
      <c r="E356" s="1">
        <f t="shared" ca="1" si="33"/>
        <v>311.8628224574382</v>
      </c>
      <c r="F356" s="1">
        <f t="shared" ca="1" si="31"/>
        <v>16.687982744909846</v>
      </c>
      <c r="G356" s="1">
        <f t="shared" ca="1" si="34"/>
        <v>12.445076071810741</v>
      </c>
      <c r="H356" s="1">
        <f t="shared" ca="1" si="32"/>
        <v>4.8683249106608573</v>
      </c>
    </row>
    <row r="357" spans="1:8">
      <c r="A357">
        <v>313</v>
      </c>
      <c r="B357">
        <f t="shared" ca="1" si="29"/>
        <v>0.64011434949308432</v>
      </c>
      <c r="C357" s="1">
        <f t="shared" ca="1" si="30"/>
        <v>37.06422927403279</v>
      </c>
      <c r="D357" s="1">
        <f t="shared" ca="1" si="35"/>
        <v>119.21501285501549</v>
      </c>
      <c r="E357" s="1">
        <f t="shared" ca="1" si="33"/>
        <v>142.92739024985846</v>
      </c>
      <c r="F357" s="1">
        <f t="shared" ca="1" si="31"/>
        <v>7.6481428675137302</v>
      </c>
      <c r="G357" s="1">
        <f t="shared" ca="1" si="34"/>
        <v>5.7036098510500874</v>
      </c>
      <c r="H357" s="1">
        <f t="shared" ca="1" si="32"/>
        <v>2.2311689218642163</v>
      </c>
    </row>
    <row r="358" spans="1:8">
      <c r="A358">
        <v>314</v>
      </c>
      <c r="B358">
        <f t="shared" ca="1" si="29"/>
        <v>0.49950213133916022</v>
      </c>
      <c r="C358" s="1">
        <f t="shared" ca="1" si="30"/>
        <v>51.545723823549508</v>
      </c>
      <c r="D358" s="1">
        <f t="shared" ca="1" si="35"/>
        <v>165.79393581306769</v>
      </c>
      <c r="E358" s="1">
        <f t="shared" ca="1" si="33"/>
        <v>198.77106154809982</v>
      </c>
      <c r="F358" s="1">
        <f t="shared" ca="1" si="31"/>
        <v>10.636372394648969</v>
      </c>
      <c r="G358" s="1">
        <f t="shared" ca="1" si="34"/>
        <v>7.9320838827012405</v>
      </c>
      <c r="H358" s="1">
        <f t="shared" ca="1" si="32"/>
        <v>3.1029130567452388</v>
      </c>
    </row>
    <row r="359" spans="1:8">
      <c r="A359">
        <v>315</v>
      </c>
      <c r="B359">
        <f t="shared" ca="1" si="29"/>
        <v>0.37685095745237784</v>
      </c>
      <c r="C359" s="1">
        <f t="shared" ca="1" si="30"/>
        <v>64.177430580276308</v>
      </c>
      <c r="D359" s="1">
        <f t="shared" ca="1" si="35"/>
        <v>206.42311906749362</v>
      </c>
      <c r="E359" s="1">
        <f t="shared" ca="1" si="33"/>
        <v>247.4815642967244</v>
      </c>
      <c r="F359" s="1">
        <f t="shared" ca="1" si="31"/>
        <v>13.242901643373813</v>
      </c>
      <c r="G359" s="1">
        <f t="shared" ca="1" si="34"/>
        <v>9.8759046939128492</v>
      </c>
      <c r="H359" s="1">
        <f t="shared" ca="1" si="32"/>
        <v>3.8633053105324047</v>
      </c>
    </row>
    <row r="360" spans="1:8">
      <c r="A360">
        <v>316</v>
      </c>
      <c r="B360">
        <f t="shared" ca="1" si="29"/>
        <v>0.83078991470231078</v>
      </c>
      <c r="C360" s="1">
        <f t="shared" ca="1" si="30"/>
        <v>17.426766793491083</v>
      </c>
      <c r="D360" s="1">
        <f t="shared" ca="1" si="35"/>
        <v>56.052205394419587</v>
      </c>
      <c r="E360" s="1">
        <f t="shared" ca="1" si="33"/>
        <v>67.201228413094441</v>
      </c>
      <c r="F360" s="1">
        <f t="shared" ca="1" si="31"/>
        <v>3.5959889256870916</v>
      </c>
      <c r="G360" s="1">
        <f t="shared" ca="1" si="34"/>
        <v>2.6817135242740999</v>
      </c>
      <c r="H360" s="1">
        <f t="shared" ca="1" si="32"/>
        <v>1.049050413113358</v>
      </c>
    </row>
    <row r="361" spans="1:8">
      <c r="A361">
        <v>317</v>
      </c>
      <c r="B361">
        <f t="shared" ca="1" si="29"/>
        <v>0.40761919722910855</v>
      </c>
      <c r="C361" s="1">
        <f t="shared" ca="1" si="30"/>
        <v>61.008644094473226</v>
      </c>
      <c r="D361" s="1">
        <f t="shared" ca="1" si="35"/>
        <v>196.23089332117627</v>
      </c>
      <c r="E361" s="1">
        <f t="shared" ca="1" si="33"/>
        <v>235.26206096283664</v>
      </c>
      <c r="F361" s="1">
        <f t="shared" ca="1" si="31"/>
        <v>12.58902843231219</v>
      </c>
      <c r="G361" s="1">
        <f t="shared" ca="1" si="34"/>
        <v>9.3882783393737093</v>
      </c>
      <c r="H361" s="1">
        <f t="shared" ca="1" si="32"/>
        <v>3.6725535187029301</v>
      </c>
    </row>
    <row r="362" spans="1:8">
      <c r="A362">
        <v>318</v>
      </c>
      <c r="B362">
        <f t="shared" ca="1" si="29"/>
        <v>0.28682055789725258</v>
      </c>
      <c r="C362" s="1">
        <f t="shared" ca="1" si="30"/>
        <v>73.4495603963436</v>
      </c>
      <c r="D362" s="1">
        <f t="shared" ca="1" si="35"/>
        <v>236.24640967350848</v>
      </c>
      <c r="E362" s="1">
        <f t="shared" ca="1" si="33"/>
        <v>283.23683582015735</v>
      </c>
      <c r="F362" s="1">
        <f t="shared" ca="1" si="31"/>
        <v>15.156188424725256</v>
      </c>
      <c r="G362" s="1">
        <f t="shared" ca="1" si="34"/>
        <v>11.302739503162142</v>
      </c>
      <c r="H362" s="1">
        <f t="shared" ca="1" si="32"/>
        <v>4.4214607383008646</v>
      </c>
    </row>
    <row r="363" spans="1:8">
      <c r="A363">
        <v>319</v>
      </c>
      <c r="B363">
        <f t="shared" ca="1" si="29"/>
        <v>0.2098712064230458</v>
      </c>
      <c r="C363" s="1">
        <f t="shared" ca="1" si="30"/>
        <v>81.374487750399936</v>
      </c>
      <c r="D363" s="1">
        <f t="shared" ca="1" si="35"/>
        <v>261.73649838020691</v>
      </c>
      <c r="E363" s="1">
        <f t="shared" ca="1" si="33"/>
        <v>313.79701292819857</v>
      </c>
      <c r="F363" s="1">
        <f t="shared" ca="1" si="31"/>
        <v>16.791482478030218</v>
      </c>
      <c r="G363" s="1">
        <f t="shared" ca="1" si="34"/>
        <v>12.522261062269854</v>
      </c>
      <c r="H363" s="1">
        <f t="shared" ca="1" si="32"/>
        <v>4.8985184699206545</v>
      </c>
    </row>
    <row r="364" spans="1:8">
      <c r="A364">
        <v>320</v>
      </c>
      <c r="B364">
        <f t="shared" ca="1" si="29"/>
        <v>0.47747361544639355</v>
      </c>
      <c r="C364" s="1">
        <f t="shared" ca="1" si="30"/>
        <v>53.814415954455484</v>
      </c>
      <c r="D364" s="1">
        <f t="shared" ca="1" si="35"/>
        <v>173.09105805550473</v>
      </c>
      <c r="E364" s="1">
        <f t="shared" ca="1" si="33"/>
        <v>207.51961282518113</v>
      </c>
      <c r="F364" s="1">
        <f t="shared" ca="1" si="31"/>
        <v>11.104512805873227</v>
      </c>
      <c r="G364" s="1">
        <f t="shared" ca="1" si="34"/>
        <v>8.2811998860424865</v>
      </c>
      <c r="H364" s="1">
        <f t="shared" ca="1" si="32"/>
        <v>3.2394817687801458</v>
      </c>
    </row>
    <row r="365" spans="1:8">
      <c r="A365">
        <v>321</v>
      </c>
      <c r="B365">
        <f t="shared" ca="1" si="29"/>
        <v>0.80354118196729774</v>
      </c>
      <c r="C365" s="1">
        <f t="shared" ca="1" si="30"/>
        <v>20.233083198736665</v>
      </c>
      <c r="D365" s="1">
        <f t="shared" ca="1" si="35"/>
        <v>65.078566257167324</v>
      </c>
      <c r="E365" s="1">
        <f t="shared" ca="1" si="33"/>
        <v>78.022971317981728</v>
      </c>
      <c r="F365" s="1">
        <f t="shared" ca="1" si="31"/>
        <v>4.1750671082576005</v>
      </c>
      <c r="G365" s="1">
        <f t="shared" ca="1" si="34"/>
        <v>3.1135614397156122</v>
      </c>
      <c r="H365" s="1">
        <f t="shared" ca="1" si="32"/>
        <v>1.2179825532683868</v>
      </c>
    </row>
    <row r="366" spans="1:8">
      <c r="A366">
        <v>322</v>
      </c>
      <c r="B366">
        <f t="shared" ref="B366:B429" ca="1" si="36">RAND()</f>
        <v>9.5925863843260295E-2</v>
      </c>
      <c r="C366" s="1">
        <f t="shared" ref="C366:C429" ca="1" si="37">IF($B366&lt;=0.005,$F$4,IF(B366&lt;=0.01,$F$4+($B366-0.005)*SLOPE($E$4:$F$4,$E$3:$F$3),IF($B366&lt;=0.04,$E$4+($B366-0.01)*SLOPE($D$4:$E$4,$D$3:$E$3),IF($B366&lt;=0.1,$D$4+($B366-0.04)*SLOPE($C$4:$D$4,$C$3:$D$3),IF($B366&lt;=1,$C$4+($B366-0.1)*SLOPE($B$4:$C$4,$B$3:$C$3),)))))</f>
        <v>93.710571107263291</v>
      </c>
      <c r="D366" s="1">
        <f t="shared" ca="1" si="35"/>
        <v>301.25079613825062</v>
      </c>
      <c r="E366" s="1">
        <f t="shared" ca="1" si="33"/>
        <v>361.16556016114191</v>
      </c>
      <c r="F366" s="1">
        <f t="shared" ref="F366:F429" ca="1" si="38">IF($B366&lt;=0.005,$F$22,IF($B366&lt;=0.01,$F$22+($B366-0.005)*SLOPE($E$22:$F$22,$E$21:$F$21),IF($B366&lt;=0.04,$E$22+($B366-0.01)*SLOPE($D$22:$E$22,$D$21:$E$21),IF($B366&lt;=0.1,$D$22+($B366-0.04)*SLOPE($C$22:$D$22,$C$21:$D$21),IF($B366&lt;=1,$C$22+($B366-0.1)*SLOPE($B$22:$C$22,$B$21:$C$21),)))))</f>
        <v>19.627892680021318</v>
      </c>
      <c r="G366" s="1">
        <f t="shared" ca="1" si="34"/>
        <v>14.431731131867638</v>
      </c>
      <c r="H366" s="1">
        <f t="shared" ref="H366:H429" ca="1" si="39">IF($B366&lt;=0.005,$F$34,IF($B366&lt;=0.01,$F$34+($B366-0.005)*SLOPE($E$34:$F$34,$E$33:$F$33),IF($B366&lt;=0.04,$E$34+($B366-0.01)*SLOPE($D$34:$E$34,$D$33:$E$33),IF($B366&lt;=0.1,$D$34+($B366-0.04)*SLOPE($C$34:$D$34,$C$33:$D$33),IF($B366&lt;=1,$C$34+($B366-0.1)*SLOPE($B$34:$C$34,$B$33:$C$33),)))))</f>
        <v>5.6340237321034534</v>
      </c>
    </row>
    <row r="367" spans="1:8">
      <c r="A367">
        <v>323</v>
      </c>
      <c r="B367">
        <f t="shared" ca="1" si="36"/>
        <v>0.97656758081774309</v>
      </c>
      <c r="C367" s="1">
        <f t="shared" ca="1" si="37"/>
        <v>2.4132885551991308</v>
      </c>
      <c r="D367" s="1">
        <f t="shared" ca="1" si="35"/>
        <v>7.7621864462626036</v>
      </c>
      <c r="E367" s="1">
        <f t="shared" ref="E367:E430" ca="1" si="40">IF($B367&lt;=0.005,$F$16,IF($B367&lt;=0.01,$F$16+($B367-0.005)*SLOPE($E$16:$F$16,$E$15:$F$15),IF($B367&lt;=0.04,$E$16+($B367-0.01)*SLOPE($D$16:$E$16,$D$15:$E$15),IF($B367&lt;=0.1,$D$16+($B367-0.04)*SLOPE($C$16:$D$16,$C$15:$D$15),IF($B367&lt;=1,$C$16+($B367-0.1)*SLOPE($B$16:$C$16,$B$15:$C$15),)))))</f>
        <v>9.306116764521164</v>
      </c>
      <c r="F367" s="1">
        <f t="shared" ca="1" si="38"/>
        <v>0.49798555156963431</v>
      </c>
      <c r="G367" s="1">
        <f t="shared" ref="G367:G430" ca="1" si="41">IF($B367&lt;=0.005,$F$28,IF($B367&lt;=0.01,$F$28+($B367-0.005)*SLOPE($E$28:$F$28,$E$27:$F$27),IF($B367&lt;=0.04,$E$28+($B367-0.01)*SLOPE($D$28:$E$28,$D$27:$E$27),IF($B367&lt;=0.1,$D$28+($B367-0.04)*SLOPE($C$28:$D$28,$C$27:$D$27),IF($B367&lt;=1,$C$28+($B367-0.1)*SLOPE($B$28:$C$28,$B$27:$C$27),)))))</f>
        <v>0.37137557784233088</v>
      </c>
      <c r="H367" s="1">
        <f t="shared" ca="1" si="39"/>
        <v>0.14528239706755119</v>
      </c>
    </row>
    <row r="368" spans="1:8">
      <c r="A368">
        <v>324</v>
      </c>
      <c r="B368">
        <f t="shared" ca="1" si="36"/>
        <v>0.53317582268485353</v>
      </c>
      <c r="C368" s="1">
        <f t="shared" ca="1" si="37"/>
        <v>48.077708141221287</v>
      </c>
      <c r="D368" s="1">
        <f t="shared" ref="D368:D431" ca="1" si="42">IF($B368&lt;=0.005,$F$10,IF($B368&lt;=0.01,$F$10+($B368-0.005)*SLOPE($E$10:$F$10,$E$9:$F$9),IF($B368&lt;=0.04,$E$10+($B368-0.01)*SLOPE($D$10:$E$10,$D$9:$E$9),IF($B368&lt;=0.1,$D$10+($B368-0.04)*SLOPE($C$10:$D$10,$C$9:$D$9),IF($B368&lt;=1,$C$10+($B368-0.1)*SLOPE($B$10:$C$10,$B$9:$C$9),)))))</f>
        <v>154.63925597445436</v>
      </c>
      <c r="E368" s="1">
        <f t="shared" ca="1" si="40"/>
        <v>185.39766785873462</v>
      </c>
      <c r="F368" s="1">
        <f t="shared" ca="1" si="38"/>
        <v>9.9207537941608646</v>
      </c>
      <c r="G368" s="1">
        <f t="shared" ca="1" si="41"/>
        <v>7.3984108655273806</v>
      </c>
      <c r="H368" s="1">
        <f t="shared" ca="1" si="39"/>
        <v>2.8941485317573172</v>
      </c>
    </row>
    <row r="369" spans="1:8">
      <c r="A369">
        <v>325</v>
      </c>
      <c r="B369">
        <f t="shared" ca="1" si="36"/>
        <v>0.41288127639209404</v>
      </c>
      <c r="C369" s="1">
        <f t="shared" ca="1" si="37"/>
        <v>60.466708466699522</v>
      </c>
      <c r="D369" s="1">
        <f t="shared" ca="1" si="42"/>
        <v>194.48778747198492</v>
      </c>
      <c r="E369" s="1">
        <f t="shared" ca="1" si="40"/>
        <v>233.17224385461486</v>
      </c>
      <c r="F369" s="1">
        <f t="shared" ca="1" si="38"/>
        <v>12.477201021185348</v>
      </c>
      <c r="G369" s="1">
        <f t="shared" ca="1" si="41"/>
        <v>9.3048829778527828</v>
      </c>
      <c r="H369" s="1">
        <f t="shared" ca="1" si="39"/>
        <v>3.6399305595615647</v>
      </c>
    </row>
    <row r="370" spans="1:8">
      <c r="A370">
        <v>326</v>
      </c>
      <c r="B370">
        <f t="shared" ca="1" si="36"/>
        <v>0.17198129730121114</v>
      </c>
      <c r="C370" s="1">
        <f t="shared" ca="1" si="37"/>
        <v>85.276726969959682</v>
      </c>
      <c r="D370" s="1">
        <f t="shared" ca="1" si="42"/>
        <v>274.28783411080167</v>
      </c>
      <c r="E370" s="1">
        <f t="shared" ca="1" si="40"/>
        <v>328.84486338031041</v>
      </c>
      <c r="F370" s="1">
        <f t="shared" ca="1" si="38"/>
        <v>17.596702299641983</v>
      </c>
      <c r="G370" s="1">
        <f t="shared" ca="1" si="41"/>
        <v>13.122754245921932</v>
      </c>
      <c r="H370" s="1">
        <f t="shared" ca="1" si="39"/>
        <v>5.1334219973792505</v>
      </c>
    </row>
    <row r="371" spans="1:8">
      <c r="A371">
        <v>327</v>
      </c>
      <c r="B371">
        <f t="shared" ca="1" si="36"/>
        <v>0.84815742440724584</v>
      </c>
      <c r="C371" s="1">
        <f t="shared" ca="1" si="37"/>
        <v>15.638106459185153</v>
      </c>
      <c r="D371" s="1">
        <f t="shared" ca="1" si="42"/>
        <v>50.299078766164229</v>
      </c>
      <c r="E371" s="1">
        <f t="shared" ca="1" si="40"/>
        <v>60.303780126134541</v>
      </c>
      <c r="F371" s="1">
        <f t="shared" ca="1" si="38"/>
        <v>3.2269021849012844</v>
      </c>
      <c r="G371" s="1">
        <f t="shared" ca="1" si="41"/>
        <v>2.4064668573768468</v>
      </c>
      <c r="H371" s="1">
        <f t="shared" ca="1" si="39"/>
        <v>0.94137822842316954</v>
      </c>
    </row>
    <row r="372" spans="1:8">
      <c r="A372">
        <v>328</v>
      </c>
      <c r="B372">
        <f t="shared" ca="1" si="36"/>
        <v>0.85818279861231406</v>
      </c>
      <c r="C372" s="1">
        <f t="shared" ca="1" si="37"/>
        <v>14.6056044205029</v>
      </c>
      <c r="D372" s="1">
        <f t="shared" ca="1" si="42"/>
        <v>46.978093300930084</v>
      </c>
      <c r="E372" s="1">
        <f t="shared" ca="1" si="40"/>
        <v>56.322236352059122</v>
      </c>
      <c r="F372" s="1">
        <f t="shared" ca="1" si="38"/>
        <v>3.0138473052224022</v>
      </c>
      <c r="G372" s="1">
        <f t="shared" ca="1" si="41"/>
        <v>2.2475810481143572</v>
      </c>
      <c r="H372" s="1">
        <f t="shared" ca="1" si="39"/>
        <v>0.87922458859018704</v>
      </c>
    </row>
    <row r="373" spans="1:8">
      <c r="A373">
        <v>329</v>
      </c>
      <c r="B373">
        <f t="shared" ca="1" si="36"/>
        <v>0.39327555148721927</v>
      </c>
      <c r="C373" s="1">
        <f t="shared" ca="1" si="37"/>
        <v>62.485880072672401</v>
      </c>
      <c r="D373" s="1">
        <f t="shared" ca="1" si="42"/>
        <v>200.98234080362545</v>
      </c>
      <c r="E373" s="1">
        <f t="shared" ca="1" si="40"/>
        <v>240.95859180876678</v>
      </c>
      <c r="F373" s="1">
        <f t="shared" ca="1" si="38"/>
        <v>12.89385333512228</v>
      </c>
      <c r="G373" s="1">
        <f t="shared" ca="1" si="41"/>
        <v>9.6156017005628005</v>
      </c>
      <c r="H373" s="1">
        <f t="shared" ca="1" si="39"/>
        <v>3.7614788568596431</v>
      </c>
    </row>
    <row r="374" spans="1:8">
      <c r="A374">
        <v>330</v>
      </c>
      <c r="B374">
        <f t="shared" ca="1" si="36"/>
        <v>6.3067943554976247E-2</v>
      </c>
      <c r="C374" s="1">
        <f t="shared" ca="1" si="37"/>
        <v>101.94148013947844</v>
      </c>
      <c r="D374" s="1">
        <f t="shared" ca="1" si="42"/>
        <v>326.40216153734178</v>
      </c>
      <c r="E374" s="1">
        <f t="shared" ca="1" si="40"/>
        <v>391.27677903128404</v>
      </c>
      <c r="F374" s="1">
        <f t="shared" ca="1" si="38"/>
        <v>23.672292049728185</v>
      </c>
      <c r="G374" s="1">
        <f t="shared" ca="1" si="41"/>
        <v>15.788191020958662</v>
      </c>
      <c r="H374" s="1">
        <f t="shared" ca="1" si="39"/>
        <v>6.0723091840539807</v>
      </c>
    </row>
    <row r="375" spans="1:8">
      <c r="A375">
        <v>331</v>
      </c>
      <c r="B375">
        <f t="shared" ca="1" si="36"/>
        <v>0.63899855106285053</v>
      </c>
      <c r="C375" s="1">
        <f t="shared" ca="1" si="37"/>
        <v>37.179144102188779</v>
      </c>
      <c r="D375" s="1">
        <f t="shared" ca="1" si="42"/>
        <v>119.58463001774089</v>
      </c>
      <c r="E375" s="1">
        <f t="shared" ca="1" si="40"/>
        <v>143.37052585778167</v>
      </c>
      <c r="F375" s="1">
        <f t="shared" ca="1" si="38"/>
        <v>7.6718553290574771</v>
      </c>
      <c r="G375" s="1">
        <f t="shared" ca="1" si="41"/>
        <v>5.7212934340201773</v>
      </c>
      <c r="H375" s="1">
        <f t="shared" ca="1" si="39"/>
        <v>2.2380864625305685</v>
      </c>
    </row>
    <row r="376" spans="1:8">
      <c r="A376">
        <v>332</v>
      </c>
      <c r="B376">
        <f t="shared" ca="1" si="36"/>
        <v>0.56783368077177532</v>
      </c>
      <c r="C376" s="1">
        <f t="shared" ca="1" si="37"/>
        <v>44.508334230667728</v>
      </c>
      <c r="D376" s="1">
        <f t="shared" ca="1" si="42"/>
        <v>143.1585630238981</v>
      </c>
      <c r="E376" s="1">
        <f t="shared" ca="1" si="40"/>
        <v>171.63341564568364</v>
      </c>
      <c r="F376" s="1">
        <f t="shared" ca="1" si="38"/>
        <v>9.1842201113678659</v>
      </c>
      <c r="G376" s="1">
        <f t="shared" ca="1" si="41"/>
        <v>6.8491404126936866</v>
      </c>
      <c r="H376" s="1">
        <f t="shared" ca="1" si="39"/>
        <v>2.6792825342538866</v>
      </c>
    </row>
    <row r="377" spans="1:8">
      <c r="A377">
        <v>333</v>
      </c>
      <c r="B377">
        <f t="shared" ca="1" si="36"/>
        <v>0.14436136658334175</v>
      </c>
      <c r="C377" s="1">
        <f t="shared" ca="1" si="37"/>
        <v>88.121272638893018</v>
      </c>
      <c r="D377" s="1">
        <f t="shared" ca="1" si="42"/>
        <v>283.43715727705796</v>
      </c>
      <c r="E377" s="1">
        <f t="shared" ca="1" si="40"/>
        <v>339.81402632033655</v>
      </c>
      <c r="F377" s="1">
        <f t="shared" ca="1" si="38"/>
        <v>18.183669019832816</v>
      </c>
      <c r="G377" s="1">
        <f t="shared" ca="1" si="41"/>
        <v>13.560485043208685</v>
      </c>
      <c r="H377" s="1">
        <f t="shared" ca="1" si="39"/>
        <v>5.3046554287640388</v>
      </c>
    </row>
    <row r="378" spans="1:8">
      <c r="A378">
        <v>334</v>
      </c>
      <c r="B378">
        <f t="shared" ca="1" si="36"/>
        <v>0.17073081857546257</v>
      </c>
      <c r="C378" s="1">
        <f t="shared" ca="1" si="37"/>
        <v>85.405512370609515</v>
      </c>
      <c r="D378" s="1">
        <f t="shared" ca="1" si="42"/>
        <v>274.70206519962193</v>
      </c>
      <c r="E378" s="1">
        <f t="shared" ca="1" si="40"/>
        <v>329.3414868163315</v>
      </c>
      <c r="F378" s="1">
        <f t="shared" ca="1" si="38"/>
        <v>17.623276928080358</v>
      </c>
      <c r="G378" s="1">
        <f t="shared" ca="1" si="41"/>
        <v>13.14257229163694</v>
      </c>
      <c r="H378" s="1">
        <f t="shared" ca="1" si="39"/>
        <v>5.1411745064376841</v>
      </c>
    </row>
    <row r="379" spans="1:8">
      <c r="A379">
        <v>335</v>
      </c>
      <c r="B379">
        <f t="shared" ca="1" si="36"/>
        <v>1.5228052904185385E-2</v>
      </c>
      <c r="C379" s="1">
        <f t="shared" ca="1" si="37"/>
        <v>141.45939194449952</v>
      </c>
      <c r="D379" s="1">
        <f t="shared" ca="1" si="42"/>
        <v>449.40895150096213</v>
      </c>
      <c r="E379" s="1">
        <f t="shared" ca="1" si="40"/>
        <v>538.69883790334859</v>
      </c>
      <c r="F379" s="1">
        <f t="shared" ca="1" si="38"/>
        <v>29.889431037419261</v>
      </c>
      <c r="G379" s="1">
        <f t="shared" ca="1" si="41"/>
        <v>20.403461907902749</v>
      </c>
      <c r="H379" s="1">
        <f t="shared" ca="1" si="39"/>
        <v>7.6651295633060208</v>
      </c>
    </row>
    <row r="380" spans="1:8">
      <c r="A380">
        <v>336</v>
      </c>
      <c r="B380">
        <f t="shared" ca="1" si="36"/>
        <v>0.44115436773493555</v>
      </c>
      <c r="C380" s="1">
        <f t="shared" ca="1" si="37"/>
        <v>57.55489451799167</v>
      </c>
      <c r="D380" s="1">
        <f t="shared" ca="1" si="42"/>
        <v>185.12209961972033</v>
      </c>
      <c r="E380" s="1">
        <f t="shared" ca="1" si="40"/>
        <v>221.94368036089023</v>
      </c>
      <c r="F380" s="1">
        <f t="shared" ca="1" si="38"/>
        <v>11.876353616292082</v>
      </c>
      <c r="G380" s="1">
        <f t="shared" ca="1" si="41"/>
        <v>8.8568006513009561</v>
      </c>
      <c r="H380" s="1">
        <f t="shared" ca="1" si="39"/>
        <v>3.4646477720722353</v>
      </c>
    </row>
    <row r="381" spans="1:8">
      <c r="A381">
        <v>337</v>
      </c>
      <c r="B381">
        <f t="shared" ca="1" si="36"/>
        <v>0.27710112187646263</v>
      </c>
      <c r="C381" s="1">
        <f t="shared" ca="1" si="37"/>
        <v>74.450554204757665</v>
      </c>
      <c r="D381" s="1">
        <f t="shared" ca="1" si="42"/>
        <v>239.46605066596129</v>
      </c>
      <c r="E381" s="1">
        <f t="shared" ca="1" si="40"/>
        <v>287.0968772694369</v>
      </c>
      <c r="F381" s="1">
        <f t="shared" ca="1" si="38"/>
        <v>15.362741639557788</v>
      </c>
      <c r="G381" s="1">
        <f t="shared" ca="1" si="41"/>
        <v>11.45677669181466</v>
      </c>
      <c r="H381" s="1">
        <f t="shared" ca="1" si="39"/>
        <v>4.4817176736988964</v>
      </c>
    </row>
    <row r="382" spans="1:8">
      <c r="A382">
        <v>338</v>
      </c>
      <c r="B382">
        <f t="shared" ca="1" si="36"/>
        <v>0.10048617637388746</v>
      </c>
      <c r="C382" s="1">
        <f t="shared" ca="1" si="37"/>
        <v>92.639929240851259</v>
      </c>
      <c r="D382" s="1">
        <f t="shared" ca="1" si="42"/>
        <v>297.97116528409276</v>
      </c>
      <c r="E382" s="1">
        <f t="shared" ca="1" si="40"/>
        <v>357.23891110184587</v>
      </c>
      <c r="F382" s="1">
        <f t="shared" ca="1" si="38"/>
        <v>19.11608542442324</v>
      </c>
      <c r="G382" s="1">
        <f t="shared" ca="1" si="41"/>
        <v>14.25583515786581</v>
      </c>
      <c r="H382" s="1">
        <f t="shared" ca="1" si="39"/>
        <v>5.5766655018148183</v>
      </c>
    </row>
    <row r="383" spans="1:8">
      <c r="A383">
        <v>339</v>
      </c>
      <c r="B383">
        <f t="shared" ca="1" si="36"/>
        <v>0.13963789178221209</v>
      </c>
      <c r="C383" s="1">
        <f t="shared" ca="1" si="37"/>
        <v>88.607738007872982</v>
      </c>
      <c r="D383" s="1">
        <f t="shared" ca="1" si="42"/>
        <v>285.00184611949749</v>
      </c>
      <c r="E383" s="1">
        <f t="shared" ca="1" si="40"/>
        <v>341.68993851091921</v>
      </c>
      <c r="F383" s="1">
        <f t="shared" ca="1" si="38"/>
        <v>18.284050245993146</v>
      </c>
      <c r="G383" s="1">
        <f t="shared" ca="1" si="41"/>
        <v>13.63534440515939</v>
      </c>
      <c r="H383" s="1">
        <f t="shared" ca="1" si="39"/>
        <v>5.3339392385794531</v>
      </c>
    </row>
    <row r="384" spans="1:8">
      <c r="A384">
        <v>340</v>
      </c>
      <c r="B384">
        <f t="shared" ca="1" si="36"/>
        <v>0.27378109270574857</v>
      </c>
      <c r="C384" s="1">
        <f t="shared" ca="1" si="37"/>
        <v>74.792480283238987</v>
      </c>
      <c r="D384" s="1">
        <f t="shared" ca="1" si="42"/>
        <v>240.56583690780758</v>
      </c>
      <c r="E384" s="1">
        <f t="shared" ca="1" si="40"/>
        <v>288.41541573034772</v>
      </c>
      <c r="F384" s="1">
        <f t="shared" ca="1" si="38"/>
        <v>15.433297451343773</v>
      </c>
      <c r="G384" s="1">
        <f t="shared" ca="1" si="41"/>
        <v>11.509393732413235</v>
      </c>
      <c r="H384" s="1">
        <f t="shared" ca="1" si="39"/>
        <v>4.5023006357999256</v>
      </c>
    </row>
    <row r="385" spans="1:8">
      <c r="A385">
        <v>341</v>
      </c>
      <c r="B385">
        <f t="shared" ca="1" si="36"/>
        <v>0.34524081365625481</v>
      </c>
      <c r="C385" s="1">
        <f t="shared" ca="1" si="37"/>
        <v>67.432923816233199</v>
      </c>
      <c r="D385" s="1">
        <f t="shared" ca="1" si="42"/>
        <v>216.89423226023774</v>
      </c>
      <c r="E385" s="1">
        <f t="shared" ca="1" si="40"/>
        <v>260.03542699099251</v>
      </c>
      <c r="F385" s="1">
        <f t="shared" ca="1" si="38"/>
        <v>13.914666631428869</v>
      </c>
      <c r="G385" s="1">
        <f t="shared" ca="1" si="41"/>
        <v>10.376873852292157</v>
      </c>
      <c r="H385" s="1">
        <f t="shared" ca="1" si="39"/>
        <v>4.0592765982255647</v>
      </c>
    </row>
    <row r="386" spans="1:8">
      <c r="A386">
        <v>342</v>
      </c>
      <c r="B386">
        <f t="shared" ca="1" si="36"/>
        <v>0.1295465788597705</v>
      </c>
      <c r="C386" s="1">
        <f t="shared" ca="1" si="37"/>
        <v>89.647031001059617</v>
      </c>
      <c r="D386" s="1">
        <f t="shared" ca="1" si="42"/>
        <v>288.34467431274498</v>
      </c>
      <c r="E386" s="1">
        <f t="shared" ca="1" si="40"/>
        <v>345.69766962566229</v>
      </c>
      <c r="F386" s="1">
        <f t="shared" ca="1" si="38"/>
        <v>18.498506426532106</v>
      </c>
      <c r="G386" s="1">
        <f t="shared" ca="1" si="41"/>
        <v>13.795275235411349</v>
      </c>
      <c r="H386" s="1">
        <f t="shared" ca="1" si="39"/>
        <v>5.3965016742545497</v>
      </c>
    </row>
    <row r="387" spans="1:8">
      <c r="A387">
        <v>343</v>
      </c>
      <c r="B387">
        <f t="shared" ca="1" si="36"/>
        <v>0.11294644948856802</v>
      </c>
      <c r="C387" s="1">
        <f t="shared" ca="1" si="37"/>
        <v>91.356659695965689</v>
      </c>
      <c r="D387" s="1">
        <f t="shared" ca="1" si="42"/>
        <v>293.8436000620602</v>
      </c>
      <c r="E387" s="1">
        <f t="shared" ca="1" si="40"/>
        <v>352.29035538429912</v>
      </c>
      <c r="F387" s="1">
        <f t="shared" ca="1" si="38"/>
        <v>18.851285135185936</v>
      </c>
      <c r="G387" s="1">
        <f t="shared" ca="1" si="41"/>
        <v>14.058360177185607</v>
      </c>
      <c r="H387" s="1">
        <f t="shared" ca="1" si="39"/>
        <v>5.4994163825750659</v>
      </c>
    </row>
    <row r="388" spans="1:8">
      <c r="A388">
        <v>344</v>
      </c>
      <c r="B388">
        <f t="shared" ca="1" si="36"/>
        <v>0.89598539172077096</v>
      </c>
      <c r="C388" s="1">
        <f t="shared" ca="1" si="37"/>
        <v>10.712357779172962</v>
      </c>
      <c r="D388" s="1">
        <f t="shared" ca="1" si="42"/>
        <v>34.45568169878959</v>
      </c>
      <c r="E388" s="1">
        <f t="shared" ca="1" si="40"/>
        <v>41.309063162095299</v>
      </c>
      <c r="F388" s="1">
        <f t="shared" ca="1" si="38"/>
        <v>2.2104830854409272</v>
      </c>
      <c r="G388" s="1">
        <f t="shared" ca="1" si="41"/>
        <v>1.6484716806833308</v>
      </c>
      <c r="H388" s="1">
        <f t="shared" ca="1" si="39"/>
        <v>0.64486238836149123</v>
      </c>
    </row>
    <row r="389" spans="1:8">
      <c r="A389">
        <v>345</v>
      </c>
      <c r="B389">
        <f t="shared" ca="1" si="36"/>
        <v>0.21112158782842816</v>
      </c>
      <c r="C389" s="1">
        <f t="shared" ca="1" si="37"/>
        <v>81.245712372665409</v>
      </c>
      <c r="D389" s="1">
        <f t="shared" ca="1" si="42"/>
        <v>261.32229952953713</v>
      </c>
      <c r="E389" s="1">
        <f t="shared" ca="1" si="40"/>
        <v>313.30042814263487</v>
      </c>
      <c r="F389" s="1">
        <f t="shared" ca="1" si="38"/>
        <v>16.764909917801816</v>
      </c>
      <c r="G389" s="1">
        <f t="shared" ca="1" si="41"/>
        <v>12.502444558923722</v>
      </c>
      <c r="H389" s="1">
        <f t="shared" ca="1" si="39"/>
        <v>4.8907665642127656</v>
      </c>
    </row>
    <row r="390" spans="1:8">
      <c r="A390">
        <v>346</v>
      </c>
      <c r="B390">
        <f t="shared" ca="1" si="36"/>
        <v>3.269868744938853E-2</v>
      </c>
      <c r="C390" s="1">
        <f t="shared" ca="1" si="37"/>
        <v>117.66438769393282</v>
      </c>
      <c r="D390" s="1">
        <f t="shared" ca="1" si="42"/>
        <v>375.11046727747799</v>
      </c>
      <c r="E390" s="1">
        <f t="shared" ca="1" si="40"/>
        <v>449.63703109736508</v>
      </c>
      <c r="F390" s="1">
        <f t="shared" ca="1" si="38"/>
        <v>27.507233549999548</v>
      </c>
      <c r="G390" s="1">
        <f t="shared" ca="1" si="41"/>
        <v>17.820122390328571</v>
      </c>
      <c r="H390" s="1">
        <f t="shared" ca="1" si="39"/>
        <v>6.7587862462619013</v>
      </c>
    </row>
    <row r="391" spans="1:8">
      <c r="A391">
        <v>347</v>
      </c>
      <c r="B391">
        <f t="shared" ca="1" si="36"/>
        <v>0.20019844257950581</v>
      </c>
      <c r="C391" s="1">
        <f t="shared" ca="1" si="37"/>
        <v>82.370674843655593</v>
      </c>
      <c r="D391" s="1">
        <f t="shared" ca="1" si="42"/>
        <v>264.9406788403038</v>
      </c>
      <c r="E391" s="1">
        <f t="shared" ca="1" si="40"/>
        <v>317.63851867866515</v>
      </c>
      <c r="F391" s="1">
        <f t="shared" ca="1" si="38"/>
        <v>16.997043836109583</v>
      </c>
      <c r="G391" s="1">
        <f t="shared" ca="1" si="41"/>
        <v>12.675558573130729</v>
      </c>
      <c r="H391" s="1">
        <f t="shared" ca="1" si="39"/>
        <v>4.9584860549527372</v>
      </c>
    </row>
    <row r="392" spans="1:8">
      <c r="A392">
        <v>348</v>
      </c>
      <c r="B392">
        <f t="shared" ca="1" si="36"/>
        <v>0.81169272410335713</v>
      </c>
      <c r="C392" s="1">
        <f t="shared" ca="1" si="37"/>
        <v>19.393565021985637</v>
      </c>
      <c r="D392" s="1">
        <f t="shared" ca="1" si="42"/>
        <v>62.378302666067526</v>
      </c>
      <c r="E392" s="1">
        <f t="shared" ca="1" si="40"/>
        <v>74.785613671567546</v>
      </c>
      <c r="F392" s="1">
        <f t="shared" ca="1" si="38"/>
        <v>4.0018340903701013</v>
      </c>
      <c r="G392" s="1">
        <f t="shared" ca="1" si="41"/>
        <v>2.9843728086947046</v>
      </c>
      <c r="H392" s="1">
        <f t="shared" ca="1" si="39"/>
        <v>1.1674459843937921</v>
      </c>
    </row>
    <row r="393" spans="1:8">
      <c r="A393">
        <v>349</v>
      </c>
      <c r="B393">
        <f t="shared" ca="1" si="36"/>
        <v>0.28060752128289268</v>
      </c>
      <c r="C393" s="1">
        <f t="shared" ca="1" si="37"/>
        <v>74.089434064848774</v>
      </c>
      <c r="D393" s="1">
        <f t="shared" ca="1" si="42"/>
        <v>238.30452779151608</v>
      </c>
      <c r="E393" s="1">
        <f t="shared" ca="1" si="40"/>
        <v>285.70432249387193</v>
      </c>
      <c r="F393" s="1">
        <f t="shared" ca="1" si="38"/>
        <v>15.288225168814444</v>
      </c>
      <c r="G393" s="1">
        <f t="shared" ca="1" si="41"/>
        <v>11.401205987330982</v>
      </c>
      <c r="H393" s="1">
        <f t="shared" ca="1" si="39"/>
        <v>4.4599792845515207</v>
      </c>
    </row>
    <row r="394" spans="1:8">
      <c r="A394">
        <v>350</v>
      </c>
      <c r="B394">
        <f t="shared" ca="1" si="36"/>
        <v>0.3737203770784594</v>
      </c>
      <c r="C394" s="1">
        <f t="shared" ca="1" si="37"/>
        <v>64.499845539779301</v>
      </c>
      <c r="D394" s="1">
        <f t="shared" ca="1" si="42"/>
        <v>207.46014887873741</v>
      </c>
      <c r="E394" s="1">
        <f t="shared" ca="1" si="40"/>
        <v>248.72486380276342</v>
      </c>
      <c r="F394" s="1">
        <f t="shared" ca="1" si="38"/>
        <v>13.309431371965196</v>
      </c>
      <c r="G394" s="1">
        <f t="shared" ca="1" si="41"/>
        <v>9.9255192804606356</v>
      </c>
      <c r="H394" s="1">
        <f t="shared" ca="1" si="39"/>
        <v>3.8827137596385102</v>
      </c>
    </row>
    <row r="395" spans="1:8">
      <c r="A395">
        <v>351</v>
      </c>
      <c r="B395">
        <f t="shared" ca="1" si="36"/>
        <v>0.23315548965007282</v>
      </c>
      <c r="C395" s="1">
        <f t="shared" ca="1" si="37"/>
        <v>78.976465550988493</v>
      </c>
      <c r="D395" s="1">
        <f t="shared" ca="1" si="42"/>
        <v>254.0233931550413</v>
      </c>
      <c r="E395" s="1">
        <f t="shared" ca="1" si="40"/>
        <v>304.54973786194603</v>
      </c>
      <c r="F395" s="1">
        <f t="shared" ca="1" si="38"/>
        <v>16.296655047166308</v>
      </c>
      <c r="G395" s="1">
        <f t="shared" ca="1" si="41"/>
        <v>12.153243197405226</v>
      </c>
      <c r="H395" s="1">
        <f t="shared" ca="1" si="39"/>
        <v>4.7541644613959493</v>
      </c>
    </row>
    <row r="396" spans="1:8">
      <c r="A396">
        <v>352</v>
      </c>
      <c r="B396">
        <f t="shared" ca="1" si="36"/>
        <v>0.94999215787352032</v>
      </c>
      <c r="C396" s="1">
        <f t="shared" ca="1" si="37"/>
        <v>5.1502615406944301</v>
      </c>
      <c r="D396" s="1">
        <f t="shared" ca="1" si="42"/>
        <v>16.56550805051728</v>
      </c>
      <c r="E396" s="1">
        <f t="shared" ca="1" si="40"/>
        <v>19.860456942018004</v>
      </c>
      <c r="F396" s="1">
        <f t="shared" ca="1" si="38"/>
        <v>1.0627548481545297</v>
      </c>
      <c r="G396" s="1">
        <f t="shared" ca="1" si="41"/>
        <v>0.79255263264504627</v>
      </c>
      <c r="H396" s="1">
        <f t="shared" ca="1" si="39"/>
        <v>0.31004026368657112</v>
      </c>
    </row>
    <row r="397" spans="1:8">
      <c r="A397">
        <v>353</v>
      </c>
      <c r="B397">
        <f t="shared" ca="1" si="36"/>
        <v>8.9600881455122461E-2</v>
      </c>
      <c r="C397" s="1">
        <f t="shared" ca="1" si="37"/>
        <v>95.29497919549182</v>
      </c>
      <c r="D397" s="1">
        <f t="shared" ca="1" si="42"/>
        <v>306.09230594140126</v>
      </c>
      <c r="E397" s="1">
        <f t="shared" ca="1" si="40"/>
        <v>366.96181650871489</v>
      </c>
      <c r="F397" s="1">
        <f t="shared" ca="1" si="38"/>
        <v>20.406418970168566</v>
      </c>
      <c r="G397" s="1">
        <f t="shared" ca="1" si="41"/>
        <v>14.692842755288774</v>
      </c>
      <c r="H397" s="1">
        <f t="shared" ca="1" si="39"/>
        <v>5.7183914504569664</v>
      </c>
    </row>
    <row r="398" spans="1:8">
      <c r="A398">
        <v>354</v>
      </c>
      <c r="B398">
        <f t="shared" ca="1" si="36"/>
        <v>0.74651652417901981</v>
      </c>
      <c r="C398" s="1">
        <f t="shared" ca="1" si="37"/>
        <v>26.105988710013222</v>
      </c>
      <c r="D398" s="1">
        <f t="shared" ca="1" si="42"/>
        <v>83.968440669943334</v>
      </c>
      <c r="E398" s="1">
        <f t="shared" ca="1" si="40"/>
        <v>100.67012308922648</v>
      </c>
      <c r="F398" s="1">
        <f t="shared" ca="1" si="38"/>
        <v>5.3869302622203641</v>
      </c>
      <c r="G398" s="1">
        <f t="shared" ca="1" si="41"/>
        <v>4.0173091418239917</v>
      </c>
      <c r="H398" s="1">
        <f t="shared" ca="1" si="39"/>
        <v>1.5715144982385709</v>
      </c>
    </row>
    <row r="399" spans="1:8">
      <c r="A399">
        <v>355</v>
      </c>
      <c r="B399">
        <f t="shared" ca="1" si="36"/>
        <v>0.22926433912090749</v>
      </c>
      <c r="C399" s="1">
        <f t="shared" ca="1" si="37"/>
        <v>79.377210777251634</v>
      </c>
      <c r="D399" s="1">
        <f t="shared" ca="1" si="42"/>
        <v>255.31236791908188</v>
      </c>
      <c r="E399" s="1">
        <f t="shared" ca="1" si="40"/>
        <v>306.09509525674093</v>
      </c>
      <c r="F399" s="1">
        <f t="shared" ca="1" si="38"/>
        <v>16.379348080946997</v>
      </c>
      <c r="G399" s="1">
        <f t="shared" ca="1" si="41"/>
        <v>12.214911578868339</v>
      </c>
      <c r="H399" s="1">
        <f t="shared" ca="1" si="39"/>
        <v>4.7782881662650798</v>
      </c>
    </row>
    <row r="400" spans="1:8">
      <c r="A400">
        <v>356</v>
      </c>
      <c r="B400">
        <f t="shared" ca="1" si="36"/>
        <v>0.6434937129860524</v>
      </c>
      <c r="C400" s="1">
        <f t="shared" ca="1" si="37"/>
        <v>36.71619242028882</v>
      </c>
      <c r="D400" s="1">
        <f t="shared" ca="1" si="42"/>
        <v>118.09557164391174</v>
      </c>
      <c r="E400" s="1">
        <f t="shared" ca="1" si="40"/>
        <v>141.58528736167273</v>
      </c>
      <c r="F400" s="1">
        <f t="shared" ca="1" si="38"/>
        <v>7.5763261085920011</v>
      </c>
      <c r="G400" s="1">
        <f t="shared" ca="1" si="41"/>
        <v>5.6500524583394096</v>
      </c>
      <c r="H400" s="1">
        <f t="shared" ca="1" si="39"/>
        <v>2.2102181087463895</v>
      </c>
    </row>
    <row r="401" spans="1:8">
      <c r="A401">
        <v>357</v>
      </c>
      <c r="B401">
        <f t="shared" ca="1" si="36"/>
        <v>0.72285239619490504</v>
      </c>
      <c r="C401" s="1">
        <f t="shared" ca="1" si="37"/>
        <v>28.543130694686909</v>
      </c>
      <c r="D401" s="1">
        <f t="shared" ca="1" si="42"/>
        <v>91.807372511804829</v>
      </c>
      <c r="E401" s="1">
        <f t="shared" ca="1" si="40"/>
        <v>110.06825222803161</v>
      </c>
      <c r="F401" s="1">
        <f t="shared" ca="1" si="38"/>
        <v>5.8898299881789615</v>
      </c>
      <c r="G401" s="1">
        <f t="shared" ca="1" si="41"/>
        <v>4.3923469257848531</v>
      </c>
      <c r="H401" s="1">
        <f t="shared" ca="1" si="39"/>
        <v>1.7182234048191067</v>
      </c>
    </row>
    <row r="402" spans="1:8">
      <c r="A402">
        <v>358</v>
      </c>
      <c r="B402">
        <f t="shared" ca="1" si="36"/>
        <v>0.16293617228783908</v>
      </c>
      <c r="C402" s="1">
        <f t="shared" ca="1" si="37"/>
        <v>86.208274244446571</v>
      </c>
      <c r="D402" s="1">
        <f t="shared" ca="1" si="42"/>
        <v>277.28410418373812</v>
      </c>
      <c r="E402" s="1">
        <f t="shared" ca="1" si="40"/>
        <v>332.43710447237055</v>
      </c>
      <c r="F402" s="1">
        <f t="shared" ca="1" si="38"/>
        <v>17.788925351069846</v>
      </c>
      <c r="G402" s="1">
        <f t="shared" ca="1" si="41"/>
        <v>13.266104706287139</v>
      </c>
      <c r="H402" s="1">
        <f t="shared" ca="1" si="39"/>
        <v>5.1894984520657212</v>
      </c>
    </row>
    <row r="403" spans="1:8">
      <c r="A403">
        <v>359</v>
      </c>
      <c r="B403">
        <f t="shared" ca="1" si="36"/>
        <v>0.65819952989018704</v>
      </c>
      <c r="C403" s="1">
        <f t="shared" ca="1" si="37"/>
        <v>35.201656840526518</v>
      </c>
      <c r="D403" s="1">
        <f t="shared" ca="1" si="42"/>
        <v>113.22415206454716</v>
      </c>
      <c r="E403" s="1">
        <f t="shared" ca="1" si="40"/>
        <v>135.74492145216374</v>
      </c>
      <c r="F403" s="1">
        <f t="shared" ca="1" si="38"/>
        <v>7.2638045022158391</v>
      </c>
      <c r="G403" s="1">
        <f t="shared" ca="1" si="41"/>
        <v>5.4169892756705575</v>
      </c>
      <c r="H403" s="1">
        <f t="shared" ca="1" si="39"/>
        <v>2.1190474423340282</v>
      </c>
    </row>
    <row r="404" spans="1:8">
      <c r="A404">
        <v>360</v>
      </c>
      <c r="B404">
        <f t="shared" ca="1" si="36"/>
        <v>0.33406060546246774</v>
      </c>
      <c r="C404" s="1">
        <f t="shared" ca="1" si="37"/>
        <v>68.584360911433251</v>
      </c>
      <c r="D404" s="1">
        <f t="shared" ca="1" si="42"/>
        <v>220.59776572945111</v>
      </c>
      <c r="E404" s="1">
        <f t="shared" ca="1" si="40"/>
        <v>264.47560921424923</v>
      </c>
      <c r="F404" s="1">
        <f t="shared" ca="1" si="38"/>
        <v>14.152263539313658</v>
      </c>
      <c r="G404" s="1">
        <f t="shared" ca="1" si="41"/>
        <v>10.554061894379897</v>
      </c>
      <c r="H404" s="1">
        <f t="shared" ca="1" si="39"/>
        <v>4.1285897848578506</v>
      </c>
    </row>
    <row r="405" spans="1:8">
      <c r="A405">
        <v>361</v>
      </c>
      <c r="B405">
        <f t="shared" ca="1" si="36"/>
        <v>0.88849305936115075</v>
      </c>
      <c r="C405" s="1">
        <f t="shared" ca="1" si="37"/>
        <v>11.483984680828371</v>
      </c>
      <c r="D405" s="1">
        <f t="shared" ca="1" si="42"/>
        <v>36.937576774030106</v>
      </c>
      <c r="E405" s="1">
        <f t="shared" ca="1" si="40"/>
        <v>44.284617854574435</v>
      </c>
      <c r="F405" s="1">
        <f t="shared" ca="1" si="38"/>
        <v>2.369706864697573</v>
      </c>
      <c r="G405" s="1">
        <f t="shared" ca="1" si="41"/>
        <v>1.7672129132669472</v>
      </c>
      <c r="H405" s="1">
        <f t="shared" ca="1" si="39"/>
        <v>0.69131209861304654</v>
      </c>
    </row>
    <row r="406" spans="1:8">
      <c r="A406">
        <v>362</v>
      </c>
      <c r="B406">
        <f t="shared" ca="1" si="36"/>
        <v>0.45113479568678383</v>
      </c>
      <c r="C406" s="1">
        <f t="shared" ca="1" si="37"/>
        <v>56.527021443488849</v>
      </c>
      <c r="D406" s="1">
        <f t="shared" ca="1" si="42"/>
        <v>181.81600296069001</v>
      </c>
      <c r="E406" s="1">
        <f t="shared" ca="1" si="40"/>
        <v>217.97998684068216</v>
      </c>
      <c r="F406" s="1">
        <f t="shared" ca="1" si="38"/>
        <v>11.66425391478171</v>
      </c>
      <c r="G406" s="1">
        <f t="shared" ca="1" si="41"/>
        <v>8.6986271667527468</v>
      </c>
      <c r="H406" s="1">
        <f t="shared" ca="1" si="39"/>
        <v>3.40277278250979</v>
      </c>
    </row>
    <row r="407" spans="1:8">
      <c r="A407">
        <v>363</v>
      </c>
      <c r="B407">
        <f t="shared" ca="1" si="36"/>
        <v>0.2153179974335645</v>
      </c>
      <c r="C407" s="1">
        <f t="shared" ca="1" si="37"/>
        <v>80.813528856736539</v>
      </c>
      <c r="D407" s="1">
        <f t="shared" ca="1" si="42"/>
        <v>259.93220525277872</v>
      </c>
      <c r="E407" s="1">
        <f t="shared" ca="1" si="40"/>
        <v>311.63383812863276</v>
      </c>
      <c r="F407" s="1">
        <f t="shared" ca="1" si="38"/>
        <v>16.675729651288307</v>
      </c>
      <c r="G407" s="1">
        <f t="shared" ca="1" si="41"/>
        <v>12.435938319608297</v>
      </c>
      <c r="H407" s="1">
        <f t="shared" ca="1" si="39"/>
        <v>4.8647503651308943</v>
      </c>
    </row>
    <row r="408" spans="1:8">
      <c r="A408">
        <v>364</v>
      </c>
      <c r="B408">
        <f t="shared" ca="1" si="36"/>
        <v>0.96080736510857645</v>
      </c>
      <c r="C408" s="1">
        <f t="shared" ca="1" si="37"/>
        <v>4.036415484621898</v>
      </c>
      <c r="D408" s="1">
        <f t="shared" ca="1" si="42"/>
        <v>12.982884070959528</v>
      </c>
      <c r="E408" s="1">
        <f t="shared" ca="1" si="40"/>
        <v>15.565233626532745</v>
      </c>
      <c r="F408" s="1">
        <f t="shared" ca="1" si="38"/>
        <v>0.83291478143640418</v>
      </c>
      <c r="G408" s="1">
        <f t="shared" ca="1" si="41"/>
        <v>0.62114925969017776</v>
      </c>
      <c r="H408" s="1">
        <f t="shared" ca="1" si="39"/>
        <v>0.24298994900934812</v>
      </c>
    </row>
    <row r="409" spans="1:8">
      <c r="A409">
        <v>365</v>
      </c>
      <c r="B409">
        <f t="shared" ca="1" si="36"/>
        <v>0.58558249513275484</v>
      </c>
      <c r="C409" s="1">
        <f t="shared" ca="1" si="37"/>
        <v>42.680403757744344</v>
      </c>
      <c r="D409" s="1">
        <f t="shared" ca="1" si="42"/>
        <v>137.27912617572997</v>
      </c>
      <c r="E409" s="1">
        <f t="shared" ca="1" si="40"/>
        <v>164.58453349219215</v>
      </c>
      <c r="F409" s="1">
        <f t="shared" ca="1" si="38"/>
        <v>8.8070300503515302</v>
      </c>
      <c r="G409" s="1">
        <f t="shared" ca="1" si="41"/>
        <v>6.5678506896858133</v>
      </c>
      <c r="H409" s="1">
        <f t="shared" ca="1" si="39"/>
        <v>2.5692464006702549</v>
      </c>
    </row>
    <row r="410" spans="1:8">
      <c r="A410">
        <v>366</v>
      </c>
      <c r="B410">
        <f t="shared" ca="1" si="36"/>
        <v>0.24801229567993888</v>
      </c>
      <c r="C410" s="1">
        <f t="shared" ca="1" si="37"/>
        <v>77.446379770610463</v>
      </c>
      <c r="D410" s="1">
        <f t="shared" ca="1" si="42"/>
        <v>249.10195721900956</v>
      </c>
      <c r="E410" s="1">
        <f t="shared" ca="1" si="40"/>
        <v>298.64940712706374</v>
      </c>
      <c r="F410" s="1">
        <f t="shared" ca="1" si="38"/>
        <v>15.980924685749436</v>
      </c>
      <c r="G410" s="1">
        <f t="shared" ca="1" si="41"/>
        <v>11.917787083665576</v>
      </c>
      <c r="H410" s="1">
        <f t="shared" ca="1" si="39"/>
        <v>4.6620577178310096</v>
      </c>
    </row>
    <row r="411" spans="1:8">
      <c r="A411">
        <v>367</v>
      </c>
      <c r="B411">
        <f t="shared" ca="1" si="36"/>
        <v>0.81749411125239779</v>
      </c>
      <c r="C411" s="1">
        <f t="shared" ca="1" si="37"/>
        <v>18.796086669951521</v>
      </c>
      <c r="D411" s="1">
        <f t="shared" ca="1" si="42"/>
        <v>60.456546728975383</v>
      </c>
      <c r="E411" s="1">
        <f t="shared" ca="1" si="40"/>
        <v>72.481612203713439</v>
      </c>
      <c r="F411" s="1">
        <f t="shared" ca="1" si="38"/>
        <v>3.8785455411621719</v>
      </c>
      <c r="G411" s="1">
        <f t="shared" ca="1" si="41"/>
        <v>2.8924302963090494</v>
      </c>
      <c r="H411" s="1">
        <f t="shared" ca="1" si="39"/>
        <v>1.1314795137147344</v>
      </c>
    </row>
    <row r="412" spans="1:8">
      <c r="A412">
        <v>368</v>
      </c>
      <c r="B412">
        <f t="shared" ca="1" si="36"/>
        <v>0.50380060053695408</v>
      </c>
      <c r="C412" s="1">
        <f t="shared" ca="1" si="37"/>
        <v>51.103029304706375</v>
      </c>
      <c r="D412" s="1">
        <f t="shared" ca="1" si="42"/>
        <v>164.37003347918639</v>
      </c>
      <c r="E412" s="1">
        <f t="shared" ca="1" si="40"/>
        <v>197.06393890883919</v>
      </c>
      <c r="F412" s="1">
        <f t="shared" ca="1" si="38"/>
        <v>10.545023202189263</v>
      </c>
      <c r="G412" s="1">
        <f t="shared" ca="1" si="41"/>
        <v>7.8639601655101066</v>
      </c>
      <c r="H412" s="1">
        <f t="shared" ca="1" si="39"/>
        <v>3.0762641256541894</v>
      </c>
    </row>
    <row r="413" spans="1:8">
      <c r="A413">
        <v>369</v>
      </c>
      <c r="B413">
        <f t="shared" ca="1" si="36"/>
        <v>0.44330425558345521</v>
      </c>
      <c r="C413" s="1">
        <f t="shared" ca="1" si="37"/>
        <v>57.333479981124547</v>
      </c>
      <c r="D413" s="1">
        <f t="shared" ca="1" si="42"/>
        <v>184.40993205861247</v>
      </c>
      <c r="E413" s="1">
        <f t="shared" ca="1" si="40"/>
        <v>221.08985960536108</v>
      </c>
      <c r="F413" s="1">
        <f t="shared" ca="1" si="38"/>
        <v>11.830665137486186</v>
      </c>
      <c r="G413" s="1">
        <f t="shared" ca="1" si="41"/>
        <v>8.8227284397656547</v>
      </c>
      <c r="H413" s="1">
        <f t="shared" ca="1" si="39"/>
        <v>3.4513192566188526</v>
      </c>
    </row>
    <row r="414" spans="1:8">
      <c r="A414">
        <v>370</v>
      </c>
      <c r="B414">
        <f t="shared" ca="1" si="36"/>
        <v>0.91512980551080847</v>
      </c>
      <c r="C414" s="1">
        <f t="shared" ca="1" si="37"/>
        <v>8.7406960872235828</v>
      </c>
      <c r="D414" s="1">
        <f t="shared" ca="1" si="42"/>
        <v>28.113941367042003</v>
      </c>
      <c r="E414" s="1">
        <f t="shared" ca="1" si="40"/>
        <v>33.705923371511346</v>
      </c>
      <c r="F414" s="1">
        <f t="shared" ca="1" si="38"/>
        <v>1.803634354099092</v>
      </c>
      <c r="G414" s="1">
        <f t="shared" ca="1" si="41"/>
        <v>1.3450639858016444</v>
      </c>
      <c r="H414" s="1">
        <f t="shared" ca="1" si="39"/>
        <v>0.52617405063161105</v>
      </c>
    </row>
    <row r="415" spans="1:8">
      <c r="A415">
        <v>371</v>
      </c>
      <c r="B415">
        <f t="shared" ca="1" si="36"/>
        <v>0.33683339342589869</v>
      </c>
      <c r="C415" s="1">
        <f t="shared" ca="1" si="37"/>
        <v>68.298794590763762</v>
      </c>
      <c r="D415" s="1">
        <f t="shared" ca="1" si="42"/>
        <v>219.6792575185481</v>
      </c>
      <c r="E415" s="1">
        <f t="shared" ca="1" si="40"/>
        <v>263.37440576520004</v>
      </c>
      <c r="F415" s="1">
        <f t="shared" ca="1" si="38"/>
        <v>14.093337458965935</v>
      </c>
      <c r="G415" s="1">
        <f t="shared" ca="1" si="41"/>
        <v>10.51011773324721</v>
      </c>
      <c r="H415" s="1">
        <f t="shared" ca="1" si="39"/>
        <v>4.1113995173539015</v>
      </c>
    </row>
    <row r="416" spans="1:8">
      <c r="A416">
        <v>372</v>
      </c>
      <c r="B416">
        <f t="shared" ca="1" si="36"/>
        <v>0.87844609021609377</v>
      </c>
      <c r="C416" s="1">
        <f t="shared" ca="1" si="37"/>
        <v>12.518710758145758</v>
      </c>
      <c r="D416" s="1">
        <f t="shared" ca="1" si="42"/>
        <v>40.265715736017455</v>
      </c>
      <c r="E416" s="1">
        <f t="shared" ca="1" si="40"/>
        <v>48.274737986709511</v>
      </c>
      <c r="F416" s="1">
        <f t="shared" ca="1" si="38"/>
        <v>2.5832206706216887</v>
      </c>
      <c r="G416" s="1">
        <f t="shared" ca="1" si="41"/>
        <v>1.9264409670627476</v>
      </c>
      <c r="H416" s="1">
        <f t="shared" ca="1" si="39"/>
        <v>0.75359961914662055</v>
      </c>
    </row>
    <row r="417" spans="1:8">
      <c r="A417">
        <v>373</v>
      </c>
      <c r="B417">
        <f t="shared" ca="1" si="36"/>
        <v>0.81064749096654265</v>
      </c>
      <c r="C417" s="1">
        <f t="shared" ca="1" si="37"/>
        <v>19.501212409762317</v>
      </c>
      <c r="D417" s="1">
        <f t="shared" ca="1" si="42"/>
        <v>62.724544510425517</v>
      </c>
      <c r="E417" s="1">
        <f t="shared" ca="1" si="40"/>
        <v>75.200724509648524</v>
      </c>
      <c r="F417" s="1">
        <f t="shared" ca="1" si="38"/>
        <v>4.0240469290776897</v>
      </c>
      <c r="G417" s="1">
        <f t="shared" ca="1" si="41"/>
        <v>3.0009380470004015</v>
      </c>
      <c r="H417" s="1">
        <f t="shared" ca="1" si="39"/>
        <v>1.1739260461449259</v>
      </c>
    </row>
    <row r="418" spans="1:8">
      <c r="A418">
        <v>374</v>
      </c>
      <c r="B418">
        <f t="shared" ca="1" si="36"/>
        <v>0.11648665730216112</v>
      </c>
      <c r="C418" s="1">
        <f t="shared" ca="1" si="37"/>
        <v>90.992057666143623</v>
      </c>
      <c r="D418" s="1">
        <f t="shared" ca="1" si="42"/>
        <v>292.67087788208335</v>
      </c>
      <c r="E418" s="1">
        <f t="shared" ca="1" si="40"/>
        <v>350.88437371310931</v>
      </c>
      <c r="F418" s="1">
        <f t="shared" ca="1" si="38"/>
        <v>18.776050182920315</v>
      </c>
      <c r="G418" s="1">
        <f t="shared" ca="1" si="41"/>
        <v>14.002253664659046</v>
      </c>
      <c r="H418" s="1">
        <f t="shared" ca="1" si="39"/>
        <v>5.477468393714088</v>
      </c>
    </row>
    <row r="419" spans="1:8">
      <c r="A419">
        <v>375</v>
      </c>
      <c r="B419">
        <f t="shared" ca="1" si="36"/>
        <v>0.62704456368507644</v>
      </c>
      <c r="C419" s="1">
        <f t="shared" ca="1" si="37"/>
        <v>38.410271847195453</v>
      </c>
      <c r="D419" s="1">
        <f t="shared" ca="1" si="42"/>
        <v>123.54448403626827</v>
      </c>
      <c r="E419" s="1">
        <f t="shared" ca="1" si="40"/>
        <v>148.11801189129969</v>
      </c>
      <c r="F419" s="1">
        <f t="shared" ca="1" si="38"/>
        <v>7.9258962546487624</v>
      </c>
      <c r="G419" s="1">
        <f t="shared" ca="1" si="41"/>
        <v>5.9107446125578349</v>
      </c>
      <c r="H419" s="1">
        <f t="shared" ca="1" si="39"/>
        <v>2.3121967960551344</v>
      </c>
    </row>
    <row r="420" spans="1:8">
      <c r="A420">
        <v>376</v>
      </c>
      <c r="B420">
        <f t="shared" ca="1" si="36"/>
        <v>0.27447096053043074</v>
      </c>
      <c r="C420" s="1">
        <f t="shared" ca="1" si="37"/>
        <v>74.721431570159979</v>
      </c>
      <c r="D420" s="1">
        <f t="shared" ca="1" si="42"/>
        <v>240.33731266802968</v>
      </c>
      <c r="E420" s="1">
        <f t="shared" ca="1" si="40"/>
        <v>288.14143703527719</v>
      </c>
      <c r="F420" s="1">
        <f t="shared" ca="1" si="38"/>
        <v>15.418636681244269</v>
      </c>
      <c r="G420" s="1">
        <f t="shared" ca="1" si="41"/>
        <v>11.498460453977268</v>
      </c>
      <c r="H420" s="1">
        <f t="shared" ca="1" si="39"/>
        <v>4.4980237085321155</v>
      </c>
    </row>
    <row r="421" spans="1:8">
      <c r="A421">
        <v>377</v>
      </c>
      <c r="B421">
        <f t="shared" ca="1" si="36"/>
        <v>0.59867448836013282</v>
      </c>
      <c r="C421" s="1">
        <f t="shared" ca="1" si="37"/>
        <v>41.332074067382422</v>
      </c>
      <c r="D421" s="1">
        <f t="shared" ca="1" si="42"/>
        <v>132.94229860902564</v>
      </c>
      <c r="E421" s="1">
        <f t="shared" ca="1" si="40"/>
        <v>159.38509224855727</v>
      </c>
      <c r="F421" s="1">
        <f t="shared" ca="1" si="38"/>
        <v>8.52880472082661</v>
      </c>
      <c r="G421" s="1">
        <f t="shared" ca="1" si="41"/>
        <v>6.3603639768467666</v>
      </c>
      <c r="H421" s="1">
        <f t="shared" ca="1" si="39"/>
        <v>2.4880808486314163</v>
      </c>
    </row>
    <row r="422" spans="1:8">
      <c r="A422">
        <v>378</v>
      </c>
      <c r="B422">
        <f t="shared" ca="1" si="36"/>
        <v>0.41995045619955551</v>
      </c>
      <c r="C422" s="1">
        <f t="shared" ca="1" si="37"/>
        <v>59.738661571519735</v>
      </c>
      <c r="D422" s="1">
        <f t="shared" ca="1" si="42"/>
        <v>192.14606506726534</v>
      </c>
      <c r="E422" s="1">
        <f t="shared" ca="1" si="40"/>
        <v>230.36474278039168</v>
      </c>
      <c r="F422" s="1">
        <f t="shared" ca="1" si="38"/>
        <v>12.326969895393985</v>
      </c>
      <c r="G422" s="1">
        <f t="shared" ca="1" si="41"/>
        <v>9.1928480221936972</v>
      </c>
      <c r="H422" s="1">
        <f t="shared" ca="1" si="39"/>
        <v>3.596104239797318</v>
      </c>
    </row>
    <row r="423" spans="1:8">
      <c r="A423">
        <v>379</v>
      </c>
      <c r="B423">
        <f t="shared" ca="1" si="36"/>
        <v>0.5751528788246264</v>
      </c>
      <c r="C423" s="1">
        <f t="shared" ca="1" si="37"/>
        <v>43.7545382369713</v>
      </c>
      <c r="D423" s="1">
        <f t="shared" ca="1" si="42"/>
        <v>140.73402007383041</v>
      </c>
      <c r="E423" s="1">
        <f t="shared" ca="1" si="40"/>
        <v>168.72662066302632</v>
      </c>
      <c r="F423" s="1">
        <f t="shared" ca="1" si="38"/>
        <v>9.028675706879925</v>
      </c>
      <c r="G423" s="1">
        <f t="shared" ca="1" si="41"/>
        <v>6.7331430761362361</v>
      </c>
      <c r="H423" s="1">
        <f t="shared" ca="1" si="39"/>
        <v>2.6339061931480163</v>
      </c>
    </row>
    <row r="424" spans="1:8">
      <c r="A424">
        <v>380</v>
      </c>
      <c r="B424">
        <f t="shared" ca="1" si="36"/>
        <v>0.69754068495613086</v>
      </c>
      <c r="C424" s="1">
        <f t="shared" ca="1" si="37"/>
        <v>31.149955429803427</v>
      </c>
      <c r="D424" s="1">
        <f t="shared" ca="1" si="42"/>
        <v>100.19207949677477</v>
      </c>
      <c r="E424" s="1">
        <f t="shared" ca="1" si="40"/>
        <v>120.12071353595857</v>
      </c>
      <c r="F424" s="1">
        <f t="shared" ca="1" si="38"/>
        <v>6.427743434812939</v>
      </c>
      <c r="G424" s="1">
        <f t="shared" ca="1" si="41"/>
        <v>4.79349621375437</v>
      </c>
      <c r="H424" s="1">
        <f t="shared" ca="1" si="39"/>
        <v>1.8751467227632781</v>
      </c>
    </row>
    <row r="425" spans="1:8">
      <c r="A425">
        <v>381</v>
      </c>
      <c r="B425">
        <f t="shared" ca="1" si="36"/>
        <v>0.4127123849204245</v>
      </c>
      <c r="C425" s="1">
        <f t="shared" ca="1" si="37"/>
        <v>60.484102409833007</v>
      </c>
      <c r="D425" s="1">
        <f t="shared" ca="1" si="42"/>
        <v>194.54373412406431</v>
      </c>
      <c r="E425" s="1">
        <f t="shared" ca="1" si="40"/>
        <v>233.23931853669308</v>
      </c>
      <c r="F425" s="1">
        <f t="shared" ca="1" si="38"/>
        <v>12.480790229073182</v>
      </c>
      <c r="G425" s="1">
        <f t="shared" ca="1" si="41"/>
        <v>9.30755963187136</v>
      </c>
      <c r="H425" s="1">
        <f t="shared" ca="1" si="39"/>
        <v>3.6409776246871441</v>
      </c>
    </row>
    <row r="426" spans="1:8">
      <c r="A426">
        <v>382</v>
      </c>
      <c r="B426">
        <f t="shared" ca="1" si="36"/>
        <v>0.42271649699534375</v>
      </c>
      <c r="C426" s="1">
        <f t="shared" ca="1" si="37"/>
        <v>59.453790134073955</v>
      </c>
      <c r="D426" s="1">
        <f t="shared" ca="1" si="42"/>
        <v>191.22979190965953</v>
      </c>
      <c r="E426" s="1">
        <f t="shared" ca="1" si="40"/>
        <v>229.26621894636446</v>
      </c>
      <c r="F426" s="1">
        <f t="shared" ca="1" si="38"/>
        <v>12.268187202909985</v>
      </c>
      <c r="G426" s="1">
        <f t="shared" ca="1" si="41"/>
        <v>9.1490107926497171</v>
      </c>
      <c r="H426" s="1">
        <f t="shared" ca="1" si="39"/>
        <v>3.5789558022559196</v>
      </c>
    </row>
    <row r="427" spans="1:8">
      <c r="A427">
        <v>383</v>
      </c>
      <c r="B427">
        <f t="shared" ca="1" si="36"/>
        <v>0.75903581371262896</v>
      </c>
      <c r="C427" s="1">
        <f t="shared" ca="1" si="37"/>
        <v>24.816641130371735</v>
      </c>
      <c r="D427" s="1">
        <f t="shared" ca="1" si="42"/>
        <v>79.82132578667489</v>
      </c>
      <c r="E427" s="1">
        <f t="shared" ca="1" si="40"/>
        <v>95.69812919864529</v>
      </c>
      <c r="F427" s="1">
        <f t="shared" ca="1" si="38"/>
        <v>5.1208757817901223</v>
      </c>
      <c r="G427" s="1">
        <f t="shared" ca="1" si="41"/>
        <v>3.8188988472802414</v>
      </c>
      <c r="H427" s="1">
        <f t="shared" ca="1" si="39"/>
        <v>1.4938994988659395</v>
      </c>
    </row>
    <row r="428" spans="1:8">
      <c r="A428">
        <v>384</v>
      </c>
      <c r="B428">
        <f t="shared" ca="1" si="36"/>
        <v>0.49475266865272827</v>
      </c>
      <c r="C428" s="1">
        <f t="shared" ca="1" si="37"/>
        <v>52.034865655672562</v>
      </c>
      <c r="D428" s="1">
        <f t="shared" ca="1" si="42"/>
        <v>167.36723335056396</v>
      </c>
      <c r="E428" s="1">
        <f t="shared" ca="1" si="40"/>
        <v>200.65729474025409</v>
      </c>
      <c r="F428" s="1">
        <f t="shared" ca="1" si="38"/>
        <v>10.737305904012194</v>
      </c>
      <c r="G428" s="1">
        <f t="shared" ca="1" si="41"/>
        <v>8.0073551101945988</v>
      </c>
      <c r="H428" s="1">
        <f t="shared" ca="1" si="39"/>
        <v>3.132357981909573</v>
      </c>
    </row>
    <row r="429" spans="1:8">
      <c r="A429">
        <v>385</v>
      </c>
      <c r="B429">
        <f t="shared" ca="1" si="36"/>
        <v>0.70293175649742656</v>
      </c>
      <c r="C429" s="1">
        <f t="shared" ca="1" si="37"/>
        <v>30.59473502174567</v>
      </c>
      <c r="D429" s="1">
        <f t="shared" ca="1" si="42"/>
        <v>98.406243889598187</v>
      </c>
      <c r="E429" s="1">
        <f t="shared" ca="1" si="40"/>
        <v>117.97966753689852</v>
      </c>
      <c r="F429" s="1">
        <f t="shared" ca="1" si="38"/>
        <v>6.3131747339269069</v>
      </c>
      <c r="G429" s="1">
        <f t="shared" ca="1" si="41"/>
        <v>4.7080565336875928</v>
      </c>
      <c r="H429" s="1">
        <f t="shared" ca="1" si="39"/>
        <v>1.8417240582285084</v>
      </c>
    </row>
    <row r="430" spans="1:8">
      <c r="A430">
        <v>386</v>
      </c>
      <c r="B430">
        <f t="shared" ref="B430:B493" ca="1" si="43">RAND()</f>
        <v>0.93425624048547051</v>
      </c>
      <c r="C430" s="1">
        <f t="shared" ref="C430:C493" ca="1" si="44">IF($B430&lt;=0.005,$F$4,IF(B430&lt;=0.01,$F$4+($B430-0.005)*SLOPE($E$4:$F$4,$E$3:$F$3),IF($B430&lt;=0.04,$E$4+($B430-0.01)*SLOPE($D$4:$E$4,$D$3:$E$3),IF($B430&lt;=0.1,$D$4+($B430-0.04)*SLOPE($C$4:$D$4,$C$3:$D$3),IF($B430&lt;=1,$C$4+($B430-0.1)*SLOPE($B$4:$C$4,$B$3:$C$3),)))))</f>
        <v>6.7708860132935058</v>
      </c>
      <c r="D430" s="1">
        <f t="shared" ca="1" si="42"/>
        <v>21.778156661819992</v>
      </c>
      <c r="E430" s="1">
        <f t="shared" ca="1" si="40"/>
        <v>26.109923807213136</v>
      </c>
      <c r="F430" s="1">
        <f t="shared" ref="F430:F493" ca="1" si="45">IF($B430&lt;=0.005,$F$22,IF($B430&lt;=0.01,$F$22+($B430-0.005)*SLOPE($E$22:$F$22,$E$21:$F$21),IF($B430&lt;=0.04,$E$22+($B430-0.01)*SLOPE($D$22:$E$22,$D$21:$E$21),IF($B430&lt;=0.1,$D$22+($B430-0.04)*SLOPE($C$22:$D$22,$C$21:$D$21),IF($B430&lt;=1,$C$22+($B430-0.1)*SLOPE($B$22:$C$22,$B$21:$C$21),)))))</f>
        <v>1.3971677006995122</v>
      </c>
      <c r="G430" s="1">
        <f t="shared" ca="1" si="41"/>
        <v>1.0419412257834448</v>
      </c>
      <c r="H430" s="1">
        <f t="shared" ref="H430:H493" ca="1" si="46">IF($B430&lt;=0.005,$F$34,IF($B430&lt;=0.01,$F$34+($B430-0.005)*SLOPE($E$34:$F$34,$E$33:$F$33),IF($B430&lt;=0.04,$E$34+($B430-0.01)*SLOPE($D$34:$E$34,$D$33:$E$33),IF($B430&lt;=0.1,$D$34+($B430-0.04)*SLOPE($C$34:$D$34,$C$33:$D$33),IF($B430&lt;=1,$C$34+($B430-0.1)*SLOPE($B$34:$C$34,$B$33:$C$33),)))))</f>
        <v>0.40759717495717229</v>
      </c>
    </row>
    <row r="431" spans="1:8">
      <c r="A431">
        <v>387</v>
      </c>
      <c r="B431">
        <f t="shared" ca="1" si="43"/>
        <v>0.12077739142005539</v>
      </c>
      <c r="C431" s="1">
        <f t="shared" ca="1" si="44"/>
        <v>90.550159774498866</v>
      </c>
      <c r="D431" s="1">
        <f t="shared" ca="1" si="42"/>
        <v>291.24953785534325</v>
      </c>
      <c r="E431" s="1">
        <f t="shared" ref="E431:E494" ca="1" si="47">IF($B431&lt;=0.005,$F$16,IF($B431&lt;=0.01,$F$16+($B431-0.005)*SLOPE($E$16:$F$16,$E$15:$F$15),IF($B431&lt;=0.04,$E$16+($B431-0.01)*SLOPE($D$16:$E$16,$D$15:$E$15),IF($B431&lt;=0.1,$D$16+($B431-0.04)*SLOPE($C$16:$D$16,$C$15:$D$15),IF($B431&lt;=1,$C$16+($B431-0.1)*SLOPE($B$16:$C$16,$B$15:$C$15),)))))</f>
        <v>349.18032303491333</v>
      </c>
      <c r="F431" s="1">
        <f t="shared" ca="1" si="45"/>
        <v>18.684865373004701</v>
      </c>
      <c r="G431" s="1">
        <f t="shared" ref="G431:G494" ca="1" si="48">IF($B431&lt;=0.005,$F$28,IF($B431&lt;=0.01,$F$28+($B431-0.005)*SLOPE($E$28:$F$28,$E$27:$F$27),IF($B431&lt;=0.04,$E$28+($B431-0.01)*SLOPE($D$28:$E$28,$D$27:$E$27),IF($B431&lt;=0.1,$D$28+($B431-0.04)*SLOPE($C$28:$D$28,$C$27:$D$27),IF($B431&lt;=1,$C$28+($B431-0.1)*SLOPE($B$28:$C$28,$B$27:$C$27),)))))</f>
        <v>13.934252535852586</v>
      </c>
      <c r="H431" s="1">
        <f t="shared" ca="1" si="46"/>
        <v>5.4508674172789275</v>
      </c>
    </row>
    <row r="432" spans="1:8">
      <c r="A432">
        <v>388</v>
      </c>
      <c r="B432">
        <f t="shared" ca="1" si="43"/>
        <v>0.1149052001574753</v>
      </c>
      <c r="C432" s="1">
        <f t="shared" ca="1" si="44"/>
        <v>91.154930162728462</v>
      </c>
      <c r="D432" s="1">
        <f t="shared" ref="D432:D495" ca="1" si="49">IF($B432&lt;=0.005,$F$10,IF($B432&lt;=0.01,$F$10+($B432-0.005)*SLOPE($E$10:$F$10,$E$9:$F$9),IF($B432&lt;=0.04,$E$10+($B432-0.01)*SLOPE($D$10:$E$10,$D$9:$E$9),IF($B432&lt;=0.1,$D$10+($B432-0.04)*SLOPE($C$10:$D$10,$C$9:$D$9),IF($B432&lt;=1,$C$10+($B432-0.1)*SLOPE($B$10:$C$10,$B$9:$C$9),)))))</f>
        <v>293.19474822187948</v>
      </c>
      <c r="E432" s="1">
        <f t="shared" ca="1" si="47"/>
        <v>351.51244411922022</v>
      </c>
      <c r="F432" s="1">
        <f t="shared" ca="1" si="45"/>
        <v>18.809658620349815</v>
      </c>
      <c r="G432" s="1">
        <f t="shared" ca="1" si="48"/>
        <v>14.027317177811534</v>
      </c>
      <c r="H432" s="1">
        <f t="shared" ca="1" si="46"/>
        <v>5.4872728474702788</v>
      </c>
    </row>
    <row r="433" spans="1:8">
      <c r="A433">
        <v>389</v>
      </c>
      <c r="B433">
        <f t="shared" ca="1" si="43"/>
        <v>0.9019149645789778</v>
      </c>
      <c r="C433" s="1">
        <f t="shared" ca="1" si="44"/>
        <v>10.101677724804674</v>
      </c>
      <c r="D433" s="1">
        <f t="shared" ca="1" si="49"/>
        <v>32.491463219324089</v>
      </c>
      <c r="E433" s="1">
        <f t="shared" ca="1" si="47"/>
        <v>38.954153169350604</v>
      </c>
      <c r="F433" s="1">
        <f t="shared" ca="1" si="45"/>
        <v>2.0844703894546015</v>
      </c>
      <c r="G433" s="1">
        <f t="shared" ca="1" si="48"/>
        <v>1.5544976341404286</v>
      </c>
      <c r="H433" s="1">
        <f t="shared" ca="1" si="46"/>
        <v>0.60810121334159994</v>
      </c>
    </row>
    <row r="434" spans="1:8">
      <c r="A434">
        <v>390</v>
      </c>
      <c r="B434">
        <f t="shared" ca="1" si="43"/>
        <v>0.59248608167649897</v>
      </c>
      <c r="C434" s="1">
        <f t="shared" ca="1" si="44"/>
        <v>41.96941112696237</v>
      </c>
      <c r="D434" s="1">
        <f t="shared" ca="1" si="49"/>
        <v>134.99225786530121</v>
      </c>
      <c r="E434" s="1">
        <f t="shared" ca="1" si="47"/>
        <v>161.84279722781014</v>
      </c>
      <c r="F434" s="1">
        <f t="shared" ca="1" si="45"/>
        <v>8.6603180403712354</v>
      </c>
      <c r="G434" s="1">
        <f t="shared" ca="1" si="48"/>
        <v>6.4584401168353862</v>
      </c>
      <c r="H434" s="1">
        <f t="shared" ca="1" si="46"/>
        <v>2.5264466983530309</v>
      </c>
    </row>
    <row r="435" spans="1:8">
      <c r="A435">
        <v>391</v>
      </c>
      <c r="B435">
        <f t="shared" ca="1" si="43"/>
        <v>0.9206633959250814</v>
      </c>
      <c r="C435" s="1">
        <f t="shared" ca="1" si="44"/>
        <v>8.1707978203757534</v>
      </c>
      <c r="D435" s="1">
        <f t="shared" ca="1" si="49"/>
        <v>26.2808952422331</v>
      </c>
      <c r="E435" s="1">
        <f t="shared" ca="1" si="47"/>
        <v>31.508276479578512</v>
      </c>
      <c r="F435" s="1">
        <f t="shared" ca="1" si="45"/>
        <v>1.6860369042892778</v>
      </c>
      <c r="G435" s="1">
        <f t="shared" ca="1" si="48"/>
        <v>1.257365614337921</v>
      </c>
      <c r="H435" s="1">
        <f t="shared" ca="1" si="46"/>
        <v>0.49186782140197316</v>
      </c>
    </row>
    <row r="436" spans="1:8">
      <c r="A436">
        <v>392</v>
      </c>
      <c r="B436">
        <f t="shared" ca="1" si="43"/>
        <v>0.40457288007517878</v>
      </c>
      <c r="C436" s="1">
        <f t="shared" ca="1" si="44"/>
        <v>61.322380879511641</v>
      </c>
      <c r="D436" s="1">
        <f t="shared" ca="1" si="49"/>
        <v>197.24001026621556</v>
      </c>
      <c r="E436" s="1">
        <f t="shared" ca="1" si="47"/>
        <v>236.47189561339331</v>
      </c>
      <c r="F436" s="1">
        <f t="shared" ca="1" si="45"/>
        <v>12.653767435706808</v>
      </c>
      <c r="G436" s="1">
        <f t="shared" ca="1" si="48"/>
        <v>9.4365574914903085</v>
      </c>
      <c r="H436" s="1">
        <f t="shared" ca="1" si="46"/>
        <v>3.6914395667774915</v>
      </c>
    </row>
    <row r="437" spans="1:8">
      <c r="A437">
        <v>393</v>
      </c>
      <c r="B437">
        <f t="shared" ca="1" si="43"/>
        <v>0.29457991424661623</v>
      </c>
      <c r="C437" s="1">
        <f t="shared" ca="1" si="44"/>
        <v>72.650432993644756</v>
      </c>
      <c r="D437" s="1">
        <f t="shared" ca="1" si="49"/>
        <v>233.67606076396035</v>
      </c>
      <c r="E437" s="1">
        <f t="shared" ca="1" si="47"/>
        <v>280.15523344485416</v>
      </c>
      <c r="F437" s="1">
        <f t="shared" ca="1" si="45"/>
        <v>14.99128996811069</v>
      </c>
      <c r="G437" s="1">
        <f t="shared" ca="1" si="48"/>
        <v>11.1797663764033</v>
      </c>
      <c r="H437" s="1">
        <f t="shared" ca="1" si="46"/>
        <v>4.3733555773353707</v>
      </c>
    </row>
    <row r="438" spans="1:8">
      <c r="A438">
        <v>394</v>
      </c>
      <c r="B438">
        <f t="shared" ca="1" si="43"/>
        <v>0.84846420957657442</v>
      </c>
      <c r="C438" s="1">
        <f t="shared" ca="1" si="44"/>
        <v>15.606510998877141</v>
      </c>
      <c r="D438" s="1">
        <f t="shared" ca="1" si="49"/>
        <v>50.197453722804283</v>
      </c>
      <c r="E438" s="1">
        <f t="shared" ca="1" si="47"/>
        <v>60.181941424063837</v>
      </c>
      <c r="F438" s="1">
        <f t="shared" ca="1" si="45"/>
        <v>3.220382520298088</v>
      </c>
      <c r="G438" s="1">
        <f t="shared" ca="1" si="48"/>
        <v>2.4016048134369932</v>
      </c>
      <c r="H438" s="1">
        <f t="shared" ca="1" si="46"/>
        <v>0.93947627299182912</v>
      </c>
    </row>
    <row r="439" spans="1:8">
      <c r="A439">
        <v>395</v>
      </c>
      <c r="B439">
        <f t="shared" ca="1" si="43"/>
        <v>0.84473398255073739</v>
      </c>
      <c r="C439" s="1">
        <f t="shared" ca="1" si="44"/>
        <v>15.990682894124433</v>
      </c>
      <c r="D439" s="1">
        <f t="shared" ca="1" si="49"/>
        <v>51.433121288067412</v>
      </c>
      <c r="E439" s="1">
        <f t="shared" ca="1" si="47"/>
        <v>61.663388588709438</v>
      </c>
      <c r="F439" s="1">
        <f t="shared" ca="1" si="45"/>
        <v>3.2996556779786115</v>
      </c>
      <c r="G439" s="1">
        <f t="shared" ca="1" si="48"/>
        <v>2.4607228201676854</v>
      </c>
      <c r="H439" s="1">
        <f t="shared" ca="1" si="46"/>
        <v>0.96260231121411532</v>
      </c>
    </row>
    <row r="440" spans="1:8">
      <c r="A440">
        <v>396</v>
      </c>
      <c r="B440">
        <f t="shared" ca="1" si="43"/>
        <v>0.4788516021372613</v>
      </c>
      <c r="C440" s="1">
        <f t="shared" ca="1" si="44"/>
        <v>53.672498651570301</v>
      </c>
      <c r="D440" s="1">
        <f t="shared" ca="1" si="49"/>
        <v>172.63458893245249</v>
      </c>
      <c r="E440" s="1">
        <f t="shared" ca="1" si="47"/>
        <v>206.97235002804686</v>
      </c>
      <c r="F440" s="1">
        <f t="shared" ca="1" si="45"/>
        <v>11.075228433777321</v>
      </c>
      <c r="G440" s="1">
        <f t="shared" ca="1" si="48"/>
        <v>8.2593610473065926</v>
      </c>
      <c r="H440" s="1">
        <f t="shared" ca="1" si="46"/>
        <v>3.2309387571451746</v>
      </c>
    </row>
    <row r="441" spans="1:8">
      <c r="A441">
        <v>397</v>
      </c>
      <c r="B441">
        <f t="shared" ca="1" si="43"/>
        <v>0.11992982230932037</v>
      </c>
      <c r="C441" s="1">
        <f t="shared" ca="1" si="44"/>
        <v>90.637449966052571</v>
      </c>
      <c r="D441" s="1">
        <f t="shared" ca="1" si="49"/>
        <v>291.53030190863012</v>
      </c>
      <c r="E441" s="1">
        <f t="shared" ca="1" si="47"/>
        <v>349.51693226733875</v>
      </c>
      <c r="F441" s="1">
        <f t="shared" ca="1" si="45"/>
        <v>18.702877542048316</v>
      </c>
      <c r="G441" s="1">
        <f t="shared" ca="1" si="48"/>
        <v>13.947685122139186</v>
      </c>
      <c r="H441" s="1">
        <f t="shared" ca="1" si="46"/>
        <v>5.4561220346293258</v>
      </c>
    </row>
    <row r="442" spans="1:8">
      <c r="A442">
        <v>398</v>
      </c>
      <c r="B442">
        <f t="shared" ca="1" si="43"/>
        <v>0.20965798646372258</v>
      </c>
      <c r="C442" s="1">
        <f t="shared" ca="1" si="44"/>
        <v>81.396447034730471</v>
      </c>
      <c r="D442" s="1">
        <f t="shared" ca="1" si="49"/>
        <v>261.80712919870069</v>
      </c>
      <c r="E442" s="1">
        <f t="shared" ca="1" si="47"/>
        <v>313.88169252061948</v>
      </c>
      <c r="F442" s="1">
        <f t="shared" ca="1" si="45"/>
        <v>16.796013735602209</v>
      </c>
      <c r="G442" s="1">
        <f t="shared" ca="1" si="48"/>
        <v>12.525640250427324</v>
      </c>
      <c r="H442" s="1">
        <f t="shared" ca="1" si="46"/>
        <v>4.8998403553970373</v>
      </c>
    </row>
    <row r="443" spans="1:8">
      <c r="A443">
        <v>399</v>
      </c>
      <c r="B443">
        <f t="shared" ca="1" si="43"/>
        <v>0.21185659692793679</v>
      </c>
      <c r="C443" s="1">
        <f t="shared" ca="1" si="44"/>
        <v>81.170014610350563</v>
      </c>
      <c r="D443" s="1">
        <f t="shared" ca="1" si="49"/>
        <v>261.07882188108692</v>
      </c>
      <c r="E443" s="1">
        <f t="shared" ca="1" si="47"/>
        <v>313.00852174151942</v>
      </c>
      <c r="F443" s="1">
        <f t="shared" ca="1" si="45"/>
        <v>16.749289825019691</v>
      </c>
      <c r="G443" s="1">
        <f t="shared" ca="1" si="48"/>
        <v>12.490795864999491</v>
      </c>
      <c r="H443" s="1">
        <f t="shared" ca="1" si="46"/>
        <v>4.8862097776120494</v>
      </c>
    </row>
    <row r="444" spans="1:8">
      <c r="A444">
        <v>400</v>
      </c>
      <c r="B444">
        <f t="shared" ca="1" si="43"/>
        <v>0.47826564819296546</v>
      </c>
      <c r="C444" s="1">
        <f t="shared" ca="1" si="44"/>
        <v>53.732845390722794</v>
      </c>
      <c r="D444" s="1">
        <f t="shared" ca="1" si="49"/>
        <v>172.82869086745251</v>
      </c>
      <c r="E444" s="1">
        <f t="shared" ca="1" si="47"/>
        <v>207.20505967370045</v>
      </c>
      <c r="F444" s="1">
        <f t="shared" ca="1" si="45"/>
        <v>11.087680871416627</v>
      </c>
      <c r="G444" s="1">
        <f t="shared" ca="1" si="48"/>
        <v>8.2686474604344866</v>
      </c>
      <c r="H444" s="1">
        <f t="shared" ca="1" si="46"/>
        <v>3.234571456500583</v>
      </c>
    </row>
    <row r="445" spans="1:8">
      <c r="A445">
        <v>401</v>
      </c>
      <c r="B445">
        <f t="shared" ca="1" si="43"/>
        <v>0.48528880021204324</v>
      </c>
      <c r="C445" s="1">
        <f t="shared" ca="1" si="44"/>
        <v>53.009538845815243</v>
      </c>
      <c r="D445" s="1">
        <f t="shared" ca="1" si="49"/>
        <v>170.50221553611814</v>
      </c>
      <c r="E445" s="1">
        <f t="shared" ca="1" si="47"/>
        <v>204.41583838141111</v>
      </c>
      <c r="F445" s="1">
        <f t="shared" ca="1" si="45"/>
        <v>10.938427908107322</v>
      </c>
      <c r="G445" s="1">
        <f t="shared" ca="1" si="48"/>
        <v>8.1573419700558301</v>
      </c>
      <c r="H445" s="1">
        <f t="shared" ca="1" si="46"/>
        <v>3.1910304921278647</v>
      </c>
    </row>
    <row r="446" spans="1:8">
      <c r="A446">
        <v>402</v>
      </c>
      <c r="B446">
        <f t="shared" ca="1" si="43"/>
        <v>0.44320480506020898</v>
      </c>
      <c r="C446" s="1">
        <f t="shared" ca="1" si="44"/>
        <v>57.343722278908089</v>
      </c>
      <c r="D446" s="1">
        <f t="shared" ca="1" si="49"/>
        <v>184.4428758406055</v>
      </c>
      <c r="E446" s="1">
        <f t="shared" ca="1" si="47"/>
        <v>221.12935604744493</v>
      </c>
      <c r="F446" s="1">
        <f t="shared" ca="1" si="45"/>
        <v>11.832778616627296</v>
      </c>
      <c r="G446" s="1">
        <f t="shared" ca="1" si="48"/>
        <v>8.8243045681519217</v>
      </c>
      <c r="H446" s="1">
        <f t="shared" ca="1" si="46"/>
        <v>3.4519358133554503</v>
      </c>
    </row>
    <row r="447" spans="1:8">
      <c r="A447">
        <v>403</v>
      </c>
      <c r="B447">
        <f t="shared" ca="1" si="43"/>
        <v>0.62662077650112535</v>
      </c>
      <c r="C447" s="1">
        <f t="shared" ca="1" si="44"/>
        <v>38.453917213687177</v>
      </c>
      <c r="D447" s="1">
        <f t="shared" ca="1" si="49"/>
        <v>123.68486693365105</v>
      </c>
      <c r="E447" s="1">
        <f t="shared" ca="1" si="47"/>
        <v>148.28631755144556</v>
      </c>
      <c r="F447" s="1">
        <f t="shared" ca="1" si="45"/>
        <v>7.9349023950320809</v>
      </c>
      <c r="G447" s="1">
        <f t="shared" ca="1" si="48"/>
        <v>5.917460947359892</v>
      </c>
      <c r="H447" s="1">
        <f t="shared" ca="1" si="46"/>
        <v>2.3148241210265867</v>
      </c>
    </row>
    <row r="448" spans="1:8">
      <c r="A448">
        <v>404</v>
      </c>
      <c r="B448">
        <f t="shared" ca="1" si="43"/>
        <v>0.66447654581369475</v>
      </c>
      <c r="C448" s="1">
        <f t="shared" ca="1" si="44"/>
        <v>34.555194014771217</v>
      </c>
      <c r="D448" s="1">
        <f t="shared" ca="1" si="49"/>
        <v>111.14484028818734</v>
      </c>
      <c r="E448" s="1">
        <f t="shared" ca="1" si="47"/>
        <v>133.25202561019307</v>
      </c>
      <c r="F448" s="1">
        <f t="shared" ca="1" si="45"/>
        <v>7.1304080977555184</v>
      </c>
      <c r="G448" s="1">
        <f t="shared" ca="1" si="48"/>
        <v>5.317508823932819</v>
      </c>
      <c r="H448" s="1">
        <f t="shared" ca="1" si="46"/>
        <v>2.0801322478529722</v>
      </c>
    </row>
    <row r="449" spans="1:8">
      <c r="A449">
        <v>405</v>
      </c>
      <c r="B449">
        <f t="shared" ca="1" si="43"/>
        <v>1.54701842925834E-2</v>
      </c>
      <c r="C449" s="1">
        <f t="shared" ca="1" si="44"/>
        <v>141.12960899350142</v>
      </c>
      <c r="D449" s="1">
        <f t="shared" ca="1" si="49"/>
        <v>448.37922386889738</v>
      </c>
      <c r="E449" s="1">
        <f t="shared" ca="1" si="47"/>
        <v>537.46450042812</v>
      </c>
      <c r="F449" s="1">
        <f t="shared" ca="1" si="45"/>
        <v>29.856415362826858</v>
      </c>
      <c r="G449" s="1">
        <f t="shared" ca="1" si="48"/>
        <v>20.367658538398608</v>
      </c>
      <c r="H449" s="1">
        <f t="shared" ca="1" si="46"/>
        <v>7.6525682470496852</v>
      </c>
    </row>
    <row r="450" spans="1:8">
      <c r="A450">
        <v>406</v>
      </c>
      <c r="B450">
        <f t="shared" ca="1" si="43"/>
        <v>0.26053365520350869</v>
      </c>
      <c r="C450" s="1">
        <f t="shared" ca="1" si="44"/>
        <v>76.156819005025923</v>
      </c>
      <c r="D450" s="1">
        <f t="shared" ca="1" si="49"/>
        <v>244.954156634995</v>
      </c>
      <c r="E450" s="1">
        <f t="shared" ca="1" si="47"/>
        <v>293.67659114690542</v>
      </c>
      <c r="F450" s="1">
        <f t="shared" ca="1" si="45"/>
        <v>15.714826214795451</v>
      </c>
      <c r="G450" s="1">
        <f t="shared" ca="1" si="48"/>
        <v>11.719343983161338</v>
      </c>
      <c r="H450" s="1">
        <f t="shared" ca="1" si="46"/>
        <v>4.5844298852804997</v>
      </c>
    </row>
    <row r="451" spans="1:8">
      <c r="A451">
        <v>407</v>
      </c>
      <c r="B451">
        <f t="shared" ca="1" si="43"/>
        <v>0.81978168023441467</v>
      </c>
      <c r="C451" s="1">
        <f t="shared" ca="1" si="44"/>
        <v>18.560492507654345</v>
      </c>
      <c r="D451" s="1">
        <f t="shared" ca="1" si="49"/>
        <v>59.698771190167264</v>
      </c>
      <c r="E451" s="1">
        <f t="shared" ca="1" si="47"/>
        <v>71.573111847336406</v>
      </c>
      <c r="F451" s="1">
        <f t="shared" ca="1" si="45"/>
        <v>3.8299311229617672</v>
      </c>
      <c r="G451" s="1">
        <f t="shared" ca="1" si="48"/>
        <v>2.856176063647311</v>
      </c>
      <c r="H451" s="1">
        <f t="shared" ca="1" si="46"/>
        <v>1.1172974257753632</v>
      </c>
    </row>
    <row r="452" spans="1:8">
      <c r="A452">
        <v>408</v>
      </c>
      <c r="B452">
        <f t="shared" ca="1" si="43"/>
        <v>0.15576021318352007</v>
      </c>
      <c r="C452" s="1">
        <f t="shared" ca="1" si="44"/>
        <v>86.947318219579614</v>
      </c>
      <c r="D452" s="1">
        <f t="shared" ca="1" si="49"/>
        <v>279.66119808538122</v>
      </c>
      <c r="E452" s="1">
        <f t="shared" ca="1" si="47"/>
        <v>335.28701258656116</v>
      </c>
      <c r="F452" s="1">
        <f t="shared" ca="1" si="45"/>
        <v>17.941425703902397</v>
      </c>
      <c r="G452" s="1">
        <f t="shared" ca="1" si="48"/>
        <v>13.379831939426014</v>
      </c>
      <c r="H452" s="1">
        <f t="shared" ca="1" si="46"/>
        <v>5.2339867642726192</v>
      </c>
    </row>
    <row r="453" spans="1:8">
      <c r="A453">
        <v>409</v>
      </c>
      <c r="B453">
        <f t="shared" ca="1" si="43"/>
        <v>0.27933753158202534</v>
      </c>
      <c r="C453" s="1">
        <f t="shared" ca="1" si="44"/>
        <v>74.220228878930428</v>
      </c>
      <c r="D453" s="1">
        <f t="shared" ca="1" si="49"/>
        <v>238.72522204704273</v>
      </c>
      <c r="E453" s="1">
        <f t="shared" ca="1" si="47"/>
        <v>286.20869464828706</v>
      </c>
      <c r="F453" s="1">
        <f t="shared" ca="1" si="45"/>
        <v>15.315214435985631</v>
      </c>
      <c r="G453" s="1">
        <f t="shared" ca="1" si="48"/>
        <v>11.42133325013932</v>
      </c>
      <c r="H453" s="1">
        <f t="shared" ca="1" si="46"/>
        <v>4.4678527544933608</v>
      </c>
    </row>
    <row r="454" spans="1:8">
      <c r="A454">
        <v>410</v>
      </c>
      <c r="B454">
        <f t="shared" ca="1" si="43"/>
        <v>0.68287055794939622</v>
      </c>
      <c r="C454" s="1">
        <f t="shared" ca="1" si="44"/>
        <v>32.660815347084501</v>
      </c>
      <c r="D454" s="1">
        <f t="shared" ca="1" si="49"/>
        <v>105.05167651190416</v>
      </c>
      <c r="E454" s="1">
        <f t="shared" ca="1" si="47"/>
        <v>125.9469053222993</v>
      </c>
      <c r="F454" s="1">
        <f t="shared" ca="1" si="45"/>
        <v>6.7395065750569856</v>
      </c>
      <c r="G454" s="1">
        <f t="shared" ca="1" si="48"/>
        <v>5.0259937698326436</v>
      </c>
      <c r="H454" s="1">
        <f t="shared" ca="1" si="46"/>
        <v>1.9660961249132489</v>
      </c>
    </row>
    <row r="455" spans="1:8">
      <c r="A455">
        <v>411</v>
      </c>
      <c r="B455">
        <f t="shared" ca="1" si="43"/>
        <v>0.91997332357997297</v>
      </c>
      <c r="C455" s="1">
        <f t="shared" ca="1" si="44"/>
        <v>8.2418675967839476</v>
      </c>
      <c r="D455" s="1">
        <f t="shared" ca="1" si="49"/>
        <v>26.509487231039543</v>
      </c>
      <c r="E455" s="1">
        <f t="shared" ca="1" si="47"/>
        <v>31.782336399251051</v>
      </c>
      <c r="F455" s="1">
        <f t="shared" ca="1" si="45"/>
        <v>1.7007020207676717</v>
      </c>
      <c r="G455" s="1">
        <f t="shared" ca="1" si="48"/>
        <v>1.2683021340886551</v>
      </c>
      <c r="H455" s="1">
        <f t="shared" ca="1" si="46"/>
        <v>0.49614601662134916</v>
      </c>
    </row>
    <row r="456" spans="1:8">
      <c r="A456">
        <v>412</v>
      </c>
      <c r="B456">
        <f t="shared" ca="1" si="43"/>
        <v>0.93184281791904799</v>
      </c>
      <c r="C456" s="1">
        <f t="shared" ca="1" si="44"/>
        <v>7.0194416950129295</v>
      </c>
      <c r="D456" s="1">
        <f t="shared" ca="1" si="49"/>
        <v>22.5776222080043</v>
      </c>
      <c r="E456" s="1">
        <f t="shared" ca="1" si="47"/>
        <v>27.068406492946224</v>
      </c>
      <c r="F456" s="1">
        <f t="shared" ca="1" si="45"/>
        <v>1.4484567043801455</v>
      </c>
      <c r="G456" s="1">
        <f t="shared" ca="1" si="48"/>
        <v>1.0801900322334372</v>
      </c>
      <c r="H456" s="1">
        <f t="shared" ca="1" si="46"/>
        <v>0.4225595089199663</v>
      </c>
    </row>
    <row r="457" spans="1:8">
      <c r="A457">
        <v>413</v>
      </c>
      <c r="B457">
        <f t="shared" ca="1" si="43"/>
        <v>0.24695773492951834</v>
      </c>
      <c r="C457" s="1">
        <f t="shared" ca="1" si="44"/>
        <v>77.554987798844778</v>
      </c>
      <c r="D457" s="1">
        <f t="shared" ca="1" si="49"/>
        <v>249.45128891004833</v>
      </c>
      <c r="E457" s="1">
        <f t="shared" ca="1" si="47"/>
        <v>299.06822239563479</v>
      </c>
      <c r="F457" s="1">
        <f t="shared" ca="1" si="45"/>
        <v>16.003335750832804</v>
      </c>
      <c r="G457" s="1">
        <f t="shared" ca="1" si="48"/>
        <v>11.934500149414516</v>
      </c>
      <c r="H457" s="1">
        <f t="shared" ca="1" si="46"/>
        <v>4.6685956073624055</v>
      </c>
    </row>
    <row r="458" spans="1:8">
      <c r="A458">
        <v>414</v>
      </c>
      <c r="B458">
        <f t="shared" ca="1" si="43"/>
        <v>0.57803221650725345</v>
      </c>
      <c r="C458" s="1">
        <f t="shared" ca="1" si="44"/>
        <v>43.457998480294272</v>
      </c>
      <c r="D458" s="1">
        <f t="shared" ca="1" si="49"/>
        <v>139.78021641544214</v>
      </c>
      <c r="E458" s="1">
        <f t="shared" ca="1" si="47"/>
        <v>167.58310135000866</v>
      </c>
      <c r="F458" s="1">
        <f t="shared" ca="1" si="45"/>
        <v>8.9674852783753369</v>
      </c>
      <c r="G458" s="1">
        <f t="shared" ca="1" si="48"/>
        <v>6.6875102759547822</v>
      </c>
      <c r="H458" s="1">
        <f t="shared" ca="1" si="46"/>
        <v>2.6160553564986406</v>
      </c>
    </row>
    <row r="459" spans="1:8">
      <c r="A459">
        <v>415</v>
      </c>
      <c r="B459">
        <f t="shared" ca="1" si="43"/>
        <v>0.75114579826688677</v>
      </c>
      <c r="C459" s="1">
        <f t="shared" ca="1" si="44"/>
        <v>25.629224966778068</v>
      </c>
      <c r="D459" s="1">
        <f t="shared" ca="1" si="49"/>
        <v>82.434956567911598</v>
      </c>
      <c r="E459" s="1">
        <f t="shared" ca="1" si="47"/>
        <v>98.831622396283024</v>
      </c>
      <c r="F459" s="1">
        <f t="shared" ca="1" si="45"/>
        <v>5.2885509485292648</v>
      </c>
      <c r="G459" s="1">
        <f t="shared" ca="1" si="48"/>
        <v>3.9439427073444904</v>
      </c>
      <c r="H459" s="1">
        <f t="shared" ca="1" si="46"/>
        <v>1.5428146982650217</v>
      </c>
    </row>
    <row r="460" spans="1:8">
      <c r="A460">
        <v>416</v>
      </c>
      <c r="B460">
        <f t="shared" ca="1" si="43"/>
        <v>0.82242441116413956</v>
      </c>
      <c r="C460" s="1">
        <f t="shared" ca="1" si="44"/>
        <v>18.288320614933355</v>
      </c>
      <c r="D460" s="1">
        <f t="shared" ca="1" si="49"/>
        <v>58.823345412872669</v>
      </c>
      <c r="E460" s="1">
        <f t="shared" ca="1" si="47"/>
        <v>70.523560113448696</v>
      </c>
      <c r="F460" s="1">
        <f t="shared" ca="1" si="45"/>
        <v>3.7737689579653164</v>
      </c>
      <c r="G460" s="1">
        <f t="shared" ca="1" si="48"/>
        <v>2.8142930941098676</v>
      </c>
      <c r="H460" s="1">
        <f t="shared" ca="1" si="46"/>
        <v>1.1009134641374461</v>
      </c>
    </row>
    <row r="461" spans="1:8">
      <c r="A461">
        <v>417</v>
      </c>
      <c r="B461">
        <f t="shared" ca="1" si="43"/>
        <v>0.64190798104557834</v>
      </c>
      <c r="C461" s="1">
        <f t="shared" ca="1" si="44"/>
        <v>36.879505173294625</v>
      </c>
      <c r="D461" s="1">
        <f t="shared" ca="1" si="49"/>
        <v>118.62085804403532</v>
      </c>
      <c r="E461" s="1">
        <f t="shared" ca="1" si="47"/>
        <v>142.21505548860759</v>
      </c>
      <c r="F461" s="1">
        <f t="shared" ca="1" si="45"/>
        <v>7.6100253921169863</v>
      </c>
      <c r="G461" s="1">
        <f t="shared" ca="1" si="48"/>
        <v>5.6751837200242079</v>
      </c>
      <c r="H461" s="1">
        <f t="shared" ca="1" si="46"/>
        <v>2.2200490646672222</v>
      </c>
    </row>
    <row r="462" spans="1:8">
      <c r="A462">
        <v>418</v>
      </c>
      <c r="B462">
        <f t="shared" ca="1" si="43"/>
        <v>0.86741858916372983</v>
      </c>
      <c r="C462" s="1">
        <f t="shared" ca="1" si="44"/>
        <v>13.654420716221978</v>
      </c>
      <c r="D462" s="1">
        <f t="shared" ca="1" si="49"/>
        <v>43.918663742111931</v>
      </c>
      <c r="E462" s="1">
        <f t="shared" ca="1" si="47"/>
        <v>52.654273080417397</v>
      </c>
      <c r="F462" s="1">
        <f t="shared" ca="1" si="45"/>
        <v>2.8175723129456607</v>
      </c>
      <c r="G462" s="1">
        <f t="shared" ca="1" si="48"/>
        <v>2.1012088503365725</v>
      </c>
      <c r="H462" s="1">
        <f t="shared" ca="1" si="46"/>
        <v>0.82196607755971041</v>
      </c>
    </row>
    <row r="463" spans="1:8">
      <c r="A463">
        <v>419</v>
      </c>
      <c r="B463">
        <f t="shared" ca="1" si="43"/>
        <v>0.85650009043010011</v>
      </c>
      <c r="C463" s="1">
        <f t="shared" ca="1" si="44"/>
        <v>14.778904647816589</v>
      </c>
      <c r="D463" s="1">
        <f t="shared" ca="1" si="49"/>
        <v>47.535503857489459</v>
      </c>
      <c r="E463" s="1">
        <f t="shared" ca="1" si="47"/>
        <v>56.990518268468065</v>
      </c>
      <c r="F463" s="1">
        <f t="shared" ca="1" si="45"/>
        <v>3.0496074855371695</v>
      </c>
      <c r="G463" s="1">
        <f t="shared" ca="1" si="48"/>
        <v>2.2742492248641604</v>
      </c>
      <c r="H463" s="1">
        <f t="shared" ca="1" si="46"/>
        <v>0.88965676161056884</v>
      </c>
    </row>
    <row r="464" spans="1:8">
      <c r="A464">
        <v>420</v>
      </c>
      <c r="B464">
        <f t="shared" ca="1" si="43"/>
        <v>0.21917383389842382</v>
      </c>
      <c r="C464" s="1">
        <f t="shared" ca="1" si="44"/>
        <v>80.416420586326041</v>
      </c>
      <c r="D464" s="1">
        <f t="shared" ca="1" si="49"/>
        <v>258.65492855525213</v>
      </c>
      <c r="E464" s="1">
        <f t="shared" ca="1" si="47"/>
        <v>310.10250559615207</v>
      </c>
      <c r="F464" s="1">
        <f t="shared" ca="1" si="45"/>
        <v>16.593787096598756</v>
      </c>
      <c r="G464" s="1">
        <f t="shared" ca="1" si="48"/>
        <v>12.374829608394975</v>
      </c>
      <c r="H464" s="1">
        <f t="shared" ca="1" si="46"/>
        <v>4.8408455944969377</v>
      </c>
    </row>
    <row r="465" spans="1:8">
      <c r="A465">
        <v>421</v>
      </c>
      <c r="B465">
        <f t="shared" ca="1" si="43"/>
        <v>0.36089294559898266</v>
      </c>
      <c r="C465" s="1">
        <f t="shared" ca="1" si="44"/>
        <v>65.820928312621945</v>
      </c>
      <c r="D465" s="1">
        <f t="shared" ca="1" si="49"/>
        <v>211.70933824845628</v>
      </c>
      <c r="E465" s="1">
        <f t="shared" ca="1" si="47"/>
        <v>253.81923523467174</v>
      </c>
      <c r="F465" s="1">
        <f t="shared" ca="1" si="45"/>
        <v>13.582034350621832</v>
      </c>
      <c r="G465" s="1">
        <f t="shared" ca="1" si="48"/>
        <v>10.128813121636703</v>
      </c>
      <c r="H465" s="1">
        <f t="shared" ca="1" si="46"/>
        <v>3.9622391259589618</v>
      </c>
    </row>
    <row r="466" spans="1:8">
      <c r="A466">
        <v>422</v>
      </c>
      <c r="B466">
        <f t="shared" ca="1" si="43"/>
        <v>0.57863273493947953</v>
      </c>
      <c r="C466" s="1">
        <f t="shared" ca="1" si="44"/>
        <v>43.396151760874439</v>
      </c>
      <c r="D466" s="1">
        <f t="shared" ca="1" si="49"/>
        <v>139.58128987721679</v>
      </c>
      <c r="E466" s="1">
        <f t="shared" ca="1" si="47"/>
        <v>167.34460746677399</v>
      </c>
      <c r="F466" s="1">
        <f t="shared" ca="1" si="45"/>
        <v>8.9547233225913629</v>
      </c>
      <c r="G466" s="1">
        <f t="shared" ca="1" si="48"/>
        <v>6.6779930394776601</v>
      </c>
      <c r="H466" s="1">
        <f t="shared" ca="1" si="46"/>
        <v>2.6123323626645774</v>
      </c>
    </row>
    <row r="467" spans="1:8">
      <c r="A467">
        <v>423</v>
      </c>
      <c r="B467">
        <f t="shared" ca="1" si="43"/>
        <v>0.9124912634630804</v>
      </c>
      <c r="C467" s="1">
        <f t="shared" ca="1" si="44"/>
        <v>9.0124365716885819</v>
      </c>
      <c r="D467" s="1">
        <f t="shared" ca="1" si="49"/>
        <v>28.987979543640392</v>
      </c>
      <c r="E467" s="1">
        <f t="shared" ca="1" si="47"/>
        <v>34.75381150494951</v>
      </c>
      <c r="F467" s="1">
        <f t="shared" ca="1" si="45"/>
        <v>1.8597074988024787</v>
      </c>
      <c r="G467" s="1">
        <f t="shared" ca="1" si="48"/>
        <v>1.3868805684000716</v>
      </c>
      <c r="H467" s="1">
        <f t="shared" ca="1" si="46"/>
        <v>0.54253204273885469</v>
      </c>
    </row>
    <row r="468" spans="1:8">
      <c r="A468">
        <v>424</v>
      </c>
      <c r="B468">
        <f t="shared" ca="1" si="43"/>
        <v>0.87357616757711654</v>
      </c>
      <c r="C468" s="1">
        <f t="shared" ca="1" si="44"/>
        <v>13.020258625598615</v>
      </c>
      <c r="D468" s="1">
        <f t="shared" ca="1" si="49"/>
        <v>41.878916597156604</v>
      </c>
      <c r="E468" s="1">
        <f t="shared" ca="1" si="47"/>
        <v>50.208811445398624</v>
      </c>
      <c r="F468" s="1">
        <f t="shared" ca="1" si="45"/>
        <v>2.6867141423534662</v>
      </c>
      <c r="G468" s="1">
        <f t="shared" ca="1" si="48"/>
        <v>2.0036212880874178</v>
      </c>
      <c r="H468" s="1">
        <f t="shared" ca="1" si="46"/>
        <v>0.78379135179680581</v>
      </c>
    </row>
    <row r="469" spans="1:8">
      <c r="A469">
        <v>425</v>
      </c>
      <c r="B469">
        <f t="shared" ca="1" si="43"/>
        <v>1.4707100294247044E-2</v>
      </c>
      <c r="C469" s="1">
        <f t="shared" ca="1" si="44"/>
        <v>142.16892939923554</v>
      </c>
      <c r="D469" s="1">
        <f t="shared" ca="1" si="49"/>
        <v>451.62443996364732</v>
      </c>
      <c r="E469" s="1">
        <f t="shared" ca="1" si="47"/>
        <v>541.3545502978443</v>
      </c>
      <c r="F469" s="1">
        <f t="shared" ca="1" si="45"/>
        <v>29.960465205940665</v>
      </c>
      <c r="G469" s="1">
        <f t="shared" ca="1" si="48"/>
        <v>20.480493881787556</v>
      </c>
      <c r="H469" s="1">
        <f t="shared" ca="1" si="46"/>
        <v>7.6921555946326245</v>
      </c>
    </row>
    <row r="470" spans="1:8">
      <c r="A470">
        <v>426</v>
      </c>
      <c r="B470">
        <f t="shared" ca="1" si="43"/>
        <v>0.40802917552789886</v>
      </c>
      <c r="C470" s="1">
        <f t="shared" ca="1" si="44"/>
        <v>60.966420889567573</v>
      </c>
      <c r="D470" s="1">
        <f t="shared" ca="1" si="49"/>
        <v>196.09508472755232</v>
      </c>
      <c r="E470" s="1">
        <f t="shared" ca="1" si="47"/>
        <v>235.09923945516371</v>
      </c>
      <c r="F470" s="1">
        <f t="shared" ca="1" si="45"/>
        <v>12.580315752333068</v>
      </c>
      <c r="G470" s="1">
        <f t="shared" ca="1" si="48"/>
        <v>9.3817808528509197</v>
      </c>
      <c r="H470" s="1">
        <f t="shared" ca="1" si="46"/>
        <v>3.6700118037503384</v>
      </c>
    </row>
    <row r="471" spans="1:8">
      <c r="A471">
        <v>427</v>
      </c>
      <c r="B471">
        <f t="shared" ca="1" si="43"/>
        <v>0.64903022114697884</v>
      </c>
      <c r="C471" s="1">
        <f t="shared" ca="1" si="44"/>
        <v>36.145993657987496</v>
      </c>
      <c r="D471" s="1">
        <f t="shared" ca="1" si="49"/>
        <v>116.26155899216536</v>
      </c>
      <c r="E471" s="1">
        <f t="shared" ca="1" si="47"/>
        <v>139.38648169643275</v>
      </c>
      <c r="F471" s="1">
        <f t="shared" ca="1" si="45"/>
        <v>7.4586666521029859</v>
      </c>
      <c r="G471" s="1">
        <f t="shared" ca="1" si="48"/>
        <v>5.5623078453560399</v>
      </c>
      <c r="H471" s="1">
        <f t="shared" ca="1" si="46"/>
        <v>2.1758937905585829</v>
      </c>
    </row>
    <row r="472" spans="1:8">
      <c r="A472">
        <v>428</v>
      </c>
      <c r="B472">
        <f t="shared" ca="1" si="43"/>
        <v>0.72270326739468016</v>
      </c>
      <c r="C472" s="1">
        <f t="shared" ca="1" si="44"/>
        <v>28.558489302466413</v>
      </c>
      <c r="D472" s="1">
        <f t="shared" ca="1" si="49"/>
        <v>91.856772620754782</v>
      </c>
      <c r="E472" s="1">
        <f t="shared" ca="1" si="47"/>
        <v>110.12747823136331</v>
      </c>
      <c r="F472" s="1">
        <f t="shared" ca="1" si="45"/>
        <v>5.8929992083934568</v>
      </c>
      <c r="G472" s="1">
        <f t="shared" ca="1" si="48"/>
        <v>4.3947103737343678</v>
      </c>
      <c r="H472" s="1">
        <f t="shared" ca="1" si="46"/>
        <v>1.7191479486364551</v>
      </c>
    </row>
    <row r="473" spans="1:8">
      <c r="A473">
        <v>429</v>
      </c>
      <c r="B473">
        <f t="shared" ca="1" si="43"/>
        <v>0.22484006400401735</v>
      </c>
      <c r="C473" s="1">
        <f t="shared" ca="1" si="44"/>
        <v>79.832861906520307</v>
      </c>
      <c r="D473" s="1">
        <f t="shared" ca="1" si="49"/>
        <v>256.77794447082408</v>
      </c>
      <c r="E473" s="1">
        <f t="shared" ca="1" si="47"/>
        <v>307.85218129523969</v>
      </c>
      <c r="F473" s="1">
        <f t="shared" ca="1" si="45"/>
        <v>16.473370845924563</v>
      </c>
      <c r="G473" s="1">
        <f t="shared" ca="1" si="48"/>
        <v>12.285029114430413</v>
      </c>
      <c r="H473" s="1">
        <f t="shared" ca="1" si="46"/>
        <v>4.8057170478721325</v>
      </c>
    </row>
    <row r="474" spans="1:8">
      <c r="A474">
        <v>430</v>
      </c>
      <c r="B474">
        <f t="shared" ca="1" si="43"/>
        <v>0.29868401532951439</v>
      </c>
      <c r="C474" s="1">
        <f t="shared" ca="1" si="44"/>
        <v>72.227756228830515</v>
      </c>
      <c r="D474" s="1">
        <f t="shared" ca="1" si="49"/>
        <v>232.3165444241846</v>
      </c>
      <c r="E474" s="1">
        <f t="shared" ca="1" si="47"/>
        <v>278.52530345116588</v>
      </c>
      <c r="F474" s="1">
        <f t="shared" ca="1" si="45"/>
        <v>14.90407140204811</v>
      </c>
      <c r="G474" s="1">
        <f t="shared" ca="1" si="48"/>
        <v>11.114723076421374</v>
      </c>
      <c r="H474" s="1">
        <f t="shared" ca="1" si="46"/>
        <v>4.3479116572056222</v>
      </c>
    </row>
    <row r="475" spans="1:8">
      <c r="A475">
        <v>431</v>
      </c>
      <c r="B475">
        <f t="shared" ca="1" si="43"/>
        <v>0.52855786966723961</v>
      </c>
      <c r="C475" s="1">
        <f t="shared" ca="1" si="44"/>
        <v>48.553305940135843</v>
      </c>
      <c r="D475" s="1">
        <f t="shared" ca="1" si="49"/>
        <v>156.16898988133207</v>
      </c>
      <c r="E475" s="1">
        <f t="shared" ca="1" si="47"/>
        <v>187.23167242655998</v>
      </c>
      <c r="F475" s="1">
        <f t="shared" ca="1" si="45"/>
        <v>10.018892517405037</v>
      </c>
      <c r="G475" s="1">
        <f t="shared" ca="1" si="48"/>
        <v>7.4715978795311884</v>
      </c>
      <c r="H475" s="1">
        <f t="shared" ca="1" si="46"/>
        <v>2.9227781452511765</v>
      </c>
    </row>
    <row r="476" spans="1:8">
      <c r="A476">
        <v>432</v>
      </c>
      <c r="B476">
        <f t="shared" ca="1" si="43"/>
        <v>0.64505765322979147</v>
      </c>
      <c r="C476" s="1">
        <f t="shared" ca="1" si="44"/>
        <v>36.555123969674632</v>
      </c>
      <c r="D476" s="1">
        <f t="shared" ca="1" si="49"/>
        <v>117.5775039177887</v>
      </c>
      <c r="E476" s="1">
        <f t="shared" ca="1" si="47"/>
        <v>140.96417373407991</v>
      </c>
      <c r="F476" s="1">
        <f t="shared" ca="1" si="45"/>
        <v>7.5430899327007968</v>
      </c>
      <c r="G476" s="1">
        <f t="shared" ca="1" si="48"/>
        <v>5.6252665594610374</v>
      </c>
      <c r="H476" s="1">
        <f t="shared" ca="1" si="46"/>
        <v>2.2005222533457478</v>
      </c>
    </row>
    <row r="477" spans="1:8">
      <c r="A477">
        <v>433</v>
      </c>
      <c r="B477">
        <f t="shared" ca="1" si="43"/>
        <v>0.55287410619242716</v>
      </c>
      <c r="C477" s="1">
        <f t="shared" ca="1" si="44"/>
        <v>46.04900402862777</v>
      </c>
      <c r="D477" s="1">
        <f t="shared" ca="1" si="49"/>
        <v>148.11404186467652</v>
      </c>
      <c r="E477" s="1">
        <f t="shared" ca="1" si="47"/>
        <v>177.57456056565184</v>
      </c>
      <c r="F477" s="1">
        <f t="shared" ca="1" si="45"/>
        <v>9.5021344651721353</v>
      </c>
      <c r="G477" s="1">
        <f t="shared" ca="1" si="48"/>
        <v>7.0862252401169545</v>
      </c>
      <c r="H477" s="1">
        <f t="shared" ca="1" si="46"/>
        <v>2.7720264051000636</v>
      </c>
    </row>
    <row r="478" spans="1:8">
      <c r="A478">
        <v>434</v>
      </c>
      <c r="B478">
        <f t="shared" ca="1" si="43"/>
        <v>0.66435017662609519</v>
      </c>
      <c r="C478" s="1">
        <f t="shared" ca="1" si="44"/>
        <v>34.568208635587787</v>
      </c>
      <c r="D478" s="1">
        <f t="shared" ca="1" si="49"/>
        <v>111.1867010932493</v>
      </c>
      <c r="E478" s="1">
        <f t="shared" ca="1" si="47"/>
        <v>133.30221270962997</v>
      </c>
      <c r="F478" s="1">
        <f t="shared" ca="1" si="45"/>
        <v>7.1330936406099212</v>
      </c>
      <c r="G478" s="1">
        <f t="shared" ca="1" si="48"/>
        <v>5.3195115691896948</v>
      </c>
      <c r="H478" s="1">
        <f t="shared" ca="1" si="46"/>
        <v>2.0809156904269241</v>
      </c>
    </row>
    <row r="479" spans="1:8">
      <c r="A479">
        <v>435</v>
      </c>
      <c r="B479">
        <f t="shared" ca="1" si="43"/>
        <v>0.19661617937503229</v>
      </c>
      <c r="C479" s="1">
        <f t="shared" ca="1" si="44"/>
        <v>82.739608110988939</v>
      </c>
      <c r="D479" s="1">
        <f t="shared" ca="1" si="49"/>
        <v>266.12733220519118</v>
      </c>
      <c r="E479" s="1">
        <f t="shared" ca="1" si="47"/>
        <v>319.06120250743044</v>
      </c>
      <c r="F479" s="1">
        <f t="shared" ca="1" si="45"/>
        <v>17.073172531198225</v>
      </c>
      <c r="G479" s="1">
        <f t="shared" ca="1" si="48"/>
        <v>12.732331594924396</v>
      </c>
      <c r="H479" s="1">
        <f t="shared" ca="1" si="46"/>
        <v>4.9806947717989605</v>
      </c>
    </row>
    <row r="480" spans="1:8">
      <c r="A480">
        <v>436</v>
      </c>
      <c r="B480">
        <f t="shared" ca="1" si="43"/>
        <v>0.14469135540726519</v>
      </c>
      <c r="C480" s="1">
        <f t="shared" ca="1" si="44"/>
        <v>88.087287460237931</v>
      </c>
      <c r="D480" s="1">
        <f t="shared" ca="1" si="49"/>
        <v>283.32784583735275</v>
      </c>
      <c r="E480" s="1">
        <f t="shared" ca="1" si="47"/>
        <v>339.68297236459068</v>
      </c>
      <c r="F480" s="1">
        <f t="shared" ca="1" si="45"/>
        <v>18.176656241283279</v>
      </c>
      <c r="G480" s="1">
        <f t="shared" ca="1" si="48"/>
        <v>13.555255259236118</v>
      </c>
      <c r="H480" s="1">
        <f t="shared" ca="1" si="46"/>
        <v>5.3026096191920944</v>
      </c>
    </row>
    <row r="481" spans="1:8">
      <c r="A481">
        <v>437</v>
      </c>
      <c r="B481">
        <f t="shared" ca="1" si="43"/>
        <v>0.27506840798933885</v>
      </c>
      <c r="C481" s="1">
        <f t="shared" ca="1" si="44"/>
        <v>74.659901126835848</v>
      </c>
      <c r="D481" s="1">
        <f t="shared" ca="1" si="49"/>
        <v>240.13940341430111</v>
      </c>
      <c r="E481" s="1">
        <f t="shared" ca="1" si="47"/>
        <v>287.90416277880604</v>
      </c>
      <c r="F481" s="1">
        <f t="shared" ca="1" si="45"/>
        <v>15.405939988445734</v>
      </c>
      <c r="G481" s="1">
        <f t="shared" ca="1" si="48"/>
        <v>11.488991887412197</v>
      </c>
      <c r="H481" s="1">
        <f t="shared" ca="1" si="46"/>
        <v>4.4943197536052928</v>
      </c>
    </row>
    <row r="482" spans="1:8">
      <c r="A482">
        <v>438</v>
      </c>
      <c r="B482">
        <f t="shared" ca="1" si="43"/>
        <v>0.68922308789105458</v>
      </c>
      <c r="C482" s="1">
        <f t="shared" ca="1" si="44"/>
        <v>32.00657541734337</v>
      </c>
      <c r="D482" s="1">
        <f t="shared" ca="1" si="49"/>
        <v>102.94735011249188</v>
      </c>
      <c r="E482" s="1">
        <f t="shared" ca="1" si="47"/>
        <v>123.42401934104075</v>
      </c>
      <c r="F482" s="1">
        <f t="shared" ca="1" si="45"/>
        <v>6.6045053796210809</v>
      </c>
      <c r="G482" s="1">
        <f t="shared" ca="1" si="48"/>
        <v>4.9253165442250122</v>
      </c>
      <c r="H482" s="1">
        <f t="shared" ca="1" si="46"/>
        <v>1.926712771240279</v>
      </c>
    </row>
    <row r="483" spans="1:8">
      <c r="A483">
        <v>439</v>
      </c>
      <c r="B483">
        <f t="shared" ca="1" si="43"/>
        <v>0.46550653493149141</v>
      </c>
      <c r="C483" s="1">
        <f t="shared" ca="1" si="44"/>
        <v>55.046892146961568</v>
      </c>
      <c r="D483" s="1">
        <f t="shared" ca="1" si="49"/>
        <v>177.05524928052506</v>
      </c>
      <c r="E483" s="1">
        <f t="shared" ca="1" si="47"/>
        <v>212.27229875423907</v>
      </c>
      <c r="F483" s="1">
        <f t="shared" ca="1" si="45"/>
        <v>11.358831981103716</v>
      </c>
      <c r="G483" s="1">
        <f t="shared" ca="1" si="48"/>
        <v>8.4708585694219405</v>
      </c>
      <c r="H483" s="1">
        <f t="shared" ca="1" si="46"/>
        <v>3.3136732749485147</v>
      </c>
    </row>
    <row r="484" spans="1:8">
      <c r="A484">
        <v>440</v>
      </c>
      <c r="B484">
        <f t="shared" ca="1" si="43"/>
        <v>0.10037804150177854</v>
      </c>
      <c r="C484" s="1">
        <f t="shared" ca="1" si="44"/>
        <v>92.651065929978401</v>
      </c>
      <c r="D484" s="1">
        <f t="shared" ca="1" si="49"/>
        <v>298.00698582617059</v>
      </c>
      <c r="E484" s="1">
        <f t="shared" ca="1" si="47"/>
        <v>357.2818565039824</v>
      </c>
      <c r="F484" s="1">
        <f t="shared" ca="1" si="45"/>
        <v>19.118383459558387</v>
      </c>
      <c r="G484" s="1">
        <f t="shared" ca="1" si="48"/>
        <v>14.257548918999618</v>
      </c>
      <c r="H484" s="1">
        <f t="shared" ca="1" si="46"/>
        <v>5.5773358983264059</v>
      </c>
    </row>
    <row r="485" spans="1:8">
      <c r="A485">
        <v>441</v>
      </c>
      <c r="B485">
        <f t="shared" ca="1" si="43"/>
        <v>0.63193226903723587</v>
      </c>
      <c r="C485" s="1">
        <f t="shared" ca="1" si="44"/>
        <v>37.906892558068115</v>
      </c>
      <c r="D485" s="1">
        <f t="shared" ca="1" si="49"/>
        <v>121.92539250902507</v>
      </c>
      <c r="E485" s="1">
        <f t="shared" ca="1" si="47"/>
        <v>146.1768760876538</v>
      </c>
      <c r="F485" s="1">
        <f t="shared" ca="1" si="45"/>
        <v>7.8220248724530013</v>
      </c>
      <c r="G485" s="1">
        <f t="shared" ca="1" si="48"/>
        <v>5.8332824645691996</v>
      </c>
      <c r="H485" s="1">
        <f t="shared" ca="1" si="46"/>
        <v>2.2818948171111186</v>
      </c>
    </row>
    <row r="486" spans="1:8">
      <c r="A486">
        <v>442</v>
      </c>
      <c r="B486">
        <f t="shared" ca="1" si="43"/>
        <v>0.11836909815159857</v>
      </c>
      <c r="C486" s="1">
        <f t="shared" ca="1" si="44"/>
        <v>90.798187195577015</v>
      </c>
      <c r="D486" s="1">
        <f t="shared" ca="1" si="49"/>
        <v>292.047304280513</v>
      </c>
      <c r="E486" s="1">
        <f t="shared" ca="1" si="47"/>
        <v>350.13676863714579</v>
      </c>
      <c r="F486" s="1">
        <f t="shared" ca="1" si="45"/>
        <v>18.736045371082295</v>
      </c>
      <c r="G486" s="1">
        <f t="shared" ca="1" si="48"/>
        <v>13.972420051306196</v>
      </c>
      <c r="H486" s="1">
        <f t="shared" ca="1" si="46"/>
        <v>5.4657979514772608</v>
      </c>
    </row>
    <row r="487" spans="1:8">
      <c r="A487">
        <v>443</v>
      </c>
      <c r="B487">
        <f t="shared" ca="1" si="43"/>
        <v>0.48383361847258088</v>
      </c>
      <c r="C487" s="1">
        <f t="shared" ca="1" si="44"/>
        <v>53.159406380125183</v>
      </c>
      <c r="D487" s="1">
        <f t="shared" ca="1" si="49"/>
        <v>170.98425613701517</v>
      </c>
      <c r="E487" s="1">
        <f t="shared" ca="1" si="47"/>
        <v>204.99375893344151</v>
      </c>
      <c r="F487" s="1">
        <f t="shared" ca="1" si="45"/>
        <v>10.969352795704566</v>
      </c>
      <c r="G487" s="1">
        <f t="shared" ca="1" si="48"/>
        <v>8.180404224248953</v>
      </c>
      <c r="H487" s="1">
        <f t="shared" ca="1" si="46"/>
        <v>3.2000520847264085</v>
      </c>
    </row>
    <row r="488" spans="1:8">
      <c r="A488">
        <v>444</v>
      </c>
      <c r="B488">
        <f t="shared" ca="1" si="43"/>
        <v>0.89404898372293318</v>
      </c>
      <c r="C488" s="1">
        <f t="shared" ca="1" si="44"/>
        <v>10.911786265790184</v>
      </c>
      <c r="D488" s="1">
        <f t="shared" ca="1" si="49"/>
        <v>35.097132350310574</v>
      </c>
      <c r="E488" s="1">
        <f t="shared" ca="1" si="47"/>
        <v>42.078101110221326</v>
      </c>
      <c r="F488" s="1">
        <f t="shared" ca="1" si="45"/>
        <v>2.2516347835770425</v>
      </c>
      <c r="G488" s="1">
        <f t="shared" ca="1" si="48"/>
        <v>1.6791605852075406</v>
      </c>
      <c r="H488" s="1">
        <f t="shared" ca="1" si="46"/>
        <v>0.65686740710747227</v>
      </c>
    </row>
    <row r="489" spans="1:8">
      <c r="A489">
        <v>445</v>
      </c>
      <c r="B489">
        <f t="shared" ca="1" si="43"/>
        <v>5.3681505607444113E-2</v>
      </c>
      <c r="C489" s="1">
        <f t="shared" ca="1" si="44"/>
        <v>104.29278284533525</v>
      </c>
      <c r="D489" s="1">
        <f t="shared" ca="1" si="49"/>
        <v>333.58708768430961</v>
      </c>
      <c r="E489" s="1">
        <f t="shared" ca="1" si="47"/>
        <v>399.87857381833652</v>
      </c>
      <c r="F489" s="1">
        <f t="shared" ca="1" si="45"/>
        <v>24.827645260939413</v>
      </c>
      <c r="G489" s="1">
        <f t="shared" ca="1" si="48"/>
        <v>16.175687443908142</v>
      </c>
      <c r="H489" s="1">
        <f t="shared" ca="1" si="46"/>
        <v>6.1975130667691811</v>
      </c>
    </row>
    <row r="490" spans="1:8">
      <c r="A490">
        <v>446</v>
      </c>
      <c r="B490">
        <f t="shared" ca="1" si="43"/>
        <v>0.45396648908967363</v>
      </c>
      <c r="C490" s="1">
        <f t="shared" ca="1" si="44"/>
        <v>56.23538851771449</v>
      </c>
      <c r="D490" s="1">
        <f t="shared" ca="1" si="49"/>
        <v>180.87798185138894</v>
      </c>
      <c r="E490" s="1">
        <f t="shared" ca="1" si="47"/>
        <v>216.85538929372308</v>
      </c>
      <c r="F490" s="1">
        <f t="shared" ca="1" si="45"/>
        <v>11.604076001728332</v>
      </c>
      <c r="G490" s="1">
        <f t="shared" ca="1" si="48"/>
        <v>8.6537494505998716</v>
      </c>
      <c r="H490" s="1">
        <f t="shared" ca="1" si="46"/>
        <v>3.3852173229049334</v>
      </c>
    </row>
    <row r="491" spans="1:8">
      <c r="A491">
        <v>447</v>
      </c>
      <c r="B491">
        <f t="shared" ca="1" si="43"/>
        <v>0.16928939758018335</v>
      </c>
      <c r="C491" s="1">
        <f t="shared" ca="1" si="44"/>
        <v>85.553962701318639</v>
      </c>
      <c r="D491" s="1">
        <f t="shared" ca="1" si="49"/>
        <v>275.17954744384434</v>
      </c>
      <c r="E491" s="1">
        <f t="shared" ca="1" si="47"/>
        <v>329.91394233491695</v>
      </c>
      <c r="F491" s="1">
        <f t="shared" ca="1" si="45"/>
        <v>17.653909378344466</v>
      </c>
      <c r="G491" s="1">
        <f t="shared" ca="1" si="48"/>
        <v>13.165416460506677</v>
      </c>
      <c r="H491" s="1">
        <f t="shared" ca="1" si="46"/>
        <v>5.1501107874737571</v>
      </c>
    </row>
    <row r="492" spans="1:8">
      <c r="A492">
        <v>448</v>
      </c>
      <c r="B492">
        <f t="shared" ca="1" si="43"/>
        <v>0.52544022538701951</v>
      </c>
      <c r="C492" s="1">
        <f t="shared" ca="1" si="44"/>
        <v>48.874388625866018</v>
      </c>
      <c r="D492" s="1">
        <f t="shared" ca="1" si="49"/>
        <v>157.20173450797625</v>
      </c>
      <c r="E492" s="1">
        <f t="shared" ca="1" si="47"/>
        <v>188.46983440633096</v>
      </c>
      <c r="F492" s="1">
        <f t="shared" ca="1" si="45"/>
        <v>10.085147333775687</v>
      </c>
      <c r="G492" s="1">
        <f t="shared" ca="1" si="48"/>
        <v>7.5210074501190789</v>
      </c>
      <c r="H492" s="1">
        <f t="shared" ca="1" si="46"/>
        <v>2.9421063953250934</v>
      </c>
    </row>
    <row r="493" spans="1:8">
      <c r="A493">
        <v>449</v>
      </c>
      <c r="B493">
        <f t="shared" ca="1" si="43"/>
        <v>0.97492727089586695</v>
      </c>
      <c r="C493" s="1">
        <f t="shared" ca="1" si="44"/>
        <v>2.5822222332609073</v>
      </c>
      <c r="D493" s="1">
        <f t="shared" ca="1" si="49"/>
        <v>8.3055522396587662</v>
      </c>
      <c r="E493" s="1">
        <f t="shared" ca="1" si="47"/>
        <v>9.9575603538984296</v>
      </c>
      <c r="F493" s="1">
        <f t="shared" ca="1" si="45"/>
        <v>0.53284470254922667</v>
      </c>
      <c r="G493" s="1">
        <f t="shared" ca="1" si="48"/>
        <v>0.39737181140404765</v>
      </c>
      <c r="H493" s="1">
        <f t="shared" ca="1" si="46"/>
        <v>0.15545171643791633</v>
      </c>
    </row>
    <row r="494" spans="1:8">
      <c r="A494">
        <v>450</v>
      </c>
      <c r="B494">
        <f t="shared" ref="B494:B557" ca="1" si="50">RAND()</f>
        <v>0.41896061767891613</v>
      </c>
      <c r="C494" s="1">
        <f t="shared" ref="C494:C557" ca="1" si="51">IF($B494&lt;=0.005,$F$4,IF(B494&lt;=0.01,$F$4+($B494-0.005)*SLOPE($E$4:$F$4,$E$3:$F$3),IF($B494&lt;=0.04,$E$4+($B494-0.01)*SLOPE($D$4:$E$4,$D$3:$E$3),IF($B494&lt;=0.1,$D$4+($B494-0.04)*SLOPE($C$4:$D$4,$C$3:$D$3),IF($B494&lt;=1,$C$4+($B494-0.1)*SLOPE($B$4:$C$4,$B$3:$C$3),)))))</f>
        <v>59.840603929941601</v>
      </c>
      <c r="D494" s="1">
        <f t="shared" ca="1" si="49"/>
        <v>192.47395700154448</v>
      </c>
      <c r="E494" s="1">
        <f t="shared" ca="1" si="47"/>
        <v>230.75785383226639</v>
      </c>
      <c r="F494" s="1">
        <f t="shared" ref="F494:F557" ca="1" si="52">IF($B494&lt;=0.005,$F$22,IF($B494&lt;=0.01,$F$22+($B494-0.005)*SLOPE($E$22:$F$22,$E$21:$F$21),IF($B494&lt;=0.04,$E$22+($B494-0.01)*SLOPE($D$22:$E$22,$D$21:$E$21),IF($B494&lt;=0.1,$D$22+($B494-0.04)*SLOPE($C$22:$D$22,$C$21:$D$21),IF($B494&lt;=1,$C$22+($B494-0.1)*SLOPE($B$22:$C$22,$B$21:$C$21),)))))</f>
        <v>12.348005511880972</v>
      </c>
      <c r="G494" s="1">
        <f t="shared" ca="1" si="48"/>
        <v>9.2085353462949229</v>
      </c>
      <c r="H494" s="1">
        <f t="shared" ref="H494:H557" ca="1" si="53">IF($B494&lt;=0.005,$F$34,IF($B494&lt;=0.01,$F$34+($B494-0.005)*SLOPE($E$34:$F$34,$E$33:$F$33),IF($B494&lt;=0.04,$E$34+($B494-0.01)*SLOPE($D$34:$E$34,$D$33:$E$33),IF($B494&lt;=0.1,$D$34+($B494-0.04)*SLOPE($C$34:$D$34,$C$33:$D$33),IF($B494&lt;=1,$C$34+($B494-0.1)*SLOPE($B$34:$C$34,$B$33:$C$33),)))))</f>
        <v>3.6022408752631074</v>
      </c>
    </row>
    <row r="495" spans="1:8">
      <c r="A495">
        <v>451</v>
      </c>
      <c r="B495">
        <f t="shared" ca="1" si="50"/>
        <v>0.94356373110452363</v>
      </c>
      <c r="C495" s="1">
        <f t="shared" ca="1" si="51"/>
        <v>5.8123179995100287</v>
      </c>
      <c r="D495" s="1">
        <f t="shared" ca="1" si="49"/>
        <v>18.694975881590096</v>
      </c>
      <c r="E495" s="1">
        <f t="shared" ref="E495:E558" ca="1" si="54">IF($B495&lt;=0.005,$F$16,IF($B495&lt;=0.01,$F$16+($B495-0.005)*SLOPE($E$16:$F$16,$E$15:$F$15),IF($B495&lt;=0.04,$E$16+($B495-0.01)*SLOPE($D$16:$E$16,$D$15:$E$15),IF($B495&lt;=0.1,$D$16+($B495-0.04)*SLOPE($C$16:$D$16,$C$15:$D$15),IF($B495&lt;=1,$C$16+($B495-0.1)*SLOPE($B$16:$C$16,$B$15:$C$15),)))))</f>
        <v>22.413485093950726</v>
      </c>
      <c r="F495" s="1">
        <f t="shared" ca="1" si="52"/>
        <v>1.1993689698599006</v>
      </c>
      <c r="G495" s="1">
        <f t="shared" ref="G495:G558" ca="1" si="55">IF($B495&lt;=0.005,$F$28,IF($B495&lt;=0.01,$F$28+($B495-0.005)*SLOPE($E$28:$F$28,$E$27:$F$27),IF($B495&lt;=0.04,$E$28+($B495-0.01)*SLOPE($D$28:$E$28,$D$27:$E$27),IF($B495&lt;=0.1,$D$28+($B495-0.04)*SLOPE($C$28:$D$28,$C$27:$D$27),IF($B495&lt;=1,$C$28+($B495-0.1)*SLOPE($B$28:$C$28,$B$27:$C$27),)))))</f>
        <v>0.89443269902304934</v>
      </c>
      <c r="H495" s="1">
        <f t="shared" ca="1" si="53"/>
        <v>0.34989414982789224</v>
      </c>
    </row>
    <row r="496" spans="1:8">
      <c r="A496">
        <v>452</v>
      </c>
      <c r="B496">
        <f t="shared" ca="1" si="50"/>
        <v>2.5834412893354197E-2</v>
      </c>
      <c r="C496" s="1">
        <f t="shared" ca="1" si="51"/>
        <v>127.01352963925159</v>
      </c>
      <c r="D496" s="1">
        <f t="shared" ref="D496:D559" ca="1" si="56">IF($B496&lt;=0.005,$F$10,IF($B496&lt;=0.01,$F$10+($B496-0.005)*SLOPE($E$10:$F$10,$E$9:$F$9),IF($B496&lt;=0.04,$E$10+($B496-0.01)*SLOPE($D$10:$E$10,$D$9:$E$9),IF($B496&lt;=0.1,$D$10+($B496-0.04)*SLOPE($C$10:$D$10,$C$9:$D$9),IF($B496&lt;=1,$C$10+($B496-0.1)*SLOPE($B$10:$C$10,$B$9:$C$9),)))))</f>
        <v>404.30260643462219</v>
      </c>
      <c r="E496" s="1">
        <f t="shared" ca="1" si="54"/>
        <v>484.62973229496487</v>
      </c>
      <c r="F496" s="1">
        <f t="shared" ca="1" si="52"/>
        <v>28.443207429942781</v>
      </c>
      <c r="G496" s="1">
        <f t="shared" ca="1" si="55"/>
        <v>18.835125690535044</v>
      </c>
      <c r="H496" s="1">
        <f t="shared" ca="1" si="53"/>
        <v>7.1148917645887035</v>
      </c>
    </row>
    <row r="497" spans="1:8">
      <c r="A497">
        <v>453</v>
      </c>
      <c r="B497">
        <f t="shared" ca="1" si="50"/>
        <v>1.8694349309452685E-3</v>
      </c>
      <c r="C497" s="1">
        <f t="shared" ca="1" si="51"/>
        <v>154.26</v>
      </c>
      <c r="D497" s="1">
        <f t="shared" ca="1" si="56"/>
        <v>490.57679011763298</v>
      </c>
      <c r="E497" s="1">
        <f t="shared" ca="1" si="54"/>
        <v>588.07132005685003</v>
      </c>
      <c r="F497" s="1">
        <f t="shared" ca="1" si="52"/>
        <v>31.846409312708399</v>
      </c>
      <c r="G497" s="1">
        <f t="shared" ca="1" si="55"/>
        <v>22.024287970326</v>
      </c>
      <c r="H497" s="1">
        <f t="shared" ca="1" si="53"/>
        <v>8.2474320175743205</v>
      </c>
    </row>
    <row r="498" spans="1:8">
      <c r="A498">
        <v>454</v>
      </c>
      <c r="B498">
        <f t="shared" ca="1" si="50"/>
        <v>0.99409836753806913</v>
      </c>
      <c r="C498" s="1">
        <f t="shared" ca="1" si="51"/>
        <v>0.60781250431116973</v>
      </c>
      <c r="D498" s="1">
        <f t="shared" ca="1" si="56"/>
        <v>1.9549729995176222</v>
      </c>
      <c r="E498" s="1">
        <f t="shared" ca="1" si="54"/>
        <v>2.3438235579820343</v>
      </c>
      <c r="F498" s="1">
        <f t="shared" ca="1" si="52"/>
        <v>0.12542891887187579</v>
      </c>
      <c r="G498" s="1">
        <f t="shared" ca="1" si="55"/>
        <v>9.3541236889853607E-2</v>
      </c>
      <c r="H498" s="1">
        <f t="shared" ca="1" si="53"/>
        <v>3.6597954819686862E-2</v>
      </c>
    </row>
    <row r="499" spans="1:8">
      <c r="A499">
        <v>455</v>
      </c>
      <c r="B499">
        <f t="shared" ca="1" si="50"/>
        <v>0.49838975916365191</v>
      </c>
      <c r="C499" s="1">
        <f t="shared" ca="1" si="51"/>
        <v>51.660285785576335</v>
      </c>
      <c r="D499" s="1">
        <f t="shared" ca="1" si="56"/>
        <v>166.1624180014858</v>
      </c>
      <c r="E499" s="1">
        <f t="shared" ca="1" si="54"/>
        <v>199.21283643043895</v>
      </c>
      <c r="F499" s="1">
        <f t="shared" ca="1" si="52"/>
        <v>10.660012042921773</v>
      </c>
      <c r="G499" s="1">
        <f t="shared" ca="1" si="55"/>
        <v>7.9497131651291584</v>
      </c>
      <c r="H499" s="1">
        <f t="shared" ca="1" si="53"/>
        <v>3.1098093558900453</v>
      </c>
    </row>
    <row r="500" spans="1:8">
      <c r="A500">
        <v>456</v>
      </c>
      <c r="B500">
        <f t="shared" ca="1" si="50"/>
        <v>0.25706792780489807</v>
      </c>
      <c r="C500" s="1">
        <f t="shared" ca="1" si="51"/>
        <v>76.513750380492525</v>
      </c>
      <c r="D500" s="1">
        <f t="shared" ca="1" si="56"/>
        <v>246.10220658124348</v>
      </c>
      <c r="E500" s="1">
        <f t="shared" ca="1" si="54"/>
        <v>295.05299317084234</v>
      </c>
      <c r="F500" s="1">
        <f t="shared" ca="1" si="52"/>
        <v>15.788478341769176</v>
      </c>
      <c r="G500" s="1">
        <f t="shared" ca="1" si="55"/>
        <v>11.774270102740301</v>
      </c>
      <c r="H500" s="1">
        <f t="shared" ca="1" si="53"/>
        <v>4.6059161229097789</v>
      </c>
    </row>
    <row r="501" spans="1:8">
      <c r="A501">
        <v>457</v>
      </c>
      <c r="B501">
        <f t="shared" ca="1" si="50"/>
        <v>0.81939610414758368</v>
      </c>
      <c r="C501" s="1">
        <f t="shared" ca="1" si="51"/>
        <v>18.600202556135017</v>
      </c>
      <c r="D501" s="1">
        <f t="shared" ca="1" si="56"/>
        <v>59.826496355723691</v>
      </c>
      <c r="E501" s="1">
        <f t="shared" ca="1" si="54"/>
        <v>71.726242098292857</v>
      </c>
      <c r="F501" s="1">
        <f t="shared" ca="1" si="52"/>
        <v>3.8381252177762324</v>
      </c>
      <c r="G501" s="1">
        <f t="shared" ca="1" si="55"/>
        <v>2.8622868149604574</v>
      </c>
      <c r="H501" s="1">
        <f t="shared" ca="1" si="53"/>
        <v>1.1196878559716739</v>
      </c>
    </row>
    <row r="502" spans="1:8">
      <c r="A502">
        <v>458</v>
      </c>
      <c r="B502">
        <f t="shared" ca="1" si="50"/>
        <v>0.41544736942649008</v>
      </c>
      <c r="C502" s="1">
        <f t="shared" ca="1" si="51"/>
        <v>60.202429424813701</v>
      </c>
      <c r="D502" s="1">
        <f t="shared" ca="1" si="56"/>
        <v>193.63774861105549</v>
      </c>
      <c r="E502" s="1">
        <f t="shared" ca="1" si="54"/>
        <v>232.15312860407062</v>
      </c>
      <c r="F502" s="1">
        <f t="shared" ca="1" si="52"/>
        <v>12.422667531312054</v>
      </c>
      <c r="G502" s="1">
        <f t="shared" ca="1" si="55"/>
        <v>9.2642145938031639</v>
      </c>
      <c r="H502" s="1">
        <f t="shared" ca="1" si="53"/>
        <v>3.6240217247414992</v>
      </c>
    </row>
    <row r="503" spans="1:8">
      <c r="A503">
        <v>459</v>
      </c>
      <c r="B503">
        <f t="shared" ca="1" si="50"/>
        <v>0.87407648013449857</v>
      </c>
      <c r="C503" s="1">
        <f t="shared" ca="1" si="51"/>
        <v>12.968731996775702</v>
      </c>
      <c r="D503" s="1">
        <f t="shared" ca="1" si="56"/>
        <v>41.713184057188187</v>
      </c>
      <c r="E503" s="1">
        <f t="shared" ca="1" si="54"/>
        <v>50.010113989603951</v>
      </c>
      <c r="F503" s="1">
        <f t="shared" ca="1" si="52"/>
        <v>2.6760817181132843</v>
      </c>
      <c r="G503" s="1">
        <f t="shared" ca="1" si="55"/>
        <v>1.9956921510858638</v>
      </c>
      <c r="H503" s="1">
        <f t="shared" ca="1" si="53"/>
        <v>0.78068959760196233</v>
      </c>
    </row>
    <row r="504" spans="1:8">
      <c r="A504">
        <v>460</v>
      </c>
      <c r="B504">
        <f t="shared" ca="1" si="50"/>
        <v>0.95227548080067859</v>
      </c>
      <c r="C504" s="1">
        <f t="shared" ca="1" si="51"/>
        <v>4.9151046748221319</v>
      </c>
      <c r="D504" s="1">
        <f t="shared" ca="1" si="56"/>
        <v>15.809139051373563</v>
      </c>
      <c r="E504" s="1">
        <f t="shared" ca="1" si="54"/>
        <v>18.953642892101072</v>
      </c>
      <c r="F504" s="1">
        <f t="shared" ca="1" si="52"/>
        <v>1.0142306652599089</v>
      </c>
      <c r="G504" s="1">
        <f t="shared" ca="1" si="55"/>
        <v>0.75636569301881806</v>
      </c>
      <c r="H504" s="1">
        <f t="shared" ca="1" si="53"/>
        <v>0.29588449972862918</v>
      </c>
    </row>
    <row r="505" spans="1:8">
      <c r="A505">
        <v>461</v>
      </c>
      <c r="B505">
        <f t="shared" ca="1" si="50"/>
        <v>7.7057507525131186E-2</v>
      </c>
      <c r="C505" s="1">
        <f t="shared" ca="1" si="51"/>
        <v>98.437094364954632</v>
      </c>
      <c r="D505" s="1">
        <f t="shared" ca="1" si="56"/>
        <v>315.69373470751634</v>
      </c>
      <c r="E505" s="1">
        <f t="shared" ca="1" si="54"/>
        <v>378.45664863631839</v>
      </c>
      <c r="F505" s="1">
        <f t="shared" ca="1" si="52"/>
        <v>21.950351549326438</v>
      </c>
      <c r="G505" s="1">
        <f t="shared" ca="1" si="55"/>
        <v>15.210665656453033</v>
      </c>
      <c r="H505" s="1">
        <f t="shared" ca="1" si="53"/>
        <v>5.8857050924542937</v>
      </c>
    </row>
    <row r="506" spans="1:8">
      <c r="A506">
        <v>462</v>
      </c>
      <c r="B506">
        <f t="shared" ca="1" si="50"/>
        <v>0.69352590682476933</v>
      </c>
      <c r="C506" s="1">
        <f t="shared" ca="1" si="51"/>
        <v>31.563432924079116</v>
      </c>
      <c r="D506" s="1">
        <f t="shared" ca="1" si="56"/>
        <v>101.52200689376423</v>
      </c>
      <c r="E506" s="1">
        <f t="shared" ca="1" si="54"/>
        <v>121.71516921873356</v>
      </c>
      <c r="F506" s="1">
        <f t="shared" ca="1" si="52"/>
        <v>6.5130637484708771</v>
      </c>
      <c r="G506" s="1">
        <f t="shared" ca="1" si="55"/>
        <v>4.8571238908228462</v>
      </c>
      <c r="H506" s="1">
        <f t="shared" ca="1" si="53"/>
        <v>1.9000368733832751</v>
      </c>
    </row>
    <row r="507" spans="1:8">
      <c r="A507">
        <v>463</v>
      </c>
      <c r="B507">
        <f t="shared" ca="1" si="50"/>
        <v>0.5063796431152745</v>
      </c>
      <c r="C507" s="1">
        <f t="shared" ca="1" si="51"/>
        <v>50.837416603824046</v>
      </c>
      <c r="D507" s="1">
        <f t="shared" ca="1" si="56"/>
        <v>163.51570497816223</v>
      </c>
      <c r="E507" s="1">
        <f t="shared" ca="1" si="54"/>
        <v>196.03968079031472</v>
      </c>
      <c r="F507" s="1">
        <f t="shared" ca="1" si="52"/>
        <v>10.490214514256898</v>
      </c>
      <c r="G507" s="1">
        <f t="shared" ca="1" si="55"/>
        <v>7.8230865523364752</v>
      </c>
      <c r="H507" s="1">
        <f t="shared" ca="1" si="53"/>
        <v>3.0602750084154717</v>
      </c>
    </row>
    <row r="508" spans="1:8">
      <c r="A508">
        <v>464</v>
      </c>
      <c r="B508">
        <f t="shared" ca="1" si="50"/>
        <v>0.81132531920063</v>
      </c>
      <c r="C508" s="1">
        <f t="shared" ca="1" si="51"/>
        <v>19.431403640607556</v>
      </c>
      <c r="D508" s="1">
        <f t="shared" ca="1" si="56"/>
        <v>62.500008481417098</v>
      </c>
      <c r="E508" s="1">
        <f t="shared" ca="1" si="54"/>
        <v>74.931527297642333</v>
      </c>
      <c r="F508" s="1">
        <f t="shared" ca="1" si="52"/>
        <v>4.0096420191060069</v>
      </c>
      <c r="G508" s="1">
        <f t="shared" ca="1" si="55"/>
        <v>2.9901955764141679</v>
      </c>
      <c r="H508" s="1">
        <f t="shared" ca="1" si="53"/>
        <v>1.1697237599191617</v>
      </c>
    </row>
    <row r="509" spans="1:8">
      <c r="A509">
        <v>465</v>
      </c>
      <c r="B509">
        <f t="shared" ca="1" si="50"/>
        <v>0.63720892487546898</v>
      </c>
      <c r="C509" s="1">
        <f t="shared" ca="1" si="51"/>
        <v>37.363455694868925</v>
      </c>
      <c r="D509" s="1">
        <f t="shared" ca="1" si="56"/>
        <v>120.17745801946194</v>
      </c>
      <c r="E509" s="1">
        <f t="shared" ca="1" si="54"/>
        <v>144.08126990169868</v>
      </c>
      <c r="F509" s="1">
        <f t="shared" ca="1" si="52"/>
        <v>7.7098876841819362</v>
      </c>
      <c r="G509" s="1">
        <f t="shared" ca="1" si="55"/>
        <v>5.7496560865499653</v>
      </c>
      <c r="H509" s="1">
        <f t="shared" ca="1" si="53"/>
        <v>2.2491814879342042</v>
      </c>
    </row>
    <row r="510" spans="1:8">
      <c r="A510">
        <v>466</v>
      </c>
      <c r="B510">
        <f t="shared" ca="1" si="50"/>
        <v>0.64615878230434043</v>
      </c>
      <c r="C510" s="1">
        <f t="shared" ca="1" si="51"/>
        <v>36.441719921998349</v>
      </c>
      <c r="D510" s="1">
        <f t="shared" ca="1" si="56"/>
        <v>117.21274609657192</v>
      </c>
      <c r="E510" s="1">
        <f t="shared" ca="1" si="54"/>
        <v>140.52686401161512</v>
      </c>
      <c r="F510" s="1">
        <f t="shared" ca="1" si="52"/>
        <v>7.5196892179054977</v>
      </c>
      <c r="G510" s="1">
        <f t="shared" ca="1" si="55"/>
        <v>5.6078154618228346</v>
      </c>
      <c r="H510" s="1">
        <f t="shared" ca="1" si="53"/>
        <v>2.1936956572996329</v>
      </c>
    </row>
    <row r="511" spans="1:8">
      <c r="A511">
        <v>467</v>
      </c>
      <c r="B511">
        <f t="shared" ca="1" si="50"/>
        <v>0.25832609459734313</v>
      </c>
      <c r="C511" s="1">
        <f t="shared" ca="1" si="51"/>
        <v>76.384173194481349</v>
      </c>
      <c r="D511" s="1">
        <f t="shared" ca="1" si="56"/>
        <v>245.68542875878197</v>
      </c>
      <c r="E511" s="1">
        <f t="shared" ca="1" si="54"/>
        <v>294.55331644489274</v>
      </c>
      <c r="F511" s="1">
        <f t="shared" ca="1" si="52"/>
        <v>15.761740329890793</v>
      </c>
      <c r="G511" s="1">
        <f t="shared" ca="1" si="55"/>
        <v>11.754330213723115</v>
      </c>
      <c r="H511" s="1">
        <f t="shared" ca="1" si="53"/>
        <v>4.5981159506600573</v>
      </c>
    </row>
    <row r="512" spans="1:8">
      <c r="A512">
        <v>468</v>
      </c>
      <c r="B512">
        <f t="shared" ca="1" si="50"/>
        <v>3.8394982185300242E-3</v>
      </c>
      <c r="C512" s="1">
        <f t="shared" ca="1" si="51"/>
        <v>154.26</v>
      </c>
      <c r="D512" s="1">
        <f t="shared" ca="1" si="56"/>
        <v>490.57679011763298</v>
      </c>
      <c r="E512" s="1">
        <f t="shared" ca="1" si="54"/>
        <v>588.07132005685003</v>
      </c>
      <c r="F512" s="1">
        <f t="shared" ca="1" si="52"/>
        <v>31.846409312708399</v>
      </c>
      <c r="G512" s="1">
        <f t="shared" ca="1" si="55"/>
        <v>22.024287970326</v>
      </c>
      <c r="H512" s="1">
        <f t="shared" ca="1" si="53"/>
        <v>8.2474320175743205</v>
      </c>
    </row>
    <row r="513" spans="1:8">
      <c r="A513">
        <v>469</v>
      </c>
      <c r="B513">
        <f t="shared" ca="1" si="50"/>
        <v>0.56160286003858073</v>
      </c>
      <c r="C513" s="1">
        <f t="shared" ca="1" si="51"/>
        <v>45.150039465613951</v>
      </c>
      <c r="D513" s="1">
        <f t="shared" ca="1" si="56"/>
        <v>145.22257227364341</v>
      </c>
      <c r="E513" s="1">
        <f t="shared" ca="1" si="54"/>
        <v>174.10796522260515</v>
      </c>
      <c r="F513" s="1">
        <f t="shared" ca="1" si="52"/>
        <v>9.3166347957933446</v>
      </c>
      <c r="G513" s="1">
        <f t="shared" ca="1" si="55"/>
        <v>6.9478887461037884</v>
      </c>
      <c r="H513" s="1">
        <f t="shared" ca="1" si="53"/>
        <v>2.7179113355129036</v>
      </c>
    </row>
    <row r="514" spans="1:8">
      <c r="A514">
        <v>470</v>
      </c>
      <c r="B514">
        <f t="shared" ca="1" si="50"/>
        <v>9.5202587271821848E-2</v>
      </c>
      <c r="C514" s="1">
        <f t="shared" ca="1" si="51"/>
        <v>93.891751888408621</v>
      </c>
      <c r="D514" s="1">
        <f t="shared" ca="1" si="56"/>
        <v>301.80443414008533</v>
      </c>
      <c r="E514" s="1">
        <f t="shared" ca="1" si="54"/>
        <v>361.82837566970579</v>
      </c>
      <c r="F514" s="1">
        <f t="shared" ca="1" si="52"/>
        <v>19.71691898734645</v>
      </c>
      <c r="G514" s="1">
        <f t="shared" ca="1" si="55"/>
        <v>14.461589858447645</v>
      </c>
      <c r="H514" s="1">
        <f t="shared" ca="1" si="53"/>
        <v>5.643671378583111</v>
      </c>
    </row>
    <row r="515" spans="1:8">
      <c r="A515">
        <v>471</v>
      </c>
      <c r="B515">
        <f t="shared" ca="1" si="50"/>
        <v>0.60692304604966185</v>
      </c>
      <c r="C515" s="1">
        <f t="shared" ca="1" si="51"/>
        <v>40.482564367652564</v>
      </c>
      <c r="D515" s="1">
        <f t="shared" ca="1" si="56"/>
        <v>130.20989783916482</v>
      </c>
      <c r="E515" s="1">
        <f t="shared" ca="1" si="54"/>
        <v>156.1092052001473</v>
      </c>
      <c r="F515" s="1">
        <f t="shared" ca="1" si="52"/>
        <v>8.3535099707135938</v>
      </c>
      <c r="G515" s="1">
        <f t="shared" ca="1" si="55"/>
        <v>6.2296378077341377</v>
      </c>
      <c r="H515" s="1">
        <f t="shared" ca="1" si="53"/>
        <v>2.4369428189389803</v>
      </c>
    </row>
    <row r="516" spans="1:8">
      <c r="A516">
        <v>472</v>
      </c>
      <c r="B516">
        <f t="shared" ca="1" si="50"/>
        <v>0.71561206346732131</v>
      </c>
      <c r="C516" s="1">
        <f t="shared" ca="1" si="51"/>
        <v>29.288804437038479</v>
      </c>
      <c r="D516" s="1">
        <f t="shared" ca="1" si="56"/>
        <v>94.205790691508184</v>
      </c>
      <c r="E516" s="1">
        <f t="shared" ca="1" si="54"/>
        <v>112.94372611100871</v>
      </c>
      <c r="F516" s="1">
        <f t="shared" ca="1" si="52"/>
        <v>6.0436983811742646</v>
      </c>
      <c r="G516" s="1">
        <f t="shared" ca="1" si="55"/>
        <v>4.507094375727446</v>
      </c>
      <c r="H516" s="1">
        <f t="shared" ca="1" si="53"/>
        <v>1.763110809859179</v>
      </c>
    </row>
    <row r="517" spans="1:8">
      <c r="A517">
        <v>473</v>
      </c>
      <c r="B517">
        <f t="shared" ca="1" si="50"/>
        <v>1.7955902485471742E-2</v>
      </c>
      <c r="C517" s="1">
        <f t="shared" ca="1" si="51"/>
        <v>137.7440608147875</v>
      </c>
      <c r="D517" s="1">
        <f t="shared" ca="1" si="56"/>
        <v>437.80805122714293</v>
      </c>
      <c r="E517" s="1">
        <f t="shared" ca="1" si="54"/>
        <v>524.79280536768351</v>
      </c>
      <c r="F517" s="1">
        <f t="shared" ca="1" si="52"/>
        <v>29.517476807492134</v>
      </c>
      <c r="G517" s="1">
        <f t="shared" ca="1" si="55"/>
        <v>20.000101537499368</v>
      </c>
      <c r="H517" s="1">
        <f t="shared" ca="1" si="53"/>
        <v>7.5236139113413749</v>
      </c>
    </row>
    <row r="518" spans="1:8">
      <c r="A518">
        <v>474</v>
      </c>
      <c r="B518">
        <f t="shared" ca="1" si="50"/>
        <v>0.47527088059930689</v>
      </c>
      <c r="C518" s="1">
        <f t="shared" ca="1" si="51"/>
        <v>54.04127314439895</v>
      </c>
      <c r="D518" s="1">
        <f t="shared" ca="1" si="56"/>
        <v>173.82073160796338</v>
      </c>
      <c r="E518" s="1">
        <f t="shared" ca="1" si="54"/>
        <v>208.39442158911964</v>
      </c>
      <c r="F518" s="1">
        <f t="shared" ca="1" si="52"/>
        <v>11.151324366041553</v>
      </c>
      <c r="G518" s="1">
        <f t="shared" ca="1" si="55"/>
        <v>8.316109636203544</v>
      </c>
      <c r="H518" s="1">
        <f t="shared" ca="1" si="53"/>
        <v>3.2531379162249134</v>
      </c>
    </row>
    <row r="519" spans="1:8">
      <c r="A519">
        <v>475</v>
      </c>
      <c r="B519">
        <f t="shared" ca="1" si="50"/>
        <v>0.44947649239712706</v>
      </c>
      <c r="C519" s="1">
        <f t="shared" ca="1" si="51"/>
        <v>56.697808238305797</v>
      </c>
      <c r="D519" s="1">
        <f t="shared" ca="1" si="56"/>
        <v>182.36532920121238</v>
      </c>
      <c r="E519" s="1">
        <f t="shared" ca="1" si="54"/>
        <v>218.63857643578413</v>
      </c>
      <c r="F519" s="1">
        <f t="shared" ca="1" si="52"/>
        <v>11.699495452964923</v>
      </c>
      <c r="G519" s="1">
        <f t="shared" ca="1" si="55"/>
        <v>8.7249085658098071</v>
      </c>
      <c r="H519" s="1">
        <f t="shared" ca="1" si="53"/>
        <v>3.4130536541551666</v>
      </c>
    </row>
    <row r="520" spans="1:8">
      <c r="A520">
        <v>476</v>
      </c>
      <c r="B520">
        <f t="shared" ca="1" si="50"/>
        <v>0.58375110970368138</v>
      </c>
      <c r="C520" s="1">
        <f t="shared" ca="1" si="51"/>
        <v>42.869016087863194</v>
      </c>
      <c r="D520" s="1">
        <f t="shared" ca="1" si="56"/>
        <v>137.88578726057204</v>
      </c>
      <c r="E520" s="1">
        <f t="shared" ca="1" si="54"/>
        <v>165.31186207902672</v>
      </c>
      <c r="F520" s="1">
        <f t="shared" ca="1" si="52"/>
        <v>8.8459498546656317</v>
      </c>
      <c r="G520" s="1">
        <f t="shared" ca="1" si="55"/>
        <v>6.596875158001696</v>
      </c>
      <c r="H520" s="1">
        <f t="shared" ca="1" si="53"/>
        <v>2.5806003180428809</v>
      </c>
    </row>
    <row r="521" spans="1:8">
      <c r="A521">
        <v>477</v>
      </c>
      <c r="B521">
        <f t="shared" ca="1" si="50"/>
        <v>0.56561639787270901</v>
      </c>
      <c r="C521" s="1">
        <f t="shared" ca="1" si="51"/>
        <v>44.73668970815843</v>
      </c>
      <c r="D521" s="1">
        <f t="shared" ca="1" si="56"/>
        <v>143.89305573504186</v>
      </c>
      <c r="E521" s="1">
        <f t="shared" ca="1" si="54"/>
        <v>172.51400211972054</v>
      </c>
      <c r="F521" s="1">
        <f t="shared" ca="1" si="52"/>
        <v>9.2313408403912067</v>
      </c>
      <c r="G521" s="1">
        <f t="shared" ca="1" si="55"/>
        <v>6.8842807257209975</v>
      </c>
      <c r="H521" s="1">
        <f t="shared" ca="1" si="53"/>
        <v>2.6930288742804493</v>
      </c>
    </row>
    <row r="522" spans="1:8">
      <c r="A522">
        <v>478</v>
      </c>
      <c r="B522">
        <f t="shared" ca="1" si="50"/>
        <v>6.0274506729163235E-3</v>
      </c>
      <c r="C522" s="1">
        <f t="shared" ca="1" si="51"/>
        <v>153.09281603556704</v>
      </c>
      <c r="D522" s="1">
        <f t="shared" ca="1" si="56"/>
        <v>486.68600623723722</v>
      </c>
      <c r="E522" s="1">
        <f t="shared" ca="1" si="54"/>
        <v>583.40239673937867</v>
      </c>
      <c r="F522" s="1">
        <f t="shared" ca="1" si="52"/>
        <v>31.590756903460345</v>
      </c>
      <c r="G522" s="1">
        <f t="shared" ca="1" si="55"/>
        <v>21.850080254284805</v>
      </c>
      <c r="H522" s="1">
        <f t="shared" ca="1" si="53"/>
        <v>8.183507939871479</v>
      </c>
    </row>
    <row r="523" spans="1:8">
      <c r="A523">
        <v>479</v>
      </c>
      <c r="B523">
        <f t="shared" ca="1" si="50"/>
        <v>0.49510808168798603</v>
      </c>
      <c r="C523" s="1">
        <f t="shared" ca="1" si="51"/>
        <v>51.99826206602377</v>
      </c>
      <c r="D523" s="1">
        <f t="shared" ca="1" si="56"/>
        <v>167.2494999373165</v>
      </c>
      <c r="E523" s="1">
        <f t="shared" ca="1" si="54"/>
        <v>200.51614364416429</v>
      </c>
      <c r="F523" s="1">
        <f t="shared" ca="1" si="52"/>
        <v>10.729752821213063</v>
      </c>
      <c r="G523" s="1">
        <f t="shared" ca="1" si="55"/>
        <v>8.0017223939912654</v>
      </c>
      <c r="H523" s="1">
        <f t="shared" ca="1" si="53"/>
        <v>3.1301545515603908</v>
      </c>
    </row>
    <row r="524" spans="1:8">
      <c r="A524">
        <v>480</v>
      </c>
      <c r="B524">
        <f t="shared" ca="1" si="50"/>
        <v>0.93263053857667921</v>
      </c>
      <c r="C524" s="1">
        <f t="shared" ca="1" si="51"/>
        <v>6.938315228481116</v>
      </c>
      <c r="D524" s="1">
        <f t="shared" ca="1" si="56"/>
        <v>22.316683433934884</v>
      </c>
      <c r="E524" s="1">
        <f t="shared" ca="1" si="54"/>
        <v>26.755565873140029</v>
      </c>
      <c r="F524" s="1">
        <f t="shared" ca="1" si="52"/>
        <v>1.4317164085568379</v>
      </c>
      <c r="G524" s="1">
        <f t="shared" ca="1" si="55"/>
        <v>1.0677059461933123</v>
      </c>
      <c r="H524" s="1">
        <f t="shared" ca="1" si="53"/>
        <v>0.41767593000890102</v>
      </c>
    </row>
    <row r="525" spans="1:8">
      <c r="A525">
        <v>481</v>
      </c>
      <c r="B525">
        <f t="shared" ca="1" si="50"/>
        <v>4.3777196145169617E-2</v>
      </c>
      <c r="C525" s="1">
        <f t="shared" ca="1" si="51"/>
        <v>106.77381236563501</v>
      </c>
      <c r="D525" s="1">
        <f t="shared" ca="1" si="56"/>
        <v>341.16842284264476</v>
      </c>
      <c r="E525" s="1">
        <f t="shared" ca="1" si="54"/>
        <v>408.95494954022013</v>
      </c>
      <c r="F525" s="1">
        <f t="shared" ca="1" si="52"/>
        <v>26.046741983895661</v>
      </c>
      <c r="G525" s="1">
        <f t="shared" ca="1" si="55"/>
        <v>16.584562941713472</v>
      </c>
      <c r="H525" s="1">
        <f t="shared" ca="1" si="53"/>
        <v>6.3296247375884285</v>
      </c>
    </row>
    <row r="526" spans="1:8">
      <c r="A526">
        <v>482</v>
      </c>
      <c r="B526">
        <f t="shared" ca="1" si="50"/>
        <v>0.9534346746938015</v>
      </c>
      <c r="C526" s="1">
        <f t="shared" ca="1" si="51"/>
        <v>4.7957205966425533</v>
      </c>
      <c r="D526" s="1">
        <f t="shared" ca="1" si="56"/>
        <v>15.425146794156547</v>
      </c>
      <c r="E526" s="1">
        <f t="shared" ca="1" si="54"/>
        <v>18.493272921494224</v>
      </c>
      <c r="F526" s="1">
        <f t="shared" ca="1" si="52"/>
        <v>0.98959598226733547</v>
      </c>
      <c r="G526" s="1">
        <f t="shared" ca="1" si="55"/>
        <v>0.73799436282868314</v>
      </c>
      <c r="H526" s="1">
        <f t="shared" ca="1" si="53"/>
        <v>0.28869792312250819</v>
      </c>
    </row>
    <row r="527" spans="1:8">
      <c r="A527">
        <v>483</v>
      </c>
      <c r="B527">
        <f t="shared" ca="1" si="50"/>
        <v>0.40438340089837088</v>
      </c>
      <c r="C527" s="1">
        <f t="shared" ca="1" si="51"/>
        <v>61.341895127293348</v>
      </c>
      <c r="D527" s="1">
        <f t="shared" ca="1" si="56"/>
        <v>197.30277676044034</v>
      </c>
      <c r="E527" s="1">
        <f t="shared" ca="1" si="54"/>
        <v>236.54714663358516</v>
      </c>
      <c r="F527" s="1">
        <f t="shared" ca="1" si="52"/>
        <v>12.657794164524176</v>
      </c>
      <c r="G527" s="1">
        <f t="shared" ca="1" si="55"/>
        <v>9.4395604270146798</v>
      </c>
      <c r="H527" s="1">
        <f t="shared" ca="1" si="53"/>
        <v>3.6926142681173393</v>
      </c>
    </row>
    <row r="528" spans="1:8">
      <c r="A528">
        <v>484</v>
      </c>
      <c r="B528">
        <f t="shared" ca="1" si="50"/>
        <v>0.96319676133838139</v>
      </c>
      <c r="C528" s="1">
        <f t="shared" ca="1" si="51"/>
        <v>3.7903342483478326</v>
      </c>
      <c r="D528" s="1">
        <f t="shared" ca="1" si="56"/>
        <v>12.191377441126633</v>
      </c>
      <c r="E528" s="1">
        <f t="shared" ca="1" si="54"/>
        <v>14.61629291988362</v>
      </c>
      <c r="F528" s="1">
        <f t="shared" ca="1" si="52"/>
        <v>0.78213637498162214</v>
      </c>
      <c r="G528" s="1">
        <f t="shared" ca="1" si="55"/>
        <v>0.58328123143948396</v>
      </c>
      <c r="H528" s="1">
        <f t="shared" ca="1" si="53"/>
        <v>0.22817656951369791</v>
      </c>
    </row>
    <row r="529" spans="1:8">
      <c r="A529">
        <v>485</v>
      </c>
      <c r="B529">
        <f t="shared" ca="1" si="50"/>
        <v>0.9079679924047227</v>
      </c>
      <c r="C529" s="1">
        <f t="shared" ca="1" si="51"/>
        <v>9.478283181873536</v>
      </c>
      <c r="D529" s="1">
        <f t="shared" ca="1" si="56"/>
        <v>30.486349293522267</v>
      </c>
      <c r="E529" s="1">
        <f t="shared" ca="1" si="54"/>
        <v>36.550213449901889</v>
      </c>
      <c r="F529" s="1">
        <f t="shared" ca="1" si="52"/>
        <v>1.9558340823474758</v>
      </c>
      <c r="G529" s="1">
        <f t="shared" ca="1" si="55"/>
        <v>1.4585670279695755</v>
      </c>
      <c r="H529" s="1">
        <f t="shared" ca="1" si="53"/>
        <v>0.57057466284235048</v>
      </c>
    </row>
    <row r="530" spans="1:8">
      <c r="A530">
        <v>486</v>
      </c>
      <c r="B530">
        <f t="shared" ca="1" si="50"/>
        <v>0.18361505744471751</v>
      </c>
      <c r="C530" s="1">
        <f t="shared" ca="1" si="51"/>
        <v>84.078579068444128</v>
      </c>
      <c r="D530" s="1">
        <f t="shared" ca="1" si="56"/>
        <v>270.43405792725798</v>
      </c>
      <c r="E530" s="1">
        <f t="shared" ca="1" si="54"/>
        <v>324.22455451991414</v>
      </c>
      <c r="F530" s="1">
        <f t="shared" ca="1" si="52"/>
        <v>17.349466703554739</v>
      </c>
      <c r="G530" s="1">
        <f t="shared" ca="1" si="55"/>
        <v>12.938378146101915</v>
      </c>
      <c r="H530" s="1">
        <f t="shared" ca="1" si="53"/>
        <v>5.0612969551541678</v>
      </c>
    </row>
    <row r="531" spans="1:8">
      <c r="A531">
        <v>487</v>
      </c>
      <c r="B531">
        <f t="shared" ca="1" si="50"/>
        <v>0.45303923288132819</v>
      </c>
      <c r="C531" s="1">
        <f t="shared" ca="1" si="51"/>
        <v>56.330885594024465</v>
      </c>
      <c r="D531" s="1">
        <f t="shared" ca="1" si="56"/>
        <v>181.18514289370759</v>
      </c>
      <c r="E531" s="1">
        <f t="shared" ca="1" si="54"/>
        <v>217.22364598996134</v>
      </c>
      <c r="F531" s="1">
        <f t="shared" ca="1" si="52"/>
        <v>11.623781646211972</v>
      </c>
      <c r="G531" s="1">
        <f t="shared" ca="1" si="55"/>
        <v>8.6684449472509755</v>
      </c>
      <c r="H531" s="1">
        <f t="shared" ca="1" si="53"/>
        <v>3.3909659710079905</v>
      </c>
    </row>
    <row r="532" spans="1:8">
      <c r="A532">
        <v>488</v>
      </c>
      <c r="B532">
        <f t="shared" ca="1" si="50"/>
        <v>0.67028712126381773</v>
      </c>
      <c r="C532" s="1">
        <f t="shared" ca="1" si="51"/>
        <v>33.956769369919947</v>
      </c>
      <c r="D532" s="1">
        <f t="shared" ca="1" si="56"/>
        <v>109.22004065280319</v>
      </c>
      <c r="E532" s="1">
        <f t="shared" ca="1" si="54"/>
        <v>130.9443750393508</v>
      </c>
      <c r="F532" s="1">
        <f t="shared" ca="1" si="52"/>
        <v>7.006924282780794</v>
      </c>
      <c r="G532" s="1">
        <f t="shared" ca="1" si="55"/>
        <v>5.2254206919799167</v>
      </c>
      <c r="H532" s="1">
        <f t="shared" ca="1" si="53"/>
        <v>2.0441088130801597</v>
      </c>
    </row>
    <row r="533" spans="1:8">
      <c r="A533">
        <v>489</v>
      </c>
      <c r="B533">
        <f t="shared" ca="1" si="50"/>
        <v>0.4383592205037109</v>
      </c>
      <c r="C533" s="1">
        <f t="shared" ca="1" si="51"/>
        <v>57.842763594559159</v>
      </c>
      <c r="D533" s="1">
        <f t="shared" ca="1" si="56"/>
        <v>186.04801451708084</v>
      </c>
      <c r="E533" s="1">
        <f t="shared" ca="1" si="54"/>
        <v>223.05376371822572</v>
      </c>
      <c r="F533" s="1">
        <f t="shared" ca="1" si="52"/>
        <v>11.93575486604616</v>
      </c>
      <c r="G533" s="1">
        <f t="shared" ca="1" si="55"/>
        <v>8.9010991703144828</v>
      </c>
      <c r="H533" s="1">
        <f t="shared" ca="1" si="53"/>
        <v>3.481976658828589</v>
      </c>
    </row>
    <row r="534" spans="1:8">
      <c r="A534">
        <v>490</v>
      </c>
      <c r="B534">
        <f t="shared" ca="1" si="50"/>
        <v>0.55018239595901153</v>
      </c>
      <c r="C534" s="1">
        <f t="shared" ca="1" si="51"/>
        <v>46.326220244870207</v>
      </c>
      <c r="D534" s="1">
        <f t="shared" ca="1" si="56"/>
        <v>149.00569242843068</v>
      </c>
      <c r="E534" s="1">
        <f t="shared" ca="1" si="54"/>
        <v>178.6435642658881</v>
      </c>
      <c r="F534" s="1">
        <f t="shared" ca="1" si="52"/>
        <v>9.5593375169665382</v>
      </c>
      <c r="G534" s="1">
        <f t="shared" ca="1" si="55"/>
        <v>7.1288844516324872</v>
      </c>
      <c r="H534" s="1">
        <f t="shared" ca="1" si="53"/>
        <v>2.7887140204409344</v>
      </c>
    </row>
    <row r="535" spans="1:8">
      <c r="A535">
        <v>491</v>
      </c>
      <c r="B535">
        <f t="shared" ca="1" si="50"/>
        <v>0.59701469103216276</v>
      </c>
      <c r="C535" s="1">
        <f t="shared" ca="1" si="51"/>
        <v>41.503014731528609</v>
      </c>
      <c r="D535" s="1">
        <f t="shared" ca="1" si="56"/>
        <v>133.49211976170008</v>
      </c>
      <c r="E535" s="1">
        <f t="shared" ca="1" si="54"/>
        <v>160.04427519596939</v>
      </c>
      <c r="F535" s="1">
        <f t="shared" ca="1" si="52"/>
        <v>8.5640780096603795</v>
      </c>
      <c r="G535" s="1">
        <f t="shared" ca="1" si="55"/>
        <v>6.3866690539712616</v>
      </c>
      <c r="H535" s="1">
        <f t="shared" ca="1" si="53"/>
        <v>2.4983709827658855</v>
      </c>
    </row>
    <row r="536" spans="1:8">
      <c r="A536">
        <v>492</v>
      </c>
      <c r="B536">
        <f t="shared" ca="1" si="50"/>
        <v>0.35703885816921754</v>
      </c>
      <c r="C536" s="1">
        <f t="shared" ca="1" si="51"/>
        <v>66.217856451870901</v>
      </c>
      <c r="D536" s="1">
        <f t="shared" ca="1" si="56"/>
        <v>212.98603556410569</v>
      </c>
      <c r="E536" s="1">
        <f t="shared" ca="1" si="54"/>
        <v>255.34987314372518</v>
      </c>
      <c r="F536" s="1">
        <f t="shared" ca="1" si="52"/>
        <v>13.66393973558047</v>
      </c>
      <c r="G536" s="1">
        <f t="shared" ca="1" si="55"/>
        <v>10.189894113500035</v>
      </c>
      <c r="H536" s="1">
        <f t="shared" ca="1" si="53"/>
        <v>3.986133053217392</v>
      </c>
    </row>
    <row r="537" spans="1:8">
      <c r="A537">
        <v>493</v>
      </c>
      <c r="B537">
        <f t="shared" ca="1" si="50"/>
        <v>0.10847516006312408</v>
      </c>
      <c r="C537" s="1">
        <f t="shared" ca="1" si="51"/>
        <v>91.817152776111811</v>
      </c>
      <c r="D537" s="1">
        <f t="shared" ca="1" si="56"/>
        <v>295.32475047989175</v>
      </c>
      <c r="E537" s="1">
        <f t="shared" ca="1" si="54"/>
        <v>354.06611299791177</v>
      </c>
      <c r="F537" s="1">
        <f t="shared" ca="1" si="52"/>
        <v>18.946307027741909</v>
      </c>
      <c r="G537" s="1">
        <f t="shared" ca="1" si="55"/>
        <v>14.129222812761775</v>
      </c>
      <c r="H537" s="1">
        <f t="shared" ca="1" si="53"/>
        <v>5.5271367356365584</v>
      </c>
    </row>
    <row r="538" spans="1:8">
      <c r="A538">
        <v>494</v>
      </c>
      <c r="B538">
        <f t="shared" ca="1" si="50"/>
        <v>0.97329303868868378</v>
      </c>
      <c r="C538" s="1">
        <f t="shared" ca="1" si="51"/>
        <v>2.7505299743069997</v>
      </c>
      <c r="D538" s="1">
        <f t="shared" ca="1" si="56"/>
        <v>8.8469047414067177</v>
      </c>
      <c r="E538" s="1">
        <f t="shared" ca="1" si="54"/>
        <v>10.606590199249695</v>
      </c>
      <c r="F538" s="1">
        <f t="shared" ca="1" si="52"/>
        <v>0.56757469258717919</v>
      </c>
      <c r="G538" s="1">
        <f t="shared" ca="1" si="55"/>
        <v>0.42327172311306605</v>
      </c>
      <c r="H538" s="1">
        <f t="shared" ca="1" si="53"/>
        <v>0.16558335620826803</v>
      </c>
    </row>
    <row r="539" spans="1:8">
      <c r="A539">
        <v>495</v>
      </c>
      <c r="B539">
        <f t="shared" ca="1" si="50"/>
        <v>0.13267959575543398</v>
      </c>
      <c r="C539" s="1">
        <f t="shared" ca="1" si="51"/>
        <v>89.324365106916417</v>
      </c>
      <c r="D539" s="1">
        <f t="shared" ca="1" si="56"/>
        <v>287.30683738416712</v>
      </c>
      <c r="E539" s="1">
        <f t="shared" ca="1" si="54"/>
        <v>344.45340246317613</v>
      </c>
      <c r="F539" s="1">
        <f t="shared" ca="1" si="52"/>
        <v>18.431924918043372</v>
      </c>
      <c r="G539" s="1">
        <f t="shared" ca="1" si="55"/>
        <v>13.745622033972856</v>
      </c>
      <c r="H539" s="1">
        <f t="shared" ca="1" si="53"/>
        <v>5.3770781196080533</v>
      </c>
    </row>
    <row r="540" spans="1:8">
      <c r="A540">
        <v>496</v>
      </c>
      <c r="B540">
        <f t="shared" ca="1" si="50"/>
        <v>0.6090697649854413</v>
      </c>
      <c r="C540" s="1">
        <f t="shared" ca="1" si="51"/>
        <v>40.261476193552333</v>
      </c>
      <c r="D540" s="1">
        <f t="shared" ca="1" si="56"/>
        <v>129.49878000577138</v>
      </c>
      <c r="E540" s="1">
        <f t="shared" ca="1" si="54"/>
        <v>155.256642967695</v>
      </c>
      <c r="F540" s="1">
        <f t="shared" ca="1" si="52"/>
        <v>8.307888836259016</v>
      </c>
      <c r="G540" s="1">
        <f t="shared" ca="1" si="55"/>
        <v>6.1956158182907917</v>
      </c>
      <c r="H540" s="1">
        <f t="shared" ca="1" si="53"/>
        <v>2.4236339495813031</v>
      </c>
    </row>
    <row r="541" spans="1:8">
      <c r="A541">
        <v>497</v>
      </c>
      <c r="B541">
        <f t="shared" ca="1" si="50"/>
        <v>2.1505472176991725E-2</v>
      </c>
      <c r="C541" s="1">
        <f t="shared" ca="1" si="51"/>
        <v>132.90954689493728</v>
      </c>
      <c r="D541" s="1">
        <f t="shared" ca="1" si="56"/>
        <v>422.7125693175883</v>
      </c>
      <c r="E541" s="1">
        <f t="shared" ca="1" si="54"/>
        <v>506.69780777085464</v>
      </c>
      <c r="F541" s="1">
        <f t="shared" ca="1" si="52"/>
        <v>29.033477443949742</v>
      </c>
      <c r="G541" s="1">
        <f t="shared" ca="1" si="55"/>
        <v>19.475235446873892</v>
      </c>
      <c r="H541" s="1">
        <f t="shared" ca="1" si="53"/>
        <v>7.3394689817472285</v>
      </c>
    </row>
    <row r="542" spans="1:8">
      <c r="A542">
        <v>498</v>
      </c>
      <c r="B542">
        <f t="shared" ca="1" si="50"/>
        <v>6.7361256749097764E-3</v>
      </c>
      <c r="C542" s="1">
        <f t="shared" ca="1" si="51"/>
        <v>152.28776123330249</v>
      </c>
      <c r="D542" s="1">
        <f t="shared" ca="1" si="56"/>
        <v>484.0023725145893</v>
      </c>
      <c r="E542" s="1">
        <f t="shared" ca="1" si="54"/>
        <v>580.18204823162534</v>
      </c>
      <c r="F542" s="1">
        <f t="shared" ca="1" si="52"/>
        <v>31.41442291837545</v>
      </c>
      <c r="G542" s="1">
        <f t="shared" ca="1" si="55"/>
        <v>21.729922025021743</v>
      </c>
      <c r="H542" s="1">
        <f t="shared" ca="1" si="53"/>
        <v>8.1394168734216361</v>
      </c>
    </row>
    <row r="543" spans="1:8">
      <c r="A543">
        <v>499</v>
      </c>
      <c r="B543">
        <f t="shared" ca="1" si="50"/>
        <v>0.27939146992659358</v>
      </c>
      <c r="C543" s="1">
        <f t="shared" ca="1" si="51"/>
        <v>74.214673829354155</v>
      </c>
      <c r="D543" s="1">
        <f t="shared" ca="1" si="56"/>
        <v>238.70735453859209</v>
      </c>
      <c r="E543" s="1">
        <f t="shared" ca="1" si="54"/>
        <v>286.18727321547004</v>
      </c>
      <c r="F543" s="1">
        <f t="shared" ca="1" si="52"/>
        <v>15.314068161814014</v>
      </c>
      <c r="G543" s="1">
        <f t="shared" ca="1" si="55"/>
        <v>11.420478415461659</v>
      </c>
      <c r="H543" s="1">
        <f t="shared" ca="1" si="53"/>
        <v>4.4675183565573935</v>
      </c>
    </row>
    <row r="544" spans="1:8">
      <c r="A544">
        <v>500</v>
      </c>
      <c r="B544">
        <f t="shared" ca="1" si="50"/>
        <v>0.70765850673643538</v>
      </c>
      <c r="C544" s="1">
        <f t="shared" ca="1" si="51"/>
        <v>30.10793231909431</v>
      </c>
      <c r="D544" s="1">
        <f t="shared" ca="1" si="56"/>
        <v>96.840470032139109</v>
      </c>
      <c r="E544" s="1">
        <f t="shared" ca="1" si="54"/>
        <v>116.10245451713701</v>
      </c>
      <c r="F544" s="1">
        <f t="shared" ca="1" si="52"/>
        <v>6.2127238995894682</v>
      </c>
      <c r="G544" s="1">
        <f t="shared" ca="1" si="55"/>
        <v>4.6331452613954411</v>
      </c>
      <c r="H544" s="1">
        <f t="shared" ca="1" si="53"/>
        <v>1.812419941900631</v>
      </c>
    </row>
    <row r="545" spans="1:8">
      <c r="A545">
        <v>501</v>
      </c>
      <c r="B545">
        <f t="shared" ca="1" si="50"/>
        <v>0.15343573830474111</v>
      </c>
      <c r="C545" s="1">
        <f t="shared" ca="1" si="51"/>
        <v>87.186713278767698</v>
      </c>
      <c r="D545" s="1">
        <f t="shared" ca="1" si="56"/>
        <v>280.43119899794812</v>
      </c>
      <c r="E545" s="1">
        <f t="shared" ca="1" si="54"/>
        <v>336.21016999617871</v>
      </c>
      <c r="F545" s="1">
        <f t="shared" ca="1" si="52"/>
        <v>17.990824430122959</v>
      </c>
      <c r="G545" s="1">
        <f t="shared" ca="1" si="55"/>
        <v>13.416671070282439</v>
      </c>
      <c r="H545" s="1">
        <f t="shared" ca="1" si="53"/>
        <v>5.2483976552240419</v>
      </c>
    </row>
    <row r="546" spans="1:8">
      <c r="A546">
        <v>502</v>
      </c>
      <c r="B546">
        <f t="shared" ca="1" si="50"/>
        <v>0.45348863378265136</v>
      </c>
      <c r="C546" s="1">
        <f t="shared" ca="1" si="51"/>
        <v>56.28460229952487</v>
      </c>
      <c r="D546" s="1">
        <f t="shared" ca="1" si="56"/>
        <v>181.03627524739042</v>
      </c>
      <c r="E546" s="1">
        <f t="shared" ca="1" si="54"/>
        <v>217.04516792778361</v>
      </c>
      <c r="F546" s="1">
        <f t="shared" ca="1" si="52"/>
        <v>11.614231174279405</v>
      </c>
      <c r="G546" s="1">
        <f t="shared" ca="1" si="55"/>
        <v>8.6613226768569263</v>
      </c>
      <c r="H546" s="1">
        <f t="shared" ca="1" si="53"/>
        <v>3.3881798503914315</v>
      </c>
    </row>
    <row r="547" spans="1:8">
      <c r="A547">
        <v>503</v>
      </c>
      <c r="B547">
        <f t="shared" ca="1" si="50"/>
        <v>0.39520624034564256</v>
      </c>
      <c r="C547" s="1">
        <f t="shared" ca="1" si="51"/>
        <v>62.28704059380533</v>
      </c>
      <c r="D547" s="1">
        <f t="shared" ca="1" si="56"/>
        <v>200.34278466282103</v>
      </c>
      <c r="E547" s="1">
        <f t="shared" ca="1" si="54"/>
        <v>240.19182519769646</v>
      </c>
      <c r="F547" s="1">
        <f t="shared" ca="1" si="52"/>
        <v>12.852823177642396</v>
      </c>
      <c r="G547" s="1">
        <f t="shared" ca="1" si="55"/>
        <v>9.5850034350586988</v>
      </c>
      <c r="H547" s="1">
        <f t="shared" ca="1" si="53"/>
        <v>3.7495092946785795</v>
      </c>
    </row>
    <row r="548" spans="1:8">
      <c r="A548">
        <v>504</v>
      </c>
      <c r="B548">
        <f t="shared" ca="1" si="50"/>
        <v>0.59658937645924426</v>
      </c>
      <c r="C548" s="1">
        <f t="shared" ca="1" si="51"/>
        <v>41.546817402096018</v>
      </c>
      <c r="D548" s="1">
        <f t="shared" ca="1" si="56"/>
        <v>133.63300861890608</v>
      </c>
      <c r="E548" s="1">
        <f t="shared" ca="1" si="54"/>
        <v>160.21318745352593</v>
      </c>
      <c r="F548" s="1">
        <f t="shared" ca="1" si="52"/>
        <v>8.5731166094478084</v>
      </c>
      <c r="G548" s="1">
        <f t="shared" ca="1" si="55"/>
        <v>6.3934095953941563</v>
      </c>
      <c r="H548" s="1">
        <f t="shared" ca="1" si="53"/>
        <v>2.5010077769882431</v>
      </c>
    </row>
    <row r="549" spans="1:8">
      <c r="A549">
        <v>505</v>
      </c>
      <c r="B549">
        <f t="shared" ca="1" si="50"/>
        <v>4.4529593478092599E-2</v>
      </c>
      <c r="C549" s="1">
        <f t="shared" ca="1" si="51"/>
        <v>106.5853368337378</v>
      </c>
      <c r="D549" s="1">
        <f t="shared" ca="1" si="56"/>
        <v>340.59249411436201</v>
      </c>
      <c r="E549" s="1">
        <f t="shared" ca="1" si="54"/>
        <v>408.2654475702177</v>
      </c>
      <c r="F549" s="1">
        <f t="shared" ca="1" si="52"/>
        <v>25.954131274747162</v>
      </c>
      <c r="G549" s="1">
        <f t="shared" ca="1" si="55"/>
        <v>16.553502034820561</v>
      </c>
      <c r="H549" s="1">
        <f t="shared" ca="1" si="53"/>
        <v>6.3195886548962417</v>
      </c>
    </row>
    <row r="550" spans="1:8">
      <c r="A550">
        <v>506</v>
      </c>
      <c r="B550">
        <f t="shared" ca="1" si="50"/>
        <v>0.12597501237669728</v>
      </c>
      <c r="C550" s="1">
        <f t="shared" ca="1" si="51"/>
        <v>90.014862625060061</v>
      </c>
      <c r="D550" s="1">
        <f t="shared" ca="1" si="56"/>
        <v>289.52778430303414</v>
      </c>
      <c r="E550" s="1">
        <f t="shared" ca="1" si="54"/>
        <v>347.11610528736435</v>
      </c>
      <c r="F550" s="1">
        <f t="shared" ca="1" si="52"/>
        <v>18.574407799563311</v>
      </c>
      <c r="G550" s="1">
        <f t="shared" ca="1" si="55"/>
        <v>13.851878731639051</v>
      </c>
      <c r="H550" s="1">
        <f t="shared" ca="1" si="53"/>
        <v>5.4186440753547762</v>
      </c>
    </row>
    <row r="551" spans="1:8">
      <c r="A551">
        <v>507</v>
      </c>
      <c r="B551">
        <f t="shared" ca="1" si="50"/>
        <v>0.89004551609303628</v>
      </c>
      <c r="C551" s="1">
        <f t="shared" ca="1" si="51"/>
        <v>11.324098904212931</v>
      </c>
      <c r="D551" s="1">
        <f t="shared" ca="1" si="56"/>
        <v>36.423313053141726</v>
      </c>
      <c r="E551" s="1">
        <f t="shared" ca="1" si="54"/>
        <v>43.668064865237113</v>
      </c>
      <c r="F551" s="1">
        <f t="shared" ca="1" si="52"/>
        <v>2.3367147313913357</v>
      </c>
      <c r="G551" s="1">
        <f t="shared" ca="1" si="55"/>
        <v>1.742609009298361</v>
      </c>
      <c r="H551" s="1">
        <f t="shared" ca="1" si="53"/>
        <v>0.68168743677038712</v>
      </c>
    </row>
    <row r="552" spans="1:8">
      <c r="A552">
        <v>508</v>
      </c>
      <c r="B552">
        <f t="shared" ca="1" si="50"/>
        <v>0.656931081561828</v>
      </c>
      <c r="C552" s="1">
        <f t="shared" ca="1" si="51"/>
        <v>35.332292910383316</v>
      </c>
      <c r="D552" s="1">
        <f t="shared" ca="1" si="56"/>
        <v>113.64433572809077</v>
      </c>
      <c r="E552" s="1">
        <f t="shared" ca="1" si="54"/>
        <v>136.24868145565182</v>
      </c>
      <c r="F552" s="1">
        <f t="shared" ca="1" si="52"/>
        <v>7.2907610128108047</v>
      </c>
      <c r="G552" s="1">
        <f t="shared" ca="1" si="55"/>
        <v>5.4370921102417675</v>
      </c>
      <c r="H552" s="1">
        <f t="shared" ca="1" si="53"/>
        <v>2.1269113563321431</v>
      </c>
    </row>
    <row r="553" spans="1:8">
      <c r="A553">
        <v>509</v>
      </c>
      <c r="B553">
        <f t="shared" ca="1" si="50"/>
        <v>0.74883963242127272</v>
      </c>
      <c r="C553" s="1">
        <f t="shared" ca="1" si="51"/>
        <v>25.866734399187294</v>
      </c>
      <c r="D553" s="1">
        <f t="shared" ca="1" si="56"/>
        <v>83.198892466666564</v>
      </c>
      <c r="E553" s="1">
        <f t="shared" ca="1" si="54"/>
        <v>99.747508434726171</v>
      </c>
      <c r="F553" s="1">
        <f t="shared" ca="1" si="52"/>
        <v>5.3375605791631475</v>
      </c>
      <c r="G553" s="1">
        <f t="shared" ca="1" si="55"/>
        <v>3.9804916699247261</v>
      </c>
      <c r="H553" s="1">
        <f t="shared" ca="1" si="53"/>
        <v>1.5571120799319287</v>
      </c>
    </row>
    <row r="554" spans="1:8">
      <c r="A554">
        <v>510</v>
      </c>
      <c r="B554">
        <f t="shared" ca="1" si="50"/>
        <v>0.69993300468434316</v>
      </c>
      <c r="C554" s="1">
        <f t="shared" ca="1" si="51"/>
        <v>30.903573105709206</v>
      </c>
      <c r="D554" s="1">
        <f t="shared" ca="1" si="56"/>
        <v>99.399604434689849</v>
      </c>
      <c r="E554" s="1">
        <f t="shared" ca="1" si="54"/>
        <v>119.17061177171257</v>
      </c>
      <c r="F554" s="1">
        <f t="shared" ca="1" si="52"/>
        <v>6.3769028994451897</v>
      </c>
      <c r="G554" s="1">
        <f t="shared" ca="1" si="55"/>
        <v>4.755581852828124</v>
      </c>
      <c r="H554" s="1">
        <f t="shared" ca="1" si="53"/>
        <v>1.8603152186506962</v>
      </c>
    </row>
    <row r="555" spans="1:8">
      <c r="A555">
        <v>511</v>
      </c>
      <c r="B555">
        <f t="shared" ca="1" si="50"/>
        <v>0.14440593142562008</v>
      </c>
      <c r="C555" s="1">
        <f t="shared" ca="1" si="51"/>
        <v>88.116682955798439</v>
      </c>
      <c r="D555" s="1">
        <f t="shared" ca="1" si="56"/>
        <v>283.42239481628195</v>
      </c>
      <c r="E555" s="1">
        <f t="shared" ca="1" si="54"/>
        <v>339.79632754254669</v>
      </c>
      <c r="F555" s="1">
        <f t="shared" ca="1" si="52"/>
        <v>18.182721947243273</v>
      </c>
      <c r="G555" s="1">
        <f t="shared" ca="1" si="55"/>
        <v>13.55977876323497</v>
      </c>
      <c r="H555" s="1">
        <f t="shared" ca="1" si="53"/>
        <v>5.3043791431013272</v>
      </c>
    </row>
    <row r="556" spans="1:8">
      <c r="A556">
        <v>512</v>
      </c>
      <c r="B556">
        <f t="shared" ca="1" si="50"/>
        <v>0.72973569038277875</v>
      </c>
      <c r="C556" s="1">
        <f t="shared" ca="1" si="51"/>
        <v>27.834227950863493</v>
      </c>
      <c r="D556" s="1">
        <f t="shared" ca="1" si="56"/>
        <v>89.527226206711987</v>
      </c>
      <c r="E556" s="1">
        <f t="shared" ca="1" si="54"/>
        <v>107.33457500479108</v>
      </c>
      <c r="F556" s="1">
        <f t="shared" ca="1" si="52"/>
        <v>5.7435492224943872</v>
      </c>
      <c r="G556" s="1">
        <f t="shared" ca="1" si="55"/>
        <v>4.2832579536366406</v>
      </c>
      <c r="H556" s="1">
        <f t="shared" ca="1" si="53"/>
        <v>1.6755495076591105</v>
      </c>
    </row>
    <row r="557" spans="1:8">
      <c r="A557">
        <v>513</v>
      </c>
      <c r="B557">
        <f t="shared" ca="1" si="50"/>
        <v>0.29345173886375586</v>
      </c>
      <c r="C557" s="1">
        <f t="shared" ca="1" si="51"/>
        <v>72.766622510262067</v>
      </c>
      <c r="D557" s="1">
        <f t="shared" ca="1" si="56"/>
        <v>234.04977789132903</v>
      </c>
      <c r="E557" s="1">
        <f t="shared" ca="1" si="54"/>
        <v>280.60328451804224</v>
      </c>
      <c r="F557" s="1">
        <f t="shared" ca="1" si="52"/>
        <v>15.015265459253005</v>
      </c>
      <c r="G557" s="1">
        <f t="shared" ca="1" si="55"/>
        <v>11.197646113860399</v>
      </c>
      <c r="H557" s="1">
        <f t="shared" ca="1" si="53"/>
        <v>4.3803498505645235</v>
      </c>
    </row>
    <row r="558" spans="1:8">
      <c r="A558">
        <v>514</v>
      </c>
      <c r="B558">
        <f t="shared" ref="B558:B621" ca="1" si="57">RAND()</f>
        <v>0.75271836344288245</v>
      </c>
      <c r="C558" s="1">
        <f t="shared" ref="C558:C621" ca="1" si="58">IF($B558&lt;=0.005,$F$4,IF(B558&lt;=0.01,$F$4+($B558-0.005)*SLOPE($E$4:$F$4,$E$3:$F$3),IF($B558&lt;=0.04,$E$4+($B558-0.01)*SLOPE($D$4:$E$4,$D$3:$E$3),IF($B558&lt;=0.1,$D$4+($B558-0.04)*SLOPE($C$4:$D$4,$C$3:$D$3),IF($B558&lt;=1,$C$4+($B558-0.1)*SLOPE($B$4:$C$4,$B$3:$C$3),)))))</f>
        <v>25.467268244069857</v>
      </c>
      <c r="D558" s="1">
        <f t="shared" ca="1" si="56"/>
        <v>81.914031763930211</v>
      </c>
      <c r="E558" s="1">
        <f t="shared" ca="1" si="54"/>
        <v>98.20708340574356</v>
      </c>
      <c r="F558" s="1">
        <f t="shared" ref="F558:F621" ca="1" si="59">IF($B558&lt;=0.005,$F$22,IF($B558&lt;=0.01,$F$22+($B558-0.005)*SLOPE($E$22:$F$22,$E$21:$F$21),IF($B558&lt;=0.04,$E$22+($B558-0.01)*SLOPE($D$22:$E$22,$D$21:$E$21),IF($B558&lt;=0.1,$D$22+($B558-0.04)*SLOPE($C$22:$D$22,$C$21:$D$21),IF($B558&lt;=1,$C$22+($B558-0.1)*SLOPE($B$22:$C$22,$B$21:$C$21),)))))</f>
        <v>5.2551314793398181</v>
      </c>
      <c r="G558" s="1">
        <f t="shared" ca="1" si="55"/>
        <v>3.919020117374755</v>
      </c>
      <c r="H558" s="1">
        <f t="shared" ref="H558:H621" ca="1" si="60">IF($B558&lt;=0.005,$F$34,IF($B558&lt;=0.01,$F$34+($B558-0.005)*SLOPE($E$34:$F$34,$E$33:$F$33),IF($B558&lt;=0.04,$E$34+($B558-0.01)*SLOPE($D$34:$E$34,$D$33:$E$33),IF($B558&lt;=0.1,$D$34+($B558-0.04)*SLOPE($C$34:$D$34,$C$33:$D$33),IF($B558&lt;=1,$C$34+($B558-0.1)*SLOPE($B$34:$C$34,$B$33:$C$33),)))))</f>
        <v>1.5330653714505358</v>
      </c>
    </row>
    <row r="559" spans="1:8">
      <c r="A559">
        <v>515</v>
      </c>
      <c r="B559">
        <f t="shared" ca="1" si="57"/>
        <v>0.77041315349487705</v>
      </c>
      <c r="C559" s="1">
        <f t="shared" ca="1" si="58"/>
        <v>23.644901674101547</v>
      </c>
      <c r="D559" s="1">
        <f t="shared" ca="1" si="56"/>
        <v>76.052490900613975</v>
      </c>
      <c r="E559" s="1">
        <f t="shared" ref="E559:E622" ca="1" si="61">IF($B559&lt;=0.005,$F$16,IF($B559&lt;=0.01,$F$16+($B559-0.005)*SLOPE($E$16:$F$16,$E$15:$F$15),IF($B559&lt;=0.04,$E$16+($B559-0.01)*SLOPE($D$16:$E$16,$D$15:$E$15),IF($B559&lt;=0.1,$D$16+($B559-0.04)*SLOPE($C$16:$D$16,$C$15:$D$15),IF($B559&lt;=1,$C$16+($B559-0.1)*SLOPE($B$16:$C$16,$B$15:$C$15),)))))</f>
        <v>91.179656825549159</v>
      </c>
      <c r="F559" s="1">
        <f t="shared" ca="1" si="59"/>
        <v>4.8790895193733856</v>
      </c>
      <c r="G559" s="1">
        <f t="shared" ref="G559:G622" ca="1" si="62">IF($B559&lt;=0.005,$F$28,IF($B559&lt;=0.01,$F$28+($B559-0.005)*SLOPE($E$28:$F$28,$E$27:$F$27),IF($B559&lt;=0.04,$E$28+($B559-0.01)*SLOPE($D$28:$E$28,$D$27:$E$27),IF($B559&lt;=0.1,$D$28+($B559-0.04)*SLOPE($C$28:$D$28,$C$27:$D$27),IF($B559&lt;=1,$C$28+($B559-0.1)*SLOPE($B$28:$C$28,$B$27:$C$27),)))))</f>
        <v>3.6385865914401627</v>
      </c>
      <c r="H559" s="1">
        <f t="shared" ca="1" si="60"/>
        <v>1.423364168750699</v>
      </c>
    </row>
    <row r="560" spans="1:8">
      <c r="A560">
        <v>516</v>
      </c>
      <c r="B560">
        <f t="shared" ca="1" si="57"/>
        <v>0.32116475217312812</v>
      </c>
      <c r="C560" s="1">
        <f t="shared" ca="1" si="58"/>
        <v>69.912490369689195</v>
      </c>
      <c r="D560" s="1">
        <f t="shared" ref="D560:D623" ca="1" si="63">IF($B560&lt;=0.005,$F$10,IF($B560&lt;=0.01,$F$10+($B560-0.005)*SLOPE($E$10:$F$10,$E$9:$F$9),IF($B560&lt;=0.04,$E$10+($B560-0.01)*SLOPE($D$10:$E$10,$D$9:$E$9),IF($B560&lt;=0.1,$D$10+($B560-0.04)*SLOPE($C$10:$D$10,$C$9:$D$9),IF($B560&lt;=1,$C$10+($B560-0.1)*SLOPE($B$10:$C$10,$B$9:$C$9),)))))</f>
        <v>224.86962037144923</v>
      </c>
      <c r="E560" s="1">
        <f t="shared" ca="1" si="61"/>
        <v>269.59715413868742</v>
      </c>
      <c r="F560" s="1">
        <f t="shared" ca="1" si="59"/>
        <v>14.426320588428869</v>
      </c>
      <c r="G560" s="1">
        <f t="shared" ca="1" si="62"/>
        <v>10.758440109506394</v>
      </c>
      <c r="H560" s="1">
        <f t="shared" ca="1" si="60"/>
        <v>4.2085393412823269</v>
      </c>
    </row>
    <row r="561" spans="1:8">
      <c r="A561">
        <v>517</v>
      </c>
      <c r="B561">
        <f t="shared" ca="1" si="57"/>
        <v>0.87261444168021896</v>
      </c>
      <c r="C561" s="1">
        <f t="shared" ca="1" si="58"/>
        <v>13.119305696449928</v>
      </c>
      <c r="D561" s="1">
        <f t="shared" ca="1" si="63"/>
        <v>42.197495999760974</v>
      </c>
      <c r="E561" s="1">
        <f t="shared" ca="1" si="61"/>
        <v>50.59075766294967</v>
      </c>
      <c r="F561" s="1">
        <f t="shared" ca="1" si="59"/>
        <v>2.707152321623024</v>
      </c>
      <c r="G561" s="1">
        <f t="shared" ca="1" si="62"/>
        <v>2.0188630730115165</v>
      </c>
      <c r="H561" s="1">
        <f t="shared" ca="1" si="60"/>
        <v>0.7897536993153258</v>
      </c>
    </row>
    <row r="562" spans="1:8">
      <c r="A562">
        <v>518</v>
      </c>
      <c r="B562">
        <f t="shared" ca="1" si="57"/>
        <v>0.14364007689002312</v>
      </c>
      <c r="C562" s="1">
        <f t="shared" ca="1" si="58"/>
        <v>88.195557454960579</v>
      </c>
      <c r="D562" s="1">
        <f t="shared" ca="1" si="63"/>
        <v>283.67609026237471</v>
      </c>
      <c r="E562" s="1">
        <f t="shared" ca="1" si="61"/>
        <v>340.10048410525252</v>
      </c>
      <c r="F562" s="1">
        <f t="shared" ca="1" si="59"/>
        <v>18.198997553778803</v>
      </c>
      <c r="G562" s="1">
        <f t="shared" ca="1" si="62"/>
        <v>13.571916306949213</v>
      </c>
      <c r="H562" s="1">
        <f t="shared" ca="1" si="60"/>
        <v>5.3091271600826664</v>
      </c>
    </row>
    <row r="563" spans="1:8">
      <c r="A563">
        <v>519</v>
      </c>
      <c r="B563">
        <f t="shared" ca="1" si="57"/>
        <v>0.61846240811327791</v>
      </c>
      <c r="C563" s="1">
        <f t="shared" ca="1" si="58"/>
        <v>39.294138418449286</v>
      </c>
      <c r="D563" s="1">
        <f t="shared" ca="1" si="63"/>
        <v>126.38739177530437</v>
      </c>
      <c r="E563" s="1">
        <f t="shared" ca="1" si="61"/>
        <v>151.526386220885</v>
      </c>
      <c r="F563" s="1">
        <f t="shared" ca="1" si="59"/>
        <v>8.108280481445064</v>
      </c>
      <c r="G563" s="1">
        <f t="shared" ca="1" si="62"/>
        <v>6.0467577633240612</v>
      </c>
      <c r="H563" s="1">
        <f t="shared" ca="1" si="60"/>
        <v>2.3654030101564021</v>
      </c>
    </row>
    <row r="564" spans="1:8">
      <c r="A564">
        <v>520</v>
      </c>
      <c r="B564">
        <f t="shared" ca="1" si="57"/>
        <v>0.46469258765111565</v>
      </c>
      <c r="C564" s="1">
        <f t="shared" ca="1" si="58"/>
        <v>55.130719663937747</v>
      </c>
      <c r="D564" s="1">
        <f t="shared" ca="1" si="63"/>
        <v>177.32487583334026</v>
      </c>
      <c r="E564" s="1">
        <f t="shared" ca="1" si="61"/>
        <v>212.59555518939214</v>
      </c>
      <c r="F564" s="1">
        <f t="shared" ca="1" si="59"/>
        <v>11.376129633673905</v>
      </c>
      <c r="G564" s="1">
        <f t="shared" ca="1" si="62"/>
        <v>8.4837583046033096</v>
      </c>
      <c r="H564" s="1">
        <f t="shared" ca="1" si="60"/>
        <v>3.318719449293003</v>
      </c>
    </row>
    <row r="565" spans="1:8">
      <c r="A565">
        <v>521</v>
      </c>
      <c r="B565">
        <f t="shared" ca="1" si="57"/>
        <v>0.74894226432388555</v>
      </c>
      <c r="C565" s="1">
        <f t="shared" ca="1" si="58"/>
        <v>25.856164454712996</v>
      </c>
      <c r="D565" s="1">
        <f t="shared" ca="1" si="63"/>
        <v>83.16489482728926</v>
      </c>
      <c r="E565" s="1">
        <f t="shared" ca="1" si="61"/>
        <v>99.706748518486506</v>
      </c>
      <c r="F565" s="1">
        <f t="shared" ca="1" si="59"/>
        <v>5.3353794907354128</v>
      </c>
      <c r="G565" s="1">
        <f t="shared" ca="1" si="62"/>
        <v>3.9788651218708342</v>
      </c>
      <c r="H565" s="1">
        <f t="shared" ca="1" si="60"/>
        <v>1.5564757998111176</v>
      </c>
    </row>
    <row r="566" spans="1:8">
      <c r="A566">
        <v>522</v>
      </c>
      <c r="B566">
        <f t="shared" ca="1" si="57"/>
        <v>0.57484758481678955</v>
      </c>
      <c r="C566" s="1">
        <f t="shared" ca="1" si="58"/>
        <v>43.785980124230697</v>
      </c>
      <c r="D566" s="1">
        <f t="shared" ca="1" si="63"/>
        <v>140.83515115800847</v>
      </c>
      <c r="E566" s="1">
        <f t="shared" ca="1" si="61"/>
        <v>168.84786715530694</v>
      </c>
      <c r="F566" s="1">
        <f t="shared" ca="1" si="59"/>
        <v>9.0351636819695216</v>
      </c>
      <c r="G566" s="1">
        <f t="shared" ca="1" si="62"/>
        <v>6.7379814876015782</v>
      </c>
      <c r="H566" s="1">
        <f t="shared" ca="1" si="60"/>
        <v>2.6357989039255019</v>
      </c>
    </row>
    <row r="567" spans="1:8">
      <c r="A567">
        <v>523</v>
      </c>
      <c r="B567">
        <f t="shared" ca="1" si="57"/>
        <v>0.56439187781723188</v>
      </c>
      <c r="C567" s="1">
        <f t="shared" ca="1" si="58"/>
        <v>44.862801654488401</v>
      </c>
      <c r="D567" s="1">
        <f t="shared" ca="1" si="63"/>
        <v>144.29868780651822</v>
      </c>
      <c r="E567" s="1">
        <f t="shared" ca="1" si="61"/>
        <v>173.00031615682158</v>
      </c>
      <c r="F567" s="1">
        <f t="shared" ca="1" si="59"/>
        <v>9.2573638064917798</v>
      </c>
      <c r="G567" s="1">
        <f t="shared" ca="1" si="62"/>
        <v>6.9036873689038796</v>
      </c>
      <c r="H567" s="1">
        <f t="shared" ca="1" si="60"/>
        <v>2.7006204491124306</v>
      </c>
    </row>
    <row r="568" spans="1:8">
      <c r="A568">
        <v>524</v>
      </c>
      <c r="B568">
        <f t="shared" ca="1" si="57"/>
        <v>0.21602501324269097</v>
      </c>
      <c r="C568" s="1">
        <f t="shared" ca="1" si="58"/>
        <v>80.740714091983449</v>
      </c>
      <c r="D568" s="1">
        <f t="shared" ca="1" si="63"/>
        <v>259.69800060587255</v>
      </c>
      <c r="E568" s="1">
        <f t="shared" ca="1" si="61"/>
        <v>311.35304916899696</v>
      </c>
      <c r="F568" s="1">
        <f t="shared" ca="1" si="59"/>
        <v>16.660704459703105</v>
      </c>
      <c r="G568" s="1">
        <f t="shared" ca="1" si="62"/>
        <v>12.424733273622317</v>
      </c>
      <c r="H568" s="1">
        <f t="shared" ca="1" si="60"/>
        <v>4.8603671266544239</v>
      </c>
    </row>
    <row r="569" spans="1:8">
      <c r="A569">
        <v>525</v>
      </c>
      <c r="B569">
        <f t="shared" ca="1" si="57"/>
        <v>0.86774880215017292</v>
      </c>
      <c r="C569" s="1">
        <f t="shared" ca="1" si="58"/>
        <v>13.620412451320561</v>
      </c>
      <c r="D569" s="1">
        <f t="shared" ca="1" si="63"/>
        <v>43.809278046777507</v>
      </c>
      <c r="E569" s="1">
        <f t="shared" ca="1" si="61"/>
        <v>52.523130099277921</v>
      </c>
      <c r="F569" s="1">
        <f t="shared" ca="1" si="59"/>
        <v>2.8105547705920308</v>
      </c>
      <c r="G569" s="1">
        <f t="shared" ca="1" si="62"/>
        <v>2.0959755137541372</v>
      </c>
      <c r="H569" s="1">
        <f t="shared" ca="1" si="60"/>
        <v>0.81991887826243381</v>
      </c>
    </row>
    <row r="570" spans="1:8">
      <c r="A570">
        <v>526</v>
      </c>
      <c r="B570">
        <f t="shared" ca="1" si="57"/>
        <v>0.13275055229858657</v>
      </c>
      <c r="C570" s="1">
        <f t="shared" ca="1" si="58"/>
        <v>89.317057372166147</v>
      </c>
      <c r="D570" s="1">
        <f t="shared" ca="1" si="63"/>
        <v>287.28333246119342</v>
      </c>
      <c r="E570" s="1">
        <f t="shared" ca="1" si="61"/>
        <v>344.42522230981325</v>
      </c>
      <c r="F570" s="1">
        <f t="shared" ca="1" si="59"/>
        <v>18.430416980538538</v>
      </c>
      <c r="G570" s="1">
        <f t="shared" ca="1" si="62"/>
        <v>13.744497488639119</v>
      </c>
      <c r="H570" s="1">
        <f t="shared" ca="1" si="60"/>
        <v>5.3766382150881133</v>
      </c>
    </row>
    <row r="571" spans="1:8">
      <c r="A571">
        <v>527</v>
      </c>
      <c r="B571">
        <f t="shared" ca="1" si="57"/>
        <v>3.1174409307876516E-2</v>
      </c>
      <c r="C571" s="1">
        <f t="shared" ca="1" si="58"/>
        <v>119.7404545226722</v>
      </c>
      <c r="D571" s="1">
        <f t="shared" ca="1" si="63"/>
        <v>381.59286235913959</v>
      </c>
      <c r="E571" s="1">
        <f t="shared" ca="1" si="61"/>
        <v>457.40749673252435</v>
      </c>
      <c r="F571" s="1">
        <f t="shared" ca="1" si="59"/>
        <v>27.7150755462043</v>
      </c>
      <c r="G571" s="1">
        <f t="shared" ca="1" si="62"/>
        <v>18.045513628898302</v>
      </c>
      <c r="H571" s="1">
        <f t="shared" ca="1" si="60"/>
        <v>6.8378628993337358</v>
      </c>
    </row>
    <row r="572" spans="1:8">
      <c r="A572">
        <v>528</v>
      </c>
      <c r="B572">
        <f t="shared" ca="1" si="57"/>
        <v>0.37337495046858815</v>
      </c>
      <c r="C572" s="1">
        <f t="shared" ca="1" si="58"/>
        <v>64.535420638684514</v>
      </c>
      <c r="D572" s="1">
        <f t="shared" ca="1" si="63"/>
        <v>207.57457420862761</v>
      </c>
      <c r="E572" s="1">
        <f t="shared" ca="1" si="61"/>
        <v>248.86204882347192</v>
      </c>
      <c r="F572" s="1">
        <f t="shared" ca="1" si="59"/>
        <v>13.316772227607952</v>
      </c>
      <c r="G572" s="1">
        <f t="shared" ca="1" si="62"/>
        <v>9.9309937281298755</v>
      </c>
      <c r="H572" s="1">
        <f t="shared" ca="1" si="60"/>
        <v>3.8848552778162366</v>
      </c>
    </row>
    <row r="573" spans="1:8">
      <c r="A573">
        <v>529</v>
      </c>
      <c r="B573">
        <f t="shared" ca="1" si="57"/>
        <v>0.36898947770628165</v>
      </c>
      <c r="C573" s="1">
        <f t="shared" ca="1" si="58"/>
        <v>64.987075556999486</v>
      </c>
      <c r="D573" s="1">
        <f t="shared" ca="1" si="63"/>
        <v>209.0272971697753</v>
      </c>
      <c r="E573" s="1">
        <f t="shared" ca="1" si="61"/>
        <v>250.6037246368607</v>
      </c>
      <c r="F573" s="1">
        <f t="shared" ca="1" si="59"/>
        <v>13.409970381870949</v>
      </c>
      <c r="G573" s="1">
        <f t="shared" ca="1" si="62"/>
        <v>10.000496309737793</v>
      </c>
      <c r="H573" s="1">
        <f t="shared" ca="1" si="60"/>
        <v>3.9120435990689195</v>
      </c>
    </row>
    <row r="574" spans="1:8">
      <c r="A574">
        <v>530</v>
      </c>
      <c r="B574">
        <f t="shared" ca="1" si="57"/>
        <v>0.23162723330128032</v>
      </c>
      <c r="C574" s="1">
        <f t="shared" ca="1" si="58"/>
        <v>79.133858957307396</v>
      </c>
      <c r="D574" s="1">
        <f t="shared" ca="1" si="63"/>
        <v>254.52964030528992</v>
      </c>
      <c r="E574" s="1">
        <f t="shared" ca="1" si="61"/>
        <v>305.15667975022484</v>
      </c>
      <c r="F574" s="1">
        <f t="shared" ca="1" si="59"/>
        <v>16.329132884486921</v>
      </c>
      <c r="G574" s="1">
        <f t="shared" ca="1" si="62"/>
        <v>12.177463564822103</v>
      </c>
      <c r="H574" s="1">
        <f t="shared" ca="1" si="60"/>
        <v>4.7636390897472074</v>
      </c>
    </row>
    <row r="575" spans="1:8">
      <c r="A575">
        <v>531</v>
      </c>
      <c r="B575">
        <f t="shared" ca="1" si="57"/>
        <v>1.4702896805436239E-2</v>
      </c>
      <c r="C575" s="1">
        <f t="shared" ca="1" si="58"/>
        <v>142.17465455099585</v>
      </c>
      <c r="D575" s="1">
        <f t="shared" ca="1" si="63"/>
        <v>451.64231640919286</v>
      </c>
      <c r="E575" s="1">
        <f t="shared" ca="1" si="61"/>
        <v>541.37597884455283</v>
      </c>
      <c r="F575" s="1">
        <f t="shared" ca="1" si="59"/>
        <v>29.96103837003826</v>
      </c>
      <c r="G575" s="1">
        <f t="shared" ca="1" si="62"/>
        <v>20.48111544128092</v>
      </c>
      <c r="H575" s="1">
        <f t="shared" ca="1" si="60"/>
        <v>7.6923736636433464</v>
      </c>
    </row>
    <row r="576" spans="1:8">
      <c r="A576">
        <v>532</v>
      </c>
      <c r="B576">
        <f t="shared" ca="1" si="57"/>
        <v>0.16824205208294685</v>
      </c>
      <c r="C576" s="1">
        <f t="shared" ca="1" si="58"/>
        <v>85.661827638724645</v>
      </c>
      <c r="D576" s="1">
        <f t="shared" ca="1" si="63"/>
        <v>275.52648902450301</v>
      </c>
      <c r="E576" s="1">
        <f t="shared" ca="1" si="61"/>
        <v>330.32989208986174</v>
      </c>
      <c r="F576" s="1">
        <f t="shared" ca="1" si="59"/>
        <v>17.676167108014361</v>
      </c>
      <c r="G576" s="1">
        <f t="shared" ca="1" si="62"/>
        <v>13.182015176275481</v>
      </c>
      <c r="H576" s="1">
        <f t="shared" ca="1" si="60"/>
        <v>5.1566039450840764</v>
      </c>
    </row>
    <row r="577" spans="1:8">
      <c r="A577">
        <v>533</v>
      </c>
      <c r="B577">
        <f t="shared" ca="1" si="57"/>
        <v>0.53941393172564234</v>
      </c>
      <c r="C577" s="1">
        <f t="shared" ca="1" si="58"/>
        <v>47.435252291655033</v>
      </c>
      <c r="D577" s="1">
        <f t="shared" ca="1" si="63"/>
        <v>152.5728324144707</v>
      </c>
      <c r="E577" s="1">
        <f t="shared" ca="1" si="61"/>
        <v>182.92022375487261</v>
      </c>
      <c r="F577" s="1">
        <f t="shared" ca="1" si="59"/>
        <v>9.7881842218014512</v>
      </c>
      <c r="G577" s="1">
        <f t="shared" ca="1" si="62"/>
        <v>7.2995470243440446</v>
      </c>
      <c r="H577" s="1">
        <f t="shared" ca="1" si="60"/>
        <v>2.8554745456666981</v>
      </c>
    </row>
    <row r="578" spans="1:8">
      <c r="A578">
        <v>534</v>
      </c>
      <c r="B578">
        <f t="shared" ca="1" si="57"/>
        <v>0.63611359087453412</v>
      </c>
      <c r="C578" s="1">
        <f t="shared" ca="1" si="58"/>
        <v>37.476262914417049</v>
      </c>
      <c r="D578" s="1">
        <f t="shared" ca="1" si="63"/>
        <v>120.54029617615066</v>
      </c>
      <c r="E578" s="1">
        <f t="shared" ca="1" si="61"/>
        <v>144.51627813009483</v>
      </c>
      <c r="F578" s="1">
        <f t="shared" ca="1" si="59"/>
        <v>7.7331652446005172</v>
      </c>
      <c r="G578" s="1">
        <f t="shared" ca="1" si="62"/>
        <v>5.7670153417350019</v>
      </c>
      <c r="H578" s="1">
        <f t="shared" ca="1" si="60"/>
        <v>2.255972156651239</v>
      </c>
    </row>
    <row r="579" spans="1:8">
      <c r="A579">
        <v>535</v>
      </c>
      <c r="B579">
        <f t="shared" ca="1" si="57"/>
        <v>0.55547945353076489</v>
      </c>
      <c r="C579" s="1">
        <f t="shared" ca="1" si="58"/>
        <v>45.780682230031047</v>
      </c>
      <c r="D579" s="1">
        <f t="shared" ca="1" si="63"/>
        <v>147.2509997013095</v>
      </c>
      <c r="E579" s="1">
        <f t="shared" ca="1" si="61"/>
        <v>176.53985559982436</v>
      </c>
      <c r="F579" s="1">
        <f t="shared" ca="1" si="59"/>
        <v>9.4467667599536487</v>
      </c>
      <c r="G579" s="1">
        <f t="shared" ca="1" si="62"/>
        <v>7.0449347394539084</v>
      </c>
      <c r="H579" s="1">
        <f t="shared" ca="1" si="60"/>
        <v>2.7558742080055154</v>
      </c>
    </row>
    <row r="580" spans="1:8">
      <c r="A580">
        <v>536</v>
      </c>
      <c r="B580">
        <f t="shared" ca="1" si="57"/>
        <v>0.65987617782408947</v>
      </c>
      <c r="C580" s="1">
        <f t="shared" ca="1" si="58"/>
        <v>35.028980751385475</v>
      </c>
      <c r="D580" s="1">
        <f t="shared" ca="1" si="63"/>
        <v>112.66874901375732</v>
      </c>
      <c r="E580" s="1">
        <f t="shared" ca="1" si="61"/>
        <v>135.07904634306598</v>
      </c>
      <c r="F580" s="1">
        <f t="shared" ca="1" si="59"/>
        <v>7.228173111654792</v>
      </c>
      <c r="G580" s="1">
        <f t="shared" ca="1" si="62"/>
        <v>5.3904171439598336</v>
      </c>
      <c r="H580" s="1">
        <f t="shared" ca="1" si="60"/>
        <v>2.1086528406285074</v>
      </c>
    </row>
    <row r="581" spans="1:8">
      <c r="A581">
        <v>537</v>
      </c>
      <c r="B581">
        <f t="shared" ca="1" si="57"/>
        <v>0.55445713761004334</v>
      </c>
      <c r="C581" s="1">
        <f t="shared" ca="1" si="58"/>
        <v>45.885969399440512</v>
      </c>
      <c r="D581" s="1">
        <f t="shared" ca="1" si="63"/>
        <v>147.58965003436913</v>
      </c>
      <c r="E581" s="1">
        <f t="shared" ca="1" si="61"/>
        <v>176.94586494232146</v>
      </c>
      <c r="F581" s="1">
        <f t="shared" ca="1" si="59"/>
        <v>9.4684925719809971</v>
      </c>
      <c r="G581" s="1">
        <f t="shared" ca="1" si="62"/>
        <v>7.0611367773093781</v>
      </c>
      <c r="H581" s="1">
        <f t="shared" ca="1" si="60"/>
        <v>2.7622121914296081</v>
      </c>
    </row>
    <row r="582" spans="1:8">
      <c r="A582">
        <v>538</v>
      </c>
      <c r="B582">
        <f t="shared" ca="1" si="57"/>
        <v>0.5412174444450143</v>
      </c>
      <c r="C582" s="1">
        <f t="shared" ca="1" si="58"/>
        <v>47.249510540628968</v>
      </c>
      <c r="D582" s="1">
        <f t="shared" ca="1" si="63"/>
        <v>151.97540438785686</v>
      </c>
      <c r="E582" s="1">
        <f t="shared" ca="1" si="61"/>
        <v>182.20396472130443</v>
      </c>
      <c r="F582" s="1">
        <f t="shared" ca="1" si="59"/>
        <v>9.749856756156241</v>
      </c>
      <c r="G582" s="1">
        <f t="shared" ca="1" si="62"/>
        <v>7.2709642929595404</v>
      </c>
      <c r="H582" s="1">
        <f t="shared" ca="1" si="60"/>
        <v>2.844293428862362</v>
      </c>
    </row>
    <row r="583" spans="1:8">
      <c r="A583">
        <v>539</v>
      </c>
      <c r="B583">
        <f t="shared" ca="1" si="57"/>
        <v>0.9024624012574789</v>
      </c>
      <c r="C583" s="1">
        <f t="shared" ca="1" si="58"/>
        <v>10.045297835631445</v>
      </c>
      <c r="D583" s="1">
        <f t="shared" ca="1" si="63"/>
        <v>32.310120436974955</v>
      </c>
      <c r="E583" s="1">
        <f t="shared" ca="1" si="61"/>
        <v>38.736740526749713</v>
      </c>
      <c r="F583" s="1">
        <f t="shared" ca="1" si="59"/>
        <v>2.0728365039472756</v>
      </c>
      <c r="G583" s="1">
        <f t="shared" ca="1" si="62"/>
        <v>1.545821656774951</v>
      </c>
      <c r="H583" s="1">
        <f t="shared" ca="1" si="60"/>
        <v>0.60470730689472418</v>
      </c>
    </row>
    <row r="584" spans="1:8">
      <c r="A584">
        <v>540</v>
      </c>
      <c r="B584">
        <f t="shared" ca="1" si="57"/>
        <v>0.52538253522028722</v>
      </c>
      <c r="C584" s="1">
        <f t="shared" ca="1" si="58"/>
        <v>48.880330071396592</v>
      </c>
      <c r="D584" s="1">
        <f t="shared" ca="1" si="63"/>
        <v>157.22084483755455</v>
      </c>
      <c r="E584" s="1">
        <f t="shared" ca="1" si="61"/>
        <v>188.49274586274944</v>
      </c>
      <c r="F584" s="1">
        <f t="shared" ca="1" si="59"/>
        <v>10.086373340035443</v>
      </c>
      <c r="G584" s="1">
        <f t="shared" ca="1" si="62"/>
        <v>7.5219217450511442</v>
      </c>
      <c r="H584" s="1">
        <f t="shared" ca="1" si="60"/>
        <v>2.9424640531812134</v>
      </c>
    </row>
    <row r="585" spans="1:8">
      <c r="A585">
        <v>541</v>
      </c>
      <c r="B585">
        <f t="shared" ca="1" si="57"/>
        <v>0.44034737479724562</v>
      </c>
      <c r="C585" s="1">
        <f t="shared" ca="1" si="58"/>
        <v>57.63800581501895</v>
      </c>
      <c r="D585" s="1">
        <f t="shared" ca="1" si="63"/>
        <v>185.3894224908467</v>
      </c>
      <c r="E585" s="1">
        <f t="shared" ca="1" si="61"/>
        <v>222.26417490214715</v>
      </c>
      <c r="F585" s="1">
        <f t="shared" ca="1" si="59"/>
        <v>11.893503478204901</v>
      </c>
      <c r="G585" s="1">
        <f t="shared" ca="1" si="62"/>
        <v>8.8695901715075092</v>
      </c>
      <c r="H585" s="1">
        <f t="shared" ca="1" si="60"/>
        <v>3.4696508320449579</v>
      </c>
    </row>
    <row r="586" spans="1:8">
      <c r="A586">
        <v>542</v>
      </c>
      <c r="B586">
        <f t="shared" ca="1" si="57"/>
        <v>0.87927568471280082</v>
      </c>
      <c r="C586" s="1">
        <f t="shared" ca="1" si="58"/>
        <v>12.433271751919278</v>
      </c>
      <c r="D586" s="1">
        <f t="shared" ca="1" si="63"/>
        <v>39.990905917526106</v>
      </c>
      <c r="E586" s="1">
        <f t="shared" ca="1" si="61"/>
        <v>47.9452673120187</v>
      </c>
      <c r="F586" s="1">
        <f t="shared" ca="1" si="59"/>
        <v>2.5655904902351203</v>
      </c>
      <c r="G586" s="1">
        <f t="shared" ca="1" si="62"/>
        <v>1.9132932490551369</v>
      </c>
      <c r="H586" s="1">
        <f t="shared" ca="1" si="60"/>
        <v>0.74845643780485194</v>
      </c>
    </row>
    <row r="587" spans="1:8">
      <c r="A587">
        <v>543</v>
      </c>
      <c r="B587">
        <f t="shared" ca="1" si="57"/>
        <v>4.3364281500784196E-2</v>
      </c>
      <c r="C587" s="1">
        <f t="shared" ca="1" si="58"/>
        <v>106.87724748405356</v>
      </c>
      <c r="D587" s="1">
        <f t="shared" ca="1" si="63"/>
        <v>341.4844917541418</v>
      </c>
      <c r="E587" s="1">
        <f t="shared" ca="1" si="61"/>
        <v>409.33334729402469</v>
      </c>
      <c r="F587" s="1">
        <f t="shared" ca="1" si="59"/>
        <v>26.097566616521316</v>
      </c>
      <c r="G587" s="1">
        <f t="shared" ca="1" si="62"/>
        <v>16.601609125641517</v>
      </c>
      <c r="H587" s="1">
        <f t="shared" ca="1" si="60"/>
        <v>6.3351325262720595</v>
      </c>
    </row>
    <row r="588" spans="1:8">
      <c r="A588">
        <v>544</v>
      </c>
      <c r="B588">
        <f t="shared" ca="1" si="57"/>
        <v>0.8114607246094262</v>
      </c>
      <c r="C588" s="1">
        <f t="shared" ca="1" si="58"/>
        <v>19.4174583895106</v>
      </c>
      <c r="D588" s="1">
        <f t="shared" ca="1" si="63"/>
        <v>62.455154355742792</v>
      </c>
      <c r="E588" s="1">
        <f t="shared" ca="1" si="61"/>
        <v>74.877751493234371</v>
      </c>
      <c r="F588" s="1">
        <f t="shared" ca="1" si="59"/>
        <v>4.0067644424202058</v>
      </c>
      <c r="G588" s="1">
        <f t="shared" ca="1" si="62"/>
        <v>2.9880496218078836</v>
      </c>
      <c r="H588" s="1">
        <f t="shared" ca="1" si="60"/>
        <v>1.1688842960909183</v>
      </c>
    </row>
    <row r="589" spans="1:8">
      <c r="A589">
        <v>545</v>
      </c>
      <c r="B589">
        <f t="shared" ca="1" si="57"/>
        <v>0.95640653951485333</v>
      </c>
      <c r="C589" s="1">
        <f t="shared" ca="1" si="58"/>
        <v>4.4896515738151663</v>
      </c>
      <c r="D589" s="1">
        <f t="shared" ca="1" si="63"/>
        <v>14.440692780423603</v>
      </c>
      <c r="E589" s="1">
        <f t="shared" ca="1" si="61"/>
        <v>17.313006765476757</v>
      </c>
      <c r="F589" s="1">
        <f t="shared" ca="1" si="59"/>
        <v>0.92643920737597796</v>
      </c>
      <c r="G589" s="1">
        <f t="shared" ca="1" si="62"/>
        <v>0.69089515860418338</v>
      </c>
      <c r="H589" s="1">
        <f t="shared" ca="1" si="60"/>
        <v>0.27027345218090648</v>
      </c>
    </row>
    <row r="590" spans="1:8">
      <c r="A590">
        <v>546</v>
      </c>
      <c r="B590">
        <f t="shared" ca="1" si="57"/>
        <v>0.9249188330622381</v>
      </c>
      <c r="C590" s="1">
        <f t="shared" ca="1" si="58"/>
        <v>7.7325351251660948</v>
      </c>
      <c r="D590" s="1">
        <f t="shared" ca="1" si="63"/>
        <v>24.871247622938199</v>
      </c>
      <c r="E590" s="1">
        <f t="shared" ca="1" si="61"/>
        <v>29.818243879014801</v>
      </c>
      <c r="F590" s="1">
        <f t="shared" ca="1" si="59"/>
        <v>1.5956022104122525</v>
      </c>
      <c r="G590" s="1">
        <f t="shared" ca="1" si="62"/>
        <v>1.1899238850345917</v>
      </c>
      <c r="H590" s="1">
        <f t="shared" ca="1" si="60"/>
        <v>0.46548567329013313</v>
      </c>
    </row>
    <row r="591" spans="1:8">
      <c r="A591">
        <v>547</v>
      </c>
      <c r="B591">
        <f t="shared" ca="1" si="57"/>
        <v>1.8956077403025406E-2</v>
      </c>
      <c r="C591" s="1">
        <f t="shared" ca="1" si="58"/>
        <v>136.38182257707939</v>
      </c>
      <c r="D591" s="1">
        <f t="shared" ca="1" si="63"/>
        <v>433.55454342579128</v>
      </c>
      <c r="E591" s="1">
        <f t="shared" ca="1" si="61"/>
        <v>519.69411332825723</v>
      </c>
      <c r="F591" s="1">
        <f t="shared" ca="1" si="59"/>
        <v>29.381098579820332</v>
      </c>
      <c r="G591" s="1">
        <f t="shared" ca="1" si="62"/>
        <v>19.852208146316716</v>
      </c>
      <c r="H591" s="1">
        <f t="shared" ca="1" si="60"/>
        <v>7.4717267374637197</v>
      </c>
    </row>
    <row r="592" spans="1:8">
      <c r="A592">
        <v>548</v>
      </c>
      <c r="B592">
        <f t="shared" ca="1" si="57"/>
        <v>0.86313784296844398</v>
      </c>
      <c r="C592" s="1">
        <f t="shared" ca="1" si="58"/>
        <v>14.09528996292596</v>
      </c>
      <c r="D592" s="1">
        <f t="shared" ca="1" si="63"/>
        <v>45.336695189528001</v>
      </c>
      <c r="E592" s="1">
        <f t="shared" ca="1" si="61"/>
        <v>54.354357088615416</v>
      </c>
      <c r="F592" s="1">
        <f t="shared" ca="1" si="59"/>
        <v>2.9085448638865898</v>
      </c>
      <c r="G592" s="1">
        <f t="shared" ca="1" si="62"/>
        <v>2.1690516868804171</v>
      </c>
      <c r="H592" s="1">
        <f t="shared" ca="1" si="60"/>
        <v>0.84850513254118987</v>
      </c>
    </row>
    <row r="593" spans="1:8">
      <c r="A593">
        <v>549</v>
      </c>
      <c r="B593">
        <f t="shared" ca="1" si="57"/>
        <v>0.99409479942195067</v>
      </c>
      <c r="C593" s="1">
        <f t="shared" ca="1" si="58"/>
        <v>0.60817998058600153</v>
      </c>
      <c r="D593" s="1">
        <f t="shared" ca="1" si="63"/>
        <v>1.9561549665469897</v>
      </c>
      <c r="E593" s="1">
        <f t="shared" ca="1" si="61"/>
        <v>2.3452406233429883</v>
      </c>
      <c r="F593" s="1">
        <f t="shared" ca="1" si="59"/>
        <v>0.12550474691926183</v>
      </c>
      <c r="G593" s="1">
        <f t="shared" ca="1" si="62"/>
        <v>9.3597785703435576E-2</v>
      </c>
      <c r="H593" s="1">
        <f t="shared" ca="1" si="60"/>
        <v>3.6620075829793208E-2</v>
      </c>
    </row>
    <row r="594" spans="1:8">
      <c r="A594">
        <v>550</v>
      </c>
      <c r="B594">
        <f t="shared" ca="1" si="57"/>
        <v>0.69118039094313122</v>
      </c>
      <c r="C594" s="1">
        <f t="shared" ca="1" si="58"/>
        <v>31.804994972538978</v>
      </c>
      <c r="D594" s="1">
        <f t="shared" ca="1" si="63"/>
        <v>102.29897780697544</v>
      </c>
      <c r="E594" s="1">
        <f t="shared" ca="1" si="61"/>
        <v>122.64668299213568</v>
      </c>
      <c r="F594" s="1">
        <f t="shared" ca="1" si="59"/>
        <v>6.5629096289064108</v>
      </c>
      <c r="G594" s="1">
        <f t="shared" ca="1" si="62"/>
        <v>4.8942964872136816</v>
      </c>
      <c r="H594" s="1">
        <f t="shared" ca="1" si="60"/>
        <v>1.9145782108284326</v>
      </c>
    </row>
    <row r="595" spans="1:8">
      <c r="A595">
        <v>551</v>
      </c>
      <c r="B595">
        <f t="shared" ca="1" si="57"/>
        <v>0.90003089634618971</v>
      </c>
      <c r="C595" s="1">
        <f t="shared" ca="1" si="58"/>
        <v>10.295715797756273</v>
      </c>
      <c r="D595" s="1">
        <f t="shared" ca="1" si="63"/>
        <v>33.115575904657589</v>
      </c>
      <c r="E595" s="1">
        <f t="shared" ca="1" si="61"/>
        <v>39.702404555159092</v>
      </c>
      <c r="F595" s="1">
        <f t="shared" ca="1" si="59"/>
        <v>2.1245097857337498</v>
      </c>
      <c r="G595" s="1">
        <f t="shared" ca="1" si="62"/>
        <v>1.5843570388617962</v>
      </c>
      <c r="H595" s="1">
        <f t="shared" ca="1" si="60"/>
        <v>0.61978174475780179</v>
      </c>
    </row>
    <row r="596" spans="1:8">
      <c r="A596">
        <v>552</v>
      </c>
      <c r="B596">
        <f t="shared" ca="1" si="57"/>
        <v>0.68038236892504256</v>
      </c>
      <c r="C596" s="1">
        <f t="shared" ca="1" si="58"/>
        <v>32.917071142401667</v>
      </c>
      <c r="D596" s="1">
        <f t="shared" ca="1" si="63"/>
        <v>105.87590904583357</v>
      </c>
      <c r="E596" s="1">
        <f t="shared" ca="1" si="61"/>
        <v>126.93508125628389</v>
      </c>
      <c r="F596" s="1">
        <f t="shared" ca="1" si="59"/>
        <v>6.7923844828894921</v>
      </c>
      <c r="G596" s="1">
        <f t="shared" ca="1" si="62"/>
        <v>5.065427502543848</v>
      </c>
      <c r="H596" s="1">
        <f t="shared" ca="1" si="60"/>
        <v>1.9815219834690199</v>
      </c>
    </row>
    <row r="597" spans="1:8">
      <c r="A597">
        <v>553</v>
      </c>
      <c r="B597">
        <f t="shared" ca="1" si="57"/>
        <v>0.17074614640059271</v>
      </c>
      <c r="C597" s="1">
        <f t="shared" ca="1" si="58"/>
        <v>85.403933775100583</v>
      </c>
      <c r="D597" s="1">
        <f t="shared" ca="1" si="63"/>
        <v>274.6969877348381</v>
      </c>
      <c r="E597" s="1">
        <f t="shared" ca="1" si="61"/>
        <v>329.33539942193914</v>
      </c>
      <c r="F597" s="1">
        <f t="shared" ca="1" si="59"/>
        <v>17.622951187826473</v>
      </c>
      <c r="G597" s="1">
        <f t="shared" ca="1" si="62"/>
        <v>13.142329370639656</v>
      </c>
      <c r="H597" s="1">
        <f t="shared" ca="1" si="60"/>
        <v>5.1410794795486057</v>
      </c>
    </row>
    <row r="598" spans="1:8">
      <c r="A598">
        <v>554</v>
      </c>
      <c r="B598">
        <f t="shared" ca="1" si="57"/>
        <v>0.41858477352021328</v>
      </c>
      <c r="C598" s="1">
        <f t="shared" ca="1" si="58"/>
        <v>59.879311698065742</v>
      </c>
      <c r="D598" s="1">
        <f t="shared" ca="1" si="63"/>
        <v>192.59845838799791</v>
      </c>
      <c r="E598" s="1">
        <f t="shared" ca="1" si="61"/>
        <v>230.90711908057497</v>
      </c>
      <c r="F598" s="1">
        <f t="shared" ca="1" si="59"/>
        <v>12.355992788003789</v>
      </c>
      <c r="G598" s="1">
        <f t="shared" ca="1" si="62"/>
        <v>9.2144918624399139</v>
      </c>
      <c r="H598" s="1">
        <f t="shared" ca="1" si="60"/>
        <v>3.60457097107754</v>
      </c>
    </row>
    <row r="599" spans="1:8">
      <c r="A599">
        <v>555</v>
      </c>
      <c r="B599">
        <f t="shared" ca="1" si="57"/>
        <v>0.44130328550883902</v>
      </c>
      <c r="C599" s="1">
        <f t="shared" ca="1" si="58"/>
        <v>57.539557643576188</v>
      </c>
      <c r="D599" s="1">
        <f t="shared" ca="1" si="63"/>
        <v>185.07276941492876</v>
      </c>
      <c r="E599" s="1">
        <f t="shared" ca="1" si="61"/>
        <v>221.88453816595504</v>
      </c>
      <c r="F599" s="1">
        <f t="shared" ca="1" si="59"/>
        <v>11.873188880716926</v>
      </c>
      <c r="G599" s="1">
        <f t="shared" ca="1" si="62"/>
        <v>8.854440547774022</v>
      </c>
      <c r="H599" s="1">
        <f t="shared" ca="1" si="60"/>
        <v>3.4637245365406133</v>
      </c>
    </row>
    <row r="600" spans="1:8">
      <c r="A600">
        <v>556</v>
      </c>
      <c r="B600">
        <f t="shared" ca="1" si="57"/>
        <v>0.42692750317956463</v>
      </c>
      <c r="C600" s="1">
        <f t="shared" ca="1" si="58"/>
        <v>59.020103332845764</v>
      </c>
      <c r="D600" s="1">
        <f t="shared" ca="1" si="63"/>
        <v>189.83486239922402</v>
      </c>
      <c r="E600" s="1">
        <f t="shared" ca="1" si="61"/>
        <v>227.59383194988686</v>
      </c>
      <c r="F600" s="1">
        <f t="shared" ca="1" si="59"/>
        <v>12.178696736264598</v>
      </c>
      <c r="G600" s="1">
        <f t="shared" ca="1" si="62"/>
        <v>9.082273221392672</v>
      </c>
      <c r="H600" s="1">
        <f t="shared" ca="1" si="60"/>
        <v>3.5528491097420174</v>
      </c>
    </row>
    <row r="601" spans="1:8">
      <c r="A601">
        <v>557</v>
      </c>
      <c r="B601">
        <f t="shared" ca="1" si="57"/>
        <v>0.34426426012784517</v>
      </c>
      <c r="C601" s="1">
        <f t="shared" ca="1" si="58"/>
        <v>67.533497968214036</v>
      </c>
      <c r="D601" s="1">
        <f t="shared" ca="1" si="63"/>
        <v>217.21772343448555</v>
      </c>
      <c r="E601" s="1">
        <f t="shared" ca="1" si="61"/>
        <v>260.42326195271647</v>
      </c>
      <c r="F601" s="1">
        <f t="shared" ca="1" si="59"/>
        <v>13.935419921055715</v>
      </c>
      <c r="G601" s="1">
        <f t="shared" ca="1" si="62"/>
        <v>10.392350630961532</v>
      </c>
      <c r="H601" s="1">
        <f t="shared" ca="1" si="60"/>
        <v>4.0653308716163492</v>
      </c>
    </row>
    <row r="602" spans="1:8">
      <c r="A602">
        <v>558</v>
      </c>
      <c r="B602">
        <f t="shared" ca="1" si="57"/>
        <v>0.33778608834634249</v>
      </c>
      <c r="C602" s="1">
        <f t="shared" ca="1" si="58"/>
        <v>68.200677610042675</v>
      </c>
      <c r="D602" s="1">
        <f t="shared" ca="1" si="63"/>
        <v>219.363669699193</v>
      </c>
      <c r="E602" s="1">
        <f t="shared" ca="1" si="61"/>
        <v>262.99604616968804</v>
      </c>
      <c r="F602" s="1">
        <f t="shared" ca="1" si="59"/>
        <v>14.073091202068788</v>
      </c>
      <c r="G602" s="1">
        <f t="shared" ca="1" si="62"/>
        <v>10.495019074551911</v>
      </c>
      <c r="H602" s="1">
        <f t="shared" ca="1" si="60"/>
        <v>4.1054931585741921</v>
      </c>
    </row>
    <row r="603" spans="1:8">
      <c r="A603">
        <v>559</v>
      </c>
      <c r="B603">
        <f t="shared" ca="1" si="57"/>
        <v>0.38306517872577761</v>
      </c>
      <c r="C603" s="1">
        <f t="shared" ca="1" si="58"/>
        <v>63.537434905066064</v>
      </c>
      <c r="D603" s="1">
        <f t="shared" ca="1" si="63"/>
        <v>204.36460852169509</v>
      </c>
      <c r="E603" s="1">
        <f t="shared" ca="1" si="61"/>
        <v>245.01360713964152</v>
      </c>
      <c r="F603" s="1">
        <f t="shared" ca="1" si="59"/>
        <v>13.110839723427443</v>
      </c>
      <c r="G603" s="1">
        <f t="shared" ca="1" si="62"/>
        <v>9.7774194348328294</v>
      </c>
      <c r="H603" s="1">
        <f t="shared" ca="1" si="60"/>
        <v>3.8247794198305805</v>
      </c>
    </row>
    <row r="604" spans="1:8">
      <c r="A604">
        <v>560</v>
      </c>
      <c r="B604">
        <f t="shared" ca="1" si="57"/>
        <v>0.5676241661741378</v>
      </c>
      <c r="C604" s="1">
        <f t="shared" ca="1" si="58"/>
        <v>44.529911903956481</v>
      </c>
      <c r="D604" s="1">
        <f t="shared" ca="1" si="63"/>
        <v>143.22796641166957</v>
      </c>
      <c r="E604" s="1">
        <f t="shared" ca="1" si="61"/>
        <v>171.7166236661264</v>
      </c>
      <c r="F604" s="1">
        <f t="shared" ca="1" si="59"/>
        <v>9.1886726242095378</v>
      </c>
      <c r="G604" s="1">
        <f t="shared" ca="1" si="62"/>
        <v>6.8524608769194622</v>
      </c>
      <c r="H604" s="1">
        <f t="shared" ca="1" si="60"/>
        <v>2.6805814478480277</v>
      </c>
    </row>
    <row r="605" spans="1:8">
      <c r="A605">
        <v>561</v>
      </c>
      <c r="B605">
        <f t="shared" ca="1" si="57"/>
        <v>0.10755034637071004</v>
      </c>
      <c r="C605" s="1">
        <f t="shared" ca="1" si="58"/>
        <v>91.912398300447052</v>
      </c>
      <c r="D605" s="1">
        <f t="shared" ca="1" si="63"/>
        <v>295.63110241925415</v>
      </c>
      <c r="E605" s="1">
        <f t="shared" ca="1" si="61"/>
        <v>354.43339965713187</v>
      </c>
      <c r="F605" s="1">
        <f t="shared" ca="1" si="59"/>
        <v>18.965960764942366</v>
      </c>
      <c r="G605" s="1">
        <f t="shared" ca="1" si="62"/>
        <v>14.143879599524105</v>
      </c>
      <c r="H605" s="1">
        <f t="shared" ca="1" si="60"/>
        <v>5.5328702410374691</v>
      </c>
    </row>
    <row r="606" spans="1:8">
      <c r="A606">
        <v>562</v>
      </c>
      <c r="B606">
        <f t="shared" ca="1" si="57"/>
        <v>0.46583358783223239</v>
      </c>
      <c r="C606" s="1">
        <f t="shared" ca="1" si="58"/>
        <v>55.013209335740292</v>
      </c>
      <c r="D606" s="1">
        <f t="shared" ca="1" si="63"/>
        <v>176.94691038887808</v>
      </c>
      <c r="E606" s="1">
        <f t="shared" ca="1" si="61"/>
        <v>212.1424107905479</v>
      </c>
      <c r="F606" s="1">
        <f t="shared" ca="1" si="59"/>
        <v>11.351881595513042</v>
      </c>
      <c r="G606" s="1">
        <f t="shared" ca="1" si="62"/>
        <v>8.4656753150373198</v>
      </c>
      <c r="H606" s="1">
        <f t="shared" ca="1" si="60"/>
        <v>3.3116456670225469</v>
      </c>
    </row>
    <row r="607" spans="1:8">
      <c r="A607">
        <v>563</v>
      </c>
      <c r="B607">
        <f t="shared" ca="1" si="57"/>
        <v>0.69496935507573454</v>
      </c>
      <c r="C607" s="1">
        <f t="shared" ca="1" si="58"/>
        <v>31.414773808581913</v>
      </c>
      <c r="D607" s="1">
        <f t="shared" ca="1" si="63"/>
        <v>101.04385310486629</v>
      </c>
      <c r="E607" s="1">
        <f t="shared" ca="1" si="61"/>
        <v>121.14190858234502</v>
      </c>
      <c r="F607" s="1">
        <f t="shared" ca="1" si="59"/>
        <v>6.4823882158531916</v>
      </c>
      <c r="G607" s="1">
        <f t="shared" ca="1" si="62"/>
        <v>4.8342475932610878</v>
      </c>
      <c r="H607" s="1">
        <f t="shared" ca="1" si="60"/>
        <v>1.8910880241061392</v>
      </c>
    </row>
    <row r="608" spans="1:8">
      <c r="A608">
        <v>564</v>
      </c>
      <c r="B608">
        <f t="shared" ca="1" si="57"/>
        <v>0.37678739614118739</v>
      </c>
      <c r="C608" s="1">
        <f t="shared" ca="1" si="58"/>
        <v>64.183976688385897</v>
      </c>
      <c r="D608" s="1">
        <f t="shared" ca="1" si="63"/>
        <v>206.44417426067614</v>
      </c>
      <c r="E608" s="1">
        <f t="shared" ca="1" si="61"/>
        <v>247.50680745849229</v>
      </c>
      <c r="F608" s="1">
        <f t="shared" ca="1" si="59"/>
        <v>13.24425242063468</v>
      </c>
      <c r="G608" s="1">
        <f t="shared" ca="1" si="62"/>
        <v>9.8769120368967336</v>
      </c>
      <c r="H608" s="1">
        <f t="shared" ca="1" si="60"/>
        <v>3.8636993673289126</v>
      </c>
    </row>
    <row r="609" spans="1:8">
      <c r="A609">
        <v>565</v>
      </c>
      <c r="B609">
        <f t="shared" ca="1" si="57"/>
        <v>0.71188696416609754</v>
      </c>
      <c r="C609" s="1">
        <f t="shared" ca="1" si="58"/>
        <v>29.672448233682296</v>
      </c>
      <c r="D609" s="1">
        <f t="shared" ca="1" si="63"/>
        <v>95.4397596569423</v>
      </c>
      <c r="E609" s="1">
        <f t="shared" ca="1" si="61"/>
        <v>114.42313681700534</v>
      </c>
      <c r="F609" s="1">
        <f t="shared" ca="1" si="59"/>
        <v>6.1228625666879477</v>
      </c>
      <c r="G609" s="1">
        <f t="shared" ca="1" si="62"/>
        <v>4.5661311163968232</v>
      </c>
      <c r="H609" s="1">
        <f t="shared" ca="1" si="60"/>
        <v>1.7862050580712121</v>
      </c>
    </row>
    <row r="610" spans="1:8">
      <c r="A610">
        <v>566</v>
      </c>
      <c r="B610">
        <f t="shared" ca="1" si="57"/>
        <v>0.37357803673968104</v>
      </c>
      <c r="C610" s="1">
        <f t="shared" ca="1" si="58"/>
        <v>64.514505011532592</v>
      </c>
      <c r="D610" s="1">
        <f t="shared" ca="1" si="63"/>
        <v>207.50730025548708</v>
      </c>
      <c r="E610" s="1">
        <f t="shared" ca="1" si="61"/>
        <v>248.78139379137735</v>
      </c>
      <c r="F610" s="1">
        <f t="shared" ca="1" si="59"/>
        <v>13.31245632675806</v>
      </c>
      <c r="G610" s="1">
        <f t="shared" ca="1" si="62"/>
        <v>9.9277751423820852</v>
      </c>
      <c r="H610" s="1">
        <f t="shared" ca="1" si="60"/>
        <v>3.8835962174868826</v>
      </c>
    </row>
    <row r="611" spans="1:8">
      <c r="A611">
        <v>567</v>
      </c>
      <c r="B611">
        <f t="shared" ca="1" si="57"/>
        <v>0.32762300567529479</v>
      </c>
      <c r="C611" s="1">
        <f t="shared" ca="1" si="58"/>
        <v>69.247362089096654</v>
      </c>
      <c r="D611" s="1">
        <f t="shared" ca="1" si="63"/>
        <v>222.73027219623094</v>
      </c>
      <c r="E611" s="1">
        <f t="shared" ca="1" si="61"/>
        <v>267.0322803996151</v>
      </c>
      <c r="F611" s="1">
        <f t="shared" ca="1" si="59"/>
        <v>14.28907260200017</v>
      </c>
      <c r="G611" s="1">
        <f t="shared" ca="1" si="62"/>
        <v>10.656087338116043</v>
      </c>
      <c r="H611" s="1">
        <f t="shared" ca="1" si="60"/>
        <v>4.1685005403445192</v>
      </c>
    </row>
    <row r="612" spans="1:8">
      <c r="A612">
        <v>568</v>
      </c>
      <c r="B612">
        <f t="shared" ca="1" si="57"/>
        <v>0.89072567769518185</v>
      </c>
      <c r="C612" s="1">
        <f t="shared" ca="1" si="58"/>
        <v>11.25404982410042</v>
      </c>
      <c r="D612" s="1">
        <f t="shared" ca="1" si="63"/>
        <v>36.198004077283883</v>
      </c>
      <c r="E612" s="1">
        <f t="shared" ca="1" si="61"/>
        <v>43.397940963924896</v>
      </c>
      <c r="F612" s="1">
        <f t="shared" ca="1" si="59"/>
        <v>2.3222602336994633</v>
      </c>
      <c r="G612" s="1">
        <f t="shared" ca="1" si="62"/>
        <v>1.7318295586388999</v>
      </c>
      <c r="H612" s="1">
        <f t="shared" ca="1" si="60"/>
        <v>0.6774706845192231</v>
      </c>
    </row>
    <row r="613" spans="1:8">
      <c r="A613">
        <v>569</v>
      </c>
      <c r="B613">
        <f t="shared" ca="1" si="57"/>
        <v>0.15856925981990666</v>
      </c>
      <c r="C613" s="1">
        <f t="shared" ca="1" si="58"/>
        <v>86.658017658872723</v>
      </c>
      <c r="D613" s="1">
        <f t="shared" ca="1" si="63"/>
        <v>278.73067889878683</v>
      </c>
      <c r="E613" s="1">
        <f t="shared" ca="1" si="61"/>
        <v>334.17140912703758</v>
      </c>
      <c r="F613" s="1">
        <f t="shared" ca="1" si="59"/>
        <v>17.881729070052547</v>
      </c>
      <c r="G613" s="1">
        <f t="shared" ca="1" si="62"/>
        <v>13.335313137539027</v>
      </c>
      <c r="H613" s="1">
        <f t="shared" ca="1" si="60"/>
        <v>5.2165717063066275</v>
      </c>
    </row>
    <row r="614" spans="1:8">
      <c r="A614">
        <v>570</v>
      </c>
      <c r="B614">
        <f t="shared" ca="1" si="57"/>
        <v>6.7143485858088714E-2</v>
      </c>
      <c r="C614" s="1">
        <f t="shared" ca="1" si="58"/>
        <v>100.92055679254878</v>
      </c>
      <c r="D614" s="1">
        <f t="shared" ca="1" si="63"/>
        <v>323.28250415289119</v>
      </c>
      <c r="E614" s="1">
        <f t="shared" ca="1" si="61"/>
        <v>387.54192468789154</v>
      </c>
      <c r="F614" s="1">
        <f t="shared" ca="1" si="59"/>
        <v>23.170643723318463</v>
      </c>
      <c r="G614" s="1">
        <f t="shared" ca="1" si="62"/>
        <v>15.619942099177788</v>
      </c>
      <c r="H614" s="1">
        <f t="shared" ca="1" si="60"/>
        <v>6.0179463124969503</v>
      </c>
    </row>
    <row r="615" spans="1:8">
      <c r="A615">
        <v>571</v>
      </c>
      <c r="B615">
        <f t="shared" ca="1" si="57"/>
        <v>0.3276797682804633</v>
      </c>
      <c r="C615" s="1">
        <f t="shared" ca="1" si="58"/>
        <v>69.241516172090599</v>
      </c>
      <c r="D615" s="1">
        <f t="shared" ca="1" si="63"/>
        <v>222.71146912884637</v>
      </c>
      <c r="E615" s="1">
        <f t="shared" ca="1" si="61"/>
        <v>267.00973732116375</v>
      </c>
      <c r="F615" s="1">
        <f t="shared" ca="1" si="59"/>
        <v>14.287866307874179</v>
      </c>
      <c r="G615" s="1">
        <f t="shared" ca="1" si="62"/>
        <v>10.655187743520015</v>
      </c>
      <c r="H615" s="1">
        <f t="shared" ca="1" si="60"/>
        <v>4.1681486330295936</v>
      </c>
    </row>
    <row r="616" spans="1:8">
      <c r="A616">
        <v>572</v>
      </c>
      <c r="B616">
        <f t="shared" ca="1" si="57"/>
        <v>0.44767309664200139</v>
      </c>
      <c r="C616" s="1">
        <f t="shared" ca="1" si="58"/>
        <v>56.883537943315396</v>
      </c>
      <c r="D616" s="1">
        <f t="shared" ca="1" si="63"/>
        <v>182.96271848248327</v>
      </c>
      <c r="E616" s="1">
        <f t="shared" ca="1" si="61"/>
        <v>219.35478901739378</v>
      </c>
      <c r="F616" s="1">
        <f t="shared" ca="1" si="59"/>
        <v>11.737820432936989</v>
      </c>
      <c r="G616" s="1">
        <f t="shared" ca="1" si="62"/>
        <v>8.7534894435020156</v>
      </c>
      <c r="H616" s="1">
        <f t="shared" ca="1" si="60"/>
        <v>3.4242340458241123</v>
      </c>
    </row>
    <row r="617" spans="1:8">
      <c r="A617">
        <v>573</v>
      </c>
      <c r="B617">
        <f t="shared" ca="1" si="57"/>
        <v>0.14482960731988526</v>
      </c>
      <c r="C617" s="1">
        <f t="shared" ca="1" si="58"/>
        <v>88.073049050906562</v>
      </c>
      <c r="D617" s="1">
        <f t="shared" ca="1" si="63"/>
        <v>283.28204878449861</v>
      </c>
      <c r="E617" s="1">
        <f t="shared" ca="1" si="61"/>
        <v>339.62806608072668</v>
      </c>
      <c r="F617" s="1">
        <f t="shared" ca="1" si="59"/>
        <v>18.173718171939818</v>
      </c>
      <c r="G617" s="1">
        <f t="shared" ca="1" si="62"/>
        <v>13.553064192192693</v>
      </c>
      <c r="H617" s="1">
        <f t="shared" ca="1" si="60"/>
        <v>5.3017525080850731</v>
      </c>
    </row>
    <row r="618" spans="1:8">
      <c r="A618">
        <v>574</v>
      </c>
      <c r="B618">
        <f t="shared" ca="1" si="57"/>
        <v>0.80380779861239726</v>
      </c>
      <c r="C618" s="1">
        <f t="shared" ca="1" si="58"/>
        <v>20.20562464966099</v>
      </c>
      <c r="D618" s="1">
        <f t="shared" ca="1" si="63"/>
        <v>64.9902473590341</v>
      </c>
      <c r="E618" s="1">
        <f t="shared" ca="1" si="61"/>
        <v>77.91708541071813</v>
      </c>
      <c r="F618" s="1">
        <f t="shared" ca="1" si="59"/>
        <v>4.1694010876103764</v>
      </c>
      <c r="G618" s="1">
        <f t="shared" ca="1" si="62"/>
        <v>3.1093360012877795</v>
      </c>
      <c r="H618" s="1">
        <f t="shared" ca="1" si="60"/>
        <v>1.2163296279417075</v>
      </c>
    </row>
    <row r="619" spans="1:8">
      <c r="A619">
        <v>575</v>
      </c>
      <c r="B619">
        <f t="shared" ca="1" si="57"/>
        <v>5.6805614844694707E-2</v>
      </c>
      <c r="C619" s="1">
        <f t="shared" ca="1" si="58"/>
        <v>103.51019348140397</v>
      </c>
      <c r="D619" s="1">
        <f t="shared" ca="1" si="63"/>
        <v>331.19571256734025</v>
      </c>
      <c r="E619" s="1">
        <f t="shared" ca="1" si="61"/>
        <v>397.0156191276032</v>
      </c>
      <c r="F619" s="1">
        <f t="shared" ca="1" si="59"/>
        <v>24.443106455099745</v>
      </c>
      <c r="G619" s="1">
        <f t="shared" ca="1" si="62"/>
        <v>16.046716138594572</v>
      </c>
      <c r="H619" s="1">
        <f t="shared" ca="1" si="60"/>
        <v>6.1558411771006369</v>
      </c>
    </row>
    <row r="620" spans="1:8">
      <c r="A620">
        <v>576</v>
      </c>
      <c r="B620">
        <f t="shared" ca="1" si="57"/>
        <v>0.58230113680684792</v>
      </c>
      <c r="C620" s="1">
        <f t="shared" ca="1" si="58"/>
        <v>43.018347169316264</v>
      </c>
      <c r="D620" s="1">
        <f t="shared" ca="1" si="63"/>
        <v>138.366102390648</v>
      </c>
      <c r="E620" s="1">
        <f t="shared" ca="1" si="61"/>
        <v>165.88771395666006</v>
      </c>
      <c r="F620" s="1">
        <f t="shared" ca="1" si="59"/>
        <v>8.8767640462113508</v>
      </c>
      <c r="G620" s="1">
        <f t="shared" ca="1" si="62"/>
        <v>6.6198548605454262</v>
      </c>
      <c r="H620" s="1">
        <f t="shared" ca="1" si="60"/>
        <v>2.5895896177292523</v>
      </c>
    </row>
    <row r="621" spans="1:8">
      <c r="A621">
        <v>577</v>
      </c>
      <c r="B621">
        <f t="shared" ca="1" si="57"/>
        <v>0.965721156830607</v>
      </c>
      <c r="C621" s="1">
        <f t="shared" ca="1" si="58"/>
        <v>3.5303495895362431</v>
      </c>
      <c r="D621" s="1">
        <f t="shared" ca="1" si="63"/>
        <v>11.355151224857764</v>
      </c>
      <c r="E621" s="1">
        <f t="shared" ca="1" si="61"/>
        <v>13.613737708498718</v>
      </c>
      <c r="F621" s="1">
        <f t="shared" ca="1" si="59"/>
        <v>0.72848902308665231</v>
      </c>
      <c r="G621" s="1">
        <f t="shared" ca="1" si="62"/>
        <v>0.54327368533930276</v>
      </c>
      <c r="H621" s="1">
        <f t="shared" ca="1" si="60"/>
        <v>0.21252624414823895</v>
      </c>
    </row>
    <row r="622" spans="1:8">
      <c r="A622">
        <v>578</v>
      </c>
      <c r="B622">
        <f t="shared" ref="B622:B685" ca="1" si="64">RAND()</f>
        <v>0.82594083089709303</v>
      </c>
      <c r="C622" s="1">
        <f t="shared" ref="C622:C685" ca="1" si="65">IF($B622&lt;=0.005,$F$4,IF(B622&lt;=0.01,$F$4+($B622-0.005)*SLOPE($E$4:$F$4,$E$3:$F$3),IF($B622&lt;=0.04,$E$4+($B622-0.01)*SLOPE($D$4:$E$4,$D$3:$E$3),IF($B622&lt;=0.1,$D$4+($B622-0.04)*SLOPE($C$4:$D$4,$C$3:$D$3),IF($B622&lt;=1,$C$4+($B622-0.1)*SLOPE($B$4:$C$4,$B$3:$C$3),)))))</f>
        <v>17.926168492840844</v>
      </c>
      <c r="D622" s="1">
        <f t="shared" ca="1" si="63"/>
        <v>57.658503225047156</v>
      </c>
      <c r="E622" s="1">
        <f t="shared" ca="1" si="61"/>
        <v>69.127025798779471</v>
      </c>
      <c r="F622" s="1">
        <f t="shared" ref="F622:F685" ca="1" si="66">IF($B622&lt;=0.005,$F$22,IF($B622&lt;=0.01,$F$22+($B622-0.005)*SLOPE($E$22:$F$22,$E$21:$F$21),IF($B622&lt;=0.04,$E$22+($B622-0.01)*SLOPE($D$22:$E$22,$D$21:$E$21),IF($B622&lt;=0.1,$D$22+($B622-0.04)*SLOPE($C$22:$D$22,$C$21:$D$21),IF($B622&lt;=1,$C$22+($B622-0.1)*SLOPE($B$22:$C$22,$B$21:$C$21),)))))</f>
        <v>3.6990395396134215</v>
      </c>
      <c r="G622" s="1">
        <f t="shared" ca="1" si="62"/>
        <v>2.7585635838144373</v>
      </c>
      <c r="H622" s="1">
        <f t="shared" ref="H622:H685" ca="1" si="67">IF($B622&lt;=0.005,$F$34,IF($B622&lt;=0.01,$F$34+($B622-0.005)*SLOPE($E$34:$F$34,$E$33:$F$33),IF($B622&lt;=0.04,$E$34+($B622-0.01)*SLOPE($D$34:$E$34,$D$33:$E$33),IF($B622&lt;=0.1,$D$34+($B622-0.04)*SLOPE($C$34:$D$34,$C$33:$D$33),IF($B622&lt;=1,$C$34+($B622-0.1)*SLOPE($B$34:$C$34,$B$33:$C$33),)))))</f>
        <v>1.0791129526440111</v>
      </c>
    </row>
    <row r="623" spans="1:8">
      <c r="A623">
        <v>579</v>
      </c>
      <c r="B623">
        <f t="shared" ca="1" si="64"/>
        <v>0.4251338335106748</v>
      </c>
      <c r="C623" s="1">
        <f t="shared" ca="1" si="65"/>
        <v>59.204831359148763</v>
      </c>
      <c r="D623" s="1">
        <f t="shared" ca="1" si="63"/>
        <v>190.42902983656546</v>
      </c>
      <c r="E623" s="1">
        <f t="shared" ref="E623:E686" ca="1" si="68">IF($B623&lt;=0.005,$F$16,IF($B623&lt;=0.01,$F$16+($B623-0.005)*SLOPE($E$16:$F$16,$E$15:$F$15),IF($B623&lt;=0.04,$E$16+($B623-0.01)*SLOPE($D$16:$E$16,$D$15:$E$15),IF($B623&lt;=0.1,$D$16+($B623-0.04)*SLOPE($C$16:$D$16,$C$15:$D$15),IF($B623&lt;=1,$C$16+($B623-0.1)*SLOPE($B$16:$C$16,$B$15:$C$15),)))))</f>
        <v>228.3061818489366</v>
      </c>
      <c r="F623" s="1">
        <f t="shared" ca="1" si="66"/>
        <v>12.216815021694361</v>
      </c>
      <c r="G623" s="1">
        <f t="shared" ref="G623:G686" ca="1" si="69">IF($B623&lt;=0.005,$F$28,IF($B623&lt;=0.01,$F$28+($B623-0.005)*SLOPE($E$28:$F$28,$E$27:$F$27),IF($B623&lt;=0.04,$E$28+($B623-0.01)*SLOPE($D$28:$E$28,$D$27:$E$27),IF($B623&lt;=0.1,$D$28+($B623-0.04)*SLOPE($C$28:$D$28,$C$27:$D$27),IF($B623&lt;=1,$C$28+($B623-0.1)*SLOPE($B$28:$C$28,$B$27:$C$27),)))))</f>
        <v>9.110699956501179</v>
      </c>
      <c r="H623" s="1">
        <f t="shared" ca="1" si="67"/>
        <v>3.563969203246673</v>
      </c>
    </row>
    <row r="624" spans="1:8">
      <c r="A624">
        <v>580</v>
      </c>
      <c r="B624">
        <f t="shared" ca="1" si="64"/>
        <v>0.52263503613666862</v>
      </c>
      <c r="C624" s="1">
        <f t="shared" ca="1" si="65"/>
        <v>49.163291918713945</v>
      </c>
      <c r="D624" s="1">
        <f t="shared" ref="D624:D687" ca="1" si="70">IF($B624&lt;=0.005,$F$10,IF($B624&lt;=0.01,$F$10+($B624-0.005)*SLOPE($E$10:$F$10,$E$9:$F$9),IF($B624&lt;=0.04,$E$10+($B624-0.01)*SLOPE($D$10:$E$10,$D$9:$E$9),IF($B624&lt;=0.1,$D$10+($B624-0.04)*SLOPE($C$10:$D$10,$C$9:$D$9),IF($B624&lt;=1,$C$10+($B624-0.1)*SLOPE($B$10:$C$10,$B$9:$C$9),)))))</f>
        <v>158.13097590456539</v>
      </c>
      <c r="E624" s="1">
        <f t="shared" ca="1" si="68"/>
        <v>189.58390591791522</v>
      </c>
      <c r="F624" s="1">
        <f t="shared" ca="1" si="66"/>
        <v>10.144761992140047</v>
      </c>
      <c r="G624" s="1">
        <f t="shared" ca="1" si="69"/>
        <v>7.5654651187366868</v>
      </c>
      <c r="H624" s="1">
        <f t="shared" ca="1" si="67"/>
        <v>2.9594975389136811</v>
      </c>
    </row>
    <row r="625" spans="1:8">
      <c r="A625">
        <v>581</v>
      </c>
      <c r="B625">
        <f t="shared" ca="1" si="64"/>
        <v>0.48374257178579594</v>
      </c>
      <c r="C625" s="1">
        <f t="shared" ca="1" si="65"/>
        <v>53.168783176222547</v>
      </c>
      <c r="D625" s="1">
        <f t="shared" ca="1" si="70"/>
        <v>171.01441608090209</v>
      </c>
      <c r="E625" s="1">
        <f t="shared" ca="1" si="68"/>
        <v>205.02991782003306</v>
      </c>
      <c r="F625" s="1">
        <f t="shared" ca="1" si="66"/>
        <v>10.971287680178836</v>
      </c>
      <c r="G625" s="1">
        <f t="shared" ca="1" si="69"/>
        <v>8.1818471655511527</v>
      </c>
      <c r="H625" s="1">
        <f t="shared" ca="1" si="67"/>
        <v>3.2006165407619309</v>
      </c>
    </row>
    <row r="626" spans="1:8">
      <c r="A626">
        <v>582</v>
      </c>
      <c r="B626">
        <f t="shared" ca="1" si="64"/>
        <v>0.74598378698779322</v>
      </c>
      <c r="C626" s="1">
        <f t="shared" ca="1" si="65"/>
        <v>26.160854715488142</v>
      </c>
      <c r="D626" s="1">
        <f t="shared" ca="1" si="70"/>
        <v>84.144914129453582</v>
      </c>
      <c r="E626" s="1">
        <f t="shared" ca="1" si="68"/>
        <v>100.88169787970907</v>
      </c>
      <c r="F626" s="1">
        <f t="shared" ca="1" si="66"/>
        <v>5.3982517606358407</v>
      </c>
      <c r="G626" s="1">
        <f t="shared" ca="1" si="69"/>
        <v>4.0257521563210936</v>
      </c>
      <c r="H626" s="1">
        <f t="shared" ca="1" si="67"/>
        <v>1.5748172732604147</v>
      </c>
    </row>
    <row r="627" spans="1:8">
      <c r="A627">
        <v>583</v>
      </c>
      <c r="B627">
        <f t="shared" ca="1" si="64"/>
        <v>0.89626457834751827</v>
      </c>
      <c r="C627" s="1">
        <f t="shared" ca="1" si="65"/>
        <v>10.683604661793694</v>
      </c>
      <c r="D627" s="1">
        <f t="shared" ca="1" si="70"/>
        <v>34.363198893604419</v>
      </c>
      <c r="E627" s="1">
        <f t="shared" ca="1" si="68"/>
        <v>41.198185128737862</v>
      </c>
      <c r="F627" s="1">
        <f t="shared" ca="1" si="66"/>
        <v>2.2045499330265734</v>
      </c>
      <c r="G627" s="1">
        <f t="shared" ca="1" si="69"/>
        <v>1.644047028573727</v>
      </c>
      <c r="H627" s="1">
        <f t="shared" ca="1" si="67"/>
        <v>0.64313153376293997</v>
      </c>
    </row>
    <row r="628" spans="1:8">
      <c r="A628">
        <v>584</v>
      </c>
      <c r="B628">
        <f t="shared" ca="1" si="64"/>
        <v>0.48546336518526201</v>
      </c>
      <c r="C628" s="1">
        <f t="shared" ca="1" si="65"/>
        <v>52.991560595124135</v>
      </c>
      <c r="D628" s="1">
        <f t="shared" ca="1" si="70"/>
        <v>170.44438949123042</v>
      </c>
      <c r="E628" s="1">
        <f t="shared" ca="1" si="68"/>
        <v>204.34651048720247</v>
      </c>
      <c r="F628" s="1">
        <f t="shared" ca="1" si="66"/>
        <v>10.934718129439261</v>
      </c>
      <c r="G628" s="1">
        <f t="shared" ca="1" si="69"/>
        <v>8.1545754003027788</v>
      </c>
      <c r="H628" s="1">
        <f t="shared" ca="1" si="67"/>
        <v>3.1899482533753791</v>
      </c>
    </row>
    <row r="629" spans="1:8">
      <c r="A629">
        <v>585</v>
      </c>
      <c r="B629">
        <f t="shared" ca="1" si="64"/>
        <v>0.47955362616535635</v>
      </c>
      <c r="C629" s="1">
        <f t="shared" ca="1" si="65"/>
        <v>53.600197984743758</v>
      </c>
      <c r="D629" s="1">
        <f t="shared" ca="1" si="70"/>
        <v>172.40203785297555</v>
      </c>
      <c r="E629" s="1">
        <f t="shared" ca="1" si="68"/>
        <v>206.69354353752203</v>
      </c>
      <c r="F629" s="1">
        <f t="shared" ca="1" si="66"/>
        <v>11.060309325345251</v>
      </c>
      <c r="G629" s="1">
        <f t="shared" ca="1" si="69"/>
        <v>8.2482351128981595</v>
      </c>
      <c r="H629" s="1">
        <f t="shared" ca="1" si="67"/>
        <v>3.2265864658786541</v>
      </c>
    </row>
    <row r="630" spans="1:8">
      <c r="A630">
        <v>586</v>
      </c>
      <c r="B630">
        <f t="shared" ca="1" si="64"/>
        <v>0.8621796766170513</v>
      </c>
      <c r="C630" s="1">
        <f t="shared" ca="1" si="65"/>
        <v>14.193970440180323</v>
      </c>
      <c r="D630" s="1">
        <f t="shared" ca="1" si="70"/>
        <v>45.654095464187378</v>
      </c>
      <c r="E630" s="1">
        <f t="shared" ca="1" si="68"/>
        <v>54.734889644595967</v>
      </c>
      <c r="F630" s="1">
        <f t="shared" ca="1" si="66"/>
        <v>2.9289073972476984</v>
      </c>
      <c r="G630" s="1">
        <f t="shared" ca="1" si="69"/>
        <v>2.1842370588211626</v>
      </c>
      <c r="H630" s="1">
        <f t="shared" ca="1" si="67"/>
        <v>0.85444541218426107</v>
      </c>
    </row>
    <row r="631" spans="1:8">
      <c r="A631">
        <v>587</v>
      </c>
      <c r="B631">
        <f t="shared" ca="1" si="64"/>
        <v>0.3623792490091432</v>
      </c>
      <c r="C631" s="1">
        <f t="shared" ca="1" si="65"/>
        <v>65.667855592372234</v>
      </c>
      <c r="D631" s="1">
        <f t="shared" ca="1" si="70"/>
        <v>211.21698834499074</v>
      </c>
      <c r="E631" s="1">
        <f t="shared" ca="1" si="68"/>
        <v>253.22895481540121</v>
      </c>
      <c r="F631" s="1">
        <f t="shared" ca="1" si="66"/>
        <v>13.550448078853744</v>
      </c>
      <c r="G631" s="1">
        <f t="shared" ca="1" si="69"/>
        <v>10.105257639786103</v>
      </c>
      <c r="H631" s="1">
        <f t="shared" ca="1" si="67"/>
        <v>3.953024590426617</v>
      </c>
    </row>
    <row r="632" spans="1:8">
      <c r="A632">
        <v>588</v>
      </c>
      <c r="B632">
        <f t="shared" ca="1" si="64"/>
        <v>0.97826155624312527</v>
      </c>
      <c r="C632" s="1">
        <f t="shared" ca="1" si="65"/>
        <v>2.2388279271558815</v>
      </c>
      <c r="D632" s="1">
        <f t="shared" ca="1" si="70"/>
        <v>7.2010435252019533</v>
      </c>
      <c r="E632" s="1">
        <f t="shared" ca="1" si="68"/>
        <v>8.6333601002404521</v>
      </c>
      <c r="F632" s="1">
        <f t="shared" ca="1" si="66"/>
        <v>0.46198592471766631</v>
      </c>
      <c r="G632" s="1">
        <f t="shared" ca="1" si="69"/>
        <v>0.3445288336882264</v>
      </c>
      <c r="H632" s="1">
        <f t="shared" ca="1" si="67"/>
        <v>0.13478037127564679</v>
      </c>
    </row>
    <row r="633" spans="1:8">
      <c r="A633">
        <v>589</v>
      </c>
      <c r="B633">
        <f t="shared" ca="1" si="64"/>
        <v>0.2705757439588683</v>
      </c>
      <c r="C633" s="1">
        <f t="shared" ca="1" si="65"/>
        <v>75.122595553566597</v>
      </c>
      <c r="D633" s="1">
        <f t="shared" ca="1" si="70"/>
        <v>241.62763434116567</v>
      </c>
      <c r="E633" s="1">
        <f t="shared" ca="1" si="68"/>
        <v>289.68840924518628</v>
      </c>
      <c r="F633" s="1">
        <f t="shared" ca="1" si="66"/>
        <v>15.501416124784431</v>
      </c>
      <c r="G633" s="1">
        <f t="shared" ca="1" si="69"/>
        <v>11.560193275572344</v>
      </c>
      <c r="H633" s="1">
        <f t="shared" ca="1" si="67"/>
        <v>4.522172621371495</v>
      </c>
    </row>
    <row r="634" spans="1:8">
      <c r="A634">
        <v>590</v>
      </c>
      <c r="B634">
        <f t="shared" ca="1" si="64"/>
        <v>0.83870300707426448</v>
      </c>
      <c r="C634" s="1">
        <f t="shared" ca="1" si="65"/>
        <v>16.611806290351666</v>
      </c>
      <c r="D634" s="1">
        <f t="shared" ca="1" si="70"/>
        <v>53.430930196629134</v>
      </c>
      <c r="E634" s="1">
        <f t="shared" ca="1" si="68"/>
        <v>64.058570291534352</v>
      </c>
      <c r="F634" s="1">
        <f t="shared" ca="1" si="66"/>
        <v>3.4278233381779319</v>
      </c>
      <c r="G634" s="1">
        <f t="shared" ca="1" si="69"/>
        <v>2.5563039326150587</v>
      </c>
      <c r="H634" s="1">
        <f t="shared" ca="1" si="67"/>
        <v>0.99999214524312841</v>
      </c>
    </row>
    <row r="635" spans="1:8">
      <c r="A635">
        <v>591</v>
      </c>
      <c r="B635">
        <f t="shared" ca="1" si="64"/>
        <v>0.24657913563291234</v>
      </c>
      <c r="C635" s="1">
        <f t="shared" ca="1" si="65"/>
        <v>77.59397931552968</v>
      </c>
      <c r="D635" s="1">
        <f t="shared" ca="1" si="70"/>
        <v>249.57670295798889</v>
      </c>
      <c r="E635" s="1">
        <f t="shared" ca="1" si="68"/>
        <v>299.21858183773014</v>
      </c>
      <c r="F635" s="1">
        <f t="shared" ca="1" si="66"/>
        <v>16.011381577944586</v>
      </c>
      <c r="G635" s="1">
        <f t="shared" ca="1" si="69"/>
        <v>11.940500329996009</v>
      </c>
      <c r="H635" s="1">
        <f t="shared" ca="1" si="67"/>
        <v>4.6709427840204469</v>
      </c>
    </row>
    <row r="636" spans="1:8">
      <c r="A636">
        <v>592</v>
      </c>
      <c r="B636">
        <f t="shared" ca="1" si="64"/>
        <v>0.76745922575773962</v>
      </c>
      <c r="C636" s="1">
        <f t="shared" ca="1" si="65"/>
        <v>23.949123376785977</v>
      </c>
      <c r="D636" s="1">
        <f t="shared" ca="1" si="70"/>
        <v>77.031003111701921</v>
      </c>
      <c r="E636" s="1">
        <f t="shared" ca="1" si="68"/>
        <v>92.352799328790866</v>
      </c>
      <c r="F636" s="1">
        <f t="shared" ca="1" si="66"/>
        <v>4.9418651031812963</v>
      </c>
      <c r="G636" s="1">
        <f t="shared" ca="1" si="69"/>
        <v>3.6854015221766847</v>
      </c>
      <c r="H636" s="1">
        <f t="shared" ca="1" si="67"/>
        <v>1.4416774363565983</v>
      </c>
    </row>
    <row r="637" spans="1:8">
      <c r="A637">
        <v>593</v>
      </c>
      <c r="B637">
        <f t="shared" ca="1" si="64"/>
        <v>0.66305116381788631</v>
      </c>
      <c r="C637" s="1">
        <f t="shared" ca="1" si="65"/>
        <v>34.701992506924178</v>
      </c>
      <c r="D637" s="1">
        <f t="shared" ca="1" si="70"/>
        <v>111.61700948543219</v>
      </c>
      <c r="E637" s="1">
        <f t="shared" ca="1" si="68"/>
        <v>133.8181112938797</v>
      </c>
      <c r="F637" s="1">
        <f t="shared" ca="1" si="66"/>
        <v>7.1606996941988594</v>
      </c>
      <c r="G637" s="1">
        <f t="shared" ca="1" si="69"/>
        <v>5.3400988008533528</v>
      </c>
      <c r="H637" s="1">
        <f t="shared" ca="1" si="67"/>
        <v>2.0889690929801206</v>
      </c>
    </row>
    <row r="638" spans="1:8">
      <c r="A638">
        <v>594</v>
      </c>
      <c r="B638">
        <f t="shared" ca="1" si="64"/>
        <v>0.93841848976963615</v>
      </c>
      <c r="C638" s="1">
        <f t="shared" ca="1" si="65"/>
        <v>6.3422206304859259</v>
      </c>
      <c r="D638" s="1">
        <f t="shared" ca="1" si="70"/>
        <v>20.399378264859251</v>
      </c>
      <c r="E638" s="1">
        <f t="shared" ca="1" si="68"/>
        <v>24.456900450225419</v>
      </c>
      <c r="F638" s="1">
        <f t="shared" ca="1" si="66"/>
        <v>1.3087133944270235</v>
      </c>
      <c r="G638" s="1">
        <f t="shared" ca="1" si="69"/>
        <v>0.97597637177006114</v>
      </c>
      <c r="H638" s="1">
        <f t="shared" ca="1" si="67"/>
        <v>0.38179275732532592</v>
      </c>
    </row>
    <row r="639" spans="1:8">
      <c r="A639">
        <v>595</v>
      </c>
      <c r="B639">
        <f t="shared" ca="1" si="64"/>
        <v>0.83770059589504475</v>
      </c>
      <c r="C639" s="1">
        <f t="shared" ca="1" si="65"/>
        <v>16.715043492771414</v>
      </c>
      <c r="D639" s="1">
        <f t="shared" ca="1" si="70"/>
        <v>53.762986924715563</v>
      </c>
      <c r="E639" s="1">
        <f t="shared" ca="1" si="68"/>
        <v>64.456674532637749</v>
      </c>
      <c r="F639" s="1">
        <f t="shared" ca="1" si="66"/>
        <v>3.4491261433210507</v>
      </c>
      <c r="G639" s="1">
        <f t="shared" ca="1" si="69"/>
        <v>2.5721905128230649</v>
      </c>
      <c r="H639" s="1">
        <f t="shared" ca="1" si="67"/>
        <v>1.0062067265767887</v>
      </c>
    </row>
    <row r="640" spans="1:8">
      <c r="A640">
        <v>596</v>
      </c>
      <c r="B640">
        <f t="shared" ca="1" si="64"/>
        <v>7.1626442338145635E-2</v>
      </c>
      <c r="C640" s="1">
        <f t="shared" ca="1" si="65"/>
        <v>99.797576194294521</v>
      </c>
      <c r="D640" s="1">
        <f t="shared" ca="1" si="70"/>
        <v>319.85098823499726</v>
      </c>
      <c r="E640" s="1">
        <f t="shared" ca="1" si="68"/>
        <v>383.43371325600589</v>
      </c>
      <c r="F640" s="1">
        <f t="shared" ca="1" si="66"/>
        <v>22.618847803087007</v>
      </c>
      <c r="G640" s="1">
        <f t="shared" ca="1" si="69"/>
        <v>15.434874066983852</v>
      </c>
      <c r="H640" s="1">
        <f t="shared" ca="1" si="67"/>
        <v>5.9581490219290236</v>
      </c>
    </row>
    <row r="641" spans="1:8">
      <c r="A641">
        <v>597</v>
      </c>
      <c r="B641">
        <f t="shared" ca="1" si="64"/>
        <v>0.87371978435686837</v>
      </c>
      <c r="C641" s="1">
        <f t="shared" ca="1" si="65"/>
        <v>13.005467694621913</v>
      </c>
      <c r="D641" s="1">
        <f t="shared" ca="1" si="70"/>
        <v>41.831342389115719</v>
      </c>
      <c r="E641" s="1">
        <f t="shared" ca="1" si="68"/>
        <v>50.151774522528967</v>
      </c>
      <c r="F641" s="1">
        <f t="shared" ca="1" si="66"/>
        <v>2.6836620611938002</v>
      </c>
      <c r="G641" s="1">
        <f t="shared" ca="1" si="69"/>
        <v>2.0013451966610241</v>
      </c>
      <c r="H641" s="1">
        <f t="shared" ca="1" si="67"/>
        <v>0.78290098048296919</v>
      </c>
    </row>
    <row r="642" spans="1:8">
      <c r="A642">
        <v>598</v>
      </c>
      <c r="B642">
        <f t="shared" ca="1" si="64"/>
        <v>0.81528138931479155</v>
      </c>
      <c r="C642" s="1">
        <f t="shared" ca="1" si="65"/>
        <v>19.023972419139852</v>
      </c>
      <c r="D642" s="1">
        <f t="shared" ca="1" si="70"/>
        <v>61.189528585121963</v>
      </c>
      <c r="E642" s="1">
        <f t="shared" ca="1" si="68"/>
        <v>73.360387307188603</v>
      </c>
      <c r="F642" s="1">
        <f t="shared" ca="1" si="66"/>
        <v>3.9255693426219906</v>
      </c>
      <c r="G642" s="1">
        <f t="shared" ca="1" si="69"/>
        <v>2.9274983255454732</v>
      </c>
      <c r="H642" s="1">
        <f t="shared" ca="1" si="67"/>
        <v>1.1451975774545389</v>
      </c>
    </row>
    <row r="643" spans="1:8">
      <c r="A643">
        <v>599</v>
      </c>
      <c r="B643">
        <f t="shared" ca="1" si="64"/>
        <v>0.80125097595328987</v>
      </c>
      <c r="C643" s="1">
        <f t="shared" ca="1" si="65"/>
        <v>20.468948945999259</v>
      </c>
      <c r="D643" s="1">
        <f t="shared" ca="1" si="70"/>
        <v>65.837215333933671</v>
      </c>
      <c r="E643" s="1">
        <f t="shared" ca="1" si="68"/>
        <v>78.932518962778261</v>
      </c>
      <c r="F643" s="1">
        <f t="shared" ca="1" si="66"/>
        <v>4.2237375675116429</v>
      </c>
      <c r="G643" s="1">
        <f t="shared" ca="1" si="69"/>
        <v>3.1498574650280133</v>
      </c>
      <c r="H643" s="1">
        <f t="shared" ca="1" si="67"/>
        <v>1.2321809898380671</v>
      </c>
    </row>
    <row r="644" spans="1:8">
      <c r="A644">
        <v>600</v>
      </c>
      <c r="B644">
        <f t="shared" ca="1" si="64"/>
        <v>0.66057046225787364</v>
      </c>
      <c r="C644" s="1">
        <f t="shared" ca="1" si="65"/>
        <v>34.957477176691469</v>
      </c>
      <c r="D644" s="1">
        <f t="shared" ca="1" si="70"/>
        <v>112.43876173685646</v>
      </c>
      <c r="E644" s="1">
        <f t="shared" ca="1" si="68"/>
        <v>134.8033136064891</v>
      </c>
      <c r="F644" s="1">
        <f t="shared" ca="1" si="66"/>
        <v>7.2134184817051175</v>
      </c>
      <c r="G644" s="1">
        <f t="shared" ca="1" si="69"/>
        <v>5.3794138694821196</v>
      </c>
      <c r="H644" s="1">
        <f t="shared" ca="1" si="67"/>
        <v>2.1043485320055684</v>
      </c>
    </row>
    <row r="645" spans="1:8">
      <c r="A645">
        <v>601</v>
      </c>
      <c r="B645">
        <f t="shared" ca="1" si="64"/>
        <v>0.97668017048493005</v>
      </c>
      <c r="C645" s="1">
        <f t="shared" ca="1" si="65"/>
        <v>2.4016930717261715</v>
      </c>
      <c r="D645" s="1">
        <f t="shared" ca="1" si="70"/>
        <v>7.7248902176515912</v>
      </c>
      <c r="E645" s="1">
        <f t="shared" ca="1" si="68"/>
        <v>9.2614021554458077</v>
      </c>
      <c r="F645" s="1">
        <f t="shared" ca="1" si="66"/>
        <v>0.49559284507260415</v>
      </c>
      <c r="G645" s="1">
        <f t="shared" ca="1" si="69"/>
        <v>0.36959121548141738</v>
      </c>
      <c r="H645" s="1">
        <f t="shared" ca="1" si="67"/>
        <v>0.14458438246180094</v>
      </c>
    </row>
    <row r="646" spans="1:8">
      <c r="A646">
        <v>602</v>
      </c>
      <c r="B646">
        <f t="shared" ca="1" si="64"/>
        <v>0.19376182370451012</v>
      </c>
      <c r="C646" s="1">
        <f t="shared" ca="1" si="65"/>
        <v>83.033574998274659</v>
      </c>
      <c r="D646" s="1">
        <f t="shared" ca="1" si="70"/>
        <v>267.07286037207206</v>
      </c>
      <c r="E646" s="1">
        <f t="shared" ca="1" si="68"/>
        <v>320.19480029804652</v>
      </c>
      <c r="F646" s="1">
        <f t="shared" ca="1" si="66"/>
        <v>17.133832052878365</v>
      </c>
      <c r="G646" s="1">
        <f t="shared" ca="1" si="69"/>
        <v>12.77756847101074</v>
      </c>
      <c r="H646" s="1">
        <f t="shared" ca="1" si="67"/>
        <v>4.998390729143992</v>
      </c>
    </row>
    <row r="647" spans="1:8">
      <c r="A647">
        <v>603</v>
      </c>
      <c r="B647">
        <f t="shared" ca="1" si="64"/>
        <v>0.56550154921144435</v>
      </c>
      <c r="C647" s="1">
        <f t="shared" ca="1" si="65"/>
        <v>44.748517842896355</v>
      </c>
      <c r="D647" s="1">
        <f t="shared" ca="1" si="70"/>
        <v>143.93110027352589</v>
      </c>
      <c r="E647" s="1">
        <f t="shared" ca="1" si="68"/>
        <v>172.55961388072473</v>
      </c>
      <c r="F647" s="1">
        <f t="shared" ca="1" si="66"/>
        <v>9.2337815540450325</v>
      </c>
      <c r="G647" s="1">
        <f t="shared" ca="1" si="69"/>
        <v>6.8861008894490032</v>
      </c>
      <c r="H647" s="1">
        <f t="shared" ca="1" si="67"/>
        <v>2.6937408938202223</v>
      </c>
    </row>
    <row r="648" spans="1:8">
      <c r="A648">
        <v>604</v>
      </c>
      <c r="B648">
        <f t="shared" ca="1" si="64"/>
        <v>0.30649398542567785</v>
      </c>
      <c r="C648" s="1">
        <f t="shared" ca="1" si="65"/>
        <v>71.423416173148638</v>
      </c>
      <c r="D648" s="1">
        <f t="shared" ca="1" si="70"/>
        <v>229.72942930581223</v>
      </c>
      <c r="E648" s="1">
        <f t="shared" ca="1" si="68"/>
        <v>275.42359999590985</v>
      </c>
      <c r="F648" s="1">
        <f t="shared" ca="1" si="66"/>
        <v>14.738097324163558</v>
      </c>
      <c r="G648" s="1">
        <f t="shared" ca="1" si="69"/>
        <v>10.990947804430284</v>
      </c>
      <c r="H648" s="1">
        <f t="shared" ca="1" si="67"/>
        <v>4.2994927095898898</v>
      </c>
    </row>
    <row r="649" spans="1:8">
      <c r="A649">
        <v>605</v>
      </c>
      <c r="B649">
        <f t="shared" ca="1" si="64"/>
        <v>0.16606293358571522</v>
      </c>
      <c r="C649" s="1">
        <f t="shared" ca="1" si="65"/>
        <v>85.886252607299326</v>
      </c>
      <c r="D649" s="1">
        <f t="shared" ca="1" si="70"/>
        <v>276.24833947200756</v>
      </c>
      <c r="E649" s="1">
        <f t="shared" ca="1" si="68"/>
        <v>331.19532169958535</v>
      </c>
      <c r="F649" s="1">
        <f t="shared" ca="1" si="66"/>
        <v>17.722476783816685</v>
      </c>
      <c r="G649" s="1">
        <f t="shared" ca="1" si="69"/>
        <v>13.216550645857902</v>
      </c>
      <c r="H649" s="1">
        <f t="shared" ca="1" si="67"/>
        <v>5.1701136798291243</v>
      </c>
    </row>
    <row r="650" spans="1:8">
      <c r="A650">
        <v>606</v>
      </c>
      <c r="B650">
        <f t="shared" ca="1" si="64"/>
        <v>0.41649113388176373</v>
      </c>
      <c r="C650" s="1">
        <f t="shared" ca="1" si="65"/>
        <v>60.094933294900734</v>
      </c>
      <c r="D650" s="1">
        <f t="shared" ca="1" si="70"/>
        <v>193.29199327921563</v>
      </c>
      <c r="E650" s="1">
        <f t="shared" ca="1" si="68"/>
        <v>231.73860104794255</v>
      </c>
      <c r="F650" s="1">
        <f t="shared" ca="1" si="66"/>
        <v>12.400485904383952</v>
      </c>
      <c r="G650" s="1">
        <f t="shared" ca="1" si="69"/>
        <v>9.2476726317014659</v>
      </c>
      <c r="H650" s="1">
        <f t="shared" ca="1" si="67"/>
        <v>3.6175507682767769</v>
      </c>
    </row>
    <row r="651" spans="1:8">
      <c r="A651">
        <v>607</v>
      </c>
      <c r="B651">
        <f t="shared" ca="1" si="64"/>
        <v>0.95837898480131178</v>
      </c>
      <c r="C651" s="1">
        <f t="shared" ca="1" si="65"/>
        <v>4.2865116472847404</v>
      </c>
      <c r="D651" s="1">
        <f t="shared" ca="1" si="70"/>
        <v>13.787304488544521</v>
      </c>
      <c r="E651" s="1">
        <f t="shared" ca="1" si="68"/>
        <v>16.529656728923214</v>
      </c>
      <c r="F651" s="1">
        <f t="shared" ca="1" si="66"/>
        <v>0.88452166050105774</v>
      </c>
      <c r="G651" s="1">
        <f t="shared" ca="1" si="69"/>
        <v>0.65963512190585227</v>
      </c>
      <c r="H651" s="1">
        <f t="shared" ca="1" si="67"/>
        <v>0.2580450154744911</v>
      </c>
    </row>
    <row r="652" spans="1:8">
      <c r="A652">
        <v>608</v>
      </c>
      <c r="B652">
        <f t="shared" ca="1" si="64"/>
        <v>0.73332578479814581</v>
      </c>
      <c r="C652" s="1">
        <f t="shared" ca="1" si="65"/>
        <v>27.464488155908583</v>
      </c>
      <c r="D652" s="1">
        <f t="shared" ca="1" si="70"/>
        <v>88.337978690522021</v>
      </c>
      <c r="E652" s="1">
        <f t="shared" ca="1" si="68"/>
        <v>105.90878103685901</v>
      </c>
      <c r="F652" s="1">
        <f t="shared" ca="1" si="66"/>
        <v>5.6672541019276981</v>
      </c>
      <c r="G652" s="1">
        <f t="shared" ca="1" si="69"/>
        <v>4.2263608199390319</v>
      </c>
      <c r="H652" s="1">
        <f t="shared" ca="1" si="67"/>
        <v>1.6532922401801247</v>
      </c>
    </row>
    <row r="653" spans="1:8">
      <c r="A653">
        <v>609</v>
      </c>
      <c r="B653">
        <f t="shared" ca="1" si="64"/>
        <v>0.10940820780203375</v>
      </c>
      <c r="C653" s="1">
        <f t="shared" ca="1" si="65"/>
        <v>91.721059236568408</v>
      </c>
      <c r="D653" s="1">
        <f t="shared" ca="1" si="70"/>
        <v>295.01567094670861</v>
      </c>
      <c r="E653" s="1">
        <f t="shared" ca="1" si="68"/>
        <v>353.69555621471528</v>
      </c>
      <c r="F653" s="1">
        <f t="shared" ca="1" si="66"/>
        <v>18.926478304176904</v>
      </c>
      <c r="G653" s="1">
        <f t="shared" ca="1" si="69"/>
        <v>14.114435529809061</v>
      </c>
      <c r="H653" s="1">
        <f t="shared" ca="1" si="67"/>
        <v>5.5213521821700295</v>
      </c>
    </row>
    <row r="654" spans="1:8">
      <c r="A654">
        <v>610</v>
      </c>
      <c r="B654">
        <f t="shared" ca="1" si="64"/>
        <v>0.61588793262960972</v>
      </c>
      <c r="C654" s="1">
        <f t="shared" ca="1" si="65"/>
        <v>39.559280759378673</v>
      </c>
      <c r="D654" s="1">
        <f t="shared" ca="1" si="70"/>
        <v>127.24020738966232</v>
      </c>
      <c r="E654" s="1">
        <f t="shared" ca="1" si="68"/>
        <v>152.54883053307108</v>
      </c>
      <c r="F654" s="1">
        <f t="shared" ca="1" si="66"/>
        <v>8.162992111473983</v>
      </c>
      <c r="G654" s="1">
        <f t="shared" ca="1" si="69"/>
        <v>6.0875589955057254</v>
      </c>
      <c r="H654" s="1">
        <f t="shared" ca="1" si="67"/>
        <v>2.381363813084822</v>
      </c>
    </row>
    <row r="655" spans="1:8">
      <c r="A655">
        <v>611</v>
      </c>
      <c r="B655">
        <f t="shared" ca="1" si="64"/>
        <v>0.17236357768157906</v>
      </c>
      <c r="C655" s="1">
        <f t="shared" ca="1" si="65"/>
        <v>85.237356342589123</v>
      </c>
      <c r="D655" s="1">
        <f t="shared" ca="1" si="70"/>
        <v>274.16120067439545</v>
      </c>
      <c r="E655" s="1">
        <f t="shared" ca="1" si="68"/>
        <v>328.69304200813303</v>
      </c>
      <c r="F655" s="1">
        <f t="shared" ca="1" si="66"/>
        <v>17.588578243743729</v>
      </c>
      <c r="G655" s="1">
        <f t="shared" ca="1" si="69"/>
        <v>13.116695726174189</v>
      </c>
      <c r="H655" s="1">
        <f t="shared" ca="1" si="67"/>
        <v>5.1310519993531827</v>
      </c>
    </row>
    <row r="656" spans="1:8">
      <c r="A656">
        <v>612</v>
      </c>
      <c r="B656">
        <f t="shared" ca="1" si="64"/>
        <v>0.94149479090347621</v>
      </c>
      <c r="C656" s="1">
        <f t="shared" ca="1" si="65"/>
        <v>6.0253958290052338</v>
      </c>
      <c r="D656" s="1">
        <f t="shared" ca="1" si="70"/>
        <v>19.380328886432892</v>
      </c>
      <c r="E656" s="1">
        <f t="shared" ca="1" si="68"/>
        <v>23.235157762513097</v>
      </c>
      <c r="F656" s="1">
        <f t="shared" ca="1" si="66"/>
        <v>1.2433371845699455</v>
      </c>
      <c r="G656" s="1">
        <f t="shared" ca="1" si="69"/>
        <v>0.92722202253707309</v>
      </c>
      <c r="H656" s="1">
        <f t="shared" ca="1" si="67"/>
        <v>0.36272081958221136</v>
      </c>
    </row>
    <row r="657" spans="1:8">
      <c r="A657">
        <v>613</v>
      </c>
      <c r="B657">
        <f t="shared" ca="1" si="64"/>
        <v>0.28562137427668532</v>
      </c>
      <c r="C657" s="1">
        <f t="shared" ca="1" si="65"/>
        <v>73.573062971675313</v>
      </c>
      <c r="D657" s="1">
        <f t="shared" ca="1" si="70"/>
        <v>236.64364884808586</v>
      </c>
      <c r="E657" s="1">
        <f t="shared" ca="1" si="68"/>
        <v>283.71308757702741</v>
      </c>
      <c r="F657" s="1">
        <f t="shared" ca="1" si="66"/>
        <v>15.181672951962522</v>
      </c>
      <c r="G657" s="1">
        <f t="shared" ca="1" si="69"/>
        <v>11.321744605227243</v>
      </c>
      <c r="H657" s="1">
        <f t="shared" ca="1" si="67"/>
        <v>4.4288952365372163</v>
      </c>
    </row>
    <row r="658" spans="1:8">
      <c r="A658">
        <v>614</v>
      </c>
      <c r="B658">
        <f t="shared" ca="1" si="64"/>
        <v>0.50823096918559652</v>
      </c>
      <c r="C658" s="1">
        <f t="shared" ca="1" si="65"/>
        <v>50.646750609440836</v>
      </c>
      <c r="D658" s="1">
        <f t="shared" ca="1" si="70"/>
        <v>162.90243839626842</v>
      </c>
      <c r="E658" s="1">
        <f t="shared" ca="1" si="68"/>
        <v>195.30443284462228</v>
      </c>
      <c r="F658" s="1">
        <f t="shared" ca="1" si="66"/>
        <v>10.450870940132809</v>
      </c>
      <c r="G658" s="1">
        <f t="shared" ca="1" si="69"/>
        <v>7.7937460574207691</v>
      </c>
      <c r="H658" s="1">
        <f t="shared" ca="1" si="67"/>
        <v>3.0487974663871618</v>
      </c>
    </row>
    <row r="659" spans="1:8">
      <c r="A659">
        <v>615</v>
      </c>
      <c r="B659">
        <f t="shared" ca="1" si="64"/>
        <v>0.98736694776412026</v>
      </c>
      <c r="C659" s="1">
        <f t="shared" ca="1" si="65"/>
        <v>1.3010738726813145</v>
      </c>
      <c r="D659" s="1">
        <f t="shared" ca="1" si="70"/>
        <v>4.1848096891419004</v>
      </c>
      <c r="E659" s="1">
        <f t="shared" ca="1" si="68"/>
        <v>5.0171843666095697</v>
      </c>
      <c r="F659" s="1">
        <f t="shared" ca="1" si="66"/>
        <v>0.26848211575720171</v>
      </c>
      <c r="G659" s="1">
        <f t="shared" ca="1" si="69"/>
        <v>0.20022324759511889</v>
      </c>
      <c r="H659" s="1">
        <f t="shared" ca="1" si="67"/>
        <v>7.833028636528816E-2</v>
      </c>
    </row>
    <row r="660" spans="1:8">
      <c r="A660">
        <v>616</v>
      </c>
      <c r="B660">
        <f t="shared" ca="1" si="64"/>
        <v>0.6096789537982602</v>
      </c>
      <c r="C660" s="1">
        <f t="shared" ca="1" si="65"/>
        <v>40.19873652136534</v>
      </c>
      <c r="D660" s="1">
        <f t="shared" ca="1" si="70"/>
        <v>129.29698133456247</v>
      </c>
      <c r="E660" s="1">
        <f t="shared" ca="1" si="68"/>
        <v>155.01470567185928</v>
      </c>
      <c r="F660" s="1">
        <f t="shared" ca="1" si="66"/>
        <v>8.2949426213285822</v>
      </c>
      <c r="G660" s="1">
        <f t="shared" ca="1" si="69"/>
        <v>6.1859611704403932</v>
      </c>
      <c r="H660" s="1">
        <f t="shared" ca="1" si="67"/>
        <v>2.419857202570395</v>
      </c>
    </row>
    <row r="661" spans="1:8">
      <c r="A661">
        <v>617</v>
      </c>
      <c r="B661">
        <f t="shared" ca="1" si="64"/>
        <v>6.5614946400561758E-3</v>
      </c>
      <c r="C661" s="1">
        <f t="shared" ca="1" si="65"/>
        <v>152.48614208889617</v>
      </c>
      <c r="D661" s="1">
        <f t="shared" ca="1" si="70"/>
        <v>484.66367104048021</v>
      </c>
      <c r="E661" s="1">
        <f t="shared" ca="1" si="68"/>
        <v>580.97560351566426</v>
      </c>
      <c r="F661" s="1">
        <f t="shared" ca="1" si="66"/>
        <v>31.457874974972079</v>
      </c>
      <c r="G661" s="1">
        <f t="shared" ca="1" si="69"/>
        <v>21.759531304117743</v>
      </c>
      <c r="H661" s="1">
        <f t="shared" ca="1" si="67"/>
        <v>8.1502817530071674</v>
      </c>
    </row>
    <row r="662" spans="1:8">
      <c r="A662">
        <v>618</v>
      </c>
      <c r="B662">
        <f t="shared" ca="1" si="64"/>
        <v>0.44607603462640322</v>
      </c>
      <c r="C662" s="1">
        <f t="shared" ca="1" si="65"/>
        <v>57.04801756804337</v>
      </c>
      <c r="D662" s="1">
        <f t="shared" ca="1" si="70"/>
        <v>183.4917580606965</v>
      </c>
      <c r="E662" s="1">
        <f t="shared" ca="1" si="68"/>
        <v>219.98905684570116</v>
      </c>
      <c r="F662" s="1">
        <f t="shared" ca="1" si="66"/>
        <v>11.771760498276493</v>
      </c>
      <c r="G662" s="1">
        <f t="shared" ca="1" si="69"/>
        <v>8.7788002683750079</v>
      </c>
      <c r="H662" s="1">
        <f t="shared" ca="1" si="67"/>
        <v>3.4341352440515305</v>
      </c>
    </row>
    <row r="663" spans="1:8">
      <c r="A663">
        <v>619</v>
      </c>
      <c r="B663">
        <f t="shared" ca="1" si="64"/>
        <v>0.59283115194161107</v>
      </c>
      <c r="C663" s="1">
        <f t="shared" ca="1" si="65"/>
        <v>41.93387272760399</v>
      </c>
      <c r="D663" s="1">
        <f t="shared" ca="1" si="70"/>
        <v>134.87795057746527</v>
      </c>
      <c r="E663" s="1">
        <f t="shared" ca="1" si="68"/>
        <v>161.70575372822873</v>
      </c>
      <c r="F663" s="1">
        <f t="shared" ca="1" si="66"/>
        <v>8.6529847576118701</v>
      </c>
      <c r="G663" s="1">
        <f t="shared" ca="1" si="69"/>
        <v>6.4529713166486511</v>
      </c>
      <c r="H663" s="1">
        <f t="shared" ca="1" si="67"/>
        <v>2.5243073893819998</v>
      </c>
    </row>
    <row r="664" spans="1:8">
      <c r="A664">
        <v>620</v>
      </c>
      <c r="B664">
        <f t="shared" ca="1" si="64"/>
        <v>0.3642046033878652</v>
      </c>
      <c r="C664" s="1">
        <f t="shared" ca="1" si="65"/>
        <v>65.479864393360899</v>
      </c>
      <c r="D664" s="1">
        <f t="shared" ca="1" si="70"/>
        <v>210.61232509386014</v>
      </c>
      <c r="E664" s="1">
        <f t="shared" ca="1" si="68"/>
        <v>252.50402144000583</v>
      </c>
      <c r="F664" s="1">
        <f t="shared" ca="1" si="66"/>
        <v>13.511656443791054</v>
      </c>
      <c r="G664" s="1">
        <f t="shared" ca="1" si="69"/>
        <v>10.076328753769314</v>
      </c>
      <c r="H664" s="1">
        <f t="shared" ca="1" si="67"/>
        <v>3.941708063352217</v>
      </c>
    </row>
    <row r="665" spans="1:8">
      <c r="A665">
        <v>621</v>
      </c>
      <c r="B665">
        <f t="shared" ca="1" si="64"/>
        <v>0.86751267502286966</v>
      </c>
      <c r="C665" s="1">
        <f t="shared" ca="1" si="65"/>
        <v>13.644730919174407</v>
      </c>
      <c r="D665" s="1">
        <f t="shared" ca="1" si="70"/>
        <v>43.887497048051813</v>
      </c>
      <c r="E665" s="1">
        <f t="shared" ca="1" si="68"/>
        <v>52.616907196708269</v>
      </c>
      <c r="F665" s="1">
        <f t="shared" ca="1" si="66"/>
        <v>2.8155728413061496</v>
      </c>
      <c r="G665" s="1">
        <f t="shared" ca="1" si="69"/>
        <v>2.0997177431156544</v>
      </c>
      <c r="H665" s="1">
        <f t="shared" ca="1" si="67"/>
        <v>0.82138277977124563</v>
      </c>
    </row>
    <row r="666" spans="1:8">
      <c r="A666">
        <v>622</v>
      </c>
      <c r="B666">
        <f t="shared" ca="1" si="64"/>
        <v>0.21809696241081744</v>
      </c>
      <c r="C666" s="1">
        <f t="shared" ca="1" si="65"/>
        <v>80.527326372345499</v>
      </c>
      <c r="D666" s="1">
        <f t="shared" ca="1" si="70"/>
        <v>259.01165085659602</v>
      </c>
      <c r="E666" s="1">
        <f t="shared" ca="1" si="68"/>
        <v>310.53018149924117</v>
      </c>
      <c r="F666" s="1">
        <f t="shared" ca="1" si="66"/>
        <v>16.616672299737168</v>
      </c>
      <c r="G666" s="1">
        <f t="shared" ca="1" si="69"/>
        <v>12.391896262893871</v>
      </c>
      <c r="H666" s="1">
        <f t="shared" ca="1" si="67"/>
        <v>4.8475218024087834</v>
      </c>
    </row>
    <row r="667" spans="1:8">
      <c r="A667">
        <v>623</v>
      </c>
      <c r="B667">
        <f t="shared" ca="1" si="64"/>
        <v>0.29409332870902705</v>
      </c>
      <c r="C667" s="1">
        <f t="shared" ca="1" si="65"/>
        <v>72.700545892103975</v>
      </c>
      <c r="D667" s="1">
        <f t="shared" ca="1" si="70"/>
        <v>233.83724611872844</v>
      </c>
      <c r="E667" s="1">
        <f t="shared" ca="1" si="68"/>
        <v>280.34847926073246</v>
      </c>
      <c r="F667" s="1">
        <f t="shared" ca="1" si="66"/>
        <v>15.001630671713768</v>
      </c>
      <c r="G667" s="1">
        <f t="shared" ca="1" si="69"/>
        <v>11.187477962557979</v>
      </c>
      <c r="H667" s="1">
        <f t="shared" ca="1" si="67"/>
        <v>4.3763722290465825</v>
      </c>
    </row>
    <row r="668" spans="1:8">
      <c r="A668">
        <v>624</v>
      </c>
      <c r="B668">
        <f t="shared" ca="1" si="64"/>
        <v>0.60914724298867728</v>
      </c>
      <c r="C668" s="1">
        <f t="shared" ca="1" si="65"/>
        <v>40.253496820946594</v>
      </c>
      <c r="D668" s="1">
        <f t="shared" ca="1" si="70"/>
        <v>129.47311479693639</v>
      </c>
      <c r="E668" s="1">
        <f t="shared" ca="1" si="68"/>
        <v>155.22587283831109</v>
      </c>
      <c r="F668" s="1">
        <f t="shared" ca="1" si="66"/>
        <v>8.306242307529061</v>
      </c>
      <c r="G668" s="1">
        <f t="shared" ca="1" si="69"/>
        <v>6.1943879184645709</v>
      </c>
      <c r="H668" s="1">
        <f t="shared" ca="1" si="67"/>
        <v>2.4231536144028243</v>
      </c>
    </row>
    <row r="669" spans="1:8">
      <c r="A669">
        <v>625</v>
      </c>
      <c r="B669">
        <f t="shared" ca="1" si="64"/>
        <v>0.23775273883629211</v>
      </c>
      <c r="C669" s="1">
        <f t="shared" ca="1" si="65"/>
        <v>78.503000016434967</v>
      </c>
      <c r="D669" s="1">
        <f t="shared" ca="1" si="70"/>
        <v>252.50051755806103</v>
      </c>
      <c r="E669" s="1">
        <f t="shared" ca="1" si="68"/>
        <v>302.72395575138785</v>
      </c>
      <c r="F669" s="1">
        <f t="shared" ca="1" si="66"/>
        <v>16.198956312716213</v>
      </c>
      <c r="G669" s="1">
        <f t="shared" ca="1" si="69"/>
        <v>12.080384305318734</v>
      </c>
      <c r="H669" s="1">
        <f t="shared" ca="1" si="67"/>
        <v>4.7256632040565174</v>
      </c>
    </row>
    <row r="670" spans="1:8">
      <c r="A670">
        <v>626</v>
      </c>
      <c r="B670">
        <f t="shared" ca="1" si="64"/>
        <v>0.29520937038485606</v>
      </c>
      <c r="C670" s="1">
        <f t="shared" ca="1" si="65"/>
        <v>72.585606012357104</v>
      </c>
      <c r="D670" s="1">
        <f t="shared" ca="1" si="70"/>
        <v>233.4675483789523</v>
      </c>
      <c r="E670" s="1">
        <f t="shared" ca="1" si="68"/>
        <v>279.90524704863611</v>
      </c>
      <c r="F670" s="1">
        <f t="shared" ca="1" si="66"/>
        <v>14.977913040820733</v>
      </c>
      <c r="G670" s="1">
        <f t="shared" ca="1" si="69"/>
        <v>11.169790524542439</v>
      </c>
      <c r="H670" s="1">
        <f t="shared" ca="1" si="67"/>
        <v>4.3694531803468344</v>
      </c>
    </row>
    <row r="671" spans="1:8">
      <c r="A671">
        <v>627</v>
      </c>
      <c r="B671">
        <f t="shared" ca="1" si="64"/>
        <v>0.74382728335442549</v>
      </c>
      <c r="C671" s="1">
        <f t="shared" ca="1" si="65"/>
        <v>26.382950604612375</v>
      </c>
      <c r="D671" s="1">
        <f t="shared" ca="1" si="70"/>
        <v>84.859273222256149</v>
      </c>
      <c r="E671" s="1">
        <f t="shared" ca="1" si="68"/>
        <v>101.73814607202348</v>
      </c>
      <c r="F671" s="1">
        <f t="shared" ca="1" si="66"/>
        <v>5.4440808352156171</v>
      </c>
      <c r="G671" s="1">
        <f t="shared" ca="1" si="69"/>
        <v>4.0599292172423613</v>
      </c>
      <c r="H671" s="1">
        <f t="shared" ca="1" si="67"/>
        <v>1.5881868041512512</v>
      </c>
    </row>
    <row r="672" spans="1:8">
      <c r="A672">
        <v>628</v>
      </c>
      <c r="B672">
        <f t="shared" ca="1" si="64"/>
        <v>0.16106386626822944</v>
      </c>
      <c r="C672" s="1">
        <f t="shared" ca="1" si="65"/>
        <v>86.401100940262751</v>
      </c>
      <c r="D672" s="1">
        <f t="shared" ca="1" si="70"/>
        <v>277.90432054179189</v>
      </c>
      <c r="E672" s="1">
        <f t="shared" ca="1" si="68"/>
        <v>333.18068453462621</v>
      </c>
      <c r="F672" s="1">
        <f t="shared" ca="1" si="66"/>
        <v>17.828714781925036</v>
      </c>
      <c r="G672" s="1">
        <f t="shared" ca="1" si="69"/>
        <v>13.295777699137853</v>
      </c>
      <c r="H672" s="1">
        <f t="shared" ca="1" si="67"/>
        <v>5.2011060620780354</v>
      </c>
    </row>
    <row r="673" spans="1:8">
      <c r="A673">
        <v>629</v>
      </c>
      <c r="B673">
        <f t="shared" ca="1" si="64"/>
        <v>0.16778629713654769</v>
      </c>
      <c r="C673" s="1">
        <f t="shared" ca="1" si="65"/>
        <v>85.708765329195955</v>
      </c>
      <c r="D673" s="1">
        <f t="shared" ca="1" si="70"/>
        <v>275.67746149911994</v>
      </c>
      <c r="E673" s="1">
        <f t="shared" ca="1" si="68"/>
        <v>330.51089363975126</v>
      </c>
      <c r="F673" s="1">
        <f t="shared" ca="1" si="66"/>
        <v>17.685852613341339</v>
      </c>
      <c r="G673" s="1">
        <f t="shared" ca="1" si="69"/>
        <v>13.189238147907544</v>
      </c>
      <c r="H673" s="1">
        <f t="shared" ca="1" si="67"/>
        <v>5.1594294584475842</v>
      </c>
    </row>
    <row r="674" spans="1:8">
      <c r="A674">
        <v>630</v>
      </c>
      <c r="B674">
        <f t="shared" ca="1" si="64"/>
        <v>5.4910474858151925E-2</v>
      </c>
      <c r="C674" s="1">
        <f t="shared" ca="1" si="65"/>
        <v>103.98492604803295</v>
      </c>
      <c r="D674" s="1">
        <f t="shared" ca="1" si="70"/>
        <v>332.64636306091279</v>
      </c>
      <c r="E674" s="1">
        <f t="shared" ca="1" si="68"/>
        <v>398.75233814157849</v>
      </c>
      <c r="F674" s="1">
        <f t="shared" ca="1" si="66"/>
        <v>24.676374504319917</v>
      </c>
      <c r="G674" s="1">
        <f t="shared" ca="1" si="69"/>
        <v>16.124952416283591</v>
      </c>
      <c r="H674" s="1">
        <f t="shared" ca="1" si="67"/>
        <v>6.1811200833194091</v>
      </c>
    </row>
    <row r="675" spans="1:8">
      <c r="A675">
        <v>631</v>
      </c>
      <c r="B675">
        <f t="shared" ca="1" si="64"/>
        <v>0.19905966065811431</v>
      </c>
      <c r="C675" s="1">
        <f t="shared" ca="1" si="65"/>
        <v>82.487956715773322</v>
      </c>
      <c r="D675" s="1">
        <f t="shared" ca="1" si="70"/>
        <v>265.31790946847332</v>
      </c>
      <c r="E675" s="1">
        <f t="shared" ca="1" si="68"/>
        <v>318.09078210309212</v>
      </c>
      <c r="F675" s="1">
        <f t="shared" ca="1" si="66"/>
        <v>17.021244732782336</v>
      </c>
      <c r="G675" s="1">
        <f t="shared" ca="1" si="69"/>
        <v>12.693606406902591</v>
      </c>
      <c r="H675" s="1">
        <f t="shared" ca="1" si="67"/>
        <v>4.9655460848272028</v>
      </c>
    </row>
    <row r="676" spans="1:8">
      <c r="A676">
        <v>632</v>
      </c>
      <c r="B676">
        <f t="shared" ca="1" si="64"/>
        <v>0.87513166603119563</v>
      </c>
      <c r="C676" s="1">
        <f t="shared" ca="1" si="65"/>
        <v>12.860059585427933</v>
      </c>
      <c r="D676" s="1">
        <f t="shared" ca="1" si="70"/>
        <v>41.363645281440597</v>
      </c>
      <c r="E676" s="1">
        <f t="shared" ca="1" si="68"/>
        <v>49.591050446283816</v>
      </c>
      <c r="F676" s="1">
        <f t="shared" ca="1" si="66"/>
        <v>2.6536573676939277</v>
      </c>
      <c r="G676" s="1">
        <f t="shared" ca="1" si="69"/>
        <v>1.9789691777893328</v>
      </c>
      <c r="H676" s="1">
        <f t="shared" ca="1" si="67"/>
        <v>0.77414783239313856</v>
      </c>
    </row>
    <row r="677" spans="1:8">
      <c r="A677">
        <v>633</v>
      </c>
      <c r="B677">
        <f t="shared" ca="1" si="64"/>
        <v>0.99753751195563412</v>
      </c>
      <c r="C677" s="1">
        <f t="shared" ca="1" si="65"/>
        <v>0.25361888023044799</v>
      </c>
      <c r="D677" s="1">
        <f t="shared" ca="1" si="70"/>
        <v>0.81572887855497811</v>
      </c>
      <c r="E677" s="1">
        <f t="shared" ca="1" si="68"/>
        <v>0.97797887589723587</v>
      </c>
      <c r="F677" s="1">
        <f t="shared" ca="1" si="66"/>
        <v>5.2341721816208775E-2</v>
      </c>
      <c r="G677" s="1">
        <f t="shared" ca="1" si="69"/>
        <v>3.9036414149256515E-2</v>
      </c>
      <c r="H677" s="1">
        <f t="shared" ca="1" si="67"/>
        <v>1.527652191448059E-2</v>
      </c>
    </row>
    <row r="678" spans="1:8">
      <c r="A678">
        <v>634</v>
      </c>
      <c r="B678">
        <f t="shared" ca="1" si="64"/>
        <v>0.27348315050099092</v>
      </c>
      <c r="C678" s="1">
        <f t="shared" ca="1" si="65"/>
        <v>74.823165016549623</v>
      </c>
      <c r="D678" s="1">
        <f t="shared" ca="1" si="70"/>
        <v>240.66453264835957</v>
      </c>
      <c r="E678" s="1">
        <f t="shared" ca="1" si="68"/>
        <v>288.53374247866873</v>
      </c>
      <c r="F678" s="1">
        <f t="shared" ca="1" si="66"/>
        <v>15.439629189121083</v>
      </c>
      <c r="G678" s="1">
        <f t="shared" ca="1" si="69"/>
        <v>11.514115629805598</v>
      </c>
      <c r="H678" s="1">
        <f t="shared" ca="1" si="67"/>
        <v>4.5041477680971109</v>
      </c>
    </row>
    <row r="679" spans="1:8">
      <c r="A679">
        <v>635</v>
      </c>
      <c r="B679">
        <f t="shared" ca="1" si="64"/>
        <v>0.56076686707364543</v>
      </c>
      <c r="C679" s="1">
        <f t="shared" ca="1" si="65"/>
        <v>45.236137442902752</v>
      </c>
      <c r="D679" s="1">
        <f t="shared" ca="1" si="70"/>
        <v>145.49950163595932</v>
      </c>
      <c r="E679" s="1">
        <f t="shared" ca="1" si="68"/>
        <v>174.43997702751375</v>
      </c>
      <c r="F679" s="1">
        <f t="shared" ca="1" si="66"/>
        <v>9.3344009536357753</v>
      </c>
      <c r="G679" s="1">
        <f t="shared" ca="1" si="69"/>
        <v>6.9611378693838297</v>
      </c>
      <c r="H679" s="1">
        <f t="shared" ca="1" si="67"/>
        <v>2.7230941850088581</v>
      </c>
    </row>
    <row r="680" spans="1:8">
      <c r="A680">
        <v>636</v>
      </c>
      <c r="B680">
        <f t="shared" ca="1" si="64"/>
        <v>0.42461387072093471</v>
      </c>
      <c r="C680" s="1">
        <f t="shared" ca="1" si="65"/>
        <v>59.258381743350299</v>
      </c>
      <c r="D680" s="1">
        <f t="shared" ca="1" si="70"/>
        <v>190.60127167331569</v>
      </c>
      <c r="E680" s="1">
        <f t="shared" ca="1" si="68"/>
        <v>228.5126833286713</v>
      </c>
      <c r="F680" s="1">
        <f t="shared" ca="1" si="66"/>
        <v>12.22786504410146</v>
      </c>
      <c r="G680" s="1">
        <f t="shared" ca="1" si="69"/>
        <v>9.1189405175958935</v>
      </c>
      <c r="H680" s="1">
        <f t="shared" ca="1" si="67"/>
        <v>3.5671927816686857</v>
      </c>
    </row>
    <row r="681" spans="1:8">
      <c r="A681">
        <v>637</v>
      </c>
      <c r="B681">
        <f t="shared" ca="1" si="64"/>
        <v>0.20838935153448768</v>
      </c>
      <c r="C681" s="1">
        <f t="shared" ca="1" si="65"/>
        <v>81.527102322402058</v>
      </c>
      <c r="D681" s="1">
        <f t="shared" ca="1" si="70"/>
        <v>262.22737467527827</v>
      </c>
      <c r="E681" s="1">
        <f t="shared" ca="1" si="68"/>
        <v>314.38552663202017</v>
      </c>
      <c r="F681" s="1">
        <f t="shared" ca="1" si="66"/>
        <v>16.822974211757597</v>
      </c>
      <c r="G681" s="1">
        <f t="shared" ca="1" si="69"/>
        <v>12.54574604231769</v>
      </c>
      <c r="H681" s="1">
        <f t="shared" ca="1" si="67"/>
        <v>4.9077054262520825</v>
      </c>
    </row>
    <row r="682" spans="1:8">
      <c r="A682">
        <v>638</v>
      </c>
      <c r="B682">
        <f t="shared" ca="1" si="64"/>
        <v>0.78132512085460259</v>
      </c>
      <c r="C682" s="1">
        <f t="shared" ca="1" si="65"/>
        <v>22.521090401375673</v>
      </c>
      <c r="D682" s="1">
        <f t="shared" ca="1" si="70"/>
        <v>72.4378143551302</v>
      </c>
      <c r="E682" s="1">
        <f t="shared" ca="1" si="68"/>
        <v>86.846005550760253</v>
      </c>
      <c r="F682" s="1">
        <f t="shared" ca="1" si="66"/>
        <v>4.6471931486911924</v>
      </c>
      <c r="G682" s="1">
        <f t="shared" ca="1" si="69"/>
        <v>3.4656497285229282</v>
      </c>
      <c r="H682" s="1">
        <f t="shared" ca="1" si="67"/>
        <v>1.3557139768204296</v>
      </c>
    </row>
    <row r="683" spans="1:8">
      <c r="A683">
        <v>639</v>
      </c>
      <c r="B683">
        <f t="shared" ca="1" si="64"/>
        <v>0.34139582469859897</v>
      </c>
      <c r="C683" s="1">
        <f t="shared" ca="1" si="65"/>
        <v>67.828914914050131</v>
      </c>
      <c r="D683" s="1">
        <f t="shared" ca="1" si="70"/>
        <v>218.1679156341616</v>
      </c>
      <c r="E683" s="1">
        <f t="shared" ca="1" si="68"/>
        <v>261.56245147233346</v>
      </c>
      <c r="F683" s="1">
        <f t="shared" ca="1" si="66"/>
        <v>13.996378659626863</v>
      </c>
      <c r="G683" s="1">
        <f t="shared" ca="1" si="69"/>
        <v>10.437810648230771</v>
      </c>
      <c r="H683" s="1">
        <f t="shared" ca="1" si="67"/>
        <v>4.0831141182968977</v>
      </c>
    </row>
    <row r="684" spans="1:8">
      <c r="A684">
        <v>640</v>
      </c>
      <c r="B684">
        <f t="shared" ca="1" si="64"/>
        <v>0.51841135969855268</v>
      </c>
      <c r="C684" s="1">
        <f t="shared" ca="1" si="65"/>
        <v>49.598283615171944</v>
      </c>
      <c r="D684" s="1">
        <f t="shared" ca="1" si="70"/>
        <v>159.53010253803748</v>
      </c>
      <c r="E684" s="1">
        <f t="shared" ca="1" si="68"/>
        <v>191.2613248632737</v>
      </c>
      <c r="F684" s="1">
        <f t="shared" ca="1" si="66"/>
        <v>10.234521721494627</v>
      </c>
      <c r="G684" s="1">
        <f t="shared" ca="1" si="69"/>
        <v>7.6324034928268727</v>
      </c>
      <c r="H684" s="1">
        <f t="shared" ca="1" si="67"/>
        <v>2.9856827823505792</v>
      </c>
    </row>
    <row r="685" spans="1:8">
      <c r="A685">
        <v>641</v>
      </c>
      <c r="B685">
        <f t="shared" ca="1" si="64"/>
        <v>6.791277067223489E-2</v>
      </c>
      <c r="C685" s="1">
        <f t="shared" ca="1" si="65"/>
        <v>100.72785094660516</v>
      </c>
      <c r="D685" s="1">
        <f t="shared" ca="1" si="70"/>
        <v>322.69364876317678</v>
      </c>
      <c r="E685" s="1">
        <f t="shared" ca="1" si="68"/>
        <v>386.83694691665715</v>
      </c>
      <c r="F685" s="1">
        <f t="shared" ca="1" si="66"/>
        <v>23.07595437627031</v>
      </c>
      <c r="G685" s="1">
        <f t="shared" ca="1" si="69"/>
        <v>15.588184033404884</v>
      </c>
      <c r="H685" s="1">
        <f t="shared" ca="1" si="67"/>
        <v>6.0076849709546813</v>
      </c>
    </row>
    <row r="686" spans="1:8">
      <c r="A686">
        <v>642</v>
      </c>
      <c r="B686">
        <f t="shared" ref="B686:B749" ca="1" si="71">RAND()</f>
        <v>0.20386995009096354</v>
      </c>
      <c r="C686" s="1">
        <f t="shared" ref="C686:C749" ca="1" si="72">IF($B686&lt;=0.005,$F$4,IF(B686&lt;=0.01,$F$4+($B686-0.005)*SLOPE($E$4:$F$4,$E$3:$F$3),IF($B686&lt;=0.04,$E$4+($B686-0.01)*SLOPE($D$4:$E$4,$D$3:$E$3),IF($B686&lt;=0.1,$D$4+($B686-0.04)*SLOPE($C$4:$D$4,$C$3:$D$3),IF($B686&lt;=1,$C$4+($B686-0.1)*SLOPE($B$4:$C$4,$B$3:$C$3),)))))</f>
        <v>81.992550405297877</v>
      </c>
      <c r="D686" s="1">
        <f t="shared" ca="1" si="70"/>
        <v>263.72446258426766</v>
      </c>
      <c r="E686" s="1">
        <f t="shared" ca="1" si="68"/>
        <v>316.18039177240706</v>
      </c>
      <c r="F686" s="1">
        <f t="shared" ref="F686:F749" ca="1" si="73">IF($B686&lt;=0.005,$F$22,IF($B686&lt;=0.01,$F$22+($B686-0.005)*SLOPE($E$22:$F$22,$E$21:$F$21),IF($B686&lt;=0.04,$E$22+($B686-0.01)*SLOPE($D$22:$E$22,$D$21:$E$21),IF($B686&lt;=0.1,$D$22+($B686-0.04)*SLOPE($C$22:$D$22,$C$21:$D$21),IF($B686&lt;=1,$C$22+($B686-0.1)*SLOPE($B$22:$C$22,$B$21:$C$21),)))))</f>
        <v>16.919018559936021</v>
      </c>
      <c r="G686" s="1">
        <f t="shared" ca="1" si="69"/>
        <v>12.617371174811337</v>
      </c>
      <c r="H686" s="1">
        <f t="shared" ref="H686:H749" ca="1" si="74">IF($B686&lt;=0.005,$F$34,IF($B686&lt;=0.01,$F$34+($B686-0.005)*SLOPE($E$34:$F$34,$E$33:$F$33),IF($B686&lt;=0.04,$E$34+($B686-0.01)*SLOPE($D$34:$E$34,$D$33:$E$33),IF($B686&lt;=0.1,$D$34+($B686-0.04)*SLOPE($C$34:$D$34,$C$33:$D$33),IF($B686&lt;=1,$C$34+($B686-0.1)*SLOPE($B$34:$C$34,$B$33:$C$33),)))))</f>
        <v>4.9357240561641174</v>
      </c>
    </row>
    <row r="687" spans="1:8">
      <c r="A687">
        <v>643</v>
      </c>
      <c r="B687">
        <f t="shared" ca="1" si="71"/>
        <v>0.9680422737377764</v>
      </c>
      <c r="C687" s="1">
        <f t="shared" ca="1" si="72"/>
        <v>3.2913003640758376</v>
      </c>
      <c r="D687" s="1">
        <f t="shared" ca="1" si="70"/>
        <v>10.586262667269352</v>
      </c>
      <c r="E687" s="1">
        <f t="shared" ref="E687:E750" ca="1" si="75">IF($B687&lt;=0.005,$F$16,IF($B687&lt;=0.01,$F$16+($B687-0.005)*SLOPE($E$16:$F$16,$E$15:$F$15),IF($B687&lt;=0.04,$E$16+($B687-0.01)*SLOPE($D$16:$E$16,$D$15:$E$15),IF($B687&lt;=0.1,$D$16+($B687-0.04)*SLOPE($C$16:$D$16,$C$15:$D$15),IF($B687&lt;=1,$C$16+($B687-0.1)*SLOPE($B$16:$C$16,$B$15:$C$15),)))))</f>
        <v>12.691913906054538</v>
      </c>
      <c r="F687" s="1">
        <f t="shared" ca="1" si="73"/>
        <v>0.67916165901403858</v>
      </c>
      <c r="G687" s="1">
        <f t="shared" ref="G687:G750" ca="1" si="76">IF($B687&lt;=0.005,$F$28,IF($B687&lt;=0.01,$F$28+($B687-0.005)*SLOPE($E$28:$F$28,$E$27:$F$27),IF($B687&lt;=0.04,$E$28+($B687-0.01)*SLOPE($D$28:$E$28,$D$27:$E$27),IF($B687&lt;=0.1,$D$28+($B687-0.04)*SLOPE($C$28:$D$28,$C$27:$D$27),IF($B687&lt;=1,$C$28+($B687-0.1)*SLOPE($B$28:$C$28,$B$27:$C$27),)))))</f>
        <v>0.50648777284917124</v>
      </c>
      <c r="H687" s="1">
        <f t="shared" ca="1" si="74"/>
        <v>0.19813617138810979</v>
      </c>
    </row>
    <row r="688" spans="1:8">
      <c r="A688">
        <v>644</v>
      </c>
      <c r="B688">
        <f t="shared" ca="1" si="71"/>
        <v>0.61106073236020708</v>
      </c>
      <c r="C688" s="1">
        <f t="shared" ca="1" si="72"/>
        <v>40.056428697933036</v>
      </c>
      <c r="D688" s="1">
        <f t="shared" ref="D688:D751" ca="1" si="77">IF($B688&lt;=0.005,$F$10,IF($B688&lt;=0.01,$F$10+($B688-0.005)*SLOPE($E$10:$F$10,$E$9:$F$9),IF($B688&lt;=0.04,$E$10+($B688-0.01)*SLOPE($D$10:$E$10,$D$9:$E$9),IF($B688&lt;=0.1,$D$10+($B688-0.04)*SLOPE($C$10:$D$10,$C$9:$D$9),IF($B688&lt;=1,$C$10+($B688-0.1)*SLOPE($B$10:$C$10,$B$9:$C$9),)))))</f>
        <v>128.83925612385883</v>
      </c>
      <c r="E688" s="1">
        <f t="shared" ca="1" si="75"/>
        <v>154.46593694583115</v>
      </c>
      <c r="F688" s="1">
        <f t="shared" ca="1" si="73"/>
        <v>8.2655776660424607</v>
      </c>
      <c r="G688" s="1">
        <f t="shared" ca="1" si="76"/>
        <v>6.1640622367401932</v>
      </c>
      <c r="H688" s="1">
        <f t="shared" ca="1" si="74"/>
        <v>2.4112906827267002</v>
      </c>
    </row>
    <row r="689" spans="1:8">
      <c r="A689">
        <v>645</v>
      </c>
      <c r="B689">
        <f t="shared" ca="1" si="71"/>
        <v>2.5834514773331763E-2</v>
      </c>
      <c r="C689" s="1">
        <f t="shared" ca="1" si="72"/>
        <v>127.01339087872215</v>
      </c>
      <c r="D689" s="1">
        <f t="shared" ca="1" si="77"/>
        <v>404.30217316312962</v>
      </c>
      <c r="E689" s="1">
        <f t="shared" ca="1" si="75"/>
        <v>484.62921293118012</v>
      </c>
      <c r="F689" s="1">
        <f t="shared" ca="1" si="73"/>
        <v>28.443193538161921</v>
      </c>
      <c r="G689" s="1">
        <f t="shared" ca="1" si="76"/>
        <v>18.835110625794755</v>
      </c>
      <c r="H689" s="1">
        <f t="shared" ca="1" si="74"/>
        <v>7.1148864792490922</v>
      </c>
    </row>
    <row r="690" spans="1:8">
      <c r="A690">
        <v>646</v>
      </c>
      <c r="B690">
        <f t="shared" ca="1" si="71"/>
        <v>0.27648895688041997</v>
      </c>
      <c r="C690" s="1">
        <f t="shared" ca="1" si="72"/>
        <v>74.513600390714942</v>
      </c>
      <c r="D690" s="1">
        <f t="shared" ca="1" si="77"/>
        <v>239.66883522168939</v>
      </c>
      <c r="E690" s="1">
        <f t="shared" ca="1" si="75"/>
        <v>287.33999654646783</v>
      </c>
      <c r="F690" s="1">
        <f t="shared" ca="1" si="73"/>
        <v>15.375751103035926</v>
      </c>
      <c r="G690" s="1">
        <f t="shared" ca="1" si="76"/>
        <v>11.466478507308913</v>
      </c>
      <c r="H690" s="1">
        <f t="shared" ca="1" si="74"/>
        <v>4.485512871953258</v>
      </c>
    </row>
    <row r="691" spans="1:8">
      <c r="A691">
        <v>647</v>
      </c>
      <c r="B691">
        <f t="shared" ca="1" si="71"/>
        <v>0.94888050233518062</v>
      </c>
      <c r="C691" s="1">
        <f t="shared" ca="1" si="72"/>
        <v>5.2647496970634933</v>
      </c>
      <c r="D691" s="1">
        <f t="shared" ca="1" si="77"/>
        <v>16.933752847136134</v>
      </c>
      <c r="E691" s="1">
        <f t="shared" ca="1" si="75"/>
        <v>20.301947214306836</v>
      </c>
      <c r="F691" s="1">
        <f t="shared" ca="1" si="73"/>
        <v>1.0863792667668157</v>
      </c>
      <c r="G691" s="1">
        <f t="shared" ca="1" si="76"/>
        <v>0.8101705575441418</v>
      </c>
      <c r="H691" s="1">
        <f t="shared" ca="1" si="74"/>
        <v>0.3169321199440045</v>
      </c>
    </row>
    <row r="692" spans="1:8">
      <c r="A692">
        <v>648</v>
      </c>
      <c r="B692">
        <f t="shared" ca="1" si="71"/>
        <v>0.60870582109064286</v>
      </c>
      <c r="C692" s="1">
        <f t="shared" ca="1" si="72"/>
        <v>40.2989583668517</v>
      </c>
      <c r="D692" s="1">
        <f t="shared" ca="1" si="77"/>
        <v>129.6193393345369</v>
      </c>
      <c r="E692" s="1">
        <f t="shared" ca="1" si="75"/>
        <v>155.40118206606749</v>
      </c>
      <c r="F692" s="1">
        <f t="shared" ca="1" si="73"/>
        <v>8.3156232131640646</v>
      </c>
      <c r="G692" s="1">
        <f t="shared" ca="1" si="76"/>
        <v>6.2013837346865657</v>
      </c>
      <c r="H692" s="1">
        <f t="shared" ca="1" si="74"/>
        <v>2.4258902681280241</v>
      </c>
    </row>
    <row r="693" spans="1:8">
      <c r="A693">
        <v>649</v>
      </c>
      <c r="B693">
        <f t="shared" ca="1" si="71"/>
        <v>0.43725645479020936</v>
      </c>
      <c r="C693" s="1">
        <f t="shared" ca="1" si="72"/>
        <v>57.956336197844493</v>
      </c>
      <c r="D693" s="1">
        <f t="shared" ca="1" si="77"/>
        <v>186.41331448805309</v>
      </c>
      <c r="E693" s="1">
        <f t="shared" ca="1" si="75"/>
        <v>223.49172342636672</v>
      </c>
      <c r="F693" s="1">
        <f t="shared" ca="1" si="73"/>
        <v>11.9591903619786</v>
      </c>
      <c r="G693" s="1">
        <f t="shared" ca="1" si="76"/>
        <v>8.9185762060073799</v>
      </c>
      <c r="H693" s="1">
        <f t="shared" ca="1" si="74"/>
        <v>3.488813401435412</v>
      </c>
    </row>
    <row r="694" spans="1:8">
      <c r="A694">
        <v>650</v>
      </c>
      <c r="B694">
        <f t="shared" ca="1" si="71"/>
        <v>0.52967398203820981</v>
      </c>
      <c r="C694" s="1">
        <f t="shared" ca="1" si="72"/>
        <v>48.438358779575729</v>
      </c>
      <c r="D694" s="1">
        <f t="shared" ca="1" si="77"/>
        <v>155.79926872322443</v>
      </c>
      <c r="E694" s="1">
        <f t="shared" ca="1" si="75"/>
        <v>186.78841213812521</v>
      </c>
      <c r="F694" s="1">
        <f t="shared" ca="1" si="73"/>
        <v>9.9951733841296981</v>
      </c>
      <c r="G694" s="1">
        <f t="shared" ca="1" si="76"/>
        <v>7.4539093211131071</v>
      </c>
      <c r="H694" s="1">
        <f t="shared" ca="1" si="74"/>
        <v>2.9158586582675037</v>
      </c>
    </row>
    <row r="695" spans="1:8">
      <c r="A695">
        <v>651</v>
      </c>
      <c r="B695">
        <f t="shared" ca="1" si="71"/>
        <v>0.80313947253793094</v>
      </c>
      <c r="C695" s="1">
        <f t="shared" ca="1" si="72"/>
        <v>20.274454802059907</v>
      </c>
      <c r="D695" s="1">
        <f t="shared" ca="1" si="77"/>
        <v>65.211635721596934</v>
      </c>
      <c r="E695" s="1">
        <f t="shared" ca="1" si="75"/>
        <v>78.182508871869175</v>
      </c>
      <c r="F695" s="1">
        <f t="shared" ca="1" si="73"/>
        <v>4.1836040618305006</v>
      </c>
      <c r="G695" s="1">
        <f t="shared" ca="1" si="76"/>
        <v>3.1199278781614765</v>
      </c>
      <c r="H695" s="1">
        <f t="shared" ca="1" si="74"/>
        <v>1.2204730042659913</v>
      </c>
    </row>
    <row r="696" spans="1:8">
      <c r="A696">
        <v>652</v>
      </c>
      <c r="B696">
        <f t="shared" ca="1" si="71"/>
        <v>0.78974563713556434</v>
      </c>
      <c r="C696" s="1">
        <f t="shared" ca="1" si="72"/>
        <v>21.653870879289911</v>
      </c>
      <c r="D696" s="1">
        <f t="shared" ca="1" si="77"/>
        <v>69.648450925214092</v>
      </c>
      <c r="E696" s="1">
        <f t="shared" ca="1" si="75"/>
        <v>83.501825723934928</v>
      </c>
      <c r="F696" s="1">
        <f t="shared" ca="1" si="73"/>
        <v>4.4682440095989673</v>
      </c>
      <c r="G696" s="1">
        <f t="shared" ca="1" si="76"/>
        <v>3.3321982965522174</v>
      </c>
      <c r="H696" s="1">
        <f t="shared" ca="1" si="74"/>
        <v>1.3035098669857978</v>
      </c>
    </row>
    <row r="697" spans="1:8">
      <c r="A697">
        <v>653</v>
      </c>
      <c r="B697">
        <f t="shared" ca="1" si="71"/>
        <v>0.14064696344581051</v>
      </c>
      <c r="C697" s="1">
        <f t="shared" ca="1" si="72"/>
        <v>88.503814849641614</v>
      </c>
      <c r="D697" s="1">
        <f t="shared" ca="1" si="77"/>
        <v>284.66758305263903</v>
      </c>
      <c r="E697" s="1">
        <f t="shared" ca="1" si="75"/>
        <v>341.28918908076173</v>
      </c>
      <c r="F697" s="1">
        <f t="shared" ca="1" si="73"/>
        <v>18.26260589514122</v>
      </c>
      <c r="G697" s="1">
        <f t="shared" ca="1" si="76"/>
        <v>13.619352267150852</v>
      </c>
      <c r="H697" s="1">
        <f t="shared" ca="1" si="74"/>
        <v>5.3276833646876574</v>
      </c>
    </row>
    <row r="698" spans="1:8">
      <c r="A698">
        <v>654</v>
      </c>
      <c r="B698">
        <f t="shared" ca="1" si="71"/>
        <v>0.55919058180770409</v>
      </c>
      <c r="C698" s="1">
        <f t="shared" ca="1" si="72"/>
        <v>45.398477293499703</v>
      </c>
      <c r="D698" s="1">
        <f t="shared" ca="1" si="77"/>
        <v>146.021658749517</v>
      </c>
      <c r="E698" s="1">
        <f t="shared" ca="1" si="75"/>
        <v>175.0659934393104</v>
      </c>
      <c r="F698" s="1">
        <f t="shared" ca="1" si="73"/>
        <v>9.3678994805540974</v>
      </c>
      <c r="G698" s="1">
        <f t="shared" ca="1" si="76"/>
        <v>6.9861194167041294</v>
      </c>
      <c r="H698" s="1">
        <f t="shared" ca="1" si="74"/>
        <v>2.7328665750153904</v>
      </c>
    </row>
    <row r="699" spans="1:8">
      <c r="A699">
        <v>655</v>
      </c>
      <c r="B699">
        <f t="shared" ca="1" si="71"/>
        <v>0.39540947464322418</v>
      </c>
      <c r="C699" s="1">
        <f t="shared" ca="1" si="72"/>
        <v>62.266109721571439</v>
      </c>
      <c r="D699" s="1">
        <f t="shared" ca="1" si="77"/>
        <v>200.27546167472104</v>
      </c>
      <c r="E699" s="1">
        <f t="shared" ca="1" si="75"/>
        <v>240.11111137737782</v>
      </c>
      <c r="F699" s="1">
        <f t="shared" ca="1" si="73"/>
        <v>12.848504130998133</v>
      </c>
      <c r="G699" s="1">
        <f t="shared" ca="1" si="76"/>
        <v>9.5817825033327964</v>
      </c>
      <c r="H699" s="1">
        <f t="shared" ca="1" si="74"/>
        <v>3.7482493166393347</v>
      </c>
    </row>
    <row r="700" spans="1:8">
      <c r="A700">
        <v>656</v>
      </c>
      <c r="B700">
        <f t="shared" ca="1" si="71"/>
        <v>2.3283363103014376E-2</v>
      </c>
      <c r="C700" s="1">
        <f t="shared" ca="1" si="72"/>
        <v>130.48805945369443</v>
      </c>
      <c r="D700" s="1">
        <f t="shared" ca="1" si="77"/>
        <v>415.15161893674258</v>
      </c>
      <c r="E700" s="1">
        <f t="shared" ca="1" si="75"/>
        <v>497.63447479540667</v>
      </c>
      <c r="F700" s="1">
        <f t="shared" ca="1" si="73"/>
        <v>28.791054234539736</v>
      </c>
      <c r="G700" s="1">
        <f t="shared" ca="1" si="76"/>
        <v>19.212343113155431</v>
      </c>
      <c r="H700" s="1">
        <f t="shared" ca="1" si="74"/>
        <v>7.2472353794092728</v>
      </c>
    </row>
    <row r="701" spans="1:8">
      <c r="A701">
        <v>657</v>
      </c>
      <c r="B701">
        <f t="shared" ca="1" si="71"/>
        <v>0.51421589371188903</v>
      </c>
      <c r="C701" s="1">
        <f t="shared" ca="1" si="72"/>
        <v>50.030369948893274</v>
      </c>
      <c r="D701" s="1">
        <f t="shared" ca="1" si="77"/>
        <v>160.91988423362253</v>
      </c>
      <c r="E701" s="1">
        <f t="shared" ca="1" si="75"/>
        <v>192.92754012236111</v>
      </c>
      <c r="F701" s="1">
        <f t="shared" ca="1" si="73"/>
        <v>10.323681934639946</v>
      </c>
      <c r="G701" s="1">
        <f t="shared" ca="1" si="76"/>
        <v>7.6988947773304783</v>
      </c>
      <c r="H701" s="1">
        <f t="shared" ca="1" si="74"/>
        <v>3.0116931313443147</v>
      </c>
    </row>
    <row r="702" spans="1:8">
      <c r="A702">
        <v>658</v>
      </c>
      <c r="B702">
        <f t="shared" ca="1" si="71"/>
        <v>0.54923552233334583</v>
      </c>
      <c r="C702" s="1">
        <f t="shared" ca="1" si="72"/>
        <v>46.423737696974889</v>
      </c>
      <c r="D702" s="1">
        <f t="shared" ca="1" si="77"/>
        <v>149.31935189728719</v>
      </c>
      <c r="E702" s="1">
        <f t="shared" ca="1" si="75"/>
        <v>179.01961195368409</v>
      </c>
      <c r="F702" s="1">
        <f t="shared" ca="1" si="73"/>
        <v>9.5794600622462269</v>
      </c>
      <c r="G702" s="1">
        <f t="shared" ca="1" si="76"/>
        <v>7.1438908523119897</v>
      </c>
      <c r="H702" s="1">
        <f t="shared" ca="1" si="74"/>
        <v>2.7945842893299724</v>
      </c>
    </row>
    <row r="703" spans="1:8">
      <c r="A703">
        <v>659</v>
      </c>
      <c r="B703">
        <f t="shared" ca="1" si="71"/>
        <v>0.8292305088414641</v>
      </c>
      <c r="C703" s="1">
        <f t="shared" ca="1" si="72"/>
        <v>17.587368253099768</v>
      </c>
      <c r="D703" s="1">
        <f t="shared" ca="1" si="77"/>
        <v>56.568771069908763</v>
      </c>
      <c r="E703" s="1">
        <f t="shared" ca="1" si="75"/>
        <v>67.820541225714635</v>
      </c>
      <c r="F703" s="1">
        <f t="shared" ca="1" si="73"/>
        <v>3.6291287388509001</v>
      </c>
      <c r="G703" s="1">
        <f t="shared" ca="1" si="76"/>
        <v>2.7064275605884784</v>
      </c>
      <c r="H703" s="1">
        <f t="shared" ca="1" si="74"/>
        <v>1.0587181570046038</v>
      </c>
    </row>
    <row r="704" spans="1:8">
      <c r="A704">
        <v>660</v>
      </c>
      <c r="B704">
        <f t="shared" ca="1" si="71"/>
        <v>0.3243325908608149</v>
      </c>
      <c r="C704" s="1">
        <f t="shared" ca="1" si="72"/>
        <v>69.586238218263304</v>
      </c>
      <c r="D704" s="1">
        <f t="shared" ca="1" si="77"/>
        <v>223.82024844549204</v>
      </c>
      <c r="E704" s="1">
        <f t="shared" ca="1" si="75"/>
        <v>268.33905761817471</v>
      </c>
      <c r="F704" s="1">
        <f t="shared" ca="1" si="73"/>
        <v>14.35899906240483</v>
      </c>
      <c r="G704" s="1">
        <f t="shared" ca="1" si="76"/>
        <v>10.708235039529885</v>
      </c>
      <c r="H704" s="1">
        <f t="shared" ca="1" si="74"/>
        <v>4.1888999043081006</v>
      </c>
    </row>
    <row r="705" spans="1:8">
      <c r="A705">
        <v>661</v>
      </c>
      <c r="B705">
        <f t="shared" ca="1" si="71"/>
        <v>4.7147233514468145E-2</v>
      </c>
      <c r="C705" s="1">
        <f t="shared" ca="1" si="72"/>
        <v>105.92961800462572</v>
      </c>
      <c r="D705" s="1">
        <f t="shared" ca="1" si="77"/>
        <v>338.58880001380606</v>
      </c>
      <c r="E705" s="1">
        <f t="shared" ca="1" si="75"/>
        <v>405.86662465729415</v>
      </c>
      <c r="F705" s="1">
        <f t="shared" ca="1" si="73"/>
        <v>25.63193249830751</v>
      </c>
      <c r="G705" s="1">
        <f t="shared" ca="1" si="76"/>
        <v>16.445439087370772</v>
      </c>
      <c r="H705" s="1">
        <f t="shared" ca="1" si="74"/>
        <v>6.284672460069519</v>
      </c>
    </row>
    <row r="706" spans="1:8">
      <c r="A706">
        <v>662</v>
      </c>
      <c r="B706">
        <f t="shared" ca="1" si="71"/>
        <v>0.86339705493888186</v>
      </c>
      <c r="C706" s="1">
        <f t="shared" ca="1" si="72"/>
        <v>14.068594012983993</v>
      </c>
      <c r="D706" s="1">
        <f t="shared" ca="1" si="77"/>
        <v>45.250829149155805</v>
      </c>
      <c r="E706" s="1">
        <f t="shared" ca="1" si="75"/>
        <v>54.251411923083253</v>
      </c>
      <c r="F706" s="1">
        <f t="shared" ca="1" si="73"/>
        <v>2.9030362041554589</v>
      </c>
      <c r="G706" s="1">
        <f t="shared" ca="1" si="76"/>
        <v>2.164943600453805</v>
      </c>
      <c r="H706" s="1">
        <f t="shared" ca="1" si="74"/>
        <v>0.84689811347921307</v>
      </c>
    </row>
    <row r="707" spans="1:8">
      <c r="A707">
        <v>663</v>
      </c>
      <c r="B707">
        <f t="shared" ca="1" si="71"/>
        <v>0.18894572301852142</v>
      </c>
      <c r="C707" s="1">
        <f t="shared" ca="1" si="72"/>
        <v>83.529579803189421</v>
      </c>
      <c r="D707" s="1">
        <f t="shared" ca="1" si="77"/>
        <v>268.66823228040312</v>
      </c>
      <c r="E707" s="1">
        <f t="shared" ca="1" si="75"/>
        <v>322.10749854844448</v>
      </c>
      <c r="F707" s="1">
        <f t="shared" ca="1" si="73"/>
        <v>17.236181723941609</v>
      </c>
      <c r="G707" s="1">
        <f t="shared" ca="1" si="76"/>
        <v>12.853895801974216</v>
      </c>
      <c r="H707" s="1">
        <f t="shared" ca="1" si="74"/>
        <v>5.0282487854432762</v>
      </c>
    </row>
    <row r="708" spans="1:8">
      <c r="A708">
        <v>664</v>
      </c>
      <c r="B708">
        <f t="shared" ca="1" si="71"/>
        <v>0.15708740168453916</v>
      </c>
      <c r="C708" s="1">
        <f t="shared" ca="1" si="72"/>
        <v>86.810632565260093</v>
      </c>
      <c r="D708" s="1">
        <f t="shared" ca="1" si="77"/>
        <v>279.22155626938974</v>
      </c>
      <c r="E708" s="1">
        <f t="shared" ca="1" si="75"/>
        <v>334.7599241203186</v>
      </c>
      <c r="F708" s="1">
        <f t="shared" ca="1" si="73"/>
        <v>17.913220872779696</v>
      </c>
      <c r="G708" s="1">
        <f t="shared" ca="1" si="76"/>
        <v>13.35879816904349</v>
      </c>
      <c r="H708" s="1">
        <f t="shared" ca="1" si="74"/>
        <v>5.2257586827670819</v>
      </c>
    </row>
    <row r="709" spans="1:8">
      <c r="A709">
        <v>665</v>
      </c>
      <c r="B709">
        <f t="shared" ca="1" si="71"/>
        <v>0.66793040503785184</v>
      </c>
      <c r="C709" s="1">
        <f t="shared" ca="1" si="72"/>
        <v>34.199484929272856</v>
      </c>
      <c r="D709" s="1">
        <f t="shared" ca="1" si="77"/>
        <v>110.00072176973922</v>
      </c>
      <c r="E709" s="1">
        <f t="shared" ca="1" si="75"/>
        <v>131.88033699197433</v>
      </c>
      <c r="F709" s="1">
        <f t="shared" ca="1" si="73"/>
        <v>7.0570081880485489</v>
      </c>
      <c r="G709" s="1">
        <f t="shared" ca="1" si="76"/>
        <v>5.2627707955376799</v>
      </c>
      <c r="H709" s="1">
        <f t="shared" ca="1" si="74"/>
        <v>2.0587195885485885</v>
      </c>
    </row>
    <row r="710" spans="1:8">
      <c r="A710">
        <v>666</v>
      </c>
      <c r="B710">
        <f t="shared" ca="1" si="71"/>
        <v>4.2245416188761209E-2</v>
      </c>
      <c r="C710" s="1">
        <f t="shared" ca="1" si="72"/>
        <v>107.15752324471532</v>
      </c>
      <c r="D710" s="1">
        <f t="shared" ca="1" si="77"/>
        <v>342.34093641187297</v>
      </c>
      <c r="E710" s="1">
        <f t="shared" ca="1" si="75"/>
        <v>410.35868298176592</v>
      </c>
      <c r="F710" s="1">
        <f t="shared" ca="1" si="73"/>
        <v>26.235284954232</v>
      </c>
      <c r="G710" s="1">
        <f t="shared" ca="1" si="76"/>
        <v>16.647798778052223</v>
      </c>
      <c r="H710" s="1">
        <f t="shared" ca="1" si="74"/>
        <v>6.3500568545511875</v>
      </c>
    </row>
    <row r="711" spans="1:8">
      <c r="A711">
        <v>667</v>
      </c>
      <c r="B711">
        <f t="shared" ca="1" si="71"/>
        <v>0.75425502132400313</v>
      </c>
      <c r="C711" s="1">
        <f t="shared" ca="1" si="72"/>
        <v>25.309009573364861</v>
      </c>
      <c r="D711" s="1">
        <f t="shared" ca="1" si="77"/>
        <v>81.405001538838036</v>
      </c>
      <c r="E711" s="1">
        <f t="shared" ca="1" si="75"/>
        <v>97.596804877051113</v>
      </c>
      <c r="F711" s="1">
        <f t="shared" ca="1" si="73"/>
        <v>5.2224750963187976</v>
      </c>
      <c r="G711" s="1">
        <f t="shared" ca="1" si="76"/>
        <v>3.8946665993905576</v>
      </c>
      <c r="H711" s="1">
        <f t="shared" ca="1" si="74"/>
        <v>1.5235386566829812</v>
      </c>
    </row>
    <row r="712" spans="1:8">
      <c r="A712">
        <v>668</v>
      </c>
      <c r="B712">
        <f t="shared" ca="1" si="71"/>
        <v>0.86421557982853181</v>
      </c>
      <c r="C712" s="1">
        <f t="shared" ca="1" si="72"/>
        <v>13.984295053165766</v>
      </c>
      <c r="D712" s="1">
        <f t="shared" ca="1" si="77"/>
        <v>44.979686226621737</v>
      </c>
      <c r="E712" s="1">
        <f t="shared" ca="1" si="75"/>
        <v>53.926337505744868</v>
      </c>
      <c r="F712" s="1">
        <f t="shared" ca="1" si="73"/>
        <v>2.8856412702296623</v>
      </c>
      <c r="G712" s="1">
        <f t="shared" ca="1" si="76"/>
        <v>2.1519713176408821</v>
      </c>
      <c r="H712" s="1">
        <f t="shared" ca="1" si="74"/>
        <v>0.84182355963763023</v>
      </c>
    </row>
    <row r="713" spans="1:8">
      <c r="A713">
        <v>669</v>
      </c>
      <c r="B713">
        <f t="shared" ca="1" si="71"/>
        <v>0.71930080614196168</v>
      </c>
      <c r="C713" s="1">
        <f t="shared" ca="1" si="72"/>
        <v>28.908904968566269</v>
      </c>
      <c r="D713" s="1">
        <f t="shared" ca="1" si="77"/>
        <v>92.983865149688853</v>
      </c>
      <c r="E713" s="1">
        <f t="shared" ca="1" si="75"/>
        <v>111.47875431744154</v>
      </c>
      <c r="F713" s="1">
        <f t="shared" ca="1" si="73"/>
        <v>5.9653068308304835</v>
      </c>
      <c r="G713" s="1">
        <f t="shared" ca="1" si="76"/>
        <v>4.4486338282174067</v>
      </c>
      <c r="H713" s="1">
        <f t="shared" ca="1" si="74"/>
        <v>1.740241959385723</v>
      </c>
    </row>
    <row r="714" spans="1:8">
      <c r="A714">
        <v>670</v>
      </c>
      <c r="B714">
        <f t="shared" ca="1" si="71"/>
        <v>0.61060509548184505</v>
      </c>
      <c r="C714" s="1">
        <f t="shared" ca="1" si="72"/>
        <v>40.103354228709712</v>
      </c>
      <c r="D714" s="1">
        <f t="shared" ca="1" si="77"/>
        <v>128.99018948749327</v>
      </c>
      <c r="E714" s="1">
        <f t="shared" ca="1" si="75"/>
        <v>154.6468916053953</v>
      </c>
      <c r="F714" s="1">
        <f t="shared" ca="1" si="73"/>
        <v>8.2752606622390132</v>
      </c>
      <c r="G714" s="1">
        <f t="shared" ca="1" si="76"/>
        <v>6.1712833371866775</v>
      </c>
      <c r="H714" s="1">
        <f t="shared" ca="1" si="74"/>
        <v>2.4141154641117204</v>
      </c>
    </row>
    <row r="715" spans="1:8">
      <c r="A715">
        <v>671</v>
      </c>
      <c r="B715">
        <f t="shared" ca="1" si="71"/>
        <v>4.3828388860750689E-2</v>
      </c>
      <c r="C715" s="1">
        <f t="shared" ca="1" si="72"/>
        <v>106.76098859038196</v>
      </c>
      <c r="D715" s="1">
        <f t="shared" ca="1" si="77"/>
        <v>341.12923695735276</v>
      </c>
      <c r="E715" s="1">
        <f t="shared" ca="1" si="75"/>
        <v>408.90803619178251</v>
      </c>
      <c r="F715" s="1">
        <f t="shared" ca="1" si="73"/>
        <v>26.040440800351082</v>
      </c>
      <c r="G715" s="1">
        <f t="shared" ca="1" si="76"/>
        <v>16.582449574078208</v>
      </c>
      <c r="H715" s="1">
        <f t="shared" ca="1" si="74"/>
        <v>6.328941887843583</v>
      </c>
    </row>
    <row r="716" spans="1:8">
      <c r="A716">
        <v>672</v>
      </c>
      <c r="B716">
        <f t="shared" ca="1" si="71"/>
        <v>0.82178150124755633</v>
      </c>
      <c r="C716" s="1">
        <f t="shared" ca="1" si="72"/>
        <v>18.354533185754477</v>
      </c>
      <c r="D716" s="1">
        <f t="shared" ca="1" si="77"/>
        <v>59.036314469663409</v>
      </c>
      <c r="E716" s="1">
        <f t="shared" ca="1" si="75"/>
        <v>70.778889632656956</v>
      </c>
      <c r="F716" s="1">
        <f t="shared" ca="1" si="73"/>
        <v>3.7874317990842794</v>
      </c>
      <c r="G716" s="1">
        <f t="shared" ca="1" si="76"/>
        <v>2.8244821663868471</v>
      </c>
      <c r="H716" s="1">
        <f t="shared" ca="1" si="74"/>
        <v>1.1048992696129334</v>
      </c>
    </row>
    <row r="717" spans="1:8">
      <c r="A717">
        <v>673</v>
      </c>
      <c r="B717">
        <f t="shared" ca="1" si="71"/>
        <v>0.44940094629932981</v>
      </c>
      <c r="C717" s="1">
        <f t="shared" ca="1" si="72"/>
        <v>56.70558864613843</v>
      </c>
      <c r="D717" s="1">
        <f t="shared" ca="1" si="77"/>
        <v>182.39035445090462</v>
      </c>
      <c r="E717" s="1">
        <f t="shared" ca="1" si="75"/>
        <v>218.66857931539619</v>
      </c>
      <c r="F717" s="1">
        <f t="shared" ca="1" si="73"/>
        <v>11.701100925683164</v>
      </c>
      <c r="G717" s="1">
        <f t="shared" ca="1" si="76"/>
        <v>8.7261058480897127</v>
      </c>
      <c r="H717" s="1">
        <f t="shared" ca="1" si="74"/>
        <v>3.4135220122291128</v>
      </c>
    </row>
    <row r="718" spans="1:8">
      <c r="A718">
        <v>674</v>
      </c>
      <c r="B718">
        <f t="shared" ca="1" si="71"/>
        <v>0.97664775226825962</v>
      </c>
      <c r="C718" s="1">
        <f t="shared" ca="1" si="72"/>
        <v>2.4050317874806098</v>
      </c>
      <c r="D718" s="1">
        <f t="shared" ca="1" si="77"/>
        <v>7.7356290114531134</v>
      </c>
      <c r="E718" s="1">
        <f t="shared" ca="1" si="75"/>
        <v>9.2742769415745556</v>
      </c>
      <c r="F718" s="1">
        <f t="shared" ca="1" si="73"/>
        <v>0.49628178287291647</v>
      </c>
      <c r="G718" s="1">
        <f t="shared" ca="1" si="76"/>
        <v>0.37010499127523389</v>
      </c>
      <c r="H718" s="1">
        <f t="shared" ca="1" si="74"/>
        <v>0.14478536350467763</v>
      </c>
    </row>
    <row r="719" spans="1:8">
      <c r="A719">
        <v>675</v>
      </c>
      <c r="B719">
        <f t="shared" ca="1" si="71"/>
        <v>9.5470218188124401E-2</v>
      </c>
      <c r="C719" s="1">
        <f t="shared" ca="1" si="72"/>
        <v>93.824710343874841</v>
      </c>
      <c r="D719" s="1">
        <f t="shared" ca="1" si="77"/>
        <v>301.59957385346456</v>
      </c>
      <c r="E719" s="1">
        <f t="shared" ca="1" si="75"/>
        <v>361.58311690023714</v>
      </c>
      <c r="F719" s="1">
        <f t="shared" ca="1" si="73"/>
        <v>19.683976966070865</v>
      </c>
      <c r="G719" s="1">
        <f t="shared" ca="1" si="76"/>
        <v>14.450541362381552</v>
      </c>
      <c r="H719" s="1">
        <f t="shared" ca="1" si="74"/>
        <v>5.6401015014856419</v>
      </c>
    </row>
    <row r="720" spans="1:8">
      <c r="A720">
        <v>676</v>
      </c>
      <c r="B720">
        <f t="shared" ca="1" si="71"/>
        <v>0.79677444267108133</v>
      </c>
      <c r="C720" s="1">
        <f t="shared" ca="1" si="72"/>
        <v>20.929982085068787</v>
      </c>
      <c r="D720" s="1">
        <f t="shared" ca="1" si="77"/>
        <v>67.320102821299059</v>
      </c>
      <c r="E720" s="1">
        <f t="shared" ca="1" si="75"/>
        <v>80.710359156534651</v>
      </c>
      <c r="F720" s="1">
        <f t="shared" ca="1" si="73"/>
        <v>4.3188709002242796</v>
      </c>
      <c r="G720" s="1">
        <f t="shared" ca="1" si="76"/>
        <v>3.220803207170448</v>
      </c>
      <c r="H720" s="1">
        <f t="shared" ca="1" si="74"/>
        <v>1.2599338528865198</v>
      </c>
    </row>
    <row r="721" spans="1:8">
      <c r="A721">
        <v>677</v>
      </c>
      <c r="B721">
        <f t="shared" ca="1" si="71"/>
        <v>0.97063109814545045</v>
      </c>
      <c r="C721" s="1">
        <f t="shared" ca="1" si="72"/>
        <v>3.0246802435657685</v>
      </c>
      <c r="D721" s="1">
        <f t="shared" ca="1" si="77"/>
        <v>9.7286938569617405</v>
      </c>
      <c r="E721" s="1">
        <f t="shared" ca="1" si="75"/>
        <v>11.66377096677769</v>
      </c>
      <c r="F721" s="1">
        <f t="shared" ca="1" si="73"/>
        <v>0.6241450919109468</v>
      </c>
      <c r="G721" s="1">
        <f t="shared" ca="1" si="76"/>
        <v>0.46545913365445379</v>
      </c>
      <c r="H721" s="1">
        <f t="shared" ca="1" si="74"/>
        <v>0.18208641039823448</v>
      </c>
    </row>
    <row r="722" spans="1:8">
      <c r="A722">
        <v>678</v>
      </c>
      <c r="B722">
        <f t="shared" ca="1" si="71"/>
        <v>0.66813412735065425</v>
      </c>
      <c r="C722" s="1">
        <f t="shared" ca="1" si="72"/>
        <v>34.178503796899044</v>
      </c>
      <c r="D722" s="1">
        <f t="shared" ca="1" si="77"/>
        <v>109.93323712269046</v>
      </c>
      <c r="E722" s="1">
        <f t="shared" ca="1" si="75"/>
        <v>131.79942935804596</v>
      </c>
      <c r="F722" s="1">
        <f t="shared" ca="1" si="73"/>
        <v>7.0526787703176801</v>
      </c>
      <c r="G722" s="1">
        <f t="shared" ca="1" si="76"/>
        <v>5.25954212956748</v>
      </c>
      <c r="H722" s="1">
        <f t="shared" ca="1" si="74"/>
        <v>2.0574565849941213</v>
      </c>
    </row>
    <row r="723" spans="1:8">
      <c r="A723">
        <v>679</v>
      </c>
      <c r="B723">
        <f t="shared" ca="1" si="71"/>
        <v>0.55231802807152186</v>
      </c>
      <c r="C723" s="1">
        <f t="shared" ca="1" si="72"/>
        <v>46.106273890256581</v>
      </c>
      <c r="D723" s="1">
        <f t="shared" ca="1" si="77"/>
        <v>148.29824719400256</v>
      </c>
      <c r="E723" s="1">
        <f t="shared" ca="1" si="75"/>
        <v>177.79540512814913</v>
      </c>
      <c r="F723" s="1">
        <f t="shared" ca="1" si="73"/>
        <v>9.5139519948441595</v>
      </c>
      <c r="G723" s="1">
        <f t="shared" ca="1" si="76"/>
        <v>7.0950381702326739</v>
      </c>
      <c r="H723" s="1">
        <f t="shared" ca="1" si="74"/>
        <v>2.7754738853176377</v>
      </c>
    </row>
    <row r="724" spans="1:8">
      <c r="A724">
        <v>680</v>
      </c>
      <c r="B724">
        <f t="shared" ca="1" si="71"/>
        <v>0.74268442149353397</v>
      </c>
      <c r="C724" s="1">
        <f t="shared" ca="1" si="72"/>
        <v>26.500652665120626</v>
      </c>
      <c r="D724" s="1">
        <f t="shared" ca="1" si="77"/>
        <v>85.237855363047714</v>
      </c>
      <c r="E724" s="1">
        <f t="shared" ca="1" si="75"/>
        <v>102.19202983075246</v>
      </c>
      <c r="F724" s="1">
        <f t="shared" ca="1" si="73"/>
        <v>5.4683684369830132</v>
      </c>
      <c r="G724" s="1">
        <f t="shared" ca="1" si="76"/>
        <v>4.078041711392574</v>
      </c>
      <c r="H724" s="1">
        <f t="shared" ca="1" si="74"/>
        <v>1.5952721281529021</v>
      </c>
    </row>
    <row r="725" spans="1:8">
      <c r="A725">
        <v>681</v>
      </c>
      <c r="B725">
        <f t="shared" ca="1" si="71"/>
        <v>0.72252259007949626</v>
      </c>
      <c r="C725" s="1">
        <f t="shared" ca="1" si="72"/>
        <v>28.577097056397108</v>
      </c>
      <c r="D725" s="1">
        <f t="shared" ca="1" si="77"/>
        <v>91.916623427851846</v>
      </c>
      <c r="E725" s="1">
        <f t="shared" ca="1" si="75"/>
        <v>110.19923362170309</v>
      </c>
      <c r="F725" s="1">
        <f t="shared" ca="1" si="73"/>
        <v>5.89683888388684</v>
      </c>
      <c r="G725" s="1">
        <f t="shared" ca="1" si="76"/>
        <v>4.3975738141258347</v>
      </c>
      <c r="H725" s="1">
        <f t="shared" ca="1" si="74"/>
        <v>1.7202680816653304</v>
      </c>
    </row>
    <row r="726" spans="1:8">
      <c r="A726">
        <v>682</v>
      </c>
      <c r="B726">
        <f t="shared" ca="1" si="71"/>
        <v>7.5849099310574708E-2</v>
      </c>
      <c r="C726" s="1">
        <f t="shared" ca="1" si="72"/>
        <v>98.73980062270104</v>
      </c>
      <c r="D726" s="1">
        <f t="shared" ca="1" si="77"/>
        <v>316.61872071664027</v>
      </c>
      <c r="E726" s="1">
        <f t="shared" ca="1" si="75"/>
        <v>379.56404204143178</v>
      </c>
      <c r="F726" s="1">
        <f t="shared" ca="1" si="73"/>
        <v>22.099091499342187</v>
      </c>
      <c r="G726" s="1">
        <f t="shared" ca="1" si="76"/>
        <v>15.26055187135381</v>
      </c>
      <c r="H726" s="1">
        <f t="shared" ca="1" si="74"/>
        <v>5.9018238162143746</v>
      </c>
    </row>
    <row r="727" spans="1:8">
      <c r="A727">
        <v>683</v>
      </c>
      <c r="B727">
        <f t="shared" ca="1" si="71"/>
        <v>0.77305480680180871</v>
      </c>
      <c r="C727" s="1">
        <f t="shared" ca="1" si="72"/>
        <v>23.372840764542701</v>
      </c>
      <c r="D727" s="1">
        <f t="shared" ca="1" si="77"/>
        <v>75.177422094496706</v>
      </c>
      <c r="E727" s="1">
        <f t="shared" ca="1" si="75"/>
        <v>90.130533065943041</v>
      </c>
      <c r="F727" s="1">
        <f t="shared" ca="1" si="73"/>
        <v>4.8229502555464947</v>
      </c>
      <c r="G727" s="1">
        <f t="shared" ca="1" si="76"/>
        <v>3.5967207004641839</v>
      </c>
      <c r="H727" s="1">
        <f t="shared" ca="1" si="74"/>
        <v>1.4069868879785128</v>
      </c>
    </row>
    <row r="728" spans="1:8">
      <c r="A728">
        <v>684</v>
      </c>
      <c r="B728">
        <f t="shared" ca="1" si="71"/>
        <v>0.9066156046776237</v>
      </c>
      <c r="C728" s="1">
        <f t="shared" ca="1" si="72"/>
        <v>9.6175640762079126</v>
      </c>
      <c r="D728" s="1">
        <f t="shared" ca="1" si="77"/>
        <v>30.93433855488928</v>
      </c>
      <c r="E728" s="1">
        <f t="shared" ca="1" si="75"/>
        <v>37.087309704348399</v>
      </c>
      <c r="F728" s="1">
        <f t="shared" ca="1" si="73"/>
        <v>1.9845744364312772</v>
      </c>
      <c r="G728" s="1">
        <f t="shared" ca="1" si="76"/>
        <v>1.480000164933994</v>
      </c>
      <c r="H728" s="1">
        <f t="shared" ca="1" si="74"/>
        <v>0.57895897029913979</v>
      </c>
    </row>
    <row r="729" spans="1:8">
      <c r="A729">
        <v>685</v>
      </c>
      <c r="B729">
        <f t="shared" ca="1" si="71"/>
        <v>0.98111122210737323</v>
      </c>
      <c r="C729" s="1">
        <f t="shared" ca="1" si="72"/>
        <v>1.9453440377553477</v>
      </c>
      <c r="D729" s="1">
        <f t="shared" ca="1" si="77"/>
        <v>6.2570688941945036</v>
      </c>
      <c r="E729" s="1">
        <f t="shared" ca="1" si="75"/>
        <v>7.5016248504723535</v>
      </c>
      <c r="F729" s="1">
        <f t="shared" ca="1" si="73"/>
        <v>0.40142606875484077</v>
      </c>
      <c r="G729" s="1">
        <f t="shared" ca="1" si="76"/>
        <v>0.29936628337266491</v>
      </c>
      <c r="H729" s="1">
        <f t="shared" ca="1" si="74"/>
        <v>0.11711348900792284</v>
      </c>
    </row>
    <row r="730" spans="1:8">
      <c r="A730">
        <v>686</v>
      </c>
      <c r="B730">
        <f t="shared" ca="1" si="71"/>
        <v>3.7939568780856914E-2</v>
      </c>
      <c r="C730" s="1">
        <f t="shared" ca="1" si="72"/>
        <v>110.52630732047288</v>
      </c>
      <c r="D730" s="1">
        <f t="shared" ca="1" si="77"/>
        <v>352.8222362509656</v>
      </c>
      <c r="E730" s="1">
        <f t="shared" ca="1" si="75"/>
        <v>422.92006443947798</v>
      </c>
      <c r="F730" s="1">
        <f t="shared" ca="1" si="73"/>
        <v>26.792616441652058</v>
      </c>
      <c r="G730" s="1">
        <f t="shared" ca="1" si="76"/>
        <v>17.045166230867469</v>
      </c>
      <c r="H730" s="1">
        <f t="shared" ca="1" si="74"/>
        <v>6.4868992831463075</v>
      </c>
    </row>
    <row r="731" spans="1:8">
      <c r="A731">
        <v>687</v>
      </c>
      <c r="B731">
        <f t="shared" ca="1" si="71"/>
        <v>0.42809365131106103</v>
      </c>
      <c r="C731" s="1">
        <f t="shared" ca="1" si="72"/>
        <v>58.900003045460295</v>
      </c>
      <c r="D731" s="1">
        <f t="shared" ca="1" si="77"/>
        <v>189.44856649487247</v>
      </c>
      <c r="E731" s="1">
        <f t="shared" ca="1" si="75"/>
        <v>227.13070012681118</v>
      </c>
      <c r="F731" s="1">
        <f t="shared" ca="1" si="73"/>
        <v>12.15391426483145</v>
      </c>
      <c r="G731" s="1">
        <f t="shared" ca="1" si="76"/>
        <v>9.0637916778809018</v>
      </c>
      <c r="H731" s="1">
        <f t="shared" ca="1" si="74"/>
        <v>3.5456194194108286</v>
      </c>
    </row>
    <row r="732" spans="1:8">
      <c r="A732">
        <v>688</v>
      </c>
      <c r="B732">
        <f t="shared" ca="1" si="71"/>
        <v>0.60756550032685785</v>
      </c>
      <c r="C732" s="1">
        <f t="shared" ca="1" si="72"/>
        <v>40.416398722620613</v>
      </c>
      <c r="D732" s="1">
        <f t="shared" ca="1" si="77"/>
        <v>129.99707971656878</v>
      </c>
      <c r="E732" s="1">
        <f t="shared" ca="1" si="75"/>
        <v>155.85405663659495</v>
      </c>
      <c r="F732" s="1">
        <f t="shared" ca="1" si="73"/>
        <v>8.3398568126441432</v>
      </c>
      <c r="G732" s="1">
        <f t="shared" ca="1" si="76"/>
        <v>6.2194559565973648</v>
      </c>
      <c r="H732" s="1">
        <f t="shared" ca="1" si="74"/>
        <v>2.4329598382604325</v>
      </c>
    </row>
    <row r="733" spans="1:8">
      <c r="A733">
        <v>689</v>
      </c>
      <c r="B733">
        <f t="shared" ca="1" si="71"/>
        <v>0.11465115097064205</v>
      </c>
      <c r="C733" s="1">
        <f t="shared" ca="1" si="72"/>
        <v>91.181094403380769</v>
      </c>
      <c r="D733" s="1">
        <f t="shared" ca="1" si="77"/>
        <v>293.27890404885113</v>
      </c>
      <c r="E733" s="1">
        <f t="shared" ca="1" si="75"/>
        <v>351.61333890254247</v>
      </c>
      <c r="F733" s="1">
        <f t="shared" ca="1" si="73"/>
        <v>18.81505756285571</v>
      </c>
      <c r="G733" s="1">
        <f t="shared" ca="1" si="76"/>
        <v>14.031343442549071</v>
      </c>
      <c r="H733" s="1">
        <f t="shared" ca="1" si="74"/>
        <v>5.488847859169125</v>
      </c>
    </row>
    <row r="734" spans="1:8">
      <c r="A734">
        <v>690</v>
      </c>
      <c r="B734">
        <f t="shared" ca="1" si="71"/>
        <v>5.774071040796569E-2</v>
      </c>
      <c r="C734" s="1">
        <f t="shared" ca="1" si="72"/>
        <v>103.27595204280459</v>
      </c>
      <c r="D734" s="1">
        <f t="shared" ca="1" si="77"/>
        <v>330.47993597562197</v>
      </c>
      <c r="E734" s="1">
        <f t="shared" ca="1" si="75"/>
        <v>396.15869127206292</v>
      </c>
      <c r="F734" s="1">
        <f t="shared" ca="1" si="73"/>
        <v>24.328007876932663</v>
      </c>
      <c r="G734" s="1">
        <f t="shared" ca="1" si="76"/>
        <v>16.00811297646759</v>
      </c>
      <c r="H734" s="1">
        <f t="shared" ca="1" si="74"/>
        <v>6.1433681180034885</v>
      </c>
    </row>
    <row r="735" spans="1:8">
      <c r="A735">
        <v>691</v>
      </c>
      <c r="B735">
        <f t="shared" ca="1" si="71"/>
        <v>0.90912225414815773</v>
      </c>
      <c r="C735" s="1">
        <f t="shared" ca="1" si="72"/>
        <v>9.3594070602553501</v>
      </c>
      <c r="D735" s="1">
        <f t="shared" ca="1" si="77"/>
        <v>30.103990850374487</v>
      </c>
      <c r="E735" s="1">
        <f t="shared" ca="1" si="75"/>
        <v>36.09180226601768</v>
      </c>
      <c r="F735" s="1">
        <f t="shared" ca="1" si="73"/>
        <v>1.9313042152487334</v>
      </c>
      <c r="G735" s="1">
        <f t="shared" ca="1" si="76"/>
        <v>1.4402738642975699</v>
      </c>
      <c r="H735" s="1">
        <f t="shared" ca="1" si="74"/>
        <v>0.5634186637537395</v>
      </c>
    </row>
    <row r="736" spans="1:8">
      <c r="A736">
        <v>692</v>
      </c>
      <c r="B736">
        <f t="shared" ca="1" si="71"/>
        <v>0.67555745503360609</v>
      </c>
      <c r="C736" s="1">
        <f t="shared" ca="1" si="72"/>
        <v>33.413983609455116</v>
      </c>
      <c r="D736" s="1">
        <f t="shared" ca="1" si="77"/>
        <v>107.4742003990248</v>
      </c>
      <c r="E736" s="1">
        <f t="shared" ca="1" si="75"/>
        <v>128.8512796416955</v>
      </c>
      <c r="F736" s="1">
        <f t="shared" ca="1" si="73"/>
        <v>6.8949214483507202</v>
      </c>
      <c r="G736" s="1">
        <f t="shared" ca="1" si="76"/>
        <v>5.141894508421311</v>
      </c>
      <c r="H736" s="1">
        <f t="shared" ca="1" si="74"/>
        <v>2.0114346784068196</v>
      </c>
    </row>
    <row r="737" spans="1:8">
      <c r="A737">
        <v>693</v>
      </c>
      <c r="B737">
        <f t="shared" ca="1" si="71"/>
        <v>0.30356441905310738</v>
      </c>
      <c r="C737" s="1">
        <f t="shared" ca="1" si="72"/>
        <v>71.725128926235186</v>
      </c>
      <c r="D737" s="1">
        <f t="shared" ca="1" si="77"/>
        <v>230.69987161985841</v>
      </c>
      <c r="E737" s="1">
        <f t="shared" ca="1" si="75"/>
        <v>276.58706746484</v>
      </c>
      <c r="F737" s="1">
        <f t="shared" ca="1" si="73"/>
        <v>14.800355190877777</v>
      </c>
      <c r="G737" s="1">
        <f t="shared" ca="1" si="76"/>
        <v>11.037376647321626</v>
      </c>
      <c r="H737" s="1">
        <f t="shared" ca="1" si="74"/>
        <v>4.3176549456783455</v>
      </c>
    </row>
    <row r="738" spans="1:8">
      <c r="A738">
        <v>694</v>
      </c>
      <c r="B738">
        <f t="shared" ca="1" si="71"/>
        <v>0.42109001056099427</v>
      </c>
      <c r="C738" s="1">
        <f t="shared" ca="1" si="72"/>
        <v>59.621300146668389</v>
      </c>
      <c r="D738" s="1">
        <f t="shared" ca="1" si="77"/>
        <v>191.76857856214622</v>
      </c>
      <c r="E738" s="1">
        <f t="shared" ca="1" si="75"/>
        <v>229.91217258398814</v>
      </c>
      <c r="F738" s="1">
        <f t="shared" ca="1" si="73"/>
        <v>12.302752583162274</v>
      </c>
      <c r="G738" s="1">
        <f t="shared" ca="1" si="76"/>
        <v>9.1747879465085163</v>
      </c>
      <c r="H738" s="1">
        <f t="shared" ca="1" si="74"/>
        <v>3.589039421078116</v>
      </c>
    </row>
    <row r="739" spans="1:8">
      <c r="A739">
        <v>695</v>
      </c>
      <c r="B739">
        <f t="shared" ca="1" si="71"/>
        <v>0.33945986942685114</v>
      </c>
      <c r="C739" s="1">
        <f t="shared" ca="1" si="72"/>
        <v>68.028296774915404</v>
      </c>
      <c r="D739" s="1">
        <f t="shared" ca="1" si="77"/>
        <v>218.80921631654093</v>
      </c>
      <c r="E739" s="1">
        <f t="shared" ca="1" si="75"/>
        <v>262.33130962180979</v>
      </c>
      <c r="F739" s="1">
        <f t="shared" ca="1" si="73"/>
        <v>14.037520736625586</v>
      </c>
      <c r="G739" s="1">
        <f t="shared" ca="1" si="76"/>
        <v>10.468492377785777</v>
      </c>
      <c r="H739" s="1">
        <f t="shared" ca="1" si="74"/>
        <v>4.095116330307313</v>
      </c>
    </row>
    <row r="740" spans="1:8">
      <c r="A740">
        <v>696</v>
      </c>
      <c r="B740">
        <f t="shared" ca="1" si="71"/>
        <v>1.0344265299290001E-2</v>
      </c>
      <c r="C740" s="1">
        <f t="shared" ca="1" si="72"/>
        <v>148.11111066236703</v>
      </c>
      <c r="D740" s="1">
        <f t="shared" ca="1" si="77"/>
        <v>470.17854721165691</v>
      </c>
      <c r="E740" s="1">
        <f t="shared" ca="1" si="75"/>
        <v>563.59541203883555</v>
      </c>
      <c r="F740" s="1">
        <f t="shared" ca="1" si="73"/>
        <v>30.555356853185788</v>
      </c>
      <c r="G740" s="1">
        <f t="shared" ca="1" si="76"/>
        <v>21.125615501266605</v>
      </c>
      <c r="H740" s="1">
        <f t="shared" ca="1" si="74"/>
        <v>7.9184911825481326</v>
      </c>
    </row>
    <row r="741" spans="1:8">
      <c r="A741">
        <v>697</v>
      </c>
      <c r="B741">
        <f t="shared" ca="1" si="71"/>
        <v>0.96347813991070275</v>
      </c>
      <c r="C741" s="1">
        <f t="shared" ca="1" si="72"/>
        <v>3.7613553849537453</v>
      </c>
      <c r="D741" s="1">
        <f t="shared" ca="1" si="77"/>
        <v>12.098168536422065</v>
      </c>
      <c r="E741" s="1">
        <f t="shared" ca="1" si="75"/>
        <v>14.504544362685863</v>
      </c>
      <c r="F741" s="1">
        <f t="shared" ca="1" si="73"/>
        <v>0.77615664029602272</v>
      </c>
      <c r="G741" s="1">
        <f t="shared" ca="1" si="76"/>
        <v>0.57882184057207908</v>
      </c>
      <c r="H741" s="1">
        <f t="shared" ca="1" si="74"/>
        <v>0.22643212565723392</v>
      </c>
    </row>
    <row r="742" spans="1:8">
      <c r="A742">
        <v>698</v>
      </c>
      <c r="B742">
        <f t="shared" ca="1" si="71"/>
        <v>0.81961471687341725</v>
      </c>
      <c r="C742" s="1">
        <f t="shared" ca="1" si="72"/>
        <v>18.57768787683348</v>
      </c>
      <c r="D742" s="1">
        <f t="shared" ca="1" si="77"/>
        <v>59.754079140150679</v>
      </c>
      <c r="E742" s="1">
        <f t="shared" ca="1" si="75"/>
        <v>71.639420786721644</v>
      </c>
      <c r="F742" s="1">
        <f t="shared" ca="1" si="73"/>
        <v>3.8334793554826145</v>
      </c>
      <c r="G742" s="1">
        <f t="shared" ca="1" si="76"/>
        <v>2.8588221602604289</v>
      </c>
      <c r="H742" s="1">
        <f t="shared" ca="1" si="74"/>
        <v>1.118332537322571</v>
      </c>
    </row>
    <row r="743" spans="1:8">
      <c r="A743">
        <v>699</v>
      </c>
      <c r="B743">
        <f t="shared" ca="1" si="71"/>
        <v>0.12002177476507903</v>
      </c>
      <c r="C743" s="1">
        <f t="shared" ca="1" si="72"/>
        <v>90.627979885825084</v>
      </c>
      <c r="D743" s="1">
        <f t="shared" ca="1" si="77"/>
        <v>291.49984192151931</v>
      </c>
      <c r="E743" s="1">
        <f t="shared" ca="1" si="75"/>
        <v>349.48041365763424</v>
      </c>
      <c r="F743" s="1">
        <f t="shared" ca="1" si="73"/>
        <v>18.700923408566901</v>
      </c>
      <c r="G743" s="1">
        <f t="shared" ca="1" si="76"/>
        <v>13.946227825877914</v>
      </c>
      <c r="H743" s="1">
        <f t="shared" ca="1" si="74"/>
        <v>5.4555519631586673</v>
      </c>
    </row>
    <row r="744" spans="1:8">
      <c r="A744">
        <v>700</v>
      </c>
      <c r="B744">
        <f t="shared" ca="1" si="71"/>
        <v>5.8614027401495683E-3</v>
      </c>
      <c r="C744" s="1">
        <f t="shared" ca="1" si="72"/>
        <v>153.2814464871901</v>
      </c>
      <c r="D744" s="1">
        <f t="shared" ca="1" si="77"/>
        <v>487.31480199085541</v>
      </c>
      <c r="E744" s="1">
        <f t="shared" ca="1" si="75"/>
        <v>584.15694884153663</v>
      </c>
      <c r="F744" s="1">
        <f t="shared" ca="1" si="73"/>
        <v>31.632073294778664</v>
      </c>
      <c r="G744" s="1">
        <f t="shared" ca="1" si="76"/>
        <v>21.878234239564264</v>
      </c>
      <c r="H744" s="1">
        <f t="shared" ca="1" si="74"/>
        <v>8.1938388114513767</v>
      </c>
    </row>
    <row r="745" spans="1:8">
      <c r="A745">
        <v>701</v>
      </c>
      <c r="B745">
        <f t="shared" ca="1" si="71"/>
        <v>0.31066668483813464</v>
      </c>
      <c r="C745" s="1">
        <f t="shared" ca="1" si="72"/>
        <v>70.993674543355723</v>
      </c>
      <c r="D745" s="1">
        <f t="shared" ca="1" si="77"/>
        <v>228.34718922019482</v>
      </c>
      <c r="E745" s="1">
        <f t="shared" ca="1" si="75"/>
        <v>273.76642640548596</v>
      </c>
      <c r="F745" s="1">
        <f t="shared" ca="1" si="73"/>
        <v>14.649420936322826</v>
      </c>
      <c r="G745" s="1">
        <f t="shared" ca="1" si="76"/>
        <v>10.924817332949015</v>
      </c>
      <c r="H745" s="1">
        <f t="shared" ca="1" si="74"/>
        <v>4.2736235049988016</v>
      </c>
    </row>
    <row r="746" spans="1:8">
      <c r="A746">
        <v>702</v>
      </c>
      <c r="B746">
        <f t="shared" ca="1" si="71"/>
        <v>0.9902436813355826</v>
      </c>
      <c r="C746" s="1">
        <f t="shared" ca="1" si="72"/>
        <v>1.0048023104907458</v>
      </c>
      <c r="D746" s="1">
        <f t="shared" ca="1" si="77"/>
        <v>3.2318686634245637</v>
      </c>
      <c r="E746" s="1">
        <f t="shared" ca="1" si="75"/>
        <v>3.8746992676154832</v>
      </c>
      <c r="F746" s="1">
        <f t="shared" ca="1" si="73"/>
        <v>0.20734702868720944</v>
      </c>
      <c r="G746" s="1">
        <f t="shared" ca="1" si="76"/>
        <v>0.15463171832299416</v>
      </c>
      <c r="H746" s="1">
        <f t="shared" ca="1" si="74"/>
        <v>6.049559424918538E-2</v>
      </c>
    </row>
    <row r="747" spans="1:8">
      <c r="A747">
        <v>703</v>
      </c>
      <c r="B747">
        <f t="shared" ca="1" si="71"/>
        <v>0.7938636557440647</v>
      </c>
      <c r="C747" s="1">
        <f t="shared" ca="1" si="72"/>
        <v>21.22976076413245</v>
      </c>
      <c r="D747" s="1">
        <f t="shared" ca="1" si="77"/>
        <v>68.284324293663559</v>
      </c>
      <c r="E747" s="1">
        <f t="shared" ca="1" si="75"/>
        <v>81.866368431586409</v>
      </c>
      <c r="F747" s="1">
        <f t="shared" ca="1" si="73"/>
        <v>4.3807296743529189</v>
      </c>
      <c r="G747" s="1">
        <f t="shared" ca="1" si="76"/>
        <v>3.2669344265174427</v>
      </c>
      <c r="H747" s="1">
        <f t="shared" ca="1" si="74"/>
        <v>1.2779796633063327</v>
      </c>
    </row>
    <row r="748" spans="1:8">
      <c r="A748">
        <v>704</v>
      </c>
      <c r="B748">
        <f t="shared" ca="1" si="71"/>
        <v>0.69528166469637953</v>
      </c>
      <c r="C748" s="1">
        <f t="shared" ca="1" si="72"/>
        <v>31.382609391232485</v>
      </c>
      <c r="D748" s="1">
        <f t="shared" ca="1" si="77"/>
        <v>100.94039804278086</v>
      </c>
      <c r="E748" s="1">
        <f t="shared" ca="1" si="75"/>
        <v>121.01787586294446</v>
      </c>
      <c r="F748" s="1">
        <f t="shared" ca="1" si="73"/>
        <v>6.4757511480203078</v>
      </c>
      <c r="G748" s="1">
        <f t="shared" ca="1" si="76"/>
        <v>4.8292979957895472</v>
      </c>
      <c r="H748" s="1">
        <f t="shared" ca="1" si="74"/>
        <v>1.889151819104621</v>
      </c>
    </row>
    <row r="749" spans="1:8">
      <c r="A749">
        <v>705</v>
      </c>
      <c r="B749">
        <f t="shared" ca="1" si="71"/>
        <v>0.10011792308152656</v>
      </c>
      <c r="C749" s="1">
        <f t="shared" ca="1" si="72"/>
        <v>92.677855234169485</v>
      </c>
      <c r="D749" s="1">
        <f t="shared" ca="1" si="77"/>
        <v>298.09315213530044</v>
      </c>
      <c r="E749" s="1">
        <f t="shared" ca="1" si="75"/>
        <v>357.38516166302105</v>
      </c>
      <c r="F749" s="1">
        <f t="shared" ca="1" si="73"/>
        <v>19.123911382765588</v>
      </c>
      <c r="G749" s="1">
        <f t="shared" ca="1" si="76"/>
        <v>14.26167137117551</v>
      </c>
      <c r="H749" s="1">
        <f t="shared" ca="1" si="74"/>
        <v>5.5789485370444796</v>
      </c>
    </row>
    <row r="750" spans="1:8">
      <c r="A750">
        <v>706</v>
      </c>
      <c r="B750">
        <f t="shared" ref="B750:B813" ca="1" si="78">RAND()</f>
        <v>0.72261249656369886</v>
      </c>
      <c r="C750" s="1">
        <f t="shared" ref="C750:C813" ca="1" si="79">IF($B750&lt;=0.005,$F$4,IF(B750&lt;=0.01,$F$4+($B750-0.005)*SLOPE($E$4:$F$4,$E$3:$F$3),IF($B750&lt;=0.04,$E$4+($B750-0.01)*SLOPE($D$4:$E$4,$D$3:$E$3),IF($B750&lt;=0.1,$D$4+($B750-0.04)*SLOPE($C$4:$D$4,$C$3:$D$3),IF($B750&lt;=1,$C$4+($B750-0.1)*SLOPE($B$4:$C$4,$B$3:$C$3),)))))</f>
        <v>28.567837688484133</v>
      </c>
      <c r="D750" s="1">
        <f t="shared" ca="1" si="77"/>
        <v>91.886841185198392</v>
      </c>
      <c r="E750" s="1">
        <f t="shared" ca="1" si="75"/>
        <v>110.16352756274671</v>
      </c>
      <c r="F750" s="1">
        <f t="shared" ref="F750:F813" ca="1" si="80">IF($B750&lt;=0.005,$F$22,IF($B750&lt;=0.01,$F$22+($B750-0.005)*SLOPE($E$22:$F$22,$E$21:$F$21),IF($B750&lt;=0.04,$E$22+($B750-0.01)*SLOPE($D$22:$E$22,$D$21:$E$21),IF($B750&lt;=0.1,$D$22+($B750-0.04)*SLOPE($C$22:$D$22,$C$21:$D$21),IF($B750&lt;=1,$C$22+($B750-0.1)*SLOPE($B$22:$C$22,$B$21:$C$21),)))))</f>
        <v>5.8949282305005113</v>
      </c>
      <c r="G750" s="1">
        <f t="shared" ca="1" si="76"/>
        <v>4.3961489431725642</v>
      </c>
      <c r="H750" s="1">
        <f t="shared" ref="H750:H813" ca="1" si="81">IF($B750&lt;=0.005,$F$34,IF($B750&lt;=0.01,$F$34+($B750-0.005)*SLOPE($E$34:$F$34,$E$33:$F$33),IF($B750&lt;=0.04,$E$34+($B750-0.01)*SLOPE($D$34:$E$34,$D$33:$E$33),IF($B750&lt;=0.1,$D$34+($B750-0.04)*SLOPE($C$34:$D$34,$C$33:$D$33),IF($B750&lt;=1,$C$34+($B750-0.1)*SLOPE($B$34:$C$34,$B$33:$C$33),)))))</f>
        <v>1.7197106944672593</v>
      </c>
    </row>
    <row r="751" spans="1:8">
      <c r="A751">
        <v>707</v>
      </c>
      <c r="B751">
        <f t="shared" ca="1" si="78"/>
        <v>0.48927048837169218</v>
      </c>
      <c r="C751" s="1">
        <f t="shared" ca="1" si="79"/>
        <v>52.59946925059193</v>
      </c>
      <c r="D751" s="1">
        <f t="shared" ca="1" si="77"/>
        <v>169.18324945716577</v>
      </c>
      <c r="E751" s="1">
        <f t="shared" ref="E751:E814" ca="1" si="82">IF($B751&lt;=0.005,$F$16,IF($B751&lt;=0.01,$F$16+($B751-0.005)*SLOPE($E$16:$F$16,$E$15:$F$15),IF($B751&lt;=0.04,$E$16+($B751-0.01)*SLOPE($D$16:$E$16,$D$15:$E$15),IF($B751&lt;=0.1,$D$16+($B751-0.04)*SLOPE($C$16:$D$16,$C$15:$D$15),IF($B751&lt;=1,$C$16+($B751-0.1)*SLOPE($B$16:$C$16,$B$15:$C$15),)))))</f>
        <v>202.83452427002902</v>
      </c>
      <c r="F751" s="1">
        <f t="shared" ca="1" si="80"/>
        <v>10.853810808094837</v>
      </c>
      <c r="G751" s="1">
        <f t="shared" ref="G751:G814" ca="1" si="83">IF($B751&lt;=0.005,$F$28,IF($B751&lt;=0.01,$F$28+($B751-0.005)*SLOPE($E$28:$F$28,$E$27:$F$27),IF($B751&lt;=0.04,$E$28+($B751-0.01)*SLOPE($D$28:$E$28,$D$27:$E$27),IF($B751&lt;=0.1,$D$28+($B751-0.04)*SLOPE($C$28:$D$28,$C$27:$D$27),IF($B751&lt;=1,$C$28+($B751-0.1)*SLOPE($B$28:$C$28,$B$27:$C$27),)))))</f>
        <v>8.0942387150015822</v>
      </c>
      <c r="H751" s="1">
        <f t="shared" ca="1" si="81"/>
        <v>3.16634548718541</v>
      </c>
    </row>
    <row r="752" spans="1:8">
      <c r="A752">
        <v>708</v>
      </c>
      <c r="B752">
        <f t="shared" ca="1" si="78"/>
        <v>0.8567486475156042</v>
      </c>
      <c r="C752" s="1">
        <f t="shared" ca="1" si="79"/>
        <v>14.753306032516818</v>
      </c>
      <c r="D752" s="1">
        <f t="shared" ref="D752:D815" ca="1" si="84">IF($B752&lt;=0.005,$F$10,IF($B752&lt;=0.01,$F$10+($B752-0.005)*SLOPE($E$10:$F$10,$E$9:$F$9),IF($B752&lt;=0.04,$E$10+($B752-0.01)*SLOPE($D$10:$E$10,$D$9:$E$9),IF($B752&lt;=0.1,$D$10+($B752-0.04)*SLOPE($C$10:$D$10,$C$9:$D$9),IF($B752&lt;=1,$C$10+($B752-0.1)*SLOPE($B$10:$C$10,$B$9:$C$9),)))))</f>
        <v>47.453167333051027</v>
      </c>
      <c r="E752" s="1">
        <f t="shared" ca="1" si="82"/>
        <v>56.891804654786597</v>
      </c>
      <c r="F752" s="1">
        <f t="shared" ca="1" si="80"/>
        <v>3.0443252587731422</v>
      </c>
      <c r="G752" s="1">
        <f t="shared" ca="1" si="83"/>
        <v>2.2703100009638408</v>
      </c>
      <c r="H752" s="1">
        <f t="shared" ca="1" si="81"/>
        <v>0.88811579892385417</v>
      </c>
    </row>
    <row r="753" spans="1:8">
      <c r="A753">
        <v>709</v>
      </c>
      <c r="B753">
        <f t="shared" ca="1" si="78"/>
        <v>0.52593277200036248</v>
      </c>
      <c r="C753" s="1">
        <f t="shared" ca="1" si="79"/>
        <v>48.823661802904581</v>
      </c>
      <c r="D753" s="1">
        <f t="shared" ca="1" si="84"/>
        <v>157.03857449914233</v>
      </c>
      <c r="E753" s="1">
        <f t="shared" ca="1" si="82"/>
        <v>188.27422116919053</v>
      </c>
      <c r="F753" s="1">
        <f t="shared" ca="1" si="80"/>
        <v>10.074679947990829</v>
      </c>
      <c r="G753" s="1">
        <f t="shared" ca="1" si="83"/>
        <v>7.5132013906484083</v>
      </c>
      <c r="H753" s="1">
        <f t="shared" ca="1" si="81"/>
        <v>2.9390527871324736</v>
      </c>
    </row>
    <row r="754" spans="1:8">
      <c r="A754">
        <v>710</v>
      </c>
      <c r="B754">
        <f t="shared" ca="1" si="78"/>
        <v>0.26500470121288056</v>
      </c>
      <c r="C754" s="1">
        <f t="shared" ca="1" si="79"/>
        <v>75.69635099402791</v>
      </c>
      <c r="D754" s="1">
        <f t="shared" ca="1" si="84"/>
        <v>243.473086850686</v>
      </c>
      <c r="E754" s="1">
        <f t="shared" ca="1" si="82"/>
        <v>291.9009302051702</v>
      </c>
      <c r="F754" s="1">
        <f t="shared" ca="1" si="80"/>
        <v>15.619809495211669</v>
      </c>
      <c r="G754" s="1">
        <f t="shared" ca="1" si="83"/>
        <v>11.648485205332403</v>
      </c>
      <c r="H754" s="1">
        <f t="shared" ca="1" si="81"/>
        <v>4.556711041309299</v>
      </c>
    </row>
    <row r="755" spans="1:8">
      <c r="A755">
        <v>711</v>
      </c>
      <c r="B755">
        <f t="shared" ca="1" si="78"/>
        <v>0.5597557273188476</v>
      </c>
      <c r="C755" s="1">
        <f t="shared" ca="1" si="79"/>
        <v>45.340273591525879</v>
      </c>
      <c r="D755" s="1">
        <f t="shared" ca="1" si="84"/>
        <v>145.83444977458407</v>
      </c>
      <c r="E755" s="1">
        <f t="shared" ca="1" si="82"/>
        <v>174.8415477931616</v>
      </c>
      <c r="F755" s="1">
        <f t="shared" ca="1" si="80"/>
        <v>9.3558892546597985</v>
      </c>
      <c r="G755" s="1">
        <f t="shared" ca="1" si="83"/>
        <v>6.9771627832605914</v>
      </c>
      <c r="H755" s="1">
        <f t="shared" ca="1" si="81"/>
        <v>2.7293628803069092</v>
      </c>
    </row>
    <row r="756" spans="1:8">
      <c r="A756">
        <v>712</v>
      </c>
      <c r="B756">
        <f t="shared" ca="1" si="78"/>
        <v>7.8758337701972492E-2</v>
      </c>
      <c r="C756" s="1">
        <f t="shared" ca="1" si="79"/>
        <v>98.011036405655886</v>
      </c>
      <c r="D756" s="1">
        <f t="shared" ca="1" si="84"/>
        <v>314.39182025632113</v>
      </c>
      <c r="E756" s="1">
        <f t="shared" ca="1" si="82"/>
        <v>376.89799643719937</v>
      </c>
      <c r="F756" s="1">
        <f t="shared" ca="1" si="80"/>
        <v>21.74100060943606</v>
      </c>
      <c r="G756" s="1">
        <f t="shared" ca="1" si="83"/>
        <v>15.14045099001039</v>
      </c>
      <c r="H756" s="1">
        <f t="shared" ca="1" si="81"/>
        <v>5.8630180472546076</v>
      </c>
    </row>
    <row r="757" spans="1:8">
      <c r="A757">
        <v>713</v>
      </c>
      <c r="B757">
        <f t="shared" ca="1" si="78"/>
        <v>0.74362023006430089</v>
      </c>
      <c r="C757" s="1">
        <f t="shared" ca="1" si="79"/>
        <v>26.404274790602514</v>
      </c>
      <c r="D757" s="1">
        <f t="shared" ca="1" si="84"/>
        <v>84.927861282209591</v>
      </c>
      <c r="E757" s="1">
        <f t="shared" ca="1" si="82"/>
        <v>101.82037659243443</v>
      </c>
      <c r="F757" s="1">
        <f t="shared" ca="1" si="80"/>
        <v>5.4484810414236122</v>
      </c>
      <c r="G757" s="1">
        <f t="shared" ca="1" si="83"/>
        <v>4.0632106737634839</v>
      </c>
      <c r="H757" s="1">
        <f t="shared" ca="1" si="81"/>
        <v>1.5894704585423391</v>
      </c>
    </row>
    <row r="758" spans="1:8">
      <c r="A758">
        <v>714</v>
      </c>
      <c r="B758">
        <f t="shared" ca="1" si="78"/>
        <v>0.69444240305186633</v>
      </c>
      <c r="C758" s="1">
        <f t="shared" ca="1" si="79"/>
        <v>31.469044006162832</v>
      </c>
      <c r="D758" s="1">
        <f t="shared" ca="1" si="84"/>
        <v>101.21841018137494</v>
      </c>
      <c r="E758" s="1">
        <f t="shared" ca="1" si="82"/>
        <v>121.35118581299525</v>
      </c>
      <c r="F758" s="1">
        <f t="shared" ca="1" si="80"/>
        <v>6.4935867704153765</v>
      </c>
      <c r="G758" s="1">
        <f t="shared" ca="1" si="83"/>
        <v>4.8425989223029973</v>
      </c>
      <c r="H758" s="1">
        <f t="shared" ca="1" si="81"/>
        <v>1.8943549332140517</v>
      </c>
    </row>
    <row r="759" spans="1:8">
      <c r="A759">
        <v>715</v>
      </c>
      <c r="B759">
        <f t="shared" ca="1" si="78"/>
        <v>0.77447488597465453</v>
      </c>
      <c r="C759" s="1">
        <f t="shared" ca="1" si="79"/>
        <v>23.226588404175715</v>
      </c>
      <c r="D759" s="1">
        <f t="shared" ca="1" si="84"/>
        <v>74.70700949981088</v>
      </c>
      <c r="E759" s="1">
        <f t="shared" ca="1" si="82"/>
        <v>89.566553380628136</v>
      </c>
      <c r="F759" s="1">
        <f t="shared" ca="1" si="80"/>
        <v>4.7927713523837383</v>
      </c>
      <c r="G759" s="1">
        <f t="shared" ca="1" si="83"/>
        <v>3.5742147646278593</v>
      </c>
      <c r="H759" s="1">
        <f t="shared" ca="1" si="81"/>
        <v>1.3981829184071062</v>
      </c>
    </row>
    <row r="760" spans="1:8">
      <c r="A760">
        <v>716</v>
      </c>
      <c r="B760">
        <f t="shared" ca="1" si="78"/>
        <v>0.29570260125201431</v>
      </c>
      <c r="C760" s="1">
        <f t="shared" ca="1" si="79"/>
        <v>72.534808718863118</v>
      </c>
      <c r="D760" s="1">
        <f t="shared" ca="1" si="84"/>
        <v>233.30416170556416</v>
      </c>
      <c r="E760" s="1">
        <f t="shared" ca="1" si="82"/>
        <v>279.70936206238565</v>
      </c>
      <c r="F760" s="1">
        <f t="shared" ca="1" si="80"/>
        <v>14.967431113572253</v>
      </c>
      <c r="G760" s="1">
        <f t="shared" ca="1" si="83"/>
        <v>11.161973620766211</v>
      </c>
      <c r="H760" s="1">
        <f t="shared" ca="1" si="81"/>
        <v>4.366395330031744</v>
      </c>
    </row>
    <row r="761" spans="1:8">
      <c r="A761">
        <v>717</v>
      </c>
      <c r="B761">
        <f t="shared" ca="1" si="78"/>
        <v>0.10836693620232363</v>
      </c>
      <c r="C761" s="1">
        <f t="shared" ca="1" si="79"/>
        <v>91.828298630084433</v>
      </c>
      <c r="D761" s="1">
        <f t="shared" ca="1" si="84"/>
        <v>295.36060050018602</v>
      </c>
      <c r="E761" s="1">
        <f t="shared" ca="1" si="82"/>
        <v>354.10909374160894</v>
      </c>
      <c r="F761" s="1">
        <f t="shared" ca="1" si="80"/>
        <v>18.948606954025916</v>
      </c>
      <c r="G761" s="1">
        <f t="shared" ca="1" si="83"/>
        <v>14.130937984221021</v>
      </c>
      <c r="H761" s="1">
        <f t="shared" ca="1" si="81"/>
        <v>5.5278076838453671</v>
      </c>
    </row>
    <row r="762" spans="1:8">
      <c r="A762">
        <v>718</v>
      </c>
      <c r="B762">
        <f t="shared" ca="1" si="78"/>
        <v>0.20164743949099473</v>
      </c>
      <c r="C762" s="1">
        <f t="shared" ca="1" si="79"/>
        <v>82.22144427783789</v>
      </c>
      <c r="D762" s="1">
        <f t="shared" ca="1" si="84"/>
        <v>264.46068701318666</v>
      </c>
      <c r="E762" s="1">
        <f t="shared" ca="1" si="82"/>
        <v>317.06305441034124</v>
      </c>
      <c r="F762" s="1">
        <f t="shared" ca="1" si="80"/>
        <v>16.966250385778693</v>
      </c>
      <c r="G762" s="1">
        <f t="shared" ca="1" si="83"/>
        <v>12.652594338360881</v>
      </c>
      <c r="H762" s="1">
        <f t="shared" ca="1" si="81"/>
        <v>4.9495028060172261</v>
      </c>
    </row>
    <row r="763" spans="1:8">
      <c r="A763">
        <v>719</v>
      </c>
      <c r="B763">
        <f t="shared" ca="1" si="78"/>
        <v>0.40679303312508541</v>
      </c>
      <c r="C763" s="1">
        <f t="shared" ca="1" si="79"/>
        <v>61.093729808406849</v>
      </c>
      <c r="D763" s="1">
        <f t="shared" ca="1" si="84"/>
        <v>196.50456679462846</v>
      </c>
      <c r="E763" s="1">
        <f t="shared" ca="1" si="82"/>
        <v>235.59016926856702</v>
      </c>
      <c r="F763" s="1">
        <f t="shared" ca="1" si="80"/>
        <v>12.606585711489728</v>
      </c>
      <c r="G763" s="1">
        <f t="shared" ca="1" si="83"/>
        <v>9.4013716912592642</v>
      </c>
      <c r="H763" s="1">
        <f t="shared" ca="1" si="81"/>
        <v>3.6776754328693295</v>
      </c>
    </row>
    <row r="764" spans="1:8">
      <c r="A764">
        <v>720</v>
      </c>
      <c r="B764">
        <f t="shared" ca="1" si="78"/>
        <v>2.9002052429169867E-2</v>
      </c>
      <c r="C764" s="1">
        <f t="shared" ca="1" si="79"/>
        <v>122.69920459147065</v>
      </c>
      <c r="D764" s="1">
        <f t="shared" ca="1" si="84"/>
        <v>390.83138331055397</v>
      </c>
      <c r="E764" s="1">
        <f t="shared" ca="1" si="82"/>
        <v>468.48173837752182</v>
      </c>
      <c r="F764" s="1">
        <f t="shared" ca="1" si="80"/>
        <v>28.011285914799913</v>
      </c>
      <c r="G764" s="1">
        <f t="shared" ca="1" si="83"/>
        <v>18.366734667350958</v>
      </c>
      <c r="H764" s="1">
        <f t="shared" ca="1" si="81"/>
        <v>6.9505606456094249</v>
      </c>
    </row>
    <row r="765" spans="1:8">
      <c r="A765">
        <v>721</v>
      </c>
      <c r="B765">
        <f t="shared" ca="1" si="78"/>
        <v>0.47770455192825567</v>
      </c>
      <c r="C765" s="1">
        <f t="shared" ca="1" si="79"/>
        <v>53.790632065350557</v>
      </c>
      <c r="D765" s="1">
        <f t="shared" ca="1" si="84"/>
        <v>173.01455849708736</v>
      </c>
      <c r="E765" s="1">
        <f t="shared" ca="1" si="82"/>
        <v>207.42789717519568</v>
      </c>
      <c r="F765" s="1">
        <f t="shared" ca="1" si="80"/>
        <v>11.099605044491939</v>
      </c>
      <c r="G765" s="1">
        <f t="shared" ca="1" si="83"/>
        <v>8.277539919934652</v>
      </c>
      <c r="H765" s="1">
        <f t="shared" ca="1" si="81"/>
        <v>3.2380500473676226</v>
      </c>
    </row>
    <row r="766" spans="1:8">
      <c r="A766">
        <v>722</v>
      </c>
      <c r="B766">
        <f t="shared" ca="1" si="78"/>
        <v>2.2732450430729578E-2</v>
      </c>
      <c r="C766" s="1">
        <f t="shared" ca="1" si="79"/>
        <v>131.23840251334633</v>
      </c>
      <c r="D766" s="1">
        <f t="shared" ca="1" si="84"/>
        <v>417.4945204715645</v>
      </c>
      <c r="E766" s="1">
        <f t="shared" ca="1" si="82"/>
        <v>500.44291760605824</v>
      </c>
      <c r="F766" s="1">
        <f t="shared" ca="1" si="80"/>
        <v>28.86617358869421</v>
      </c>
      <c r="G766" s="1">
        <f t="shared" ca="1" si="83"/>
        <v>19.29380520735489</v>
      </c>
      <c r="H766" s="1">
        <f t="shared" ca="1" si="81"/>
        <v>7.2758156818309354</v>
      </c>
    </row>
    <row r="767" spans="1:8">
      <c r="A767">
        <v>723</v>
      </c>
      <c r="B767">
        <f t="shared" ca="1" si="78"/>
        <v>0.60656117174587187</v>
      </c>
      <c r="C767" s="1">
        <f t="shared" ca="1" si="79"/>
        <v>40.519833396096509</v>
      </c>
      <c r="D767" s="1">
        <f t="shared" ca="1" si="84"/>
        <v>130.32977159934035</v>
      </c>
      <c r="E767" s="1">
        <f t="shared" ca="1" si="82"/>
        <v>156.25292236738525</v>
      </c>
      <c r="F767" s="1">
        <f t="shared" ca="1" si="80"/>
        <v>8.3612003655732554</v>
      </c>
      <c r="G767" s="1">
        <f t="shared" ca="1" si="83"/>
        <v>6.2353729244921627</v>
      </c>
      <c r="H767" s="1">
        <f t="shared" ca="1" si="81"/>
        <v>2.4391863067811799</v>
      </c>
    </row>
    <row r="768" spans="1:8">
      <c r="A768">
        <v>724</v>
      </c>
      <c r="B768">
        <f t="shared" ca="1" si="78"/>
        <v>0.51273069467037724</v>
      </c>
      <c r="C768" s="1">
        <f t="shared" ca="1" si="79"/>
        <v>50.1833289314552</v>
      </c>
      <c r="D768" s="1">
        <f t="shared" ca="1" si="84"/>
        <v>161.41186830613194</v>
      </c>
      <c r="E768" s="1">
        <f t="shared" ca="1" si="82"/>
        <v>193.51738194532317</v>
      </c>
      <c r="F768" s="1">
        <f t="shared" ca="1" si="80"/>
        <v>10.35524473684722</v>
      </c>
      <c r="G768" s="1">
        <f t="shared" ca="1" si="83"/>
        <v>7.7224327567414788</v>
      </c>
      <c r="H768" s="1">
        <f t="shared" ca="1" si="81"/>
        <v>3.0209008201964425</v>
      </c>
    </row>
    <row r="769" spans="1:8">
      <c r="A769">
        <v>725</v>
      </c>
      <c r="B769">
        <f t="shared" ca="1" si="78"/>
        <v>0.77605000247910827</v>
      </c>
      <c r="C769" s="1">
        <f t="shared" ca="1" si="79"/>
        <v>23.064368923012765</v>
      </c>
      <c r="D769" s="1">
        <f t="shared" ca="1" si="84"/>
        <v>74.185239547852689</v>
      </c>
      <c r="E769" s="1">
        <f t="shared" ca="1" si="82"/>
        <v>88.941001138540173</v>
      </c>
      <c r="F769" s="1">
        <f t="shared" ca="1" si="80"/>
        <v>4.7592976634747526</v>
      </c>
      <c r="G769" s="1">
        <f t="shared" ca="1" si="83"/>
        <v>3.5492517402684971</v>
      </c>
      <c r="H769" s="1">
        <f t="shared" ca="1" si="81"/>
        <v>1.3884177742927539</v>
      </c>
    </row>
    <row r="770" spans="1:8">
      <c r="A770">
        <v>726</v>
      </c>
      <c r="B770">
        <f t="shared" ca="1" si="78"/>
        <v>0.75646193181888111</v>
      </c>
      <c r="C770" s="1">
        <f t="shared" ca="1" si="79"/>
        <v>25.081722338141375</v>
      </c>
      <c r="D770" s="1">
        <f t="shared" ca="1" si="84"/>
        <v>80.673944769619652</v>
      </c>
      <c r="E770" s="1">
        <f t="shared" ca="1" si="82"/>
        <v>96.720337768583363</v>
      </c>
      <c r="F770" s="1">
        <f t="shared" ca="1" si="80"/>
        <v>5.1755747971049697</v>
      </c>
      <c r="G770" s="1">
        <f t="shared" ca="1" si="83"/>
        <v>3.8596906720310269</v>
      </c>
      <c r="H770" s="1">
        <f t="shared" ca="1" si="81"/>
        <v>1.5098566217547553</v>
      </c>
    </row>
    <row r="771" spans="1:8">
      <c r="A771">
        <v>727</v>
      </c>
      <c r="B771">
        <f t="shared" ca="1" si="78"/>
        <v>0.74246305879060825</v>
      </c>
      <c r="C771" s="1">
        <f t="shared" ca="1" si="79"/>
        <v>26.523450561476793</v>
      </c>
      <c r="D771" s="1">
        <f t="shared" ca="1" si="84"/>
        <v>85.311183530547908</v>
      </c>
      <c r="E771" s="1">
        <f t="shared" ca="1" si="82"/>
        <v>102.27994328651164</v>
      </c>
      <c r="F771" s="1">
        <f t="shared" ca="1" si="80"/>
        <v>5.4730727405902933</v>
      </c>
      <c r="G771" s="1">
        <f t="shared" ca="1" si="83"/>
        <v>4.0815499487386777</v>
      </c>
      <c r="H771" s="1">
        <f t="shared" ca="1" si="81"/>
        <v>1.5966444956504811</v>
      </c>
    </row>
    <row r="772" spans="1:8">
      <c r="A772">
        <v>728</v>
      </c>
      <c r="B772">
        <f t="shared" ca="1" si="78"/>
        <v>0.38320876755665667</v>
      </c>
      <c r="C772" s="1">
        <f t="shared" ca="1" si="79"/>
        <v>63.522646852512409</v>
      </c>
      <c r="D772" s="1">
        <f t="shared" ca="1" si="84"/>
        <v>204.31704357194207</v>
      </c>
      <c r="E772" s="1">
        <f t="shared" ca="1" si="82"/>
        <v>244.95658131657305</v>
      </c>
      <c r="F772" s="1">
        <f t="shared" ca="1" si="80"/>
        <v>13.107788236225028</v>
      </c>
      <c r="G772" s="1">
        <f t="shared" ca="1" si="83"/>
        <v>9.7751437863504265</v>
      </c>
      <c r="H772" s="1">
        <f t="shared" ca="1" si="81"/>
        <v>3.8238892217894955</v>
      </c>
    </row>
    <row r="773" spans="1:8">
      <c r="A773">
        <v>729</v>
      </c>
      <c r="B773">
        <f t="shared" ca="1" si="78"/>
        <v>0.17091586055544894</v>
      </c>
      <c r="C773" s="1">
        <f t="shared" ca="1" si="79"/>
        <v>85.386455104748933</v>
      </c>
      <c r="D773" s="1">
        <f t="shared" ca="1" si="84"/>
        <v>274.64076856236699</v>
      </c>
      <c r="E773" s="1">
        <f t="shared" ca="1" si="82"/>
        <v>329.26799801398982</v>
      </c>
      <c r="F773" s="1">
        <f t="shared" ca="1" si="80"/>
        <v>17.619344496634398</v>
      </c>
      <c r="G773" s="1">
        <f t="shared" ca="1" si="83"/>
        <v>13.139639678436048</v>
      </c>
      <c r="H773" s="1">
        <f t="shared" ca="1" si="81"/>
        <v>5.1400273140892692</v>
      </c>
    </row>
    <row r="774" spans="1:8">
      <c r="A774">
        <v>730</v>
      </c>
      <c r="B774">
        <f t="shared" ca="1" si="78"/>
        <v>0.87386933286200941</v>
      </c>
      <c r="C774" s="1">
        <f t="shared" ca="1" si="79"/>
        <v>12.9900658619041</v>
      </c>
      <c r="D774" s="1">
        <f t="shared" ca="1" si="84"/>
        <v>41.78180324955224</v>
      </c>
      <c r="E774" s="1">
        <f t="shared" ca="1" si="82"/>
        <v>50.092381834796129</v>
      </c>
      <c r="F774" s="1">
        <f t="shared" ca="1" si="80"/>
        <v>2.680483921593499</v>
      </c>
      <c r="G774" s="1">
        <f t="shared" ca="1" si="83"/>
        <v>1.9989750970739859</v>
      </c>
      <c r="H774" s="1">
        <f t="shared" ca="1" si="81"/>
        <v>0.78197383464921089</v>
      </c>
    </row>
    <row r="775" spans="1:8">
      <c r="A775">
        <v>731</v>
      </c>
      <c r="B775">
        <f t="shared" ca="1" si="78"/>
        <v>7.3220955349451167E-5</v>
      </c>
      <c r="C775" s="1">
        <f t="shared" ca="1" si="79"/>
        <v>154.26</v>
      </c>
      <c r="D775" s="1">
        <f t="shared" ca="1" si="84"/>
        <v>490.57679011763298</v>
      </c>
      <c r="E775" s="1">
        <f t="shared" ca="1" si="82"/>
        <v>588.07132005685003</v>
      </c>
      <c r="F775" s="1">
        <f t="shared" ca="1" si="80"/>
        <v>31.846409312708399</v>
      </c>
      <c r="G775" s="1">
        <f t="shared" ca="1" si="83"/>
        <v>22.024287970326</v>
      </c>
      <c r="H775" s="1">
        <f t="shared" ca="1" si="81"/>
        <v>8.2474320175743205</v>
      </c>
    </row>
    <row r="776" spans="1:8">
      <c r="A776">
        <v>732</v>
      </c>
      <c r="B776">
        <f t="shared" ca="1" si="78"/>
        <v>0.49463216599075077</v>
      </c>
      <c r="C776" s="1">
        <f t="shared" ca="1" si="79"/>
        <v>52.04727608959886</v>
      </c>
      <c r="D776" s="1">
        <f t="shared" ca="1" si="84"/>
        <v>167.40715082204815</v>
      </c>
      <c r="E776" s="1">
        <f t="shared" ca="1" si="82"/>
        <v>200.70515196869684</v>
      </c>
      <c r="F776" s="1">
        <f t="shared" ca="1" si="80"/>
        <v>10.739866774022973</v>
      </c>
      <c r="G776" s="1">
        <f t="shared" ca="1" si="83"/>
        <v>8.0092648806006643</v>
      </c>
      <c r="H776" s="1">
        <f t="shared" ca="1" si="81"/>
        <v>3.133105054178225</v>
      </c>
    </row>
    <row r="777" spans="1:8">
      <c r="A777">
        <v>733</v>
      </c>
      <c r="B777">
        <f t="shared" ca="1" si="78"/>
        <v>0.27670156987393091</v>
      </c>
      <c r="C777" s="1">
        <f t="shared" ca="1" si="79"/>
        <v>74.491703617112279</v>
      </c>
      <c r="D777" s="1">
        <f t="shared" ca="1" si="84"/>
        <v>239.59840546548014</v>
      </c>
      <c r="E777" s="1">
        <f t="shared" ca="1" si="82"/>
        <v>287.25555800848554</v>
      </c>
      <c r="F777" s="1">
        <f t="shared" ca="1" si="80"/>
        <v>15.371232744436629</v>
      </c>
      <c r="G777" s="1">
        <f t="shared" ca="1" si="83"/>
        <v>11.463108938568364</v>
      </c>
      <c r="H777" s="1">
        <f t="shared" ca="1" si="81"/>
        <v>4.4841947494420991</v>
      </c>
    </row>
    <row r="778" spans="1:8">
      <c r="A778">
        <v>734</v>
      </c>
      <c r="B778">
        <f t="shared" ca="1" si="78"/>
        <v>0.11376193693792036</v>
      </c>
      <c r="C778" s="1">
        <f t="shared" ca="1" si="79"/>
        <v>91.272673558715027</v>
      </c>
      <c r="D778" s="1">
        <f t="shared" ca="1" si="84"/>
        <v>293.57346331594141</v>
      </c>
      <c r="E778" s="1">
        <f t="shared" ca="1" si="82"/>
        <v>351.9664872761976</v>
      </c>
      <c r="F778" s="1">
        <f t="shared" ca="1" si="80"/>
        <v>18.833954751616456</v>
      </c>
      <c r="G778" s="1">
        <f t="shared" ca="1" si="83"/>
        <v>14.045436032841124</v>
      </c>
      <c r="H778" s="1">
        <f t="shared" ca="1" si="81"/>
        <v>5.4943606597483079</v>
      </c>
    </row>
    <row r="779" spans="1:8">
      <c r="A779">
        <v>735</v>
      </c>
      <c r="B779">
        <f t="shared" ca="1" si="78"/>
        <v>0.71957844494957446</v>
      </c>
      <c r="C779" s="1">
        <f t="shared" ca="1" si="79"/>
        <v>28.880311259342669</v>
      </c>
      <c r="D779" s="1">
        <f t="shared" ca="1" si="84"/>
        <v>92.891895071983328</v>
      </c>
      <c r="E779" s="1">
        <f t="shared" ca="1" si="82"/>
        <v>111.36849099526714</v>
      </c>
      <c r="F779" s="1">
        <f t="shared" ca="1" si="80"/>
        <v>5.9594065719932399</v>
      </c>
      <c r="G779" s="1">
        <f t="shared" ca="1" si="83"/>
        <v>4.4442337065134279</v>
      </c>
      <c r="H779" s="1">
        <f t="shared" ca="1" si="81"/>
        <v>1.7385207006976136</v>
      </c>
    </row>
    <row r="780" spans="1:8">
      <c r="A780">
        <v>736</v>
      </c>
      <c r="B780">
        <f t="shared" ca="1" si="78"/>
        <v>0.40834515152917317</v>
      </c>
      <c r="C780" s="1">
        <f t="shared" ca="1" si="79"/>
        <v>60.933878875791621</v>
      </c>
      <c r="D780" s="1">
        <f t="shared" ca="1" si="84"/>
        <v>195.99041514753162</v>
      </c>
      <c r="E780" s="1">
        <f t="shared" ca="1" si="82"/>
        <v>234.97375064498095</v>
      </c>
      <c r="F780" s="1">
        <f t="shared" ca="1" si="80"/>
        <v>12.573600768178274</v>
      </c>
      <c r="G780" s="1">
        <f t="shared" ca="1" si="83"/>
        <v>9.3767731492337703</v>
      </c>
      <c r="H780" s="1">
        <f t="shared" ca="1" si="81"/>
        <v>3.6680528685348186</v>
      </c>
    </row>
    <row r="781" spans="1:8">
      <c r="A781">
        <v>737</v>
      </c>
      <c r="B781">
        <f t="shared" ca="1" si="78"/>
        <v>0.31510386386748324</v>
      </c>
      <c r="C781" s="1">
        <f t="shared" ca="1" si="79"/>
        <v>70.536694454624026</v>
      </c>
      <c r="D781" s="1">
        <f t="shared" ca="1" si="84"/>
        <v>226.87733814414634</v>
      </c>
      <c r="E781" s="1">
        <f t="shared" ca="1" si="82"/>
        <v>272.00421562139076</v>
      </c>
      <c r="F781" s="1">
        <f t="shared" ca="1" si="80"/>
        <v>14.555123943026196</v>
      </c>
      <c r="G781" s="1">
        <f t="shared" ca="1" si="83"/>
        <v>10.854495291447144</v>
      </c>
      <c r="H781" s="1">
        <f t="shared" ca="1" si="81"/>
        <v>4.246114623871434</v>
      </c>
    </row>
    <row r="782" spans="1:8">
      <c r="A782">
        <v>738</v>
      </c>
      <c r="B782">
        <f t="shared" ca="1" si="78"/>
        <v>0.81841767603935789</v>
      </c>
      <c r="C782" s="1">
        <f t="shared" ca="1" si="79"/>
        <v>18.700969768987434</v>
      </c>
      <c r="D782" s="1">
        <f t="shared" ca="1" si="84"/>
        <v>60.150608499542898</v>
      </c>
      <c r="E782" s="1">
        <f t="shared" ca="1" si="82"/>
        <v>72.114821543109713</v>
      </c>
      <c r="F782" s="1">
        <f t="shared" ca="1" si="80"/>
        <v>3.8589183451556668</v>
      </c>
      <c r="G782" s="1">
        <f t="shared" ca="1" si="83"/>
        <v>2.8777933026586471</v>
      </c>
      <c r="H782" s="1">
        <f t="shared" ca="1" si="81"/>
        <v>1.1257537510691744</v>
      </c>
    </row>
    <row r="783" spans="1:8">
      <c r="A783">
        <v>739</v>
      </c>
      <c r="B783">
        <f t="shared" ca="1" si="78"/>
        <v>0.95349303788921691</v>
      </c>
      <c r="C783" s="1">
        <f t="shared" ca="1" si="79"/>
        <v>4.7897098366431976</v>
      </c>
      <c r="D783" s="1">
        <f t="shared" ca="1" si="84"/>
        <v>15.40581351843889</v>
      </c>
      <c r="E783" s="1">
        <f t="shared" ca="1" si="82"/>
        <v>18.470094173989366</v>
      </c>
      <c r="F783" s="1">
        <f t="shared" ca="1" si="80"/>
        <v>0.98835567309557248</v>
      </c>
      <c r="G783" s="1">
        <f t="shared" ca="1" si="83"/>
        <v>0.7370694014910768</v>
      </c>
      <c r="H783" s="1">
        <f t="shared" ca="1" si="81"/>
        <v>0.28833609273561667</v>
      </c>
    </row>
    <row r="784" spans="1:8">
      <c r="A784">
        <v>740</v>
      </c>
      <c r="B784">
        <f t="shared" ca="1" si="78"/>
        <v>0.29584406754704728</v>
      </c>
      <c r="C784" s="1">
        <f t="shared" ca="1" si="79"/>
        <v>72.520239263894297</v>
      </c>
      <c r="D784" s="1">
        <f t="shared" ca="1" si="84"/>
        <v>233.25729986280248</v>
      </c>
      <c r="E784" s="1">
        <f t="shared" ca="1" si="82"/>
        <v>279.6531791973166</v>
      </c>
      <c r="F784" s="1">
        <f t="shared" ca="1" si="80"/>
        <v>14.96442473357582</v>
      </c>
      <c r="G784" s="1">
        <f t="shared" ca="1" si="83"/>
        <v>11.159731611010773</v>
      </c>
      <c r="H784" s="1">
        <f t="shared" ca="1" si="81"/>
        <v>4.3655182909337373</v>
      </c>
    </row>
    <row r="785" spans="1:8">
      <c r="A785">
        <v>741</v>
      </c>
      <c r="B785">
        <f t="shared" ca="1" si="78"/>
        <v>0.21874815248018031</v>
      </c>
      <c r="C785" s="1">
        <f t="shared" ca="1" si="79"/>
        <v>80.460261037881793</v>
      </c>
      <c r="D785" s="1">
        <f t="shared" ca="1" si="84"/>
        <v>258.79593893290888</v>
      </c>
      <c r="E785" s="1">
        <f t="shared" ca="1" si="82"/>
        <v>310.27156354510026</v>
      </c>
      <c r="F785" s="1">
        <f t="shared" ca="1" si="80"/>
        <v>16.60283349242302</v>
      </c>
      <c r="G785" s="1">
        <f t="shared" ca="1" si="83"/>
        <v>12.381575963717196</v>
      </c>
      <c r="H785" s="1">
        <f t="shared" ca="1" si="81"/>
        <v>4.8434846630256434</v>
      </c>
    </row>
    <row r="786" spans="1:8">
      <c r="A786">
        <v>742</v>
      </c>
      <c r="B786">
        <f t="shared" ca="1" si="78"/>
        <v>0.55102638292579464</v>
      </c>
      <c r="C786" s="1">
        <f t="shared" ca="1" si="79"/>
        <v>46.239298974302145</v>
      </c>
      <c r="D786" s="1">
        <f t="shared" ca="1" si="84"/>
        <v>148.72611498900534</v>
      </c>
      <c r="E786" s="1">
        <f t="shared" ca="1" si="82"/>
        <v>178.30837766993068</v>
      </c>
      <c r="F786" s="1">
        <f t="shared" ca="1" si="80"/>
        <v>9.5414014740837079</v>
      </c>
      <c r="G786" s="1">
        <f t="shared" ca="1" si="83"/>
        <v>7.1155086364777231</v>
      </c>
      <c r="H786" s="1">
        <f t="shared" ca="1" si="81"/>
        <v>2.7834816110680602</v>
      </c>
    </row>
    <row r="787" spans="1:8">
      <c r="A787">
        <v>743</v>
      </c>
      <c r="B787">
        <f t="shared" ca="1" si="78"/>
        <v>0.98098451005275866</v>
      </c>
      <c r="C787" s="1">
        <f t="shared" ca="1" si="79"/>
        <v>1.9583939700610102</v>
      </c>
      <c r="D787" s="1">
        <f t="shared" ca="1" si="84"/>
        <v>6.299043276700047</v>
      </c>
      <c r="E787" s="1">
        <f t="shared" ca="1" si="82"/>
        <v>7.551948118395444</v>
      </c>
      <c r="F787" s="1">
        <f t="shared" ca="1" si="80"/>
        <v>0.40411889806949475</v>
      </c>
      <c r="G787" s="1">
        <f t="shared" ca="1" si="83"/>
        <v>0.3013744625118111</v>
      </c>
      <c r="H787" s="1">
        <f t="shared" ca="1" si="81"/>
        <v>0.1178990572315044</v>
      </c>
    </row>
    <row r="788" spans="1:8">
      <c r="A788">
        <v>744</v>
      </c>
      <c r="B788">
        <f t="shared" ca="1" si="78"/>
        <v>0.59631011019275137</v>
      </c>
      <c r="C788" s="1">
        <f t="shared" ca="1" si="79"/>
        <v>41.575578721483311</v>
      </c>
      <c r="D788" s="1">
        <f t="shared" ca="1" si="84"/>
        <v>133.72551780539453</v>
      </c>
      <c r="E788" s="1">
        <f t="shared" ca="1" si="82"/>
        <v>160.32409711554155</v>
      </c>
      <c r="F788" s="1">
        <f t="shared" ca="1" si="80"/>
        <v>8.5790514543312959</v>
      </c>
      <c r="G788" s="1">
        <f t="shared" ca="1" si="83"/>
        <v>6.397835509663671</v>
      </c>
      <c r="H788" s="1">
        <f t="shared" ca="1" si="81"/>
        <v>2.5027391253239815</v>
      </c>
    </row>
    <row r="789" spans="1:8">
      <c r="A789">
        <v>745</v>
      </c>
      <c r="B789">
        <f t="shared" ca="1" si="78"/>
        <v>0.76069629778719161</v>
      </c>
      <c r="C789" s="1">
        <f t="shared" ca="1" si="79"/>
        <v>24.645629738964658</v>
      </c>
      <c r="D789" s="1">
        <f t="shared" ca="1" si="84"/>
        <v>79.271277143693794</v>
      </c>
      <c r="E789" s="1">
        <f t="shared" ca="1" si="82"/>
        <v>95.038673512124944</v>
      </c>
      <c r="F789" s="1">
        <f t="shared" ca="1" si="80"/>
        <v>5.0855878985173177</v>
      </c>
      <c r="G789" s="1">
        <f t="shared" ca="1" si="83"/>
        <v>3.7925828863437427</v>
      </c>
      <c r="H789" s="1">
        <f t="shared" ca="1" si="81"/>
        <v>1.4836051071546956</v>
      </c>
    </row>
    <row r="790" spans="1:8">
      <c r="A790">
        <v>746</v>
      </c>
      <c r="B790">
        <f t="shared" ca="1" si="78"/>
        <v>0.41382858081090446</v>
      </c>
      <c r="C790" s="1">
        <f t="shared" ca="1" si="79"/>
        <v>60.369146647692304</v>
      </c>
      <c r="D790" s="1">
        <f t="shared" ca="1" si="84"/>
        <v>194.17398529945046</v>
      </c>
      <c r="E790" s="1">
        <f t="shared" ca="1" si="82"/>
        <v>232.79602507876487</v>
      </c>
      <c r="F790" s="1">
        <f t="shared" ca="1" si="80"/>
        <v>12.457069320877652</v>
      </c>
      <c r="G790" s="1">
        <f t="shared" ca="1" si="83"/>
        <v>9.2898697498054403</v>
      </c>
      <c r="H790" s="1">
        <f t="shared" ca="1" si="81"/>
        <v>3.6340576199131704</v>
      </c>
    </row>
    <row r="791" spans="1:8">
      <c r="A791">
        <v>747</v>
      </c>
      <c r="B791">
        <f t="shared" ca="1" si="78"/>
        <v>0.73502112124693009</v>
      </c>
      <c r="C791" s="1">
        <f t="shared" ca="1" si="79"/>
        <v>27.289887357592519</v>
      </c>
      <c r="D791" s="1">
        <f t="shared" ca="1" si="84"/>
        <v>87.776384919563526</v>
      </c>
      <c r="E791" s="1">
        <f t="shared" ca="1" si="82"/>
        <v>105.23548384669451</v>
      </c>
      <c r="F791" s="1">
        <f t="shared" ca="1" si="80"/>
        <v>5.6312255512000498</v>
      </c>
      <c r="G791" s="1">
        <f t="shared" ca="1" si="83"/>
        <v>4.1994925057866173</v>
      </c>
      <c r="H791" s="1">
        <f t="shared" ca="1" si="81"/>
        <v>1.6427817765427482</v>
      </c>
    </row>
    <row r="792" spans="1:8">
      <c r="A792">
        <v>748</v>
      </c>
      <c r="B792">
        <f t="shared" ca="1" si="78"/>
        <v>0.31421635703620177</v>
      </c>
      <c r="C792" s="1">
        <f t="shared" ca="1" si="79"/>
        <v>70.628097787197817</v>
      </c>
      <c r="D792" s="1">
        <f t="shared" ca="1" si="84"/>
        <v>227.17133188709226</v>
      </c>
      <c r="E792" s="1">
        <f t="shared" ca="1" si="82"/>
        <v>272.35668598571408</v>
      </c>
      <c r="F792" s="1">
        <f t="shared" ca="1" si="80"/>
        <v>14.573984851086593</v>
      </c>
      <c r="G792" s="1">
        <f t="shared" ca="1" si="83"/>
        <v>10.868560825384307</v>
      </c>
      <c r="H792" s="1">
        <f t="shared" ca="1" si="81"/>
        <v>4.2516168404283876</v>
      </c>
    </row>
    <row r="793" spans="1:8">
      <c r="A793">
        <v>749</v>
      </c>
      <c r="B793">
        <f t="shared" ca="1" si="78"/>
        <v>0.39579154980014997</v>
      </c>
      <c r="C793" s="1">
        <f t="shared" ca="1" si="79"/>
        <v>62.226760229932886</v>
      </c>
      <c r="D793" s="1">
        <f t="shared" ca="1" si="84"/>
        <v>200.14889622022298</v>
      </c>
      <c r="E793" s="1">
        <f t="shared" ca="1" si="82"/>
        <v>239.95937150900289</v>
      </c>
      <c r="F793" s="1">
        <f t="shared" ca="1" si="80"/>
        <v>12.840384436418956</v>
      </c>
      <c r="G793" s="1">
        <f t="shared" ca="1" si="83"/>
        <v>9.5757272360414696</v>
      </c>
      <c r="H793" s="1">
        <f t="shared" ca="1" si="81"/>
        <v>3.7458805909232722</v>
      </c>
    </row>
    <row r="794" spans="1:8">
      <c r="A794">
        <v>750</v>
      </c>
      <c r="B794">
        <f t="shared" ca="1" si="78"/>
        <v>1.1955416235441496E-2</v>
      </c>
      <c r="C794" s="1">
        <f t="shared" ca="1" si="79"/>
        <v>145.91672308732871</v>
      </c>
      <c r="D794" s="1">
        <f t="shared" ca="1" si="84"/>
        <v>463.32670264347144</v>
      </c>
      <c r="E794" s="1">
        <f t="shared" ca="1" si="82"/>
        <v>555.38208624122149</v>
      </c>
      <c r="F794" s="1">
        <f t="shared" ca="1" si="80"/>
        <v>30.335669371198605</v>
      </c>
      <c r="G794" s="1">
        <f t="shared" ca="1" si="83"/>
        <v>20.887378597428469</v>
      </c>
      <c r="H794" s="1">
        <f t="shared" ca="1" si="81"/>
        <v>7.8349077339932416</v>
      </c>
    </row>
    <row r="795" spans="1:8">
      <c r="A795">
        <v>751</v>
      </c>
      <c r="B795">
        <f t="shared" ca="1" si="78"/>
        <v>5.0788758310628457E-2</v>
      </c>
      <c r="C795" s="1">
        <f t="shared" ca="1" si="79"/>
        <v>105.01741604318757</v>
      </c>
      <c r="D795" s="1">
        <f t="shared" ca="1" si="84"/>
        <v>335.8013649006125</v>
      </c>
      <c r="E795" s="1">
        <f t="shared" ca="1" si="82"/>
        <v>402.52950687271755</v>
      </c>
      <c r="F795" s="1">
        <f t="shared" ca="1" si="80"/>
        <v>25.183706303187851</v>
      </c>
      <c r="G795" s="1">
        <f t="shared" ca="1" si="83"/>
        <v>16.295107530236795</v>
      </c>
      <c r="H795" s="1">
        <f t="shared" ca="1" si="81"/>
        <v>6.236098864203707</v>
      </c>
    </row>
    <row r="796" spans="1:8">
      <c r="A796">
        <v>752</v>
      </c>
      <c r="B796">
        <f t="shared" ca="1" si="78"/>
        <v>0.12925208563471002</v>
      </c>
      <c r="C796" s="1">
        <f t="shared" ca="1" si="79"/>
        <v>89.677360527821762</v>
      </c>
      <c r="D796" s="1">
        <f t="shared" ca="1" si="84"/>
        <v>288.4422275511609</v>
      </c>
      <c r="E796" s="1">
        <f t="shared" ca="1" si="82"/>
        <v>345.81462662325288</v>
      </c>
      <c r="F796" s="1">
        <f t="shared" ca="1" si="80"/>
        <v>18.50476486809729</v>
      </c>
      <c r="G796" s="1">
        <f t="shared" ca="1" si="83"/>
        <v>13.799942472107851</v>
      </c>
      <c r="H796" s="1">
        <f t="shared" ca="1" si="81"/>
        <v>5.3983274241437069</v>
      </c>
    </row>
    <row r="797" spans="1:8">
      <c r="A797">
        <v>753</v>
      </c>
      <c r="B797">
        <f t="shared" ca="1" si="78"/>
        <v>0.70825374574091882</v>
      </c>
      <c r="C797" s="1">
        <f t="shared" ca="1" si="79"/>
        <v>30.046629322012997</v>
      </c>
      <c r="D797" s="1">
        <f t="shared" ca="1" si="84"/>
        <v>96.643292346618836</v>
      </c>
      <c r="E797" s="1">
        <f t="shared" ca="1" si="82"/>
        <v>115.86605734094084</v>
      </c>
      <c r="F797" s="1">
        <f t="shared" ca="1" si="80"/>
        <v>6.2000741399010675</v>
      </c>
      <c r="G797" s="1">
        <f t="shared" ca="1" si="83"/>
        <v>4.6237116952264969</v>
      </c>
      <c r="H797" s="1">
        <f t="shared" ca="1" si="81"/>
        <v>1.8087296785805345</v>
      </c>
    </row>
    <row r="798" spans="1:8">
      <c r="A798">
        <v>754</v>
      </c>
      <c r="B798">
        <f t="shared" ca="1" si="78"/>
        <v>0.7924527420443418</v>
      </c>
      <c r="C798" s="1">
        <f t="shared" ca="1" si="79"/>
        <v>21.375069182708202</v>
      </c>
      <c r="D798" s="1">
        <f t="shared" ca="1" si="84"/>
        <v>68.75170075200171</v>
      </c>
      <c r="E798" s="1">
        <f t="shared" ca="1" si="82"/>
        <v>82.426708079960747</v>
      </c>
      <c r="F798" s="1">
        <f t="shared" ca="1" si="80"/>
        <v>4.4107137968787171</v>
      </c>
      <c r="G798" s="1">
        <f t="shared" ca="1" si="83"/>
        <v>3.2892951045723997</v>
      </c>
      <c r="H798" s="1">
        <f t="shared" ca="1" si="81"/>
        <v>1.2867268103089522</v>
      </c>
    </row>
    <row r="799" spans="1:8">
      <c r="A799">
        <v>755</v>
      </c>
      <c r="B799">
        <f t="shared" ca="1" si="78"/>
        <v>0.36703547212279986</v>
      </c>
      <c r="C799" s="1">
        <f t="shared" ca="1" si="79"/>
        <v>65.18831639921379</v>
      </c>
      <c r="D799" s="1">
        <f t="shared" ca="1" si="84"/>
        <v>209.67457716242123</v>
      </c>
      <c r="E799" s="1">
        <f t="shared" ca="1" si="82"/>
        <v>251.37975140716196</v>
      </c>
      <c r="F799" s="1">
        <f t="shared" ca="1" si="80"/>
        <v>13.45149605622135</v>
      </c>
      <c r="G799" s="1">
        <f t="shared" ca="1" si="83"/>
        <v>10.031464107256809</v>
      </c>
      <c r="H799" s="1">
        <f t="shared" ca="1" si="81"/>
        <v>3.9241577163859533</v>
      </c>
    </row>
    <row r="800" spans="1:8">
      <c r="A800">
        <v>756</v>
      </c>
      <c r="B800">
        <f t="shared" ca="1" si="78"/>
        <v>0.48385953634512979</v>
      </c>
      <c r="C800" s="1">
        <f t="shared" ca="1" si="79"/>
        <v>53.156737127516983</v>
      </c>
      <c r="D800" s="1">
        <f t="shared" ca="1" si="84"/>
        <v>170.9756706342435</v>
      </c>
      <c r="E800" s="1">
        <f t="shared" ca="1" si="82"/>
        <v>204.98346573720031</v>
      </c>
      <c r="F800" s="1">
        <f t="shared" ca="1" si="80"/>
        <v>10.968802000382167</v>
      </c>
      <c r="G800" s="1">
        <f t="shared" ca="1" si="83"/>
        <v>8.1799934682941071</v>
      </c>
      <c r="H800" s="1">
        <f t="shared" ca="1" si="81"/>
        <v>3.199891403430859</v>
      </c>
    </row>
    <row r="801" spans="1:8">
      <c r="A801">
        <v>757</v>
      </c>
      <c r="B801">
        <f t="shared" ca="1" si="78"/>
        <v>0.71489976659650023</v>
      </c>
      <c r="C801" s="1">
        <f t="shared" ca="1" si="79"/>
        <v>29.362163092408963</v>
      </c>
      <c r="D801" s="1">
        <f t="shared" ca="1" si="84"/>
        <v>94.441744732379078</v>
      </c>
      <c r="E801" s="1">
        <f t="shared" ca="1" si="82"/>
        <v>113.22661242660152</v>
      </c>
      <c r="F801" s="1">
        <f t="shared" ca="1" si="80"/>
        <v>6.0588358035790773</v>
      </c>
      <c r="G801" s="1">
        <f t="shared" ca="1" si="83"/>
        <v>4.5183831179170735</v>
      </c>
      <c r="H801" s="1">
        <f t="shared" ca="1" si="81"/>
        <v>1.7675267889795188</v>
      </c>
    </row>
    <row r="802" spans="1:8">
      <c r="A802">
        <v>758</v>
      </c>
      <c r="B802">
        <f t="shared" ca="1" si="78"/>
        <v>0.15835948615130091</v>
      </c>
      <c r="C802" s="1">
        <f t="shared" ca="1" si="79"/>
        <v>86.67962201358975</v>
      </c>
      <c r="D802" s="1">
        <f t="shared" ca="1" si="84"/>
        <v>278.80016810589058</v>
      </c>
      <c r="E802" s="1">
        <f t="shared" ca="1" si="82"/>
        <v>334.25472003664731</v>
      </c>
      <c r="F802" s="1">
        <f t="shared" ca="1" si="80"/>
        <v>17.886187088557431</v>
      </c>
      <c r="G802" s="1">
        <f t="shared" ca="1" si="83"/>
        <v>13.338637707616574</v>
      </c>
      <c r="H802" s="1">
        <f t="shared" ca="1" si="81"/>
        <v>5.2178722260456682</v>
      </c>
    </row>
    <row r="803" spans="1:8">
      <c r="A803">
        <v>759</v>
      </c>
      <c r="B803">
        <f t="shared" ca="1" si="78"/>
        <v>0.53162448824057906</v>
      </c>
      <c r="C803" s="1">
        <f t="shared" ca="1" si="79"/>
        <v>48.237478334695126</v>
      </c>
      <c r="D803" s="1">
        <f t="shared" ca="1" si="84"/>
        <v>155.15314792858692</v>
      </c>
      <c r="E803" s="1">
        <f t="shared" ca="1" si="82"/>
        <v>186.01377513530761</v>
      </c>
      <c r="F803" s="1">
        <f t="shared" ca="1" si="80"/>
        <v>9.9537220771003199</v>
      </c>
      <c r="G803" s="1">
        <f t="shared" ca="1" si="83"/>
        <v>7.4229969830700764</v>
      </c>
      <c r="H803" s="1">
        <f t="shared" ca="1" si="81"/>
        <v>2.9037662358287712</v>
      </c>
    </row>
    <row r="804" spans="1:8">
      <c r="A804">
        <v>760</v>
      </c>
      <c r="B804">
        <f t="shared" ca="1" si="78"/>
        <v>9.7360578942881748E-2</v>
      </c>
      <c r="C804" s="1">
        <f t="shared" ca="1" si="79"/>
        <v>93.351174974808117</v>
      </c>
      <c r="D804" s="1">
        <f t="shared" ca="1" si="84"/>
        <v>300.15258166217984</v>
      </c>
      <c r="E804" s="1">
        <f t="shared" ca="1" si="82"/>
        <v>359.85077760637375</v>
      </c>
      <c r="F804" s="1">
        <f t="shared" ca="1" si="80"/>
        <v>19.451297180558534</v>
      </c>
      <c r="G804" s="1">
        <f t="shared" ca="1" si="83"/>
        <v>14.372502383735224</v>
      </c>
      <c r="H804" s="1">
        <f t="shared" ca="1" si="81"/>
        <v>5.614886344516508</v>
      </c>
    </row>
    <row r="805" spans="1:8">
      <c r="A805">
        <v>761</v>
      </c>
      <c r="B805">
        <f t="shared" ca="1" si="78"/>
        <v>0.58366258628091439</v>
      </c>
      <c r="C805" s="1">
        <f t="shared" ca="1" si="79"/>
        <v>42.878133015831011</v>
      </c>
      <c r="D805" s="1">
        <f t="shared" ca="1" si="84"/>
        <v>137.91511135305265</v>
      </c>
      <c r="E805" s="1">
        <f t="shared" ca="1" si="82"/>
        <v>165.3470188597681</v>
      </c>
      <c r="F805" s="1">
        <f t="shared" ca="1" si="80"/>
        <v>8.8478311158336034</v>
      </c>
      <c r="G805" s="1">
        <f t="shared" ca="1" si="83"/>
        <v>6.5982781096898142</v>
      </c>
      <c r="H805" s="1">
        <f t="shared" ca="1" si="81"/>
        <v>2.5811491307677628</v>
      </c>
    </row>
    <row r="806" spans="1:8">
      <c r="A806">
        <v>762</v>
      </c>
      <c r="B806">
        <f t="shared" ca="1" si="78"/>
        <v>0.98725351964492825</v>
      </c>
      <c r="C806" s="1">
        <f t="shared" ca="1" si="79"/>
        <v>1.3127557073853353</v>
      </c>
      <c r="D806" s="1">
        <f t="shared" ca="1" si="84"/>
        <v>4.2223836616919925</v>
      </c>
      <c r="E806" s="1">
        <f t="shared" ca="1" si="82"/>
        <v>5.0622319640893352</v>
      </c>
      <c r="F806" s="1">
        <f t="shared" ca="1" si="80"/>
        <v>0.27089264067052099</v>
      </c>
      <c r="G806" s="1">
        <f t="shared" ca="1" si="83"/>
        <v>0.20202089805108159</v>
      </c>
      <c r="H806" s="1">
        <f t="shared" ca="1" si="81"/>
        <v>7.9033499065681134E-2</v>
      </c>
    </row>
    <row r="807" spans="1:8">
      <c r="A807">
        <v>763</v>
      </c>
      <c r="B807">
        <f t="shared" ca="1" si="78"/>
        <v>0.18347091281053496</v>
      </c>
      <c r="C807" s="1">
        <f t="shared" ca="1" si="79"/>
        <v>84.093424362556277</v>
      </c>
      <c r="D807" s="1">
        <f t="shared" ca="1" si="84"/>
        <v>270.48180699130489</v>
      </c>
      <c r="E807" s="1">
        <f t="shared" ca="1" si="82"/>
        <v>324.28180107840228</v>
      </c>
      <c r="F807" s="1">
        <f t="shared" ca="1" si="80"/>
        <v>17.352530002446525</v>
      </c>
      <c r="G807" s="1">
        <f t="shared" ca="1" si="83"/>
        <v>12.940662603159025</v>
      </c>
      <c r="H807" s="1">
        <f t="shared" ca="1" si="81"/>
        <v>5.0621905989717035</v>
      </c>
    </row>
    <row r="808" spans="1:8">
      <c r="A808">
        <v>764</v>
      </c>
      <c r="B808">
        <f t="shared" ca="1" si="78"/>
        <v>0.58950942898078318</v>
      </c>
      <c r="C808" s="1">
        <f t="shared" ca="1" si="79"/>
        <v>42.275973247628336</v>
      </c>
      <c r="D808" s="1">
        <f t="shared" ca="1" si="84"/>
        <v>135.97829790084668</v>
      </c>
      <c r="E808" s="1">
        <f t="shared" ca="1" si="82"/>
        <v>163.02496487220796</v>
      </c>
      <c r="F808" s="1">
        <f t="shared" ca="1" si="80"/>
        <v>8.723576565086546</v>
      </c>
      <c r="G808" s="1">
        <f t="shared" ca="1" si="83"/>
        <v>6.5056152010544945</v>
      </c>
      <c r="H808" s="1">
        <f t="shared" ca="1" si="81"/>
        <v>2.5449008523599574</v>
      </c>
    </row>
    <row r="809" spans="1:8">
      <c r="A809">
        <v>765</v>
      </c>
      <c r="B809">
        <f t="shared" ca="1" si="78"/>
        <v>0.8240090260416475</v>
      </c>
      <c r="C809" s="1">
        <f t="shared" ca="1" si="79"/>
        <v>18.12512290698885</v>
      </c>
      <c r="D809" s="1">
        <f t="shared" ca="1" si="84"/>
        <v>58.298429048799449</v>
      </c>
      <c r="E809" s="1">
        <f t="shared" ca="1" si="82"/>
        <v>69.894235624327905</v>
      </c>
      <c r="F809" s="1">
        <f t="shared" ca="1" si="80"/>
        <v>3.7400934137752415</v>
      </c>
      <c r="G809" s="1">
        <f t="shared" ca="1" si="83"/>
        <v>2.7891795360488683</v>
      </c>
      <c r="H809" s="1">
        <f t="shared" ca="1" si="81"/>
        <v>1.0910894335969381</v>
      </c>
    </row>
    <row r="810" spans="1:8">
      <c r="A810">
        <v>766</v>
      </c>
      <c r="B810">
        <f t="shared" ca="1" si="78"/>
        <v>1.2616196602242225E-2</v>
      </c>
      <c r="C810" s="1">
        <f t="shared" ca="1" si="79"/>
        <v>145.01674022774611</v>
      </c>
      <c r="D810" s="1">
        <f t="shared" ca="1" si="84"/>
        <v>460.51655974162634</v>
      </c>
      <c r="E810" s="1">
        <f t="shared" ca="1" si="82"/>
        <v>552.01355985959958</v>
      </c>
      <c r="F810" s="1">
        <f t="shared" ca="1" si="80"/>
        <v>30.245569076017215</v>
      </c>
      <c r="G810" s="1">
        <f t="shared" ca="1" si="83"/>
        <v>20.789670638992455</v>
      </c>
      <c r="H810" s="1">
        <f t="shared" ca="1" si="81"/>
        <v>7.8006277043850307</v>
      </c>
    </row>
    <row r="811" spans="1:8">
      <c r="A811">
        <v>767</v>
      </c>
      <c r="B811">
        <f t="shared" ca="1" si="78"/>
        <v>0.40321036374585717</v>
      </c>
      <c r="C811" s="1">
        <f t="shared" ca="1" si="79"/>
        <v>61.462704907222374</v>
      </c>
      <c r="D811" s="1">
        <f t="shared" ca="1" si="84"/>
        <v>197.69135470815507</v>
      </c>
      <c r="E811" s="1">
        <f t="shared" ca="1" si="82"/>
        <v>237.01301440827521</v>
      </c>
      <c r="F811" s="1">
        <f t="shared" ca="1" si="80"/>
        <v>12.68272303842709</v>
      </c>
      <c r="G811" s="1">
        <f t="shared" ca="1" si="83"/>
        <v>9.4581511502594928</v>
      </c>
      <c r="H811" s="1">
        <f t="shared" ca="1" si="81"/>
        <v>3.6998866678499285</v>
      </c>
    </row>
    <row r="812" spans="1:8">
      <c r="A812">
        <v>768</v>
      </c>
      <c r="B812">
        <f t="shared" ca="1" si="78"/>
        <v>0.20227862180923573</v>
      </c>
      <c r="C812" s="1">
        <f t="shared" ca="1" si="79"/>
        <v>82.156439519209073</v>
      </c>
      <c r="D812" s="1">
        <f t="shared" ca="1" si="84"/>
        <v>264.25160281723396</v>
      </c>
      <c r="E812" s="1">
        <f t="shared" ca="1" si="82"/>
        <v>316.81238246751957</v>
      </c>
      <c r="F812" s="1">
        <f t="shared" ca="1" si="80"/>
        <v>16.952836774464284</v>
      </c>
      <c r="G812" s="1">
        <f t="shared" ca="1" si="83"/>
        <v>12.642591129365929</v>
      </c>
      <c r="H812" s="1">
        <f t="shared" ca="1" si="81"/>
        <v>4.9455897073463486</v>
      </c>
    </row>
    <row r="813" spans="1:8">
      <c r="A813">
        <v>769</v>
      </c>
      <c r="B813">
        <f t="shared" ca="1" si="78"/>
        <v>0.11960526802740123</v>
      </c>
      <c r="C813" s="1">
        <f t="shared" ca="1" si="79"/>
        <v>90.6708754473254</v>
      </c>
      <c r="D813" s="1">
        <f t="shared" ca="1" si="84"/>
        <v>291.63781311278927</v>
      </c>
      <c r="E813" s="1">
        <f t="shared" ca="1" si="82"/>
        <v>349.64582791293685</v>
      </c>
      <c r="F813" s="1">
        <f t="shared" ca="1" si="80"/>
        <v>18.709774828081649</v>
      </c>
      <c r="G813" s="1">
        <f t="shared" ca="1" si="83"/>
        <v>13.952828777495835</v>
      </c>
      <c r="H813" s="1">
        <f t="shared" ca="1" si="81"/>
        <v>5.4581341520358215</v>
      </c>
    </row>
    <row r="814" spans="1:8">
      <c r="A814">
        <v>770</v>
      </c>
      <c r="B814">
        <f t="shared" ref="B814:B877" ca="1" si="85">RAND()</f>
        <v>0.6647032452783358</v>
      </c>
      <c r="C814" s="1">
        <f t="shared" ref="C814:C877" ca="1" si="86">IF($B814&lt;=0.005,$F$4,IF(B814&lt;=0.01,$F$4+($B814-0.005)*SLOPE($E$4:$F$4,$E$3:$F$3),IF($B814&lt;=0.04,$E$4+($B814-0.01)*SLOPE($D$4:$E$4,$D$3:$E$3),IF($B814&lt;=0.1,$D$4+($B814-0.04)*SLOPE($C$4:$D$4,$C$3:$D$3),IF($B814&lt;=1,$C$4+($B814-0.1)*SLOPE($B$4:$C$4,$B$3:$C$3),)))))</f>
        <v>34.531846491315015</v>
      </c>
      <c r="D814" s="1">
        <f t="shared" ca="1" si="84"/>
        <v>111.06974427564461</v>
      </c>
      <c r="E814" s="1">
        <f t="shared" ca="1" si="82"/>
        <v>133.16199267740024</v>
      </c>
      <c r="F814" s="1">
        <f t="shared" ref="F814:F877" ca="1" si="87">IF($B814&lt;=0.005,$F$22,IF($B814&lt;=0.01,$F$22+($B814-0.005)*SLOPE($E$22:$F$22,$E$21:$F$21),IF($B814&lt;=0.04,$E$22+($B814-0.01)*SLOPE($D$22:$E$22,$D$21:$E$21),IF($B814&lt;=0.1,$D$22+($B814-0.04)*SLOPE($C$22:$D$22,$C$21:$D$21),IF($B814&lt;=1,$C$22+($B814-0.1)*SLOPE($B$22:$C$22,$B$21:$C$21),)))))</f>
        <v>7.1255903796160851</v>
      </c>
      <c r="G814" s="1">
        <f t="shared" ca="1" si="83"/>
        <v>5.3139160076287002</v>
      </c>
      <c r="H814" s="1">
        <f t="shared" ref="H814:H877" ca="1" si="88">IF($B814&lt;=0.005,$F$34,IF($B814&lt;=0.01,$F$34+($B814-0.005)*SLOPE($E$34:$F$34,$E$33:$F$33),IF($B814&lt;=0.04,$E$34+($B814-0.01)*SLOPE($D$34:$E$34,$D$33:$E$33),IF($B814&lt;=0.1,$D$34+($B814-0.04)*SLOPE($C$34:$D$34,$C$33:$D$33),IF($B814&lt;=1,$C$34+($B814-0.1)*SLOPE($B$34:$C$34,$B$33:$C$33),)))))</f>
        <v>2.078726794391843</v>
      </c>
    </row>
    <row r="815" spans="1:8">
      <c r="A815">
        <v>771</v>
      </c>
      <c r="B815">
        <f t="shared" ca="1" si="85"/>
        <v>0.77399480433964041</v>
      </c>
      <c r="C815" s="1">
        <f t="shared" ca="1" si="86"/>
        <v>23.276031473007535</v>
      </c>
      <c r="D815" s="1">
        <f t="shared" ca="1" si="84"/>
        <v>74.866040384782906</v>
      </c>
      <c r="E815" s="1">
        <f t="shared" ref="E815:E878" ca="1" si="89">IF($B815&lt;=0.005,$F$16,IF($B815&lt;=0.01,$F$16+($B815-0.005)*SLOPE($E$16:$F$16,$E$15:$F$15),IF($B815&lt;=0.04,$E$16+($B815-0.01)*SLOPE($D$16:$E$16,$D$15:$E$15),IF($B815&lt;=0.1,$D$16+($B815-0.04)*SLOPE($C$16:$D$16,$C$15:$D$15),IF($B815&lt;=1,$C$16+($B815-0.1)*SLOPE($B$16:$C$16,$B$15:$C$15),)))))</f>
        <v>89.757216193391002</v>
      </c>
      <c r="F815" s="1">
        <f t="shared" ca="1" si="87"/>
        <v>4.802973837886201</v>
      </c>
      <c r="G815" s="1">
        <f t="shared" ref="G815:G878" ca="1" si="90">IF($B815&lt;=0.005,$F$28,IF($B815&lt;=0.01,$F$28+($B815-0.005)*SLOPE($E$28:$F$28,$E$27:$F$27),IF($B815&lt;=0.04,$E$28+($B815-0.01)*SLOPE($D$28:$E$28,$D$27:$E$27),IF($B815&lt;=0.1,$D$28+($B815-0.04)*SLOPE($C$28:$D$28,$C$27:$D$27),IF($B815&lt;=1,$C$28+($B815-0.1)*SLOPE($B$28:$C$28,$B$27:$C$27),)))))</f>
        <v>3.5818232745478902</v>
      </c>
      <c r="H815" s="1">
        <f t="shared" ca="1" si="88"/>
        <v>1.4011592483098863</v>
      </c>
    </row>
    <row r="816" spans="1:8">
      <c r="A816">
        <v>772</v>
      </c>
      <c r="B816">
        <f t="shared" ca="1" si="85"/>
        <v>0.41568201995959719</v>
      </c>
      <c r="C816" s="1">
        <f t="shared" ca="1" si="86"/>
        <v>60.178263029739043</v>
      </c>
      <c r="D816" s="1">
        <f t="shared" ref="D816:D879" ca="1" si="91">IF($B816&lt;=0.005,$F$10,IF($B816&lt;=0.01,$F$10+($B816-0.005)*SLOPE($E$10:$F$10,$E$9:$F$9),IF($B816&lt;=0.04,$E$10+($B816-0.01)*SLOPE($D$10:$E$10,$D$9:$E$9),IF($B816&lt;=0.1,$D$10+($B816-0.04)*SLOPE($C$10:$D$10,$C$9:$D$9),IF($B816&lt;=1,$C$10+($B816-0.1)*SLOPE($B$10:$C$10,$B$9:$C$9),)))))</f>
        <v>193.56001874342977</v>
      </c>
      <c r="E816" s="1">
        <f t="shared" ca="1" si="89"/>
        <v>232.05993793107768</v>
      </c>
      <c r="F816" s="1">
        <f t="shared" ca="1" si="87"/>
        <v>12.417680840533723</v>
      </c>
      <c r="G816" s="1">
        <f t="shared" ca="1" si="90"/>
        <v>9.2604957660483116</v>
      </c>
      <c r="H816" s="1">
        <f t="shared" ca="1" si="88"/>
        <v>3.6225669775746567</v>
      </c>
    </row>
    <row r="817" spans="1:8">
      <c r="A817">
        <v>773</v>
      </c>
      <c r="B817">
        <f t="shared" ca="1" si="85"/>
        <v>0.3633030741721639</v>
      </c>
      <c r="C817" s="1">
        <f t="shared" ca="1" si="86"/>
        <v>65.572711875569851</v>
      </c>
      <c r="D817" s="1">
        <f t="shared" ca="1" si="91"/>
        <v>210.9109638639037</v>
      </c>
      <c r="E817" s="1">
        <f t="shared" ca="1" si="89"/>
        <v>252.86206074731746</v>
      </c>
      <c r="F817" s="1">
        <f t="shared" ca="1" si="87"/>
        <v>13.530815349448773</v>
      </c>
      <c r="G817" s="1">
        <f t="shared" ca="1" si="90"/>
        <v>10.090616519600346</v>
      </c>
      <c r="H817" s="1">
        <f t="shared" ca="1" si="88"/>
        <v>3.9472972135450632</v>
      </c>
    </row>
    <row r="818" spans="1:8">
      <c r="A818">
        <v>774</v>
      </c>
      <c r="B818">
        <f t="shared" ca="1" si="85"/>
        <v>0.67340689165237622</v>
      </c>
      <c r="C818" s="1">
        <f t="shared" ca="1" si="86"/>
        <v>33.635467718677965</v>
      </c>
      <c r="D818" s="1">
        <f t="shared" ca="1" si="91"/>
        <v>108.18659173575102</v>
      </c>
      <c r="E818" s="1">
        <f t="shared" ca="1" si="89"/>
        <v>129.70536868277708</v>
      </c>
      <c r="F818" s="1">
        <f t="shared" ca="1" si="87"/>
        <v>6.9406242832831158</v>
      </c>
      <c r="G818" s="1">
        <f t="shared" ca="1" si="90"/>
        <v>5.1759774260468934</v>
      </c>
      <c r="H818" s="1">
        <f t="shared" ca="1" si="88"/>
        <v>2.0247673819150229</v>
      </c>
    </row>
    <row r="819" spans="1:8">
      <c r="A819">
        <v>775</v>
      </c>
      <c r="B819">
        <f t="shared" ca="1" si="85"/>
        <v>0.62207378002065028</v>
      </c>
      <c r="C819" s="1">
        <f t="shared" ca="1" si="86"/>
        <v>38.922207278470815</v>
      </c>
      <c r="D819" s="1">
        <f t="shared" ca="1" si="91"/>
        <v>125.19109591954714</v>
      </c>
      <c r="E819" s="1">
        <f t="shared" ca="1" si="89"/>
        <v>150.09214196829637</v>
      </c>
      <c r="F819" s="1">
        <f t="shared" ca="1" si="87"/>
        <v>8.0315331808992223</v>
      </c>
      <c r="G819" s="1">
        <f t="shared" ca="1" si="90"/>
        <v>5.9895234161252713</v>
      </c>
      <c r="H819" s="1">
        <f t="shared" ca="1" si="88"/>
        <v>2.3430138300377887</v>
      </c>
    </row>
    <row r="820" spans="1:8">
      <c r="A820">
        <v>776</v>
      </c>
      <c r="B820">
        <f t="shared" ca="1" si="85"/>
        <v>0.92082299106940246</v>
      </c>
      <c r="C820" s="1">
        <f t="shared" ca="1" si="86"/>
        <v>8.1543612955633336</v>
      </c>
      <c r="D820" s="1">
        <f t="shared" ca="1" si="91"/>
        <v>26.228028073011217</v>
      </c>
      <c r="E820" s="1">
        <f t="shared" ca="1" si="89"/>
        <v>31.444893802758031</v>
      </c>
      <c r="F820" s="1">
        <f t="shared" ca="1" si="87"/>
        <v>1.6826452578953237</v>
      </c>
      <c r="G820" s="1">
        <f t="shared" ca="1" si="90"/>
        <v>1.2548362919264946</v>
      </c>
      <c r="H820" s="1">
        <f t="shared" ca="1" si="88"/>
        <v>0.49087839009334377</v>
      </c>
    </row>
    <row r="821" spans="1:8">
      <c r="A821">
        <v>777</v>
      </c>
      <c r="B821">
        <f t="shared" ca="1" si="85"/>
        <v>0.12777744256470724</v>
      </c>
      <c r="C821" s="1">
        <f t="shared" ca="1" si="86"/>
        <v>89.829232362724127</v>
      </c>
      <c r="D821" s="1">
        <f t="shared" ca="1" si="91"/>
        <v>288.93071487360038</v>
      </c>
      <c r="E821" s="1">
        <f t="shared" ca="1" si="89"/>
        <v>346.40027617749939</v>
      </c>
      <c r="F821" s="1">
        <f t="shared" ca="1" si="87"/>
        <v>18.53610333940242</v>
      </c>
      <c r="G821" s="1">
        <f t="shared" ca="1" si="90"/>
        <v>13.823313156608812</v>
      </c>
      <c r="H821" s="1">
        <f t="shared" ca="1" si="88"/>
        <v>5.4074696698474956</v>
      </c>
    </row>
    <row r="822" spans="1:8">
      <c r="A822">
        <v>778</v>
      </c>
      <c r="B822">
        <f t="shared" ca="1" si="85"/>
        <v>5.6593342128608115E-2</v>
      </c>
      <c r="C822" s="1">
        <f t="shared" ca="1" si="86"/>
        <v>103.56336779678367</v>
      </c>
      <c r="D822" s="1">
        <f t="shared" ca="1" si="91"/>
        <v>331.35819846418667</v>
      </c>
      <c r="E822" s="1">
        <f t="shared" ca="1" si="89"/>
        <v>397.21014727053381</v>
      </c>
      <c r="F822" s="1">
        <f t="shared" ca="1" si="87"/>
        <v>24.469234573727288</v>
      </c>
      <c r="G822" s="1">
        <f t="shared" ca="1" si="90"/>
        <v>16.055479305051659</v>
      </c>
      <c r="H822" s="1">
        <f t="shared" ca="1" si="88"/>
        <v>6.1586726418583115</v>
      </c>
    </row>
    <row r="823" spans="1:8">
      <c r="A823">
        <v>779</v>
      </c>
      <c r="B823">
        <f t="shared" ca="1" si="85"/>
        <v>0.58457404424797421</v>
      </c>
      <c r="C823" s="1">
        <f t="shared" ca="1" si="86"/>
        <v>42.784262982661907</v>
      </c>
      <c r="D823" s="1">
        <f t="shared" ca="1" si="91"/>
        <v>137.61318360463531</v>
      </c>
      <c r="E823" s="1">
        <f t="shared" ca="1" si="89"/>
        <v>164.98503638212213</v>
      </c>
      <c r="F823" s="1">
        <f t="shared" ca="1" si="87"/>
        <v>8.8284612086827945</v>
      </c>
      <c r="G823" s="1">
        <f t="shared" ca="1" si="90"/>
        <v>6.5838329893638488</v>
      </c>
      <c r="H823" s="1">
        <f t="shared" ca="1" si="88"/>
        <v>2.5754984259612632</v>
      </c>
    </row>
    <row r="824" spans="1:8">
      <c r="A824">
        <v>780</v>
      </c>
      <c r="B824">
        <f t="shared" ca="1" si="85"/>
        <v>0.71050546632844136</v>
      </c>
      <c r="C824" s="1">
        <f t="shared" ca="1" si="86"/>
        <v>29.814727145634933</v>
      </c>
      <c r="D824" s="1">
        <f t="shared" ca="1" si="91"/>
        <v>95.897391875477268</v>
      </c>
      <c r="E824" s="1">
        <f t="shared" ca="1" si="89"/>
        <v>114.971794054322</v>
      </c>
      <c r="F824" s="1">
        <f t="shared" ca="1" si="87"/>
        <v>6.1522215561438909</v>
      </c>
      <c r="G824" s="1">
        <f t="shared" ca="1" si="90"/>
        <v>4.5880256010754508</v>
      </c>
      <c r="H824" s="1">
        <f t="shared" ca="1" si="88"/>
        <v>1.794769837527356</v>
      </c>
    </row>
    <row r="825" spans="1:8">
      <c r="A825">
        <v>781</v>
      </c>
      <c r="B825">
        <f t="shared" ca="1" si="85"/>
        <v>0.5358163592511912</v>
      </c>
      <c r="C825" s="1">
        <f t="shared" ca="1" si="86"/>
        <v>47.805762243522985</v>
      </c>
      <c r="D825" s="1">
        <f t="shared" ca="1" si="91"/>
        <v>153.76455709759909</v>
      </c>
      <c r="E825" s="1">
        <f t="shared" ca="1" si="89"/>
        <v>184.34898760891357</v>
      </c>
      <c r="F825" s="1">
        <f t="shared" ca="1" si="87"/>
        <v>9.8646382628179712</v>
      </c>
      <c r="G825" s="1">
        <f t="shared" ca="1" si="90"/>
        <v>7.3565626730661293</v>
      </c>
      <c r="H825" s="1">
        <f t="shared" ca="1" si="88"/>
        <v>2.8777781743668664</v>
      </c>
    </row>
    <row r="826" spans="1:8">
      <c r="A826">
        <v>782</v>
      </c>
      <c r="B826">
        <f t="shared" ca="1" si="85"/>
        <v>7.5960662196725814E-2</v>
      </c>
      <c r="C826" s="1">
        <f t="shared" ca="1" si="86"/>
        <v>98.711854119720186</v>
      </c>
      <c r="D826" s="1">
        <f t="shared" ca="1" si="91"/>
        <v>316.53332398763416</v>
      </c>
      <c r="E826" s="1">
        <f t="shared" ca="1" si="89"/>
        <v>379.46180506315659</v>
      </c>
      <c r="F826" s="1">
        <f t="shared" ca="1" si="87"/>
        <v>22.085359502232404</v>
      </c>
      <c r="G826" s="1">
        <f t="shared" ca="1" si="90"/>
        <v>15.255946267017094</v>
      </c>
      <c r="H826" s="1">
        <f t="shared" ca="1" si="88"/>
        <v>5.900335700425285</v>
      </c>
    </row>
    <row r="827" spans="1:8">
      <c r="A827">
        <v>783</v>
      </c>
      <c r="B827">
        <f t="shared" ca="1" si="85"/>
        <v>3.3316316597386764E-2</v>
      </c>
      <c r="C827" s="1">
        <f t="shared" ca="1" si="86"/>
        <v>116.82317679435923</v>
      </c>
      <c r="D827" s="1">
        <f t="shared" ca="1" si="91"/>
        <v>372.48383632198647</v>
      </c>
      <c r="E827" s="1">
        <f t="shared" ca="1" si="89"/>
        <v>446.48848101382703</v>
      </c>
      <c r="F827" s="1">
        <f t="shared" ca="1" si="87"/>
        <v>27.423017112370353</v>
      </c>
      <c r="G827" s="1">
        <f t="shared" ca="1" si="90"/>
        <v>17.728795095884784</v>
      </c>
      <c r="H827" s="1">
        <f t="shared" ca="1" si="88"/>
        <v>6.7267448198757283</v>
      </c>
    </row>
    <row r="828" spans="1:8">
      <c r="A828">
        <v>784</v>
      </c>
      <c r="B828">
        <f t="shared" ca="1" si="85"/>
        <v>0.5250665537554845</v>
      </c>
      <c r="C828" s="1">
        <f t="shared" ca="1" si="86"/>
        <v>48.912872647855203</v>
      </c>
      <c r="D828" s="1">
        <f t="shared" ca="1" si="91"/>
        <v>157.32551622741278</v>
      </c>
      <c r="E828" s="1">
        <f t="shared" ca="1" si="89"/>
        <v>188.61823684275421</v>
      </c>
      <c r="F828" s="1">
        <f t="shared" ca="1" si="87"/>
        <v>10.093088440298759</v>
      </c>
      <c r="G828" s="1">
        <f t="shared" ca="1" si="90"/>
        <v>7.5269295352562962</v>
      </c>
      <c r="H828" s="1">
        <f t="shared" ca="1" si="88"/>
        <v>2.9444230222686034</v>
      </c>
    </row>
    <row r="829" spans="1:8">
      <c r="A829">
        <v>785</v>
      </c>
      <c r="B829">
        <f t="shared" ca="1" si="85"/>
        <v>0.7027182818553509</v>
      </c>
      <c r="C829" s="1">
        <f t="shared" ca="1" si="86"/>
        <v>30.616720535567055</v>
      </c>
      <c r="D829" s="1">
        <f t="shared" ca="1" si="91"/>
        <v>98.476959073792585</v>
      </c>
      <c r="E829" s="1">
        <f t="shared" ca="1" si="89"/>
        <v>118.06444827572116</v>
      </c>
      <c r="F829" s="1">
        <f t="shared" ca="1" si="87"/>
        <v>6.3177114039056619</v>
      </c>
      <c r="G829" s="1">
        <f t="shared" ca="1" si="90"/>
        <v>4.7114397581507834</v>
      </c>
      <c r="H829" s="1">
        <f t="shared" ca="1" si="88"/>
        <v>1.8430475226444636</v>
      </c>
    </row>
    <row r="830" spans="1:8">
      <c r="A830">
        <v>786</v>
      </c>
      <c r="B830">
        <f t="shared" ca="1" si="85"/>
        <v>0.19581570706722728</v>
      </c>
      <c r="C830" s="1">
        <f t="shared" ca="1" si="86"/>
        <v>82.822047855661964</v>
      </c>
      <c r="D830" s="1">
        <f t="shared" ca="1" si="91"/>
        <v>266.39249506546616</v>
      </c>
      <c r="E830" s="1">
        <f t="shared" ca="1" si="89"/>
        <v>319.37910740237686</v>
      </c>
      <c r="F830" s="1">
        <f t="shared" ca="1" si="87"/>
        <v>17.090183819528935</v>
      </c>
      <c r="G830" s="1">
        <f t="shared" ca="1" si="90"/>
        <v>12.745017773795757</v>
      </c>
      <c r="H830" s="1">
        <f t="shared" ca="1" si="88"/>
        <v>4.9856574062600707</v>
      </c>
    </row>
    <row r="831" spans="1:8">
      <c r="A831">
        <v>787</v>
      </c>
      <c r="B831">
        <f t="shared" ca="1" si="85"/>
        <v>0.28692867172644498</v>
      </c>
      <c r="C831" s="1">
        <f t="shared" ca="1" si="86"/>
        <v>73.43842587440281</v>
      </c>
      <c r="D831" s="1">
        <f t="shared" ca="1" si="91"/>
        <v>236.21059610206521</v>
      </c>
      <c r="E831" s="1">
        <f t="shared" ca="1" si="89"/>
        <v>283.19389877514465</v>
      </c>
      <c r="F831" s="1">
        <f t="shared" ca="1" si="87"/>
        <v>15.153890836784992</v>
      </c>
      <c r="G831" s="1">
        <f t="shared" ca="1" si="90"/>
        <v>11.301026075524197</v>
      </c>
      <c r="H831" s="1">
        <f t="shared" ca="1" si="88"/>
        <v>4.4207904722476341</v>
      </c>
    </row>
    <row r="832" spans="1:8">
      <c r="A832">
        <v>788</v>
      </c>
      <c r="B832">
        <f t="shared" ca="1" si="85"/>
        <v>0.99331378310864105</v>
      </c>
      <c r="C832" s="1">
        <f t="shared" ca="1" si="86"/>
        <v>0.68861597421988563</v>
      </c>
      <c r="D832" s="1">
        <f t="shared" ca="1" si="91"/>
        <v>2.2148728728871561</v>
      </c>
      <c r="E832" s="1">
        <f t="shared" ca="1" si="89"/>
        <v>2.6554186352656757</v>
      </c>
      <c r="F832" s="1">
        <f t="shared" ca="1" si="87"/>
        <v>0.14210256494138562</v>
      </c>
      <c r="G832" s="1">
        <f t="shared" ca="1" si="90"/>
        <v>0.10597561883455953</v>
      </c>
      <c r="H832" s="1">
        <f t="shared" ca="1" si="88"/>
        <v>4.1462090267177842E-2</v>
      </c>
    </row>
    <row r="833" spans="1:8">
      <c r="A833">
        <v>789</v>
      </c>
      <c r="B833">
        <f t="shared" ca="1" si="85"/>
        <v>0.96596932477281039</v>
      </c>
      <c r="C833" s="1">
        <f t="shared" ca="1" si="86"/>
        <v>3.5047910516682919</v>
      </c>
      <c r="D833" s="1">
        <f t="shared" ca="1" si="91"/>
        <v>11.272943607253012</v>
      </c>
      <c r="E833" s="1">
        <f t="shared" ca="1" si="89"/>
        <v>13.515178641775265</v>
      </c>
      <c r="F833" s="1">
        <f t="shared" ca="1" si="87"/>
        <v>0.72321506622631304</v>
      </c>
      <c r="G833" s="1">
        <f t="shared" ca="1" si="90"/>
        <v>0.53934062872481192</v>
      </c>
      <c r="H833" s="1">
        <f t="shared" ca="1" si="88"/>
        <v>0.21098769400713735</v>
      </c>
    </row>
    <row r="834" spans="1:8">
      <c r="A834">
        <v>790</v>
      </c>
      <c r="B834">
        <f t="shared" ca="1" si="85"/>
        <v>0.61783164452739703</v>
      </c>
      <c r="C834" s="1">
        <f t="shared" ca="1" si="86"/>
        <v>39.359100052302246</v>
      </c>
      <c r="D834" s="1">
        <f t="shared" ca="1" si="91"/>
        <v>126.59633726281049</v>
      </c>
      <c r="E834" s="1">
        <f t="shared" ca="1" si="89"/>
        <v>151.7768918655529</v>
      </c>
      <c r="F834" s="1">
        <f t="shared" ca="1" si="87"/>
        <v>8.1216851940419996</v>
      </c>
      <c r="G834" s="1">
        <f t="shared" ca="1" si="90"/>
        <v>6.0567543360949152</v>
      </c>
      <c r="H834" s="1">
        <f t="shared" ca="1" si="88"/>
        <v>2.36931351284036</v>
      </c>
    </row>
    <row r="835" spans="1:8">
      <c r="A835">
        <v>791</v>
      </c>
      <c r="B835">
        <f t="shared" ca="1" si="85"/>
        <v>0.45971928648055171</v>
      </c>
      <c r="C835" s="1">
        <f t="shared" ca="1" si="86"/>
        <v>55.642914370345032</v>
      </c>
      <c r="D835" s="1">
        <f t="shared" ca="1" si="91"/>
        <v>178.97232166068156</v>
      </c>
      <c r="E835" s="1">
        <f t="shared" ca="1" si="89"/>
        <v>214.57068508551617</v>
      </c>
      <c r="F835" s="1">
        <f t="shared" ca="1" si="87"/>
        <v>11.481820060866704</v>
      </c>
      <c r="G835" s="1">
        <f t="shared" ca="1" si="90"/>
        <v>8.5625770065318285</v>
      </c>
      <c r="H835" s="1">
        <f t="shared" ca="1" si="88"/>
        <v>3.3495520908895542</v>
      </c>
    </row>
    <row r="836" spans="1:8">
      <c r="A836">
        <v>792</v>
      </c>
      <c r="B836">
        <f t="shared" ca="1" si="85"/>
        <v>0.10641531322517239</v>
      </c>
      <c r="C836" s="1">
        <f t="shared" ca="1" si="86"/>
        <v>92.029294090346554</v>
      </c>
      <c r="D836" s="1">
        <f t="shared" ca="1" si="91"/>
        <v>296.00709123541066</v>
      </c>
      <c r="E836" s="1">
        <f t="shared" ca="1" si="89"/>
        <v>354.88417426778932</v>
      </c>
      <c r="F836" s="1">
        <f t="shared" ca="1" si="87"/>
        <v>18.990081994265839</v>
      </c>
      <c r="G836" s="1">
        <f t="shared" ca="1" si="90"/>
        <v>14.161868021320602</v>
      </c>
      <c r="H836" s="1">
        <f t="shared" ca="1" si="88"/>
        <v>5.5399070298777877</v>
      </c>
    </row>
    <row r="837" spans="1:8">
      <c r="A837">
        <v>793</v>
      </c>
      <c r="B837">
        <f t="shared" ca="1" si="85"/>
        <v>0.90392036239465068</v>
      </c>
      <c r="C837" s="1">
        <f t="shared" ca="1" si="86"/>
        <v>9.8951440542705171</v>
      </c>
      <c r="D837" s="1">
        <f t="shared" ca="1" si="91"/>
        <v>31.82715913833573</v>
      </c>
      <c r="E837" s="1">
        <f t="shared" ca="1" si="89"/>
        <v>38.157716146231792</v>
      </c>
      <c r="F837" s="1">
        <f t="shared" ca="1" si="87"/>
        <v>2.0418525498022433</v>
      </c>
      <c r="G837" s="1">
        <f t="shared" ca="1" si="90"/>
        <v>1.5227153536670155</v>
      </c>
      <c r="H837" s="1">
        <f t="shared" ca="1" si="88"/>
        <v>0.59566848305067754</v>
      </c>
    </row>
    <row r="838" spans="1:8">
      <c r="A838">
        <v>794</v>
      </c>
      <c r="B838">
        <f t="shared" ca="1" si="85"/>
        <v>0.91691296399909128</v>
      </c>
      <c r="C838" s="1">
        <f t="shared" ca="1" si="86"/>
        <v>8.5570505956154221</v>
      </c>
      <c r="D838" s="1">
        <f t="shared" ca="1" si="91"/>
        <v>27.523255842425669</v>
      </c>
      <c r="E838" s="1">
        <f t="shared" ca="1" si="89"/>
        <v>32.997747952620443</v>
      </c>
      <c r="F838" s="1">
        <f t="shared" ca="1" si="87"/>
        <v>1.765739447694763</v>
      </c>
      <c r="G838" s="1">
        <f t="shared" ca="1" si="90"/>
        <v>1.3168038357405276</v>
      </c>
      <c r="H838" s="1">
        <f t="shared" ca="1" si="88"/>
        <v>0.51511912258814441</v>
      </c>
    </row>
    <row r="839" spans="1:8">
      <c r="A839">
        <v>795</v>
      </c>
      <c r="B839">
        <f t="shared" ca="1" si="85"/>
        <v>0.4112854561622723</v>
      </c>
      <c r="C839" s="1">
        <f t="shared" ca="1" si="86"/>
        <v>60.631060201303939</v>
      </c>
      <c r="D839" s="1">
        <f t="shared" ca="1" si="91"/>
        <v>195.01641569871839</v>
      </c>
      <c r="E839" s="1">
        <f t="shared" ca="1" si="89"/>
        <v>233.80601851186191</v>
      </c>
      <c r="F839" s="1">
        <f t="shared" ca="1" si="87"/>
        <v>12.511114696635179</v>
      </c>
      <c r="G839" s="1">
        <f t="shared" ca="1" si="90"/>
        <v>9.3301741224491117</v>
      </c>
      <c r="H839" s="1">
        <f t="shared" ca="1" si="88"/>
        <v>3.6498240591730191</v>
      </c>
    </row>
    <row r="840" spans="1:8">
      <c r="A840">
        <v>796</v>
      </c>
      <c r="B840">
        <f t="shared" ca="1" si="85"/>
        <v>0.24594187059820172</v>
      </c>
      <c r="C840" s="1">
        <f t="shared" ca="1" si="86"/>
        <v>77.659610526301549</v>
      </c>
      <c r="D840" s="1">
        <f t="shared" ca="1" si="91"/>
        <v>249.78780210246831</v>
      </c>
      <c r="E840" s="1">
        <f t="shared" ca="1" si="89"/>
        <v>299.47166951101673</v>
      </c>
      <c r="F840" s="1">
        <f t="shared" ca="1" si="87"/>
        <v>16.024924456496212</v>
      </c>
      <c r="G840" s="1">
        <f t="shared" ca="1" si="90"/>
        <v>11.950599940113655</v>
      </c>
      <c r="H840" s="1">
        <f t="shared" ca="1" si="88"/>
        <v>4.6748935933005171</v>
      </c>
    </row>
    <row r="841" spans="1:8">
      <c r="A841">
        <v>797</v>
      </c>
      <c r="B841">
        <f t="shared" ca="1" si="85"/>
        <v>0.46101679520357608</v>
      </c>
      <c r="C841" s="1">
        <f t="shared" ca="1" si="86"/>
        <v>55.509285403053873</v>
      </c>
      <c r="D841" s="1">
        <f t="shared" ca="1" si="91"/>
        <v>178.54251150875726</v>
      </c>
      <c r="E841" s="1">
        <f t="shared" ca="1" si="89"/>
        <v>214.05538384365784</v>
      </c>
      <c r="F841" s="1">
        <f t="shared" ca="1" si="87"/>
        <v>11.454245971440047</v>
      </c>
      <c r="G841" s="1">
        <f t="shared" ca="1" si="90"/>
        <v>8.5420136121621049</v>
      </c>
      <c r="H841" s="1">
        <f t="shared" ca="1" si="88"/>
        <v>3.3415080131123638</v>
      </c>
    </row>
    <row r="842" spans="1:8">
      <c r="A842">
        <v>798</v>
      </c>
      <c r="B842">
        <f t="shared" ca="1" si="85"/>
        <v>0.92657940761890545</v>
      </c>
      <c r="C842" s="1">
        <f t="shared" ca="1" si="86"/>
        <v>7.5615144151086042</v>
      </c>
      <c r="D842" s="1">
        <f t="shared" ca="1" si="91"/>
        <v>24.321169007035564</v>
      </c>
      <c r="E842" s="1">
        <f t="shared" ca="1" si="89"/>
        <v>29.158752257829747</v>
      </c>
      <c r="F842" s="1">
        <f t="shared" ca="1" si="87"/>
        <v>1.5603124042532279</v>
      </c>
      <c r="G842" s="1">
        <f t="shared" ca="1" si="90"/>
        <v>1.1636064901044954</v>
      </c>
      <c r="H842" s="1">
        <f t="shared" ca="1" si="88"/>
        <v>0.45519072062305543</v>
      </c>
    </row>
    <row r="843" spans="1:8">
      <c r="A843">
        <v>799</v>
      </c>
      <c r="B843">
        <f t="shared" ca="1" si="85"/>
        <v>0.95583117216042324</v>
      </c>
      <c r="C843" s="1">
        <f t="shared" ca="1" si="86"/>
        <v>4.5489080119578915</v>
      </c>
      <c r="D843" s="1">
        <f t="shared" ca="1" si="91"/>
        <v>14.631287822777892</v>
      </c>
      <c r="E843" s="1">
        <f t="shared" ca="1" si="89"/>
        <v>17.541511982437044</v>
      </c>
      <c r="F843" s="1">
        <f t="shared" ca="1" si="87"/>
        <v>0.93866666342518101</v>
      </c>
      <c r="G843" s="1">
        <f t="shared" ca="1" si="90"/>
        <v>0.70001379157108445</v>
      </c>
      <c r="H843" s="1">
        <f t="shared" ca="1" si="88"/>
        <v>0.27384051856540381</v>
      </c>
    </row>
    <row r="844" spans="1:8">
      <c r="A844">
        <v>800</v>
      </c>
      <c r="B844">
        <f t="shared" ca="1" si="85"/>
        <v>0.35233748936048925</v>
      </c>
      <c r="C844" s="1">
        <f t="shared" ca="1" si="86"/>
        <v>66.702045149501274</v>
      </c>
      <c r="D844" s="1">
        <f t="shared" ca="1" si="91"/>
        <v>214.54340161958908</v>
      </c>
      <c r="E844" s="1">
        <f t="shared" ca="1" si="89"/>
        <v>257.21700601349494</v>
      </c>
      <c r="F844" s="1">
        <f t="shared" ca="1" si="87"/>
        <v>13.76385117483261</v>
      </c>
      <c r="G844" s="1">
        <f t="shared" ca="1" si="90"/>
        <v>10.264403131571258</v>
      </c>
      <c r="H844" s="1">
        <f t="shared" ca="1" si="88"/>
        <v>4.0152798139948596</v>
      </c>
    </row>
    <row r="845" spans="1:8">
      <c r="A845">
        <v>801</v>
      </c>
      <c r="B845">
        <f t="shared" ca="1" si="85"/>
        <v>0.14454231036533294</v>
      </c>
      <c r="C845" s="1">
        <f t="shared" ca="1" si="86"/>
        <v>88.102637441844877</v>
      </c>
      <c r="D845" s="1">
        <f t="shared" ca="1" si="91"/>
        <v>283.37721820069777</v>
      </c>
      <c r="E845" s="1">
        <f t="shared" ca="1" si="89"/>
        <v>339.74216510359707</v>
      </c>
      <c r="F845" s="1">
        <f t="shared" ca="1" si="87"/>
        <v>18.179823681503073</v>
      </c>
      <c r="G845" s="1">
        <f t="shared" ca="1" si="90"/>
        <v>13.557617379753475</v>
      </c>
      <c r="H845" s="1">
        <f t="shared" ca="1" si="88"/>
        <v>5.3035336437387759</v>
      </c>
    </row>
    <row r="846" spans="1:8">
      <c r="A846">
        <v>802</v>
      </c>
      <c r="B846">
        <f t="shared" ca="1" si="85"/>
        <v>0.7660159080085539</v>
      </c>
      <c r="C846" s="1">
        <f t="shared" ca="1" si="86"/>
        <v>24.097769052051362</v>
      </c>
      <c r="D846" s="1">
        <f t="shared" ca="1" si="91"/>
        <v>77.509113670840662</v>
      </c>
      <c r="E846" s="1">
        <f t="shared" ca="1" si="89"/>
        <v>92.926008136834923</v>
      </c>
      <c r="F846" s="1">
        <f t="shared" ca="1" si="87"/>
        <v>4.9725378624320875</v>
      </c>
      <c r="G846" s="1">
        <f t="shared" ca="1" si="90"/>
        <v>3.7082757514983555</v>
      </c>
      <c r="H846" s="1">
        <f t="shared" ca="1" si="88"/>
        <v>1.4506254765706075</v>
      </c>
    </row>
    <row r="847" spans="1:8">
      <c r="A847">
        <v>803</v>
      </c>
      <c r="B847">
        <f t="shared" ca="1" si="85"/>
        <v>0.45620317558965695</v>
      </c>
      <c r="C847" s="1">
        <f t="shared" ca="1" si="86"/>
        <v>56.005034685140508</v>
      </c>
      <c r="D847" s="1">
        <f t="shared" ca="1" si="91"/>
        <v>180.13706154210263</v>
      </c>
      <c r="E847" s="1">
        <f t="shared" ca="1" si="89"/>
        <v>215.96709674459657</v>
      </c>
      <c r="F847" s="1">
        <f t="shared" ca="1" si="87"/>
        <v>11.556542915841881</v>
      </c>
      <c r="G847" s="1">
        <f t="shared" ca="1" si="90"/>
        <v>8.6183016221849815</v>
      </c>
      <c r="H847" s="1">
        <f t="shared" ca="1" si="88"/>
        <v>3.3713506876755992</v>
      </c>
    </row>
    <row r="848" spans="1:8">
      <c r="A848">
        <v>804</v>
      </c>
      <c r="B848">
        <f t="shared" ca="1" si="85"/>
        <v>0.71717006619408152</v>
      </c>
      <c r="C848" s="1">
        <f t="shared" ca="1" si="86"/>
        <v>29.128347484634723</v>
      </c>
      <c r="D848" s="1">
        <f t="shared" ca="1" si="91"/>
        <v>93.689689815418177</v>
      </c>
      <c r="E848" s="1">
        <f t="shared" ca="1" si="89"/>
        <v>112.32497054838953</v>
      </c>
      <c r="F848" s="1">
        <f t="shared" ca="1" si="87"/>
        <v>6.0105883868040344</v>
      </c>
      <c r="G848" s="1">
        <f t="shared" ca="1" si="90"/>
        <v>4.4824025767969573</v>
      </c>
      <c r="H848" s="1">
        <f t="shared" ca="1" si="88"/>
        <v>1.7534517648841894</v>
      </c>
    </row>
    <row r="849" spans="1:8">
      <c r="A849">
        <v>805</v>
      </c>
      <c r="B849">
        <f t="shared" ca="1" si="85"/>
        <v>0.21274545467568784</v>
      </c>
      <c r="C849" s="1">
        <f t="shared" ca="1" si="86"/>
        <v>81.078472148405609</v>
      </c>
      <c r="D849" s="1">
        <f t="shared" ca="1" si="91"/>
        <v>260.78438063624549</v>
      </c>
      <c r="E849" s="1">
        <f t="shared" ca="1" si="89"/>
        <v>312.65551486524657</v>
      </c>
      <c r="F849" s="1">
        <f t="shared" ca="1" si="87"/>
        <v>16.730400207871735</v>
      </c>
      <c r="G849" s="1">
        <f t="shared" ca="1" si="90"/>
        <v>12.476708921242393</v>
      </c>
      <c r="H849" s="1">
        <f t="shared" ca="1" si="88"/>
        <v>4.8806991858688953</v>
      </c>
    </row>
    <row r="850" spans="1:8">
      <c r="A850">
        <v>806</v>
      </c>
      <c r="B850">
        <f t="shared" ca="1" si="85"/>
        <v>0.32194014738826593</v>
      </c>
      <c r="C850" s="1">
        <f t="shared" ca="1" si="86"/>
        <v>69.832633286647905</v>
      </c>
      <c r="D850" s="1">
        <f t="shared" ca="1" si="91"/>
        <v>224.61276449887913</v>
      </c>
      <c r="E850" s="1">
        <f t="shared" ca="1" si="89"/>
        <v>269.28920852706938</v>
      </c>
      <c r="F850" s="1">
        <f t="shared" ca="1" si="87"/>
        <v>14.409842227533247</v>
      </c>
      <c r="G850" s="1">
        <f t="shared" ca="1" si="90"/>
        <v>10.746151361601786</v>
      </c>
      <c r="H850" s="1">
        <f t="shared" ca="1" si="88"/>
        <v>4.2037321755901447</v>
      </c>
    </row>
    <row r="851" spans="1:8">
      <c r="A851">
        <v>807</v>
      </c>
      <c r="B851">
        <f t="shared" ca="1" si="85"/>
        <v>9.4201338912445975E-2</v>
      </c>
      <c r="C851" s="1">
        <f t="shared" ca="1" si="86"/>
        <v>94.142564602432287</v>
      </c>
      <c r="D851" s="1">
        <f t="shared" ca="1" si="91"/>
        <v>302.57084793380562</v>
      </c>
      <c r="E851" s="1">
        <f t="shared" ca="1" si="89"/>
        <v>362.74592639196766</v>
      </c>
      <c r="F851" s="1">
        <f t="shared" ca="1" si="87"/>
        <v>19.840160148017951</v>
      </c>
      <c r="G851" s="1">
        <f t="shared" ca="1" si="90"/>
        <v>14.502923979006573</v>
      </c>
      <c r="H851" s="1">
        <f t="shared" ca="1" si="88"/>
        <v>5.6570268370495507</v>
      </c>
    </row>
    <row r="852" spans="1:8">
      <c r="A852">
        <v>808</v>
      </c>
      <c r="B852">
        <f t="shared" ca="1" si="85"/>
        <v>0.78923001736043297</v>
      </c>
      <c r="C852" s="1">
        <f t="shared" ca="1" si="86"/>
        <v>21.706973981290716</v>
      </c>
      <c r="D852" s="1">
        <f t="shared" ca="1" si="91"/>
        <v>69.819254103606482</v>
      </c>
      <c r="E852" s="1">
        <f t="shared" ca="1" si="89"/>
        <v>83.706602389969646</v>
      </c>
      <c r="F852" s="1">
        <f t="shared" ca="1" si="87"/>
        <v>4.479201736153966</v>
      </c>
      <c r="G852" s="1">
        <f t="shared" ca="1" si="90"/>
        <v>3.3403700279577233</v>
      </c>
      <c r="H852" s="1">
        <f t="shared" ca="1" si="88"/>
        <v>1.3067065203115238</v>
      </c>
    </row>
    <row r="853" spans="1:8">
      <c r="A853">
        <v>809</v>
      </c>
      <c r="B853">
        <f t="shared" ca="1" si="85"/>
        <v>9.6566088686699803E-2</v>
      </c>
      <c r="C853" s="1">
        <f t="shared" ca="1" si="86"/>
        <v>93.550194783981695</v>
      </c>
      <c r="D853" s="1">
        <f t="shared" ca="1" si="91"/>
        <v>300.76073076485977</v>
      </c>
      <c r="E853" s="1">
        <f t="shared" ca="1" si="89"/>
        <v>360.57885381400337</v>
      </c>
      <c r="F853" s="1">
        <f t="shared" ca="1" si="87"/>
        <v>19.54908900253475</v>
      </c>
      <c r="G853" s="1">
        <f t="shared" ca="1" si="90"/>
        <v>14.405300995312864</v>
      </c>
      <c r="H853" s="1">
        <f t="shared" ca="1" si="88"/>
        <v>5.6254838965814562</v>
      </c>
    </row>
    <row r="854" spans="1:8">
      <c r="A854">
        <v>810</v>
      </c>
      <c r="B854">
        <f t="shared" ca="1" si="85"/>
        <v>0.29592988641341189</v>
      </c>
      <c r="C854" s="1">
        <f t="shared" ca="1" si="86"/>
        <v>72.511400875155246</v>
      </c>
      <c r="D854" s="1">
        <f t="shared" ca="1" si="91"/>
        <v>233.22887167628193</v>
      </c>
      <c r="E854" s="1">
        <f t="shared" ca="1" si="89"/>
        <v>279.6190965220884</v>
      </c>
      <c r="F854" s="1">
        <f t="shared" ca="1" si="87"/>
        <v>14.962600948460821</v>
      </c>
      <c r="G854" s="1">
        <f t="shared" ca="1" si="90"/>
        <v>11.15837152212497</v>
      </c>
      <c r="H854" s="1">
        <f t="shared" ca="1" si="88"/>
        <v>4.3649862454657287</v>
      </c>
    </row>
    <row r="855" spans="1:8">
      <c r="A855">
        <v>811</v>
      </c>
      <c r="B855">
        <f t="shared" ca="1" si="85"/>
        <v>0.8258011455320341</v>
      </c>
      <c r="C855" s="1">
        <f t="shared" ca="1" si="86"/>
        <v>17.940554531830244</v>
      </c>
      <c r="D855" s="1">
        <f t="shared" ca="1" si="91"/>
        <v>57.704775120497402</v>
      </c>
      <c r="E855" s="1">
        <f t="shared" ca="1" si="89"/>
        <v>69.182501373476612</v>
      </c>
      <c r="F855" s="1">
        <f t="shared" ca="1" si="87"/>
        <v>3.7020080720628616</v>
      </c>
      <c r="G855" s="1">
        <f t="shared" ca="1" si="90"/>
        <v>2.7607773687381254</v>
      </c>
      <c r="H855" s="1">
        <f t="shared" ca="1" si="88"/>
        <v>1.0799789506299433</v>
      </c>
    </row>
    <row r="856" spans="1:8">
      <c r="A856">
        <v>812</v>
      </c>
      <c r="B856">
        <f t="shared" ca="1" si="85"/>
        <v>0.56046216324181453</v>
      </c>
      <c r="C856" s="1">
        <f t="shared" ca="1" si="86"/>
        <v>45.267518548597607</v>
      </c>
      <c r="D856" s="1">
        <f t="shared" ca="1" si="91"/>
        <v>145.60043721961065</v>
      </c>
      <c r="E856" s="1">
        <f t="shared" ca="1" si="89"/>
        <v>174.56098913337109</v>
      </c>
      <c r="F856" s="1">
        <f t="shared" ca="1" si="87"/>
        <v>9.3408763865623197</v>
      </c>
      <c r="G856" s="1">
        <f t="shared" ca="1" si="90"/>
        <v>6.9659669275232616</v>
      </c>
      <c r="H856" s="1">
        <f t="shared" ca="1" si="88"/>
        <v>2.7249832369117559</v>
      </c>
    </row>
    <row r="857" spans="1:8">
      <c r="A857">
        <v>813</v>
      </c>
      <c r="B857">
        <f t="shared" ca="1" si="85"/>
        <v>0.82967066883799545</v>
      </c>
      <c r="C857" s="1">
        <f t="shared" ca="1" si="86"/>
        <v>17.542036669014337</v>
      </c>
      <c r="D857" s="1">
        <f t="shared" ca="1" si="91"/>
        <v>56.422964547283499</v>
      </c>
      <c r="E857" s="1">
        <f t="shared" ca="1" si="89"/>
        <v>67.645733157911991</v>
      </c>
      <c r="F857" s="1">
        <f t="shared" ca="1" si="87"/>
        <v>3.6197746505962147</v>
      </c>
      <c r="G857" s="1">
        <f t="shared" ca="1" si="90"/>
        <v>2.6994517434445662</v>
      </c>
      <c r="H857" s="1">
        <f t="shared" ca="1" si="88"/>
        <v>1.0559893266054887</v>
      </c>
    </row>
    <row r="858" spans="1:8">
      <c r="A858">
        <v>814</v>
      </c>
      <c r="B858">
        <f t="shared" ca="1" si="85"/>
        <v>0.42721567309791486</v>
      </c>
      <c r="C858" s="1">
        <f t="shared" ca="1" si="86"/>
        <v>58.990425036345563</v>
      </c>
      <c r="D858" s="1">
        <f t="shared" ca="1" si="91"/>
        <v>189.73940380677817</v>
      </c>
      <c r="E858" s="1">
        <f t="shared" ca="1" si="89"/>
        <v>227.47938623236908</v>
      </c>
      <c r="F858" s="1">
        <f t="shared" ca="1" si="87"/>
        <v>12.172572674855484</v>
      </c>
      <c r="G858" s="1">
        <f t="shared" ca="1" si="90"/>
        <v>9.0777061987812822</v>
      </c>
      <c r="H858" s="1">
        <f t="shared" ca="1" si="88"/>
        <v>3.5510625620332261</v>
      </c>
    </row>
    <row r="859" spans="1:8">
      <c r="A859">
        <v>815</v>
      </c>
      <c r="B859">
        <f t="shared" ca="1" si="85"/>
        <v>0.11665980712345214</v>
      </c>
      <c r="C859" s="1">
        <f t="shared" ca="1" si="86"/>
        <v>90.974225160361428</v>
      </c>
      <c r="D859" s="1">
        <f t="shared" ca="1" si="91"/>
        <v>292.6135206176009</v>
      </c>
      <c r="E859" s="1">
        <f t="shared" ca="1" si="89"/>
        <v>350.81560784174712</v>
      </c>
      <c r="F859" s="1">
        <f t="shared" ca="1" si="87"/>
        <v>18.772370478443754</v>
      </c>
      <c r="G859" s="1">
        <f t="shared" ca="1" si="90"/>
        <v>13.999509522753044</v>
      </c>
      <c r="H859" s="1">
        <f t="shared" ca="1" si="88"/>
        <v>5.4763949283840629</v>
      </c>
    </row>
    <row r="860" spans="1:8">
      <c r="A860">
        <v>816</v>
      </c>
      <c r="B860">
        <f t="shared" ca="1" si="85"/>
        <v>0.15628911841375748</v>
      </c>
      <c r="C860" s="1">
        <f t="shared" ca="1" si="86"/>
        <v>86.892846863466673</v>
      </c>
      <c r="D860" s="1">
        <f t="shared" ca="1" si="91"/>
        <v>279.48599399362604</v>
      </c>
      <c r="E860" s="1">
        <f t="shared" ca="1" si="89"/>
        <v>335.0769596465459</v>
      </c>
      <c r="F860" s="1">
        <f t="shared" ca="1" si="87"/>
        <v>17.930185640650414</v>
      </c>
      <c r="G860" s="1">
        <f t="shared" ca="1" si="90"/>
        <v>13.371449655252826</v>
      </c>
      <c r="H860" s="1">
        <f t="shared" ca="1" si="88"/>
        <v>5.2307077460022251</v>
      </c>
    </row>
    <row r="861" spans="1:8">
      <c r="A861">
        <v>817</v>
      </c>
      <c r="B861">
        <f t="shared" ca="1" si="85"/>
        <v>0.5277565198860894</v>
      </c>
      <c r="C861" s="1">
        <f t="shared" ca="1" si="86"/>
        <v>48.635836054803974</v>
      </c>
      <c r="D861" s="1">
        <f t="shared" ca="1" si="91"/>
        <v>156.43444341167739</v>
      </c>
      <c r="E861" s="1">
        <f t="shared" ca="1" si="89"/>
        <v>187.54992580710535</v>
      </c>
      <c r="F861" s="1">
        <f t="shared" ca="1" si="87"/>
        <v>10.035922453416537</v>
      </c>
      <c r="G861" s="1">
        <f t="shared" ca="1" si="90"/>
        <v>7.4842979649221153</v>
      </c>
      <c r="H861" s="1">
        <f t="shared" ca="1" si="88"/>
        <v>2.927746219724912</v>
      </c>
    </row>
    <row r="862" spans="1:8">
      <c r="A862">
        <v>818</v>
      </c>
      <c r="B862">
        <f t="shared" ca="1" si="85"/>
        <v>0.62613812378437417</v>
      </c>
      <c r="C862" s="1">
        <f t="shared" ca="1" si="86"/>
        <v>38.50362507534178</v>
      </c>
      <c r="D862" s="1">
        <f t="shared" ca="1" si="91"/>
        <v>123.8447495100317</v>
      </c>
      <c r="E862" s="1">
        <f t="shared" ca="1" si="89"/>
        <v>148.47800146070549</v>
      </c>
      <c r="F862" s="1">
        <f t="shared" ca="1" si="87"/>
        <v>7.9451595200421501</v>
      </c>
      <c r="G862" s="1">
        <f t="shared" ca="1" si="90"/>
        <v>5.9251102047267619</v>
      </c>
      <c r="H862" s="1">
        <f t="shared" ca="1" si="88"/>
        <v>2.3178163906923115</v>
      </c>
    </row>
    <row r="863" spans="1:8">
      <c r="A863">
        <v>819</v>
      </c>
      <c r="B863">
        <f t="shared" ca="1" si="85"/>
        <v>0.72845032913102814</v>
      </c>
      <c r="C863" s="1">
        <f t="shared" ca="1" si="86"/>
        <v>27.966605863720332</v>
      </c>
      <c r="D863" s="1">
        <f t="shared" ca="1" si="91"/>
        <v>89.953012411528249</v>
      </c>
      <c r="E863" s="1">
        <f t="shared" ca="1" si="89"/>
        <v>107.8450519191349</v>
      </c>
      <c r="F863" s="1">
        <f t="shared" ca="1" si="87"/>
        <v>5.7708651591600901</v>
      </c>
      <c r="G863" s="1">
        <f t="shared" ca="1" si="90"/>
        <v>4.3036288304240422</v>
      </c>
      <c r="H863" s="1">
        <f t="shared" ca="1" si="88"/>
        <v>1.6835182755736477</v>
      </c>
    </row>
    <row r="864" spans="1:8">
      <c r="A864">
        <v>820</v>
      </c>
      <c r="B864">
        <f t="shared" ca="1" si="85"/>
        <v>0.64360006792697122</v>
      </c>
      <c r="C864" s="1">
        <f t="shared" ca="1" si="86"/>
        <v>36.705239044277469</v>
      </c>
      <c r="D864" s="1">
        <f t="shared" ca="1" si="91"/>
        <v>118.06034071829018</v>
      </c>
      <c r="E864" s="1">
        <f t="shared" ca="1" si="89"/>
        <v>141.54304885324441</v>
      </c>
      <c r="F864" s="1">
        <f t="shared" ca="1" si="87"/>
        <v>7.5740658997781232</v>
      </c>
      <c r="G864" s="1">
        <f t="shared" ca="1" si="90"/>
        <v>5.648366906208258</v>
      </c>
      <c r="H864" s="1">
        <f t="shared" ca="1" si="88"/>
        <v>2.2095587471547806</v>
      </c>
    </row>
    <row r="865" spans="1:8">
      <c r="A865">
        <v>821</v>
      </c>
      <c r="B865">
        <f t="shared" ca="1" si="85"/>
        <v>0.62764512283810814</v>
      </c>
      <c r="C865" s="1">
        <f t="shared" ca="1" si="86"/>
        <v>38.348420933985544</v>
      </c>
      <c r="D865" s="1">
        <f t="shared" ca="1" si="91"/>
        <v>123.34554400895007</v>
      </c>
      <c r="E865" s="1">
        <f t="shared" ca="1" si="89"/>
        <v>147.8795018359335</v>
      </c>
      <c r="F865" s="1">
        <f t="shared" ca="1" si="87"/>
        <v>7.9131334334839885</v>
      </c>
      <c r="G865" s="1">
        <f t="shared" ca="1" si="90"/>
        <v>5.901226730722442</v>
      </c>
      <c r="H865" s="1">
        <f t="shared" ca="1" si="88"/>
        <v>2.3084735497670246</v>
      </c>
    </row>
    <row r="866" spans="1:8">
      <c r="A866">
        <v>822</v>
      </c>
      <c r="B866">
        <f t="shared" ca="1" si="85"/>
        <v>0.90822219726412257</v>
      </c>
      <c r="C866" s="1">
        <f t="shared" ca="1" si="86"/>
        <v>9.4521029086782846</v>
      </c>
      <c r="D866" s="1">
        <f t="shared" ca="1" si="91"/>
        <v>30.402141898766615</v>
      </c>
      <c r="E866" s="1">
        <f t="shared" ca="1" si="89"/>
        <v>36.44925684174143</v>
      </c>
      <c r="F866" s="1">
        <f t="shared" ca="1" si="87"/>
        <v>1.9504318315560951</v>
      </c>
      <c r="G866" s="1">
        <f t="shared" ca="1" si="90"/>
        <v>1.4545382960760769</v>
      </c>
      <c r="H866" s="1">
        <f t="shared" ca="1" si="88"/>
        <v>0.56899868603073678</v>
      </c>
    </row>
    <row r="867" spans="1:8">
      <c r="A867">
        <v>823</v>
      </c>
      <c r="B867">
        <f t="shared" ca="1" si="85"/>
        <v>0.13671228056473739</v>
      </c>
      <c r="C867" s="1">
        <f t="shared" ca="1" si="86"/>
        <v>88.909043423974779</v>
      </c>
      <c r="D867" s="1">
        <f t="shared" ca="1" si="91"/>
        <v>285.97097825675456</v>
      </c>
      <c r="E867" s="1">
        <f t="shared" ca="1" si="89"/>
        <v>342.8518352032554</v>
      </c>
      <c r="F867" s="1">
        <f t="shared" ca="1" si="87"/>
        <v>18.346224059476452</v>
      </c>
      <c r="G867" s="1">
        <f t="shared" ca="1" si="90"/>
        <v>13.681710565301412</v>
      </c>
      <c r="H867" s="1">
        <f t="shared" ca="1" si="88"/>
        <v>5.352076954158222</v>
      </c>
    </row>
    <row r="868" spans="1:8">
      <c r="A868">
        <v>824</v>
      </c>
      <c r="B868">
        <f t="shared" ca="1" si="85"/>
        <v>0.80422340318316188</v>
      </c>
      <c r="C868" s="1">
        <f t="shared" ca="1" si="86"/>
        <v>20.162822001318631</v>
      </c>
      <c r="D868" s="1">
        <f t="shared" ca="1" si="91"/>
        <v>64.852575017776616</v>
      </c>
      <c r="E868" s="1">
        <f t="shared" ca="1" si="89"/>
        <v>77.752029447982238</v>
      </c>
      <c r="F868" s="1">
        <f t="shared" ca="1" si="87"/>
        <v>4.1605688405533563</v>
      </c>
      <c r="G868" s="1">
        <f t="shared" ca="1" si="90"/>
        <v>3.1027493475421526</v>
      </c>
      <c r="H868" s="1">
        <f t="shared" ca="1" si="88"/>
        <v>1.2137530321682357</v>
      </c>
    </row>
    <row r="869" spans="1:8">
      <c r="A869">
        <v>825</v>
      </c>
      <c r="B869">
        <f t="shared" ca="1" si="85"/>
        <v>0.70489268562855667</v>
      </c>
      <c r="C869" s="1">
        <f t="shared" ca="1" si="86"/>
        <v>30.392781131128828</v>
      </c>
      <c r="D869" s="1">
        <f t="shared" ca="1" si="91"/>
        <v>97.75667041636612</v>
      </c>
      <c r="E869" s="1">
        <f t="shared" ca="1" si="89"/>
        <v>117.20089110284707</v>
      </c>
      <c r="F869" s="1">
        <f t="shared" ca="1" si="87"/>
        <v>6.2715019233618374</v>
      </c>
      <c r="G869" s="1">
        <f t="shared" ca="1" si="90"/>
        <v>4.6769790092448158</v>
      </c>
      <c r="H869" s="1">
        <f t="shared" ca="1" si="88"/>
        <v>1.8295670174576362</v>
      </c>
    </row>
    <row r="870" spans="1:8">
      <c r="A870">
        <v>826</v>
      </c>
      <c r="B870">
        <f t="shared" ca="1" si="85"/>
        <v>0.61250175685920039</v>
      </c>
      <c r="C870" s="1">
        <f t="shared" ca="1" si="86"/>
        <v>39.908019201931431</v>
      </c>
      <c r="D870" s="1">
        <f t="shared" ca="1" si="91"/>
        <v>128.36190522220534</v>
      </c>
      <c r="E870" s="1">
        <f t="shared" ca="1" si="89"/>
        <v>153.89363889441711</v>
      </c>
      <c r="F870" s="1">
        <f t="shared" ca="1" si="87"/>
        <v>8.2349536419444753</v>
      </c>
      <c r="G870" s="1">
        <f t="shared" ca="1" si="90"/>
        <v>6.1412243516890932</v>
      </c>
      <c r="H870" s="1">
        <f t="shared" ca="1" si="88"/>
        <v>2.4023568598220493</v>
      </c>
    </row>
    <row r="871" spans="1:8">
      <c r="A871">
        <v>827</v>
      </c>
      <c r="B871">
        <f t="shared" ca="1" si="85"/>
        <v>0.21577414909512671</v>
      </c>
      <c r="C871" s="1">
        <f t="shared" ca="1" si="86"/>
        <v>80.76655030901577</v>
      </c>
      <c r="D871" s="1">
        <f t="shared" ca="1" si="91"/>
        <v>259.781101363088</v>
      </c>
      <c r="E871" s="1">
        <f t="shared" ca="1" si="89"/>
        <v>311.45267902464548</v>
      </c>
      <c r="F871" s="1">
        <f t="shared" ca="1" si="87"/>
        <v>16.666035715143728</v>
      </c>
      <c r="G871" s="1">
        <f t="shared" ca="1" si="90"/>
        <v>12.428709060688753</v>
      </c>
      <c r="H871" s="1">
        <f t="shared" ca="1" si="88"/>
        <v>4.8619223922790065</v>
      </c>
    </row>
    <row r="872" spans="1:8">
      <c r="A872">
        <v>828</v>
      </c>
      <c r="B872">
        <f t="shared" ca="1" si="85"/>
        <v>0.69347358701656436</v>
      </c>
      <c r="C872" s="1">
        <f t="shared" ca="1" si="86"/>
        <v>31.568821282411697</v>
      </c>
      <c r="D872" s="1">
        <f t="shared" ca="1" si="91"/>
        <v>101.53933824908708</v>
      </c>
      <c r="E872" s="1">
        <f t="shared" ca="1" si="89"/>
        <v>121.73594785525708</v>
      </c>
      <c r="F872" s="1">
        <f t="shared" ca="1" si="87"/>
        <v>6.5141756262136852</v>
      </c>
      <c r="G872" s="1">
        <f t="shared" ca="1" si="90"/>
        <v>4.8579530743422907</v>
      </c>
      <c r="H872" s="1">
        <f t="shared" ca="1" si="88"/>
        <v>1.9003612369879432</v>
      </c>
    </row>
    <row r="873" spans="1:8">
      <c r="A873">
        <v>829</v>
      </c>
      <c r="B873">
        <f t="shared" ca="1" si="85"/>
        <v>0.95639728965189419</v>
      </c>
      <c r="C873" s="1">
        <f t="shared" ca="1" si="86"/>
        <v>4.4906042068209331</v>
      </c>
      <c r="D873" s="1">
        <f t="shared" ca="1" si="91"/>
        <v>14.443756871580149</v>
      </c>
      <c r="E873" s="1">
        <f t="shared" ca="1" si="89"/>
        <v>17.316680317557996</v>
      </c>
      <c r="F873" s="1">
        <f t="shared" ca="1" si="87"/>
        <v>0.92663578142892788</v>
      </c>
      <c r="G873" s="1">
        <f t="shared" ca="1" si="90"/>
        <v>0.69104175382664401</v>
      </c>
      <c r="H873" s="1">
        <f t="shared" ca="1" si="88"/>
        <v>0.27033079793569925</v>
      </c>
    </row>
    <row r="874" spans="1:8">
      <c r="A874">
        <v>830</v>
      </c>
      <c r="B874">
        <f t="shared" ca="1" si="85"/>
        <v>0.38555956796257862</v>
      </c>
      <c r="C874" s="1">
        <f t="shared" ca="1" si="86"/>
        <v>63.280540556826963</v>
      </c>
      <c r="D874" s="1">
        <f t="shared" ca="1" si="91"/>
        <v>203.53832211775568</v>
      </c>
      <c r="E874" s="1">
        <f t="shared" ca="1" si="89"/>
        <v>244.0229688120582</v>
      </c>
      <c r="F874" s="1">
        <f t="shared" ca="1" si="87"/>
        <v>13.05783005138445</v>
      </c>
      <c r="G874" s="1">
        <f t="shared" ca="1" si="90"/>
        <v>9.7378874388795609</v>
      </c>
      <c r="H874" s="1">
        <f t="shared" ca="1" si="88"/>
        <v>3.809315122233687</v>
      </c>
    </row>
    <row r="875" spans="1:8">
      <c r="A875">
        <v>831</v>
      </c>
      <c r="B875">
        <f t="shared" ca="1" si="85"/>
        <v>0.94507034023224679</v>
      </c>
      <c r="C875" s="1">
        <f t="shared" ca="1" si="86"/>
        <v>5.6571540161960598</v>
      </c>
      <c r="D875" s="1">
        <f t="shared" ca="1" si="91"/>
        <v>18.195899546621149</v>
      </c>
      <c r="E875" s="1">
        <f t="shared" ca="1" si="89"/>
        <v>21.815140326987432</v>
      </c>
      <c r="F875" s="1">
        <f t="shared" ca="1" si="87"/>
        <v>1.1673511698392431</v>
      </c>
      <c r="G875" s="1">
        <f t="shared" ca="1" si="90"/>
        <v>0.87055540470923454</v>
      </c>
      <c r="H875" s="1">
        <f t="shared" ca="1" si="88"/>
        <v>0.34055372630073322</v>
      </c>
    </row>
    <row r="876" spans="1:8">
      <c r="A876">
        <v>832</v>
      </c>
      <c r="B876">
        <f t="shared" ca="1" si="85"/>
        <v>0.25716141535221504</v>
      </c>
      <c r="C876" s="1">
        <f t="shared" ca="1" si="86"/>
        <v>76.504122202908164</v>
      </c>
      <c r="D876" s="1">
        <f t="shared" ca="1" si="91"/>
        <v>246.07123808276458</v>
      </c>
      <c r="E876" s="1">
        <f t="shared" ca="1" si="89"/>
        <v>295.015864904669</v>
      </c>
      <c r="F876" s="1">
        <f t="shared" ca="1" si="87"/>
        <v>15.786491585191548</v>
      </c>
      <c r="G876" s="1">
        <f t="shared" ca="1" si="90"/>
        <v>11.772788477784704</v>
      </c>
      <c r="H876" s="1">
        <f t="shared" ca="1" si="88"/>
        <v>4.6053365344349801</v>
      </c>
    </row>
    <row r="877" spans="1:8">
      <c r="A877">
        <v>833</v>
      </c>
      <c r="B877">
        <f t="shared" ca="1" si="85"/>
        <v>0.70467810807551801</v>
      </c>
      <c r="C877" s="1">
        <f t="shared" ca="1" si="86"/>
        <v>30.41488023251258</v>
      </c>
      <c r="D877" s="1">
        <f t="shared" ca="1" si="91"/>
        <v>97.827750948646553</v>
      </c>
      <c r="E877" s="1">
        <f t="shared" ca="1" si="89"/>
        <v>117.28610985906323</v>
      </c>
      <c r="F877" s="1">
        <f t="shared" ca="1" si="87"/>
        <v>6.2760620319233045</v>
      </c>
      <c r="G877" s="1">
        <f t="shared" ca="1" si="90"/>
        <v>4.6803797130456655</v>
      </c>
      <c r="H877" s="1">
        <f t="shared" ca="1" si="88"/>
        <v>1.830897319516692</v>
      </c>
    </row>
    <row r="878" spans="1:8">
      <c r="A878">
        <v>834</v>
      </c>
      <c r="B878">
        <f t="shared" ref="B878:B941" ca="1" si="92">RAND()</f>
        <v>0.20733326577951228</v>
      </c>
      <c r="C878" s="1">
        <f t="shared" ref="C878:C941" ca="1" si="93">IF($B878&lt;=0.005,$F$4,IF(B878&lt;=0.01,$F$4+($B878-0.005)*SLOPE($E$4:$F$4,$E$3:$F$3),IF($B878&lt;=0.04,$E$4+($B878-0.01)*SLOPE($D$4:$E$4,$D$3:$E$3),IF($B878&lt;=0.1,$D$4+($B878-0.04)*SLOPE($C$4:$D$4,$C$3:$D$3),IF($B878&lt;=1,$C$4+($B878-0.1)*SLOPE($B$4:$C$4,$B$3:$C$3),)))))</f>
        <v>81.635867409144069</v>
      </c>
      <c r="D878" s="1">
        <f t="shared" ca="1" si="91"/>
        <v>262.57721153628449</v>
      </c>
      <c r="E878" s="1">
        <f t="shared" ca="1" si="89"/>
        <v>314.80494755104047</v>
      </c>
      <c r="F878" s="1">
        <f t="shared" ref="F878:F941" ca="1" si="94">IF($B878&lt;=0.005,$F$22,IF($B878&lt;=0.01,$F$22+($B878-0.005)*SLOPE($E$22:$F$22,$E$21:$F$21),IF($B878&lt;=0.04,$E$22+($B878-0.01)*SLOPE($D$22:$E$22,$D$21:$E$21),IF($B878&lt;=0.1,$D$22+($B878-0.04)*SLOPE($C$22:$D$22,$C$21:$D$21),IF($B878&lt;=1,$C$22+($B878-0.1)*SLOPE($B$22:$C$22,$B$21:$C$21),)))))</f>
        <v>16.845417685572578</v>
      </c>
      <c r="G878" s="1">
        <f t="shared" ca="1" si="90"/>
        <v>12.562483276898423</v>
      </c>
      <c r="H878" s="1">
        <f t="shared" ref="H878:H941" ca="1" si="95">IF($B878&lt;=0.005,$F$34,IF($B878&lt;=0.01,$F$34+($B878-0.005)*SLOPE($E$34:$F$34,$E$33:$F$33),IF($B878&lt;=0.04,$E$34+($B878-0.01)*SLOPE($D$34:$E$34,$D$33:$E$33),IF($B878&lt;=0.1,$D$34+($B878-0.04)*SLOPE($C$34:$D$34,$C$33:$D$33),IF($B878&lt;=1,$C$34+($B878-0.1)*SLOPE($B$34:$C$34,$B$33:$C$33),)))))</f>
        <v>4.9142527702519008</v>
      </c>
    </row>
    <row r="879" spans="1:8">
      <c r="A879">
        <v>835</v>
      </c>
      <c r="B879">
        <f t="shared" ca="1" si="92"/>
        <v>0.67875477952981222</v>
      </c>
      <c r="C879" s="1">
        <f t="shared" ca="1" si="93"/>
        <v>33.084694747699452</v>
      </c>
      <c r="D879" s="1">
        <f t="shared" ca="1" si="91"/>
        <v>106.41506106294196</v>
      </c>
      <c r="E879" s="1">
        <f t="shared" ref="E879:E942" ca="1" si="96">IF($B879&lt;=0.005,$F$16,IF($B879&lt;=0.01,$F$16+($B879-0.005)*SLOPE($E$16:$F$16,$E$15:$F$15),IF($B879&lt;=0.04,$E$16+($B879-0.01)*SLOPE($D$16:$E$16,$D$15:$E$15),IF($B879&lt;=0.1,$D$16+($B879-0.04)*SLOPE($C$16:$D$16,$C$15:$D$15),IF($B879&lt;=1,$C$16+($B879-0.1)*SLOPE($B$16:$C$16,$B$15:$C$15),)))))</f>
        <v>127.58147293112575</v>
      </c>
      <c r="F879" s="1">
        <f t="shared" ca="1" si="94"/>
        <v>6.8269733027853245</v>
      </c>
      <c r="G879" s="1">
        <f t="shared" ref="G879:G942" ca="1" si="97">IF($B879&lt;=0.005,$F$28,IF($B879&lt;=0.01,$F$28+($B879-0.005)*SLOPE($E$28:$F$28,$E$27:$F$27),IF($B879&lt;=0.04,$E$28+($B879-0.01)*SLOPE($D$28:$E$28,$D$27:$E$27),IF($B879&lt;=0.1,$D$28+($B879-0.04)*SLOPE($C$28:$D$28,$C$27:$D$27),IF($B879&lt;=1,$C$28+($B879-0.1)*SLOPE($B$28:$C$28,$B$27:$C$27),)))))</f>
        <v>5.0912221365314245</v>
      </c>
      <c r="H879" s="1">
        <f t="shared" ca="1" si="95"/>
        <v>1.9916124402437889</v>
      </c>
    </row>
    <row r="880" spans="1:8">
      <c r="A880">
        <v>836</v>
      </c>
      <c r="B880">
        <f t="shared" ca="1" si="92"/>
        <v>8.9748488248406755E-3</v>
      </c>
      <c r="C880" s="1">
        <f t="shared" ca="1" si="93"/>
        <v>149.74457173498101</v>
      </c>
      <c r="D880" s="1">
        <f t="shared" ref="D880:D943" ca="1" si="98">IF($B880&lt;=0.005,$F$10,IF($B880&lt;=0.01,$F$10+($B880-0.005)*SLOPE($E$10:$F$10,$E$9:$F$9),IF($B880&lt;=0.04,$E$10+($B880-0.01)*SLOPE($D$10:$E$10,$D$9:$E$9),IF($B880&lt;=0.1,$D$10+($B880-0.04)*SLOPE($C$10:$D$10,$C$9:$D$9),IF($B880&lt;=1,$C$10+($B880-0.1)*SLOPE($B$10:$C$10,$B$9:$C$9),)))))</f>
        <v>475.52470232172612</v>
      </c>
      <c r="E880" s="1">
        <f t="shared" ca="1" si="96"/>
        <v>570.00888178032801</v>
      </c>
      <c r="F880" s="1">
        <f t="shared" ca="1" si="94"/>
        <v>30.857379177000787</v>
      </c>
      <c r="G880" s="1">
        <f t="shared" ca="1" si="97"/>
        <v>21.350338988017128</v>
      </c>
      <c r="H880" s="1">
        <f t="shared" ca="1" si="95"/>
        <v>8.0001320236826867</v>
      </c>
    </row>
    <row r="881" spans="1:8">
      <c r="A881">
        <v>837</v>
      </c>
      <c r="B881">
        <f t="shared" ca="1" si="92"/>
        <v>0.46680956526676209</v>
      </c>
      <c r="C881" s="1">
        <f t="shared" ca="1" si="93"/>
        <v>54.912694515021641</v>
      </c>
      <c r="D881" s="1">
        <f t="shared" ca="1" si="98"/>
        <v>176.62361005033998</v>
      </c>
      <c r="E881" s="1">
        <f t="shared" ca="1" si="96"/>
        <v>211.75480462257806</v>
      </c>
      <c r="F881" s="1">
        <f t="shared" ca="1" si="94"/>
        <v>11.331140548782049</v>
      </c>
      <c r="G881" s="1">
        <f t="shared" ca="1" si="97"/>
        <v>8.4502076665151549</v>
      </c>
      <c r="H881" s="1">
        <f t="shared" ca="1" si="95"/>
        <v>3.3055949652023386</v>
      </c>
    </row>
    <row r="882" spans="1:8">
      <c r="A882">
        <v>838</v>
      </c>
      <c r="B882">
        <f t="shared" ca="1" si="92"/>
        <v>0.19508941560685245</v>
      </c>
      <c r="C882" s="1">
        <f t="shared" ca="1" si="93"/>
        <v>82.896847798105554</v>
      </c>
      <c r="D882" s="1">
        <f t="shared" ca="1" si="98"/>
        <v>266.63308492616278</v>
      </c>
      <c r="E882" s="1">
        <f t="shared" ca="1" si="96"/>
        <v>319.6675516223201</v>
      </c>
      <c r="F882" s="1">
        <f t="shared" ca="1" si="94"/>
        <v>17.105618648846701</v>
      </c>
      <c r="G882" s="1">
        <f t="shared" ca="1" si="97"/>
        <v>12.756528307376016</v>
      </c>
      <c r="H882" s="1">
        <f t="shared" ca="1" si="95"/>
        <v>4.9901601466983365</v>
      </c>
    </row>
    <row r="883" spans="1:8">
      <c r="A883">
        <v>839</v>
      </c>
      <c r="B883">
        <f t="shared" ca="1" si="92"/>
        <v>0.77446333271262702</v>
      </c>
      <c r="C883" s="1">
        <f t="shared" ca="1" si="93"/>
        <v>23.2277782616666</v>
      </c>
      <c r="D883" s="1">
        <f t="shared" ca="1" si="98"/>
        <v>74.710836610349048</v>
      </c>
      <c r="E883" s="1">
        <f t="shared" ca="1" si="96"/>
        <v>89.571141719931461</v>
      </c>
      <c r="F883" s="1">
        <f t="shared" ca="1" si="94"/>
        <v>4.7930168772689754</v>
      </c>
      <c r="G883" s="1">
        <f t="shared" ca="1" si="97"/>
        <v>3.5743978649639967</v>
      </c>
      <c r="H883" s="1">
        <f t="shared" ca="1" si="95"/>
        <v>1.3982545443905625</v>
      </c>
    </row>
    <row r="884" spans="1:8">
      <c r="A884">
        <v>840</v>
      </c>
      <c r="B884">
        <f t="shared" ca="1" si="92"/>
        <v>0.46845058378717319</v>
      </c>
      <c r="C884" s="1">
        <f t="shared" ca="1" si="93"/>
        <v>54.743687859191951</v>
      </c>
      <c r="D884" s="1">
        <f t="shared" ca="1" si="98"/>
        <v>176.08000952800634</v>
      </c>
      <c r="E884" s="1">
        <f t="shared" ca="1" si="96"/>
        <v>211.10307961566687</v>
      </c>
      <c r="F884" s="1">
        <f t="shared" ca="1" si="94"/>
        <v>11.296266338975471</v>
      </c>
      <c r="G884" s="1">
        <f t="shared" ca="1" si="97"/>
        <v>8.4242002028238296</v>
      </c>
      <c r="H884" s="1">
        <f t="shared" ca="1" si="95"/>
        <v>3.2954212527811779</v>
      </c>
    </row>
    <row r="885" spans="1:8">
      <c r="A885">
        <v>841</v>
      </c>
      <c r="B885">
        <f t="shared" ca="1" si="92"/>
        <v>0.87569116797854973</v>
      </c>
      <c r="C885" s="1">
        <f t="shared" ca="1" si="93"/>
        <v>12.802437107755466</v>
      </c>
      <c r="D885" s="1">
        <f t="shared" ca="1" si="98"/>
        <v>41.178305782193377</v>
      </c>
      <c r="E885" s="1">
        <f t="shared" ca="1" si="96"/>
        <v>49.368846122584387</v>
      </c>
      <c r="F885" s="1">
        <f t="shared" ca="1" si="94"/>
        <v>2.641767076355638</v>
      </c>
      <c r="G885" s="1">
        <f t="shared" ca="1" si="97"/>
        <v>1.9701019856156634</v>
      </c>
      <c r="H885" s="1">
        <f t="shared" ca="1" si="95"/>
        <v>0.7706791257084431</v>
      </c>
    </row>
    <row r="886" spans="1:8">
      <c r="A886">
        <v>842</v>
      </c>
      <c r="B886">
        <f t="shared" ca="1" si="92"/>
        <v>0.36227659450868543</v>
      </c>
      <c r="C886" s="1">
        <f t="shared" ca="1" si="93"/>
        <v>65.678427864173216</v>
      </c>
      <c r="D886" s="1">
        <f t="shared" ca="1" si="98"/>
        <v>211.25099347008509</v>
      </c>
      <c r="E886" s="1">
        <f t="shared" ca="1" si="96"/>
        <v>253.26972370629926</v>
      </c>
      <c r="F886" s="1">
        <f t="shared" ca="1" si="94"/>
        <v>13.552629647521023</v>
      </c>
      <c r="G886" s="1">
        <f t="shared" ca="1" si="97"/>
        <v>10.106884545978934</v>
      </c>
      <c r="H886" s="1">
        <f t="shared" ca="1" si="95"/>
        <v>3.9536610106457708</v>
      </c>
    </row>
    <row r="887" spans="1:8">
      <c r="A887">
        <v>843</v>
      </c>
      <c r="B887">
        <f t="shared" ca="1" si="92"/>
        <v>0.14960352376803232</v>
      </c>
      <c r="C887" s="1">
        <f t="shared" ca="1" si="93"/>
        <v>87.581388753307024</v>
      </c>
      <c r="D887" s="1">
        <f t="shared" ca="1" si="98"/>
        <v>281.70065074266552</v>
      </c>
      <c r="E887" s="1">
        <f t="shared" ca="1" si="96"/>
        <v>337.73212115904312</v>
      </c>
      <c r="F887" s="1">
        <f t="shared" ca="1" si="94"/>
        <v>18.072264981899011</v>
      </c>
      <c r="G887" s="1">
        <f t="shared" ca="1" si="97"/>
        <v>13.477405412510246</v>
      </c>
      <c r="H887" s="1">
        <f t="shared" ca="1" si="95"/>
        <v>5.2721559785748955</v>
      </c>
    </row>
    <row r="888" spans="1:8">
      <c r="A888">
        <v>844</v>
      </c>
      <c r="B888">
        <f t="shared" ca="1" si="92"/>
        <v>0.26399610498677106</v>
      </c>
      <c r="C888" s="1">
        <f t="shared" ca="1" si="93"/>
        <v>75.800225187485822</v>
      </c>
      <c r="D888" s="1">
        <f t="shared" ca="1" si="98"/>
        <v>243.8071924250701</v>
      </c>
      <c r="E888" s="1">
        <f t="shared" ca="1" si="96"/>
        <v>292.30149081692196</v>
      </c>
      <c r="F888" s="1">
        <f t="shared" ca="1" si="94"/>
        <v>15.641243742273458</v>
      </c>
      <c r="G888" s="1">
        <f t="shared" ca="1" si="97"/>
        <v>11.66446980843315</v>
      </c>
      <c r="H888" s="1">
        <f t="shared" ca="1" si="95"/>
        <v>4.5629639676631921</v>
      </c>
    </row>
    <row r="889" spans="1:8">
      <c r="A889">
        <v>845</v>
      </c>
      <c r="B889">
        <f t="shared" ca="1" si="92"/>
        <v>0.5669886144894084</v>
      </c>
      <c r="C889" s="1">
        <f t="shared" ca="1" si="93"/>
        <v>44.595366658736538</v>
      </c>
      <c r="D889" s="1">
        <f t="shared" ca="1" si="98"/>
        <v>143.4384979952512</v>
      </c>
      <c r="E889" s="1">
        <f t="shared" ca="1" si="96"/>
        <v>171.96903088820875</v>
      </c>
      <c r="F889" s="1">
        <f t="shared" ca="1" si="94"/>
        <v>9.202179091394699</v>
      </c>
      <c r="G889" s="1">
        <f t="shared" ca="1" si="97"/>
        <v>6.8625333332378817</v>
      </c>
      <c r="H889" s="1">
        <f t="shared" ca="1" si="95"/>
        <v>2.6845216349871719</v>
      </c>
    </row>
    <row r="890" spans="1:8">
      <c r="A890">
        <v>846</v>
      </c>
      <c r="B890">
        <f t="shared" ca="1" si="92"/>
        <v>0.1679914629046525</v>
      </c>
      <c r="C890" s="1">
        <f t="shared" ca="1" si="93"/>
        <v>85.687635536980437</v>
      </c>
      <c r="D890" s="1">
        <f t="shared" ca="1" si="98"/>
        <v>275.60949869594646</v>
      </c>
      <c r="E890" s="1">
        <f t="shared" ca="1" si="96"/>
        <v>330.42941274238603</v>
      </c>
      <c r="F890" s="1">
        <f t="shared" ca="1" si="94"/>
        <v>17.681492519927996</v>
      </c>
      <c r="G890" s="1">
        <f t="shared" ca="1" si="97"/>
        <v>13.185986605528027</v>
      </c>
      <c r="H890" s="1">
        <f t="shared" ca="1" si="95"/>
        <v>5.1581575060001237</v>
      </c>
    </row>
    <row r="891" spans="1:8">
      <c r="A891">
        <v>847</v>
      </c>
      <c r="B891">
        <f t="shared" ca="1" si="92"/>
        <v>0.87593414728150809</v>
      </c>
      <c r="C891" s="1">
        <f t="shared" ca="1" si="93"/>
        <v>12.777412942020547</v>
      </c>
      <c r="D891" s="1">
        <f t="shared" ca="1" si="98"/>
        <v>41.097816942877046</v>
      </c>
      <c r="E891" s="1">
        <f t="shared" ca="1" si="96"/>
        <v>49.272347706551784</v>
      </c>
      <c r="F891" s="1">
        <f t="shared" ca="1" si="94"/>
        <v>2.6366033861933218</v>
      </c>
      <c r="G891" s="1">
        <f t="shared" ca="1" si="97"/>
        <v>1.9662511604599242</v>
      </c>
      <c r="H891" s="1">
        <f t="shared" ca="1" si="95"/>
        <v>0.76917274322595119</v>
      </c>
    </row>
    <row r="892" spans="1:8">
      <c r="A892">
        <v>848</v>
      </c>
      <c r="B892">
        <f t="shared" ca="1" si="92"/>
        <v>0.96588557276893838</v>
      </c>
      <c r="C892" s="1">
        <f t="shared" ca="1" si="93"/>
        <v>3.5134165765587113</v>
      </c>
      <c r="D892" s="1">
        <f t="shared" ca="1" si="98"/>
        <v>11.300687129026244</v>
      </c>
      <c r="E892" s="1">
        <f t="shared" ca="1" si="96"/>
        <v>13.548440469489833</v>
      </c>
      <c r="F892" s="1">
        <f t="shared" ca="1" si="94"/>
        <v>0.72499492728115555</v>
      </c>
      <c r="G892" s="1">
        <f t="shared" ca="1" si="97"/>
        <v>0.54066796121538552</v>
      </c>
      <c r="H892" s="1">
        <f t="shared" ca="1" si="95"/>
        <v>0.21150692568642171</v>
      </c>
    </row>
    <row r="893" spans="1:8">
      <c r="A893">
        <v>849</v>
      </c>
      <c r="B893">
        <f t="shared" ca="1" si="92"/>
        <v>0.10543162748550527</v>
      </c>
      <c r="C893" s="1">
        <f t="shared" ca="1" si="93"/>
        <v>92.130602780760881</v>
      </c>
      <c r="D893" s="1">
        <f t="shared" ca="1" si="98"/>
        <v>296.33294501173566</v>
      </c>
      <c r="E893" s="1">
        <f t="shared" ca="1" si="96"/>
        <v>355.27484176331666</v>
      </c>
      <c r="F893" s="1">
        <f t="shared" ca="1" si="94"/>
        <v>19.010986854535361</v>
      </c>
      <c r="G893" s="1">
        <f t="shared" ca="1" si="97"/>
        <v>14.177457833891186</v>
      </c>
      <c r="H893" s="1">
        <f t="shared" ca="1" si="95"/>
        <v>5.5460055203601888</v>
      </c>
    </row>
    <row r="894" spans="1:8">
      <c r="A894">
        <v>850</v>
      </c>
      <c r="B894">
        <f t="shared" ca="1" si="92"/>
        <v>0.14232319664192217</v>
      </c>
      <c r="C894" s="1">
        <f t="shared" ca="1" si="93"/>
        <v>88.331181473880221</v>
      </c>
      <c r="D894" s="1">
        <f t="shared" ca="1" si="98"/>
        <v>284.1123173870626</v>
      </c>
      <c r="E894" s="1">
        <f t="shared" ca="1" si="96"/>
        <v>340.62347868338793</v>
      </c>
      <c r="F894" s="1">
        <f t="shared" ca="1" si="94"/>
        <v>18.226983318406802</v>
      </c>
      <c r="G894" s="1">
        <f t="shared" ca="1" si="97"/>
        <v>13.592786708356826</v>
      </c>
      <c r="H894" s="1">
        <f t="shared" ca="1" si="95"/>
        <v>5.3172913342041923</v>
      </c>
    </row>
    <row r="895" spans="1:8">
      <c r="A895">
        <v>851</v>
      </c>
      <c r="B895">
        <f t="shared" ca="1" si="92"/>
        <v>0.55773218188318663</v>
      </c>
      <c r="C895" s="1">
        <f t="shared" ca="1" si="93"/>
        <v>45.548676265076949</v>
      </c>
      <c r="D895" s="1">
        <f t="shared" ca="1" si="98"/>
        <v>146.50476539997726</v>
      </c>
      <c r="E895" s="1">
        <f t="shared" ca="1" si="96"/>
        <v>175.64519208275249</v>
      </c>
      <c r="F895" s="1">
        <f t="shared" ca="1" si="94"/>
        <v>9.3988927596164071</v>
      </c>
      <c r="G895" s="1">
        <f t="shared" ca="1" si="97"/>
        <v>7.0092326738749362</v>
      </c>
      <c r="H895" s="1">
        <f t="shared" ca="1" si="95"/>
        <v>2.7419081191799046</v>
      </c>
    </row>
    <row r="896" spans="1:8">
      <c r="A896">
        <v>852</v>
      </c>
      <c r="B896">
        <f t="shared" ca="1" si="92"/>
        <v>0.65433302789234615</v>
      </c>
      <c r="C896" s="1">
        <f t="shared" ca="1" si="93"/>
        <v>35.59986354220969</v>
      </c>
      <c r="D896" s="1">
        <f t="shared" ca="1" si="98"/>
        <v>114.5049618052586</v>
      </c>
      <c r="E896" s="1">
        <f t="shared" ca="1" si="96"/>
        <v>137.28048976533165</v>
      </c>
      <c r="F896" s="1">
        <f t="shared" ca="1" si="94"/>
        <v>7.3459737161601613</v>
      </c>
      <c r="G896" s="1">
        <f t="shared" ca="1" si="97"/>
        <v>5.47826701816434</v>
      </c>
      <c r="H896" s="1">
        <f t="shared" ca="1" si="95"/>
        <v>2.1430183353572354</v>
      </c>
    </row>
    <row r="897" spans="1:8">
      <c r="A897">
        <v>853</v>
      </c>
      <c r="B897">
        <f t="shared" ca="1" si="92"/>
        <v>0.4106689193050207</v>
      </c>
      <c r="C897" s="1">
        <f t="shared" ca="1" si="93"/>
        <v>60.69455664034092</v>
      </c>
      <c r="D897" s="1">
        <f t="shared" ca="1" si="98"/>
        <v>195.22064846847164</v>
      </c>
      <c r="E897" s="1">
        <f t="shared" ca="1" si="96"/>
        <v>234.0508740589234</v>
      </c>
      <c r="F897" s="1">
        <f t="shared" ca="1" si="94"/>
        <v>12.524217069000784</v>
      </c>
      <c r="G897" s="1">
        <f t="shared" ca="1" si="97"/>
        <v>9.3399452248040795</v>
      </c>
      <c r="H897" s="1">
        <f t="shared" ca="1" si="95"/>
        <v>3.6536463613619992</v>
      </c>
    </row>
    <row r="898" spans="1:8">
      <c r="A898">
        <v>854</v>
      </c>
      <c r="B898">
        <f t="shared" ca="1" si="92"/>
        <v>0.2476682835194427</v>
      </c>
      <c r="C898" s="1">
        <f t="shared" ca="1" si="93"/>
        <v>77.481809196961876</v>
      </c>
      <c r="D898" s="1">
        <f t="shared" ca="1" si="98"/>
        <v>249.21591400122065</v>
      </c>
      <c r="E898" s="1">
        <f t="shared" ca="1" si="96"/>
        <v>298.78603040394228</v>
      </c>
      <c r="F898" s="1">
        <f t="shared" ca="1" si="94"/>
        <v>15.988235482131035</v>
      </c>
      <c r="G898" s="1">
        <f t="shared" ca="1" si="97"/>
        <v>11.923239114622081</v>
      </c>
      <c r="H898" s="1">
        <f t="shared" ca="1" si="95"/>
        <v>4.6641904669418448</v>
      </c>
    </row>
    <row r="899" spans="1:8">
      <c r="A899">
        <v>855</v>
      </c>
      <c r="B899">
        <f t="shared" ca="1" si="92"/>
        <v>9.9335582914409248E-2</v>
      </c>
      <c r="C899" s="1">
        <f t="shared" ca="1" si="93"/>
        <v>92.856436479940484</v>
      </c>
      <c r="D899" s="1">
        <f t="shared" ca="1" si="98"/>
        <v>298.64079862427843</v>
      </c>
      <c r="E899" s="1">
        <f t="shared" ca="1" si="96"/>
        <v>358.04087070008461</v>
      </c>
      <c r="F899" s="1">
        <f t="shared" ca="1" si="94"/>
        <v>19.208198872828373</v>
      </c>
      <c r="G899" s="1">
        <f t="shared" ca="1" si="97"/>
        <v>14.290969114293098</v>
      </c>
      <c r="H899" s="1">
        <f t="shared" ca="1" si="95"/>
        <v>5.5885421480284041</v>
      </c>
    </row>
    <row r="900" spans="1:8">
      <c r="A900">
        <v>856</v>
      </c>
      <c r="B900">
        <f t="shared" ca="1" si="92"/>
        <v>0.58018553840267451</v>
      </c>
      <c r="C900" s="1">
        <f t="shared" ca="1" si="93"/>
        <v>43.236230274790543</v>
      </c>
      <c r="D900" s="1">
        <f t="shared" ca="1" si="98"/>
        <v>139.06691129880633</v>
      </c>
      <c r="E900" s="1">
        <f t="shared" ca="1" si="96"/>
        <v>166.72791677425886</v>
      </c>
      <c r="F900" s="1">
        <f t="shared" ca="1" si="94"/>
        <v>8.9217238207025744</v>
      </c>
      <c r="G900" s="1">
        <f t="shared" ca="1" si="97"/>
        <v>6.6533836403840478</v>
      </c>
      <c r="H900" s="1">
        <f t="shared" ca="1" si="95"/>
        <v>2.6027055512150818</v>
      </c>
    </row>
    <row r="901" spans="1:8">
      <c r="A901">
        <v>857</v>
      </c>
      <c r="B901">
        <f t="shared" ca="1" si="92"/>
        <v>0.48859888992394707</v>
      </c>
      <c r="C901" s="1">
        <f t="shared" ca="1" si="93"/>
        <v>52.6686364210425</v>
      </c>
      <c r="D901" s="1">
        <f t="shared" ca="1" si="98"/>
        <v>169.40572181957472</v>
      </c>
      <c r="E901" s="1">
        <f t="shared" ca="1" si="96"/>
        <v>203.1012473432632</v>
      </c>
      <c r="F901" s="1">
        <f t="shared" ca="1" si="94"/>
        <v>10.86808332536452</v>
      </c>
      <c r="G901" s="1">
        <f t="shared" ca="1" si="97"/>
        <v>8.1048824536478143</v>
      </c>
      <c r="H901" s="1">
        <f t="shared" ca="1" si="95"/>
        <v>3.1705091510227592</v>
      </c>
    </row>
    <row r="902" spans="1:8">
      <c r="A902">
        <v>858</v>
      </c>
      <c r="B902">
        <f t="shared" ca="1" si="92"/>
        <v>0.41899675031452055</v>
      </c>
      <c r="C902" s="1">
        <f t="shared" ca="1" si="93"/>
        <v>59.836882670349553</v>
      </c>
      <c r="D902" s="1">
        <f t="shared" ca="1" si="98"/>
        <v>192.4619877767347</v>
      </c>
      <c r="E902" s="1">
        <f t="shared" ca="1" si="96"/>
        <v>230.74350387710371</v>
      </c>
      <c r="F902" s="1">
        <f t="shared" ca="1" si="94"/>
        <v>12.347237636869654</v>
      </c>
      <c r="G902" s="1">
        <f t="shared" ca="1" si="97"/>
        <v>9.2079627030268156</v>
      </c>
      <c r="H902" s="1">
        <f t="shared" ca="1" si="95"/>
        <v>3.602016866186375</v>
      </c>
    </row>
    <row r="903" spans="1:8">
      <c r="A903">
        <v>859</v>
      </c>
      <c r="B903">
        <f t="shared" ca="1" si="92"/>
        <v>0.10100665044463586</v>
      </c>
      <c r="C903" s="1">
        <f t="shared" ca="1" si="93"/>
        <v>92.586326200392449</v>
      </c>
      <c r="D903" s="1">
        <f t="shared" ca="1" si="98"/>
        <v>297.79875408141538</v>
      </c>
      <c r="E903" s="1">
        <f t="shared" ca="1" si="96"/>
        <v>357.03220656857189</v>
      </c>
      <c r="F903" s="1">
        <f t="shared" ca="1" si="94"/>
        <v>19.105024536495165</v>
      </c>
      <c r="G903" s="1">
        <f t="shared" ca="1" si="97"/>
        <v>14.247586493802059</v>
      </c>
      <c r="H903" s="1">
        <f t="shared" ca="1" si="95"/>
        <v>5.573438753638241</v>
      </c>
    </row>
    <row r="904" spans="1:8">
      <c r="A904">
        <v>860</v>
      </c>
      <c r="B904">
        <f t="shared" ca="1" si="92"/>
        <v>6.6913402951598422E-2</v>
      </c>
      <c r="C904" s="1">
        <f t="shared" ca="1" si="93"/>
        <v>100.97819256062459</v>
      </c>
      <c r="D904" s="1">
        <f t="shared" ca="1" si="98"/>
        <v>323.45862300650242</v>
      </c>
      <c r="E904" s="1">
        <f t="shared" ca="1" si="96"/>
        <v>387.75277420894531</v>
      </c>
      <c r="F904" s="1">
        <f t="shared" ca="1" si="94"/>
        <v>23.198964053814894</v>
      </c>
      <c r="G904" s="1">
        <f t="shared" ca="1" si="97"/>
        <v>15.629440516335091</v>
      </c>
      <c r="H904" s="1">
        <f t="shared" ca="1" si="95"/>
        <v>6.0210153439442369</v>
      </c>
    </row>
    <row r="905" spans="1:8">
      <c r="A905">
        <v>861</v>
      </c>
      <c r="B905">
        <f t="shared" ca="1" si="92"/>
        <v>0.4349293375556913</v>
      </c>
      <c r="C905" s="1">
        <f t="shared" ca="1" si="93"/>
        <v>58.196003390284837</v>
      </c>
      <c r="D905" s="1">
        <f t="shared" ca="1" si="98"/>
        <v>187.18419070211235</v>
      </c>
      <c r="E905" s="1">
        <f t="shared" ca="1" si="96"/>
        <v>224.41593023871243</v>
      </c>
      <c r="F905" s="1">
        <f t="shared" ca="1" si="94"/>
        <v>12.008645242390768</v>
      </c>
      <c r="G905" s="1">
        <f t="shared" ca="1" si="97"/>
        <v>8.9554572138871809</v>
      </c>
      <c r="H905" s="1">
        <f t="shared" ca="1" si="95"/>
        <v>3.5032406740224284</v>
      </c>
    </row>
    <row r="906" spans="1:8">
      <c r="A906">
        <v>862</v>
      </c>
      <c r="B906">
        <f t="shared" ca="1" si="92"/>
        <v>0.9022232217838182</v>
      </c>
      <c r="C906" s="1">
        <f t="shared" ca="1" si="93"/>
        <v>10.069930661211245</v>
      </c>
      <c r="D906" s="1">
        <f t="shared" ca="1" si="98"/>
        <v>32.389350552416204</v>
      </c>
      <c r="E906" s="1">
        <f t="shared" ca="1" si="96"/>
        <v>38.831729853308616</v>
      </c>
      <c r="F906" s="1">
        <f t="shared" ca="1" si="94"/>
        <v>2.0779194417947906</v>
      </c>
      <c r="G906" s="1">
        <f t="shared" ca="1" si="97"/>
        <v>1.5496122608416147</v>
      </c>
      <c r="H906" s="1">
        <f t="shared" ca="1" si="95"/>
        <v>0.60619013183045922</v>
      </c>
    </row>
    <row r="907" spans="1:8">
      <c r="A907">
        <v>863</v>
      </c>
      <c r="B907">
        <f t="shared" ca="1" si="92"/>
        <v>0.31306987795386831</v>
      </c>
      <c r="C907" s="1">
        <f t="shared" ca="1" si="93"/>
        <v>70.746172381283031</v>
      </c>
      <c r="D907" s="1">
        <f t="shared" ca="1" si="98"/>
        <v>227.55111226144473</v>
      </c>
      <c r="E907" s="1">
        <f t="shared" ca="1" si="96"/>
        <v>272.81200631181872</v>
      </c>
      <c r="F907" s="1">
        <f t="shared" ca="1" si="94"/>
        <v>14.598349324466291</v>
      </c>
      <c r="G907" s="1">
        <f t="shared" ca="1" si="97"/>
        <v>10.886730646587289</v>
      </c>
      <c r="H907" s="1">
        <f t="shared" ca="1" si="95"/>
        <v>4.2587245898751238</v>
      </c>
    </row>
    <row r="908" spans="1:8">
      <c r="A908">
        <v>864</v>
      </c>
      <c r="B908">
        <f t="shared" ca="1" si="92"/>
        <v>0.11866302124800043</v>
      </c>
      <c r="C908" s="1">
        <f t="shared" ca="1" si="93"/>
        <v>90.767916385725613</v>
      </c>
      <c r="D908" s="1">
        <f t="shared" ca="1" si="98"/>
        <v>291.94993990177954</v>
      </c>
      <c r="E908" s="1">
        <f t="shared" ca="1" si="96"/>
        <v>350.02003806424165</v>
      </c>
      <c r="F908" s="1">
        <f t="shared" ca="1" si="94"/>
        <v>18.729799045642682</v>
      </c>
      <c r="G908" s="1">
        <f t="shared" ca="1" si="97"/>
        <v>13.967761850217888</v>
      </c>
      <c r="H908" s="1">
        <f t="shared" ca="1" si="95"/>
        <v>5.4639757361764971</v>
      </c>
    </row>
    <row r="909" spans="1:8">
      <c r="A909">
        <v>865</v>
      </c>
      <c r="B909">
        <f t="shared" ca="1" si="92"/>
        <v>0.98346743482549992</v>
      </c>
      <c r="C909" s="1">
        <f t="shared" ca="1" si="93"/>
        <v>1.7026803341097434</v>
      </c>
      <c r="D909" s="1">
        <f t="shared" ca="1" si="98"/>
        <v>5.4765545682611219</v>
      </c>
      <c r="E909" s="1">
        <f t="shared" ca="1" si="96"/>
        <v>6.5658628643000725</v>
      </c>
      <c r="F909" s="1">
        <f t="shared" ca="1" si="94"/>
        <v>0.35135286381606079</v>
      </c>
      <c r="G909" s="1">
        <f t="shared" ca="1" si="97"/>
        <v>0.26202415959190262</v>
      </c>
      <c r="H909" s="1">
        <f t="shared" ca="1" si="95"/>
        <v>0.10250583510326372</v>
      </c>
    </row>
    <row r="910" spans="1:8">
      <c r="A910">
        <v>866</v>
      </c>
      <c r="B910">
        <f t="shared" ca="1" si="92"/>
        <v>0.45013284563906164</v>
      </c>
      <c r="C910" s="1">
        <f t="shared" ca="1" si="93"/>
        <v>56.630211154493146</v>
      </c>
      <c r="D910" s="1">
        <f t="shared" ca="1" si="98"/>
        <v>182.14790693527621</v>
      </c>
      <c r="E910" s="1">
        <f t="shared" ca="1" si="96"/>
        <v>218.37790794495635</v>
      </c>
      <c r="F910" s="1">
        <f t="shared" ca="1" si="94"/>
        <v>11.685546920159382</v>
      </c>
      <c r="G910" s="1">
        <f t="shared" ca="1" si="97"/>
        <v>8.7145064387795657</v>
      </c>
      <c r="H910" s="1">
        <f t="shared" ca="1" si="95"/>
        <v>3.4089845049974437</v>
      </c>
    </row>
    <row r="911" spans="1:8">
      <c r="A911">
        <v>867</v>
      </c>
      <c r="B911">
        <f t="shared" ca="1" si="92"/>
        <v>0.11236816520329496</v>
      </c>
      <c r="C911" s="1">
        <f t="shared" ca="1" si="93"/>
        <v>91.416216545542497</v>
      </c>
      <c r="D911" s="1">
        <f t="shared" ca="1" si="98"/>
        <v>294.03516136110818</v>
      </c>
      <c r="E911" s="1">
        <f t="shared" ca="1" si="96"/>
        <v>352.52001905057011</v>
      </c>
      <c r="F911" s="1">
        <f t="shared" ca="1" si="94"/>
        <v>18.863574580577087</v>
      </c>
      <c r="G911" s="1">
        <f t="shared" ca="1" si="97"/>
        <v>14.067525038742888</v>
      </c>
      <c r="H911" s="1">
        <f t="shared" ca="1" si="95"/>
        <v>5.503001532860007</v>
      </c>
    </row>
    <row r="912" spans="1:8">
      <c r="A912">
        <v>868</v>
      </c>
      <c r="B912">
        <f t="shared" ca="1" si="92"/>
        <v>0.88787575299769661</v>
      </c>
      <c r="C912" s="1">
        <f t="shared" ca="1" si="93"/>
        <v>11.547560370445595</v>
      </c>
      <c r="D912" s="1">
        <f t="shared" ca="1" si="98"/>
        <v>37.142064448873327</v>
      </c>
      <c r="E912" s="1">
        <f t="shared" ca="1" si="96"/>
        <v>44.529779008445928</v>
      </c>
      <c r="F912" s="1">
        <f t="shared" ca="1" si="94"/>
        <v>2.3828255902733488</v>
      </c>
      <c r="G912" s="1">
        <f t="shared" ca="1" si="97"/>
        <v>1.7769962110385862</v>
      </c>
      <c r="H912" s="1">
        <f t="shared" ca="1" si="95"/>
        <v>0.69513917145800175</v>
      </c>
    </row>
    <row r="913" spans="1:8">
      <c r="A913">
        <v>869</v>
      </c>
      <c r="B913">
        <f t="shared" ca="1" si="92"/>
        <v>0.26713140478331177</v>
      </c>
      <c r="C913" s="1">
        <f t="shared" ca="1" si="93"/>
        <v>75.477324179943196</v>
      </c>
      <c r="D913" s="1">
        <f t="shared" ca="1" si="98"/>
        <v>242.76859926730054</v>
      </c>
      <c r="E913" s="1">
        <f t="shared" ca="1" si="96"/>
        <v>291.0563170080016</v>
      </c>
      <c r="F913" s="1">
        <f t="shared" ca="1" si="94"/>
        <v>15.574613718571051</v>
      </c>
      <c r="G913" s="1">
        <f t="shared" ca="1" si="97"/>
        <v>11.614780426743831</v>
      </c>
      <c r="H913" s="1">
        <f t="shared" ca="1" si="95"/>
        <v>4.5435262598692923</v>
      </c>
    </row>
    <row r="914" spans="1:8">
      <c r="A914">
        <v>870</v>
      </c>
      <c r="B914">
        <f t="shared" ca="1" si="92"/>
        <v>0.18512921380712133</v>
      </c>
      <c r="C914" s="1">
        <f t="shared" ca="1" si="93"/>
        <v>83.922637803900074</v>
      </c>
      <c r="D914" s="1">
        <f t="shared" ca="1" si="98"/>
        <v>269.93248151038046</v>
      </c>
      <c r="E914" s="1">
        <f t="shared" ca="1" si="96"/>
        <v>323.62321239398551</v>
      </c>
      <c r="F914" s="1">
        <f t="shared" ca="1" si="94"/>
        <v>17.317288512994644</v>
      </c>
      <c r="G914" s="1">
        <f t="shared" ca="1" si="97"/>
        <v>12.914381240443385</v>
      </c>
      <c r="H914" s="1">
        <f t="shared" ca="1" si="95"/>
        <v>5.0519097415425218</v>
      </c>
    </row>
    <row r="915" spans="1:8">
      <c r="A915">
        <v>871</v>
      </c>
      <c r="B915">
        <f t="shared" ca="1" si="92"/>
        <v>5.1272144314640666E-2</v>
      </c>
      <c r="C915" s="1">
        <f t="shared" ca="1" si="93"/>
        <v>104.89632784918251</v>
      </c>
      <c r="D915" s="1">
        <f t="shared" ca="1" si="98"/>
        <v>335.4313531071378</v>
      </c>
      <c r="E915" s="1">
        <f t="shared" ca="1" si="96"/>
        <v>402.08652869157061</v>
      </c>
      <c r="F915" s="1">
        <f t="shared" ca="1" si="94"/>
        <v>25.12420752685631</v>
      </c>
      <c r="G915" s="1">
        <f t="shared" ca="1" si="97"/>
        <v>16.275152106410889</v>
      </c>
      <c r="H915" s="1">
        <f t="shared" ca="1" si="95"/>
        <v>6.2296510716661313</v>
      </c>
    </row>
    <row r="916" spans="1:8">
      <c r="A916">
        <v>872</v>
      </c>
      <c r="B916">
        <f t="shared" ca="1" si="92"/>
        <v>0.62314285573673012</v>
      </c>
      <c r="C916" s="1">
        <f t="shared" ca="1" si="93"/>
        <v>38.812104370212275</v>
      </c>
      <c r="D916" s="1">
        <f t="shared" ca="1" si="98"/>
        <v>124.83695602993174</v>
      </c>
      <c r="E916" s="1">
        <f t="shared" ca="1" si="96"/>
        <v>149.66756212974821</v>
      </c>
      <c r="F916" s="1">
        <f t="shared" ca="1" si="94"/>
        <v>8.0088136500968847</v>
      </c>
      <c r="G916" s="1">
        <f t="shared" ca="1" si="97"/>
        <v>5.9725803118742249</v>
      </c>
      <c r="H916" s="1">
        <f t="shared" ca="1" si="95"/>
        <v>2.336385953047639</v>
      </c>
    </row>
    <row r="917" spans="1:8">
      <c r="A917">
        <v>873</v>
      </c>
      <c r="B917">
        <f t="shared" ca="1" si="92"/>
        <v>0.44314081878014144</v>
      </c>
      <c r="C917" s="1">
        <f t="shared" ca="1" si="93"/>
        <v>57.350312154085422</v>
      </c>
      <c r="D917" s="1">
        <f t="shared" ca="1" si="98"/>
        <v>184.46407180813071</v>
      </c>
      <c r="E917" s="1">
        <f t="shared" ca="1" si="96"/>
        <v>221.15476798417848</v>
      </c>
      <c r="F917" s="1">
        <f t="shared" ca="1" si="94"/>
        <v>11.834138425141376</v>
      </c>
      <c r="G917" s="1">
        <f t="shared" ca="1" si="97"/>
        <v>8.8253186461985145</v>
      </c>
      <c r="H917" s="1">
        <f t="shared" ca="1" si="95"/>
        <v>3.4523325048029934</v>
      </c>
    </row>
    <row r="918" spans="1:8">
      <c r="A918">
        <v>874</v>
      </c>
      <c r="B918">
        <f t="shared" ca="1" si="92"/>
        <v>0.44255582339090627</v>
      </c>
      <c r="C918" s="1">
        <f t="shared" ca="1" si="93"/>
        <v>57.410560172727926</v>
      </c>
      <c r="D918" s="1">
        <f t="shared" ca="1" si="98"/>
        <v>184.65785621409304</v>
      </c>
      <c r="E918" s="1">
        <f t="shared" ca="1" si="96"/>
        <v>221.38709694290148</v>
      </c>
      <c r="F918" s="1">
        <f t="shared" ca="1" si="94"/>
        <v>11.84657049198664</v>
      </c>
      <c r="G918" s="1">
        <f t="shared" ca="1" si="97"/>
        <v>8.8345898677940582</v>
      </c>
      <c r="H918" s="1">
        <f t="shared" ca="1" si="95"/>
        <v>3.4559592614689039</v>
      </c>
    </row>
    <row r="919" spans="1:8">
      <c r="A919">
        <v>875</v>
      </c>
      <c r="B919">
        <f t="shared" ca="1" si="92"/>
        <v>0.72115695114801481</v>
      </c>
      <c r="C919" s="1">
        <f t="shared" ca="1" si="93"/>
        <v>28.717742677400025</v>
      </c>
      <c r="D919" s="1">
        <f t="shared" ca="1" si="98"/>
        <v>92.369002256755323</v>
      </c>
      <c r="E919" s="1">
        <f t="shared" ca="1" si="96"/>
        <v>110.74159254757004</v>
      </c>
      <c r="F919" s="1">
        <f t="shared" ca="1" si="94"/>
        <v>5.9258608467861897</v>
      </c>
      <c r="G919" s="1">
        <f t="shared" ca="1" si="97"/>
        <v>4.4192169610399024</v>
      </c>
      <c r="H919" s="1">
        <f t="shared" ca="1" si="95"/>
        <v>1.728734541724875</v>
      </c>
    </row>
    <row r="920" spans="1:8">
      <c r="A920">
        <v>876</v>
      </c>
      <c r="B920">
        <f t="shared" ca="1" si="92"/>
        <v>0.91589760607537041</v>
      </c>
      <c r="C920" s="1">
        <f t="shared" ca="1" si="93"/>
        <v>8.6616211687222062</v>
      </c>
      <c r="D920" s="1">
        <f t="shared" ca="1" si="98"/>
        <v>27.859601283275367</v>
      </c>
      <c r="E920" s="1">
        <f t="shared" ca="1" si="96"/>
        <v>33.400993949922508</v>
      </c>
      <c r="F920" s="1">
        <f t="shared" ca="1" si="94"/>
        <v>1.7873173914048301</v>
      </c>
      <c r="G920" s="1">
        <f t="shared" ca="1" si="97"/>
        <v>1.3328956007062587</v>
      </c>
      <c r="H920" s="1">
        <f t="shared" ca="1" si="95"/>
        <v>0.52141396898506098</v>
      </c>
    </row>
    <row r="921" spans="1:8">
      <c r="A921">
        <v>877</v>
      </c>
      <c r="B921">
        <f t="shared" ca="1" si="92"/>
        <v>7.2049339049142791E-3</v>
      </c>
      <c r="C921" s="1">
        <f t="shared" ca="1" si="93"/>
        <v>151.75519508401737</v>
      </c>
      <c r="D921" s="1">
        <f t="shared" ca="1" si="98"/>
        <v>482.22707414515901</v>
      </c>
      <c r="E921" s="1">
        <f t="shared" ca="1" si="96"/>
        <v>578.05169809980089</v>
      </c>
      <c r="F921" s="1">
        <f t="shared" ca="1" si="94"/>
        <v>31.297773081419503</v>
      </c>
      <c r="G921" s="1">
        <f t="shared" ca="1" si="97"/>
        <v>21.650434013418629</v>
      </c>
      <c r="H921" s="1">
        <f t="shared" ca="1" si="95"/>
        <v>8.1102494062988804</v>
      </c>
    </row>
    <row r="922" spans="1:8">
      <c r="A922">
        <v>878</v>
      </c>
      <c r="B922">
        <f t="shared" ca="1" si="92"/>
        <v>0.18535060342028131</v>
      </c>
      <c r="C922" s="1">
        <f t="shared" ca="1" si="93"/>
        <v>83.899837136089062</v>
      </c>
      <c r="D922" s="1">
        <f t="shared" ca="1" si="98"/>
        <v>269.8591444286497</v>
      </c>
      <c r="E922" s="1">
        <f t="shared" ca="1" si="96"/>
        <v>323.53528825091695</v>
      </c>
      <c r="F922" s="1">
        <f t="shared" ca="1" si="94"/>
        <v>17.312583637502804</v>
      </c>
      <c r="G922" s="1">
        <f t="shared" ca="1" si="97"/>
        <v>12.910872576614015</v>
      </c>
      <c r="H922" s="1">
        <f t="shared" ca="1" si="95"/>
        <v>5.0505372072113683</v>
      </c>
    </row>
    <row r="923" spans="1:8">
      <c r="A923">
        <v>879</v>
      </c>
      <c r="B923">
        <f t="shared" ca="1" si="92"/>
        <v>0.92257405074914056</v>
      </c>
      <c r="C923" s="1">
        <f t="shared" ca="1" si="93"/>
        <v>7.9740216242252018</v>
      </c>
      <c r="D923" s="1">
        <f t="shared" ca="1" si="98"/>
        <v>25.64797553569764</v>
      </c>
      <c r="E923" s="1">
        <f t="shared" ca="1" si="96"/>
        <v>30.749466318128952</v>
      </c>
      <c r="F923" s="1">
        <f t="shared" ca="1" si="94"/>
        <v>1.645432501369136</v>
      </c>
      <c r="G923" s="1">
        <f t="shared" ca="1" si="97"/>
        <v>1.2270848555620102</v>
      </c>
      <c r="H923" s="1">
        <f t="shared" ca="1" si="95"/>
        <v>0.48002246287962613</v>
      </c>
    </row>
    <row r="924" spans="1:8">
      <c r="A924">
        <v>880</v>
      </c>
      <c r="B924">
        <f t="shared" ca="1" si="92"/>
        <v>0.62935808085466904</v>
      </c>
      <c r="C924" s="1">
        <f t="shared" ca="1" si="93"/>
        <v>38.172005310179486</v>
      </c>
      <c r="D924" s="1">
        <f t="shared" ca="1" si="98"/>
        <v>122.77811295259315</v>
      </c>
      <c r="E924" s="1">
        <f t="shared" ca="1" si="96"/>
        <v>147.19920629917013</v>
      </c>
      <c r="F924" s="1">
        <f t="shared" ca="1" si="94"/>
        <v>7.8767303968842306</v>
      </c>
      <c r="G924" s="1">
        <f t="shared" ca="1" si="97"/>
        <v>5.8740791434975819</v>
      </c>
      <c r="H924" s="1">
        <f t="shared" ca="1" si="95"/>
        <v>2.2978538388781757</v>
      </c>
    </row>
    <row r="925" spans="1:8">
      <c r="A925">
        <v>881</v>
      </c>
      <c r="B925">
        <f t="shared" ca="1" si="92"/>
        <v>0.42176512015096446</v>
      </c>
      <c r="C925" s="1">
        <f t="shared" ca="1" si="93"/>
        <v>59.55177136762034</v>
      </c>
      <c r="D925" s="1">
        <f t="shared" ca="1" si="98"/>
        <v>191.54494310576618</v>
      </c>
      <c r="E925" s="1">
        <f t="shared" ca="1" si="96"/>
        <v>229.64405507238388</v>
      </c>
      <c r="F925" s="1">
        <f t="shared" ca="1" si="94"/>
        <v>12.288405448629536</v>
      </c>
      <c r="G925" s="1">
        <f t="shared" ca="1" si="97"/>
        <v>9.1640885619918713</v>
      </c>
      <c r="H925" s="1">
        <f t="shared" ca="1" si="95"/>
        <v>3.5848539894478848</v>
      </c>
    </row>
    <row r="926" spans="1:8">
      <c r="A926">
        <v>882</v>
      </c>
      <c r="B926">
        <f t="shared" ca="1" si="92"/>
        <v>3.4568168029798674E-2</v>
      </c>
      <c r="C926" s="1">
        <f t="shared" ca="1" si="93"/>
        <v>115.11815514341421</v>
      </c>
      <c r="D926" s="1">
        <f t="shared" ca="1" si="98"/>
        <v>367.16000771916447</v>
      </c>
      <c r="E926" s="1">
        <f t="shared" ca="1" si="96"/>
        <v>440.10679235021314</v>
      </c>
      <c r="F926" s="1">
        <f t="shared" ca="1" si="94"/>
        <v>27.252321690335254</v>
      </c>
      <c r="G926" s="1">
        <f t="shared" ca="1" si="97"/>
        <v>17.543686920957651</v>
      </c>
      <c r="H926" s="1">
        <f t="shared" ca="1" si="95"/>
        <v>6.6618011467216141</v>
      </c>
    </row>
    <row r="927" spans="1:8">
      <c r="A927">
        <v>883</v>
      </c>
      <c r="B927">
        <f t="shared" ca="1" si="92"/>
        <v>0.7077505848667307</v>
      </c>
      <c r="C927" s="1">
        <f t="shared" ca="1" si="93"/>
        <v>30.098449295787319</v>
      </c>
      <c r="D927" s="1">
        <f t="shared" ca="1" si="98"/>
        <v>96.809968414331962</v>
      </c>
      <c r="E927" s="1">
        <f t="shared" ca="1" si="96"/>
        <v>116.06588599621131</v>
      </c>
      <c r="F927" s="1">
        <f t="shared" ca="1" si="94"/>
        <v>6.2107670953276166</v>
      </c>
      <c r="G927" s="1">
        <f t="shared" ca="1" si="97"/>
        <v>4.6316859733979978</v>
      </c>
      <c r="H927" s="1">
        <f t="shared" ca="1" si="95"/>
        <v>1.81184909129398</v>
      </c>
    </row>
    <row r="928" spans="1:8">
      <c r="A928">
        <v>884</v>
      </c>
      <c r="B928">
        <f t="shared" ca="1" si="92"/>
        <v>0.1581309922151598</v>
      </c>
      <c r="C928" s="1">
        <f t="shared" ca="1" si="93"/>
        <v>86.70315434765196</v>
      </c>
      <c r="D928" s="1">
        <f t="shared" ca="1" si="98"/>
        <v>278.87585855148365</v>
      </c>
      <c r="E928" s="1">
        <f t="shared" ca="1" si="96"/>
        <v>334.34546563778378</v>
      </c>
      <c r="F928" s="1">
        <f t="shared" ca="1" si="94"/>
        <v>17.891042942022459</v>
      </c>
      <c r="G928" s="1">
        <f t="shared" ca="1" si="97"/>
        <v>13.342258963363516</v>
      </c>
      <c r="H928" s="1">
        <f t="shared" ca="1" si="95"/>
        <v>5.2192888045713612</v>
      </c>
    </row>
    <row r="929" spans="1:8">
      <c r="A929">
        <v>885</v>
      </c>
      <c r="B929">
        <f t="shared" ca="1" si="92"/>
        <v>0.64092890573425876</v>
      </c>
      <c r="C929" s="1">
        <f t="shared" ca="1" si="93"/>
        <v>36.980339040867356</v>
      </c>
      <c r="D929" s="1">
        <f t="shared" ca="1" si="98"/>
        <v>118.94518457906062</v>
      </c>
      <c r="E929" s="1">
        <f t="shared" ca="1" si="96"/>
        <v>142.60389196796461</v>
      </c>
      <c r="F929" s="1">
        <f t="shared" ca="1" si="94"/>
        <v>7.6308322735742689</v>
      </c>
      <c r="G929" s="1">
        <f t="shared" ca="1" si="97"/>
        <v>5.6907004648345207</v>
      </c>
      <c r="H929" s="1">
        <f t="shared" ca="1" si="95"/>
        <v>2.2261189721863213</v>
      </c>
    </row>
    <row r="930" spans="1:8">
      <c r="A930">
        <v>886</v>
      </c>
      <c r="B930">
        <f t="shared" ca="1" si="92"/>
        <v>0.46762215156693021</v>
      </c>
      <c r="C930" s="1">
        <f t="shared" ca="1" si="93"/>
        <v>54.829007163869733</v>
      </c>
      <c r="D930" s="1">
        <f t="shared" ca="1" si="98"/>
        <v>176.35443433311414</v>
      </c>
      <c r="E930" s="1">
        <f t="shared" ca="1" si="96"/>
        <v>211.43208869615432</v>
      </c>
      <c r="F930" s="1">
        <f t="shared" ca="1" si="94"/>
        <v>11.313871819169592</v>
      </c>
      <c r="G930" s="1">
        <f t="shared" ca="1" si="97"/>
        <v>8.437329500647536</v>
      </c>
      <c r="H930" s="1">
        <f t="shared" ca="1" si="95"/>
        <v>3.3005572284355322</v>
      </c>
    </row>
    <row r="931" spans="1:8">
      <c r="A931">
        <v>887</v>
      </c>
      <c r="B931">
        <f t="shared" ca="1" si="92"/>
        <v>0.26635068538475648</v>
      </c>
      <c r="C931" s="1">
        <f t="shared" ca="1" si="93"/>
        <v>75.557729594659747</v>
      </c>
      <c r="D931" s="1">
        <f t="shared" ca="1" si="98"/>
        <v>243.02721881825133</v>
      </c>
      <c r="E931" s="1">
        <f t="shared" ca="1" si="96"/>
        <v>291.36637710122449</v>
      </c>
      <c r="F931" s="1">
        <f t="shared" ca="1" si="94"/>
        <v>15.591205226690327</v>
      </c>
      <c r="G931" s="1">
        <f t="shared" ca="1" si="97"/>
        <v>11.627153554260975</v>
      </c>
      <c r="H931" s="1">
        <f t="shared" ca="1" si="95"/>
        <v>4.5483664335441958</v>
      </c>
    </row>
    <row r="932" spans="1:8">
      <c r="A932">
        <v>888</v>
      </c>
      <c r="B932">
        <f t="shared" ca="1" si="92"/>
        <v>0.20900717202517172</v>
      </c>
      <c r="C932" s="1">
        <f t="shared" ca="1" si="93"/>
        <v>81.463473683398391</v>
      </c>
      <c r="D932" s="1">
        <f t="shared" ca="1" si="98"/>
        <v>262.02271669167419</v>
      </c>
      <c r="E932" s="1">
        <f t="shared" ca="1" si="96"/>
        <v>314.14016129424198</v>
      </c>
      <c r="F932" s="1">
        <f t="shared" ca="1" si="94"/>
        <v>16.809844560174184</v>
      </c>
      <c r="G932" s="1">
        <f t="shared" ca="1" si="97"/>
        <v>12.53595459646905</v>
      </c>
      <c r="H932" s="1">
        <f t="shared" ca="1" si="95"/>
        <v>4.9038751660070341</v>
      </c>
    </row>
    <row r="933" spans="1:8">
      <c r="A933">
        <v>889</v>
      </c>
      <c r="B933">
        <f t="shared" ca="1" si="92"/>
        <v>0.72995370382149338</v>
      </c>
      <c r="C933" s="1">
        <f t="shared" ca="1" si="93"/>
        <v>27.811774991469804</v>
      </c>
      <c r="D933" s="1">
        <f t="shared" ca="1" si="98"/>
        <v>89.455007509794825</v>
      </c>
      <c r="E933" s="1">
        <f t="shared" ca="1" si="96"/>
        <v>107.24799169809114</v>
      </c>
      <c r="F933" s="1">
        <f t="shared" ca="1" si="94"/>
        <v>5.7389160959892198</v>
      </c>
      <c r="G933" s="1">
        <f t="shared" ca="1" si="97"/>
        <v>4.2798027966587835</v>
      </c>
      <c r="H933" s="1">
        <f t="shared" ca="1" si="95"/>
        <v>1.6741979043701507</v>
      </c>
    </row>
    <row r="934" spans="1:8">
      <c r="A934">
        <v>890</v>
      </c>
      <c r="B934">
        <f t="shared" ca="1" si="92"/>
        <v>0.90698754782333646</v>
      </c>
      <c r="C934" s="1">
        <f t="shared" ca="1" si="93"/>
        <v>9.5792580690338127</v>
      </c>
      <c r="D934" s="1">
        <f t="shared" ca="1" si="98"/>
        <v>30.811129410219053</v>
      </c>
      <c r="E934" s="1">
        <f t="shared" ca="1" si="96"/>
        <v>36.93959373027792</v>
      </c>
      <c r="F934" s="1">
        <f t="shared" ca="1" si="94"/>
        <v>1.9766700629349607</v>
      </c>
      <c r="G934" s="1">
        <f t="shared" ca="1" si="97"/>
        <v>1.4741054734743653</v>
      </c>
      <c r="H934" s="1">
        <f t="shared" ca="1" si="95"/>
        <v>0.5766530593332142</v>
      </c>
    </row>
    <row r="935" spans="1:8">
      <c r="A935">
        <v>891</v>
      </c>
      <c r="B935">
        <f t="shared" ca="1" si="92"/>
        <v>2.9425270628566924E-2</v>
      </c>
      <c r="C935" s="1">
        <f t="shared" ca="1" si="93"/>
        <v>122.12278140389185</v>
      </c>
      <c r="D935" s="1">
        <f t="shared" ca="1" si="98"/>
        <v>389.03153622259418</v>
      </c>
      <c r="E935" s="1">
        <f t="shared" ca="1" si="96"/>
        <v>466.32425649476869</v>
      </c>
      <c r="F935" s="1">
        <f t="shared" ca="1" si="94"/>
        <v>27.953578260929334</v>
      </c>
      <c r="G935" s="1">
        <f t="shared" ca="1" si="97"/>
        <v>18.304154439012361</v>
      </c>
      <c r="H935" s="1">
        <f t="shared" ca="1" si="95"/>
        <v>6.9286048897562251</v>
      </c>
    </row>
    <row r="936" spans="1:8">
      <c r="A936">
        <v>892</v>
      </c>
      <c r="B936">
        <f t="shared" ca="1" si="92"/>
        <v>0.59345450058650973</v>
      </c>
      <c r="C936" s="1">
        <f t="shared" ca="1" si="93"/>
        <v>41.869674750201582</v>
      </c>
      <c r="D936" s="1">
        <f t="shared" ca="1" si="98"/>
        <v>134.67146134852104</v>
      </c>
      <c r="E936" s="1">
        <f t="shared" ca="1" si="96"/>
        <v>161.45819290252709</v>
      </c>
      <c r="F936" s="1">
        <f t="shared" ca="1" si="94"/>
        <v>8.6397376241063952</v>
      </c>
      <c r="G936" s="1">
        <f t="shared" ca="1" si="97"/>
        <v>6.4430922585834347</v>
      </c>
      <c r="H936" s="1">
        <f t="shared" ca="1" si="95"/>
        <v>2.5204428566101633</v>
      </c>
    </row>
    <row r="937" spans="1:8">
      <c r="A937">
        <v>893</v>
      </c>
      <c r="B937">
        <f t="shared" ca="1" si="92"/>
        <v>0.30404818448861215</v>
      </c>
      <c r="C937" s="1">
        <f t="shared" ca="1" si="93"/>
        <v>71.675306466924866</v>
      </c>
      <c r="D937" s="1">
        <f t="shared" ca="1" si="98"/>
        <v>230.53962044648259</v>
      </c>
      <c r="E937" s="1">
        <f t="shared" ca="1" si="96"/>
        <v>276.3949416430554</v>
      </c>
      <c r="F937" s="1">
        <f t="shared" ca="1" si="94"/>
        <v>14.790074418854108</v>
      </c>
      <c r="G937" s="1">
        <f t="shared" ca="1" si="97"/>
        <v>11.029709755179631</v>
      </c>
      <c r="H937" s="1">
        <f t="shared" ca="1" si="95"/>
        <v>4.3146557775648198</v>
      </c>
    </row>
    <row r="938" spans="1:8">
      <c r="A938">
        <v>894</v>
      </c>
      <c r="B938">
        <f t="shared" ca="1" si="92"/>
        <v>4.1622643070969079E-2</v>
      </c>
      <c r="C938" s="1">
        <f t="shared" ca="1" si="93"/>
        <v>107.31352791072224</v>
      </c>
      <c r="D938" s="1">
        <f t="shared" ca="1" si="98"/>
        <v>342.81764321829576</v>
      </c>
      <c r="E938" s="1">
        <f t="shared" ca="1" si="96"/>
        <v>410.92939645029196</v>
      </c>
      <c r="F938" s="1">
        <f t="shared" ca="1" si="94"/>
        <v>26.311940542381532</v>
      </c>
      <c r="G938" s="1">
        <f t="shared" ca="1" si="97"/>
        <v>16.673508462258571</v>
      </c>
      <c r="H938" s="1">
        <f t="shared" ca="1" si="95"/>
        <v>6.3583639048757172</v>
      </c>
    </row>
    <row r="939" spans="1:8">
      <c r="A939">
        <v>895</v>
      </c>
      <c r="B939">
        <f t="shared" ca="1" si="92"/>
        <v>0.87446644290361997</v>
      </c>
      <c r="C939" s="1">
        <f t="shared" ca="1" si="93"/>
        <v>12.928570168808776</v>
      </c>
      <c r="D939" s="1">
        <f t="shared" ca="1" si="98"/>
        <v>41.584005768004715</v>
      </c>
      <c r="E939" s="1">
        <f t="shared" ca="1" si="96"/>
        <v>49.855241582474093</v>
      </c>
      <c r="F939" s="1">
        <f t="shared" ca="1" si="94"/>
        <v>2.6677943994401936</v>
      </c>
      <c r="G939" s="1">
        <f t="shared" ca="1" si="97"/>
        <v>1.9895118780220642</v>
      </c>
      <c r="H939" s="1">
        <f t="shared" ca="1" si="95"/>
        <v>0.77827197158576933</v>
      </c>
    </row>
    <row r="940" spans="1:8">
      <c r="A940">
        <v>896</v>
      </c>
      <c r="B940">
        <f t="shared" ca="1" si="92"/>
        <v>0.68235485427934184</v>
      </c>
      <c r="C940" s="1">
        <f t="shared" ca="1" si="93"/>
        <v>32.713927089329282</v>
      </c>
      <c r="D940" s="1">
        <f t="shared" ca="1" si="98"/>
        <v>105.22250748116144</v>
      </c>
      <c r="E940" s="1">
        <f t="shared" ca="1" si="96"/>
        <v>126.1517153069216</v>
      </c>
      <c r="F940" s="1">
        <f t="shared" ca="1" si="94"/>
        <v>6.7504660845102951</v>
      </c>
      <c r="G940" s="1">
        <f t="shared" ca="1" si="97"/>
        <v>5.0341668308356731</v>
      </c>
      <c r="H940" s="1">
        <f t="shared" ca="1" si="95"/>
        <v>1.9692932983567002</v>
      </c>
    </row>
    <row r="941" spans="1:8">
      <c r="A941">
        <v>897</v>
      </c>
      <c r="B941">
        <f t="shared" ca="1" si="92"/>
        <v>0.47270393090380958</v>
      </c>
      <c r="C941" s="1">
        <f t="shared" ca="1" si="93"/>
        <v>54.305640412850224</v>
      </c>
      <c r="D941" s="1">
        <f t="shared" ca="1" si="98"/>
        <v>174.67105424474079</v>
      </c>
      <c r="E941" s="1">
        <f t="shared" ca="1" si="96"/>
        <v>209.41387705974989</v>
      </c>
      <c r="F941" s="1">
        <f t="shared" ca="1" si="94"/>
        <v>11.205876061302906</v>
      </c>
      <c r="G941" s="1">
        <f t="shared" ca="1" si="97"/>
        <v>8.3567915969326521</v>
      </c>
      <c r="H941" s="1">
        <f t="shared" ca="1" si="95"/>
        <v>3.2690520620293331</v>
      </c>
    </row>
    <row r="942" spans="1:8">
      <c r="A942">
        <v>898</v>
      </c>
      <c r="B942">
        <f t="shared" ref="B942:B1005" ca="1" si="99">RAND()</f>
        <v>0.41243794824498137</v>
      </c>
      <c r="C942" s="1">
        <f t="shared" ref="C942:C1005" ca="1" si="100">IF($B942&lt;=0.005,$F$4,IF(B942&lt;=0.01,$F$4+($B942-0.005)*SLOPE($E$4:$F$4,$E$3:$F$3),IF($B942&lt;=0.04,$E$4+($B942-0.01)*SLOPE($D$4:$E$4,$D$3:$E$3),IF($B942&lt;=0.1,$D$4+($B942-0.04)*SLOPE($C$4:$D$4,$C$3:$D$3),IF($B942&lt;=1,$C$4+($B942-0.1)*SLOPE($B$4:$C$4,$B$3:$C$3),)))))</f>
        <v>60.512366335057955</v>
      </c>
      <c r="D942" s="1">
        <f t="shared" ca="1" si="98"/>
        <v>194.63464346985342</v>
      </c>
      <c r="E942" s="1">
        <f t="shared" ca="1" si="96"/>
        <v>233.34831014280553</v>
      </c>
      <c r="F942" s="1">
        <f t="shared" ref="F942:F1005" ca="1" si="101">IF($B942&lt;=0.005,$F$22,IF($B942&lt;=0.01,$F$22+($B942-0.005)*SLOPE($E$22:$F$22,$E$21:$F$21),IF($B942&lt;=0.04,$E$22+($B942-0.01)*SLOPE($D$22:$E$22,$D$21:$E$21),IF($B942&lt;=0.1,$D$22+($B942-0.04)*SLOPE($C$22:$D$22,$C$21:$D$21),IF($B942&lt;=1,$C$22+($B942-0.1)*SLOPE($B$22:$C$22,$B$21:$C$21),)))))</f>
        <v>12.486622437594281</v>
      </c>
      <c r="G942" s="1">
        <f t="shared" ca="1" si="97"/>
        <v>9.311909005009678</v>
      </c>
      <c r="H942" s="1">
        <f t="shared" ref="H942:H1005" ca="1" si="102">IF($B942&lt;=0.005,$F$34,IF($B942&lt;=0.01,$F$34+($B942-0.005)*SLOPE($E$34:$F$34,$E$33:$F$33),IF($B942&lt;=0.04,$E$34+($B942-0.01)*SLOPE($D$34:$E$34,$D$33:$E$33),IF($B942&lt;=0.1,$D$34+($B942-0.04)*SLOPE($C$34:$D$34,$C$33:$D$33),IF($B942&lt;=1,$C$34+($B942-0.1)*SLOPE($B$34:$C$34,$B$33:$C$33),)))))</f>
        <v>3.64267903133128</v>
      </c>
    </row>
    <row r="943" spans="1:8">
      <c r="A943">
        <v>899</v>
      </c>
      <c r="B943">
        <f t="shared" ca="1" si="99"/>
        <v>0.28555979018745881</v>
      </c>
      <c r="C943" s="1">
        <f t="shared" ca="1" si="100"/>
        <v>73.579405447913715</v>
      </c>
      <c r="D943" s="1">
        <f t="shared" ca="1" si="98"/>
        <v>236.66404907066385</v>
      </c>
      <c r="E943" s="1">
        <f t="shared" ref="E943:E1006" ca="1" si="103">IF($B943&lt;=0.005,$F$16,IF($B943&lt;=0.01,$F$16+($B943-0.005)*SLOPE($E$16:$F$16,$E$15:$F$15),IF($B943&lt;=0.04,$E$16+($B943-0.01)*SLOPE($D$16:$E$16,$D$15:$E$15),IF($B943&lt;=0.1,$D$16+($B943-0.04)*SLOPE($C$16:$D$16,$C$15:$D$15),IF($B943&lt;=1,$C$16+($B943-0.1)*SLOPE($B$16:$C$16,$B$15:$C$15),)))))</f>
        <v>283.7375454917173</v>
      </c>
      <c r="F943" s="1">
        <f t="shared" ca="1" si="101"/>
        <v>15.18298171016465</v>
      </c>
      <c r="G943" s="1">
        <f t="shared" ref="G943:G1006" ca="1" si="104">IF($B943&lt;=0.005,$F$28,IF($B943&lt;=0.01,$F$28+($B943-0.005)*SLOPE($E$28:$F$28,$E$27:$F$27),IF($B943&lt;=0.04,$E$28+($B943-0.01)*SLOPE($D$28:$E$28,$D$27:$E$27),IF($B943&lt;=0.1,$D$28+($B943-0.04)*SLOPE($C$28:$D$28,$C$27:$D$27),IF($B943&lt;=1,$C$28+($B943-0.1)*SLOPE($B$28:$C$28,$B$27:$C$27),)))))</f>
        <v>11.32272061247189</v>
      </c>
      <c r="H943" s="1">
        <f t="shared" ca="1" si="102"/>
        <v>4.4292770352833717</v>
      </c>
    </row>
    <row r="944" spans="1:8">
      <c r="A944">
        <v>900</v>
      </c>
      <c r="B944">
        <f t="shared" ca="1" si="99"/>
        <v>0.32074302942805422</v>
      </c>
      <c r="C944" s="1">
        <f t="shared" ca="1" si="100"/>
        <v>69.95592312193773</v>
      </c>
      <c r="D944" s="1">
        <f t="shared" ref="D944:D1007" ca="1" si="105">IF($B944&lt;=0.005,$F$10,IF($B944&lt;=0.01,$F$10+($B944-0.005)*SLOPE($E$10:$F$10,$E$9:$F$9),IF($B944&lt;=0.04,$E$10+($B944-0.01)*SLOPE($D$10:$E$10,$D$9:$E$9),IF($B944&lt;=0.1,$D$10+($B944-0.04)*SLOPE($C$10:$D$10,$C$9:$D$9),IF($B944&lt;=1,$C$10+($B944-0.1)*SLOPE($B$10:$C$10,$B$9:$C$9),)))))</f>
        <v>225.00931940692675</v>
      </c>
      <c r="E944" s="1">
        <f t="shared" ca="1" si="103"/>
        <v>269.76463991385043</v>
      </c>
      <c r="F944" s="1">
        <f t="shared" ca="1" si="101"/>
        <v>14.435282856257649</v>
      </c>
      <c r="G944" s="1">
        <f t="shared" ca="1" si="104"/>
        <v>10.765123726323568</v>
      </c>
      <c r="H944" s="1">
        <f t="shared" ca="1" si="102"/>
        <v>4.2111538674905802</v>
      </c>
    </row>
    <row r="945" spans="1:8">
      <c r="A945">
        <v>901</v>
      </c>
      <c r="B945">
        <f t="shared" ca="1" si="99"/>
        <v>0.48339530829008059</v>
      </c>
      <c r="C945" s="1">
        <f t="shared" ca="1" si="100"/>
        <v>53.204547453939462</v>
      </c>
      <c r="D945" s="1">
        <f t="shared" ca="1" si="105"/>
        <v>171.12944989393367</v>
      </c>
      <c r="E945" s="1">
        <f t="shared" ca="1" si="103"/>
        <v>205.16783235379981</v>
      </c>
      <c r="F945" s="1">
        <f t="shared" ca="1" si="101"/>
        <v>10.978667572518326</v>
      </c>
      <c r="G945" s="1">
        <f t="shared" ca="1" si="104"/>
        <v>8.1873507248613038</v>
      </c>
      <c r="H945" s="1">
        <f t="shared" ca="1" si="102"/>
        <v>3.2027694469575838</v>
      </c>
    </row>
    <row r="946" spans="1:8">
      <c r="A946">
        <v>902</v>
      </c>
      <c r="B946">
        <f t="shared" ca="1" si="99"/>
        <v>0.65187802045725773</v>
      </c>
      <c r="C946" s="1">
        <f t="shared" ca="1" si="100"/>
        <v>35.852702002885543</v>
      </c>
      <c r="D946" s="1">
        <f t="shared" ca="1" si="105"/>
        <v>115.31820267210313</v>
      </c>
      <c r="E946" s="1">
        <f t="shared" ca="1" si="103"/>
        <v>138.25548774231927</v>
      </c>
      <c r="F946" s="1">
        <f t="shared" ca="1" si="101"/>
        <v>7.3981464633309457</v>
      </c>
      <c r="G946" s="1">
        <f t="shared" ca="1" si="104"/>
        <v>5.5171748768727209</v>
      </c>
      <c r="H946" s="1">
        <f t="shared" ca="1" si="102"/>
        <v>2.1582384802402701</v>
      </c>
    </row>
    <row r="947" spans="1:8">
      <c r="A947">
        <v>903</v>
      </c>
      <c r="B947">
        <f t="shared" ca="1" si="99"/>
        <v>4.3139361960805922E-2</v>
      </c>
      <c r="C947" s="1">
        <f t="shared" ca="1" si="100"/>
        <v>106.93358982881811</v>
      </c>
      <c r="D947" s="1">
        <f t="shared" ca="1" si="105"/>
        <v>341.6566582663786</v>
      </c>
      <c r="E947" s="1">
        <f t="shared" ca="1" si="103"/>
        <v>409.53946507132275</v>
      </c>
      <c r="F947" s="1">
        <f t="shared" ca="1" si="101"/>
        <v>26.12525140112551</v>
      </c>
      <c r="G947" s="1">
        <f t="shared" ca="1" si="104"/>
        <v>16.610894385681608</v>
      </c>
      <c r="H947" s="1">
        <f t="shared" ca="1" si="102"/>
        <v>6.3381326845707893</v>
      </c>
    </row>
    <row r="948" spans="1:8">
      <c r="A948">
        <v>904</v>
      </c>
      <c r="B948">
        <f t="shared" ca="1" si="99"/>
        <v>7.8936386697846084E-2</v>
      </c>
      <c r="C948" s="1">
        <f t="shared" ca="1" si="100"/>
        <v>97.966435132189559</v>
      </c>
      <c r="D948" s="1">
        <f t="shared" ca="1" si="105"/>
        <v>314.25553118766226</v>
      </c>
      <c r="E948" s="1">
        <f t="shared" ca="1" si="103"/>
        <v>376.73483114136445</v>
      </c>
      <c r="F948" s="1">
        <f t="shared" ca="1" si="101"/>
        <v>21.719085003080874</v>
      </c>
      <c r="G948" s="1">
        <f t="shared" ca="1" si="104"/>
        <v>15.133100667193958</v>
      </c>
      <c r="H948" s="1">
        <f t="shared" ca="1" si="102"/>
        <v>5.8606430860902634</v>
      </c>
    </row>
    <row r="949" spans="1:8">
      <c r="A949">
        <v>905</v>
      </c>
      <c r="B949">
        <f t="shared" ca="1" si="99"/>
        <v>0.22497994885244366</v>
      </c>
      <c r="C949" s="1">
        <f t="shared" ca="1" si="100"/>
        <v>79.818455322962762</v>
      </c>
      <c r="D949" s="1">
        <f t="shared" ca="1" si="105"/>
        <v>256.73160649491138</v>
      </c>
      <c r="E949" s="1">
        <f t="shared" ca="1" si="103"/>
        <v>307.79662649639164</v>
      </c>
      <c r="F949" s="1">
        <f t="shared" ca="1" si="101"/>
        <v>16.47039807414161</v>
      </c>
      <c r="G949" s="1">
        <f t="shared" ca="1" si="104"/>
        <v>12.282812168021119</v>
      </c>
      <c r="H949" s="1">
        <f t="shared" ca="1" si="102"/>
        <v>4.8048498131625506</v>
      </c>
    </row>
    <row r="950" spans="1:8">
      <c r="A950">
        <v>906</v>
      </c>
      <c r="B950">
        <f t="shared" ca="1" si="99"/>
        <v>0.99535352848120073</v>
      </c>
      <c r="C950" s="1">
        <f t="shared" ca="1" si="100"/>
        <v>0.47854488734755307</v>
      </c>
      <c r="D950" s="1">
        <f t="shared" ca="1" si="105"/>
        <v>1.5391908887049794</v>
      </c>
      <c r="E950" s="1">
        <f t="shared" ca="1" si="103"/>
        <v>1.8453405950157276</v>
      </c>
      <c r="F950" s="1">
        <f t="shared" ca="1" si="101"/>
        <v>9.8754785991992833E-2</v>
      </c>
      <c r="G950" s="1">
        <f t="shared" ca="1" si="104"/>
        <v>7.3648985675596634E-2</v>
      </c>
      <c r="H950" s="1">
        <f t="shared" ca="1" si="102"/>
        <v>2.8816417732284272E-2</v>
      </c>
    </row>
    <row r="951" spans="1:8">
      <c r="A951">
        <v>907</v>
      </c>
      <c r="B951">
        <f t="shared" ca="1" si="99"/>
        <v>0.13309653684688627</v>
      </c>
      <c r="C951" s="1">
        <f t="shared" ca="1" si="100"/>
        <v>89.281424811808307</v>
      </c>
      <c r="D951" s="1">
        <f t="shared" ca="1" si="105"/>
        <v>287.16872230973212</v>
      </c>
      <c r="E951" s="1">
        <f t="shared" ca="1" si="103"/>
        <v>344.28781570572733</v>
      </c>
      <c r="F951" s="1">
        <f t="shared" ca="1" si="101"/>
        <v>18.423064267831666</v>
      </c>
      <c r="G951" s="1">
        <f t="shared" ca="1" si="104"/>
        <v>13.739014198556927</v>
      </c>
      <c r="H951" s="1">
        <f t="shared" ca="1" si="102"/>
        <v>5.374493237896945</v>
      </c>
    </row>
    <row r="952" spans="1:8">
      <c r="A952">
        <v>908</v>
      </c>
      <c r="B952">
        <f t="shared" ca="1" si="99"/>
        <v>0.87287719517198181</v>
      </c>
      <c r="C952" s="1">
        <f t="shared" ca="1" si="100"/>
        <v>13.092245009201079</v>
      </c>
      <c r="D952" s="1">
        <f t="shared" ca="1" si="105"/>
        <v>42.110456802097644</v>
      </c>
      <c r="E952" s="1">
        <f t="shared" ca="1" si="103"/>
        <v>50.486405994089637</v>
      </c>
      <c r="F952" s="1">
        <f t="shared" ca="1" si="101"/>
        <v>2.701568399025458</v>
      </c>
      <c r="G952" s="1">
        <f t="shared" ca="1" si="104"/>
        <v>2.0146988592553683</v>
      </c>
      <c r="H952" s="1">
        <f t="shared" ca="1" si="102"/>
        <v>0.78812472412119927</v>
      </c>
    </row>
    <row r="953" spans="1:8">
      <c r="A953">
        <v>909</v>
      </c>
      <c r="B953">
        <f t="shared" ca="1" si="99"/>
        <v>0.2246717607026959</v>
      </c>
      <c r="C953" s="1">
        <f t="shared" ca="1" si="100"/>
        <v>79.850195274649693</v>
      </c>
      <c r="D953" s="1">
        <f t="shared" ca="1" si="105"/>
        <v>256.83369628676701</v>
      </c>
      <c r="E953" s="1">
        <f t="shared" ca="1" si="103"/>
        <v>307.91902238743495</v>
      </c>
      <c r="F953" s="1">
        <f t="shared" ca="1" si="101"/>
        <v>16.476947554272712</v>
      </c>
      <c r="G953" s="1">
        <f t="shared" ca="1" si="104"/>
        <v>12.287696446909484</v>
      </c>
      <c r="H953" s="1">
        <f t="shared" ca="1" si="102"/>
        <v>4.8067604665574661</v>
      </c>
    </row>
    <row r="954" spans="1:8">
      <c r="A954">
        <v>910</v>
      </c>
      <c r="B954">
        <f t="shared" ca="1" si="99"/>
        <v>0.67663759756430819</v>
      </c>
      <c r="C954" s="1">
        <f t="shared" ca="1" si="100"/>
        <v>33.302740942378058</v>
      </c>
      <c r="D954" s="1">
        <f t="shared" ca="1" si="105"/>
        <v>107.11639453846854</v>
      </c>
      <c r="E954" s="1">
        <f t="shared" ca="1" si="103"/>
        <v>128.42230465480105</v>
      </c>
      <c r="F954" s="1">
        <f t="shared" ca="1" si="101"/>
        <v>6.8719667304312182</v>
      </c>
      <c r="G954" s="1">
        <f t="shared" ca="1" si="104"/>
        <v>5.1247760132311093</v>
      </c>
      <c r="H954" s="1">
        <f t="shared" ca="1" si="102"/>
        <v>2.0047381912285549</v>
      </c>
    </row>
    <row r="955" spans="1:8">
      <c r="A955">
        <v>911</v>
      </c>
      <c r="B955">
        <f t="shared" ca="1" si="99"/>
        <v>0.43142797290379731</v>
      </c>
      <c r="C955" s="1">
        <f t="shared" ca="1" si="100"/>
        <v>58.556605006474179</v>
      </c>
      <c r="D955" s="1">
        <f t="shared" ca="1" si="105"/>
        <v>188.34404577381093</v>
      </c>
      <c r="E955" s="1">
        <f t="shared" ca="1" si="103"/>
        <v>225.80648547838308</v>
      </c>
      <c r="F955" s="1">
        <f t="shared" ca="1" si="101"/>
        <v>12.083054716726803</v>
      </c>
      <c r="G955" s="1">
        <f t="shared" ca="1" si="104"/>
        <v>9.0109481257334458</v>
      </c>
      <c r="H955" s="1">
        <f t="shared" ca="1" si="102"/>
        <v>3.5249478495399007</v>
      </c>
    </row>
    <row r="956" spans="1:8">
      <c r="A956">
        <v>912</v>
      </c>
      <c r="B956">
        <f t="shared" ca="1" si="99"/>
        <v>0.98346370257827287</v>
      </c>
      <c r="C956" s="1">
        <f t="shared" ca="1" si="100"/>
        <v>1.7030647140632453</v>
      </c>
      <c r="D956" s="1">
        <f t="shared" ca="1" si="105"/>
        <v>5.4777909050342259</v>
      </c>
      <c r="E956" s="1">
        <f t="shared" ca="1" si="103"/>
        <v>6.5673451137808456</v>
      </c>
      <c r="F956" s="1">
        <f t="shared" ca="1" si="101"/>
        <v>0.35143217990617615</v>
      </c>
      <c r="G956" s="1">
        <f t="shared" ca="1" si="104"/>
        <v>0.26208330961552306</v>
      </c>
      <c r="H956" s="1">
        <f t="shared" ca="1" si="102"/>
        <v>0.10252897366599178</v>
      </c>
    </row>
    <row r="957" spans="1:8">
      <c r="A957">
        <v>913</v>
      </c>
      <c r="B957">
        <f t="shared" ca="1" si="99"/>
        <v>0.16736698918784143</v>
      </c>
      <c r="C957" s="1">
        <f t="shared" ca="1" si="100"/>
        <v>85.751949384276514</v>
      </c>
      <c r="D957" s="1">
        <f t="shared" ca="1" si="105"/>
        <v>275.81636061396864</v>
      </c>
      <c r="E957" s="1">
        <f t="shared" ca="1" si="103"/>
        <v>330.67742038662794</v>
      </c>
      <c r="F957" s="1">
        <f t="shared" ca="1" si="101"/>
        <v>17.694763562971012</v>
      </c>
      <c r="G957" s="1">
        <f t="shared" ca="1" si="104"/>
        <v>13.195883494145763</v>
      </c>
      <c r="H957" s="1">
        <f t="shared" ca="1" si="102"/>
        <v>5.1620290138048119</v>
      </c>
    </row>
    <row r="958" spans="1:8">
      <c r="A958">
        <v>914</v>
      </c>
      <c r="B958">
        <f t="shared" ca="1" si="99"/>
        <v>0.38548748088058071</v>
      </c>
      <c r="C958" s="1">
        <f t="shared" ca="1" si="100"/>
        <v>63.287964724504207</v>
      </c>
      <c r="D958" s="1">
        <f t="shared" ca="1" si="105"/>
        <v>203.56220154077266</v>
      </c>
      <c r="E958" s="1">
        <f t="shared" ca="1" si="103"/>
        <v>244.05159795513543</v>
      </c>
      <c r="F958" s="1">
        <f t="shared" ca="1" si="101"/>
        <v>13.059362014607698</v>
      </c>
      <c r="G958" s="1">
        <f t="shared" ca="1" si="104"/>
        <v>9.7390299014077737</v>
      </c>
      <c r="H958" s="1">
        <f t="shared" ca="1" si="102"/>
        <v>3.8097620356794559</v>
      </c>
    </row>
    <row r="959" spans="1:8">
      <c r="A959">
        <v>915</v>
      </c>
      <c r="B959">
        <f t="shared" ca="1" si="99"/>
        <v>0.34492393525180487</v>
      </c>
      <c r="C959" s="1">
        <f t="shared" ca="1" si="100"/>
        <v>67.465558767499516</v>
      </c>
      <c r="D959" s="1">
        <f t="shared" ca="1" si="105"/>
        <v>216.99920076853471</v>
      </c>
      <c r="E959" s="1">
        <f t="shared" ca="1" si="103"/>
        <v>260.16127418757287</v>
      </c>
      <c r="F959" s="1">
        <f t="shared" ca="1" si="101"/>
        <v>13.921400793062334</v>
      </c>
      <c r="G959" s="1">
        <f t="shared" ca="1" si="104"/>
        <v>10.381895857525976</v>
      </c>
      <c r="H959" s="1">
        <f t="shared" ca="1" si="102"/>
        <v>4.0612411280095078</v>
      </c>
    </row>
    <row r="960" spans="1:8">
      <c r="A960">
        <v>916</v>
      </c>
      <c r="B960">
        <f t="shared" ca="1" si="99"/>
        <v>0.76695929524309769</v>
      </c>
      <c r="C960" s="1">
        <f t="shared" ca="1" si="100"/>
        <v>24.000610659455816</v>
      </c>
      <c r="D960" s="1">
        <f t="shared" ca="1" si="105"/>
        <v>77.196609096954177</v>
      </c>
      <c r="E960" s="1">
        <f t="shared" ca="1" si="103"/>
        <v>92.551345057591334</v>
      </c>
      <c r="F960" s="1">
        <f t="shared" ca="1" si="101"/>
        <v>4.9524894084158078</v>
      </c>
      <c r="G960" s="1">
        <f t="shared" ca="1" si="104"/>
        <v>3.693324604424701</v>
      </c>
      <c r="H960" s="1">
        <f t="shared" ca="1" si="102"/>
        <v>1.4447768220266974</v>
      </c>
    </row>
    <row r="961" spans="1:8">
      <c r="A961">
        <v>917</v>
      </c>
      <c r="B961">
        <f t="shared" ca="1" si="99"/>
        <v>0.58481739982988279</v>
      </c>
      <c r="C961" s="1">
        <f t="shared" ca="1" si="100"/>
        <v>42.759200064380188</v>
      </c>
      <c r="D961" s="1">
        <f t="shared" ca="1" si="105"/>
        <v>137.53257011990439</v>
      </c>
      <c r="E961" s="1">
        <f t="shared" ca="1" si="103"/>
        <v>164.88838852816525</v>
      </c>
      <c r="F961" s="1">
        <f t="shared" ca="1" si="101"/>
        <v>8.8232895220043552</v>
      </c>
      <c r="G961" s="1">
        <f t="shared" ca="1" si="104"/>
        <v>6.5799762008012292</v>
      </c>
      <c r="H961" s="1">
        <f t="shared" ca="1" si="102"/>
        <v>2.5739897106874086</v>
      </c>
    </row>
    <row r="962" spans="1:8">
      <c r="A962">
        <v>918</v>
      </c>
      <c r="B962">
        <f t="shared" ca="1" si="99"/>
        <v>0.47625082043839917</v>
      </c>
      <c r="C962" s="1">
        <f t="shared" ca="1" si="100"/>
        <v>53.940350240081095</v>
      </c>
      <c r="D962" s="1">
        <f t="shared" ca="1" si="105"/>
        <v>173.49611869119224</v>
      </c>
      <c r="E962" s="1">
        <f t="shared" ca="1" si="103"/>
        <v>208.00524176545443</v>
      </c>
      <c r="F962" s="1">
        <f t="shared" ca="1" si="101"/>
        <v>11.130499112017141</v>
      </c>
      <c r="G962" s="1">
        <f t="shared" ca="1" si="104"/>
        <v>8.3005791900398478</v>
      </c>
      <c r="H962" s="1">
        <f t="shared" ca="1" si="102"/>
        <v>3.2470626489509855</v>
      </c>
    </row>
    <row r="963" spans="1:8">
      <c r="A963">
        <v>919</v>
      </c>
      <c r="B963">
        <f t="shared" ca="1" si="99"/>
        <v>0.9437724644117963</v>
      </c>
      <c r="C963" s="1">
        <f t="shared" ca="1" si="100"/>
        <v>5.7908207904391702</v>
      </c>
      <c r="D963" s="1">
        <f t="shared" ca="1" si="105"/>
        <v>18.625831302506697</v>
      </c>
      <c r="E963" s="1">
        <f t="shared" ca="1" si="103"/>
        <v>22.33058736035855</v>
      </c>
      <c r="F963" s="1">
        <f t="shared" ca="1" si="101"/>
        <v>1.1949330606602757</v>
      </c>
      <c r="G963" s="1">
        <f t="shared" ca="1" si="104"/>
        <v>0.89112461697367529</v>
      </c>
      <c r="H963" s="1">
        <f t="shared" ca="1" si="102"/>
        <v>0.34860007994720732</v>
      </c>
    </row>
    <row r="964" spans="1:8">
      <c r="A964">
        <v>920</v>
      </c>
      <c r="B964">
        <f t="shared" ca="1" si="99"/>
        <v>0.50722841483031933</v>
      </c>
      <c r="C964" s="1">
        <f t="shared" ca="1" si="100"/>
        <v>50.750002557402055</v>
      </c>
      <c r="D964" s="1">
        <f t="shared" ca="1" si="105"/>
        <v>163.2345425525701</v>
      </c>
      <c r="E964" s="1">
        <f t="shared" ca="1" si="103"/>
        <v>195.70259394761715</v>
      </c>
      <c r="F964" s="1">
        <f t="shared" ca="1" si="101"/>
        <v>10.472176787991049</v>
      </c>
      <c r="G964" s="1">
        <f t="shared" ca="1" si="104"/>
        <v>7.8096349067354733</v>
      </c>
      <c r="H964" s="1">
        <f t="shared" ca="1" si="102"/>
        <v>3.0550129353598194</v>
      </c>
    </row>
    <row r="965" spans="1:8">
      <c r="A965">
        <v>921</v>
      </c>
      <c r="B965">
        <f t="shared" ca="1" si="99"/>
        <v>0.52626872872679109</v>
      </c>
      <c r="C965" s="1">
        <f t="shared" ca="1" si="100"/>
        <v>48.789061996667805</v>
      </c>
      <c r="D965" s="1">
        <f t="shared" ca="1" si="105"/>
        <v>156.92728614395523</v>
      </c>
      <c r="E965" s="1">
        <f t="shared" ca="1" si="103"/>
        <v>188.14079708096105</v>
      </c>
      <c r="F965" s="1">
        <f t="shared" ca="1" si="101"/>
        <v>10.067540342180367</v>
      </c>
      <c r="G965" s="1">
        <f t="shared" ca="1" si="104"/>
        <v>7.5078770251669873</v>
      </c>
      <c r="H965" s="1">
        <f t="shared" ca="1" si="102"/>
        <v>2.9369699787557697</v>
      </c>
    </row>
    <row r="966" spans="1:8">
      <c r="A966">
        <v>922</v>
      </c>
      <c r="B966">
        <f t="shared" ca="1" si="99"/>
        <v>0.58159200169888636</v>
      </c>
      <c r="C966" s="1">
        <f t="shared" ca="1" si="100"/>
        <v>43.091380198278046</v>
      </c>
      <c r="D966" s="1">
        <f t="shared" ca="1" si="105"/>
        <v>138.60100907225964</v>
      </c>
      <c r="E966" s="1">
        <f t="shared" ca="1" si="103"/>
        <v>166.16934458872717</v>
      </c>
      <c r="F966" s="1">
        <f t="shared" ca="1" si="101"/>
        <v>8.8918342762109894</v>
      </c>
      <c r="G966" s="1">
        <f t="shared" ca="1" si="104"/>
        <v>6.6310934939570307</v>
      </c>
      <c r="H966" s="1">
        <f t="shared" ca="1" si="102"/>
        <v>2.593985995080522</v>
      </c>
    </row>
    <row r="967" spans="1:8">
      <c r="A967">
        <v>923</v>
      </c>
      <c r="B967">
        <f t="shared" ca="1" si="99"/>
        <v>0.45699986635603962</v>
      </c>
      <c r="C967" s="1">
        <f t="shared" ca="1" si="100"/>
        <v>55.922984397174837</v>
      </c>
      <c r="D967" s="1">
        <f t="shared" ca="1" si="105"/>
        <v>179.87315134769756</v>
      </c>
      <c r="E967" s="1">
        <f t="shared" ca="1" si="103"/>
        <v>215.65069367615541</v>
      </c>
      <c r="F967" s="1">
        <f t="shared" ca="1" si="101"/>
        <v>11.539611991180024</v>
      </c>
      <c r="G967" s="1">
        <f t="shared" ca="1" si="104"/>
        <v>8.6056753745697385</v>
      </c>
      <c r="H967" s="1">
        <f t="shared" ca="1" si="102"/>
        <v>3.3664114973831336</v>
      </c>
    </row>
    <row r="968" spans="1:8">
      <c r="A968">
        <v>924</v>
      </c>
      <c r="B968">
        <f t="shared" ca="1" si="99"/>
        <v>0.23047199218598169</v>
      </c>
      <c r="C968" s="1">
        <f t="shared" ca="1" si="100"/>
        <v>79.252835943334759</v>
      </c>
      <c r="D968" s="1">
        <f t="shared" ca="1" si="105"/>
        <v>254.91232317320802</v>
      </c>
      <c r="E968" s="1">
        <f t="shared" ca="1" si="103"/>
        <v>305.6154798883631</v>
      </c>
      <c r="F968" s="1">
        <f t="shared" ca="1" si="101"/>
        <v>16.35368356476932</v>
      </c>
      <c r="G968" s="1">
        <f t="shared" ca="1" si="104"/>
        <v>12.195772249938788</v>
      </c>
      <c r="H968" s="1">
        <f t="shared" ca="1" si="102"/>
        <v>4.7708011605818532</v>
      </c>
    </row>
    <row r="969" spans="1:8">
      <c r="A969">
        <v>925</v>
      </c>
      <c r="B969">
        <f t="shared" ca="1" si="99"/>
        <v>0.20686979270308359</v>
      </c>
      <c r="C969" s="1">
        <f t="shared" ca="1" si="100"/>
        <v>81.683599981165685</v>
      </c>
      <c r="D969" s="1">
        <f t="shared" ca="1" si="105"/>
        <v>262.73074070326254</v>
      </c>
      <c r="E969" s="1">
        <f t="shared" ca="1" si="103"/>
        <v>314.9890143304105</v>
      </c>
      <c r="F969" s="1">
        <f t="shared" ca="1" si="101"/>
        <v>16.855267213232402</v>
      </c>
      <c r="G969" s="1">
        <f t="shared" ca="1" si="104"/>
        <v>12.569828568287399</v>
      </c>
      <c r="H969" s="1">
        <f t="shared" ca="1" si="102"/>
        <v>4.9171261331883258</v>
      </c>
    </row>
    <row r="970" spans="1:8">
      <c r="A970">
        <v>926</v>
      </c>
      <c r="B970">
        <f t="shared" ca="1" si="99"/>
        <v>0.72690662273802031</v>
      </c>
      <c r="C970" s="1">
        <f t="shared" ca="1" si="100"/>
        <v>28.125590452754594</v>
      </c>
      <c r="D970" s="1">
        <f t="shared" ca="1" si="105"/>
        <v>90.464377512611094</v>
      </c>
      <c r="E970" s="1">
        <f t="shared" ca="1" si="103"/>
        <v>108.45812974070626</v>
      </c>
      <c r="F970" s="1">
        <f t="shared" ca="1" si="101"/>
        <v>5.8036713340812742</v>
      </c>
      <c r="G970" s="1">
        <f t="shared" ca="1" si="104"/>
        <v>4.3280940558111141</v>
      </c>
      <c r="H970" s="1">
        <f t="shared" ca="1" si="102"/>
        <v>1.6930886885274479</v>
      </c>
    </row>
    <row r="971" spans="1:8">
      <c r="A971">
        <v>927</v>
      </c>
      <c r="B971">
        <f t="shared" ca="1" si="99"/>
        <v>0.26132552670228104</v>
      </c>
      <c r="C971" s="1">
        <f t="shared" ca="1" si="100"/>
        <v>76.075265048023155</v>
      </c>
      <c r="D971" s="1">
        <f t="shared" ca="1" si="105"/>
        <v>244.6918428615673</v>
      </c>
      <c r="E971" s="1">
        <f t="shared" ca="1" si="103"/>
        <v>293.36210203444807</v>
      </c>
      <c r="F971" s="1">
        <f t="shared" ca="1" si="101"/>
        <v>15.697997707106753</v>
      </c>
      <c r="G971" s="1">
        <f t="shared" ca="1" si="104"/>
        <v>11.706794113067637</v>
      </c>
      <c r="H971" s="1">
        <f t="shared" ca="1" si="102"/>
        <v>4.579520572678101</v>
      </c>
    </row>
    <row r="972" spans="1:8">
      <c r="A972">
        <v>928</v>
      </c>
      <c r="B972">
        <f t="shared" ca="1" si="99"/>
        <v>0.55959011796557534</v>
      </c>
      <c r="C972" s="1">
        <f t="shared" ca="1" si="100"/>
        <v>45.357329512968896</v>
      </c>
      <c r="D972" s="1">
        <f t="shared" ca="1" si="105"/>
        <v>145.8893091986688</v>
      </c>
      <c r="E972" s="1">
        <f t="shared" ca="1" si="103"/>
        <v>174.90731899291558</v>
      </c>
      <c r="F972" s="1">
        <f t="shared" ca="1" si="101"/>
        <v>9.3594087123990697</v>
      </c>
      <c r="G972" s="1">
        <f t="shared" ca="1" si="104"/>
        <v>6.9797874210624204</v>
      </c>
      <c r="H972" s="1">
        <f t="shared" ca="1" si="102"/>
        <v>2.7303895975032662</v>
      </c>
    </row>
    <row r="973" spans="1:8">
      <c r="A973">
        <v>929</v>
      </c>
      <c r="B973">
        <f t="shared" ca="1" si="99"/>
        <v>0.73393413300519805</v>
      </c>
      <c r="C973" s="1">
        <f t="shared" ca="1" si="100"/>
        <v>27.401835056766146</v>
      </c>
      <c r="D973" s="1">
        <f t="shared" ca="1" si="105"/>
        <v>88.136458476702927</v>
      </c>
      <c r="E973" s="1">
        <f t="shared" ca="1" si="103"/>
        <v>105.66717758478694</v>
      </c>
      <c r="F973" s="1">
        <f t="shared" ca="1" si="101"/>
        <v>5.6543257511843557</v>
      </c>
      <c r="G973" s="1">
        <f t="shared" ca="1" si="104"/>
        <v>4.2167194943172888</v>
      </c>
      <c r="H973" s="1">
        <f t="shared" ca="1" si="102"/>
        <v>1.64952070461639</v>
      </c>
    </row>
    <row r="974" spans="1:8">
      <c r="A974">
        <v>930</v>
      </c>
      <c r="B974">
        <f t="shared" ca="1" si="99"/>
        <v>6.2588068863211888E-4</v>
      </c>
      <c r="C974" s="1">
        <f t="shared" ca="1" si="100"/>
        <v>154.26</v>
      </c>
      <c r="D974" s="1">
        <f t="shared" ca="1" si="105"/>
        <v>490.57679011763298</v>
      </c>
      <c r="E974" s="1">
        <f t="shared" ca="1" si="103"/>
        <v>588.07132005685003</v>
      </c>
      <c r="F974" s="1">
        <f t="shared" ca="1" si="101"/>
        <v>31.846409312708399</v>
      </c>
      <c r="G974" s="1">
        <f t="shared" ca="1" si="104"/>
        <v>22.024287970326</v>
      </c>
      <c r="H974" s="1">
        <f t="shared" ca="1" si="102"/>
        <v>8.2474320175743205</v>
      </c>
    </row>
    <row r="975" spans="1:8">
      <c r="A975">
        <v>931</v>
      </c>
      <c r="B975">
        <f t="shared" ca="1" si="99"/>
        <v>0.83312584371846565</v>
      </c>
      <c r="C975" s="1">
        <f t="shared" ca="1" si="100"/>
        <v>17.18619208554874</v>
      </c>
      <c r="D975" s="1">
        <f t="shared" ca="1" si="105"/>
        <v>55.278410207148966</v>
      </c>
      <c r="E975" s="1">
        <f t="shared" ca="1" si="103"/>
        <v>66.273522031196819</v>
      </c>
      <c r="F975" s="1">
        <f t="shared" ca="1" si="101"/>
        <v>3.546346781135151</v>
      </c>
      <c r="G975" s="1">
        <f t="shared" ca="1" si="104"/>
        <v>2.6446928640453908</v>
      </c>
      <c r="H975" s="1">
        <f t="shared" ca="1" si="102"/>
        <v>1.0345685107149309</v>
      </c>
    </row>
    <row r="976" spans="1:8">
      <c r="A976">
        <v>932</v>
      </c>
      <c r="B976">
        <f t="shared" ca="1" si="99"/>
        <v>0.74651807099521328</v>
      </c>
      <c r="C976" s="1">
        <f t="shared" ca="1" si="100"/>
        <v>26.105829405149336</v>
      </c>
      <c r="D976" s="1">
        <f t="shared" ca="1" si="105"/>
        <v>83.967928274695964</v>
      </c>
      <c r="E976" s="1">
        <f t="shared" ca="1" si="103"/>
        <v>100.66950877635804</v>
      </c>
      <c r="F976" s="1">
        <f t="shared" ca="1" si="101"/>
        <v>5.3868973899573191</v>
      </c>
      <c r="G976" s="1">
        <f t="shared" ca="1" si="104"/>
        <v>4.0172846273133445</v>
      </c>
      <c r="H976" s="1">
        <f t="shared" ca="1" si="102"/>
        <v>1.5715049085459958</v>
      </c>
    </row>
    <row r="977" spans="1:8">
      <c r="A977">
        <v>933</v>
      </c>
      <c r="B977">
        <f t="shared" ca="1" si="99"/>
        <v>0.50595041480781755</v>
      </c>
      <c r="C977" s="1">
        <f t="shared" ca="1" si="100"/>
        <v>50.881622345519489</v>
      </c>
      <c r="D977" s="1">
        <f t="shared" ca="1" si="105"/>
        <v>163.65789029126614</v>
      </c>
      <c r="E977" s="1">
        <f t="shared" ca="1" si="103"/>
        <v>196.21014737442965</v>
      </c>
      <c r="F977" s="1">
        <f t="shared" ca="1" si="101"/>
        <v>10.499336287023622</v>
      </c>
      <c r="G977" s="1">
        <f t="shared" ca="1" si="104"/>
        <v>7.8298891200604999</v>
      </c>
      <c r="H977" s="1">
        <f t="shared" ca="1" si="102"/>
        <v>3.0629360663552654</v>
      </c>
    </row>
    <row r="978" spans="1:8">
      <c r="A978">
        <v>934</v>
      </c>
      <c r="B978">
        <f t="shared" ca="1" si="99"/>
        <v>0.24640371998845334</v>
      </c>
      <c r="C978" s="1">
        <f t="shared" ca="1" si="100"/>
        <v>77.61204517589718</v>
      </c>
      <c r="D978" s="1">
        <f t="shared" ca="1" si="105"/>
        <v>249.63481079453513</v>
      </c>
      <c r="E978" s="1">
        <f t="shared" ca="1" si="103"/>
        <v>299.28824757317153</v>
      </c>
      <c r="F978" s="1">
        <f t="shared" ca="1" si="101"/>
        <v>16.015109434706794</v>
      </c>
      <c r="G978" s="1">
        <f t="shared" ca="1" si="104"/>
        <v>11.943280381499033</v>
      </c>
      <c r="H978" s="1">
        <f t="shared" ca="1" si="102"/>
        <v>4.6720302966223475</v>
      </c>
    </row>
    <row r="979" spans="1:8">
      <c r="A979">
        <v>935</v>
      </c>
      <c r="B979">
        <f t="shared" ca="1" si="99"/>
        <v>0.48172303960904517</v>
      </c>
      <c r="C979" s="1">
        <f t="shared" ca="1" si="100"/>
        <v>53.376772528742222</v>
      </c>
      <c r="D979" s="1">
        <f t="shared" ca="1" si="105"/>
        <v>171.68340228215249</v>
      </c>
      <c r="E979" s="1">
        <f t="shared" ca="1" si="103"/>
        <v>205.83196825729476</v>
      </c>
      <c r="F979" s="1">
        <f t="shared" ca="1" si="101"/>
        <v>11.01420589710761</v>
      </c>
      <c r="G979" s="1">
        <f t="shared" ca="1" si="104"/>
        <v>8.2138534525656031</v>
      </c>
      <c r="H979" s="1">
        <f t="shared" ca="1" si="102"/>
        <v>3.2131368989029196</v>
      </c>
    </row>
    <row r="980" spans="1:8">
      <c r="A980">
        <v>936</v>
      </c>
      <c r="B980">
        <f t="shared" ca="1" si="99"/>
        <v>0.40953241151457842</v>
      </c>
      <c r="C980" s="1">
        <f t="shared" ca="1" si="100"/>
        <v>60.811604302264271</v>
      </c>
      <c r="D980" s="1">
        <f t="shared" ca="1" si="105"/>
        <v>195.59712577255831</v>
      </c>
      <c r="E980" s="1">
        <f t="shared" ca="1" si="103"/>
        <v>234.5022343198637</v>
      </c>
      <c r="F980" s="1">
        <f t="shared" ca="1" si="101"/>
        <v>12.548369636834547</v>
      </c>
      <c r="G980" s="1">
        <f t="shared" ca="1" si="104"/>
        <v>9.3579570173141526</v>
      </c>
      <c r="H980" s="1">
        <f t="shared" ca="1" si="102"/>
        <v>3.6606922924593954</v>
      </c>
    </row>
    <row r="981" spans="1:8">
      <c r="A981">
        <v>937</v>
      </c>
      <c r="B981">
        <f t="shared" ca="1" si="99"/>
        <v>0.79894704502383485</v>
      </c>
      <c r="C981" s="1">
        <f t="shared" ca="1" si="100"/>
        <v>20.706228206901343</v>
      </c>
      <c r="D981" s="1">
        <f t="shared" ca="1" si="105"/>
        <v>66.600410898818978</v>
      </c>
      <c r="E981" s="1">
        <f t="shared" ca="1" si="103"/>
        <v>79.847517411757224</v>
      </c>
      <c r="F981" s="1">
        <f t="shared" ca="1" si="101"/>
        <v>4.2726997026821536</v>
      </c>
      <c r="G981" s="1">
        <f t="shared" ca="1" si="104"/>
        <v>3.1863710078368488</v>
      </c>
      <c r="H981" s="1">
        <f t="shared" ca="1" si="102"/>
        <v>1.2464645158452088</v>
      </c>
    </row>
    <row r="982" spans="1:8">
      <c r="A982">
        <v>938</v>
      </c>
      <c r="B982">
        <f t="shared" ca="1" si="99"/>
        <v>0.72233777159833812</v>
      </c>
      <c r="C982" s="1">
        <f t="shared" ca="1" si="100"/>
        <v>28.596131304364178</v>
      </c>
      <c r="D982" s="1">
        <f t="shared" ca="1" si="105"/>
        <v>91.977846029330664</v>
      </c>
      <c r="E982" s="1">
        <f t="shared" ca="1" si="103"/>
        <v>110.27263366223397</v>
      </c>
      <c r="F982" s="1">
        <f t="shared" ca="1" si="101"/>
        <v>5.9007665656331909</v>
      </c>
      <c r="G982" s="1">
        <f t="shared" ca="1" si="104"/>
        <v>4.4005028852352837</v>
      </c>
      <c r="H982" s="1">
        <f t="shared" ca="1" si="102"/>
        <v>1.7214138884030556</v>
      </c>
    </row>
    <row r="983" spans="1:8">
      <c r="A983">
        <v>939</v>
      </c>
      <c r="B983">
        <f t="shared" ca="1" si="99"/>
        <v>0.96394214948511625</v>
      </c>
      <c r="C983" s="1">
        <f t="shared" ca="1" si="100"/>
        <v>3.7135675596067586</v>
      </c>
      <c r="D983" s="1">
        <f t="shared" ca="1" si="105"/>
        <v>11.944461650191556</v>
      </c>
      <c r="E983" s="1">
        <f t="shared" ca="1" si="103"/>
        <v>14.320264514938742</v>
      </c>
      <c r="F983" s="1">
        <f t="shared" ca="1" si="101"/>
        <v>0.76629571121504014</v>
      </c>
      <c r="G983" s="1">
        <f t="shared" ca="1" si="104"/>
        <v>0.57146804656616901</v>
      </c>
      <c r="H983" s="1">
        <f t="shared" ca="1" si="102"/>
        <v>0.22355543663024768</v>
      </c>
    </row>
    <row r="984" spans="1:8">
      <c r="A984">
        <v>940</v>
      </c>
      <c r="B984">
        <f t="shared" ca="1" si="99"/>
        <v>4.8685074488059588E-3</v>
      </c>
      <c r="C984" s="1">
        <f t="shared" ca="1" si="100"/>
        <v>154.26</v>
      </c>
      <c r="D984" s="1">
        <f t="shared" ca="1" si="105"/>
        <v>490.57679011763298</v>
      </c>
      <c r="E984" s="1">
        <f t="shared" ca="1" si="103"/>
        <v>588.07132005685003</v>
      </c>
      <c r="F984" s="1">
        <f t="shared" ca="1" si="101"/>
        <v>31.846409312708399</v>
      </c>
      <c r="G984" s="1">
        <f t="shared" ca="1" si="104"/>
        <v>22.024287970326</v>
      </c>
      <c r="H984" s="1">
        <f t="shared" ca="1" si="102"/>
        <v>8.2474320175743205</v>
      </c>
    </row>
    <row r="985" spans="1:8">
      <c r="A985">
        <v>941</v>
      </c>
      <c r="B985">
        <f t="shared" ca="1" si="99"/>
        <v>0.80403598231253715</v>
      </c>
      <c r="C985" s="1">
        <f t="shared" ca="1" si="100"/>
        <v>20.182124266456398</v>
      </c>
      <c r="D985" s="1">
        <f t="shared" ca="1" si="105"/>
        <v>64.914659681600085</v>
      </c>
      <c r="E985" s="1">
        <f t="shared" ca="1" si="103"/>
        <v>77.826463018770085</v>
      </c>
      <c r="F985" s="1">
        <f t="shared" ca="1" si="101"/>
        <v>4.1645518271455249</v>
      </c>
      <c r="G985" s="1">
        <f t="shared" ca="1" si="104"/>
        <v>3.1057196622748275</v>
      </c>
      <c r="H985" s="1">
        <f t="shared" ca="1" si="102"/>
        <v>1.214914972765337</v>
      </c>
    </row>
    <row r="986" spans="1:8">
      <c r="A986">
        <v>942</v>
      </c>
      <c r="B986">
        <f t="shared" ca="1" si="99"/>
        <v>0.40503378179110638</v>
      </c>
      <c r="C986" s="1">
        <f t="shared" ca="1" si="100"/>
        <v>61.274913129022408</v>
      </c>
      <c r="D986" s="1">
        <f t="shared" ca="1" si="105"/>
        <v>197.08733288298899</v>
      </c>
      <c r="E986" s="1">
        <f t="shared" ca="1" si="103"/>
        <v>236.28885004123057</v>
      </c>
      <c r="F986" s="1">
        <f t="shared" ca="1" si="101"/>
        <v>12.643972553478761</v>
      </c>
      <c r="G986" s="1">
        <f t="shared" ca="1" si="104"/>
        <v>9.4292529519661272</v>
      </c>
      <c r="H986" s="1">
        <f t="shared" ca="1" si="102"/>
        <v>3.6885821453322469</v>
      </c>
    </row>
    <row r="987" spans="1:8">
      <c r="A987">
        <v>943</v>
      </c>
      <c r="B987">
        <f t="shared" ca="1" si="99"/>
        <v>0.70503119557624583</v>
      </c>
      <c r="C987" s="1">
        <f t="shared" ca="1" si="100"/>
        <v>30.378516147055265</v>
      </c>
      <c r="D987" s="1">
        <f t="shared" ca="1" si="105"/>
        <v>97.710787887329587</v>
      </c>
      <c r="E987" s="1">
        <f t="shared" ca="1" si="103"/>
        <v>117.14588234121996</v>
      </c>
      <c r="F987" s="1">
        <f t="shared" ca="1" si="101"/>
        <v>6.2685583703696395</v>
      </c>
      <c r="G987" s="1">
        <f t="shared" ca="1" si="104"/>
        <v>4.6747838527669288</v>
      </c>
      <c r="H987" s="1">
        <f t="shared" ca="1" si="102"/>
        <v>1.8287083066279091</v>
      </c>
    </row>
    <row r="988" spans="1:8">
      <c r="A988">
        <v>944</v>
      </c>
      <c r="B988">
        <f t="shared" ca="1" si="99"/>
        <v>0.33082226255609282</v>
      </c>
      <c r="C988" s="1">
        <f t="shared" ca="1" si="100"/>
        <v>68.917874213220429</v>
      </c>
      <c r="D988" s="1">
        <f t="shared" ca="1" si="105"/>
        <v>221.67049274228205</v>
      </c>
      <c r="E988" s="1">
        <f t="shared" ca="1" si="103"/>
        <v>265.76170624897941</v>
      </c>
      <c r="F988" s="1">
        <f t="shared" ca="1" si="101"/>
        <v>14.221083390240306</v>
      </c>
      <c r="G988" s="1">
        <f t="shared" ca="1" si="104"/>
        <v>10.605384341086047</v>
      </c>
      <c r="H988" s="1">
        <f t="shared" ca="1" si="102"/>
        <v>4.148666322106382</v>
      </c>
    </row>
    <row r="989" spans="1:8">
      <c r="A989">
        <v>945</v>
      </c>
      <c r="B989">
        <f t="shared" ca="1" si="99"/>
        <v>0.70316829062331598</v>
      </c>
      <c r="C989" s="1">
        <f t="shared" ca="1" si="100"/>
        <v>30.570374637564171</v>
      </c>
      <c r="D989" s="1">
        <f t="shared" ca="1" si="105"/>
        <v>98.327890066783908</v>
      </c>
      <c r="E989" s="1">
        <f t="shared" ca="1" si="103"/>
        <v>117.88572880134336</v>
      </c>
      <c r="F989" s="1">
        <f t="shared" ca="1" si="101"/>
        <v>6.3081480138563641</v>
      </c>
      <c r="G989" s="1">
        <f t="shared" ca="1" si="104"/>
        <v>4.7043078540631331</v>
      </c>
      <c r="H989" s="1">
        <f t="shared" ca="1" si="102"/>
        <v>1.8402576334778682</v>
      </c>
    </row>
    <row r="990" spans="1:8">
      <c r="A990">
        <v>946</v>
      </c>
      <c r="B990">
        <f t="shared" ca="1" si="99"/>
        <v>0.22722952896256732</v>
      </c>
      <c r="C990" s="1">
        <f t="shared" ca="1" si="100"/>
        <v>79.586773591949921</v>
      </c>
      <c r="D990" s="1">
        <f t="shared" ca="1" si="105"/>
        <v>255.98641507404415</v>
      </c>
      <c r="E990" s="1">
        <f t="shared" ca="1" si="103"/>
        <v>306.90321329319977</v>
      </c>
      <c r="F990" s="1">
        <f t="shared" ca="1" si="101"/>
        <v>16.422590978876467</v>
      </c>
      <c r="G990" s="1">
        <f t="shared" ca="1" si="104"/>
        <v>12.247159996941349</v>
      </c>
      <c r="H990" s="1">
        <f t="shared" ca="1" si="102"/>
        <v>4.7909032422834921</v>
      </c>
    </row>
    <row r="991" spans="1:8">
      <c r="A991">
        <v>947</v>
      </c>
      <c r="B991">
        <f t="shared" ca="1" si="99"/>
        <v>0.98029506618209017</v>
      </c>
      <c r="C991" s="1">
        <f t="shared" ca="1" si="100"/>
        <v>2.0293990205919243</v>
      </c>
      <c r="D991" s="1">
        <f t="shared" ca="1" si="105"/>
        <v>6.5274270783168618</v>
      </c>
      <c r="E991" s="1">
        <f t="shared" ca="1" si="103"/>
        <v>7.825758441549965</v>
      </c>
      <c r="F991" s="1">
        <f t="shared" ca="1" si="101"/>
        <v>0.41877065848322204</v>
      </c>
      <c r="G991" s="1">
        <f t="shared" ca="1" si="104"/>
        <v>0.31230102196899701</v>
      </c>
      <c r="H991" s="1">
        <f t="shared" ca="1" si="102"/>
        <v>0.12217335614005975</v>
      </c>
    </row>
    <row r="992" spans="1:8">
      <c r="A992">
        <v>948</v>
      </c>
      <c r="B992">
        <f t="shared" ca="1" si="99"/>
        <v>0.16343587544498017</v>
      </c>
      <c r="C992" s="1">
        <f t="shared" ca="1" si="100"/>
        <v>86.156810377070599</v>
      </c>
      <c r="D992" s="1">
        <f t="shared" ca="1" si="105"/>
        <v>277.11857351247812</v>
      </c>
      <c r="E992" s="1">
        <f t="shared" ca="1" si="103"/>
        <v>332.23864903783971</v>
      </c>
      <c r="F992" s="1">
        <f t="shared" ca="1" si="101"/>
        <v>17.778305877537775</v>
      </c>
      <c r="G992" s="1">
        <f t="shared" ca="1" si="104"/>
        <v>13.258185227284226</v>
      </c>
      <c r="H992" s="1">
        <f t="shared" ca="1" si="102"/>
        <v>5.1864004759286662</v>
      </c>
    </row>
    <row r="993" spans="1:8">
      <c r="A993">
        <v>949</v>
      </c>
      <c r="B993">
        <f t="shared" ca="1" si="99"/>
        <v>5.7345951482623225E-2</v>
      </c>
      <c r="C993" s="1">
        <f t="shared" ca="1" si="100"/>
        <v>103.37483915360288</v>
      </c>
      <c r="D993" s="1">
        <f t="shared" ca="1" si="105"/>
        <v>330.78210744261469</v>
      </c>
      <c r="E993" s="1">
        <f t="shared" ca="1" si="103"/>
        <v>396.52045100297835</v>
      </c>
      <c r="F993" s="1">
        <f t="shared" ca="1" si="101"/>
        <v>24.376597767431925</v>
      </c>
      <c r="G993" s="1">
        <f t="shared" ca="1" si="104"/>
        <v>16.024409645379976</v>
      </c>
      <c r="H993" s="1">
        <f t="shared" ca="1" si="102"/>
        <v>6.1486337310577301</v>
      </c>
    </row>
    <row r="994" spans="1:8">
      <c r="A994">
        <v>950</v>
      </c>
      <c r="B994">
        <f t="shared" ca="1" si="99"/>
        <v>0.12910623936066856</v>
      </c>
      <c r="C994" s="1">
        <f t="shared" ca="1" si="100"/>
        <v>89.69238107191336</v>
      </c>
      <c r="D994" s="1">
        <f t="shared" ca="1" si="105"/>
        <v>288.49054029703382</v>
      </c>
      <c r="E994" s="1">
        <f t="shared" ca="1" si="103"/>
        <v>345.87254898230935</v>
      </c>
      <c r="F994" s="1">
        <f t="shared" ca="1" si="101"/>
        <v>18.507864329497124</v>
      </c>
      <c r="G994" s="1">
        <f t="shared" ca="1" si="104"/>
        <v>13.80225389737787</v>
      </c>
      <c r="H994" s="1">
        <f t="shared" ca="1" si="102"/>
        <v>5.3992316175037089</v>
      </c>
    </row>
    <row r="995" spans="1:8">
      <c r="A995">
        <v>951</v>
      </c>
      <c r="B995">
        <f t="shared" ca="1" si="99"/>
        <v>0.17797624541892354</v>
      </c>
      <c r="C995" s="1">
        <f t="shared" ca="1" si="100"/>
        <v>84.659313990980479</v>
      </c>
      <c r="D995" s="1">
        <f t="shared" ca="1" si="105"/>
        <v>272.3019595532524</v>
      </c>
      <c r="E995" s="1">
        <f t="shared" ca="1" si="103"/>
        <v>326.46398982230232</v>
      </c>
      <c r="F995" s="1">
        <f t="shared" ca="1" si="101"/>
        <v>17.469300277156414</v>
      </c>
      <c r="G995" s="1">
        <f t="shared" ca="1" si="104"/>
        <v>13.027744108276613</v>
      </c>
      <c r="H995" s="1">
        <f t="shared" ca="1" si="102"/>
        <v>5.0962555197491843</v>
      </c>
    </row>
    <row r="996" spans="1:8">
      <c r="A996">
        <v>952</v>
      </c>
      <c r="B996">
        <f t="shared" ca="1" si="99"/>
        <v>0.47039857889271641</v>
      </c>
      <c r="C996" s="1">
        <f t="shared" ca="1" si="100"/>
        <v>54.543066029355451</v>
      </c>
      <c r="D996" s="1">
        <f t="shared" ca="1" si="105"/>
        <v>175.43472055429544</v>
      </c>
      <c r="E996" s="1">
        <f t="shared" ca="1" si="103"/>
        <v>210.32943988653994</v>
      </c>
      <c r="F996" s="1">
        <f t="shared" ca="1" si="101"/>
        <v>11.254868396680536</v>
      </c>
      <c r="G996" s="1">
        <f t="shared" ca="1" si="104"/>
        <v>8.3933276615647578</v>
      </c>
      <c r="H996" s="1">
        <f t="shared" ca="1" si="102"/>
        <v>3.2833443982209625</v>
      </c>
    </row>
    <row r="997" spans="1:8">
      <c r="A997">
        <v>953</v>
      </c>
      <c r="B997">
        <f t="shared" ca="1" si="99"/>
        <v>6.8509257698039727E-2</v>
      </c>
      <c r="C997" s="1">
        <f t="shared" ca="1" si="100"/>
        <v>100.57843094664105</v>
      </c>
      <c r="D997" s="1">
        <f t="shared" ca="1" si="105"/>
        <v>322.23706286211524</v>
      </c>
      <c r="E997" s="1">
        <f t="shared" ca="1" si="103"/>
        <v>386.29032219940098</v>
      </c>
      <c r="F997" s="1">
        <f t="shared" ca="1" si="101"/>
        <v>23.002534277553242</v>
      </c>
      <c r="G997" s="1">
        <f t="shared" ca="1" si="104"/>
        <v>15.563559507026811</v>
      </c>
      <c r="H997" s="1">
        <f t="shared" ca="1" si="102"/>
        <v>5.999728545733797</v>
      </c>
    </row>
    <row r="998" spans="1:8">
      <c r="A998">
        <v>954</v>
      </c>
      <c r="B998">
        <f t="shared" ca="1" si="99"/>
        <v>0.50475124668299587</v>
      </c>
      <c r="C998" s="1">
        <f t="shared" ca="1" si="100"/>
        <v>51.005123324961758</v>
      </c>
      <c r="D998" s="1">
        <f t="shared" ca="1" si="105"/>
        <v>164.05512433275376</v>
      </c>
      <c r="E998" s="1">
        <f t="shared" ca="1" si="103"/>
        <v>196.68639297721623</v>
      </c>
      <c r="F998" s="1">
        <f t="shared" ca="1" si="101"/>
        <v>10.524820484952063</v>
      </c>
      <c r="G998" s="1">
        <f t="shared" ca="1" si="104"/>
        <v>7.848893976543339</v>
      </c>
      <c r="H998" s="1">
        <f t="shared" ca="1" si="102"/>
        <v>3.0703704685236834</v>
      </c>
    </row>
    <row r="999" spans="1:8">
      <c r="A999">
        <v>955</v>
      </c>
      <c r="B999">
        <f t="shared" ca="1" si="99"/>
        <v>0.7390509853296664</v>
      </c>
      <c r="C999" s="1">
        <f t="shared" ca="1" si="100"/>
        <v>26.874856178114541</v>
      </c>
      <c r="D999" s="1">
        <f t="shared" ca="1" si="105"/>
        <v>86.441460180408086</v>
      </c>
      <c r="E999" s="1">
        <f t="shared" ca="1" si="103"/>
        <v>103.63503682887867</v>
      </c>
      <c r="F999" s="1">
        <f t="shared" ca="1" si="101"/>
        <v>5.5455846374837741</v>
      </c>
      <c r="G999" s="1">
        <f t="shared" ca="1" si="104"/>
        <v>4.1356257410248887</v>
      </c>
      <c r="H999" s="1">
        <f t="shared" ca="1" si="102"/>
        <v>1.6177980985621652</v>
      </c>
    </row>
    <row r="1000" spans="1:8">
      <c r="A1000">
        <v>956</v>
      </c>
      <c r="B1000">
        <f t="shared" ca="1" si="99"/>
        <v>0.7081496155108078</v>
      </c>
      <c r="C1000" s="1">
        <f t="shared" ca="1" si="100"/>
        <v>30.057353577554871</v>
      </c>
      <c r="D1000" s="1">
        <f t="shared" ca="1" si="105"/>
        <v>96.677786318975052</v>
      </c>
      <c r="E1000" s="1">
        <f t="shared" ca="1" si="103"/>
        <v>115.90741231292603</v>
      </c>
      <c r="F1000" s="1">
        <f t="shared" ca="1" si="101"/>
        <v>6.2022870701312449</v>
      </c>
      <c r="G1000" s="1">
        <f t="shared" ca="1" si="104"/>
        <v>4.6253619893243982</v>
      </c>
      <c r="H1000" s="1">
        <f t="shared" ca="1" si="102"/>
        <v>1.809375247781809</v>
      </c>
    </row>
    <row r="1001" spans="1:8">
      <c r="A1001">
        <v>957</v>
      </c>
      <c r="B1001">
        <f t="shared" ca="1" si="99"/>
        <v>0.79950250695584046</v>
      </c>
      <c r="C1001" s="1">
        <f t="shared" ca="1" si="100"/>
        <v>20.649021805875805</v>
      </c>
      <c r="D1001" s="1">
        <f t="shared" ca="1" si="105"/>
        <v>66.416409686998975</v>
      </c>
      <c r="E1001" s="1">
        <f t="shared" ca="1" si="103"/>
        <v>79.626917566616839</v>
      </c>
      <c r="F1001" s="1">
        <f t="shared" ca="1" si="101"/>
        <v>4.260895267987852</v>
      </c>
      <c r="G1001" s="1">
        <f t="shared" ca="1" si="104"/>
        <v>3.1775678433089247</v>
      </c>
      <c r="H1001" s="1">
        <f t="shared" ca="1" si="102"/>
        <v>1.2430208557726141</v>
      </c>
    </row>
    <row r="1002" spans="1:8">
      <c r="A1002">
        <v>958</v>
      </c>
      <c r="B1002">
        <f t="shared" ca="1" si="99"/>
        <v>0.48198186818858491</v>
      </c>
      <c r="C1002" s="1">
        <f t="shared" ca="1" si="100"/>
        <v>53.350116063798609</v>
      </c>
      <c r="D1002" s="1">
        <f t="shared" ca="1" si="105"/>
        <v>171.59766324308458</v>
      </c>
      <c r="E1002" s="1">
        <f t="shared" ca="1" si="103"/>
        <v>205.72917535417318</v>
      </c>
      <c r="F1002" s="1">
        <f t="shared" ca="1" si="101"/>
        <v>11.008705385032618</v>
      </c>
      <c r="G1002" s="1">
        <f t="shared" ca="1" si="104"/>
        <v>8.2097514422586322</v>
      </c>
      <c r="H1002" s="1">
        <f t="shared" ca="1" si="102"/>
        <v>3.2115322567237716</v>
      </c>
    </row>
    <row r="1003" spans="1:8">
      <c r="A1003">
        <v>959</v>
      </c>
      <c r="B1003">
        <f t="shared" ca="1" si="99"/>
        <v>0.54040295996276322</v>
      </c>
      <c r="C1003" s="1">
        <f t="shared" ca="1" si="100"/>
        <v>47.33339338342342</v>
      </c>
      <c r="D1003" s="1">
        <f t="shared" ca="1" si="105"/>
        <v>152.24520889309389</v>
      </c>
      <c r="E1003" s="1">
        <f t="shared" ca="1" si="103"/>
        <v>182.52743450438231</v>
      </c>
      <c r="F1003" s="1">
        <f t="shared" ca="1" si="101"/>
        <v>9.7671658251063658</v>
      </c>
      <c r="G1003" s="1">
        <f t="shared" ca="1" si="104"/>
        <v>7.2838725419133574</v>
      </c>
      <c r="H1003" s="1">
        <f t="shared" ca="1" si="102"/>
        <v>2.8493429336612746</v>
      </c>
    </row>
    <row r="1004" spans="1:8">
      <c r="A1004">
        <v>960</v>
      </c>
      <c r="B1004">
        <f t="shared" ca="1" si="99"/>
        <v>0.40571106550832481</v>
      </c>
      <c r="C1004" s="1">
        <f t="shared" ca="1" si="100"/>
        <v>61.205160439048925</v>
      </c>
      <c r="D1004" s="1">
        <f t="shared" ca="1" si="105"/>
        <v>196.86297722955263</v>
      </c>
      <c r="E1004" s="1">
        <f t="shared" ca="1" si="103"/>
        <v>236.0198690822744</v>
      </c>
      <c r="F1004" s="1">
        <f t="shared" ca="1" si="101"/>
        <v>12.629579215342066</v>
      </c>
      <c r="G1004" s="1">
        <f t="shared" ca="1" si="104"/>
        <v>9.4185191110830466</v>
      </c>
      <c r="H1004" s="1">
        <f t="shared" ca="1" si="102"/>
        <v>3.6843832349111816</v>
      </c>
    </row>
    <row r="1005" spans="1:8">
      <c r="A1005">
        <v>961</v>
      </c>
      <c r="B1005">
        <f t="shared" ca="1" si="99"/>
        <v>0.10217580833135109</v>
      </c>
      <c r="C1005" s="1">
        <f t="shared" ca="1" si="100"/>
        <v>92.465915941694604</v>
      </c>
      <c r="D1005" s="1">
        <f t="shared" ca="1" si="105"/>
        <v>297.4114611715525</v>
      </c>
      <c r="E1005" s="1">
        <f t="shared" ca="1" si="103"/>
        <v>356.56787943129564</v>
      </c>
      <c r="F1005" s="1">
        <f t="shared" ca="1" si="101"/>
        <v>19.08017810305692</v>
      </c>
      <c r="G1005" s="1">
        <f t="shared" ca="1" si="104"/>
        <v>14.229057250585136</v>
      </c>
      <c r="H1005" s="1">
        <f t="shared" ca="1" si="102"/>
        <v>5.5661904039295544</v>
      </c>
    </row>
    <row r="1006" spans="1:8">
      <c r="A1006">
        <v>962</v>
      </c>
      <c r="B1006">
        <f t="shared" ref="B1006:B1044" ca="1" si="106">RAND()</f>
        <v>0.49979432880814822</v>
      </c>
      <c r="C1006" s="1">
        <f t="shared" ref="C1006:C1044" ca="1" si="107">IF($B1006&lt;=0.005,$F$4,IF(B1006&lt;=0.01,$F$4+($B1006-0.005)*SLOPE($E$4:$F$4,$E$3:$F$3),IF($B1006&lt;=0.04,$E$4+($B1006-0.01)*SLOPE($D$4:$E$4,$D$3:$E$3),IF($B1006&lt;=0.1,$D$4+($B1006-0.04)*SLOPE($C$4:$D$4,$C$3:$D$3),IF($B1006&lt;=1,$C$4+($B1006-0.1)*SLOPE($B$4:$C$4,$B$3:$C$3),)))))</f>
        <v>51.515630734128926</v>
      </c>
      <c r="D1006" s="1">
        <f t="shared" ca="1" si="105"/>
        <v>165.69714306222983</v>
      </c>
      <c r="E1006" s="1">
        <f t="shared" ca="1" si="103"/>
        <v>198.65501630234115</v>
      </c>
      <c r="F1006" s="1">
        <f t="shared" ref="F1006:F1044" ca="1" si="108">IF($B1006&lt;=0.005,$F$22,IF($B1006&lt;=0.01,$F$22+($B1006-0.005)*SLOPE($E$22:$F$22,$E$21:$F$21),IF($B1006&lt;=0.04,$E$22+($B1006-0.01)*SLOPE($D$22:$E$22,$D$21:$E$21),IF($B1006&lt;=0.1,$D$22+($B1006-0.04)*SLOPE($C$22:$D$22,$C$21:$D$21),IF($B1006&lt;=1,$C$22+($B1006-0.1)*SLOPE($B$22:$C$22,$B$21:$C$21),)))))</f>
        <v>10.630162741490462</v>
      </c>
      <c r="G1006" s="1">
        <f t="shared" ca="1" si="104"/>
        <v>7.9274530299894144</v>
      </c>
      <c r="H1006" s="1">
        <f t="shared" ref="H1006:H1044" ca="1" si="109">IF($B1006&lt;=0.005,$F$34,IF($B1006&lt;=0.01,$F$34+($B1006-0.005)*SLOPE($E$34:$F$34,$E$33:$F$33),IF($B1006&lt;=0.04,$E$34+($B1006-0.01)*SLOPE($D$34:$E$34,$D$33:$E$33),IF($B1006&lt;=0.1,$D$34+($B1006-0.04)*SLOPE($C$34:$D$34,$C$33:$D$33),IF($B1006&lt;=1,$C$34+($B1006-0.1)*SLOPE($B$34:$C$34,$B$33:$C$33),)))))</f>
        <v>3.1011015397009767</v>
      </c>
    </row>
    <row r="1007" spans="1:8">
      <c r="A1007">
        <v>963</v>
      </c>
      <c r="B1007">
        <f t="shared" ca="1" si="106"/>
        <v>0.3067279256221116</v>
      </c>
      <c r="C1007" s="1">
        <f t="shared" ca="1" si="107"/>
        <v>71.399322934850815</v>
      </c>
      <c r="D1007" s="1">
        <f t="shared" ca="1" si="105"/>
        <v>229.65193474289629</v>
      </c>
      <c r="E1007" s="1">
        <f t="shared" ref="E1007:E1045" ca="1" si="110">IF($B1007&lt;=0.005,$F$16,IF($B1007&lt;=0.01,$F$16+($B1007-0.005)*SLOPE($E$16:$F$16,$E$15:$F$15),IF($B1007&lt;=0.04,$E$16+($B1007-0.01)*SLOPE($D$16:$E$16,$D$15:$E$15),IF($B1007&lt;=0.1,$D$16+($B1007-0.04)*SLOPE($C$16:$D$16,$C$15:$D$15),IF($B1007&lt;=1,$C$16+($B1007-0.1)*SLOPE($B$16:$C$16,$B$15:$C$15),)))))</f>
        <v>275.33069143074664</v>
      </c>
      <c r="F1007" s="1">
        <f t="shared" ca="1" si="108"/>
        <v>14.733125729150373</v>
      </c>
      <c r="G1007" s="1">
        <f t="shared" ref="G1007:G1045" ca="1" si="111">IF($B1007&lt;=0.005,$F$28,IF($B1007&lt;=0.01,$F$28+($B1007-0.005)*SLOPE($E$28:$F$28,$E$27:$F$27),IF($B1007&lt;=0.04,$E$28+($B1007-0.01)*SLOPE($D$28:$E$28,$D$27:$E$27),IF($B1007&lt;=0.1,$D$28+($B1007-0.04)*SLOPE($C$28:$D$28,$C$27:$D$27),IF($B1007&lt;=1,$C$28+($B1007-0.1)*SLOPE($B$28:$C$28,$B$27:$C$27),)))))</f>
        <v>10.987240234351692</v>
      </c>
      <c r="H1007" s="1">
        <f t="shared" ca="1" si="109"/>
        <v>4.2980423662496641</v>
      </c>
    </row>
    <row r="1008" spans="1:8">
      <c r="A1008">
        <v>964</v>
      </c>
      <c r="B1008">
        <f t="shared" ca="1" si="106"/>
        <v>0.7711220971797853</v>
      </c>
      <c r="C1008" s="1">
        <f t="shared" ca="1" si="107"/>
        <v>23.571888359585202</v>
      </c>
      <c r="D1008" s="1">
        <f t="shared" ref="D1008:D1046" ca="1" si="112">IF($B1008&lt;=0.005,$F$10,IF($B1008&lt;=0.01,$F$10+($B1008-0.005)*SLOPE($E$10:$F$10,$E$9:$F$9),IF($B1008&lt;=0.04,$E$10+($B1008-0.01)*SLOPE($D$10:$E$10,$D$9:$E$9),IF($B1008&lt;=0.1,$D$10+($B1008-0.04)*SLOPE($C$10:$D$10,$C$9:$D$9),IF($B1008&lt;=1,$C$10+($B1008-0.1)*SLOPE($B$10:$C$10,$B$9:$C$9),)))))</f>
        <v>75.817647629421202</v>
      </c>
      <c r="E1008" s="1">
        <f t="shared" ca="1" si="110"/>
        <v>90.898102216506288</v>
      </c>
      <c r="F1008" s="1">
        <f t="shared" ca="1" si="108"/>
        <v>4.8640233574129805</v>
      </c>
      <c r="G1008" s="1">
        <f t="shared" ca="1" si="111"/>
        <v>3.6273509917713493</v>
      </c>
      <c r="H1008" s="1">
        <f t="shared" ca="1" si="109"/>
        <v>1.4189689781520896</v>
      </c>
    </row>
    <row r="1009" spans="1:8">
      <c r="A1009">
        <v>965</v>
      </c>
      <c r="B1009">
        <f t="shared" ca="1" si="106"/>
        <v>0.35698497768728543</v>
      </c>
      <c r="C1009" s="1">
        <f t="shared" ca="1" si="107"/>
        <v>66.22340554223922</v>
      </c>
      <c r="D1009" s="1">
        <f t="shared" ca="1" si="112"/>
        <v>213.00388390509488</v>
      </c>
      <c r="E1009" s="1">
        <f t="shared" ca="1" si="110"/>
        <v>255.37127159659016</v>
      </c>
      <c r="F1009" s="1">
        <f t="shared" ca="1" si="108"/>
        <v>13.665084780080582</v>
      </c>
      <c r="G1009" s="1">
        <f t="shared" ca="1" si="111"/>
        <v>10.190748031149402</v>
      </c>
      <c r="H1009" s="1">
        <f t="shared" ca="1" si="109"/>
        <v>3.9864670924262571</v>
      </c>
    </row>
    <row r="1010" spans="1:8">
      <c r="A1010">
        <v>966</v>
      </c>
      <c r="B1010">
        <f t="shared" ca="1" si="106"/>
        <v>0.75729883384758112</v>
      </c>
      <c r="C1010" s="1">
        <f t="shared" ca="1" si="107"/>
        <v>24.995530737395612</v>
      </c>
      <c r="D1010" s="1">
        <f t="shared" ca="1" si="112"/>
        <v>80.396714272654009</v>
      </c>
      <c r="E1010" s="1">
        <f t="shared" ca="1" si="110"/>
        <v>96.387964932046543</v>
      </c>
      <c r="F1010" s="1">
        <f t="shared" ca="1" si="108"/>
        <v>5.1577893202359313</v>
      </c>
      <c r="G1010" s="1">
        <f t="shared" ca="1" si="111"/>
        <v>3.8464271415748588</v>
      </c>
      <c r="H1010" s="1">
        <f t="shared" ca="1" si="109"/>
        <v>1.5046681363971697</v>
      </c>
    </row>
    <row r="1011" spans="1:8">
      <c r="A1011">
        <v>967</v>
      </c>
      <c r="B1011">
        <f t="shared" ca="1" si="106"/>
        <v>0.46049034645324127</v>
      </c>
      <c r="C1011" s="1">
        <f t="shared" ca="1" si="107"/>
        <v>55.563503769058372</v>
      </c>
      <c r="D1011" s="1">
        <f t="shared" ca="1" si="112"/>
        <v>178.71690187187892</v>
      </c>
      <c r="E1011" s="1">
        <f t="shared" ca="1" si="110"/>
        <v>214.26446120091057</v>
      </c>
      <c r="F1011" s="1">
        <f t="shared" ca="1" si="108"/>
        <v>11.465433830652621</v>
      </c>
      <c r="G1011" s="1">
        <f t="shared" ca="1" si="111"/>
        <v>8.550356965140379</v>
      </c>
      <c r="H1011" s="1">
        <f t="shared" ca="1" si="109"/>
        <v>3.3447718021091166</v>
      </c>
    </row>
    <row r="1012" spans="1:8">
      <c r="A1012">
        <v>968</v>
      </c>
      <c r="B1012">
        <f t="shared" ca="1" si="106"/>
        <v>0.53163014671904518</v>
      </c>
      <c r="C1012" s="1">
        <f t="shared" ca="1" si="107"/>
        <v>48.236895574347969</v>
      </c>
      <c r="D1012" s="1">
        <f t="shared" ca="1" si="112"/>
        <v>155.15127351229512</v>
      </c>
      <c r="E1012" s="1">
        <f t="shared" ca="1" si="110"/>
        <v>186.01152788954434</v>
      </c>
      <c r="F1012" s="1">
        <f t="shared" ca="1" si="108"/>
        <v>9.9536018255841068</v>
      </c>
      <c r="G1012" s="1">
        <f t="shared" ca="1" si="111"/>
        <v>7.4229073054269392</v>
      </c>
      <c r="H1012" s="1">
        <f t="shared" ca="1" si="109"/>
        <v>2.9037311553394658</v>
      </c>
    </row>
    <row r="1013" spans="1:8">
      <c r="A1013">
        <v>969</v>
      </c>
      <c r="B1013">
        <f t="shared" ca="1" si="106"/>
        <v>0.97780706353817493</v>
      </c>
      <c r="C1013" s="1">
        <f t="shared" ca="1" si="107"/>
        <v>2.2856356207968958</v>
      </c>
      <c r="D1013" s="1">
        <f t="shared" ca="1" si="112"/>
        <v>7.3515978722339241</v>
      </c>
      <c r="E1013" s="1">
        <f t="shared" ca="1" si="110"/>
        <v>8.8138603551678898</v>
      </c>
      <c r="F1013" s="1">
        <f t="shared" ca="1" si="108"/>
        <v>0.4716446054399448</v>
      </c>
      <c r="G1013" s="1">
        <f t="shared" ca="1" si="111"/>
        <v>0.35173180085462263</v>
      </c>
      <c r="H1013" s="1">
        <f t="shared" ca="1" si="109"/>
        <v>0.1375980592055317</v>
      </c>
    </row>
    <row r="1014" spans="1:8">
      <c r="A1014">
        <v>970</v>
      </c>
      <c r="B1014">
        <f t="shared" ca="1" si="106"/>
        <v>0.70289694975760453</v>
      </c>
      <c r="C1014" s="1">
        <f t="shared" ca="1" si="107"/>
        <v>30.598319728819042</v>
      </c>
      <c r="D1014" s="1">
        <f t="shared" ca="1" si="112"/>
        <v>98.417773900815405</v>
      </c>
      <c r="E1014" s="1">
        <f t="shared" ca="1" si="110"/>
        <v>117.99349091699381</v>
      </c>
      <c r="F1014" s="1">
        <f t="shared" ca="1" si="108"/>
        <v>6.3139144315793949</v>
      </c>
      <c r="G1014" s="1">
        <f t="shared" ca="1" si="111"/>
        <v>4.7086081636727979</v>
      </c>
      <c r="H1014" s="1">
        <f t="shared" ca="1" si="109"/>
        <v>1.8419398472381161</v>
      </c>
    </row>
    <row r="1015" spans="1:8">
      <c r="A1015">
        <v>971</v>
      </c>
      <c r="B1015">
        <f t="shared" ca="1" si="106"/>
        <v>0.48072919537936065</v>
      </c>
      <c r="C1015" s="1">
        <f t="shared" ca="1" si="107"/>
        <v>53.479127430643352</v>
      </c>
      <c r="D1015" s="1">
        <f t="shared" ca="1" si="112"/>
        <v>172.01262113962122</v>
      </c>
      <c r="E1015" s="1">
        <f t="shared" ca="1" si="110"/>
        <v>206.22667016309501</v>
      </c>
      <c r="F1015" s="1">
        <f t="shared" ca="1" si="108"/>
        <v>11.03532664117599</v>
      </c>
      <c r="G1015" s="1">
        <f t="shared" ca="1" si="111"/>
        <v>8.2296042606136908</v>
      </c>
      <c r="H1015" s="1">
        <f t="shared" ca="1" si="109"/>
        <v>3.2192983682943237</v>
      </c>
    </row>
    <row r="1016" spans="1:8">
      <c r="A1016">
        <v>972</v>
      </c>
      <c r="B1016">
        <f t="shared" ca="1" si="106"/>
        <v>0.57060849404641412</v>
      </c>
      <c r="C1016" s="1">
        <f t="shared" ca="1" si="107"/>
        <v>44.222559325469803</v>
      </c>
      <c r="D1016" s="1">
        <f t="shared" ca="1" si="112"/>
        <v>142.23938391244351</v>
      </c>
      <c r="E1016" s="1">
        <f t="shared" ca="1" si="110"/>
        <v>170.53140785107436</v>
      </c>
      <c r="F1016" s="1">
        <f t="shared" ca="1" si="108"/>
        <v>9.125250989989766</v>
      </c>
      <c r="G1016" s="1">
        <f t="shared" ca="1" si="111"/>
        <v>6.8051641536857783</v>
      </c>
      <c r="H1016" s="1">
        <f t="shared" ca="1" si="109"/>
        <v>2.6620797105639249</v>
      </c>
    </row>
    <row r="1017" spans="1:8">
      <c r="A1017">
        <v>973</v>
      </c>
      <c r="B1017">
        <f t="shared" ca="1" si="106"/>
        <v>0.13346797939807187</v>
      </c>
      <c r="C1017" s="1">
        <f t="shared" ca="1" si="107"/>
        <v>89.243170360302784</v>
      </c>
      <c r="D1017" s="1">
        <f t="shared" ca="1" si="112"/>
        <v>287.04567899100658</v>
      </c>
      <c r="E1017" s="1">
        <f t="shared" ca="1" si="110"/>
        <v>344.140298541096</v>
      </c>
      <c r="F1017" s="1">
        <f t="shared" ca="1" si="108"/>
        <v>18.415170532751887</v>
      </c>
      <c r="G1017" s="1">
        <f t="shared" ca="1" si="111"/>
        <v>13.733127440703059</v>
      </c>
      <c r="H1017" s="1">
        <f t="shared" ca="1" si="109"/>
        <v>5.3721904304333234</v>
      </c>
    </row>
    <row r="1018" spans="1:8">
      <c r="A1018">
        <v>974</v>
      </c>
      <c r="B1018">
        <f t="shared" ca="1" si="106"/>
        <v>0.45396576258520493</v>
      </c>
      <c r="C1018" s="1">
        <f t="shared" ca="1" si="107"/>
        <v>56.235463339594425</v>
      </c>
      <c r="D1018" s="1">
        <f t="shared" ca="1" si="112"/>
        <v>180.87822251181035</v>
      </c>
      <c r="E1018" s="1">
        <f t="shared" ca="1" si="110"/>
        <v>216.85567782253855</v>
      </c>
      <c r="F1018" s="1">
        <f t="shared" ca="1" si="108"/>
        <v>11.60409144108441</v>
      </c>
      <c r="G1018" s="1">
        <f t="shared" ca="1" si="111"/>
        <v>8.6537609645092868</v>
      </c>
      <c r="H1018" s="1">
        <f t="shared" ca="1" si="109"/>
        <v>3.3852218269659451</v>
      </c>
    </row>
    <row r="1019" spans="1:8">
      <c r="A1019">
        <v>975</v>
      </c>
      <c r="B1019">
        <f t="shared" ca="1" si="106"/>
        <v>0.93734643438690435</v>
      </c>
      <c r="C1019" s="1">
        <f t="shared" ca="1" si="107"/>
        <v>6.452630411269098</v>
      </c>
      <c r="D1019" s="1">
        <f t="shared" ca="1" si="112"/>
        <v>20.754505192907345</v>
      </c>
      <c r="E1019" s="1">
        <f t="shared" ca="1" si="110"/>
        <v>24.882663653400641</v>
      </c>
      <c r="F1019" s="1">
        <f t="shared" ca="1" si="108"/>
        <v>1.3314962478053616</v>
      </c>
      <c r="G1019" s="1">
        <f t="shared" ca="1" si="111"/>
        <v>0.99296669887161038</v>
      </c>
      <c r="H1019" s="1">
        <f t="shared" ca="1" si="109"/>
        <v>0.38843910715490537</v>
      </c>
    </row>
    <row r="1020" spans="1:8">
      <c r="A1020">
        <v>976</v>
      </c>
      <c r="B1020">
        <f t="shared" ca="1" si="106"/>
        <v>1.2465489005881181E-2</v>
      </c>
      <c r="C1020" s="1">
        <f t="shared" ca="1" si="107"/>
        <v>145.22200397398984</v>
      </c>
      <c r="D1020" s="1">
        <f t="shared" ca="1" si="112"/>
        <v>461.15748356964292</v>
      </c>
      <c r="E1020" s="1">
        <f t="shared" ca="1" si="110"/>
        <v>552.78183709627194</v>
      </c>
      <c r="F1020" s="1">
        <f t="shared" ca="1" si="108"/>
        <v>30.266118716412787</v>
      </c>
      <c r="G1020" s="1">
        <f t="shared" ca="1" si="111"/>
        <v>20.811955398499659</v>
      </c>
      <c r="H1020" s="1">
        <f t="shared" ca="1" si="109"/>
        <v>7.8084461280625561</v>
      </c>
    </row>
    <row r="1021" spans="1:8">
      <c r="A1021">
        <v>977</v>
      </c>
      <c r="B1021">
        <f t="shared" ca="1" si="106"/>
        <v>0.39807191735519687</v>
      </c>
      <c r="C1021" s="1">
        <f t="shared" ca="1" si="107"/>
        <v>61.991907734517753</v>
      </c>
      <c r="D1021" s="1">
        <f t="shared" ca="1" si="112"/>
        <v>199.39350621175092</v>
      </c>
      <c r="E1021" s="1">
        <f t="shared" ca="1" si="110"/>
        <v>239.05373117521756</v>
      </c>
      <c r="F1021" s="1">
        <f t="shared" ca="1" si="108"/>
        <v>12.791923059803356</v>
      </c>
      <c r="G1021" s="1">
        <f t="shared" ca="1" si="111"/>
        <v>9.5395871342369531</v>
      </c>
      <c r="H1021" s="1">
        <f t="shared" ca="1" si="109"/>
        <v>3.7317431491875261</v>
      </c>
    </row>
    <row r="1022" spans="1:8">
      <c r="A1022">
        <v>978</v>
      </c>
      <c r="B1022">
        <f t="shared" ca="1" si="106"/>
        <v>0.47299041219581928</v>
      </c>
      <c r="C1022" s="1">
        <f t="shared" ca="1" si="107"/>
        <v>54.276136026081815</v>
      </c>
      <c r="D1022" s="1">
        <f t="shared" ca="1" si="112"/>
        <v>174.57615502328881</v>
      </c>
      <c r="E1022" s="1">
        <f t="shared" ca="1" si="110"/>
        <v>209.30010197452529</v>
      </c>
      <c r="F1022" s="1">
        <f t="shared" ca="1" si="108"/>
        <v>11.199787885844227</v>
      </c>
      <c r="G1022" s="1">
        <f t="shared" ca="1" si="111"/>
        <v>8.3522513362911575</v>
      </c>
      <c r="H1022" s="1">
        <f t="shared" ca="1" si="109"/>
        <v>3.2672759831839713</v>
      </c>
    </row>
    <row r="1023" spans="1:8">
      <c r="A1023">
        <v>979</v>
      </c>
      <c r="B1023">
        <f t="shared" ca="1" si="106"/>
        <v>0.36168863174208132</v>
      </c>
      <c r="C1023" s="1">
        <f t="shared" ca="1" si="107"/>
        <v>65.738981489680896</v>
      </c>
      <c r="D1023" s="1">
        <f t="shared" ca="1" si="112"/>
        <v>211.44576084355668</v>
      </c>
      <c r="E1023" s="1">
        <f t="shared" ca="1" si="110"/>
        <v>253.50323114900169</v>
      </c>
      <c r="F1023" s="1">
        <f t="shared" ca="1" si="108"/>
        <v>13.565124775775805</v>
      </c>
      <c r="G1023" s="1">
        <f t="shared" ca="1" si="111"/>
        <v>10.116202795659916</v>
      </c>
      <c r="H1023" s="1">
        <f t="shared" ca="1" si="109"/>
        <v>3.957306163962067</v>
      </c>
    </row>
    <row r="1024" spans="1:8">
      <c r="A1024">
        <v>980</v>
      </c>
      <c r="B1024">
        <f t="shared" ca="1" si="106"/>
        <v>0.82679487147138897</v>
      </c>
      <c r="C1024" s="1">
        <f t="shared" ca="1" si="107"/>
        <v>17.838211812517415</v>
      </c>
      <c r="D1024" s="1">
        <f t="shared" ca="1" si="112"/>
        <v>57.375595447647356</v>
      </c>
      <c r="E1024" s="1">
        <f t="shared" ca="1" si="110"/>
        <v>68.787846446284448</v>
      </c>
      <c r="F1024" s="1">
        <f t="shared" ca="1" si="108"/>
        <v>3.6808898418489715</v>
      </c>
      <c r="G1024" s="1">
        <f t="shared" ca="1" si="111"/>
        <v>2.7450284353985897</v>
      </c>
      <c r="H1024" s="1">
        <f t="shared" ca="1" si="109"/>
        <v>1.0738182145951596</v>
      </c>
    </row>
    <row r="1025" spans="1:8">
      <c r="A1025">
        <v>981</v>
      </c>
      <c r="B1025">
        <f t="shared" ca="1" si="106"/>
        <v>0.40279758512603869</v>
      </c>
      <c r="C1025" s="1">
        <f t="shared" ca="1" si="107"/>
        <v>61.505216514048143</v>
      </c>
      <c r="D1025" s="1">
        <f t="shared" ca="1" si="112"/>
        <v>197.82809093053805</v>
      </c>
      <c r="E1025" s="1">
        <f t="shared" ca="1" si="110"/>
        <v>237.1769480540616</v>
      </c>
      <c r="F1025" s="1">
        <f t="shared" ca="1" si="108"/>
        <v>12.691495229607245</v>
      </c>
      <c r="G1025" s="1">
        <f t="shared" ca="1" si="111"/>
        <v>9.4646930172975292</v>
      </c>
      <c r="H1025" s="1">
        <f t="shared" ca="1" si="109"/>
        <v>3.7024457437649185</v>
      </c>
    </row>
    <row r="1026" spans="1:8">
      <c r="A1026">
        <v>982</v>
      </c>
      <c r="B1026">
        <f t="shared" ca="1" si="106"/>
        <v>0.71763603902645956</v>
      </c>
      <c r="C1026" s="1">
        <f t="shared" ca="1" si="107"/>
        <v>29.080357465553178</v>
      </c>
      <c r="D1026" s="1">
        <f t="shared" ca="1" si="112"/>
        <v>93.535332584269725</v>
      </c>
      <c r="E1026" s="1">
        <f t="shared" ca="1" si="110"/>
        <v>112.13991099932002</v>
      </c>
      <c r="F1026" s="1">
        <f t="shared" ca="1" si="108"/>
        <v>6.0006857354211327</v>
      </c>
      <c r="G1026" s="1">
        <f t="shared" ca="1" si="111"/>
        <v>4.4750176683583973</v>
      </c>
      <c r="H1026" s="1">
        <f t="shared" ca="1" si="109"/>
        <v>1.7505629043785196</v>
      </c>
    </row>
    <row r="1027" spans="1:8">
      <c r="A1027">
        <v>983</v>
      </c>
      <c r="B1027">
        <f t="shared" ca="1" si="106"/>
        <v>0.80938150246581986</v>
      </c>
      <c r="C1027" s="1">
        <f t="shared" ca="1" si="107"/>
        <v>19.631595144731321</v>
      </c>
      <c r="D1027" s="1">
        <f t="shared" ca="1" si="112"/>
        <v>63.143913336372037</v>
      </c>
      <c r="E1027" s="1">
        <f t="shared" ca="1" si="110"/>
        <v>75.703507600832893</v>
      </c>
      <c r="F1027" s="1">
        <f t="shared" ca="1" si="108"/>
        <v>4.0509511644886711</v>
      </c>
      <c r="G1027" s="1">
        <f t="shared" ca="1" si="111"/>
        <v>3.0210018973205877</v>
      </c>
      <c r="H1027" s="1">
        <f t="shared" ca="1" si="109"/>
        <v>1.1817747101146798</v>
      </c>
    </row>
    <row r="1028" spans="1:8">
      <c r="A1028">
        <v>984</v>
      </c>
      <c r="B1028">
        <f t="shared" ca="1" si="106"/>
        <v>0.95259874927070165</v>
      </c>
      <c r="C1028" s="1">
        <f t="shared" ca="1" si="107"/>
        <v>4.8818116178735238</v>
      </c>
      <c r="D1028" s="1">
        <f t="shared" ca="1" si="112"/>
        <v>15.702053782698783</v>
      </c>
      <c r="E1028" s="1">
        <f t="shared" ca="1" si="110"/>
        <v>18.825257902389239</v>
      </c>
      <c r="F1028" s="1">
        <f t="shared" ca="1" si="108"/>
        <v>1.0073607047401403</v>
      </c>
      <c r="G1028" s="1">
        <f t="shared" ca="1" si="111"/>
        <v>0.75124241568093097</v>
      </c>
      <c r="H1028" s="1">
        <f t="shared" ca="1" si="109"/>
        <v>0.29388035388387745</v>
      </c>
    </row>
    <row r="1029" spans="1:8">
      <c r="A1029">
        <v>985</v>
      </c>
      <c r="B1029">
        <f t="shared" ca="1" si="106"/>
        <v>8.2347331633667697E-2</v>
      </c>
      <c r="C1029" s="1">
        <f t="shared" ca="1" si="107"/>
        <v>97.111993425766244</v>
      </c>
      <c r="D1029" s="1">
        <f t="shared" ca="1" si="112"/>
        <v>311.64459532549148</v>
      </c>
      <c r="E1029" s="1">
        <f t="shared" ca="1" si="110"/>
        <v>373.6090182896865</v>
      </c>
      <c r="F1029" s="1">
        <f t="shared" ca="1" si="108"/>
        <v>21.299240307266068</v>
      </c>
      <c r="G1029" s="1">
        <f t="shared" ca="1" si="111"/>
        <v>14.992288042756801</v>
      </c>
      <c r="H1029" s="1">
        <f t="shared" ca="1" si="109"/>
        <v>5.8151451504431311</v>
      </c>
    </row>
    <row r="1030" spans="1:8">
      <c r="A1030">
        <v>986</v>
      </c>
      <c r="B1030">
        <f t="shared" ca="1" si="106"/>
        <v>0.60929991917432369</v>
      </c>
      <c r="C1030" s="1">
        <f t="shared" ca="1" si="107"/>
        <v>40.237772871923482</v>
      </c>
      <c r="D1030" s="1">
        <f t="shared" ca="1" si="112"/>
        <v>129.42253958816636</v>
      </c>
      <c r="E1030" s="1">
        <f t="shared" ca="1" si="110"/>
        <v>155.16523800274527</v>
      </c>
      <c r="F1030" s="1">
        <f t="shared" ca="1" si="108"/>
        <v>8.3029976998269088</v>
      </c>
      <c r="G1030" s="1">
        <f t="shared" ca="1" si="111"/>
        <v>6.1919682502491664</v>
      </c>
      <c r="H1030" s="1">
        <f t="shared" ca="1" si="109"/>
        <v>2.4222070780980807</v>
      </c>
    </row>
    <row r="1031" spans="1:8">
      <c r="A1031">
        <v>987</v>
      </c>
      <c r="B1031">
        <f t="shared" ca="1" si="106"/>
        <v>0.99342086494772808</v>
      </c>
      <c r="C1031" s="1">
        <f t="shared" ca="1" si="107"/>
        <v>0.67758773578194109</v>
      </c>
      <c r="D1031" s="1">
        <f t="shared" ca="1" si="112"/>
        <v>2.1794011564280709</v>
      </c>
      <c r="E1031" s="1">
        <f t="shared" ca="1" si="110"/>
        <v>2.6128914416655107</v>
      </c>
      <c r="F1031" s="1">
        <f t="shared" ca="1" si="108"/>
        <v>0.13982690840470013</v>
      </c>
      <c r="G1031" s="1">
        <f t="shared" ca="1" si="111"/>
        <v>0.10427854655449842</v>
      </c>
      <c r="H1031" s="1">
        <f t="shared" ca="1" si="109"/>
        <v>4.0798222173765275E-2</v>
      </c>
    </row>
    <row r="1032" spans="1:8">
      <c r="A1032">
        <v>988</v>
      </c>
      <c r="B1032">
        <f t="shared" ca="1" si="106"/>
        <v>0.18906370006423801</v>
      </c>
      <c r="C1032" s="1">
        <f t="shared" ca="1" si="107"/>
        <v>83.517429479647532</v>
      </c>
      <c r="D1032" s="1">
        <f t="shared" ca="1" si="112"/>
        <v>268.62915143952461</v>
      </c>
      <c r="E1032" s="1">
        <f t="shared" ca="1" si="110"/>
        <v>322.06064436003732</v>
      </c>
      <c r="F1032" s="1">
        <f t="shared" ca="1" si="108"/>
        <v>17.233674527225968</v>
      </c>
      <c r="G1032" s="1">
        <f t="shared" ca="1" si="111"/>
        <v>12.852026058461441</v>
      </c>
      <c r="H1032" s="1">
        <f t="shared" ca="1" si="109"/>
        <v>5.0275173710683081</v>
      </c>
    </row>
    <row r="1033" spans="1:8">
      <c r="A1033">
        <v>989</v>
      </c>
      <c r="B1033">
        <f t="shared" ca="1" si="106"/>
        <v>0.24835471507386309</v>
      </c>
      <c r="C1033" s="1">
        <f t="shared" ca="1" si="107"/>
        <v>77.411114381500866</v>
      </c>
      <c r="D1033" s="1">
        <f t="shared" ca="1" si="112"/>
        <v>248.98852805347661</v>
      </c>
      <c r="E1033" s="1">
        <f t="shared" ca="1" si="110"/>
        <v>298.51341641209245</v>
      </c>
      <c r="F1033" s="1">
        <f t="shared" ca="1" si="108"/>
        <v>15.973647738148284</v>
      </c>
      <c r="G1033" s="1">
        <f t="shared" ca="1" si="111"/>
        <v>11.912360295458178</v>
      </c>
      <c r="H1033" s="1">
        <f t="shared" ca="1" si="109"/>
        <v>4.6599348432882284</v>
      </c>
    </row>
    <row r="1034" spans="1:8">
      <c r="A1034">
        <v>990</v>
      </c>
      <c r="B1034">
        <f t="shared" ca="1" si="106"/>
        <v>0.4013507358466204</v>
      </c>
      <c r="C1034" s="1">
        <f t="shared" ca="1" si="107"/>
        <v>61.654225897649013</v>
      </c>
      <c r="D1034" s="1">
        <f t="shared" ca="1" si="112"/>
        <v>198.30737133733857</v>
      </c>
      <c r="E1034" s="1">
        <f t="shared" ca="1" si="110"/>
        <v>237.75155939750465</v>
      </c>
      <c r="F1034" s="1">
        <f t="shared" ca="1" si="108"/>
        <v>12.722243039398133</v>
      </c>
      <c r="G1034" s="1">
        <f t="shared" ca="1" si="111"/>
        <v>9.4876232156062379</v>
      </c>
      <c r="H1034" s="1">
        <f t="shared" ca="1" si="109"/>
        <v>3.7114156781699719</v>
      </c>
    </row>
    <row r="1035" spans="1:8">
      <c r="A1035">
        <v>991</v>
      </c>
      <c r="B1035">
        <f t="shared" ca="1" si="106"/>
        <v>0.26577607951728877</v>
      </c>
      <c r="C1035" s="1">
        <f t="shared" ca="1" si="107"/>
        <v>75.616907608114786</v>
      </c>
      <c r="D1035" s="1">
        <f t="shared" ca="1" si="112"/>
        <v>243.21756161195313</v>
      </c>
      <c r="E1035" s="1">
        <f t="shared" ca="1" si="110"/>
        <v>291.59457989618915</v>
      </c>
      <c r="F1035" s="1">
        <f t="shared" ca="1" si="108"/>
        <v>15.603416499950752</v>
      </c>
      <c r="G1035" s="1">
        <f t="shared" ca="1" si="111"/>
        <v>11.636260118903063</v>
      </c>
      <c r="H1035" s="1">
        <f t="shared" ca="1" si="109"/>
        <v>4.5519287789890628</v>
      </c>
    </row>
    <row r="1036" spans="1:8">
      <c r="A1036">
        <v>992</v>
      </c>
      <c r="B1036">
        <f t="shared" ca="1" si="106"/>
        <v>0.2373575140159665</v>
      </c>
      <c r="C1036" s="1">
        <f t="shared" ca="1" si="107"/>
        <v>78.543703777150228</v>
      </c>
      <c r="D1036" s="1">
        <f t="shared" ca="1" si="112"/>
        <v>252.63143894383211</v>
      </c>
      <c r="E1036" s="1">
        <f t="shared" ca="1" si="110"/>
        <v>302.88091796452215</v>
      </c>
      <c r="F1036" s="1">
        <f t="shared" ca="1" si="108"/>
        <v>16.207355458206266</v>
      </c>
      <c r="G1036" s="1">
        <f t="shared" ca="1" si="111"/>
        <v>12.086647973300954</v>
      </c>
      <c r="H1036" s="1">
        <f t="shared" ca="1" si="109"/>
        <v>4.7281134528585183</v>
      </c>
    </row>
    <row r="1037" spans="1:8">
      <c r="A1037">
        <v>993</v>
      </c>
      <c r="B1037">
        <f t="shared" ca="1" si="106"/>
        <v>0.21840394881963987</v>
      </c>
      <c r="C1037" s="1">
        <f t="shared" ca="1" si="107"/>
        <v>80.495710186607852</v>
      </c>
      <c r="D1037" s="1">
        <f t="shared" ca="1" si="112"/>
        <v>258.9099591510427</v>
      </c>
      <c r="E1037" s="1">
        <f t="shared" ca="1" si="110"/>
        <v>310.40826287557974</v>
      </c>
      <c r="F1037" s="1">
        <f t="shared" ca="1" si="108"/>
        <v>16.610148358480028</v>
      </c>
      <c r="G1037" s="1">
        <f t="shared" ca="1" si="111"/>
        <v>12.387031029636676</v>
      </c>
      <c r="H1037" s="1">
        <f t="shared" ca="1" si="109"/>
        <v>4.8456185993664551</v>
      </c>
    </row>
    <row r="1038" spans="1:8">
      <c r="A1038">
        <v>994</v>
      </c>
      <c r="B1038">
        <f t="shared" ca="1" si="106"/>
        <v>0.73632150083647652</v>
      </c>
      <c r="C1038" s="1">
        <f t="shared" ca="1" si="107"/>
        <v>27.155962722980007</v>
      </c>
      <c r="D1038" s="1">
        <f t="shared" ca="1" si="112"/>
        <v>87.345623770120568</v>
      </c>
      <c r="E1038" s="1">
        <f t="shared" ca="1" si="110"/>
        <v>104.71904244981616</v>
      </c>
      <c r="F1038" s="1">
        <f t="shared" ca="1" si="108"/>
        <v>5.6035904513702981</v>
      </c>
      <c r="G1038" s="1">
        <f t="shared" ca="1" si="111"/>
        <v>4.1788836128707736</v>
      </c>
      <c r="H1038" s="1">
        <f t="shared" ca="1" si="109"/>
        <v>1.6347199004469939</v>
      </c>
    </row>
    <row r="1039" spans="1:8">
      <c r="A1039">
        <v>995</v>
      </c>
      <c r="B1039">
        <f t="shared" ca="1" si="106"/>
        <v>0.24168127941860107</v>
      </c>
      <c r="C1039" s="1">
        <f t="shared" ca="1" si="107"/>
        <v>78.098404030558513</v>
      </c>
      <c r="D1039" s="1">
        <f t="shared" ca="1" si="112"/>
        <v>251.19915703958432</v>
      </c>
      <c r="E1039" s="1">
        <f t="shared" ca="1" si="110"/>
        <v>301.16374902226767</v>
      </c>
      <c r="F1039" s="1">
        <f t="shared" ca="1" si="108"/>
        <v>16.115468681835136</v>
      </c>
      <c r="G1039" s="1">
        <f t="shared" ca="1" si="111"/>
        <v>12.018123352572937</v>
      </c>
      <c r="H1039" s="1">
        <f t="shared" ca="1" si="109"/>
        <v>4.7013076945835</v>
      </c>
    </row>
    <row r="1040" spans="1:8">
      <c r="A1040">
        <v>996</v>
      </c>
      <c r="B1040">
        <f t="shared" ca="1" si="106"/>
        <v>0.99623332867138692</v>
      </c>
      <c r="C1040" s="1">
        <f t="shared" ca="1" si="107"/>
        <v>0.38793525309159804</v>
      </c>
      <c r="D1040" s="1">
        <f t="shared" ca="1" si="112"/>
        <v>1.2477500323186632</v>
      </c>
      <c r="E1040" s="1">
        <f t="shared" ca="1" si="110"/>
        <v>1.4959308973811858</v>
      </c>
      <c r="F1040" s="1">
        <f t="shared" ca="1" si="108"/>
        <v>8.0057656106625075E-2</v>
      </c>
      <c r="G1040" s="1">
        <f t="shared" ca="1" si="111"/>
        <v>5.9705589414502214E-2</v>
      </c>
      <c r="H1040" s="1">
        <f t="shared" ca="1" si="109"/>
        <v>2.3361979521072662E-2</v>
      </c>
    </row>
    <row r="1041" spans="1:8">
      <c r="A1041">
        <v>997</v>
      </c>
      <c r="B1041">
        <f t="shared" ca="1" si="106"/>
        <v>0.18425855514942446</v>
      </c>
      <c r="C1041" s="1">
        <f t="shared" ca="1" si="107"/>
        <v>84.01230596198377</v>
      </c>
      <c r="D1041" s="1">
        <f t="shared" ca="1" si="112"/>
        <v>270.22089416094565</v>
      </c>
      <c r="E1041" s="1">
        <f t="shared" ca="1" si="110"/>
        <v>323.96899156262197</v>
      </c>
      <c r="F1041" s="1">
        <f t="shared" ca="1" si="108"/>
        <v>17.335791371018956</v>
      </c>
      <c r="G1041" s="1">
        <f t="shared" ca="1" si="111"/>
        <v>12.92817975834306</v>
      </c>
      <c r="H1041" s="1">
        <f t="shared" ca="1" si="109"/>
        <v>5.0573075056080867</v>
      </c>
    </row>
    <row r="1042" spans="1:8">
      <c r="A1042">
        <v>998</v>
      </c>
      <c r="B1042">
        <f t="shared" ca="1" si="106"/>
        <v>0.4852481684400759</v>
      </c>
      <c r="C1042" s="1">
        <f t="shared" ca="1" si="107"/>
        <v>53.01372346641228</v>
      </c>
      <c r="D1042" s="1">
        <f t="shared" ca="1" si="112"/>
        <v>170.51567513586673</v>
      </c>
      <c r="E1042" s="1">
        <f t="shared" ca="1" si="110"/>
        <v>204.43197515350531</v>
      </c>
      <c r="F1042" s="1">
        <f t="shared" ca="1" si="108"/>
        <v>10.939291396802163</v>
      </c>
      <c r="G1042" s="1">
        <f t="shared" ca="1" si="111"/>
        <v>8.1579859172879985</v>
      </c>
      <c r="H1042" s="1">
        <f t="shared" ca="1" si="109"/>
        <v>3.1912823941984487</v>
      </c>
    </row>
    <row r="1043" spans="1:8">
      <c r="A1043">
        <v>999</v>
      </c>
      <c r="B1043">
        <f t="shared" ca="1" si="106"/>
        <v>0.20728346442168466</v>
      </c>
      <c r="C1043" s="1">
        <f t="shared" ca="1" si="107"/>
        <v>81.640996395098554</v>
      </c>
      <c r="D1043" s="1">
        <f t="shared" ca="1" si="112"/>
        <v>262.593708634758</v>
      </c>
      <c r="E1043" s="1">
        <f t="shared" ca="1" si="110"/>
        <v>314.82472599343504</v>
      </c>
      <c r="F1043" s="1">
        <f t="shared" ca="1" si="108"/>
        <v>16.846476042306477</v>
      </c>
      <c r="G1043" s="1">
        <f t="shared" ca="1" si="111"/>
        <v>12.563272547092129</v>
      </c>
      <c r="H1043" s="1">
        <f t="shared" ca="1" si="109"/>
        <v>4.914561520388733</v>
      </c>
    </row>
    <row r="1044" spans="1:8">
      <c r="A1044">
        <v>1000</v>
      </c>
      <c r="B1044">
        <f t="shared" ca="1" si="106"/>
        <v>0.88999450472345631</v>
      </c>
      <c r="C1044" s="1">
        <f t="shared" ca="1" si="107"/>
        <v>11.329352507919879</v>
      </c>
      <c r="D1044" s="1">
        <f t="shared" ca="1" si="112"/>
        <v>36.440210977695131</v>
      </c>
      <c r="E1044" s="1">
        <f t="shared" ca="1" si="110"/>
        <v>43.688323859744798</v>
      </c>
      <c r="F1044" s="1">
        <f t="shared" ca="1" si="108"/>
        <v>2.3377988027672068</v>
      </c>
      <c r="G1044" s="1">
        <f t="shared" ca="1" si="111"/>
        <v>1.743417456202339</v>
      </c>
      <c r="H1044" s="1">
        <f t="shared" ca="1" si="109"/>
        <v>0.68200368853589755</v>
      </c>
    </row>
  </sheetData>
  <mergeCells count="1">
    <mergeCell ref="C43:I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70F9-607F-47CF-A282-A792C3DF1062}">
  <dimension ref="A2:H54"/>
  <sheetViews>
    <sheetView topLeftCell="A5" workbookViewId="0">
      <selection activeCell="E21" sqref="E21"/>
    </sheetView>
  </sheetViews>
  <sheetFormatPr defaultColWidth="8.81640625" defaultRowHeight="14.5"/>
  <cols>
    <col min="2" max="2" width="9.81640625" customWidth="1"/>
    <col min="3" max="3" width="16.1796875" customWidth="1"/>
  </cols>
  <sheetData>
    <row r="2" spans="1:8">
      <c r="A2" s="1" t="s">
        <v>57</v>
      </c>
      <c r="G2" s="27" t="s">
        <v>58</v>
      </c>
    </row>
    <row r="3" spans="1:8" s="1" customFormat="1"/>
    <row r="4" spans="1:8" s="1" customFormat="1">
      <c r="A4" s="2" t="s">
        <v>0</v>
      </c>
      <c r="B4" s="102" t="s">
        <v>59</v>
      </c>
      <c r="C4" s="102"/>
      <c r="D4" s="102" t="s">
        <v>60</v>
      </c>
      <c r="E4" s="102"/>
    </row>
    <row r="5" spans="1:8" s="5" customFormat="1" ht="48">
      <c r="A5" s="3"/>
      <c r="B5" s="28" t="s">
        <v>61</v>
      </c>
      <c r="C5" s="28" t="s">
        <v>62</v>
      </c>
      <c r="D5" s="28" t="s">
        <v>63</v>
      </c>
      <c r="E5" s="28" t="s">
        <v>62</v>
      </c>
    </row>
    <row r="6" spans="1:8" s="1" customFormat="1">
      <c r="A6" s="1">
        <v>2</v>
      </c>
      <c r="B6" s="29">
        <v>0.12096701075390601</v>
      </c>
      <c r="C6" s="29">
        <v>2.24E-2</v>
      </c>
      <c r="D6" s="27">
        <v>6.1105529150338699E-3</v>
      </c>
      <c r="E6" s="27">
        <v>1.1999999999999999E-3</v>
      </c>
      <c r="H6" s="30"/>
    </row>
    <row r="7" spans="1:8" s="1" customFormat="1">
      <c r="A7" s="1">
        <v>5</v>
      </c>
      <c r="B7" s="27">
        <v>0.99426736028889695</v>
      </c>
      <c r="C7" s="27">
        <v>0.16</v>
      </c>
      <c r="D7" s="27">
        <v>0.263925378359812</v>
      </c>
      <c r="E7" s="27">
        <v>5.3999999999999999E-2</v>
      </c>
      <c r="H7" s="30"/>
    </row>
    <row r="8" spans="1:8" s="1" customFormat="1">
      <c r="A8" s="1">
        <v>10</v>
      </c>
      <c r="B8" s="27">
        <v>1.3261502139480501</v>
      </c>
      <c r="C8" s="27">
        <v>0.21279999999999999</v>
      </c>
      <c r="D8" s="27">
        <v>0.40643753587555598</v>
      </c>
      <c r="E8" s="27">
        <v>0.09</v>
      </c>
      <c r="H8" s="30"/>
    </row>
    <row r="9" spans="1:8" s="1" customFormat="1">
      <c r="A9" s="1">
        <v>25</v>
      </c>
      <c r="B9" s="27">
        <v>1.81711277945107</v>
      </c>
      <c r="C9" s="27">
        <v>0.2928</v>
      </c>
      <c r="D9" s="27">
        <v>0.61930517559855403</v>
      </c>
      <c r="E9" s="27">
        <v>0.13919999999999999</v>
      </c>
    </row>
    <row r="10" spans="1:8" s="1" customFormat="1">
      <c r="A10" s="7" t="s">
        <v>1</v>
      </c>
      <c r="B10" s="31">
        <v>0.37760392417024202</v>
      </c>
      <c r="C10" s="36">
        <v>6.1168E-2</v>
      </c>
      <c r="D10" s="31">
        <v>0.104795816747218</v>
      </c>
      <c r="E10" s="36">
        <v>2.2356000000000001E-2</v>
      </c>
    </row>
    <row r="11" spans="1:8" s="1" customFormat="1">
      <c r="B11" s="32" t="s">
        <v>64</v>
      </c>
    </row>
    <row r="12" spans="1:8" s="1" customFormat="1"/>
    <row r="13" spans="1:8" s="1" customFormat="1">
      <c r="A13" s="1" t="s">
        <v>47</v>
      </c>
    </row>
    <row r="14" spans="1:8" s="1" customFormat="1"/>
    <row r="15" spans="1:8" s="1" customFormat="1">
      <c r="A15" s="2" t="s">
        <v>0</v>
      </c>
      <c r="B15" s="101" t="s">
        <v>59</v>
      </c>
      <c r="C15" s="101"/>
      <c r="D15" s="101" t="s">
        <v>60</v>
      </c>
      <c r="E15" s="101"/>
    </row>
    <row r="16" spans="1:8" s="5" customFormat="1" ht="48">
      <c r="A16" s="3"/>
      <c r="B16" s="4" t="s">
        <v>65</v>
      </c>
      <c r="C16" s="4" t="s">
        <v>62</v>
      </c>
      <c r="D16" s="4" t="s">
        <v>66</v>
      </c>
      <c r="E16" s="4" t="s">
        <v>62</v>
      </c>
    </row>
    <row r="17" spans="1:8" s="1" customFormat="1">
      <c r="A17" s="1">
        <v>2</v>
      </c>
      <c r="B17" s="6">
        <f>B6*1.5</f>
        <v>0.181450516130859</v>
      </c>
      <c r="C17" s="6">
        <f t="shared" ref="C17:E17" si="0">C6*1.5</f>
        <v>3.3599999999999998E-2</v>
      </c>
      <c r="D17" s="6">
        <f t="shared" si="0"/>
        <v>9.1658293725508048E-3</v>
      </c>
      <c r="E17" s="6">
        <f t="shared" si="0"/>
        <v>1.8E-3</v>
      </c>
      <c r="H17" s="30"/>
    </row>
    <row r="18" spans="1:8" s="1" customFormat="1">
      <c r="A18" s="1">
        <v>5</v>
      </c>
      <c r="B18" s="6">
        <f t="shared" ref="B18:E21" si="1">B7*1.5</f>
        <v>1.4914010404333453</v>
      </c>
      <c r="C18" s="6">
        <f t="shared" si="1"/>
        <v>0.24</v>
      </c>
      <c r="D18" s="6">
        <f t="shared" si="1"/>
        <v>0.395888067539718</v>
      </c>
      <c r="E18" s="6">
        <f t="shared" si="1"/>
        <v>8.1000000000000003E-2</v>
      </c>
      <c r="H18" s="30"/>
    </row>
    <row r="19" spans="1:8" s="1" customFormat="1">
      <c r="A19" s="1">
        <v>10</v>
      </c>
      <c r="B19" s="6">
        <f t="shared" si="1"/>
        <v>1.9892253209220752</v>
      </c>
      <c r="C19" s="6">
        <f t="shared" si="1"/>
        <v>0.31919999999999998</v>
      </c>
      <c r="D19" s="6">
        <f t="shared" si="1"/>
        <v>0.60965630381333402</v>
      </c>
      <c r="E19" s="6">
        <f t="shared" si="1"/>
        <v>0.13500000000000001</v>
      </c>
      <c r="H19" s="30"/>
    </row>
    <row r="20" spans="1:8" s="1" customFormat="1">
      <c r="A20" s="1">
        <v>25</v>
      </c>
      <c r="B20" s="6">
        <f t="shared" si="1"/>
        <v>2.7256691691766051</v>
      </c>
      <c r="C20" s="6">
        <f t="shared" si="1"/>
        <v>0.43920000000000003</v>
      </c>
      <c r="D20" s="6">
        <f t="shared" si="1"/>
        <v>0.92895776339783098</v>
      </c>
      <c r="E20" s="6">
        <f t="shared" si="1"/>
        <v>0.20879999999999999</v>
      </c>
    </row>
    <row r="21" spans="1:8" s="1" customFormat="1">
      <c r="A21" s="7" t="s">
        <v>1</v>
      </c>
      <c r="B21" s="33">
        <f t="shared" si="1"/>
        <v>0.56640588625536303</v>
      </c>
      <c r="C21" s="37">
        <f t="shared" si="1"/>
        <v>9.1752E-2</v>
      </c>
      <c r="D21" s="33">
        <f t="shared" si="1"/>
        <v>0.15719372512082699</v>
      </c>
      <c r="E21" s="37">
        <f t="shared" si="1"/>
        <v>3.3534000000000001E-2</v>
      </c>
    </row>
    <row r="22" spans="1:8" s="1" customFormat="1"/>
    <row r="23" spans="1:8" s="1" customFormat="1"/>
    <row r="24" spans="1:8" s="1" customFormat="1">
      <c r="A24" s="1" t="s">
        <v>48</v>
      </c>
    </row>
    <row r="25" spans="1:8" s="1" customFormat="1"/>
    <row r="26" spans="1:8" s="1" customFormat="1">
      <c r="A26" s="2" t="s">
        <v>0</v>
      </c>
      <c r="B26" s="101" t="s">
        <v>59</v>
      </c>
      <c r="C26" s="101"/>
      <c r="D26" s="101" t="s">
        <v>60</v>
      </c>
      <c r="E26" s="101"/>
    </row>
    <row r="27" spans="1:8" s="5" customFormat="1" ht="48">
      <c r="A27" s="3"/>
      <c r="B27" s="4" t="s">
        <v>65</v>
      </c>
      <c r="C27" s="4" t="s">
        <v>62</v>
      </c>
      <c r="D27" s="4" t="s">
        <v>66</v>
      </c>
      <c r="E27" s="4" t="s">
        <v>62</v>
      </c>
    </row>
    <row r="28" spans="1:8" s="1" customFormat="1">
      <c r="A28" s="1">
        <v>2</v>
      </c>
      <c r="B28" s="6"/>
      <c r="C28" s="6"/>
      <c r="H28" s="30"/>
    </row>
    <row r="29" spans="1:8" s="1" customFormat="1">
      <c r="A29" s="1">
        <v>5</v>
      </c>
      <c r="H29" s="30"/>
    </row>
    <row r="30" spans="1:8" s="1" customFormat="1">
      <c r="A30" s="1">
        <v>10</v>
      </c>
      <c r="H30" s="30"/>
    </row>
    <row r="31" spans="1:8" s="1" customFormat="1">
      <c r="A31" s="1">
        <v>25</v>
      </c>
    </row>
    <row r="32" spans="1:8" s="1" customFormat="1">
      <c r="A32" s="7" t="s">
        <v>1</v>
      </c>
      <c r="B32" s="7"/>
      <c r="C32" s="7"/>
      <c r="D32" s="7"/>
      <c r="E32" s="7"/>
    </row>
    <row r="33" spans="1:8" s="1" customFormat="1"/>
    <row r="34" spans="1:8" s="1" customFormat="1"/>
    <row r="35" spans="1:8" s="1" customFormat="1">
      <c r="A35" s="1" t="s">
        <v>51</v>
      </c>
    </row>
    <row r="36" spans="1:8" s="1" customFormat="1"/>
    <row r="37" spans="1:8" s="1" customFormat="1">
      <c r="A37" s="2" t="s">
        <v>0</v>
      </c>
      <c r="B37" s="101" t="s">
        <v>59</v>
      </c>
      <c r="C37" s="101"/>
      <c r="D37" s="101" t="s">
        <v>60</v>
      </c>
      <c r="E37" s="101"/>
    </row>
    <row r="38" spans="1:8" s="5" customFormat="1" ht="48">
      <c r="A38" s="3"/>
      <c r="B38" s="4" t="s">
        <v>65</v>
      </c>
      <c r="C38" s="4" t="s">
        <v>62</v>
      </c>
      <c r="D38" s="4" t="s">
        <v>66</v>
      </c>
      <c r="E38" s="4" t="s">
        <v>62</v>
      </c>
    </row>
    <row r="39" spans="1:8" s="1" customFormat="1">
      <c r="A39" s="1">
        <v>2</v>
      </c>
      <c r="B39" s="6"/>
      <c r="C39" s="6"/>
      <c r="H39" s="30"/>
    </row>
    <row r="40" spans="1:8" s="1" customFormat="1">
      <c r="A40" s="1">
        <v>5</v>
      </c>
      <c r="H40" s="30"/>
    </row>
    <row r="41" spans="1:8" s="1" customFormat="1">
      <c r="A41" s="1">
        <v>10</v>
      </c>
      <c r="H41" s="30"/>
    </row>
    <row r="42" spans="1:8" s="1" customFormat="1">
      <c r="A42" s="1">
        <v>25</v>
      </c>
    </row>
    <row r="43" spans="1:8" s="1" customFormat="1">
      <c r="A43" s="7" t="s">
        <v>1</v>
      </c>
      <c r="B43" s="7"/>
      <c r="C43" s="7"/>
      <c r="D43" s="7"/>
      <c r="E43" s="7"/>
    </row>
    <row r="44" spans="1:8" s="1" customFormat="1"/>
    <row r="46" spans="1:8" s="1" customFormat="1">
      <c r="A46" s="1" t="s">
        <v>52</v>
      </c>
    </row>
    <row r="47" spans="1:8" s="1" customFormat="1"/>
    <row r="48" spans="1:8" s="1" customFormat="1">
      <c r="A48" s="2" t="s">
        <v>0</v>
      </c>
      <c r="B48" s="101" t="s">
        <v>59</v>
      </c>
      <c r="C48" s="101"/>
      <c r="D48" s="101" t="s">
        <v>60</v>
      </c>
      <c r="E48" s="101"/>
    </row>
    <row r="49" spans="1:8" s="5" customFormat="1" ht="48">
      <c r="A49" s="3"/>
      <c r="B49" s="4" t="s">
        <v>65</v>
      </c>
      <c r="C49" s="4" t="s">
        <v>62</v>
      </c>
      <c r="D49" s="4" t="s">
        <v>66</v>
      </c>
      <c r="E49" s="4" t="s">
        <v>62</v>
      </c>
    </row>
    <row r="50" spans="1:8" s="1" customFormat="1">
      <c r="A50" s="1">
        <v>2</v>
      </c>
      <c r="B50" s="6"/>
      <c r="C50" s="6"/>
      <c r="H50" s="30"/>
    </row>
    <row r="51" spans="1:8" s="1" customFormat="1">
      <c r="A51" s="1">
        <v>5</v>
      </c>
      <c r="H51" s="30"/>
    </row>
    <row r="52" spans="1:8" s="1" customFormat="1">
      <c r="A52" s="1">
        <v>10</v>
      </c>
      <c r="H52" s="30"/>
    </row>
    <row r="53" spans="1:8" s="1" customFormat="1">
      <c r="A53" s="1">
        <v>25</v>
      </c>
    </row>
    <row r="54" spans="1:8" s="1" customFormat="1">
      <c r="A54" s="7" t="s">
        <v>1</v>
      </c>
      <c r="B54" s="7"/>
      <c r="C54" s="7"/>
      <c r="D54" s="7"/>
      <c r="E54" s="7"/>
    </row>
  </sheetData>
  <mergeCells count="10">
    <mergeCell ref="B37:C37"/>
    <mergeCell ref="D37:E37"/>
    <mergeCell ref="B48:C48"/>
    <mergeCell ref="D48:E48"/>
    <mergeCell ref="B4:C4"/>
    <mergeCell ref="D4:E4"/>
    <mergeCell ref="B15:C15"/>
    <mergeCell ref="D15:E15"/>
    <mergeCell ref="B26:C26"/>
    <mergeCell ref="D26:E2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397A5-CDF3-4DBA-921A-71B24020DDF5}">
  <dimension ref="A1:S32"/>
  <sheetViews>
    <sheetView workbookViewId="0">
      <selection activeCell="K11" sqref="K11"/>
    </sheetView>
  </sheetViews>
  <sheetFormatPr defaultColWidth="8.6328125" defaultRowHeight="14.5"/>
  <cols>
    <col min="1" max="1" width="17.6328125" style="8" customWidth="1"/>
    <col min="2" max="19" width="10.6328125" style="8" customWidth="1"/>
    <col min="20" max="16384" width="8.6328125" style="8"/>
  </cols>
  <sheetData>
    <row r="1" spans="1:19">
      <c r="A1" s="17"/>
      <c r="B1" s="17"/>
      <c r="C1" s="17"/>
    </row>
    <row r="2" spans="1:19">
      <c r="A2" s="18"/>
      <c r="B2" s="105" t="s">
        <v>40</v>
      </c>
      <c r="C2" s="106"/>
      <c r="D2" s="111" t="s">
        <v>10</v>
      </c>
      <c r="E2" s="110"/>
      <c r="F2" s="110"/>
      <c r="G2" s="110"/>
      <c r="H2" s="110"/>
      <c r="I2" s="110"/>
      <c r="J2" s="110"/>
      <c r="K2" s="112"/>
      <c r="L2" s="110" t="s">
        <v>11</v>
      </c>
      <c r="M2" s="110"/>
      <c r="N2" s="110"/>
      <c r="O2" s="110"/>
      <c r="P2" s="110"/>
      <c r="Q2" s="110"/>
      <c r="R2" s="110"/>
      <c r="S2" s="110"/>
    </row>
    <row r="3" spans="1:19">
      <c r="A3" s="18"/>
      <c r="B3" s="105"/>
      <c r="C3" s="106"/>
      <c r="D3" s="111">
        <v>2050</v>
      </c>
      <c r="E3" s="110"/>
      <c r="F3" s="110"/>
      <c r="G3" s="110"/>
      <c r="H3" s="110"/>
      <c r="I3" s="110"/>
      <c r="J3" s="110"/>
      <c r="K3" s="112"/>
      <c r="L3" s="110">
        <v>2050</v>
      </c>
      <c r="M3" s="110"/>
      <c r="N3" s="110"/>
      <c r="O3" s="110"/>
      <c r="P3" s="110"/>
      <c r="Q3" s="110"/>
      <c r="R3" s="110"/>
      <c r="S3" s="110"/>
    </row>
    <row r="4" spans="1:19" ht="29" customHeight="1">
      <c r="A4" s="18"/>
      <c r="B4" s="105"/>
      <c r="C4" s="106"/>
      <c r="D4" s="113" t="s">
        <v>55</v>
      </c>
      <c r="E4" s="114"/>
      <c r="F4" s="114"/>
      <c r="G4" s="115"/>
      <c r="H4" s="114" t="s">
        <v>56</v>
      </c>
      <c r="I4" s="114"/>
      <c r="J4" s="114"/>
      <c r="K4" s="114"/>
      <c r="L4" s="113" t="s">
        <v>55</v>
      </c>
      <c r="M4" s="114"/>
      <c r="N4" s="114"/>
      <c r="O4" s="115"/>
      <c r="P4" s="114" t="s">
        <v>56</v>
      </c>
      <c r="Q4" s="114"/>
      <c r="R4" s="114"/>
      <c r="S4" s="114"/>
    </row>
    <row r="5" spans="1:19" ht="29" customHeight="1">
      <c r="A5" s="18"/>
      <c r="B5" s="107"/>
      <c r="C5" s="108"/>
      <c r="D5" s="109" t="s">
        <v>43</v>
      </c>
      <c r="E5" s="103"/>
      <c r="F5" s="103" t="s">
        <v>42</v>
      </c>
      <c r="G5" s="104"/>
      <c r="H5" s="109" t="s">
        <v>43</v>
      </c>
      <c r="I5" s="103"/>
      <c r="J5" s="103" t="s">
        <v>42</v>
      </c>
      <c r="K5" s="104"/>
      <c r="L5" s="109" t="s">
        <v>43</v>
      </c>
      <c r="M5" s="103"/>
      <c r="N5" s="103" t="s">
        <v>42</v>
      </c>
      <c r="O5" s="104"/>
      <c r="P5" s="109" t="s">
        <v>43</v>
      </c>
      <c r="Q5" s="103"/>
      <c r="R5" s="103" t="s">
        <v>42</v>
      </c>
      <c r="S5" s="104"/>
    </row>
    <row r="6" spans="1:19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4" t="s">
        <v>38</v>
      </c>
      <c r="G6" s="14" t="s">
        <v>39</v>
      </c>
      <c r="H6" s="14" t="s">
        <v>38</v>
      </c>
      <c r="I6" s="14" t="s">
        <v>39</v>
      </c>
      <c r="J6" s="14" t="s">
        <v>38</v>
      </c>
      <c r="K6" s="14" t="s">
        <v>39</v>
      </c>
      <c r="L6" s="16" t="s">
        <v>38</v>
      </c>
      <c r="M6" s="14" t="s">
        <v>39</v>
      </c>
      <c r="N6" s="14" t="s">
        <v>38</v>
      </c>
      <c r="O6" s="14" t="s">
        <v>39</v>
      </c>
      <c r="P6" s="14" t="s">
        <v>38</v>
      </c>
      <c r="Q6" s="14" t="s">
        <v>39</v>
      </c>
      <c r="R6" s="14" t="s">
        <v>38</v>
      </c>
      <c r="S6" s="14" t="s">
        <v>39</v>
      </c>
    </row>
    <row r="7" spans="1:19">
      <c r="A7" s="8" t="s">
        <v>12</v>
      </c>
      <c r="B7" s="23">
        <v>1603.3048070738801</v>
      </c>
      <c r="C7" s="21">
        <v>0.25814778524667792</v>
      </c>
      <c r="D7" s="9"/>
      <c r="E7" s="9"/>
      <c r="F7" s="9"/>
      <c r="G7" s="9"/>
      <c r="H7" s="23">
        <v>1587.2188411565351</v>
      </c>
      <c r="I7" s="21">
        <v>0.25555778710234833</v>
      </c>
      <c r="J7" s="9"/>
      <c r="K7" s="9"/>
    </row>
    <row r="8" spans="1:19">
      <c r="A8" s="8" t="s">
        <v>13</v>
      </c>
      <c r="B8" s="23">
        <v>3829.8005734570052</v>
      </c>
      <c r="C8" s="21">
        <v>0.17845105051546273</v>
      </c>
      <c r="D8" s="9"/>
      <c r="E8" s="9"/>
      <c r="F8" s="9"/>
      <c r="G8" s="9"/>
      <c r="H8" s="23">
        <v>3526.4529750245601</v>
      </c>
      <c r="I8" s="21">
        <v>0.16431645092644309</v>
      </c>
      <c r="J8" s="9"/>
      <c r="K8" s="9"/>
    </row>
    <row r="9" spans="1:19">
      <c r="A9" s="8" t="s">
        <v>14</v>
      </c>
      <c r="B9" s="23">
        <v>13205.6620011409</v>
      </c>
      <c r="C9" s="21">
        <v>3.7089879505764709</v>
      </c>
      <c r="D9" s="9"/>
      <c r="E9" s="9"/>
      <c r="F9" s="9"/>
      <c r="G9" s="9"/>
      <c r="H9" s="23">
        <v>11334.353755286749</v>
      </c>
      <c r="I9" s="21">
        <v>3.183405837760938</v>
      </c>
      <c r="J9" s="9"/>
      <c r="K9" s="9"/>
    </row>
    <row r="10" spans="1:19">
      <c r="A10" s="8" t="s">
        <v>15</v>
      </c>
      <c r="B10" s="23">
        <v>6010.7442449739001</v>
      </c>
      <c r="C10" s="21">
        <v>2.6125131278986231</v>
      </c>
      <c r="D10" s="9"/>
      <c r="E10" s="9"/>
      <c r="F10" s="9"/>
      <c r="G10" s="9"/>
      <c r="H10" s="23">
        <v>5464.8481305130499</v>
      </c>
      <c r="I10" s="21">
        <v>2.3752445456111042</v>
      </c>
      <c r="J10" s="9"/>
      <c r="K10" s="9"/>
    </row>
    <row r="11" spans="1:19">
      <c r="A11" s="8" t="s">
        <v>16</v>
      </c>
      <c r="B11" s="23">
        <v>1168.5300437201199</v>
      </c>
      <c r="C11" s="21">
        <v>0.28295297274974618</v>
      </c>
      <c r="D11" s="9"/>
      <c r="E11" s="9"/>
      <c r="F11" s="9"/>
      <c r="G11" s="9"/>
      <c r="H11" s="23">
        <v>708.50153884382996</v>
      </c>
      <c r="I11" s="21">
        <v>0.1715596596690051</v>
      </c>
      <c r="J11" s="9"/>
      <c r="K11" s="9"/>
    </row>
    <row r="12" spans="1:19">
      <c r="A12" s="8" t="s">
        <v>17</v>
      </c>
      <c r="B12" s="23">
        <v>3687.5133320827999</v>
      </c>
      <c r="C12" s="21">
        <v>1.0654101305064128</v>
      </c>
      <c r="D12" s="9"/>
      <c r="E12" s="9"/>
      <c r="F12" s="9"/>
      <c r="G12" s="9"/>
      <c r="H12" s="23">
        <v>4020.015013713085</v>
      </c>
      <c r="I12" s="21">
        <v>1.1614777587742771</v>
      </c>
      <c r="J12" s="9"/>
      <c r="K12" s="9"/>
    </row>
    <row r="13" spans="1:19">
      <c r="A13" s="8" t="s">
        <v>18</v>
      </c>
      <c r="B13" s="23">
        <v>1774.8178368635649</v>
      </c>
      <c r="C13" s="21">
        <v>0.32590659402070726</v>
      </c>
      <c r="D13" s="9"/>
      <c r="E13" s="9"/>
      <c r="F13" s="9"/>
      <c r="G13" s="9"/>
      <c r="H13" s="23">
        <v>1819.132656877835</v>
      </c>
      <c r="I13" s="21">
        <v>0.33404404438632562</v>
      </c>
      <c r="J13" s="9"/>
      <c r="K13" s="9"/>
    </row>
    <row r="14" spans="1:19">
      <c r="A14" s="8" t="s">
        <v>19</v>
      </c>
      <c r="B14" s="23">
        <v>24797.286296990551</v>
      </c>
      <c r="C14" s="21">
        <v>3.9428557920754024</v>
      </c>
      <c r="D14" s="9"/>
      <c r="E14" s="9"/>
      <c r="F14" s="9"/>
      <c r="G14" s="9"/>
      <c r="H14" s="23">
        <v>20223.686598764249</v>
      </c>
      <c r="I14" s="21">
        <v>3.2156373438626065</v>
      </c>
      <c r="J14" s="9"/>
      <c r="K14" s="9"/>
    </row>
    <row r="15" spans="1:19">
      <c r="A15" s="8" t="s">
        <v>20</v>
      </c>
      <c r="B15" s="23">
        <v>362.29142470889548</v>
      </c>
      <c r="C15" s="21">
        <v>0.67195986601465396</v>
      </c>
      <c r="D15" s="9"/>
      <c r="E15" s="9"/>
      <c r="F15" s="9"/>
      <c r="G15" s="9"/>
      <c r="H15" s="23">
        <v>169.38076932442701</v>
      </c>
      <c r="I15" s="21">
        <v>0.31415890992218226</v>
      </c>
      <c r="J15" s="9"/>
      <c r="K15" s="9"/>
    </row>
    <row r="16" spans="1:19">
      <c r="A16" s="8" t="s">
        <v>21</v>
      </c>
      <c r="B16" s="23">
        <v>7171.5451011797504</v>
      </c>
      <c r="C16" s="21">
        <v>2.8285278812603245</v>
      </c>
      <c r="D16" s="9"/>
      <c r="E16" s="9"/>
      <c r="F16" s="9"/>
      <c r="G16" s="9"/>
      <c r="H16" s="23">
        <v>6044.06500028955</v>
      </c>
      <c r="I16" s="21">
        <v>2.3838386468010011</v>
      </c>
      <c r="J16" s="9"/>
      <c r="K16" s="9"/>
    </row>
    <row r="17" spans="1:19">
      <c r="A17" s="8" t="s">
        <v>22</v>
      </c>
      <c r="B17" s="23">
        <v>613.94015455798501</v>
      </c>
      <c r="C17" s="21">
        <v>0.41586009701869786</v>
      </c>
      <c r="D17" s="9"/>
      <c r="E17" s="9"/>
      <c r="F17" s="9"/>
      <c r="G17" s="9"/>
      <c r="H17" s="23">
        <v>483.55986399770302</v>
      </c>
      <c r="I17" s="21">
        <v>0.32754536490810426</v>
      </c>
      <c r="J17" s="9"/>
      <c r="K17" s="9"/>
    </row>
    <row r="18" spans="1:19">
      <c r="A18" s="8" t="s">
        <v>23</v>
      </c>
      <c r="B18" s="23">
        <v>25853.1855078472</v>
      </c>
      <c r="C18" s="21">
        <v>1.0373306441761616</v>
      </c>
      <c r="D18" s="9"/>
      <c r="E18" s="9"/>
      <c r="F18" s="9"/>
      <c r="G18" s="9"/>
      <c r="H18" s="23">
        <v>24103.712063665149</v>
      </c>
      <c r="I18" s="21">
        <v>0.96713494568973657</v>
      </c>
      <c r="J18" s="10"/>
      <c r="K18" s="10"/>
    </row>
    <row r="19" spans="1:19">
      <c r="A19" s="8" t="s">
        <v>24</v>
      </c>
      <c r="B19" s="23">
        <v>610.32085516309996</v>
      </c>
      <c r="C19" s="21">
        <v>9.5440759087243213E-2</v>
      </c>
      <c r="D19" s="9"/>
      <c r="E19" s="9"/>
      <c r="F19" s="9"/>
      <c r="G19" s="9"/>
      <c r="H19" s="23">
        <v>782.60628935206501</v>
      </c>
      <c r="I19" s="21">
        <v>0.1223824119564966</v>
      </c>
      <c r="J19" s="9"/>
      <c r="K19" s="9"/>
    </row>
    <row r="20" spans="1:19">
      <c r="A20" s="8" t="s">
        <v>25</v>
      </c>
      <c r="B20" s="23">
        <v>28261.116337442651</v>
      </c>
      <c r="C20" s="21">
        <v>8.012572437552711</v>
      </c>
      <c r="D20" s="9"/>
      <c r="E20" s="9"/>
      <c r="F20" s="9"/>
      <c r="G20" s="9"/>
      <c r="H20" s="23">
        <v>26810.662730010899</v>
      </c>
      <c r="I20" s="21">
        <v>7.6013408195907939</v>
      </c>
      <c r="J20" s="9"/>
      <c r="K20" s="9"/>
    </row>
    <row r="21" spans="1:19">
      <c r="A21" s="8" t="s">
        <v>26</v>
      </c>
      <c r="B21" s="23">
        <v>2367.1640435888198</v>
      </c>
      <c r="C21" s="21">
        <v>1.2591099763829032</v>
      </c>
      <c r="D21" s="9"/>
      <c r="E21" s="9"/>
      <c r="F21" s="9"/>
      <c r="G21" s="9"/>
      <c r="H21" s="23">
        <v>1574.0842727653751</v>
      </c>
      <c r="I21" s="21">
        <v>0.83726567952659303</v>
      </c>
      <c r="J21" s="9"/>
      <c r="K21" s="9"/>
    </row>
    <row r="22" spans="1:19">
      <c r="A22" s="8" t="s">
        <v>27</v>
      </c>
      <c r="B22" s="23">
        <v>1102.82700894851</v>
      </c>
      <c r="C22" s="21">
        <v>0.62887320718205919</v>
      </c>
      <c r="D22" s="9"/>
      <c r="E22" s="9"/>
      <c r="F22" s="9"/>
      <c r="G22" s="9"/>
      <c r="H22" s="23">
        <v>1214.2326249262101</v>
      </c>
      <c r="I22" s="21">
        <v>0.69240085607849666</v>
      </c>
      <c r="J22" s="9"/>
      <c r="K22" s="9"/>
    </row>
    <row r="23" spans="1:19">
      <c r="A23" s="8" t="s">
        <v>28</v>
      </c>
      <c r="B23" s="23">
        <v>2179.1890725767248</v>
      </c>
      <c r="C23" s="21">
        <v>0.28901199954380857</v>
      </c>
      <c r="D23" s="9"/>
      <c r="E23" s="9"/>
      <c r="F23" s="9"/>
      <c r="G23" s="9"/>
      <c r="H23" s="23">
        <v>1769.3181389423551</v>
      </c>
      <c r="I23" s="21">
        <v>0.23465342204576256</v>
      </c>
      <c r="J23" s="9"/>
      <c r="K23" s="9"/>
    </row>
    <row r="24" spans="1:19">
      <c r="A24" s="8" t="s">
        <v>29</v>
      </c>
      <c r="B24" s="23">
        <v>32.2830915824971</v>
      </c>
      <c r="C24" s="21">
        <v>2.1885377532426187E-2</v>
      </c>
      <c r="D24" s="9"/>
      <c r="E24" s="9"/>
      <c r="F24" s="9"/>
      <c r="G24" s="9"/>
      <c r="H24" s="23">
        <v>15.489768401886501</v>
      </c>
      <c r="I24" s="21">
        <v>1.0500835352117485E-2</v>
      </c>
      <c r="J24" s="9"/>
      <c r="K24" s="9"/>
    </row>
    <row r="25" spans="1:19">
      <c r="A25" s="8" t="s">
        <v>30</v>
      </c>
      <c r="B25" s="23">
        <v>5119.9719952622499</v>
      </c>
      <c r="C25" s="21">
        <v>5.4796764557419104</v>
      </c>
      <c r="D25" s="9"/>
      <c r="E25" s="9"/>
      <c r="F25" s="9"/>
      <c r="G25" s="9"/>
      <c r="H25" s="23">
        <v>4036.4277936406752</v>
      </c>
      <c r="I25" s="21">
        <v>4.32000768101509</v>
      </c>
      <c r="J25" s="9"/>
      <c r="K25" s="9"/>
    </row>
    <row r="26" spans="1:19">
      <c r="A26" s="8" t="s">
        <v>31</v>
      </c>
      <c r="B26" s="23">
        <v>16191.628366890451</v>
      </c>
      <c r="C26" s="21">
        <v>8.8916264882214868</v>
      </c>
      <c r="D26" s="9"/>
      <c r="E26" s="9"/>
      <c r="F26" s="9"/>
      <c r="G26" s="9"/>
      <c r="H26" s="23">
        <v>15302.549193083651</v>
      </c>
      <c r="I26" s="21">
        <v>8.4033890019837241</v>
      </c>
      <c r="J26" s="9"/>
      <c r="K26" s="9"/>
    </row>
    <row r="27" spans="1:19">
      <c r="A27" s="8" t="s">
        <v>32</v>
      </c>
      <c r="B27" s="23">
        <v>14708.24443887115</v>
      </c>
      <c r="C27" s="21">
        <v>4.0448559523376062</v>
      </c>
      <c r="D27" s="9"/>
      <c r="E27" s="9"/>
      <c r="F27" s="9"/>
      <c r="G27" s="9"/>
      <c r="H27" s="23">
        <v>12088.8306762584</v>
      </c>
      <c r="I27" s="21">
        <v>3.3245013652640991</v>
      </c>
      <c r="J27" s="9"/>
      <c r="K27" s="9"/>
    </row>
    <row r="28" spans="1:19">
      <c r="A28" s="8" t="s">
        <v>33</v>
      </c>
      <c r="B28" s="23">
        <v>2087.7296168265252</v>
      </c>
      <c r="C28" s="21">
        <v>5.6164300979724927E-2</v>
      </c>
      <c r="D28" s="9"/>
      <c r="E28" s="9"/>
      <c r="F28" s="9"/>
      <c r="G28" s="9"/>
      <c r="H28" s="23">
        <v>1320.4882164610699</v>
      </c>
      <c r="I28" s="21">
        <v>3.5523899757782751E-2</v>
      </c>
      <c r="J28" s="9"/>
      <c r="K28" s="9"/>
    </row>
    <row r="29" spans="1:19">
      <c r="A29" s="8" t="s">
        <v>34</v>
      </c>
      <c r="B29" s="23">
        <v>3.7405399332454849</v>
      </c>
      <c r="C29" s="21">
        <v>1.8126771909847975E-2</v>
      </c>
      <c r="D29" s="9"/>
      <c r="E29" s="9"/>
      <c r="F29" s="9"/>
      <c r="G29" s="9"/>
      <c r="H29" s="23">
        <v>4.1946494169978852</v>
      </c>
      <c r="I29" s="21">
        <v>2.0327400477108442E-2</v>
      </c>
      <c r="J29" s="10"/>
      <c r="K29" s="10"/>
    </row>
    <row r="30" spans="1:19">
      <c r="A30" s="8" t="s">
        <v>35</v>
      </c>
      <c r="B30" s="23">
        <v>239.03968993971799</v>
      </c>
      <c r="C30" s="21">
        <v>2.8714171929465841E-2</v>
      </c>
      <c r="D30" s="9"/>
      <c r="E30" s="9"/>
      <c r="F30" s="9"/>
      <c r="G30" s="9"/>
      <c r="H30" s="23">
        <v>220.99822025869901</v>
      </c>
      <c r="I30" s="21">
        <v>2.6546975919415513E-2</v>
      </c>
      <c r="J30" s="10"/>
      <c r="K30" s="10"/>
    </row>
    <row r="31" spans="1:19">
      <c r="A31" s="8" t="s">
        <v>36</v>
      </c>
      <c r="B31" s="23">
        <v>6255.8667323939999</v>
      </c>
      <c r="C31" s="21">
        <v>1.055656396322546</v>
      </c>
      <c r="H31" s="25">
        <v>5356.7678413168996</v>
      </c>
      <c r="I31" s="21">
        <v>0.90393649308719826</v>
      </c>
    </row>
    <row r="32" spans="1:19">
      <c r="A32" s="12" t="s">
        <v>37</v>
      </c>
      <c r="B32" s="24">
        <v>169237.74311401622</v>
      </c>
      <c r="C32" s="22">
        <v>1.0387505248665656</v>
      </c>
      <c r="D32" s="12"/>
      <c r="E32" s="12"/>
      <c r="F32" s="12"/>
      <c r="G32" s="12"/>
      <c r="H32" s="24">
        <v>149981.57762229192</v>
      </c>
      <c r="I32" s="22">
        <v>0.92055967899851143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</row>
  </sheetData>
  <mergeCells count="17">
    <mergeCell ref="N5:O5"/>
    <mergeCell ref="L2:S2"/>
    <mergeCell ref="L3:S3"/>
    <mergeCell ref="D2:K2"/>
    <mergeCell ref="L4:O4"/>
    <mergeCell ref="P4:S4"/>
    <mergeCell ref="D3:K3"/>
    <mergeCell ref="D4:G4"/>
    <mergeCell ref="P5:Q5"/>
    <mergeCell ref="R5:S5"/>
    <mergeCell ref="H4:K4"/>
    <mergeCell ref="H5:I5"/>
    <mergeCell ref="J5:K5"/>
    <mergeCell ref="B2:C5"/>
    <mergeCell ref="D5:E5"/>
    <mergeCell ref="F5:G5"/>
    <mergeCell ref="L5:M5"/>
  </mergeCells>
  <hyperlinks>
    <hyperlink ref="A7" r:id="rId1" tooltip="Banteay Meanchey province" display="https://en.wikipedia.org/wiki/Banteay_Meanchey_province" xr:uid="{AE6405B6-EA24-4DCC-964F-422F4FD53E1B}"/>
    <hyperlink ref="A8" r:id="rId2" tooltip="Battambang province" display="https://en.wikipedia.org/wiki/Battambang_province" xr:uid="{0896BC90-A827-4321-9D97-94BB76B55043}"/>
    <hyperlink ref="A9" r:id="rId3" tooltip="Kampong Cham province" display="https://en.wikipedia.org/wiki/Kampong_Cham_province" xr:uid="{EEF8A70C-2C09-47C4-B93C-AEE5DB37AC86}"/>
    <hyperlink ref="A10" r:id="rId4" tooltip="Kampong Chhnang province" display="https://en.wikipedia.org/wiki/Kampong_Chhnang_province" xr:uid="{6C908DF5-A07C-40C9-9D5C-E87A4E7FF81C}"/>
    <hyperlink ref="A11" r:id="rId5" tooltip="Kampong Speu province" display="https://en.wikipedia.org/wiki/Kampong_Speu_province" xr:uid="{6FE3A412-5A36-4C94-8227-29D6368107EA}"/>
    <hyperlink ref="A12" r:id="rId6" tooltip="Kampong Thom province" display="https://en.wikipedia.org/wiki/Kampong_Thom_province" xr:uid="{3B06F0F5-CDF5-4E1A-815B-275D618D5472}"/>
    <hyperlink ref="A13" r:id="rId7" tooltip="Kampot province" display="https://en.wikipedia.org/wiki/Kampot_province" xr:uid="{1D4519A9-60A2-4371-A40F-61000B3E0FE8}"/>
    <hyperlink ref="A14" r:id="rId8" tooltip="Kandal province" display="https://en.wikipedia.org/wiki/Kandal_province" xr:uid="{FEBB1EB5-241C-445F-BF37-4073D4620A37}"/>
    <hyperlink ref="A15" r:id="rId9" tooltip="Koh Kong province" display="https://en.wikipedia.org/wiki/Koh_Kong_province" xr:uid="{EB27D286-2E94-40ED-9C59-28D5A14DC5F5}"/>
    <hyperlink ref="A16" r:id="rId10" tooltip="Kratié province" display="https://en.wikipedia.org/wiki/Krati%C3%A9_province" xr:uid="{69CCB2B4-0E6D-470D-B03A-1259779DC4EF}"/>
    <hyperlink ref="A17" r:id="rId11" tooltip="Mondulkiri province" display="https://en.wikipedia.org/wiki/Mondulkiri_province" xr:uid="{D1B8BF42-8F82-425A-80AB-147CD0EF2C00}"/>
    <hyperlink ref="A18" r:id="rId12" tooltip="Phnom Penh" display="https://en.wikipedia.org/wiki/Phnom_Penh" xr:uid="{19805CE6-ADD5-4F80-8864-D3AC2BFDBFC0}"/>
    <hyperlink ref="A19" r:id="rId13" tooltip="Preah Vihear province" display="https://en.wikipedia.org/wiki/Preah_Vihear_province" xr:uid="{3184427A-A70A-465D-AAFD-E12EA3D1D7BF}"/>
    <hyperlink ref="A20" r:id="rId14" tooltip="Prey Veng province" display="https://en.wikipedia.org/wiki/Prey_Veng_province" xr:uid="{F27163DC-BAF2-4C41-BE30-A1236A057708}"/>
    <hyperlink ref="A21" r:id="rId15" tooltip="Pursat province" display="https://en.wikipedia.org/wiki/Pursat_province" xr:uid="{997C5F39-0D0B-46FA-849E-126C8AE7447C}"/>
    <hyperlink ref="A22" r:id="rId16" tooltip="Ratanakiri province" display="https://en.wikipedia.org/wiki/Ratanakiri_province" xr:uid="{675BED5E-3B0E-4F3C-B580-4D7A5EF40799}"/>
    <hyperlink ref="A23" r:id="rId17" tooltip="Siem Reap province" display="https://en.wikipedia.org/wiki/Siem_Reap_province" xr:uid="{E9DBB147-2AE6-4C7A-8B2F-A219FB8314BA}"/>
    <hyperlink ref="A24" r:id="rId18" tooltip="Sihanoukville province" display="https://en.wikipedia.org/wiki/Sihanoukville_province" xr:uid="{56258E38-B9A4-424F-BFF7-1929FC6B57D0}"/>
    <hyperlink ref="A25" r:id="rId19" tooltip="Stung Treng province" display="https://en.wikipedia.org/wiki/Stung_Treng_province" xr:uid="{5DECCD3B-ABDC-43E4-836C-FD12A6331C7A}"/>
    <hyperlink ref="A26" r:id="rId20" tooltip="Svay Rieng province" display="https://en.wikipedia.org/wiki/Svay_Rieng_province" xr:uid="{85CFF55A-5FC0-471F-A3F4-C15BA7DB6138}"/>
    <hyperlink ref="A27" r:id="rId21" tooltip="Takéo province" display="https://en.wikipedia.org/wiki/Tak%C3%A9o_province" xr:uid="{68288945-DD99-4DB9-8653-3A4A4499B37F}"/>
    <hyperlink ref="A28" r:id="rId22" tooltip="Oddar Meanchey province" display="https://en.wikipedia.org/wiki/Oddar_Meanchey_province" xr:uid="{D966B214-C101-49A8-AF50-B6DBA85713FB}"/>
    <hyperlink ref="A29" r:id="rId23" tooltip="Kep province" display="https://en.wikipedia.org/wiki/Kep_province" xr:uid="{7060D38E-0361-4FCE-88A6-5C69A1FEF78D}"/>
    <hyperlink ref="A30" r:id="rId24" tooltip="Pailin province" display="https://en.wikipedia.org/wiki/Pailin_province" xr:uid="{7B47C242-CA75-4E48-BF51-E6B8DDC10501}"/>
    <hyperlink ref="A31" r:id="rId25" tooltip="Tboung Khmum province" display="https://en.wikipedia.org/wiki/Tboung_Khmum_province" xr:uid="{EA04A7EA-16E8-4EB5-AA28-27FE46728066}"/>
  </hyperlinks>
  <pageMargins left="0.7" right="0.7" top="0.75" bottom="0.75" header="0.3" footer="0.3"/>
  <pageSetup orientation="portrait" r:id="rId2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2027-AA95-44E7-8923-9A6209FF29D8}">
  <dimension ref="A1:K32"/>
  <sheetViews>
    <sheetView workbookViewId="0">
      <selection activeCell="B2" sqref="B2:C5"/>
    </sheetView>
  </sheetViews>
  <sheetFormatPr defaultColWidth="8.6328125" defaultRowHeight="14.5"/>
  <cols>
    <col min="1" max="1" width="17.632812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105" t="s">
        <v>40</v>
      </c>
      <c r="C2" s="106"/>
      <c r="D2" s="111" t="s">
        <v>10</v>
      </c>
      <c r="E2" s="110"/>
      <c r="F2" s="110"/>
      <c r="G2" s="110"/>
      <c r="H2" s="110"/>
      <c r="I2" s="110"/>
      <c r="J2" s="110"/>
      <c r="K2" s="112"/>
    </row>
    <row r="3" spans="1:11">
      <c r="B3" s="105"/>
      <c r="C3" s="106"/>
      <c r="D3" s="111">
        <v>2050</v>
      </c>
      <c r="E3" s="110"/>
      <c r="F3" s="110"/>
      <c r="G3" s="110"/>
      <c r="H3" s="110"/>
      <c r="I3" s="110"/>
      <c r="J3" s="110"/>
      <c r="K3" s="112"/>
    </row>
    <row r="4" spans="1:11" ht="29" customHeight="1">
      <c r="A4" s="18"/>
      <c r="B4" s="105"/>
      <c r="C4" s="106"/>
      <c r="D4" s="113" t="s">
        <v>55</v>
      </c>
      <c r="E4" s="114"/>
      <c r="F4" s="114"/>
      <c r="G4" s="115"/>
      <c r="H4" s="114" t="s">
        <v>56</v>
      </c>
      <c r="I4" s="114"/>
      <c r="J4" s="114"/>
      <c r="K4" s="114"/>
    </row>
    <row r="5" spans="1:11" ht="29" customHeight="1">
      <c r="A5" s="18"/>
      <c r="B5" s="107"/>
      <c r="C5" s="108"/>
      <c r="D5" s="109" t="s">
        <v>43</v>
      </c>
      <c r="E5" s="103"/>
      <c r="F5" s="103" t="s">
        <v>42</v>
      </c>
      <c r="G5" s="104"/>
      <c r="H5" s="109" t="s">
        <v>43</v>
      </c>
      <c r="I5" s="103"/>
      <c r="J5" s="103" t="s">
        <v>42</v>
      </c>
      <c r="K5" s="104"/>
    </row>
    <row r="6" spans="1:11">
      <c r="A6" s="11"/>
      <c r="B6" s="15" t="s">
        <v>38</v>
      </c>
      <c r="C6" s="14" t="s">
        <v>39</v>
      </c>
      <c r="D6" s="14" t="s">
        <v>38</v>
      </c>
      <c r="E6" s="14" t="s">
        <v>39</v>
      </c>
      <c r="F6" s="14" t="s">
        <v>38</v>
      </c>
      <c r="G6" s="14" t="s">
        <v>39</v>
      </c>
      <c r="H6" s="14" t="s">
        <v>38</v>
      </c>
      <c r="I6" s="14" t="s">
        <v>39</v>
      </c>
      <c r="J6" s="14" t="s">
        <v>38</v>
      </c>
      <c r="K6" s="14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11629B-C402-4084-A491-51A649A09C03}"/>
    <hyperlink ref="A8" r:id="rId2" tooltip="Battambang province" display="https://en.wikipedia.org/wiki/Battambang_province" xr:uid="{28395E6C-D20F-487D-B192-9F1D6A289273}"/>
    <hyperlink ref="A9" r:id="rId3" tooltip="Kampong Cham province" display="https://en.wikipedia.org/wiki/Kampong_Cham_province" xr:uid="{052E4A78-B57B-468B-BC56-9D06353D2E19}"/>
    <hyperlink ref="A10" r:id="rId4" tooltip="Kampong Chhnang province" display="https://en.wikipedia.org/wiki/Kampong_Chhnang_province" xr:uid="{523914F7-2BE0-4D57-80CB-D7842C6020A1}"/>
    <hyperlink ref="A11" r:id="rId5" tooltip="Kampong Speu province" display="https://en.wikipedia.org/wiki/Kampong_Speu_province" xr:uid="{AE0C592F-6360-480C-914D-0AE817CE63A6}"/>
    <hyperlink ref="A12" r:id="rId6" tooltip="Kampong Thom province" display="https://en.wikipedia.org/wiki/Kampong_Thom_province" xr:uid="{46BAC5E3-01EF-4CF5-8063-206562F8376D}"/>
    <hyperlink ref="A13" r:id="rId7" tooltip="Kampot province" display="https://en.wikipedia.org/wiki/Kampot_province" xr:uid="{51AAC9E1-775C-4D47-AB30-15DA70CB9C19}"/>
    <hyperlink ref="A14" r:id="rId8" tooltip="Kandal province" display="https://en.wikipedia.org/wiki/Kandal_province" xr:uid="{41BCC5C6-B940-4C8C-B944-D42C81B3CAF8}"/>
    <hyperlink ref="A15" r:id="rId9" tooltip="Koh Kong province" display="https://en.wikipedia.org/wiki/Koh_Kong_province" xr:uid="{22986536-61CE-41E4-8746-6FFE9F1CB657}"/>
    <hyperlink ref="A16" r:id="rId10" tooltip="Kratié province" display="https://en.wikipedia.org/wiki/Krati%C3%A9_province" xr:uid="{92BFB27F-0900-453F-B97B-51BE55E68E13}"/>
    <hyperlink ref="A17" r:id="rId11" tooltip="Mondulkiri province" display="https://en.wikipedia.org/wiki/Mondulkiri_province" xr:uid="{216B0DF5-AFE5-44D9-A545-FDA1C10E8962}"/>
    <hyperlink ref="A18" r:id="rId12" tooltip="Phnom Penh" display="https://en.wikipedia.org/wiki/Phnom_Penh" xr:uid="{5040A09A-5C56-422D-AFC3-1C22377143BE}"/>
    <hyperlink ref="A19" r:id="rId13" tooltip="Preah Vihear province" display="https://en.wikipedia.org/wiki/Preah_Vihear_province" xr:uid="{3C1F840E-9163-4914-8B66-FD7520C0F4D3}"/>
    <hyperlink ref="A20" r:id="rId14" tooltip="Prey Veng province" display="https://en.wikipedia.org/wiki/Prey_Veng_province" xr:uid="{C02A5870-17BF-473E-83B5-080A3529D964}"/>
    <hyperlink ref="A21" r:id="rId15" tooltip="Pursat province" display="https://en.wikipedia.org/wiki/Pursat_province" xr:uid="{2BAD197E-B704-4958-8298-08A452F559A3}"/>
    <hyperlink ref="A22" r:id="rId16" tooltip="Ratanakiri province" display="https://en.wikipedia.org/wiki/Ratanakiri_province" xr:uid="{43374D1A-46D2-4E32-9EB2-30C6A05E24B5}"/>
    <hyperlink ref="A23" r:id="rId17" tooltip="Siem Reap province" display="https://en.wikipedia.org/wiki/Siem_Reap_province" xr:uid="{BEFFF79F-4A9E-4783-A768-F105B67D139A}"/>
    <hyperlink ref="A24" r:id="rId18" tooltip="Sihanoukville province" display="https://en.wikipedia.org/wiki/Sihanoukville_province" xr:uid="{ED1525FA-C3EE-4D7D-BD29-D6644DC6708D}"/>
    <hyperlink ref="A25" r:id="rId19" tooltip="Stung Treng province" display="https://en.wikipedia.org/wiki/Stung_Treng_province" xr:uid="{702D5F3B-87D0-4840-BC62-7CA972632E89}"/>
    <hyperlink ref="A26" r:id="rId20" tooltip="Svay Rieng province" display="https://en.wikipedia.org/wiki/Svay_Rieng_province" xr:uid="{B00B3428-2143-480E-936D-BEAB263AC8F2}"/>
    <hyperlink ref="A27" r:id="rId21" tooltip="Takéo province" display="https://en.wikipedia.org/wiki/Tak%C3%A9o_province" xr:uid="{69BC6617-3D3F-4DD9-A03C-569D11F6B2AA}"/>
    <hyperlink ref="A28" r:id="rId22" tooltip="Oddar Meanchey province" display="https://en.wikipedia.org/wiki/Oddar_Meanchey_province" xr:uid="{BBED74C9-CE51-4000-AEAC-0E0230D104DC}"/>
    <hyperlink ref="A29" r:id="rId23" tooltip="Kep province" display="https://en.wikipedia.org/wiki/Kep_province" xr:uid="{E6462D98-E51E-4182-9837-6CD3828D7801}"/>
    <hyperlink ref="A30" r:id="rId24" tooltip="Pailin province" display="https://en.wikipedia.org/wiki/Pailin_province" xr:uid="{A7322865-F2A8-4025-89B9-8E99827CC28D}"/>
    <hyperlink ref="A31" r:id="rId25" tooltip="Tboung Khmum province" display="https://en.wikipedia.org/wiki/Tboung_Khmum_province" xr:uid="{5C1128AB-FAFF-455C-8680-0AE62D40B80A}"/>
  </hyperlinks>
  <pageMargins left="0.7" right="0.7" top="0.75" bottom="0.75" header="0.3" footer="0.3"/>
  <pageSetup orientation="portrait" r:id="rId2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6349-2476-47D3-8232-8F8CAD8623E5}">
  <dimension ref="A1:S32"/>
  <sheetViews>
    <sheetView workbookViewId="0">
      <selection activeCell="B2" sqref="B2:C5"/>
    </sheetView>
  </sheetViews>
  <sheetFormatPr defaultColWidth="8.6328125" defaultRowHeight="14.5"/>
  <cols>
    <col min="1" max="1" width="21.1796875" style="8" customWidth="1"/>
    <col min="2" max="19" width="10.6328125" style="8" customWidth="1"/>
    <col min="20" max="16384" width="8.6328125" style="8"/>
  </cols>
  <sheetData>
    <row r="1" spans="1:19">
      <c r="A1" s="17"/>
      <c r="B1" s="17"/>
      <c r="C1" s="17"/>
    </row>
    <row r="2" spans="1:19">
      <c r="B2" s="105" t="s">
        <v>40</v>
      </c>
      <c r="C2" s="106"/>
      <c r="D2" s="111" t="s">
        <v>10</v>
      </c>
      <c r="E2" s="110"/>
      <c r="F2" s="110"/>
      <c r="G2" s="110"/>
      <c r="H2" s="110"/>
      <c r="I2" s="110"/>
      <c r="J2" s="110"/>
      <c r="K2" s="112"/>
      <c r="L2" s="110" t="s">
        <v>11</v>
      </c>
      <c r="M2" s="110"/>
      <c r="N2" s="110"/>
      <c r="O2" s="110"/>
      <c r="P2" s="110"/>
      <c r="Q2" s="110"/>
      <c r="R2" s="110"/>
      <c r="S2" s="110"/>
    </row>
    <row r="3" spans="1:19">
      <c r="B3" s="105"/>
      <c r="C3" s="106"/>
      <c r="D3" s="111">
        <v>2050</v>
      </c>
      <c r="E3" s="110"/>
      <c r="F3" s="110"/>
      <c r="G3" s="110"/>
      <c r="H3" s="110"/>
      <c r="I3" s="110"/>
      <c r="J3" s="110"/>
      <c r="K3" s="112"/>
      <c r="L3" s="110">
        <v>2050</v>
      </c>
      <c r="M3" s="110"/>
      <c r="N3" s="110"/>
      <c r="O3" s="110"/>
      <c r="P3" s="110"/>
      <c r="Q3" s="110"/>
      <c r="R3" s="110"/>
      <c r="S3" s="110"/>
    </row>
    <row r="4" spans="1:19" ht="29" customHeight="1">
      <c r="A4" s="18"/>
      <c r="B4" s="105"/>
      <c r="C4" s="106"/>
      <c r="D4" s="113" t="s">
        <v>55</v>
      </c>
      <c r="E4" s="114"/>
      <c r="F4" s="114"/>
      <c r="G4" s="115"/>
      <c r="H4" s="114" t="s">
        <v>56</v>
      </c>
      <c r="I4" s="114"/>
      <c r="J4" s="114"/>
      <c r="K4" s="115"/>
      <c r="L4" s="113" t="s">
        <v>55</v>
      </c>
      <c r="M4" s="114"/>
      <c r="N4" s="114"/>
      <c r="O4" s="115"/>
      <c r="P4" s="114" t="s">
        <v>56</v>
      </c>
      <c r="Q4" s="114"/>
      <c r="R4" s="114"/>
      <c r="S4" s="114"/>
    </row>
    <row r="5" spans="1:19" ht="29" customHeight="1">
      <c r="A5" s="18"/>
      <c r="B5" s="107"/>
      <c r="C5" s="108"/>
      <c r="D5" s="109" t="s">
        <v>43</v>
      </c>
      <c r="E5" s="103"/>
      <c r="F5" s="103" t="s">
        <v>42</v>
      </c>
      <c r="G5" s="104"/>
      <c r="H5" s="109" t="s">
        <v>43</v>
      </c>
      <c r="I5" s="103"/>
      <c r="J5" s="103" t="s">
        <v>42</v>
      </c>
      <c r="K5" s="104"/>
      <c r="L5" s="109" t="s">
        <v>43</v>
      </c>
      <c r="M5" s="103"/>
      <c r="N5" s="103" t="s">
        <v>42</v>
      </c>
      <c r="O5" s="104"/>
      <c r="P5" s="109" t="s">
        <v>43</v>
      </c>
      <c r="Q5" s="103"/>
      <c r="R5" s="103" t="s">
        <v>42</v>
      </c>
      <c r="S5" s="104"/>
    </row>
    <row r="6" spans="1:19">
      <c r="A6" s="11"/>
      <c r="B6" s="15" t="s">
        <v>38</v>
      </c>
      <c r="C6" s="16" t="s">
        <v>39</v>
      </c>
      <c r="D6" s="15" t="s">
        <v>1</v>
      </c>
      <c r="E6" s="13" t="s">
        <v>39</v>
      </c>
      <c r="F6" s="13" t="s">
        <v>1</v>
      </c>
      <c r="G6" s="16" t="s">
        <v>39</v>
      </c>
      <c r="H6" s="13" t="s">
        <v>1</v>
      </c>
      <c r="I6" s="13" t="s">
        <v>39</v>
      </c>
      <c r="J6" s="13" t="s">
        <v>1</v>
      </c>
      <c r="K6" s="16" t="s">
        <v>39</v>
      </c>
      <c r="L6" s="15" t="s">
        <v>1</v>
      </c>
      <c r="M6" s="13" t="s">
        <v>39</v>
      </c>
      <c r="N6" s="13" t="s">
        <v>1</v>
      </c>
      <c r="O6" s="16" t="s">
        <v>39</v>
      </c>
      <c r="P6" s="13" t="s">
        <v>1</v>
      </c>
      <c r="Q6" s="13" t="s">
        <v>39</v>
      </c>
      <c r="R6" s="13" t="s">
        <v>1</v>
      </c>
      <c r="S6" s="16" t="s">
        <v>39</v>
      </c>
    </row>
    <row r="7" spans="1:19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9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9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9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9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9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9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9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9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9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9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9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9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9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9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9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9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9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9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9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9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9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9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9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9">
      <c r="A31" s="8" t="s">
        <v>36</v>
      </c>
    </row>
    <row r="32" spans="1:19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</sheetData>
  <mergeCells count="17">
    <mergeCell ref="L5:M5"/>
    <mergeCell ref="N5:O5"/>
    <mergeCell ref="P5:Q5"/>
    <mergeCell ref="B2:C5"/>
    <mergeCell ref="D3:K3"/>
    <mergeCell ref="D2:K2"/>
    <mergeCell ref="L2:S2"/>
    <mergeCell ref="L3:S3"/>
    <mergeCell ref="D4:G4"/>
    <mergeCell ref="H4:K4"/>
    <mergeCell ref="R5:S5"/>
    <mergeCell ref="L4:O4"/>
    <mergeCell ref="P4:S4"/>
    <mergeCell ref="D5:E5"/>
    <mergeCell ref="F5:G5"/>
    <mergeCell ref="H5:I5"/>
    <mergeCell ref="J5:K5"/>
  </mergeCells>
  <hyperlinks>
    <hyperlink ref="A7" r:id="rId1" tooltip="Banteay Meanchey province" display="https://en.wikipedia.org/wiki/Banteay_Meanchey_province" xr:uid="{0C362844-4C8A-40B6-B7E8-0D80CD085EED}"/>
    <hyperlink ref="A8" r:id="rId2" tooltip="Battambang province" display="https://en.wikipedia.org/wiki/Battambang_province" xr:uid="{6BF67667-0C25-4188-AB50-AF35E945A330}"/>
    <hyperlink ref="A9" r:id="rId3" tooltip="Kampong Cham province" display="https://en.wikipedia.org/wiki/Kampong_Cham_province" xr:uid="{0E41C4DB-ACE8-457D-9A4E-0BF5C28D1FD4}"/>
    <hyperlink ref="A10" r:id="rId4" tooltip="Kampong Chhnang province" display="https://en.wikipedia.org/wiki/Kampong_Chhnang_province" xr:uid="{AC0281B1-3ACA-49A2-8336-48B86532D484}"/>
    <hyperlink ref="A11" r:id="rId5" tooltip="Kampong Speu province" display="https://en.wikipedia.org/wiki/Kampong_Speu_province" xr:uid="{3F11DF18-0AC5-45C1-B02F-122EBC601099}"/>
    <hyperlink ref="A12" r:id="rId6" tooltip="Kampong Thom province" display="https://en.wikipedia.org/wiki/Kampong_Thom_province" xr:uid="{83B96006-9E48-463A-85F1-316CD31A4F69}"/>
    <hyperlink ref="A13" r:id="rId7" tooltip="Kampot province" display="https://en.wikipedia.org/wiki/Kampot_province" xr:uid="{632B9178-B0EB-42A2-BD6E-129C8FB7CABD}"/>
    <hyperlink ref="A14" r:id="rId8" tooltip="Kandal province" display="https://en.wikipedia.org/wiki/Kandal_province" xr:uid="{9FFB82B3-A3AA-402D-8A2D-61FDFF319133}"/>
    <hyperlink ref="A15" r:id="rId9" tooltip="Koh Kong province" display="https://en.wikipedia.org/wiki/Koh_Kong_province" xr:uid="{886475B9-D76F-4084-911A-66503A331C60}"/>
    <hyperlink ref="A16" r:id="rId10" tooltip="Kratié province" display="https://en.wikipedia.org/wiki/Krati%C3%A9_province" xr:uid="{2F2E077A-59BD-4668-9871-DB1E6C14B2ED}"/>
    <hyperlink ref="A17" r:id="rId11" tooltip="Mondulkiri province" display="https://en.wikipedia.org/wiki/Mondulkiri_province" xr:uid="{4829CBF7-FC8A-4A9D-80D3-7A9AB5BD2B69}"/>
    <hyperlink ref="A18" r:id="rId12" tooltip="Phnom Penh" display="https://en.wikipedia.org/wiki/Phnom_Penh" xr:uid="{28D5EB58-E244-4D2D-B557-F549B8661643}"/>
    <hyperlink ref="A19" r:id="rId13" tooltip="Preah Vihear province" display="https://en.wikipedia.org/wiki/Preah_Vihear_province" xr:uid="{DA9F3BD9-A0C7-4825-AFD2-2E98ABDDA04F}"/>
    <hyperlink ref="A20" r:id="rId14" tooltip="Prey Veng province" display="https://en.wikipedia.org/wiki/Prey_Veng_province" xr:uid="{05850053-3104-4741-8B23-89881CFDA368}"/>
    <hyperlink ref="A21" r:id="rId15" tooltip="Pursat province" display="https://en.wikipedia.org/wiki/Pursat_province" xr:uid="{F12DAACF-EE6E-4ADA-AB0F-8FC2F86D1EB7}"/>
    <hyperlink ref="A22" r:id="rId16" tooltip="Ratanakiri province" display="https://en.wikipedia.org/wiki/Ratanakiri_province" xr:uid="{4315DC2D-BCE0-4CAA-A418-25ED3A0BD329}"/>
    <hyperlink ref="A23" r:id="rId17" tooltip="Siem Reap province" display="https://en.wikipedia.org/wiki/Siem_Reap_province" xr:uid="{4015BAF0-F57D-4BA6-8B3A-479BB5AC3D7B}"/>
    <hyperlink ref="A24" r:id="rId18" tooltip="Sihanoukville province" display="https://en.wikipedia.org/wiki/Sihanoukville_province" xr:uid="{3546E73B-9D28-41F8-9948-55B70CB17E73}"/>
    <hyperlink ref="A25" r:id="rId19" tooltip="Stung Treng province" display="https://en.wikipedia.org/wiki/Stung_Treng_province" xr:uid="{AA9461E3-3A0B-458B-9633-FFC7C5003DB8}"/>
    <hyperlink ref="A26" r:id="rId20" tooltip="Svay Rieng province" display="https://en.wikipedia.org/wiki/Svay_Rieng_province" xr:uid="{94D987DB-BB7A-4B4E-AD41-9F08ABD07858}"/>
    <hyperlink ref="A27" r:id="rId21" tooltip="Takéo province" display="https://en.wikipedia.org/wiki/Tak%C3%A9o_province" xr:uid="{C64FB1CE-3140-48B3-970D-40A0AD0EB661}"/>
    <hyperlink ref="A28" r:id="rId22" tooltip="Oddar Meanchey province" display="https://en.wikipedia.org/wiki/Oddar_Meanchey_province" xr:uid="{0EEA353E-CE85-418D-B72F-99D1CF8D4CE1}"/>
    <hyperlink ref="A29" r:id="rId23" tooltip="Kep province" display="https://en.wikipedia.org/wiki/Kep_province" xr:uid="{6C2401FA-E4E4-4A4D-A036-97EA7CE63B21}"/>
    <hyperlink ref="A30" r:id="rId24" tooltip="Pailin province" display="https://en.wikipedia.org/wiki/Pailin_province" xr:uid="{EBCD102E-7CA9-4641-89DC-C701330F48F1}"/>
    <hyperlink ref="A31" r:id="rId25" tooltip="Tboung Khmum province" display="https://en.wikipedia.org/wiki/Tboung_Khmum_province" xr:uid="{E4577C78-CC41-45E3-85B7-B1FFE921FE83}"/>
  </hyperlinks>
  <pageMargins left="0.7" right="0.7" top="0.75" bottom="0.75" header="0.3" footer="0.3"/>
  <pageSetup orientation="portrait" r:id="rId2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E40-5198-4A9F-BFF3-F9924F262F66}">
  <dimension ref="A1:K32"/>
  <sheetViews>
    <sheetView workbookViewId="0">
      <selection activeCell="B2" sqref="B2:C5"/>
    </sheetView>
  </sheetViews>
  <sheetFormatPr defaultColWidth="8.6328125" defaultRowHeight="14.5"/>
  <cols>
    <col min="1" max="1" width="21.1796875" style="8" customWidth="1"/>
    <col min="2" max="11" width="10.6328125" style="8" customWidth="1"/>
    <col min="12" max="16384" width="8.6328125" style="8"/>
  </cols>
  <sheetData>
    <row r="1" spans="1:11">
      <c r="A1" s="17"/>
      <c r="B1" s="17"/>
      <c r="C1" s="17"/>
    </row>
    <row r="2" spans="1:11">
      <c r="B2" s="105" t="s">
        <v>40</v>
      </c>
      <c r="C2" s="106"/>
      <c r="D2" s="111" t="s">
        <v>10</v>
      </c>
      <c r="E2" s="110"/>
      <c r="F2" s="110"/>
      <c r="G2" s="110"/>
      <c r="H2" s="110"/>
      <c r="I2" s="110"/>
      <c r="J2" s="110"/>
      <c r="K2" s="112"/>
    </row>
    <row r="3" spans="1:11">
      <c r="B3" s="105"/>
      <c r="C3" s="106"/>
      <c r="D3" s="111">
        <v>2050</v>
      </c>
      <c r="E3" s="110"/>
      <c r="F3" s="110"/>
      <c r="G3" s="110"/>
      <c r="H3" s="110"/>
      <c r="I3" s="110"/>
      <c r="J3" s="110"/>
      <c r="K3" s="112"/>
    </row>
    <row r="4" spans="1:11" ht="29" customHeight="1">
      <c r="A4" s="18"/>
      <c r="B4" s="105"/>
      <c r="C4" s="106"/>
      <c r="D4" s="113" t="s">
        <v>55</v>
      </c>
      <c r="E4" s="114"/>
      <c r="F4" s="114"/>
      <c r="G4" s="115"/>
      <c r="H4" s="114" t="s">
        <v>56</v>
      </c>
      <c r="I4" s="114"/>
      <c r="J4" s="114"/>
      <c r="K4" s="115"/>
    </row>
    <row r="5" spans="1:11" ht="29" customHeight="1">
      <c r="A5" s="18"/>
      <c r="B5" s="107"/>
      <c r="C5" s="108"/>
      <c r="D5" s="109" t="s">
        <v>43</v>
      </c>
      <c r="E5" s="103"/>
      <c r="F5" s="103" t="s">
        <v>42</v>
      </c>
      <c r="G5" s="104"/>
      <c r="H5" s="109" t="s">
        <v>43</v>
      </c>
      <c r="I5" s="103"/>
      <c r="J5" s="103" t="s">
        <v>42</v>
      </c>
      <c r="K5" s="104"/>
    </row>
    <row r="6" spans="1:11">
      <c r="A6" s="11"/>
      <c r="B6" s="15" t="s">
        <v>38</v>
      </c>
      <c r="C6" s="16" t="s">
        <v>39</v>
      </c>
      <c r="D6" s="15" t="s">
        <v>1</v>
      </c>
      <c r="E6" s="13" t="s">
        <v>39</v>
      </c>
      <c r="F6" s="13" t="s">
        <v>1</v>
      </c>
      <c r="G6" s="16" t="s">
        <v>39</v>
      </c>
      <c r="H6" s="13" t="s">
        <v>1</v>
      </c>
      <c r="I6" s="13" t="s">
        <v>39</v>
      </c>
      <c r="J6" s="13" t="s">
        <v>1</v>
      </c>
      <c r="K6" s="16" t="s">
        <v>39</v>
      </c>
    </row>
    <row r="7" spans="1:11">
      <c r="A7" s="8" t="s">
        <v>12</v>
      </c>
      <c r="D7" s="9"/>
      <c r="E7" s="9"/>
      <c r="F7" s="9"/>
      <c r="G7" s="9"/>
      <c r="H7" s="9"/>
      <c r="I7" s="9"/>
      <c r="J7" s="9"/>
      <c r="K7" s="9"/>
    </row>
    <row r="8" spans="1:11">
      <c r="A8" s="8" t="s">
        <v>13</v>
      </c>
      <c r="D8" s="9"/>
      <c r="E8" s="9"/>
      <c r="F8" s="9"/>
      <c r="G8" s="9"/>
      <c r="H8" s="9"/>
      <c r="I8" s="9"/>
      <c r="J8" s="9"/>
      <c r="K8" s="9"/>
    </row>
    <row r="9" spans="1:11">
      <c r="A9" s="8" t="s">
        <v>14</v>
      </c>
      <c r="D9" s="9"/>
      <c r="E9" s="9"/>
      <c r="F9" s="9"/>
      <c r="G9" s="9"/>
      <c r="H9" s="9"/>
      <c r="I9" s="9"/>
      <c r="J9" s="9"/>
      <c r="K9" s="9"/>
    </row>
    <row r="10" spans="1:11">
      <c r="A10" s="8" t="s">
        <v>15</v>
      </c>
      <c r="D10" s="9"/>
      <c r="E10" s="9"/>
      <c r="F10" s="9"/>
      <c r="G10" s="9"/>
      <c r="H10" s="9"/>
      <c r="I10" s="9"/>
      <c r="J10" s="9"/>
      <c r="K10" s="9"/>
    </row>
    <row r="11" spans="1:11">
      <c r="A11" s="8" t="s">
        <v>16</v>
      </c>
      <c r="D11" s="9"/>
      <c r="E11" s="9"/>
      <c r="F11" s="9"/>
      <c r="G11" s="9"/>
      <c r="H11" s="9"/>
      <c r="I11" s="9"/>
      <c r="J11" s="9"/>
      <c r="K11" s="9"/>
    </row>
    <row r="12" spans="1:11">
      <c r="A12" s="8" t="s">
        <v>17</v>
      </c>
      <c r="D12" s="9"/>
      <c r="E12" s="9"/>
      <c r="F12" s="9"/>
      <c r="G12" s="9"/>
      <c r="H12" s="9"/>
      <c r="I12" s="9"/>
      <c r="J12" s="9"/>
      <c r="K12" s="9"/>
    </row>
    <row r="13" spans="1:11">
      <c r="A13" s="8" t="s">
        <v>18</v>
      </c>
      <c r="D13" s="9"/>
      <c r="E13" s="9"/>
      <c r="F13" s="9"/>
      <c r="G13" s="9"/>
      <c r="H13" s="9"/>
      <c r="I13" s="9"/>
      <c r="J13" s="9"/>
      <c r="K13" s="9"/>
    </row>
    <row r="14" spans="1:11">
      <c r="A14" s="8" t="s">
        <v>19</v>
      </c>
      <c r="D14" s="9"/>
      <c r="E14" s="9"/>
      <c r="F14" s="9"/>
      <c r="G14" s="9"/>
      <c r="H14" s="9"/>
      <c r="I14" s="9"/>
      <c r="J14" s="9"/>
      <c r="K14" s="9"/>
    </row>
    <row r="15" spans="1:11">
      <c r="A15" s="8" t="s">
        <v>20</v>
      </c>
      <c r="D15" s="9"/>
      <c r="E15" s="9"/>
      <c r="F15" s="9"/>
      <c r="G15" s="9"/>
      <c r="H15" s="9"/>
      <c r="I15" s="9"/>
      <c r="J15" s="9"/>
      <c r="K15" s="9"/>
    </row>
    <row r="16" spans="1:11">
      <c r="A16" s="8" t="s">
        <v>21</v>
      </c>
      <c r="D16" s="9"/>
      <c r="E16" s="9"/>
      <c r="F16" s="9"/>
      <c r="G16" s="9"/>
      <c r="H16" s="9"/>
      <c r="I16" s="9"/>
      <c r="J16" s="9"/>
      <c r="K16" s="9"/>
    </row>
    <row r="17" spans="1:11">
      <c r="A17" s="8" t="s">
        <v>22</v>
      </c>
      <c r="D17" s="9"/>
      <c r="E17" s="9"/>
      <c r="F17" s="9"/>
      <c r="G17" s="9"/>
      <c r="H17" s="9"/>
      <c r="I17" s="9"/>
      <c r="J17" s="9"/>
      <c r="K17" s="9"/>
    </row>
    <row r="18" spans="1:11">
      <c r="A18" s="8" t="s">
        <v>23</v>
      </c>
      <c r="D18" s="9"/>
      <c r="E18" s="9"/>
      <c r="F18" s="9"/>
      <c r="G18" s="9"/>
      <c r="H18" s="10"/>
      <c r="I18" s="10"/>
      <c r="J18" s="10"/>
      <c r="K18" s="10"/>
    </row>
    <row r="19" spans="1:11">
      <c r="A19" s="8" t="s">
        <v>24</v>
      </c>
      <c r="D19" s="9"/>
      <c r="E19" s="9"/>
      <c r="F19" s="9"/>
      <c r="G19" s="9"/>
      <c r="H19" s="9"/>
      <c r="I19" s="9"/>
      <c r="J19" s="9"/>
      <c r="K19" s="9"/>
    </row>
    <row r="20" spans="1:11">
      <c r="A20" s="8" t="s">
        <v>25</v>
      </c>
      <c r="D20" s="9"/>
      <c r="E20" s="9"/>
      <c r="F20" s="9"/>
      <c r="G20" s="9"/>
      <c r="H20" s="9"/>
      <c r="I20" s="9"/>
      <c r="J20" s="9"/>
      <c r="K20" s="9"/>
    </row>
    <row r="21" spans="1:11">
      <c r="A21" s="8" t="s">
        <v>26</v>
      </c>
      <c r="D21" s="9"/>
      <c r="E21" s="9"/>
      <c r="F21" s="9"/>
      <c r="G21" s="9"/>
      <c r="H21" s="9"/>
      <c r="I21" s="9"/>
      <c r="J21" s="9"/>
      <c r="K21" s="9"/>
    </row>
    <row r="22" spans="1:11">
      <c r="A22" s="8" t="s">
        <v>27</v>
      </c>
      <c r="D22" s="9"/>
      <c r="E22" s="9"/>
      <c r="F22" s="9"/>
      <c r="G22" s="9"/>
      <c r="H22" s="9"/>
      <c r="I22" s="9"/>
      <c r="J22" s="9"/>
      <c r="K22" s="9"/>
    </row>
    <row r="23" spans="1:11">
      <c r="A23" s="8" t="s">
        <v>28</v>
      </c>
      <c r="D23" s="9"/>
      <c r="E23" s="9"/>
      <c r="F23" s="9"/>
      <c r="G23" s="9"/>
      <c r="H23" s="9"/>
      <c r="I23" s="9"/>
      <c r="J23" s="9"/>
      <c r="K23" s="9"/>
    </row>
    <row r="24" spans="1:11">
      <c r="A24" s="8" t="s">
        <v>29</v>
      </c>
      <c r="D24" s="9"/>
      <c r="E24" s="9"/>
      <c r="F24" s="9"/>
      <c r="G24" s="9"/>
      <c r="H24" s="9"/>
      <c r="I24" s="9"/>
      <c r="J24" s="9"/>
      <c r="K24" s="9"/>
    </row>
    <row r="25" spans="1:11">
      <c r="A25" s="8" t="s">
        <v>30</v>
      </c>
      <c r="D25" s="9"/>
      <c r="E25" s="9"/>
      <c r="F25" s="9"/>
      <c r="G25" s="9"/>
      <c r="H25" s="9"/>
      <c r="I25" s="9"/>
      <c r="J25" s="9"/>
      <c r="K25" s="9"/>
    </row>
    <row r="26" spans="1:11">
      <c r="A26" s="8" t="s">
        <v>31</v>
      </c>
      <c r="D26" s="9"/>
      <c r="E26" s="9"/>
      <c r="F26" s="9"/>
      <c r="G26" s="9"/>
      <c r="H26" s="9"/>
      <c r="I26" s="9"/>
      <c r="J26" s="9"/>
      <c r="K26" s="9"/>
    </row>
    <row r="27" spans="1:11">
      <c r="A27" s="8" t="s">
        <v>32</v>
      </c>
      <c r="D27" s="9"/>
      <c r="E27" s="9"/>
      <c r="F27" s="9"/>
      <c r="G27" s="9"/>
      <c r="H27" s="9"/>
      <c r="I27" s="9"/>
      <c r="J27" s="9"/>
      <c r="K27" s="9"/>
    </row>
    <row r="28" spans="1:11">
      <c r="A28" s="8" t="s">
        <v>33</v>
      </c>
      <c r="D28" s="9"/>
      <c r="E28" s="9"/>
      <c r="F28" s="9"/>
      <c r="G28" s="9"/>
      <c r="H28" s="9"/>
      <c r="I28" s="9"/>
      <c r="J28" s="9"/>
      <c r="K28" s="9"/>
    </row>
    <row r="29" spans="1:11">
      <c r="A29" s="8" t="s">
        <v>34</v>
      </c>
      <c r="D29" s="9"/>
      <c r="E29" s="9"/>
      <c r="F29" s="9"/>
      <c r="G29" s="9"/>
      <c r="H29" s="10"/>
      <c r="I29" s="10"/>
      <c r="J29" s="10"/>
      <c r="K29" s="10"/>
    </row>
    <row r="30" spans="1:11">
      <c r="A30" s="8" t="s">
        <v>35</v>
      </c>
      <c r="D30" s="9"/>
      <c r="E30" s="9"/>
      <c r="F30" s="9"/>
      <c r="G30" s="9"/>
      <c r="H30" s="10"/>
      <c r="I30" s="10"/>
      <c r="J30" s="10"/>
      <c r="K30" s="10"/>
    </row>
    <row r="31" spans="1:11">
      <c r="A31" s="8" t="s">
        <v>36</v>
      </c>
    </row>
    <row r="32" spans="1:11">
      <c r="A32" s="12" t="s">
        <v>37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9">
    <mergeCell ref="B2:C5"/>
    <mergeCell ref="D5:E5"/>
    <mergeCell ref="F5:G5"/>
    <mergeCell ref="H5:I5"/>
    <mergeCell ref="J5:K5"/>
    <mergeCell ref="D2:K2"/>
    <mergeCell ref="D3:K3"/>
    <mergeCell ref="D4:G4"/>
    <mergeCell ref="H4:K4"/>
  </mergeCells>
  <hyperlinks>
    <hyperlink ref="A7" r:id="rId1" tooltip="Banteay Meanchey province" display="https://en.wikipedia.org/wiki/Banteay_Meanchey_province" xr:uid="{6952A53E-51E5-407D-A6B9-FD90F6F12619}"/>
    <hyperlink ref="A8" r:id="rId2" tooltip="Battambang province" display="https://en.wikipedia.org/wiki/Battambang_province" xr:uid="{62951570-1086-4968-8194-AEE8DBCC4489}"/>
    <hyperlink ref="A9" r:id="rId3" tooltip="Kampong Cham province" display="https://en.wikipedia.org/wiki/Kampong_Cham_province" xr:uid="{89F2FB76-5A69-4A57-B370-13A8E3F8B34E}"/>
    <hyperlink ref="A10" r:id="rId4" tooltip="Kampong Chhnang province" display="https://en.wikipedia.org/wiki/Kampong_Chhnang_province" xr:uid="{E1253B27-D6B0-4139-9E23-8E71F52D96A8}"/>
    <hyperlink ref="A11" r:id="rId5" tooltip="Kampong Speu province" display="https://en.wikipedia.org/wiki/Kampong_Speu_province" xr:uid="{15D70EFB-89AC-407A-AE70-FC85C38BEDC5}"/>
    <hyperlink ref="A12" r:id="rId6" tooltip="Kampong Thom province" display="https://en.wikipedia.org/wiki/Kampong_Thom_province" xr:uid="{995CA415-1215-4193-8661-5AD67DFF032F}"/>
    <hyperlink ref="A13" r:id="rId7" tooltip="Kampot province" display="https://en.wikipedia.org/wiki/Kampot_province" xr:uid="{B066A7FC-B8FF-46FB-AE2F-07AE4C03F3AB}"/>
    <hyperlink ref="A14" r:id="rId8" tooltip="Kandal province" display="https://en.wikipedia.org/wiki/Kandal_province" xr:uid="{FE0F2469-7FFE-46F0-8C63-10EC713A4677}"/>
    <hyperlink ref="A15" r:id="rId9" tooltip="Koh Kong province" display="https://en.wikipedia.org/wiki/Koh_Kong_province" xr:uid="{E40364D7-DCC9-46ED-A294-519E63036D35}"/>
    <hyperlink ref="A16" r:id="rId10" tooltip="Kratié province" display="https://en.wikipedia.org/wiki/Krati%C3%A9_province" xr:uid="{897B7DEF-7EC6-4492-8997-EB3E85080327}"/>
    <hyperlink ref="A17" r:id="rId11" tooltip="Mondulkiri province" display="https://en.wikipedia.org/wiki/Mondulkiri_province" xr:uid="{4A2F5606-69C2-4F16-9248-8A28EA45EA27}"/>
    <hyperlink ref="A18" r:id="rId12" tooltip="Phnom Penh" display="https://en.wikipedia.org/wiki/Phnom_Penh" xr:uid="{3CAD2F1A-8202-4612-8E55-3F183DC46794}"/>
    <hyperlink ref="A19" r:id="rId13" tooltip="Preah Vihear province" display="https://en.wikipedia.org/wiki/Preah_Vihear_province" xr:uid="{619DEFD8-03DD-4029-A32A-992671257418}"/>
    <hyperlink ref="A20" r:id="rId14" tooltip="Prey Veng province" display="https://en.wikipedia.org/wiki/Prey_Veng_province" xr:uid="{BCC782FF-82CC-45B7-94B9-D6C3ADE389ED}"/>
    <hyperlink ref="A21" r:id="rId15" tooltip="Pursat province" display="https://en.wikipedia.org/wiki/Pursat_province" xr:uid="{3F7476A5-6A1A-4775-95EE-424A9CF4789C}"/>
    <hyperlink ref="A22" r:id="rId16" tooltip="Ratanakiri province" display="https://en.wikipedia.org/wiki/Ratanakiri_province" xr:uid="{66DAFC57-56F9-46A3-BD7A-BABD77953755}"/>
    <hyperlink ref="A23" r:id="rId17" tooltip="Siem Reap province" display="https://en.wikipedia.org/wiki/Siem_Reap_province" xr:uid="{5D2745AF-4AC1-485C-B186-A614258BA5E5}"/>
    <hyperlink ref="A24" r:id="rId18" tooltip="Sihanoukville province" display="https://en.wikipedia.org/wiki/Sihanoukville_province" xr:uid="{98E0B813-0FE6-4046-917A-302C4FECB1A4}"/>
    <hyperlink ref="A25" r:id="rId19" tooltip="Stung Treng province" display="https://en.wikipedia.org/wiki/Stung_Treng_province" xr:uid="{1E4DE034-5430-4B2D-AA41-28463794F8BF}"/>
    <hyperlink ref="A26" r:id="rId20" tooltip="Svay Rieng province" display="https://en.wikipedia.org/wiki/Svay_Rieng_province" xr:uid="{E568AE38-5DAA-4045-AF09-759DB6F7794C}"/>
    <hyperlink ref="A27" r:id="rId21" tooltip="Takéo province" display="https://en.wikipedia.org/wiki/Tak%C3%A9o_province" xr:uid="{6463B369-FA51-4493-BA4E-006EC7232F7E}"/>
    <hyperlink ref="A28" r:id="rId22" tooltip="Oddar Meanchey province" display="https://en.wikipedia.org/wiki/Oddar_Meanchey_province" xr:uid="{04CE040C-48A9-4053-A951-9375C8504C8E}"/>
    <hyperlink ref="A29" r:id="rId23" tooltip="Kep province" display="https://en.wikipedia.org/wiki/Kep_province" xr:uid="{F0F8A852-22DC-48EE-A8FF-AF4DF0CDCD26}"/>
    <hyperlink ref="A30" r:id="rId24" tooltip="Pailin province" display="https://en.wikipedia.org/wiki/Pailin_province" xr:uid="{828B9903-8941-4DC3-91D2-566BBF3C8F5D}"/>
    <hyperlink ref="A31" r:id="rId25" tooltip="Tboung Khmum province" display="https://en.wikipedia.org/wiki/Tboung_Khmum_province" xr:uid="{0737D0BA-448B-4FDA-9619-9B10EDC7325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Flood (national AAL PML)</vt:lpstr>
      <vt:lpstr>CGE-Flood Weighted Av Calcs</vt:lpstr>
      <vt:lpstr>MINDSET-Flood MC</vt:lpstr>
      <vt:lpstr>Drought (national AAL PML)</vt:lpstr>
      <vt:lpstr>Flood Affected Population</vt:lpstr>
      <vt:lpstr>Drought Affected Population</vt:lpstr>
      <vt:lpstr>Flood AAL (admin 1)</vt:lpstr>
      <vt:lpstr>Drought AAL (admin 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2022-11-30T10:12:22Z</dcterms:created>
  <dcterms:modified xsi:type="dcterms:W3CDTF">2023-03-13T07:56:42Z</dcterms:modified>
</cp:coreProperties>
</file>