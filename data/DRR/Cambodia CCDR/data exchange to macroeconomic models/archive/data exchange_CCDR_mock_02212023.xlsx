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vbogaerts_worldbank_org/Documents/VICA 2020/0. EAP/Cambodia/1. DRM Project 2/8. Technical Assistance/CCDR- Flood/"/>
    </mc:Choice>
  </mc:AlternateContent>
  <xr:revisionPtr revIDLastSave="6" documentId="8_{EF87C4C4-987D-4A4F-A5D9-89C29FD51491}" xr6:coauthVersionLast="47" xr6:coauthVersionMax="47" xr10:uidLastSave="{F489B6A5-2F92-49D5-8D24-0A5CC50EE93B}"/>
  <bookViews>
    <workbookView xWindow="-110" yWindow="-110" windowWidth="19420" windowHeight="10420" tabRatio="864" xr2:uid="{EA58DB0F-896D-4CE3-BD5F-87C5A342EB24}"/>
  </bookViews>
  <sheets>
    <sheet name="Flood (national AAL PML)" sheetId="1" r:id="rId1"/>
    <sheet name="Drought (national AAL PML)" sheetId="2" r:id="rId2"/>
    <sheet name="Flood Affected Population" sheetId="3" r:id="rId3"/>
    <sheet name="Drought Affected Population" sheetId="7" r:id="rId4"/>
    <sheet name="Flood AAL (admin 1)" sheetId="5" r:id="rId5"/>
    <sheet name="Drought AAL (admin 1)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" i="1" l="1"/>
  <c r="AI4" i="1"/>
  <c r="AH4" i="1"/>
  <c r="AG4" i="1"/>
  <c r="AF4" i="1"/>
  <c r="AF6" i="1"/>
  <c r="AB7" i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G20" i="1"/>
  <c r="G19" i="1"/>
  <c r="G18" i="1"/>
  <c r="G17" i="1"/>
  <c r="AC6" i="1" l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</calcChain>
</file>

<file path=xl/sharedStrings.xml><?xml version="1.0" encoding="utf-8"?>
<sst xmlns="http://schemas.openxmlformats.org/spreadsheetml/2006/main" count="503" uniqueCount="73">
  <si>
    <t>RP</t>
  </si>
  <si>
    <t>AAL</t>
  </si>
  <si>
    <t xml:space="preserve">% of total asset value </t>
  </si>
  <si>
    <t>Housing</t>
  </si>
  <si>
    <t>US$ million</t>
  </si>
  <si>
    <t>Services Sector</t>
  </si>
  <si>
    <t xml:space="preserve">Productive Sector </t>
  </si>
  <si>
    <t>Roads</t>
  </si>
  <si>
    <t>Schools</t>
  </si>
  <si>
    <t>Health Centers</t>
  </si>
  <si>
    <t>no adaptation</t>
  </si>
  <si>
    <t>with adaptation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</si>
  <si>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</si>
  <si>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</si>
  <si>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</si>
  <si>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</si>
  <si>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</si>
  <si>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</si>
  <si>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</si>
  <si>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</si>
  <si>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</si>
  <si>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</si>
  <si>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</si>
  <si>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</si>
  <si>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</si>
  <si>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</si>
  <si>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</si>
  <si>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</si>
  <si>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</si>
  <si>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</si>
  <si>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</si>
  <si>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</si>
  <si>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</si>
  <si>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</si>
  <si>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</si>
  <si>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</si>
  <si>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</si>
  <si>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</si>
  <si>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 xml:space="preserve">Number </t>
  </si>
  <si>
    <t>%</t>
  </si>
  <si>
    <t>Base year</t>
  </si>
  <si>
    <t xml:space="preserve">Base year 2020 (no climate change) </t>
  </si>
  <si>
    <t>with socio-economic projections</t>
  </si>
  <si>
    <t>no socio-economic projections</t>
  </si>
  <si>
    <t>Number</t>
  </si>
  <si>
    <t>% of asset</t>
  </si>
  <si>
    <t>km</t>
  </si>
  <si>
    <t>Year 2050 (SSP585, no adaptation, no socio-economic projections)</t>
  </si>
  <si>
    <t>Year 2050 (SSP585, no adaptation, with socio-economic projections)</t>
  </si>
  <si>
    <t>Year 2050 (SSP585, with adaptation, no socio-economic projections)</t>
  </si>
  <si>
    <t>Year 2050 (SSP585, with adaptation, with socio-economic projections)</t>
  </si>
  <si>
    <t>Year 2050 (SSP126, no adaptation, no socio-economic projections)</t>
  </si>
  <si>
    <t>Year 2050 (SSP126, no adaptation, with socio-economic projections)</t>
  </si>
  <si>
    <t>Year 2050 (SSP126, with adaptation, no socio-economic projections)</t>
  </si>
  <si>
    <t>Year 2050 (SSP126, with adaptation, with socio-economic projections)</t>
  </si>
  <si>
    <t>SSP126</t>
  </si>
  <si>
    <t>SSP585</t>
  </si>
  <si>
    <t xml:space="preserve">Baseline period (1981 - 2016) </t>
  </si>
  <si>
    <t xml:space="preserve">This mock data is based on Iizumi (2019), covering 1981-2016. </t>
  </si>
  <si>
    <t>Crop Yield - Maize</t>
  </si>
  <si>
    <t>Crop Yield - Rice</t>
  </si>
  <si>
    <t>Production loss* (tonne/ha)</t>
  </si>
  <si>
    <t>Reduction (% below expected yield)</t>
  </si>
  <si>
    <t>Production loss* (tonne)</t>
  </si>
  <si>
    <t>*Production based on average expected production of last 5 years</t>
  </si>
  <si>
    <t>Production* (tonne/ha)</t>
  </si>
  <si>
    <t>Production* (tonne)</t>
  </si>
  <si>
    <t>weighted average</t>
  </si>
  <si>
    <t>weighted average (%of damage of total capital in the dataset)</t>
  </si>
  <si>
    <t>housing</t>
  </si>
  <si>
    <t>services</t>
  </si>
  <si>
    <t>probability</t>
  </si>
  <si>
    <t>$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</si>
</sst>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i/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1" fillId="0" borderId="0" xfId="0" applyNumberFormat="1" applyFont="1"/>
    <xf numFmtId="2" fontId="1" fillId="0" borderId="3" xfId="0" applyNumberFormat="1" applyFont="1" applyBorder="1"/>
    <xf numFmtId="164" fontId="1" fillId="0" borderId="0" xfId="0" applyNumberFormat="1" applyFont="1"/>
    <xf numFmtId="164" fontId="1" fillId="0" borderId="3" xfId="0" applyNumberFormat="1" applyFont="1" applyBorder="1"/>
    <xf numFmtId="1" fontId="1" fillId="0" borderId="0" xfId="0" applyNumberFormat="1" applyFont="1"/>
    <xf numFmtId="1" fontId="1" fillId="0" borderId="3" xfId="0" applyNumberFormat="1" applyFont="1" applyBorder="1"/>
    <xf numFmtId="1" fontId="0" fillId="0" borderId="0" xfId="0" applyNumberFormat="1"/>
    <xf numFmtId="2" fontId="0" fillId="2" borderId="0" xfId="0" applyNumberFormat="1" applyFill="1"/>
    <xf numFmtId="2" fontId="0" fillId="2" borderId="2" xfId="0" applyNumberFormat="1" applyFill="1" applyBorder="1"/>
    <xf numFmtId="1" fontId="0" fillId="2" borderId="0" xfId="0" applyNumberFormat="1" applyFill="1"/>
    <xf numFmtId="1" fontId="0" fillId="2" borderId="2" xfId="0" applyNumberFormat="1" applyFill="1" applyBorder="1"/>
    <xf numFmtId="164" fontId="1" fillId="0" borderId="0" xfId="0" applyNumberFormat="1" applyFont="1" applyAlignment="1">
      <alignment vertical="center"/>
    </xf>
    <xf numFmtId="1" fontId="0" fillId="2" borderId="3" xfId="0" applyNumberFormat="1" applyFill="1" applyBorder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0" fontId="1" fillId="3" borderId="0" xfId="0" applyFont="1" applyFill="1"/>
    <xf numFmtId="0" fontId="2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9" fontId="1" fillId="0" borderId="0" xfId="0" applyNumberFormat="1" applyFont="1"/>
    <xf numFmtId="0" fontId="1" fillId="3" borderId="3" xfId="0" applyFont="1" applyFill="1" applyBorder="1"/>
    <xf numFmtId="0" fontId="4" fillId="0" borderId="0" xfId="0" applyFont="1"/>
    <xf numFmtId="0" fontId="1" fillId="0" borderId="3" xfId="0" applyFont="1" applyBorder="1" applyAlignment="1">
      <alignment vertical="center"/>
    </xf>
    <xf numFmtId="2" fontId="1" fillId="4" borderId="3" xfId="0" applyNumberFormat="1" applyFont="1" applyFill="1" applyBorder="1"/>
    <xf numFmtId="2" fontId="1" fillId="0" borderId="3" xfId="0" applyNumberFormat="1" applyFont="1" applyFill="1" applyBorder="1"/>
    <xf numFmtId="2" fontId="0" fillId="4" borderId="0" xfId="0" applyNumberFormat="1" applyFill="1"/>
    <xf numFmtId="2" fontId="1" fillId="4" borderId="0" xfId="0" applyNumberFormat="1" applyFont="1" applyFill="1"/>
    <xf numFmtId="0" fontId="1" fillId="5" borderId="0" xfId="0" applyFont="1" applyFill="1"/>
    <xf numFmtId="0" fontId="1" fillId="4" borderId="3" xfId="0" applyFont="1" applyFill="1" applyBorder="1"/>
    <xf numFmtId="0" fontId="1" fillId="4" borderId="3" xfId="0" applyFont="1" applyFill="1" applyBorder="1" applyAlignment="1">
      <alignment vertical="center"/>
    </xf>
    <xf numFmtId="0" fontId="1" fillId="4" borderId="0" xfId="0" applyFont="1" applyFill="1"/>
    <xf numFmtId="0" fontId="1" fillId="6" borderId="0" xfId="0" applyFont="1" applyFill="1"/>
    <xf numFmtId="2" fontId="1" fillId="6" borderId="0" xfId="0" applyNumberFormat="1" applyFont="1" applyFill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AQ98"/>
  <sheetViews>
    <sheetView tabSelected="1" zoomScale="89" zoomScaleNormal="400" workbookViewId="0">
      <selection activeCell="G12" sqref="G12"/>
    </sheetView>
  </sheetViews>
  <sheetFormatPr defaultColWidth="8.81640625" defaultRowHeight="14.5" x14ac:dyDescent="0.35"/>
  <cols>
    <col min="1" max="1" width="9" bestFit="1" customWidth="1"/>
    <col min="2" max="2" width="9.81640625" customWidth="1"/>
    <col min="3" max="3" width="10.453125" customWidth="1"/>
    <col min="6" max="6" width="8.6328125" customWidth="1"/>
    <col min="8" max="9" width="9" bestFit="1" customWidth="1"/>
    <col min="10" max="10" width="11.1796875" bestFit="1" customWidth="1"/>
    <col min="11" max="11" width="9" bestFit="1" customWidth="1"/>
    <col min="16" max="16" width="10.6328125" bestFit="1" customWidth="1"/>
  </cols>
  <sheetData>
    <row r="2" spans="1:43" x14ac:dyDescent="0.35">
      <c r="A2" s="1" t="s">
        <v>41</v>
      </c>
      <c r="B2" s="1"/>
      <c r="AF2" s="1" t="s">
        <v>69</v>
      </c>
    </row>
    <row r="3" spans="1:43" s="1" customFormat="1" x14ac:dyDescent="0.35"/>
    <row r="4" spans="1:43" s="1" customFormat="1" x14ac:dyDescent="0.35">
      <c r="A4" s="2" t="s">
        <v>0</v>
      </c>
      <c r="B4" s="54" t="s">
        <v>3</v>
      </c>
      <c r="C4" s="54"/>
      <c r="D4" s="54" t="s">
        <v>5</v>
      </c>
      <c r="E4" s="54"/>
      <c r="F4" s="54" t="s">
        <v>6</v>
      </c>
      <c r="G4" s="54"/>
      <c r="H4" s="54" t="s">
        <v>7</v>
      </c>
      <c r="I4" s="54"/>
      <c r="J4" s="54"/>
      <c r="K4" s="54"/>
      <c r="L4" s="54" t="s">
        <v>8</v>
      </c>
      <c r="M4" s="54"/>
      <c r="N4" s="54"/>
      <c r="O4" s="54"/>
      <c r="P4" s="54" t="s">
        <v>9</v>
      </c>
      <c r="Q4" s="54"/>
      <c r="R4" s="54"/>
      <c r="S4" s="54"/>
      <c r="AE4" s="1">
        <v>1</v>
      </c>
      <c r="AF4" s="1">
        <f>1/AF5</f>
        <v>0.1</v>
      </c>
      <c r="AG4" s="1">
        <f>1/AG5</f>
        <v>0.04</v>
      </c>
      <c r="AH4" s="1">
        <f>1/AH5</f>
        <v>0.01</v>
      </c>
      <c r="AI4" s="1">
        <f>1/AI5</f>
        <v>5.0000000000000001E-3</v>
      </c>
      <c r="AN4" s="1" t="s">
        <v>70</v>
      </c>
    </row>
    <row r="5" spans="1:43" s="6" customFormat="1" ht="24" x14ac:dyDescent="0.3">
      <c r="A5" s="3"/>
      <c r="B5" s="4" t="s">
        <v>4</v>
      </c>
      <c r="C5" s="5" t="s">
        <v>2</v>
      </c>
      <c r="D5" s="4" t="s">
        <v>4</v>
      </c>
      <c r="E5" s="5" t="s">
        <v>2</v>
      </c>
      <c r="F5" s="4" t="s">
        <v>4</v>
      </c>
      <c r="G5" s="5" t="s">
        <v>2</v>
      </c>
      <c r="H5" s="4" t="s">
        <v>46</v>
      </c>
      <c r="I5" s="4" t="s">
        <v>45</v>
      </c>
      <c r="J5" s="4" t="s">
        <v>4</v>
      </c>
      <c r="K5" s="5" t="s">
        <v>2</v>
      </c>
      <c r="L5" s="4" t="s">
        <v>44</v>
      </c>
      <c r="M5" s="4" t="s">
        <v>45</v>
      </c>
      <c r="N5" s="4" t="s">
        <v>4</v>
      </c>
      <c r="O5" s="5" t="s">
        <v>2</v>
      </c>
      <c r="P5" s="4" t="s">
        <v>44</v>
      </c>
      <c r="Q5" s="4" t="s">
        <v>45</v>
      </c>
      <c r="R5" s="4" t="s">
        <v>4</v>
      </c>
      <c r="S5" s="5" t="s">
        <v>2</v>
      </c>
      <c r="AD5" s="6" t="s">
        <v>0</v>
      </c>
      <c r="AE5" s="6">
        <v>1</v>
      </c>
      <c r="AF5" s="6">
        <v>10</v>
      </c>
      <c r="AG5" s="6">
        <v>25</v>
      </c>
      <c r="AH5" s="6">
        <v>100</v>
      </c>
      <c r="AI5" s="6">
        <v>200</v>
      </c>
      <c r="AL5" s="6" t="s">
        <v>71</v>
      </c>
      <c r="AN5" s="6">
        <v>10</v>
      </c>
      <c r="AO5" s="6">
        <v>25</v>
      </c>
      <c r="AP5" s="6">
        <v>100</v>
      </c>
      <c r="AQ5" s="6">
        <v>200</v>
      </c>
    </row>
    <row r="6" spans="1:43" s="1" customFormat="1" x14ac:dyDescent="0.35">
      <c r="A6" s="52">
        <v>10</v>
      </c>
      <c r="B6" s="31">
        <v>143.31727346571387</v>
      </c>
      <c r="C6" s="53">
        <v>2.3974696085745602</v>
      </c>
      <c r="D6" s="31">
        <v>425.7533408249555</v>
      </c>
      <c r="E6" s="20">
        <v>2.187469608574558</v>
      </c>
      <c r="F6" s="22">
        <v>596.21941255248055</v>
      </c>
      <c r="G6" s="20">
        <v>2.5574696085745581</v>
      </c>
      <c r="H6" s="24">
        <v>368.49446272914048</v>
      </c>
      <c r="I6" s="20">
        <v>2.3000715481501812</v>
      </c>
      <c r="J6" s="22">
        <v>10.488044181315697</v>
      </c>
      <c r="K6" s="20">
        <v>2.3029640837325007</v>
      </c>
      <c r="L6" s="26">
        <v>496.5</v>
      </c>
      <c r="M6" s="20">
        <v>4.340034965034965</v>
      </c>
      <c r="N6" s="22">
        <v>10.655136051103248</v>
      </c>
      <c r="O6" s="20">
        <v>1.7573453046416494</v>
      </c>
      <c r="P6" s="24">
        <v>79</v>
      </c>
      <c r="Q6" s="20">
        <v>5.341446923597025</v>
      </c>
      <c r="R6" s="22">
        <v>3.7649980046342848</v>
      </c>
      <c r="S6" s="20">
        <v>3.7994590986591232</v>
      </c>
      <c r="AC6" s="1">
        <f>(AF36-AF6)/30</f>
        <v>2.0084346380847995E-2</v>
      </c>
      <c r="AD6" s="1">
        <v>2020</v>
      </c>
      <c r="AE6" s="1">
        <v>0</v>
      </c>
      <c r="AF6" s="20">
        <f>C6</f>
        <v>2.3974696085745602</v>
      </c>
      <c r="AG6" s="1">
        <v>5</v>
      </c>
      <c r="AH6" s="1">
        <v>10</v>
      </c>
      <c r="AI6" s="1">
        <v>20</v>
      </c>
      <c r="AL6" s="37">
        <f ca="1">RAND()</f>
        <v>9.7216766185773351E-2</v>
      </c>
    </row>
    <row r="7" spans="1:43" s="1" customFormat="1" x14ac:dyDescent="0.35">
      <c r="A7" s="52">
        <v>25</v>
      </c>
      <c r="B7" s="22">
        <v>196.29287306726621</v>
      </c>
      <c r="C7" s="53">
        <v>3.2836669731310399</v>
      </c>
      <c r="D7" s="22">
        <v>598.23641766919013</v>
      </c>
      <c r="E7" s="20">
        <v>3.07366697313104</v>
      </c>
      <c r="F7" s="22">
        <v>802.81739922256077</v>
      </c>
      <c r="G7" s="20">
        <v>3.4436669731310401</v>
      </c>
      <c r="H7" s="24">
        <v>488.35440645553149</v>
      </c>
      <c r="I7" s="20">
        <v>3.048214259131961</v>
      </c>
      <c r="J7" s="22">
        <v>14.4410428575873</v>
      </c>
      <c r="K7" s="20">
        <v>3.1709632852150396</v>
      </c>
      <c r="L7" s="26">
        <v>663.5</v>
      </c>
      <c r="M7" s="20">
        <v>5.799825174825175</v>
      </c>
      <c r="N7" s="22">
        <v>12.251156786270899</v>
      </c>
      <c r="O7" s="20">
        <v>2.0205760631796577</v>
      </c>
      <c r="P7" s="24">
        <v>95</v>
      </c>
      <c r="Q7" s="20">
        <v>6.4232589587559161</v>
      </c>
      <c r="R7" s="22">
        <v>4.1006345056745896</v>
      </c>
      <c r="S7" s="20">
        <v>4.138167686591979</v>
      </c>
      <c r="Z7" s="1">
        <v>2020</v>
      </c>
      <c r="AA7" s="1">
        <v>3</v>
      </c>
      <c r="AB7" s="1">
        <f>(AA37-AA7)/30</f>
        <v>6.6666666666666666E-2</v>
      </c>
      <c r="AD7" s="1">
        <v>2021</v>
      </c>
      <c r="AE7" s="1">
        <v>0</v>
      </c>
      <c r="AF7" s="20">
        <f>AF6+$AC$6</f>
        <v>2.4175539549554079</v>
      </c>
      <c r="AK7" s="1" t="s">
        <v>72</v>
      </c>
    </row>
    <row r="8" spans="1:43" s="1" customFormat="1" x14ac:dyDescent="0.35">
      <c r="A8" s="52">
        <v>100</v>
      </c>
      <c r="B8" s="22">
        <v>227.90368023518448</v>
      </c>
      <c r="C8" s="53">
        <v>3.8124654051339015</v>
      </c>
      <c r="D8" s="22">
        <v>701.15793857430788</v>
      </c>
      <c r="E8" s="20">
        <v>3.6024654051339016</v>
      </c>
      <c r="F8" s="22">
        <v>926.09545868819987</v>
      </c>
      <c r="G8" s="20">
        <v>3.9724654051339017</v>
      </c>
      <c r="H8" s="24">
        <v>585.72523146058495</v>
      </c>
      <c r="I8" s="20">
        <v>3.6559842173433927</v>
      </c>
      <c r="J8" s="22">
        <v>16.716691662366149</v>
      </c>
      <c r="K8" s="20">
        <v>3.6706501070851059</v>
      </c>
      <c r="L8" s="26">
        <v>755</v>
      </c>
      <c r="M8" s="20">
        <v>6.59965034965035</v>
      </c>
      <c r="N8" s="22">
        <v>15.41148332149935</v>
      </c>
      <c r="O8" s="20">
        <v>2.5418068547135753</v>
      </c>
      <c r="P8" s="24">
        <v>117</v>
      </c>
      <c r="Q8" s="20">
        <v>7.9107505070993911</v>
      </c>
      <c r="R8" s="22">
        <v>5.2437550090097496</v>
      </c>
      <c r="S8" s="20">
        <v>5.2917511923241296</v>
      </c>
      <c r="Z8" s="1">
        <v>2021</v>
      </c>
      <c r="AA8" s="1">
        <f>AA7+$AB$7</f>
        <v>3.0666666666666669</v>
      </c>
      <c r="AD8" s="1">
        <v>2022</v>
      </c>
      <c r="AF8" s="20">
        <f t="shared" ref="AF8:AF35" si="0">AF7+$AC$6</f>
        <v>2.4376383013362561</v>
      </c>
    </row>
    <row r="9" spans="1:43" s="1" customFormat="1" x14ac:dyDescent="0.35">
      <c r="A9" s="52">
        <v>200</v>
      </c>
      <c r="B9" s="22">
        <v>265.75027639123101</v>
      </c>
      <c r="C9" s="53">
        <v>4.4455786501596188</v>
      </c>
      <c r="D9" s="22">
        <v>824.38254390534041</v>
      </c>
      <c r="E9" s="20">
        <v>4.2355786501596189</v>
      </c>
      <c r="F9" s="22">
        <v>1073.6922886809591</v>
      </c>
      <c r="G9" s="20">
        <v>4.605578650159619</v>
      </c>
      <c r="H9" s="24">
        <v>605.66124240230499</v>
      </c>
      <c r="I9" s="20">
        <v>3.7804209625011236</v>
      </c>
      <c r="J9" s="22">
        <v>17.308957837127249</v>
      </c>
      <c r="K9" s="20">
        <v>3.800699876604035</v>
      </c>
      <c r="L9" s="26">
        <v>778</v>
      </c>
      <c r="M9" s="20">
        <v>6.8006993006993008</v>
      </c>
      <c r="N9" s="22">
        <v>15.740920714712647</v>
      </c>
      <c r="O9" s="20">
        <v>2.5961407696781649</v>
      </c>
      <c r="P9" s="24">
        <v>120.5</v>
      </c>
      <c r="Q9" s="20">
        <v>8.1473968897903983</v>
      </c>
      <c r="R9" s="22">
        <v>5.4123270160493</v>
      </c>
      <c r="S9" s="20">
        <v>5.4618661419568495</v>
      </c>
      <c r="T9" s="1" t="s">
        <v>68</v>
      </c>
      <c r="Z9" s="1">
        <v>2022</v>
      </c>
      <c r="AA9" s="1">
        <f t="shared" ref="AA9:AA36" si="1">AA8+$AB$7</f>
        <v>3.1333333333333337</v>
      </c>
      <c r="AD9" s="1">
        <v>2023</v>
      </c>
      <c r="AF9" s="20">
        <f t="shared" si="0"/>
        <v>2.4577226477171044</v>
      </c>
    </row>
    <row r="10" spans="1:43" s="1" customFormat="1" x14ac:dyDescent="0.35">
      <c r="A10" s="8" t="s">
        <v>1</v>
      </c>
      <c r="B10" s="23">
        <v>90.086927453145506</v>
      </c>
      <c r="C10" s="44">
        <v>1.5070107425009516</v>
      </c>
      <c r="D10" s="23">
        <v>252.44083599656318</v>
      </c>
      <c r="E10" s="44">
        <v>1.2970107425009516</v>
      </c>
      <c r="F10" s="23">
        <v>388.62794782791502</v>
      </c>
      <c r="G10" s="44">
        <v>1.6670107425009515</v>
      </c>
      <c r="H10" s="25">
        <v>262.24892613155453</v>
      </c>
      <c r="I10" s="45">
        <v>1.6369073474287157</v>
      </c>
      <c r="J10" s="23">
        <v>7.6272752410217493</v>
      </c>
      <c r="K10" s="44">
        <v>1.6747966191930854</v>
      </c>
      <c r="L10" s="25">
        <v>355.81183333332751</v>
      </c>
      <c r="M10" s="21">
        <v>3.1102432983682475</v>
      </c>
      <c r="N10" s="23">
        <v>6.5066182093400009</v>
      </c>
      <c r="O10" s="44">
        <v>1.0731327037438976</v>
      </c>
      <c r="P10" s="25">
        <v>53.117333333333001</v>
      </c>
      <c r="Q10" s="21">
        <v>3.5914356547216362</v>
      </c>
      <c r="R10" s="23">
        <v>2.1989037777307403</v>
      </c>
      <c r="S10" s="44">
        <v>2.2190303833073375</v>
      </c>
      <c r="T10" s="48">
        <v>3</v>
      </c>
      <c r="Z10" s="1">
        <v>2023</v>
      </c>
      <c r="AA10" s="1">
        <f t="shared" si="1"/>
        <v>3.2000000000000006</v>
      </c>
      <c r="AD10" s="1">
        <v>2024</v>
      </c>
      <c r="AF10" s="20">
        <f t="shared" si="0"/>
        <v>2.4778069940979526</v>
      </c>
    </row>
    <row r="11" spans="1:43" s="1" customFormat="1" x14ac:dyDescent="0.35">
      <c r="Z11" s="1">
        <v>2024</v>
      </c>
      <c r="AA11" s="1">
        <f t="shared" si="1"/>
        <v>3.2666666666666675</v>
      </c>
      <c r="AD11" s="1">
        <v>2025</v>
      </c>
      <c r="AF11" s="20">
        <f t="shared" si="0"/>
        <v>2.4978913404788008</v>
      </c>
    </row>
    <row r="12" spans="1:43" s="1" customFormat="1" x14ac:dyDescent="0.35">
      <c r="Z12" s="1">
        <v>2025</v>
      </c>
      <c r="AA12" s="1">
        <f t="shared" si="1"/>
        <v>3.3333333333333344</v>
      </c>
      <c r="AD12" s="1">
        <v>2026</v>
      </c>
      <c r="AF12" s="20">
        <f t="shared" si="0"/>
        <v>2.517975686859649</v>
      </c>
    </row>
    <row r="13" spans="1:43" s="1" customFormat="1" x14ac:dyDescent="0.35">
      <c r="A13" s="1" t="s">
        <v>47</v>
      </c>
      <c r="Z13" s="1">
        <v>2026</v>
      </c>
      <c r="AA13" s="1">
        <f t="shared" si="1"/>
        <v>3.4000000000000012</v>
      </c>
      <c r="AD13" s="1">
        <v>2027</v>
      </c>
      <c r="AF13" s="20">
        <f t="shared" si="0"/>
        <v>2.5380600332404972</v>
      </c>
    </row>
    <row r="14" spans="1:43" s="1" customFormat="1" x14ac:dyDescent="0.35">
      <c r="Z14" s="1">
        <v>2027</v>
      </c>
      <c r="AA14" s="1">
        <f t="shared" si="1"/>
        <v>3.4666666666666681</v>
      </c>
      <c r="AD14" s="1">
        <v>2028</v>
      </c>
      <c r="AF14" s="20">
        <f t="shared" si="0"/>
        <v>2.5581443796213454</v>
      </c>
    </row>
    <row r="15" spans="1:43" s="1" customFormat="1" x14ac:dyDescent="0.35">
      <c r="A15" s="2" t="s">
        <v>0</v>
      </c>
      <c r="B15" s="54" t="s">
        <v>3</v>
      </c>
      <c r="C15" s="54"/>
      <c r="D15" s="54" t="s">
        <v>5</v>
      </c>
      <c r="E15" s="54"/>
      <c r="F15" s="54" t="s">
        <v>6</v>
      </c>
      <c r="G15" s="54"/>
      <c r="H15" s="54" t="s">
        <v>7</v>
      </c>
      <c r="I15" s="54"/>
      <c r="J15" s="54"/>
      <c r="K15" s="54"/>
      <c r="L15" s="54" t="s">
        <v>8</v>
      </c>
      <c r="M15" s="54"/>
      <c r="N15" s="54"/>
      <c r="O15" s="54"/>
      <c r="P15" s="54" t="s">
        <v>9</v>
      </c>
      <c r="Q15" s="54"/>
      <c r="R15" s="54"/>
      <c r="S15" s="54"/>
      <c r="Z15" s="1">
        <v>2028</v>
      </c>
      <c r="AA15" s="1">
        <f t="shared" si="1"/>
        <v>3.533333333333335</v>
      </c>
      <c r="AD15" s="1">
        <v>2029</v>
      </c>
      <c r="AF15" s="20">
        <f t="shared" si="0"/>
        <v>2.5782287260021937</v>
      </c>
    </row>
    <row r="16" spans="1:43" s="6" customFormat="1" ht="24" x14ac:dyDescent="0.35">
      <c r="B16" s="34" t="s">
        <v>4</v>
      </c>
      <c r="C16" s="35" t="s">
        <v>2</v>
      </c>
      <c r="D16" s="34" t="s">
        <v>4</v>
      </c>
      <c r="E16" s="35" t="s">
        <v>2</v>
      </c>
      <c r="F16" s="34" t="s">
        <v>4</v>
      </c>
      <c r="G16" s="35" t="s">
        <v>2</v>
      </c>
      <c r="H16" s="34" t="s">
        <v>46</v>
      </c>
      <c r="I16" s="34" t="s">
        <v>45</v>
      </c>
      <c r="J16" s="34" t="s">
        <v>4</v>
      </c>
      <c r="K16" s="35" t="s">
        <v>2</v>
      </c>
      <c r="L16" s="34" t="s">
        <v>44</v>
      </c>
      <c r="M16" s="34" t="s">
        <v>45</v>
      </c>
      <c r="N16" s="34" t="s">
        <v>4</v>
      </c>
      <c r="O16" s="35" t="s">
        <v>2</v>
      </c>
      <c r="P16" s="34" t="s">
        <v>44</v>
      </c>
      <c r="Q16" s="34" t="s">
        <v>45</v>
      </c>
      <c r="R16" s="34" t="s">
        <v>4</v>
      </c>
      <c r="S16" s="35" t="s">
        <v>2</v>
      </c>
      <c r="Z16" s="1">
        <v>2029</v>
      </c>
      <c r="AA16" s="1">
        <f t="shared" si="1"/>
        <v>3.6000000000000019</v>
      </c>
      <c r="AD16" s="1">
        <v>2030</v>
      </c>
      <c r="AE16" s="1"/>
      <c r="AF16" s="20">
        <f t="shared" si="0"/>
        <v>2.5983130723830419</v>
      </c>
    </row>
    <row r="17" spans="1:37" s="1" customFormat="1" x14ac:dyDescent="0.35">
      <c r="A17" s="1">
        <v>10</v>
      </c>
      <c r="B17" s="33">
        <v>160.97012770929473</v>
      </c>
      <c r="C17" s="20">
        <v>2.692773730193271</v>
      </c>
      <c r="D17" s="33">
        <v>483.22920967621445</v>
      </c>
      <c r="E17" s="20">
        <v>2.4827737301932711</v>
      </c>
      <c r="F17" s="33">
        <v>665.06326091162805</v>
      </c>
      <c r="G17" s="36">
        <f t="shared" ref="G17:G20" si="2">E17+0.16</f>
        <v>2.6427737301932712</v>
      </c>
      <c r="H17" s="24">
        <v>415.85768542136049</v>
      </c>
      <c r="I17" s="20">
        <v>2.5957036728129363</v>
      </c>
      <c r="J17" s="22">
        <v>12.23117685926065</v>
      </c>
      <c r="K17" s="20">
        <v>2.6857210478611626</v>
      </c>
      <c r="L17" s="24">
        <v>586.5</v>
      </c>
      <c r="M17" s="20">
        <v>5.1267482517482517</v>
      </c>
      <c r="N17" s="22">
        <v>10.73927354150395</v>
      </c>
      <c r="O17" s="20">
        <v>1.7712220513101908</v>
      </c>
      <c r="P17" s="24">
        <v>85.5</v>
      </c>
      <c r="Q17" s="20">
        <v>5.7809330628803242</v>
      </c>
      <c r="R17" s="33">
        <v>3.8163870093058798</v>
      </c>
      <c r="S17" s="20">
        <v>3.8513184678089067</v>
      </c>
      <c r="Z17" s="1">
        <v>2030</v>
      </c>
      <c r="AA17" s="1">
        <f t="shared" si="1"/>
        <v>3.6666666666666687</v>
      </c>
      <c r="AD17" s="1">
        <v>2031</v>
      </c>
      <c r="AF17" s="20">
        <f t="shared" si="0"/>
        <v>2.6183974187638901</v>
      </c>
    </row>
    <row r="18" spans="1:37" s="1" customFormat="1" x14ac:dyDescent="0.35">
      <c r="A18" s="1">
        <v>25</v>
      </c>
      <c r="B18" s="33">
        <v>214.52634983489483</v>
      </c>
      <c r="C18" s="20">
        <v>3.5886839843533314</v>
      </c>
      <c r="D18" s="33">
        <v>657.60273344669565</v>
      </c>
      <c r="E18" s="20">
        <v>3.3786839843533314</v>
      </c>
      <c r="F18" s="33">
        <v>873.92560032874269</v>
      </c>
      <c r="G18" s="36">
        <f t="shared" si="2"/>
        <v>3.5386839843533315</v>
      </c>
      <c r="H18" s="24">
        <v>528.185541493355</v>
      </c>
      <c r="I18" s="20">
        <v>3.2968325416225888</v>
      </c>
      <c r="J18" s="22">
        <v>15.6615895290418</v>
      </c>
      <c r="K18" s="20">
        <v>3.4389708468046924</v>
      </c>
      <c r="L18" s="24">
        <v>735</v>
      </c>
      <c r="M18" s="20">
        <v>6.424825174825175</v>
      </c>
      <c r="N18" s="22">
        <v>13.17442739204875</v>
      </c>
      <c r="O18" s="20">
        <v>2.1728505396570705</v>
      </c>
      <c r="P18" s="24">
        <v>102</v>
      </c>
      <c r="Q18" s="20">
        <v>6.8965517241379306</v>
      </c>
      <c r="R18" s="33">
        <v>4.2397265193789497</v>
      </c>
      <c r="S18" s="20">
        <v>4.2785328119836414</v>
      </c>
      <c r="Z18" s="1">
        <v>2031</v>
      </c>
      <c r="AA18" s="1">
        <f t="shared" si="1"/>
        <v>3.7333333333333356</v>
      </c>
      <c r="AD18" s="1">
        <v>2032</v>
      </c>
      <c r="AF18" s="20">
        <f t="shared" si="0"/>
        <v>2.6384817651447383</v>
      </c>
    </row>
    <row r="19" spans="1:37" s="1" customFormat="1" x14ac:dyDescent="0.35">
      <c r="A19" s="1">
        <v>100</v>
      </c>
      <c r="B19" s="33">
        <v>297.85707429565099</v>
      </c>
      <c r="C19" s="20">
        <v>4.4247556001015012</v>
      </c>
      <c r="D19" s="33">
        <v>928.91895938383755</v>
      </c>
      <c r="E19" s="20">
        <v>4.2147556001015012</v>
      </c>
      <c r="F19" s="33">
        <v>1198.9046478683379</v>
      </c>
      <c r="G19" s="36">
        <f t="shared" si="2"/>
        <v>4.3747556001015013</v>
      </c>
      <c r="H19" s="24">
        <v>693.53492150275497</v>
      </c>
      <c r="I19" s="20">
        <v>4.3289115629658266</v>
      </c>
      <c r="J19" s="22">
        <v>20.028563736083452</v>
      </c>
      <c r="K19" s="20">
        <v>4.3978707693774366</v>
      </c>
      <c r="L19" s="24">
        <v>891</v>
      </c>
      <c r="M19" s="20">
        <v>7.7884615384615383</v>
      </c>
      <c r="N19" s="22">
        <v>17.106248465389697</v>
      </c>
      <c r="O19" s="20">
        <v>2.8213234703439931</v>
      </c>
      <c r="P19" s="24">
        <v>138.99999999999997</v>
      </c>
      <c r="Q19" s="20">
        <v>9.3982420554428661</v>
      </c>
      <c r="R19" s="33">
        <v>5.8681615065126502</v>
      </c>
      <c r="S19" s="20">
        <v>5.9218728936581293</v>
      </c>
      <c r="Z19" s="1">
        <v>2032</v>
      </c>
      <c r="AA19" s="1">
        <f t="shared" si="1"/>
        <v>3.8000000000000025</v>
      </c>
      <c r="AD19" s="1">
        <v>2033</v>
      </c>
      <c r="AF19" s="20">
        <f t="shared" si="0"/>
        <v>2.6585661115255865</v>
      </c>
    </row>
    <row r="20" spans="1:37" s="1" customFormat="1" x14ac:dyDescent="0.35">
      <c r="A20" s="1">
        <v>200</v>
      </c>
      <c r="B20" s="33">
        <v>314.01283811480874</v>
      </c>
      <c r="C20" s="20">
        <v>4.9826742168214224</v>
      </c>
      <c r="D20" s="33">
        <v>981.52045654962751</v>
      </c>
      <c r="E20" s="20">
        <v>4.7726742168214225</v>
      </c>
      <c r="F20" s="33">
        <v>1261.9100372034216</v>
      </c>
      <c r="G20" s="36">
        <f t="shared" si="2"/>
        <v>4.9326742168214226</v>
      </c>
      <c r="H20" s="24">
        <v>714.04189303133001</v>
      </c>
      <c r="I20" s="20">
        <v>4.4569121342695839</v>
      </c>
      <c r="J20" s="22">
        <v>20.793497876670148</v>
      </c>
      <c r="K20" s="20">
        <v>4.565834960006061</v>
      </c>
      <c r="L20" s="24">
        <v>924.5</v>
      </c>
      <c r="M20" s="20">
        <v>8.0812937062937067</v>
      </c>
      <c r="N20" s="22">
        <v>17.699482755763153</v>
      </c>
      <c r="O20" s="20">
        <v>2.9191652519730757</v>
      </c>
      <c r="P20" s="24">
        <v>144.5</v>
      </c>
      <c r="Q20" s="20">
        <v>9.7701149425287355</v>
      </c>
      <c r="R20" s="33">
        <v>6.0594800081315006</v>
      </c>
      <c r="S20" s="20">
        <v>6.1149425369415606</v>
      </c>
      <c r="T20" s="1" t="s">
        <v>67</v>
      </c>
      <c r="Z20" s="1">
        <v>2033</v>
      </c>
      <c r="AA20" s="1">
        <f t="shared" si="1"/>
        <v>3.8666666666666694</v>
      </c>
      <c r="AD20" s="1">
        <v>2034</v>
      </c>
      <c r="AF20" s="20">
        <f t="shared" si="0"/>
        <v>2.6786504579064347</v>
      </c>
    </row>
    <row r="21" spans="1:37" s="1" customFormat="1" x14ac:dyDescent="0.35">
      <c r="A21" s="1" t="s">
        <v>1</v>
      </c>
      <c r="B21" s="33">
        <v>75.959705965139065</v>
      </c>
      <c r="C21" s="46">
        <v>1.2706848387765857</v>
      </c>
      <c r="D21" s="33">
        <v>206.44406299467846</v>
      </c>
      <c r="E21" s="46">
        <v>1.0606848387765857</v>
      </c>
      <c r="F21" s="33">
        <v>333.53361121602887</v>
      </c>
      <c r="G21" s="47">
        <v>1.4306848387765856</v>
      </c>
      <c r="H21" s="24">
        <v>236.0688194365415</v>
      </c>
      <c r="I21" s="20">
        <v>1.4734961577713095</v>
      </c>
      <c r="J21" s="22">
        <v>6.8610879041755997</v>
      </c>
      <c r="K21" s="47">
        <v>1.5065572518083852</v>
      </c>
      <c r="L21" s="24">
        <v>321.53483333333452</v>
      </c>
      <c r="M21" s="20">
        <v>2.8106191724941829</v>
      </c>
      <c r="N21" s="22">
        <v>5.8761272571636498</v>
      </c>
      <c r="O21" s="47">
        <v>2.009270144297342</v>
      </c>
      <c r="P21" s="1">
        <v>48</v>
      </c>
      <c r="Q21" s="20">
        <v>3.2672864548118392</v>
      </c>
      <c r="R21" s="22">
        <v>1.991046064088565</v>
      </c>
      <c r="S21" s="47">
        <v>2.009270144297342</v>
      </c>
      <c r="T21" s="48">
        <v>5</v>
      </c>
      <c r="Z21" s="1">
        <v>2034</v>
      </c>
      <c r="AA21" s="1">
        <f t="shared" si="1"/>
        <v>3.9333333333333362</v>
      </c>
      <c r="AD21" s="51">
        <v>2035</v>
      </c>
      <c r="AE21" s="51"/>
      <c r="AF21" s="47">
        <f t="shared" si="0"/>
        <v>2.698734804287283</v>
      </c>
      <c r="AG21" s="51"/>
      <c r="AH21" s="51"/>
      <c r="AI21" s="51"/>
      <c r="AJ21" s="51"/>
      <c r="AK21" s="51"/>
    </row>
    <row r="22" spans="1:37" s="1" customFormat="1" x14ac:dyDescent="0.35">
      <c r="Z22" s="1">
        <v>2035</v>
      </c>
      <c r="AA22" s="1">
        <f t="shared" si="1"/>
        <v>4.0000000000000027</v>
      </c>
      <c r="AD22" s="1">
        <v>2036</v>
      </c>
      <c r="AF22" s="20">
        <f t="shared" si="0"/>
        <v>2.7188191506681312</v>
      </c>
    </row>
    <row r="23" spans="1:37" s="1" customFormat="1" x14ac:dyDescent="0.35">
      <c r="Z23" s="1">
        <v>2036</v>
      </c>
      <c r="AA23" s="1">
        <f t="shared" si="1"/>
        <v>4.0666666666666691</v>
      </c>
      <c r="AD23" s="1">
        <v>2037</v>
      </c>
      <c r="AF23" s="20">
        <f t="shared" si="0"/>
        <v>2.7389034970489794</v>
      </c>
    </row>
    <row r="24" spans="1:37" s="1" customFormat="1" x14ac:dyDescent="0.35">
      <c r="A24" s="1" t="s">
        <v>48</v>
      </c>
      <c r="Z24" s="1">
        <v>2037</v>
      </c>
      <c r="AA24" s="1">
        <f t="shared" si="1"/>
        <v>4.1333333333333355</v>
      </c>
      <c r="AD24" s="1">
        <v>2038</v>
      </c>
      <c r="AF24" s="20">
        <f t="shared" si="0"/>
        <v>2.7589878434298276</v>
      </c>
    </row>
    <row r="25" spans="1:37" s="1" customFormat="1" x14ac:dyDescent="0.35">
      <c r="Z25" s="1">
        <v>2038</v>
      </c>
      <c r="AA25" s="1">
        <f t="shared" si="1"/>
        <v>4.200000000000002</v>
      </c>
      <c r="AD25" s="1">
        <v>2039</v>
      </c>
      <c r="AF25" s="20">
        <f t="shared" si="0"/>
        <v>2.7790721898106758</v>
      </c>
    </row>
    <row r="26" spans="1:37" s="1" customFormat="1" x14ac:dyDescent="0.35">
      <c r="A26" s="2" t="s">
        <v>0</v>
      </c>
      <c r="B26" s="54" t="s">
        <v>3</v>
      </c>
      <c r="C26" s="54"/>
      <c r="D26" s="54" t="s">
        <v>5</v>
      </c>
      <c r="E26" s="54"/>
      <c r="F26" s="54" t="s">
        <v>6</v>
      </c>
      <c r="G26" s="54"/>
      <c r="H26" s="54" t="s">
        <v>7</v>
      </c>
      <c r="I26" s="54"/>
      <c r="J26" s="54"/>
      <c r="K26" s="54"/>
      <c r="L26" s="54" t="s">
        <v>8</v>
      </c>
      <c r="M26" s="54"/>
      <c r="N26" s="54"/>
      <c r="O26" s="54"/>
      <c r="P26" s="54" t="s">
        <v>9</v>
      </c>
      <c r="Q26" s="54"/>
      <c r="R26" s="54"/>
      <c r="S26" s="54"/>
      <c r="Z26" s="1">
        <v>2039</v>
      </c>
      <c r="AA26" s="1">
        <f t="shared" si="1"/>
        <v>4.2666666666666684</v>
      </c>
      <c r="AD26" s="1">
        <v>2040</v>
      </c>
      <c r="AF26" s="20">
        <f t="shared" si="0"/>
        <v>2.799156536191524</v>
      </c>
    </row>
    <row r="27" spans="1:37" s="6" customFormat="1" ht="24" x14ac:dyDescent="0.35">
      <c r="A27" s="3"/>
      <c r="B27" s="4" t="s">
        <v>4</v>
      </c>
      <c r="C27" s="5" t="s">
        <v>2</v>
      </c>
      <c r="D27" s="4" t="s">
        <v>4</v>
      </c>
      <c r="E27" s="5" t="s">
        <v>2</v>
      </c>
      <c r="F27" s="4" t="s">
        <v>4</v>
      </c>
      <c r="G27" s="5" t="s">
        <v>2</v>
      </c>
      <c r="H27" s="4" t="s">
        <v>46</v>
      </c>
      <c r="I27" s="4" t="s">
        <v>45</v>
      </c>
      <c r="J27" s="4" t="s">
        <v>4</v>
      </c>
      <c r="K27" s="5" t="s">
        <v>2</v>
      </c>
      <c r="L27" s="4" t="s">
        <v>44</v>
      </c>
      <c r="M27" s="4" t="s">
        <v>45</v>
      </c>
      <c r="N27" s="4" t="s">
        <v>4</v>
      </c>
      <c r="O27" s="5" t="s">
        <v>2</v>
      </c>
      <c r="P27" s="4" t="s">
        <v>44</v>
      </c>
      <c r="Q27" s="4" t="s">
        <v>45</v>
      </c>
      <c r="R27" s="4" t="s">
        <v>4</v>
      </c>
      <c r="S27" s="5" t="s">
        <v>2</v>
      </c>
      <c r="Z27" s="1">
        <v>2040</v>
      </c>
      <c r="AA27" s="1">
        <f t="shared" si="1"/>
        <v>4.3333333333333348</v>
      </c>
      <c r="AD27" s="1">
        <v>2041</v>
      </c>
      <c r="AE27" s="1"/>
      <c r="AF27" s="20">
        <f t="shared" si="0"/>
        <v>2.8192408825723723</v>
      </c>
    </row>
    <row r="28" spans="1:37" s="1" customFormat="1" x14ac:dyDescent="0.35">
      <c r="A28" s="1">
        <v>10</v>
      </c>
      <c r="B28" s="7"/>
      <c r="C28" s="7"/>
      <c r="Z28" s="1">
        <v>2041</v>
      </c>
      <c r="AA28" s="1">
        <f t="shared" si="1"/>
        <v>4.4000000000000012</v>
      </c>
      <c r="AD28" s="1">
        <v>2042</v>
      </c>
      <c r="AF28" s="20">
        <f t="shared" si="0"/>
        <v>2.8393252289532205</v>
      </c>
    </row>
    <row r="29" spans="1:37" s="1" customFormat="1" x14ac:dyDescent="0.35">
      <c r="A29" s="1">
        <v>25</v>
      </c>
      <c r="Z29" s="1">
        <v>2042</v>
      </c>
      <c r="AA29" s="1">
        <f t="shared" si="1"/>
        <v>4.4666666666666677</v>
      </c>
      <c r="AD29" s="1">
        <v>2043</v>
      </c>
      <c r="AF29" s="20">
        <f t="shared" si="0"/>
        <v>2.8594095753340687</v>
      </c>
    </row>
    <row r="30" spans="1:37" s="1" customFormat="1" x14ac:dyDescent="0.35">
      <c r="A30" s="1">
        <v>100</v>
      </c>
      <c r="Z30" s="1">
        <v>2043</v>
      </c>
      <c r="AA30" s="1">
        <f t="shared" si="1"/>
        <v>4.5333333333333341</v>
      </c>
      <c r="AD30" s="1">
        <v>2044</v>
      </c>
      <c r="AF30" s="20">
        <f t="shared" si="0"/>
        <v>2.8794939217149169</v>
      </c>
    </row>
    <row r="31" spans="1:37" s="1" customFormat="1" x14ac:dyDescent="0.35">
      <c r="A31" s="1">
        <v>200</v>
      </c>
      <c r="Z31" s="1">
        <v>2044</v>
      </c>
      <c r="AA31" s="1">
        <f t="shared" si="1"/>
        <v>4.6000000000000005</v>
      </c>
      <c r="AD31" s="1">
        <v>2045</v>
      </c>
      <c r="AF31" s="20">
        <f t="shared" si="0"/>
        <v>2.8995782680957651</v>
      </c>
    </row>
    <row r="32" spans="1:37" s="1" customFormat="1" x14ac:dyDescent="0.35">
      <c r="A32" s="8" t="s">
        <v>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Z32" s="1">
        <v>2045</v>
      </c>
      <c r="AA32" s="1">
        <f t="shared" si="1"/>
        <v>4.666666666666667</v>
      </c>
      <c r="AD32" s="1">
        <v>2046</v>
      </c>
      <c r="AF32" s="20">
        <f t="shared" si="0"/>
        <v>2.9196626144766133</v>
      </c>
    </row>
    <row r="33" spans="1:32" s="1" customFormat="1" x14ac:dyDescent="0.35">
      <c r="Z33" s="1">
        <v>2046</v>
      </c>
      <c r="AA33" s="1">
        <f t="shared" si="1"/>
        <v>4.7333333333333334</v>
      </c>
      <c r="AD33" s="1">
        <v>2047</v>
      </c>
      <c r="AF33" s="20">
        <f t="shared" si="0"/>
        <v>2.9397469608574616</v>
      </c>
    </row>
    <row r="34" spans="1:32" s="1" customFormat="1" x14ac:dyDescent="0.35">
      <c r="Z34" s="1">
        <v>2047</v>
      </c>
      <c r="AA34" s="1">
        <f t="shared" si="1"/>
        <v>4.8</v>
      </c>
      <c r="AD34" s="1">
        <v>2048</v>
      </c>
      <c r="AF34" s="20">
        <f t="shared" si="0"/>
        <v>2.9598313072383098</v>
      </c>
    </row>
    <row r="35" spans="1:32" s="1" customFormat="1" x14ac:dyDescent="0.35">
      <c r="A35" s="1" t="s">
        <v>51</v>
      </c>
      <c r="Z35" s="1">
        <v>2048</v>
      </c>
      <c r="AA35" s="1">
        <f t="shared" si="1"/>
        <v>4.8666666666666663</v>
      </c>
      <c r="AD35" s="1">
        <v>2049</v>
      </c>
      <c r="AF35" s="20">
        <f t="shared" si="0"/>
        <v>2.979915653619158</v>
      </c>
    </row>
    <row r="36" spans="1:32" s="1" customFormat="1" x14ac:dyDescent="0.35">
      <c r="Z36" s="1">
        <v>2049</v>
      </c>
      <c r="AA36" s="1">
        <f t="shared" si="1"/>
        <v>4.9333333333333327</v>
      </c>
      <c r="AD36" s="1">
        <v>2050</v>
      </c>
      <c r="AF36" s="20">
        <v>3</v>
      </c>
    </row>
    <row r="37" spans="1:32" s="1" customFormat="1" x14ac:dyDescent="0.35">
      <c r="A37" s="2" t="s">
        <v>0</v>
      </c>
      <c r="B37" s="54" t="s">
        <v>3</v>
      </c>
      <c r="C37" s="54"/>
      <c r="D37" s="54" t="s">
        <v>5</v>
      </c>
      <c r="E37" s="54"/>
      <c r="F37" s="54" t="s">
        <v>6</v>
      </c>
      <c r="G37" s="54"/>
      <c r="H37" s="54" t="s">
        <v>7</v>
      </c>
      <c r="I37" s="54"/>
      <c r="J37" s="54"/>
      <c r="K37" s="54"/>
      <c r="L37" s="54" t="s">
        <v>8</v>
      </c>
      <c r="M37" s="54"/>
      <c r="N37" s="54"/>
      <c r="O37" s="54"/>
      <c r="P37" s="54" t="s">
        <v>9</v>
      </c>
      <c r="Q37" s="54"/>
      <c r="R37" s="54"/>
      <c r="S37" s="54"/>
      <c r="Z37" s="1">
        <v>2050</v>
      </c>
      <c r="AA37" s="1">
        <v>5</v>
      </c>
    </row>
    <row r="38" spans="1:32" s="6" customFormat="1" ht="24" x14ac:dyDescent="0.3">
      <c r="A38" s="3"/>
      <c r="B38" s="4" t="s">
        <v>4</v>
      </c>
      <c r="C38" s="5" t="s">
        <v>2</v>
      </c>
      <c r="D38" s="4" t="s">
        <v>4</v>
      </c>
      <c r="E38" s="5" t="s">
        <v>2</v>
      </c>
      <c r="F38" s="4" t="s">
        <v>4</v>
      </c>
      <c r="G38" s="5" t="s">
        <v>2</v>
      </c>
      <c r="H38" s="4" t="s">
        <v>46</v>
      </c>
      <c r="I38" s="4" t="s">
        <v>45</v>
      </c>
      <c r="J38" s="4" t="s">
        <v>4</v>
      </c>
      <c r="K38" s="5" t="s">
        <v>2</v>
      </c>
      <c r="L38" s="4" t="s">
        <v>44</v>
      </c>
      <c r="M38" s="4" t="s">
        <v>45</v>
      </c>
      <c r="N38" s="4" t="s">
        <v>4</v>
      </c>
      <c r="O38" s="5" t="s">
        <v>2</v>
      </c>
      <c r="P38" s="4" t="s">
        <v>44</v>
      </c>
      <c r="Q38" s="4" t="s">
        <v>45</v>
      </c>
      <c r="R38" s="4" t="s">
        <v>4</v>
      </c>
      <c r="S38" s="5" t="s">
        <v>2</v>
      </c>
    </row>
    <row r="39" spans="1:32" s="1" customFormat="1" x14ac:dyDescent="0.35">
      <c r="A39" s="1">
        <v>10</v>
      </c>
      <c r="B39" s="7"/>
      <c r="C39" s="7"/>
    </row>
    <row r="40" spans="1:32" s="1" customFormat="1" x14ac:dyDescent="0.35">
      <c r="A40" s="1">
        <v>25</v>
      </c>
    </row>
    <row r="41" spans="1:32" s="1" customFormat="1" x14ac:dyDescent="0.35">
      <c r="A41" s="1">
        <v>100</v>
      </c>
    </row>
    <row r="42" spans="1:32" s="1" customFormat="1" x14ac:dyDescent="0.35">
      <c r="A42" s="1">
        <v>200</v>
      </c>
    </row>
    <row r="43" spans="1:32" s="1" customFormat="1" x14ac:dyDescent="0.35">
      <c r="A43" s="8" t="s">
        <v>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32" s="1" customFormat="1" x14ac:dyDescent="0.35"/>
    <row r="45" spans="1:32" s="1" customFormat="1" x14ac:dyDescent="0.35"/>
    <row r="46" spans="1:32" s="1" customFormat="1" x14ac:dyDescent="0.35">
      <c r="A46" s="1" t="s">
        <v>52</v>
      </c>
    </row>
    <row r="47" spans="1:32" s="1" customFormat="1" x14ac:dyDescent="0.35"/>
    <row r="48" spans="1:32" s="1" customFormat="1" x14ac:dyDescent="0.35">
      <c r="A48" s="2" t="s">
        <v>0</v>
      </c>
      <c r="B48" s="54" t="s">
        <v>3</v>
      </c>
      <c r="C48" s="54"/>
      <c r="D48" s="54" t="s">
        <v>5</v>
      </c>
      <c r="E48" s="54"/>
      <c r="F48" s="54" t="s">
        <v>6</v>
      </c>
      <c r="G48" s="54"/>
      <c r="H48" s="54" t="s">
        <v>7</v>
      </c>
      <c r="I48" s="54"/>
      <c r="J48" s="54"/>
      <c r="K48" s="54"/>
      <c r="L48" s="54" t="s">
        <v>8</v>
      </c>
      <c r="M48" s="54"/>
      <c r="N48" s="54"/>
      <c r="O48" s="54"/>
      <c r="P48" s="54" t="s">
        <v>9</v>
      </c>
      <c r="Q48" s="54"/>
      <c r="R48" s="54"/>
      <c r="S48" s="54"/>
    </row>
    <row r="49" spans="1:19" s="6" customFormat="1" ht="24" x14ac:dyDescent="0.3">
      <c r="A49" s="3"/>
      <c r="B49" s="4" t="s">
        <v>4</v>
      </c>
      <c r="C49" s="5" t="s">
        <v>2</v>
      </c>
      <c r="D49" s="4" t="s">
        <v>4</v>
      </c>
      <c r="E49" s="5" t="s">
        <v>2</v>
      </c>
      <c r="F49" s="4" t="s">
        <v>4</v>
      </c>
      <c r="G49" s="5" t="s">
        <v>2</v>
      </c>
      <c r="H49" s="4" t="s">
        <v>46</v>
      </c>
      <c r="I49" s="4" t="s">
        <v>45</v>
      </c>
      <c r="J49" s="4" t="s">
        <v>4</v>
      </c>
      <c r="K49" s="5" t="s">
        <v>2</v>
      </c>
      <c r="L49" s="4" t="s">
        <v>44</v>
      </c>
      <c r="M49" s="4" t="s">
        <v>45</v>
      </c>
      <c r="N49" s="4" t="s">
        <v>4</v>
      </c>
      <c r="O49" s="5" t="s">
        <v>2</v>
      </c>
      <c r="P49" s="4" t="s">
        <v>44</v>
      </c>
      <c r="Q49" s="4" t="s">
        <v>45</v>
      </c>
      <c r="R49" s="4" t="s">
        <v>4</v>
      </c>
      <c r="S49" s="5" t="s">
        <v>2</v>
      </c>
    </row>
    <row r="50" spans="1:19" s="1" customFormat="1" x14ac:dyDescent="0.35">
      <c r="A50" s="1">
        <v>10</v>
      </c>
      <c r="B50" s="7"/>
      <c r="C50" s="7"/>
    </row>
    <row r="51" spans="1:19" s="1" customFormat="1" x14ac:dyDescent="0.35">
      <c r="A51" s="1">
        <v>25</v>
      </c>
    </row>
    <row r="52" spans="1:19" s="1" customFormat="1" x14ac:dyDescent="0.35">
      <c r="A52" s="1">
        <v>100</v>
      </c>
    </row>
    <row r="53" spans="1:19" s="1" customFormat="1" x14ac:dyDescent="0.35">
      <c r="A53" s="1">
        <v>200</v>
      </c>
    </row>
    <row r="54" spans="1:19" s="1" customFormat="1" x14ac:dyDescent="0.35">
      <c r="A54" s="8" t="s">
        <v>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s="1" customFormat="1" x14ac:dyDescent="0.35"/>
    <row r="56" spans="1:19" s="1" customFormat="1" x14ac:dyDescent="0.35"/>
    <row r="57" spans="1:19" s="1" customFormat="1" x14ac:dyDescent="0.35">
      <c r="A57" s="1" t="s">
        <v>49</v>
      </c>
    </row>
    <row r="58" spans="1:19" s="1" customFormat="1" x14ac:dyDescent="0.35"/>
    <row r="59" spans="1:19" s="1" customFormat="1" x14ac:dyDescent="0.35">
      <c r="A59" s="2" t="s">
        <v>0</v>
      </c>
      <c r="B59" s="54" t="s">
        <v>3</v>
      </c>
      <c r="C59" s="54"/>
      <c r="D59" s="54" t="s">
        <v>5</v>
      </c>
      <c r="E59" s="54"/>
      <c r="F59" s="54" t="s">
        <v>6</v>
      </c>
      <c r="G59" s="54"/>
      <c r="H59" s="54" t="s">
        <v>7</v>
      </c>
      <c r="I59" s="54"/>
      <c r="J59" s="54"/>
      <c r="K59" s="54"/>
      <c r="L59" s="54" t="s">
        <v>8</v>
      </c>
      <c r="M59" s="54"/>
      <c r="N59" s="54"/>
      <c r="O59" s="54"/>
      <c r="P59" s="54" t="s">
        <v>9</v>
      </c>
      <c r="Q59" s="54"/>
      <c r="R59" s="54"/>
      <c r="S59" s="54"/>
    </row>
    <row r="60" spans="1:19" s="6" customFormat="1" ht="24" x14ac:dyDescent="0.3">
      <c r="A60" s="3"/>
      <c r="B60" s="4" t="s">
        <v>4</v>
      </c>
      <c r="C60" s="5" t="s">
        <v>2</v>
      </c>
      <c r="D60" s="4" t="s">
        <v>4</v>
      </c>
      <c r="E60" s="5" t="s">
        <v>2</v>
      </c>
      <c r="F60" s="4" t="s">
        <v>4</v>
      </c>
      <c r="G60" s="5" t="s">
        <v>2</v>
      </c>
      <c r="H60" s="4" t="s">
        <v>46</v>
      </c>
      <c r="I60" s="4" t="s">
        <v>45</v>
      </c>
      <c r="J60" s="4" t="s">
        <v>4</v>
      </c>
      <c r="K60" s="5" t="s">
        <v>2</v>
      </c>
      <c r="L60" s="4" t="s">
        <v>44</v>
      </c>
      <c r="M60" s="4" t="s">
        <v>45</v>
      </c>
      <c r="N60" s="4" t="s">
        <v>4</v>
      </c>
      <c r="O60" s="5" t="s">
        <v>2</v>
      </c>
      <c r="P60" s="4" t="s">
        <v>44</v>
      </c>
      <c r="Q60" s="4" t="s">
        <v>45</v>
      </c>
      <c r="R60" s="4" t="s">
        <v>4</v>
      </c>
      <c r="S60" s="5" t="s">
        <v>2</v>
      </c>
    </row>
    <row r="61" spans="1:19" s="1" customFormat="1" x14ac:dyDescent="0.35">
      <c r="A61" s="1">
        <v>10</v>
      </c>
      <c r="B61" s="7"/>
      <c r="C61" s="7"/>
    </row>
    <row r="62" spans="1:19" s="1" customFormat="1" x14ac:dyDescent="0.35">
      <c r="A62" s="1">
        <v>25</v>
      </c>
    </row>
    <row r="63" spans="1:19" s="1" customFormat="1" x14ac:dyDescent="0.35">
      <c r="A63" s="1">
        <v>100</v>
      </c>
    </row>
    <row r="64" spans="1:19" s="1" customFormat="1" x14ac:dyDescent="0.35">
      <c r="A64" s="1">
        <v>200</v>
      </c>
    </row>
    <row r="65" spans="1:19" s="1" customFormat="1" x14ac:dyDescent="0.35">
      <c r="A65" s="8" t="s">
        <v>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s="1" customFormat="1" x14ac:dyDescent="0.35"/>
    <row r="67" spans="1:19" s="1" customFormat="1" x14ac:dyDescent="0.35"/>
    <row r="68" spans="1:19" s="1" customFormat="1" x14ac:dyDescent="0.35">
      <c r="A68" s="1" t="s">
        <v>50</v>
      </c>
    </row>
    <row r="69" spans="1:19" s="1" customFormat="1" x14ac:dyDescent="0.35"/>
    <row r="70" spans="1:19" s="1" customFormat="1" x14ac:dyDescent="0.35">
      <c r="A70" s="2" t="s">
        <v>0</v>
      </c>
      <c r="B70" s="54" t="s">
        <v>3</v>
      </c>
      <c r="C70" s="54"/>
      <c r="D70" s="54" t="s">
        <v>5</v>
      </c>
      <c r="E70" s="54"/>
      <c r="F70" s="54" t="s">
        <v>6</v>
      </c>
      <c r="G70" s="54"/>
      <c r="H70" s="54" t="s">
        <v>7</v>
      </c>
      <c r="I70" s="54"/>
      <c r="J70" s="54"/>
      <c r="K70" s="54"/>
      <c r="L70" s="54" t="s">
        <v>8</v>
      </c>
      <c r="M70" s="54"/>
      <c r="N70" s="54"/>
      <c r="O70" s="54"/>
      <c r="P70" s="54" t="s">
        <v>9</v>
      </c>
      <c r="Q70" s="54"/>
      <c r="R70" s="54"/>
      <c r="S70" s="54"/>
    </row>
    <row r="71" spans="1:19" s="6" customFormat="1" ht="24" x14ac:dyDescent="0.3">
      <c r="A71" s="3"/>
      <c r="B71" s="4" t="s">
        <v>4</v>
      </c>
      <c r="C71" s="5" t="s">
        <v>2</v>
      </c>
      <c r="D71" s="4" t="s">
        <v>4</v>
      </c>
      <c r="E71" s="5" t="s">
        <v>2</v>
      </c>
      <c r="F71" s="4" t="s">
        <v>4</v>
      </c>
      <c r="G71" s="5" t="s">
        <v>2</v>
      </c>
      <c r="H71" s="4" t="s">
        <v>46</v>
      </c>
      <c r="I71" s="4" t="s">
        <v>45</v>
      </c>
      <c r="J71" s="4" t="s">
        <v>4</v>
      </c>
      <c r="K71" s="5" t="s">
        <v>2</v>
      </c>
      <c r="L71" s="4" t="s">
        <v>44</v>
      </c>
      <c r="M71" s="4" t="s">
        <v>45</v>
      </c>
      <c r="N71" s="4" t="s">
        <v>4</v>
      </c>
      <c r="O71" s="5" t="s">
        <v>2</v>
      </c>
      <c r="P71" s="4" t="s">
        <v>44</v>
      </c>
      <c r="Q71" s="4" t="s">
        <v>45</v>
      </c>
      <c r="R71" s="4" t="s">
        <v>4</v>
      </c>
      <c r="S71" s="5" t="s">
        <v>2</v>
      </c>
    </row>
    <row r="72" spans="1:19" s="1" customFormat="1" x14ac:dyDescent="0.35">
      <c r="A72" s="1">
        <v>10</v>
      </c>
      <c r="B72" s="7"/>
      <c r="C72" s="7"/>
    </row>
    <row r="73" spans="1:19" s="1" customFormat="1" x14ac:dyDescent="0.35">
      <c r="A73" s="1">
        <v>25</v>
      </c>
    </row>
    <row r="74" spans="1:19" s="1" customFormat="1" x14ac:dyDescent="0.35">
      <c r="A74" s="1">
        <v>100</v>
      </c>
    </row>
    <row r="75" spans="1:19" s="1" customFormat="1" x14ac:dyDescent="0.35">
      <c r="A75" s="1">
        <v>200</v>
      </c>
    </row>
    <row r="76" spans="1:19" s="1" customFormat="1" x14ac:dyDescent="0.35">
      <c r="A76" s="8" t="s">
        <v>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s="1" customFormat="1" x14ac:dyDescent="0.35"/>
    <row r="78" spans="1:19" s="1" customFormat="1" x14ac:dyDescent="0.35"/>
    <row r="79" spans="1:19" s="1" customFormat="1" x14ac:dyDescent="0.35">
      <c r="A79" s="1" t="s">
        <v>53</v>
      </c>
    </row>
    <row r="80" spans="1:19" s="1" customFormat="1" x14ac:dyDescent="0.35"/>
    <row r="81" spans="1:19" s="1" customFormat="1" x14ac:dyDescent="0.35">
      <c r="A81" s="2" t="s">
        <v>0</v>
      </c>
      <c r="B81" s="54" t="s">
        <v>3</v>
      </c>
      <c r="C81" s="54"/>
      <c r="D81" s="54" t="s">
        <v>5</v>
      </c>
      <c r="E81" s="54"/>
      <c r="F81" s="54" t="s">
        <v>6</v>
      </c>
      <c r="G81" s="54"/>
      <c r="H81" s="54" t="s">
        <v>7</v>
      </c>
      <c r="I81" s="54"/>
      <c r="J81" s="54"/>
      <c r="K81" s="54"/>
      <c r="L81" s="54" t="s">
        <v>8</v>
      </c>
      <c r="M81" s="54"/>
      <c r="N81" s="54"/>
      <c r="O81" s="54"/>
      <c r="P81" s="54" t="s">
        <v>9</v>
      </c>
      <c r="Q81" s="54"/>
      <c r="R81" s="54"/>
      <c r="S81" s="54"/>
    </row>
    <row r="82" spans="1:19" s="6" customFormat="1" ht="24" x14ac:dyDescent="0.3">
      <c r="A82" s="3"/>
      <c r="B82" s="4" t="s">
        <v>4</v>
      </c>
      <c r="C82" s="5" t="s">
        <v>2</v>
      </c>
      <c r="D82" s="4" t="s">
        <v>4</v>
      </c>
      <c r="E82" s="5" t="s">
        <v>2</v>
      </c>
      <c r="F82" s="4" t="s">
        <v>4</v>
      </c>
      <c r="G82" s="5" t="s">
        <v>2</v>
      </c>
      <c r="H82" s="4" t="s">
        <v>46</v>
      </c>
      <c r="I82" s="4" t="s">
        <v>45</v>
      </c>
      <c r="J82" s="4" t="s">
        <v>4</v>
      </c>
      <c r="K82" s="5" t="s">
        <v>2</v>
      </c>
      <c r="L82" s="4" t="s">
        <v>44</v>
      </c>
      <c r="M82" s="4" t="s">
        <v>45</v>
      </c>
      <c r="N82" s="4" t="s">
        <v>4</v>
      </c>
      <c r="O82" s="5" t="s">
        <v>2</v>
      </c>
      <c r="P82" s="4" t="s">
        <v>44</v>
      </c>
      <c r="Q82" s="4" t="s">
        <v>45</v>
      </c>
      <c r="R82" s="4" t="s">
        <v>4</v>
      </c>
      <c r="S82" s="5" t="s">
        <v>2</v>
      </c>
    </row>
    <row r="83" spans="1:19" s="1" customFormat="1" x14ac:dyDescent="0.35">
      <c r="A83" s="1">
        <v>10</v>
      </c>
      <c r="B83" s="7"/>
      <c r="C83" s="7"/>
    </row>
    <row r="84" spans="1:19" s="1" customFormat="1" x14ac:dyDescent="0.35">
      <c r="A84" s="1">
        <v>25</v>
      </c>
    </row>
    <row r="85" spans="1:19" s="1" customFormat="1" x14ac:dyDescent="0.35">
      <c r="A85" s="1">
        <v>100</v>
      </c>
    </row>
    <row r="86" spans="1:19" s="1" customFormat="1" x14ac:dyDescent="0.35">
      <c r="A86" s="1">
        <v>200</v>
      </c>
    </row>
    <row r="87" spans="1:19" s="1" customFormat="1" x14ac:dyDescent="0.35">
      <c r="A87" s="8" t="s">
        <v>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s="1" customFormat="1" x14ac:dyDescent="0.35"/>
    <row r="89" spans="1:19" s="1" customFormat="1" x14ac:dyDescent="0.35"/>
    <row r="90" spans="1:19" s="1" customFormat="1" x14ac:dyDescent="0.35">
      <c r="A90" s="1" t="s">
        <v>54</v>
      </c>
    </row>
    <row r="91" spans="1:19" s="1" customFormat="1" x14ac:dyDescent="0.35"/>
    <row r="92" spans="1:19" s="1" customFormat="1" x14ac:dyDescent="0.35">
      <c r="A92" s="2" t="s">
        <v>0</v>
      </c>
      <c r="B92" s="54" t="s">
        <v>3</v>
      </c>
      <c r="C92" s="54"/>
      <c r="D92" s="54" t="s">
        <v>5</v>
      </c>
      <c r="E92" s="54"/>
      <c r="F92" s="54" t="s">
        <v>6</v>
      </c>
      <c r="G92" s="54"/>
      <c r="H92" s="54" t="s">
        <v>7</v>
      </c>
      <c r="I92" s="54"/>
      <c r="J92" s="54"/>
      <c r="K92" s="54"/>
      <c r="L92" s="54" t="s">
        <v>8</v>
      </c>
      <c r="M92" s="54"/>
      <c r="N92" s="54"/>
      <c r="O92" s="54"/>
      <c r="P92" s="54" t="s">
        <v>9</v>
      </c>
      <c r="Q92" s="54"/>
      <c r="R92" s="54"/>
      <c r="S92" s="54"/>
    </row>
    <row r="93" spans="1:19" s="6" customFormat="1" ht="24" x14ac:dyDescent="0.3">
      <c r="A93" s="3"/>
      <c r="B93" s="4" t="s">
        <v>4</v>
      </c>
      <c r="C93" s="5" t="s">
        <v>2</v>
      </c>
      <c r="D93" s="4" t="s">
        <v>4</v>
      </c>
      <c r="E93" s="5" t="s">
        <v>2</v>
      </c>
      <c r="F93" s="4" t="s">
        <v>4</v>
      </c>
      <c r="G93" s="5" t="s">
        <v>2</v>
      </c>
      <c r="H93" s="4" t="s">
        <v>46</v>
      </c>
      <c r="I93" s="4" t="s">
        <v>45</v>
      </c>
      <c r="J93" s="4" t="s">
        <v>4</v>
      </c>
      <c r="K93" s="5" t="s">
        <v>2</v>
      </c>
      <c r="L93" s="4" t="s">
        <v>44</v>
      </c>
      <c r="M93" s="4" t="s">
        <v>45</v>
      </c>
      <c r="N93" s="4" t="s">
        <v>4</v>
      </c>
      <c r="O93" s="5" t="s">
        <v>2</v>
      </c>
      <c r="P93" s="4" t="s">
        <v>44</v>
      </c>
      <c r="Q93" s="4" t="s">
        <v>45</v>
      </c>
      <c r="R93" s="4" t="s">
        <v>4</v>
      </c>
      <c r="S93" s="5" t="s">
        <v>2</v>
      </c>
    </row>
    <row r="94" spans="1:19" s="1" customFormat="1" x14ac:dyDescent="0.35">
      <c r="A94" s="1">
        <v>10</v>
      </c>
      <c r="B94" s="7"/>
      <c r="C94" s="7"/>
    </row>
    <row r="95" spans="1:19" s="1" customFormat="1" x14ac:dyDescent="0.35">
      <c r="A95" s="1">
        <v>25</v>
      </c>
    </row>
    <row r="96" spans="1:19" s="1" customFormat="1" x14ac:dyDescent="0.35">
      <c r="A96" s="1">
        <v>100</v>
      </c>
    </row>
    <row r="97" spans="1:19" s="1" customFormat="1" x14ac:dyDescent="0.35">
      <c r="A97" s="1">
        <v>200</v>
      </c>
    </row>
    <row r="98" spans="1:19" s="1" customFormat="1" x14ac:dyDescent="0.35">
      <c r="A98" s="8" t="s">
        <v>1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</sheetData>
  <mergeCells count="54">
    <mergeCell ref="P70:S70"/>
    <mergeCell ref="B81:C81"/>
    <mergeCell ref="D81:E81"/>
    <mergeCell ref="F81:G81"/>
    <mergeCell ref="H81:K81"/>
    <mergeCell ref="L81:O81"/>
    <mergeCell ref="P81:S81"/>
    <mergeCell ref="B70:C70"/>
    <mergeCell ref="D70:E70"/>
    <mergeCell ref="F70:G70"/>
    <mergeCell ref="H70:K70"/>
    <mergeCell ref="L70:O70"/>
    <mergeCell ref="P48:S48"/>
    <mergeCell ref="B59:C59"/>
    <mergeCell ref="D59:E59"/>
    <mergeCell ref="F59:G59"/>
    <mergeCell ref="H59:K59"/>
    <mergeCell ref="L59:O59"/>
    <mergeCell ref="P59:S59"/>
    <mergeCell ref="D48:E48"/>
    <mergeCell ref="F48:G48"/>
    <mergeCell ref="H48:K48"/>
    <mergeCell ref="L48:O48"/>
    <mergeCell ref="B48:C48"/>
    <mergeCell ref="P26:S26"/>
    <mergeCell ref="B37:C37"/>
    <mergeCell ref="D37:E37"/>
    <mergeCell ref="F37:G37"/>
    <mergeCell ref="H37:K37"/>
    <mergeCell ref="L37:O37"/>
    <mergeCell ref="P37:S37"/>
    <mergeCell ref="D26:E26"/>
    <mergeCell ref="F26:G26"/>
    <mergeCell ref="H26:K26"/>
    <mergeCell ref="L26:O26"/>
    <mergeCell ref="B26:C26"/>
    <mergeCell ref="P4:S4"/>
    <mergeCell ref="B15:C15"/>
    <mergeCell ref="D15:E15"/>
    <mergeCell ref="F15:G15"/>
    <mergeCell ref="H15:K15"/>
    <mergeCell ref="L15:O15"/>
    <mergeCell ref="P15:S15"/>
    <mergeCell ref="H4:K4"/>
    <mergeCell ref="L4:O4"/>
    <mergeCell ref="B4:C4"/>
    <mergeCell ref="D4:E4"/>
    <mergeCell ref="F4:G4"/>
    <mergeCell ref="P92:S92"/>
    <mergeCell ref="B92:C92"/>
    <mergeCell ref="D92:E92"/>
    <mergeCell ref="F92:G92"/>
    <mergeCell ref="H92:K92"/>
    <mergeCell ref="L92:O9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A2:H54"/>
  <sheetViews>
    <sheetView topLeftCell="A5" workbookViewId="0">
      <selection activeCell="E21" sqref="E21"/>
    </sheetView>
  </sheetViews>
  <sheetFormatPr defaultColWidth="8.81640625" defaultRowHeight="14.5" x14ac:dyDescent="0.35"/>
  <cols>
    <col min="2" max="2" width="9.81640625" customWidth="1"/>
    <col min="3" max="3" width="16.1796875" customWidth="1"/>
  </cols>
  <sheetData>
    <row r="2" spans="1:8" x14ac:dyDescent="0.35">
      <c r="A2" s="1" t="s">
        <v>57</v>
      </c>
      <c r="G2" s="37" t="s">
        <v>58</v>
      </c>
    </row>
    <row r="3" spans="1:8" s="1" customFormat="1" x14ac:dyDescent="0.35"/>
    <row r="4" spans="1:8" s="1" customFormat="1" x14ac:dyDescent="0.35">
      <c r="A4" s="2" t="s">
        <v>0</v>
      </c>
      <c r="B4" s="55" t="s">
        <v>59</v>
      </c>
      <c r="C4" s="55"/>
      <c r="D4" s="55" t="s">
        <v>60</v>
      </c>
      <c r="E4" s="55"/>
    </row>
    <row r="5" spans="1:8" s="6" customFormat="1" ht="48" x14ac:dyDescent="0.3">
      <c r="A5" s="3"/>
      <c r="B5" s="38" t="s">
        <v>61</v>
      </c>
      <c r="C5" s="38" t="s">
        <v>62</v>
      </c>
      <c r="D5" s="38" t="s">
        <v>63</v>
      </c>
      <c r="E5" s="38" t="s">
        <v>62</v>
      </c>
    </row>
    <row r="6" spans="1:8" s="1" customFormat="1" x14ac:dyDescent="0.35">
      <c r="A6" s="1">
        <v>2</v>
      </c>
      <c r="B6" s="39">
        <v>0.12096701075390601</v>
      </c>
      <c r="C6" s="39">
        <v>2.24E-2</v>
      </c>
      <c r="D6" s="37">
        <v>6.1105529150338699E-3</v>
      </c>
      <c r="E6" s="37">
        <v>1.1999999999999999E-3</v>
      </c>
      <c r="H6" s="40"/>
    </row>
    <row r="7" spans="1:8" s="1" customFormat="1" x14ac:dyDescent="0.35">
      <c r="A7" s="1">
        <v>5</v>
      </c>
      <c r="B7" s="37">
        <v>0.99426736028889695</v>
      </c>
      <c r="C7" s="37">
        <v>0.16</v>
      </c>
      <c r="D7" s="37">
        <v>0.263925378359812</v>
      </c>
      <c r="E7" s="37">
        <v>5.3999999999999999E-2</v>
      </c>
      <c r="H7" s="40"/>
    </row>
    <row r="8" spans="1:8" s="1" customFormat="1" x14ac:dyDescent="0.35">
      <c r="A8" s="1">
        <v>10</v>
      </c>
      <c r="B8" s="37">
        <v>1.3261502139480501</v>
      </c>
      <c r="C8" s="37">
        <v>0.21279999999999999</v>
      </c>
      <c r="D8" s="37">
        <v>0.40643753587555598</v>
      </c>
      <c r="E8" s="37">
        <v>0.09</v>
      </c>
      <c r="H8" s="40"/>
    </row>
    <row r="9" spans="1:8" s="1" customFormat="1" x14ac:dyDescent="0.35">
      <c r="A9" s="1">
        <v>25</v>
      </c>
      <c r="B9" s="37">
        <v>1.81711277945107</v>
      </c>
      <c r="C9" s="37">
        <v>0.2928</v>
      </c>
      <c r="D9" s="37">
        <v>0.61930517559855403</v>
      </c>
      <c r="E9" s="37">
        <v>0.13919999999999999</v>
      </c>
    </row>
    <row r="10" spans="1:8" s="1" customFormat="1" x14ac:dyDescent="0.35">
      <c r="A10" s="8" t="s">
        <v>1</v>
      </c>
      <c r="B10" s="41">
        <v>0.37760392417024202</v>
      </c>
      <c r="C10" s="49">
        <v>6.1168E-2</v>
      </c>
      <c r="D10" s="41">
        <v>0.104795816747218</v>
      </c>
      <c r="E10" s="49">
        <v>2.2356000000000001E-2</v>
      </c>
    </row>
    <row r="11" spans="1:8" s="1" customFormat="1" x14ac:dyDescent="0.35">
      <c r="B11" s="42" t="s">
        <v>64</v>
      </c>
    </row>
    <row r="12" spans="1:8" s="1" customFormat="1" x14ac:dyDescent="0.35"/>
    <row r="13" spans="1:8" s="1" customFormat="1" x14ac:dyDescent="0.35">
      <c r="A13" s="1" t="s">
        <v>47</v>
      </c>
    </row>
    <row r="14" spans="1:8" s="1" customFormat="1" x14ac:dyDescent="0.35"/>
    <row r="15" spans="1:8" s="1" customFormat="1" x14ac:dyDescent="0.35">
      <c r="A15" s="2" t="s">
        <v>0</v>
      </c>
      <c r="B15" s="54" t="s">
        <v>59</v>
      </c>
      <c r="C15" s="54"/>
      <c r="D15" s="54" t="s">
        <v>60</v>
      </c>
      <c r="E15" s="54"/>
    </row>
    <row r="16" spans="1:8" s="6" customFormat="1" ht="48" x14ac:dyDescent="0.3">
      <c r="A16" s="3"/>
      <c r="B16" s="5" t="s">
        <v>65</v>
      </c>
      <c r="C16" s="5" t="s">
        <v>62</v>
      </c>
      <c r="D16" s="5" t="s">
        <v>66</v>
      </c>
      <c r="E16" s="5" t="s">
        <v>62</v>
      </c>
    </row>
    <row r="17" spans="1:8" s="1" customFormat="1" x14ac:dyDescent="0.35">
      <c r="A17" s="1">
        <v>2</v>
      </c>
      <c r="B17" s="7">
        <f>B6*1.5</f>
        <v>0.181450516130859</v>
      </c>
      <c r="C17" s="7">
        <f t="shared" ref="C17:E17" si="0">C6*1.5</f>
        <v>3.3599999999999998E-2</v>
      </c>
      <c r="D17" s="7">
        <f t="shared" si="0"/>
        <v>9.1658293725508048E-3</v>
      </c>
      <c r="E17" s="7">
        <f t="shared" si="0"/>
        <v>1.8E-3</v>
      </c>
      <c r="H17" s="40"/>
    </row>
    <row r="18" spans="1:8" s="1" customFormat="1" x14ac:dyDescent="0.35">
      <c r="A18" s="1">
        <v>5</v>
      </c>
      <c r="B18" s="7">
        <f t="shared" ref="B18:E21" si="1">B7*1.5</f>
        <v>1.4914010404333453</v>
      </c>
      <c r="C18" s="7">
        <f t="shared" si="1"/>
        <v>0.24</v>
      </c>
      <c r="D18" s="7">
        <f t="shared" si="1"/>
        <v>0.395888067539718</v>
      </c>
      <c r="E18" s="7">
        <f t="shared" si="1"/>
        <v>8.1000000000000003E-2</v>
      </c>
      <c r="H18" s="40"/>
    </row>
    <row r="19" spans="1:8" s="1" customFormat="1" x14ac:dyDescent="0.35">
      <c r="A19" s="1">
        <v>10</v>
      </c>
      <c r="B19" s="7">
        <f t="shared" si="1"/>
        <v>1.9892253209220752</v>
      </c>
      <c r="C19" s="7">
        <f t="shared" si="1"/>
        <v>0.31919999999999998</v>
      </c>
      <c r="D19" s="7">
        <f t="shared" si="1"/>
        <v>0.60965630381333402</v>
      </c>
      <c r="E19" s="7">
        <f t="shared" si="1"/>
        <v>0.13500000000000001</v>
      </c>
      <c r="H19" s="40"/>
    </row>
    <row r="20" spans="1:8" s="1" customFormat="1" x14ac:dyDescent="0.35">
      <c r="A20" s="1">
        <v>25</v>
      </c>
      <c r="B20" s="7">
        <f t="shared" si="1"/>
        <v>2.7256691691766051</v>
      </c>
      <c r="C20" s="7">
        <f t="shared" si="1"/>
        <v>0.43920000000000003</v>
      </c>
      <c r="D20" s="7">
        <f t="shared" si="1"/>
        <v>0.92895776339783098</v>
      </c>
      <c r="E20" s="7">
        <f t="shared" si="1"/>
        <v>0.20879999999999999</v>
      </c>
    </row>
    <row r="21" spans="1:8" s="1" customFormat="1" x14ac:dyDescent="0.35">
      <c r="A21" s="8" t="s">
        <v>1</v>
      </c>
      <c r="B21" s="43">
        <f t="shared" si="1"/>
        <v>0.56640588625536303</v>
      </c>
      <c r="C21" s="50">
        <f t="shared" si="1"/>
        <v>9.1752E-2</v>
      </c>
      <c r="D21" s="43">
        <f t="shared" si="1"/>
        <v>0.15719372512082699</v>
      </c>
      <c r="E21" s="50">
        <f t="shared" si="1"/>
        <v>3.3534000000000001E-2</v>
      </c>
    </row>
    <row r="22" spans="1:8" s="1" customFormat="1" x14ac:dyDescent="0.35"/>
    <row r="23" spans="1:8" s="1" customFormat="1" x14ac:dyDescent="0.35"/>
    <row r="24" spans="1:8" s="1" customFormat="1" x14ac:dyDescent="0.35">
      <c r="A24" s="1" t="s">
        <v>48</v>
      </c>
    </row>
    <row r="25" spans="1:8" s="1" customFormat="1" x14ac:dyDescent="0.35"/>
    <row r="26" spans="1:8" s="1" customFormat="1" x14ac:dyDescent="0.35">
      <c r="A26" s="2" t="s">
        <v>0</v>
      </c>
      <c r="B26" s="54" t="s">
        <v>59</v>
      </c>
      <c r="C26" s="54"/>
      <c r="D26" s="54" t="s">
        <v>60</v>
      </c>
      <c r="E26" s="54"/>
    </row>
    <row r="27" spans="1:8" s="6" customFormat="1" ht="48" x14ac:dyDescent="0.3">
      <c r="A27" s="3"/>
      <c r="B27" s="5" t="s">
        <v>65</v>
      </c>
      <c r="C27" s="5" t="s">
        <v>62</v>
      </c>
      <c r="D27" s="5" t="s">
        <v>66</v>
      </c>
      <c r="E27" s="5" t="s">
        <v>62</v>
      </c>
    </row>
    <row r="28" spans="1:8" s="1" customFormat="1" x14ac:dyDescent="0.35">
      <c r="A28" s="1">
        <v>2</v>
      </c>
      <c r="B28" s="7"/>
      <c r="C28" s="7"/>
      <c r="H28" s="40"/>
    </row>
    <row r="29" spans="1:8" s="1" customFormat="1" x14ac:dyDescent="0.35">
      <c r="A29" s="1">
        <v>5</v>
      </c>
      <c r="H29" s="40"/>
    </row>
    <row r="30" spans="1:8" s="1" customFormat="1" x14ac:dyDescent="0.35">
      <c r="A30" s="1">
        <v>10</v>
      </c>
      <c r="H30" s="40"/>
    </row>
    <row r="31" spans="1:8" s="1" customFormat="1" x14ac:dyDescent="0.35">
      <c r="A31" s="1">
        <v>25</v>
      </c>
    </row>
    <row r="32" spans="1:8" s="1" customFormat="1" x14ac:dyDescent="0.35">
      <c r="A32" s="8" t="s">
        <v>1</v>
      </c>
      <c r="B32" s="8"/>
      <c r="C32" s="8"/>
      <c r="D32" s="8"/>
      <c r="E32" s="8"/>
    </row>
    <row r="33" spans="1:8" s="1" customFormat="1" x14ac:dyDescent="0.35"/>
    <row r="34" spans="1:8" s="1" customFormat="1" x14ac:dyDescent="0.35"/>
    <row r="35" spans="1:8" s="1" customFormat="1" x14ac:dyDescent="0.35">
      <c r="A35" s="1" t="s">
        <v>51</v>
      </c>
    </row>
    <row r="36" spans="1:8" s="1" customFormat="1" x14ac:dyDescent="0.35"/>
    <row r="37" spans="1:8" s="1" customFormat="1" x14ac:dyDescent="0.35">
      <c r="A37" s="2" t="s">
        <v>0</v>
      </c>
      <c r="B37" s="54" t="s">
        <v>59</v>
      </c>
      <c r="C37" s="54"/>
      <c r="D37" s="54" t="s">
        <v>60</v>
      </c>
      <c r="E37" s="54"/>
    </row>
    <row r="38" spans="1:8" s="6" customFormat="1" ht="48" x14ac:dyDescent="0.3">
      <c r="A38" s="3"/>
      <c r="B38" s="5" t="s">
        <v>65</v>
      </c>
      <c r="C38" s="5" t="s">
        <v>62</v>
      </c>
      <c r="D38" s="5" t="s">
        <v>66</v>
      </c>
      <c r="E38" s="5" t="s">
        <v>62</v>
      </c>
    </row>
    <row r="39" spans="1:8" s="1" customFormat="1" x14ac:dyDescent="0.35">
      <c r="A39" s="1">
        <v>2</v>
      </c>
      <c r="B39" s="7"/>
      <c r="C39" s="7"/>
      <c r="H39" s="40"/>
    </row>
    <row r="40" spans="1:8" s="1" customFormat="1" x14ac:dyDescent="0.35">
      <c r="A40" s="1">
        <v>5</v>
      </c>
      <c r="H40" s="40"/>
    </row>
    <row r="41" spans="1:8" s="1" customFormat="1" x14ac:dyDescent="0.35">
      <c r="A41" s="1">
        <v>10</v>
      </c>
      <c r="H41" s="40"/>
    </row>
    <row r="42" spans="1:8" s="1" customFormat="1" x14ac:dyDescent="0.35">
      <c r="A42" s="1">
        <v>25</v>
      </c>
    </row>
    <row r="43" spans="1:8" s="1" customFormat="1" x14ac:dyDescent="0.35">
      <c r="A43" s="8" t="s">
        <v>1</v>
      </c>
      <c r="B43" s="8"/>
      <c r="C43" s="8"/>
      <c r="D43" s="8"/>
      <c r="E43" s="8"/>
    </row>
    <row r="44" spans="1:8" s="1" customFormat="1" x14ac:dyDescent="0.35"/>
    <row r="46" spans="1:8" s="1" customFormat="1" x14ac:dyDescent="0.35">
      <c r="A46" s="1" t="s">
        <v>52</v>
      </c>
    </row>
    <row r="47" spans="1:8" s="1" customFormat="1" x14ac:dyDescent="0.35"/>
    <row r="48" spans="1:8" s="1" customFormat="1" x14ac:dyDescent="0.35">
      <c r="A48" s="2" t="s">
        <v>0</v>
      </c>
      <c r="B48" s="54" t="s">
        <v>59</v>
      </c>
      <c r="C48" s="54"/>
      <c r="D48" s="54" t="s">
        <v>60</v>
      </c>
      <c r="E48" s="54"/>
    </row>
    <row r="49" spans="1:8" s="6" customFormat="1" ht="48" x14ac:dyDescent="0.3">
      <c r="A49" s="3"/>
      <c r="B49" s="5" t="s">
        <v>65</v>
      </c>
      <c r="C49" s="5" t="s">
        <v>62</v>
      </c>
      <c r="D49" s="5" t="s">
        <v>66</v>
      </c>
      <c r="E49" s="5" t="s">
        <v>62</v>
      </c>
    </row>
    <row r="50" spans="1:8" s="1" customFormat="1" x14ac:dyDescent="0.35">
      <c r="A50" s="1">
        <v>2</v>
      </c>
      <c r="B50" s="7"/>
      <c r="C50" s="7"/>
      <c r="H50" s="40"/>
    </row>
    <row r="51" spans="1:8" s="1" customFormat="1" x14ac:dyDescent="0.35">
      <c r="A51" s="1">
        <v>5</v>
      </c>
      <c r="H51" s="40"/>
    </row>
    <row r="52" spans="1:8" s="1" customFormat="1" x14ac:dyDescent="0.35">
      <c r="A52" s="1">
        <v>10</v>
      </c>
      <c r="H52" s="40"/>
    </row>
    <row r="53" spans="1:8" s="1" customFormat="1" x14ac:dyDescent="0.35">
      <c r="A53" s="1">
        <v>25</v>
      </c>
    </row>
    <row r="54" spans="1:8" s="1" customFormat="1" x14ac:dyDescent="0.35">
      <c r="A54" s="8" t="s">
        <v>1</v>
      </c>
      <c r="B54" s="8"/>
      <c r="C54" s="8"/>
      <c r="D54" s="8"/>
      <c r="E54" s="8"/>
    </row>
  </sheetData>
  <mergeCells count="10">
    <mergeCell ref="B37:C37"/>
    <mergeCell ref="D37:E37"/>
    <mergeCell ref="B48:C48"/>
    <mergeCell ref="D48:E48"/>
    <mergeCell ref="B4:C4"/>
    <mergeCell ref="D4:E4"/>
    <mergeCell ref="B15:C15"/>
    <mergeCell ref="D15:E15"/>
    <mergeCell ref="B26:C26"/>
    <mergeCell ref="D26:E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S32"/>
  <sheetViews>
    <sheetView workbookViewId="0">
      <selection activeCell="K11" sqref="K11"/>
    </sheetView>
  </sheetViews>
  <sheetFormatPr defaultColWidth="8.6328125" defaultRowHeight="14.5" x14ac:dyDescent="0.35"/>
  <cols>
    <col min="1" max="1" width="17.6328125" style="9" customWidth="1"/>
    <col min="2" max="19" width="10.6328125" style="9" customWidth="1"/>
    <col min="20" max="16384" width="8.6328125" style="9"/>
  </cols>
  <sheetData>
    <row r="1" spans="1:19" x14ac:dyDescent="0.35">
      <c r="A1" s="18"/>
      <c r="B1" s="18"/>
      <c r="C1" s="18"/>
    </row>
    <row r="2" spans="1:19" x14ac:dyDescent="0.35">
      <c r="A2" s="19"/>
      <c r="B2" s="58" t="s">
        <v>40</v>
      </c>
      <c r="C2" s="59"/>
      <c r="D2" s="64" t="s">
        <v>10</v>
      </c>
      <c r="E2" s="63"/>
      <c r="F2" s="63"/>
      <c r="G2" s="63"/>
      <c r="H2" s="63"/>
      <c r="I2" s="63"/>
      <c r="J2" s="63"/>
      <c r="K2" s="65"/>
      <c r="L2" s="63" t="s">
        <v>11</v>
      </c>
      <c r="M2" s="63"/>
      <c r="N2" s="63"/>
      <c r="O2" s="63"/>
      <c r="P2" s="63"/>
      <c r="Q2" s="63"/>
      <c r="R2" s="63"/>
      <c r="S2" s="63"/>
    </row>
    <row r="3" spans="1:19" x14ac:dyDescent="0.35">
      <c r="A3" s="19"/>
      <c r="B3" s="58"/>
      <c r="C3" s="59"/>
      <c r="D3" s="64">
        <v>2050</v>
      </c>
      <c r="E3" s="63"/>
      <c r="F3" s="63"/>
      <c r="G3" s="63"/>
      <c r="H3" s="63"/>
      <c r="I3" s="63"/>
      <c r="J3" s="63"/>
      <c r="K3" s="65"/>
      <c r="L3" s="63">
        <v>2050</v>
      </c>
      <c r="M3" s="63"/>
      <c r="N3" s="63"/>
      <c r="O3" s="63"/>
      <c r="P3" s="63"/>
      <c r="Q3" s="63"/>
      <c r="R3" s="63"/>
      <c r="S3" s="63"/>
    </row>
    <row r="4" spans="1:19" ht="29" customHeight="1" x14ac:dyDescent="0.35">
      <c r="A4" s="19"/>
      <c r="B4" s="58"/>
      <c r="C4" s="59"/>
      <c r="D4" s="66" t="s">
        <v>55</v>
      </c>
      <c r="E4" s="67"/>
      <c r="F4" s="67"/>
      <c r="G4" s="68"/>
      <c r="H4" s="67" t="s">
        <v>56</v>
      </c>
      <c r="I4" s="67"/>
      <c r="J4" s="67"/>
      <c r="K4" s="67"/>
      <c r="L4" s="66" t="s">
        <v>55</v>
      </c>
      <c r="M4" s="67"/>
      <c r="N4" s="67"/>
      <c r="O4" s="68"/>
      <c r="P4" s="67" t="s">
        <v>56</v>
      </c>
      <c r="Q4" s="67"/>
      <c r="R4" s="67"/>
      <c r="S4" s="67"/>
    </row>
    <row r="5" spans="1:19" ht="29" customHeight="1" x14ac:dyDescent="0.35">
      <c r="A5" s="19"/>
      <c r="B5" s="60"/>
      <c r="C5" s="61"/>
      <c r="D5" s="62" t="s">
        <v>43</v>
      </c>
      <c r="E5" s="56"/>
      <c r="F5" s="56" t="s">
        <v>42</v>
      </c>
      <c r="G5" s="57"/>
      <c r="H5" s="62" t="s">
        <v>43</v>
      </c>
      <c r="I5" s="56"/>
      <c r="J5" s="56" t="s">
        <v>42</v>
      </c>
      <c r="K5" s="57"/>
      <c r="L5" s="62" t="s">
        <v>43</v>
      </c>
      <c r="M5" s="56"/>
      <c r="N5" s="56" t="s">
        <v>42</v>
      </c>
      <c r="O5" s="57"/>
      <c r="P5" s="62" t="s">
        <v>43</v>
      </c>
      <c r="Q5" s="56"/>
      <c r="R5" s="56" t="s">
        <v>42</v>
      </c>
      <c r="S5" s="57"/>
    </row>
    <row r="6" spans="1:19" x14ac:dyDescent="0.35">
      <c r="A6" s="12"/>
      <c r="B6" s="16" t="s">
        <v>38</v>
      </c>
      <c r="C6" s="15" t="s">
        <v>39</v>
      </c>
      <c r="D6" s="15" t="s">
        <v>38</v>
      </c>
      <c r="E6" s="15" t="s">
        <v>39</v>
      </c>
      <c r="F6" s="15" t="s">
        <v>38</v>
      </c>
      <c r="G6" s="15" t="s">
        <v>39</v>
      </c>
      <c r="H6" s="15" t="s">
        <v>38</v>
      </c>
      <c r="I6" s="15" t="s">
        <v>39</v>
      </c>
      <c r="J6" s="15" t="s">
        <v>38</v>
      </c>
      <c r="K6" s="15" t="s">
        <v>39</v>
      </c>
      <c r="L6" s="17" t="s">
        <v>38</v>
      </c>
      <c r="M6" s="15" t="s">
        <v>39</v>
      </c>
      <c r="N6" s="15" t="s">
        <v>38</v>
      </c>
      <c r="O6" s="15" t="s">
        <v>39</v>
      </c>
      <c r="P6" s="15" t="s">
        <v>38</v>
      </c>
      <c r="Q6" s="15" t="s">
        <v>39</v>
      </c>
      <c r="R6" s="15" t="s">
        <v>38</v>
      </c>
      <c r="S6" s="15" t="s">
        <v>39</v>
      </c>
    </row>
    <row r="7" spans="1:19" x14ac:dyDescent="0.35">
      <c r="A7" s="9" t="s">
        <v>12</v>
      </c>
      <c r="B7" s="29">
        <v>1603.3048070738801</v>
      </c>
      <c r="C7" s="27">
        <v>0.25814778524667792</v>
      </c>
      <c r="D7" s="10"/>
      <c r="E7" s="10"/>
      <c r="F7" s="10"/>
      <c r="G7" s="10"/>
      <c r="H7" s="29">
        <v>1587.2188411565351</v>
      </c>
      <c r="I7" s="27">
        <v>0.25555778710234833</v>
      </c>
      <c r="J7" s="10"/>
      <c r="K7" s="10"/>
    </row>
    <row r="8" spans="1:19" x14ac:dyDescent="0.35">
      <c r="A8" s="9" t="s">
        <v>13</v>
      </c>
      <c r="B8" s="29">
        <v>3829.8005734570052</v>
      </c>
      <c r="C8" s="27">
        <v>0.17845105051546273</v>
      </c>
      <c r="D8" s="10"/>
      <c r="E8" s="10"/>
      <c r="F8" s="10"/>
      <c r="G8" s="10"/>
      <c r="H8" s="29">
        <v>3526.4529750245601</v>
      </c>
      <c r="I8" s="27">
        <v>0.16431645092644309</v>
      </c>
      <c r="J8" s="10"/>
      <c r="K8" s="10"/>
    </row>
    <row r="9" spans="1:19" x14ac:dyDescent="0.35">
      <c r="A9" s="9" t="s">
        <v>14</v>
      </c>
      <c r="B9" s="29">
        <v>13205.6620011409</v>
      </c>
      <c r="C9" s="27">
        <v>3.7089879505764709</v>
      </c>
      <c r="D9" s="10"/>
      <c r="E9" s="10"/>
      <c r="F9" s="10"/>
      <c r="G9" s="10"/>
      <c r="H9" s="29">
        <v>11334.353755286749</v>
      </c>
      <c r="I9" s="27">
        <v>3.183405837760938</v>
      </c>
      <c r="J9" s="10"/>
      <c r="K9" s="10"/>
    </row>
    <row r="10" spans="1:19" x14ac:dyDescent="0.35">
      <c r="A10" s="9" t="s">
        <v>15</v>
      </c>
      <c r="B10" s="29">
        <v>6010.7442449739001</v>
      </c>
      <c r="C10" s="27">
        <v>2.6125131278986231</v>
      </c>
      <c r="D10" s="10"/>
      <c r="E10" s="10"/>
      <c r="F10" s="10"/>
      <c r="G10" s="10"/>
      <c r="H10" s="29">
        <v>5464.8481305130499</v>
      </c>
      <c r="I10" s="27">
        <v>2.3752445456111042</v>
      </c>
      <c r="J10" s="10"/>
      <c r="K10" s="10"/>
    </row>
    <row r="11" spans="1:19" x14ac:dyDescent="0.35">
      <c r="A11" s="9" t="s">
        <v>16</v>
      </c>
      <c r="B11" s="29">
        <v>1168.5300437201199</v>
      </c>
      <c r="C11" s="27">
        <v>0.28295297274974618</v>
      </c>
      <c r="D11" s="10"/>
      <c r="E11" s="10"/>
      <c r="F11" s="10"/>
      <c r="G11" s="10"/>
      <c r="H11" s="29">
        <v>708.50153884382996</v>
      </c>
      <c r="I11" s="27">
        <v>0.1715596596690051</v>
      </c>
      <c r="J11" s="10"/>
      <c r="K11" s="10"/>
    </row>
    <row r="12" spans="1:19" x14ac:dyDescent="0.35">
      <c r="A12" s="9" t="s">
        <v>17</v>
      </c>
      <c r="B12" s="29">
        <v>3687.5133320827999</v>
      </c>
      <c r="C12" s="27">
        <v>1.0654101305064128</v>
      </c>
      <c r="D12" s="10"/>
      <c r="E12" s="10"/>
      <c r="F12" s="10"/>
      <c r="G12" s="10"/>
      <c r="H12" s="29">
        <v>4020.015013713085</v>
      </c>
      <c r="I12" s="27">
        <v>1.1614777587742771</v>
      </c>
      <c r="J12" s="10"/>
      <c r="K12" s="10"/>
    </row>
    <row r="13" spans="1:19" x14ac:dyDescent="0.35">
      <c r="A13" s="9" t="s">
        <v>18</v>
      </c>
      <c r="B13" s="29">
        <v>1774.8178368635649</v>
      </c>
      <c r="C13" s="27">
        <v>0.32590659402070726</v>
      </c>
      <c r="D13" s="10"/>
      <c r="E13" s="10"/>
      <c r="F13" s="10"/>
      <c r="G13" s="10"/>
      <c r="H13" s="29">
        <v>1819.132656877835</v>
      </c>
      <c r="I13" s="27">
        <v>0.33404404438632562</v>
      </c>
      <c r="J13" s="10"/>
      <c r="K13" s="10"/>
    </row>
    <row r="14" spans="1:19" x14ac:dyDescent="0.35">
      <c r="A14" s="9" t="s">
        <v>19</v>
      </c>
      <c r="B14" s="29">
        <v>24797.286296990551</v>
      </c>
      <c r="C14" s="27">
        <v>3.9428557920754024</v>
      </c>
      <c r="D14" s="10"/>
      <c r="E14" s="10"/>
      <c r="F14" s="10"/>
      <c r="G14" s="10"/>
      <c r="H14" s="29">
        <v>20223.686598764249</v>
      </c>
      <c r="I14" s="27">
        <v>3.2156373438626065</v>
      </c>
      <c r="J14" s="10"/>
      <c r="K14" s="10"/>
    </row>
    <row r="15" spans="1:19" x14ac:dyDescent="0.35">
      <c r="A15" s="9" t="s">
        <v>20</v>
      </c>
      <c r="B15" s="29">
        <v>362.29142470889548</v>
      </c>
      <c r="C15" s="27">
        <v>0.67195986601465396</v>
      </c>
      <c r="D15" s="10"/>
      <c r="E15" s="10"/>
      <c r="F15" s="10"/>
      <c r="G15" s="10"/>
      <c r="H15" s="29">
        <v>169.38076932442701</v>
      </c>
      <c r="I15" s="27">
        <v>0.31415890992218226</v>
      </c>
      <c r="J15" s="10"/>
      <c r="K15" s="10"/>
    </row>
    <row r="16" spans="1:19" x14ac:dyDescent="0.35">
      <c r="A16" s="9" t="s">
        <v>21</v>
      </c>
      <c r="B16" s="29">
        <v>7171.5451011797504</v>
      </c>
      <c r="C16" s="27">
        <v>2.8285278812603245</v>
      </c>
      <c r="D16" s="10"/>
      <c r="E16" s="10"/>
      <c r="F16" s="10"/>
      <c r="G16" s="10"/>
      <c r="H16" s="29">
        <v>6044.06500028955</v>
      </c>
      <c r="I16" s="27">
        <v>2.3838386468010011</v>
      </c>
      <c r="J16" s="10"/>
      <c r="K16" s="10"/>
    </row>
    <row r="17" spans="1:19" x14ac:dyDescent="0.35">
      <c r="A17" s="9" t="s">
        <v>22</v>
      </c>
      <c r="B17" s="29">
        <v>613.94015455798501</v>
      </c>
      <c r="C17" s="27">
        <v>0.41586009701869786</v>
      </c>
      <c r="D17" s="10"/>
      <c r="E17" s="10"/>
      <c r="F17" s="10"/>
      <c r="G17" s="10"/>
      <c r="H17" s="29">
        <v>483.55986399770302</v>
      </c>
      <c r="I17" s="27">
        <v>0.32754536490810426</v>
      </c>
      <c r="J17" s="10"/>
      <c r="K17" s="10"/>
    </row>
    <row r="18" spans="1:19" x14ac:dyDescent="0.35">
      <c r="A18" s="9" t="s">
        <v>23</v>
      </c>
      <c r="B18" s="29">
        <v>25853.1855078472</v>
      </c>
      <c r="C18" s="27">
        <v>1.0373306441761616</v>
      </c>
      <c r="D18" s="10"/>
      <c r="E18" s="10"/>
      <c r="F18" s="10"/>
      <c r="G18" s="10"/>
      <c r="H18" s="29">
        <v>24103.712063665149</v>
      </c>
      <c r="I18" s="27">
        <v>0.96713494568973657</v>
      </c>
      <c r="J18" s="11"/>
      <c r="K18" s="11"/>
    </row>
    <row r="19" spans="1:19" x14ac:dyDescent="0.35">
      <c r="A19" s="9" t="s">
        <v>24</v>
      </c>
      <c r="B19" s="29">
        <v>610.32085516309996</v>
      </c>
      <c r="C19" s="27">
        <v>9.5440759087243213E-2</v>
      </c>
      <c r="D19" s="10"/>
      <c r="E19" s="10"/>
      <c r="F19" s="10"/>
      <c r="G19" s="10"/>
      <c r="H19" s="29">
        <v>782.60628935206501</v>
      </c>
      <c r="I19" s="27">
        <v>0.1223824119564966</v>
      </c>
      <c r="J19" s="10"/>
      <c r="K19" s="10"/>
    </row>
    <row r="20" spans="1:19" x14ac:dyDescent="0.35">
      <c r="A20" s="9" t="s">
        <v>25</v>
      </c>
      <c r="B20" s="29">
        <v>28261.116337442651</v>
      </c>
      <c r="C20" s="27">
        <v>8.012572437552711</v>
      </c>
      <c r="D20" s="10"/>
      <c r="E20" s="10"/>
      <c r="F20" s="10"/>
      <c r="G20" s="10"/>
      <c r="H20" s="29">
        <v>26810.662730010899</v>
      </c>
      <c r="I20" s="27">
        <v>7.6013408195907939</v>
      </c>
      <c r="J20" s="10"/>
      <c r="K20" s="10"/>
    </row>
    <row r="21" spans="1:19" x14ac:dyDescent="0.35">
      <c r="A21" s="9" t="s">
        <v>26</v>
      </c>
      <c r="B21" s="29">
        <v>2367.1640435888198</v>
      </c>
      <c r="C21" s="27">
        <v>1.2591099763829032</v>
      </c>
      <c r="D21" s="10"/>
      <c r="E21" s="10"/>
      <c r="F21" s="10"/>
      <c r="G21" s="10"/>
      <c r="H21" s="29">
        <v>1574.0842727653751</v>
      </c>
      <c r="I21" s="27">
        <v>0.83726567952659303</v>
      </c>
      <c r="J21" s="10"/>
      <c r="K21" s="10"/>
    </row>
    <row r="22" spans="1:19" x14ac:dyDescent="0.35">
      <c r="A22" s="9" t="s">
        <v>27</v>
      </c>
      <c r="B22" s="29">
        <v>1102.82700894851</v>
      </c>
      <c r="C22" s="27">
        <v>0.62887320718205919</v>
      </c>
      <c r="D22" s="10"/>
      <c r="E22" s="10"/>
      <c r="F22" s="10"/>
      <c r="G22" s="10"/>
      <c r="H22" s="29">
        <v>1214.2326249262101</v>
      </c>
      <c r="I22" s="27">
        <v>0.69240085607849666</v>
      </c>
      <c r="J22" s="10"/>
      <c r="K22" s="10"/>
    </row>
    <row r="23" spans="1:19" x14ac:dyDescent="0.35">
      <c r="A23" s="9" t="s">
        <v>28</v>
      </c>
      <c r="B23" s="29">
        <v>2179.1890725767248</v>
      </c>
      <c r="C23" s="27">
        <v>0.28901199954380857</v>
      </c>
      <c r="D23" s="10"/>
      <c r="E23" s="10"/>
      <c r="F23" s="10"/>
      <c r="G23" s="10"/>
      <c r="H23" s="29">
        <v>1769.3181389423551</v>
      </c>
      <c r="I23" s="27">
        <v>0.23465342204576256</v>
      </c>
      <c r="J23" s="10"/>
      <c r="K23" s="10"/>
    </row>
    <row r="24" spans="1:19" x14ac:dyDescent="0.35">
      <c r="A24" s="9" t="s">
        <v>29</v>
      </c>
      <c r="B24" s="29">
        <v>32.2830915824971</v>
      </c>
      <c r="C24" s="27">
        <v>2.1885377532426187E-2</v>
      </c>
      <c r="D24" s="10"/>
      <c r="E24" s="10"/>
      <c r="F24" s="10"/>
      <c r="G24" s="10"/>
      <c r="H24" s="29">
        <v>15.489768401886501</v>
      </c>
      <c r="I24" s="27">
        <v>1.0500835352117485E-2</v>
      </c>
      <c r="J24" s="10"/>
      <c r="K24" s="10"/>
    </row>
    <row r="25" spans="1:19" x14ac:dyDescent="0.35">
      <c r="A25" s="9" t="s">
        <v>30</v>
      </c>
      <c r="B25" s="29">
        <v>5119.9719952622499</v>
      </c>
      <c r="C25" s="27">
        <v>5.4796764557419104</v>
      </c>
      <c r="D25" s="10"/>
      <c r="E25" s="10"/>
      <c r="F25" s="10"/>
      <c r="G25" s="10"/>
      <c r="H25" s="29">
        <v>4036.4277936406752</v>
      </c>
      <c r="I25" s="27">
        <v>4.32000768101509</v>
      </c>
      <c r="J25" s="10"/>
      <c r="K25" s="10"/>
    </row>
    <row r="26" spans="1:19" x14ac:dyDescent="0.35">
      <c r="A26" s="9" t="s">
        <v>31</v>
      </c>
      <c r="B26" s="29">
        <v>16191.628366890451</v>
      </c>
      <c r="C26" s="27">
        <v>8.8916264882214868</v>
      </c>
      <c r="D26" s="10"/>
      <c r="E26" s="10"/>
      <c r="F26" s="10"/>
      <c r="G26" s="10"/>
      <c r="H26" s="29">
        <v>15302.549193083651</v>
      </c>
      <c r="I26" s="27">
        <v>8.4033890019837241</v>
      </c>
      <c r="J26" s="10"/>
      <c r="K26" s="10"/>
    </row>
    <row r="27" spans="1:19" x14ac:dyDescent="0.35">
      <c r="A27" s="9" t="s">
        <v>32</v>
      </c>
      <c r="B27" s="29">
        <v>14708.24443887115</v>
      </c>
      <c r="C27" s="27">
        <v>4.0448559523376062</v>
      </c>
      <c r="D27" s="10"/>
      <c r="E27" s="10"/>
      <c r="F27" s="10"/>
      <c r="G27" s="10"/>
      <c r="H27" s="29">
        <v>12088.8306762584</v>
      </c>
      <c r="I27" s="27">
        <v>3.3245013652640991</v>
      </c>
      <c r="J27" s="10"/>
      <c r="K27" s="10"/>
    </row>
    <row r="28" spans="1:19" x14ac:dyDescent="0.35">
      <c r="A28" s="9" t="s">
        <v>33</v>
      </c>
      <c r="B28" s="29">
        <v>2087.7296168265252</v>
      </c>
      <c r="C28" s="27">
        <v>5.6164300979724927E-2</v>
      </c>
      <c r="D28" s="10"/>
      <c r="E28" s="10"/>
      <c r="F28" s="10"/>
      <c r="G28" s="10"/>
      <c r="H28" s="29">
        <v>1320.4882164610699</v>
      </c>
      <c r="I28" s="27">
        <v>3.5523899757782751E-2</v>
      </c>
      <c r="J28" s="10"/>
      <c r="K28" s="10"/>
    </row>
    <row r="29" spans="1:19" x14ac:dyDescent="0.35">
      <c r="A29" s="9" t="s">
        <v>34</v>
      </c>
      <c r="B29" s="29">
        <v>3.7405399332454849</v>
      </c>
      <c r="C29" s="27">
        <v>1.8126771909847975E-2</v>
      </c>
      <c r="D29" s="10"/>
      <c r="E29" s="10"/>
      <c r="F29" s="10"/>
      <c r="G29" s="10"/>
      <c r="H29" s="29">
        <v>4.1946494169978852</v>
      </c>
      <c r="I29" s="27">
        <v>2.0327400477108442E-2</v>
      </c>
      <c r="J29" s="11"/>
      <c r="K29" s="11"/>
    </row>
    <row r="30" spans="1:19" x14ac:dyDescent="0.35">
      <c r="A30" s="9" t="s">
        <v>35</v>
      </c>
      <c r="B30" s="29">
        <v>239.03968993971799</v>
      </c>
      <c r="C30" s="27">
        <v>2.8714171929465841E-2</v>
      </c>
      <c r="D30" s="10"/>
      <c r="E30" s="10"/>
      <c r="F30" s="10"/>
      <c r="G30" s="10"/>
      <c r="H30" s="29">
        <v>220.99822025869901</v>
      </c>
      <c r="I30" s="27">
        <v>2.6546975919415513E-2</v>
      </c>
      <c r="J30" s="11"/>
      <c r="K30" s="11"/>
    </row>
    <row r="31" spans="1:19" x14ac:dyDescent="0.35">
      <c r="A31" s="9" t="s">
        <v>36</v>
      </c>
      <c r="B31" s="29">
        <v>6255.8667323939999</v>
      </c>
      <c r="C31" s="27">
        <v>1.055656396322546</v>
      </c>
      <c r="H31" s="32">
        <v>5356.7678413168996</v>
      </c>
      <c r="I31" s="27">
        <v>0.90393649308719826</v>
      </c>
    </row>
    <row r="32" spans="1:19" x14ac:dyDescent="0.35">
      <c r="A32" s="13" t="s">
        <v>37</v>
      </c>
      <c r="B32" s="30">
        <v>169237.74311401622</v>
      </c>
      <c r="C32" s="28">
        <v>1.0387505248665656</v>
      </c>
      <c r="D32" s="13"/>
      <c r="E32" s="13"/>
      <c r="F32" s="13"/>
      <c r="G32" s="13"/>
      <c r="H32" s="30">
        <v>149981.57762229192</v>
      </c>
      <c r="I32" s="28">
        <v>0.92055967899851143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</row>
  </sheetData>
  <mergeCells count="17">
    <mergeCell ref="N5:O5"/>
    <mergeCell ref="L2:S2"/>
    <mergeCell ref="L3:S3"/>
    <mergeCell ref="D2:K2"/>
    <mergeCell ref="L4:O4"/>
    <mergeCell ref="P4:S4"/>
    <mergeCell ref="D3:K3"/>
    <mergeCell ref="D4:G4"/>
    <mergeCell ref="P5:Q5"/>
    <mergeCell ref="R5:S5"/>
    <mergeCell ref="H4:K4"/>
    <mergeCell ref="H5:I5"/>
    <mergeCell ref="J5:K5"/>
    <mergeCell ref="B2:C5"/>
    <mergeCell ref="D5:E5"/>
    <mergeCell ref="F5:G5"/>
    <mergeCell ref="L5:M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  <pageSetup orientation="portrait" r:id="rId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defaultColWidth="8.6328125" defaultRowHeight="14.5" x14ac:dyDescent="0.35"/>
  <cols>
    <col min="1" max="1" width="17.6328125" style="9" customWidth="1"/>
    <col min="2" max="11" width="10.6328125" style="9" customWidth="1"/>
    <col min="12" max="16384" width="8.6328125" style="9"/>
  </cols>
  <sheetData>
    <row r="1" spans="1:11" x14ac:dyDescent="0.35">
      <c r="A1" s="18"/>
      <c r="B1" s="18"/>
      <c r="C1" s="18"/>
    </row>
    <row r="2" spans="1:11" x14ac:dyDescent="0.35">
      <c r="B2" s="58" t="s">
        <v>40</v>
      </c>
      <c r="C2" s="59"/>
      <c r="D2" s="64" t="s">
        <v>10</v>
      </c>
      <c r="E2" s="63"/>
      <c r="F2" s="63"/>
      <c r="G2" s="63"/>
      <c r="H2" s="63"/>
      <c r="I2" s="63"/>
      <c r="J2" s="63"/>
      <c r="K2" s="65"/>
    </row>
    <row r="3" spans="1:11" x14ac:dyDescent="0.35">
      <c r="B3" s="58"/>
      <c r="C3" s="59"/>
      <c r="D3" s="64">
        <v>2050</v>
      </c>
      <c r="E3" s="63"/>
      <c r="F3" s="63"/>
      <c r="G3" s="63"/>
      <c r="H3" s="63"/>
      <c r="I3" s="63"/>
      <c r="J3" s="63"/>
      <c r="K3" s="65"/>
    </row>
    <row r="4" spans="1:11" ht="29" customHeight="1" x14ac:dyDescent="0.35">
      <c r="A4" s="19"/>
      <c r="B4" s="58"/>
      <c r="C4" s="59"/>
      <c r="D4" s="66" t="s">
        <v>55</v>
      </c>
      <c r="E4" s="67"/>
      <c r="F4" s="67"/>
      <c r="G4" s="68"/>
      <c r="H4" s="67" t="s">
        <v>56</v>
      </c>
      <c r="I4" s="67"/>
      <c r="J4" s="67"/>
      <c r="K4" s="67"/>
    </row>
    <row r="5" spans="1:11" ht="29" customHeight="1" x14ac:dyDescent="0.35">
      <c r="A5" s="19"/>
      <c r="B5" s="60"/>
      <c r="C5" s="61"/>
      <c r="D5" s="62" t="s">
        <v>43</v>
      </c>
      <c r="E5" s="56"/>
      <c r="F5" s="56" t="s">
        <v>42</v>
      </c>
      <c r="G5" s="57"/>
      <c r="H5" s="62" t="s">
        <v>43</v>
      </c>
      <c r="I5" s="56"/>
      <c r="J5" s="56" t="s">
        <v>42</v>
      </c>
      <c r="K5" s="57"/>
    </row>
    <row r="6" spans="1:11" x14ac:dyDescent="0.35">
      <c r="A6" s="12"/>
      <c r="B6" s="16" t="s">
        <v>38</v>
      </c>
      <c r="C6" s="15" t="s">
        <v>39</v>
      </c>
      <c r="D6" s="15" t="s">
        <v>38</v>
      </c>
      <c r="E6" s="15" t="s">
        <v>39</v>
      </c>
      <c r="F6" s="15" t="s">
        <v>38</v>
      </c>
      <c r="G6" s="15" t="s">
        <v>39</v>
      </c>
      <c r="H6" s="15" t="s">
        <v>38</v>
      </c>
      <c r="I6" s="15" t="s">
        <v>39</v>
      </c>
      <c r="J6" s="15" t="s">
        <v>38</v>
      </c>
      <c r="K6" s="15" t="s">
        <v>39</v>
      </c>
    </row>
    <row r="7" spans="1:11" x14ac:dyDescent="0.35">
      <c r="A7" s="9" t="s">
        <v>12</v>
      </c>
      <c r="D7" s="10"/>
      <c r="E7" s="10"/>
      <c r="F7" s="10"/>
      <c r="G7" s="10"/>
      <c r="H7" s="10"/>
      <c r="I7" s="10"/>
      <c r="J7" s="10"/>
      <c r="K7" s="10"/>
    </row>
    <row r="8" spans="1:11" x14ac:dyDescent="0.35">
      <c r="A8" s="9" t="s">
        <v>13</v>
      </c>
      <c r="D8" s="10"/>
      <c r="E8" s="10"/>
      <c r="F8" s="10"/>
      <c r="G8" s="10"/>
      <c r="H8" s="10"/>
      <c r="I8" s="10"/>
      <c r="J8" s="10"/>
      <c r="K8" s="10"/>
    </row>
    <row r="9" spans="1:11" x14ac:dyDescent="0.35">
      <c r="A9" s="9" t="s">
        <v>14</v>
      </c>
      <c r="D9" s="10"/>
      <c r="E9" s="10"/>
      <c r="F9" s="10"/>
      <c r="G9" s="10"/>
      <c r="H9" s="10"/>
      <c r="I9" s="10"/>
      <c r="J9" s="10"/>
      <c r="K9" s="10"/>
    </row>
    <row r="10" spans="1:11" x14ac:dyDescent="0.35">
      <c r="A10" s="9" t="s">
        <v>15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35">
      <c r="A11" s="9" t="s">
        <v>16</v>
      </c>
      <c r="D11" s="10"/>
      <c r="E11" s="10"/>
      <c r="F11" s="10"/>
      <c r="G11" s="10"/>
      <c r="H11" s="10"/>
      <c r="I11" s="10"/>
      <c r="J11" s="10"/>
      <c r="K11" s="10"/>
    </row>
    <row r="12" spans="1:11" x14ac:dyDescent="0.35">
      <c r="A12" s="9" t="s">
        <v>17</v>
      </c>
      <c r="D12" s="10"/>
      <c r="E12" s="10"/>
      <c r="F12" s="10"/>
      <c r="G12" s="10"/>
      <c r="H12" s="10"/>
      <c r="I12" s="10"/>
      <c r="J12" s="10"/>
      <c r="K12" s="10"/>
    </row>
    <row r="13" spans="1:11" x14ac:dyDescent="0.35">
      <c r="A13" s="9" t="s">
        <v>18</v>
      </c>
      <c r="D13" s="10"/>
      <c r="E13" s="10"/>
      <c r="F13" s="10"/>
      <c r="G13" s="10"/>
      <c r="H13" s="10"/>
      <c r="I13" s="10"/>
      <c r="J13" s="10"/>
      <c r="K13" s="10"/>
    </row>
    <row r="14" spans="1:11" x14ac:dyDescent="0.35">
      <c r="A14" s="9" t="s">
        <v>19</v>
      </c>
      <c r="D14" s="10"/>
      <c r="E14" s="10"/>
      <c r="F14" s="10"/>
      <c r="G14" s="10"/>
      <c r="H14" s="10"/>
      <c r="I14" s="10"/>
      <c r="J14" s="10"/>
      <c r="K14" s="10"/>
    </row>
    <row r="15" spans="1:11" x14ac:dyDescent="0.35">
      <c r="A15" s="9" t="s">
        <v>20</v>
      </c>
      <c r="D15" s="10"/>
      <c r="E15" s="10"/>
      <c r="F15" s="10"/>
      <c r="G15" s="10"/>
      <c r="H15" s="10"/>
      <c r="I15" s="10"/>
      <c r="J15" s="10"/>
      <c r="K15" s="10"/>
    </row>
    <row r="16" spans="1:11" x14ac:dyDescent="0.35">
      <c r="A16" s="9" t="s">
        <v>21</v>
      </c>
      <c r="D16" s="10"/>
      <c r="E16" s="10"/>
      <c r="F16" s="10"/>
      <c r="G16" s="10"/>
      <c r="H16" s="10"/>
      <c r="I16" s="10"/>
      <c r="J16" s="10"/>
      <c r="K16" s="10"/>
    </row>
    <row r="17" spans="1:11" x14ac:dyDescent="0.35">
      <c r="A17" s="9" t="s">
        <v>22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35">
      <c r="A18" s="9" t="s">
        <v>23</v>
      </c>
      <c r="D18" s="10"/>
      <c r="E18" s="10"/>
      <c r="F18" s="10"/>
      <c r="G18" s="10"/>
      <c r="H18" s="11"/>
      <c r="I18" s="11"/>
      <c r="J18" s="11"/>
      <c r="K18" s="11"/>
    </row>
    <row r="19" spans="1:11" x14ac:dyDescent="0.35">
      <c r="A19" s="9" t="s">
        <v>24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35">
      <c r="A20" s="9" t="s">
        <v>25</v>
      </c>
      <c r="D20" s="10"/>
      <c r="E20" s="10"/>
      <c r="F20" s="10"/>
      <c r="G20" s="10"/>
      <c r="H20" s="10"/>
      <c r="I20" s="10"/>
      <c r="J20" s="10"/>
      <c r="K20" s="10"/>
    </row>
    <row r="21" spans="1:11" x14ac:dyDescent="0.35">
      <c r="A21" s="9" t="s">
        <v>26</v>
      </c>
      <c r="D21" s="10"/>
      <c r="E21" s="10"/>
      <c r="F21" s="10"/>
      <c r="G21" s="10"/>
      <c r="H21" s="10"/>
      <c r="I21" s="10"/>
      <c r="J21" s="10"/>
      <c r="K21" s="10"/>
    </row>
    <row r="22" spans="1:11" x14ac:dyDescent="0.35">
      <c r="A22" s="9" t="s">
        <v>27</v>
      </c>
      <c r="D22" s="10"/>
      <c r="E22" s="10"/>
      <c r="F22" s="10"/>
      <c r="G22" s="10"/>
      <c r="H22" s="10"/>
      <c r="I22" s="10"/>
      <c r="J22" s="10"/>
      <c r="K22" s="10"/>
    </row>
    <row r="23" spans="1:11" x14ac:dyDescent="0.35">
      <c r="A23" s="9" t="s">
        <v>28</v>
      </c>
      <c r="D23" s="10"/>
      <c r="E23" s="10"/>
      <c r="F23" s="10"/>
      <c r="G23" s="10"/>
      <c r="H23" s="10"/>
      <c r="I23" s="10"/>
      <c r="J23" s="10"/>
      <c r="K23" s="10"/>
    </row>
    <row r="24" spans="1:11" x14ac:dyDescent="0.35">
      <c r="A24" s="9" t="s">
        <v>29</v>
      </c>
      <c r="D24" s="10"/>
      <c r="E24" s="10"/>
      <c r="F24" s="10"/>
      <c r="G24" s="10"/>
      <c r="H24" s="10"/>
      <c r="I24" s="10"/>
      <c r="J24" s="10"/>
      <c r="K24" s="10"/>
    </row>
    <row r="25" spans="1:11" x14ac:dyDescent="0.35">
      <c r="A25" s="9" t="s">
        <v>30</v>
      </c>
      <c r="D25" s="10"/>
      <c r="E25" s="10"/>
      <c r="F25" s="10"/>
      <c r="G25" s="10"/>
      <c r="H25" s="10"/>
      <c r="I25" s="10"/>
      <c r="J25" s="10"/>
      <c r="K25" s="10"/>
    </row>
    <row r="26" spans="1:11" x14ac:dyDescent="0.35">
      <c r="A26" s="9" t="s">
        <v>31</v>
      </c>
      <c r="D26" s="10"/>
      <c r="E26" s="10"/>
      <c r="F26" s="10"/>
      <c r="G26" s="10"/>
      <c r="H26" s="10"/>
      <c r="I26" s="10"/>
      <c r="J26" s="10"/>
      <c r="K26" s="10"/>
    </row>
    <row r="27" spans="1:11" x14ac:dyDescent="0.35">
      <c r="A27" s="9" t="s">
        <v>32</v>
      </c>
      <c r="D27" s="10"/>
      <c r="E27" s="10"/>
      <c r="F27" s="10"/>
      <c r="G27" s="10"/>
      <c r="H27" s="10"/>
      <c r="I27" s="10"/>
      <c r="J27" s="10"/>
      <c r="K27" s="10"/>
    </row>
    <row r="28" spans="1:11" x14ac:dyDescent="0.35">
      <c r="A28" s="9" t="s">
        <v>33</v>
      </c>
      <c r="D28" s="10"/>
      <c r="E28" s="10"/>
      <c r="F28" s="10"/>
      <c r="G28" s="10"/>
      <c r="H28" s="10"/>
      <c r="I28" s="10"/>
      <c r="J28" s="10"/>
      <c r="K28" s="10"/>
    </row>
    <row r="29" spans="1:11" x14ac:dyDescent="0.35">
      <c r="A29" s="9" t="s">
        <v>34</v>
      </c>
      <c r="D29" s="10"/>
      <c r="E29" s="10"/>
      <c r="F29" s="10"/>
      <c r="G29" s="10"/>
      <c r="H29" s="11"/>
      <c r="I29" s="11"/>
      <c r="J29" s="11"/>
      <c r="K29" s="11"/>
    </row>
    <row r="30" spans="1:11" x14ac:dyDescent="0.35">
      <c r="A30" s="9" t="s">
        <v>35</v>
      </c>
      <c r="D30" s="10"/>
      <c r="E30" s="10"/>
      <c r="F30" s="10"/>
      <c r="G30" s="10"/>
      <c r="H30" s="11"/>
      <c r="I30" s="11"/>
      <c r="J30" s="11"/>
      <c r="K30" s="11"/>
    </row>
    <row r="31" spans="1:11" x14ac:dyDescent="0.35">
      <c r="A31" s="9" t="s">
        <v>36</v>
      </c>
    </row>
    <row r="32" spans="1:11" x14ac:dyDescent="0.35">
      <c r="A32" s="13" t="s">
        <v>37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  <pageSetup orientation="portrait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S32"/>
  <sheetViews>
    <sheetView workbookViewId="0">
      <selection activeCell="B2" sqref="B2:C5"/>
    </sheetView>
  </sheetViews>
  <sheetFormatPr defaultColWidth="8.6328125" defaultRowHeight="14.5" x14ac:dyDescent="0.35"/>
  <cols>
    <col min="1" max="1" width="21.1796875" style="9" customWidth="1"/>
    <col min="2" max="19" width="10.6328125" style="9" customWidth="1"/>
    <col min="20" max="16384" width="8.6328125" style="9"/>
  </cols>
  <sheetData>
    <row r="1" spans="1:19" x14ac:dyDescent="0.35">
      <c r="A1" s="18"/>
      <c r="B1" s="18"/>
      <c r="C1" s="18"/>
    </row>
    <row r="2" spans="1:19" x14ac:dyDescent="0.35">
      <c r="B2" s="58" t="s">
        <v>40</v>
      </c>
      <c r="C2" s="59"/>
      <c r="D2" s="64" t="s">
        <v>10</v>
      </c>
      <c r="E2" s="63"/>
      <c r="F2" s="63"/>
      <c r="G2" s="63"/>
      <c r="H2" s="63"/>
      <c r="I2" s="63"/>
      <c r="J2" s="63"/>
      <c r="K2" s="65"/>
      <c r="L2" s="63" t="s">
        <v>11</v>
      </c>
      <c r="M2" s="63"/>
      <c r="N2" s="63"/>
      <c r="O2" s="63"/>
      <c r="P2" s="63"/>
      <c r="Q2" s="63"/>
      <c r="R2" s="63"/>
      <c r="S2" s="63"/>
    </row>
    <row r="3" spans="1:19" x14ac:dyDescent="0.35">
      <c r="B3" s="58"/>
      <c r="C3" s="59"/>
      <c r="D3" s="64">
        <v>2050</v>
      </c>
      <c r="E3" s="63"/>
      <c r="F3" s="63"/>
      <c r="G3" s="63"/>
      <c r="H3" s="63"/>
      <c r="I3" s="63"/>
      <c r="J3" s="63"/>
      <c r="K3" s="65"/>
      <c r="L3" s="63">
        <v>2050</v>
      </c>
      <c r="M3" s="63"/>
      <c r="N3" s="63"/>
      <c r="O3" s="63"/>
      <c r="P3" s="63"/>
      <c r="Q3" s="63"/>
      <c r="R3" s="63"/>
      <c r="S3" s="63"/>
    </row>
    <row r="4" spans="1:19" ht="29" customHeight="1" x14ac:dyDescent="0.35">
      <c r="A4" s="19"/>
      <c r="B4" s="58"/>
      <c r="C4" s="59"/>
      <c r="D4" s="66" t="s">
        <v>55</v>
      </c>
      <c r="E4" s="67"/>
      <c r="F4" s="67"/>
      <c r="G4" s="68"/>
      <c r="H4" s="67" t="s">
        <v>56</v>
      </c>
      <c r="I4" s="67"/>
      <c r="J4" s="67"/>
      <c r="K4" s="68"/>
      <c r="L4" s="66" t="s">
        <v>55</v>
      </c>
      <c r="M4" s="67"/>
      <c r="N4" s="67"/>
      <c r="O4" s="68"/>
      <c r="P4" s="67" t="s">
        <v>56</v>
      </c>
      <c r="Q4" s="67"/>
      <c r="R4" s="67"/>
      <c r="S4" s="67"/>
    </row>
    <row r="5" spans="1:19" ht="29" customHeight="1" x14ac:dyDescent="0.35">
      <c r="A5" s="19"/>
      <c r="B5" s="60"/>
      <c r="C5" s="61"/>
      <c r="D5" s="62" t="s">
        <v>43</v>
      </c>
      <c r="E5" s="56"/>
      <c r="F5" s="56" t="s">
        <v>42</v>
      </c>
      <c r="G5" s="57"/>
      <c r="H5" s="62" t="s">
        <v>43</v>
      </c>
      <c r="I5" s="56"/>
      <c r="J5" s="56" t="s">
        <v>42</v>
      </c>
      <c r="K5" s="57"/>
      <c r="L5" s="62" t="s">
        <v>43</v>
      </c>
      <c r="M5" s="56"/>
      <c r="N5" s="56" t="s">
        <v>42</v>
      </c>
      <c r="O5" s="57"/>
      <c r="P5" s="62" t="s">
        <v>43</v>
      </c>
      <c r="Q5" s="56"/>
      <c r="R5" s="56" t="s">
        <v>42</v>
      </c>
      <c r="S5" s="57"/>
    </row>
    <row r="6" spans="1:19" x14ac:dyDescent="0.35">
      <c r="A6" s="12"/>
      <c r="B6" s="16" t="s">
        <v>38</v>
      </c>
      <c r="C6" s="17" t="s">
        <v>39</v>
      </c>
      <c r="D6" s="16" t="s">
        <v>1</v>
      </c>
      <c r="E6" s="14" t="s">
        <v>39</v>
      </c>
      <c r="F6" s="14" t="s">
        <v>1</v>
      </c>
      <c r="G6" s="17" t="s">
        <v>39</v>
      </c>
      <c r="H6" s="14" t="s">
        <v>1</v>
      </c>
      <c r="I6" s="14" t="s">
        <v>39</v>
      </c>
      <c r="J6" s="14" t="s">
        <v>1</v>
      </c>
      <c r="K6" s="17" t="s">
        <v>39</v>
      </c>
      <c r="L6" s="16" t="s">
        <v>1</v>
      </c>
      <c r="M6" s="14" t="s">
        <v>39</v>
      </c>
      <c r="N6" s="14" t="s">
        <v>1</v>
      </c>
      <c r="O6" s="17" t="s">
        <v>39</v>
      </c>
      <c r="P6" s="14" t="s">
        <v>1</v>
      </c>
      <c r="Q6" s="14" t="s">
        <v>39</v>
      </c>
      <c r="R6" s="14" t="s">
        <v>1</v>
      </c>
      <c r="S6" s="17" t="s">
        <v>39</v>
      </c>
    </row>
    <row r="7" spans="1:19" x14ac:dyDescent="0.35">
      <c r="A7" s="9" t="s">
        <v>12</v>
      </c>
      <c r="D7" s="10"/>
      <c r="E7" s="10"/>
      <c r="F7" s="10"/>
      <c r="G7" s="10"/>
      <c r="H7" s="10"/>
      <c r="I7" s="10"/>
      <c r="J7" s="10"/>
      <c r="K7" s="10"/>
    </row>
    <row r="8" spans="1:19" x14ac:dyDescent="0.35">
      <c r="A8" s="9" t="s">
        <v>13</v>
      </c>
      <c r="D8" s="10"/>
      <c r="E8" s="10"/>
      <c r="F8" s="10"/>
      <c r="G8" s="10"/>
      <c r="H8" s="10"/>
      <c r="I8" s="10"/>
      <c r="J8" s="10"/>
      <c r="K8" s="10"/>
    </row>
    <row r="9" spans="1:19" x14ac:dyDescent="0.35">
      <c r="A9" s="9" t="s">
        <v>14</v>
      </c>
      <c r="D9" s="10"/>
      <c r="E9" s="10"/>
      <c r="F9" s="10"/>
      <c r="G9" s="10"/>
      <c r="H9" s="10"/>
      <c r="I9" s="10"/>
      <c r="J9" s="10"/>
      <c r="K9" s="10"/>
    </row>
    <row r="10" spans="1:19" x14ac:dyDescent="0.35">
      <c r="A10" s="9" t="s">
        <v>15</v>
      </c>
      <c r="D10" s="10"/>
      <c r="E10" s="10"/>
      <c r="F10" s="10"/>
      <c r="G10" s="10"/>
      <c r="H10" s="10"/>
      <c r="I10" s="10"/>
      <c r="J10" s="10"/>
      <c r="K10" s="10"/>
    </row>
    <row r="11" spans="1:19" x14ac:dyDescent="0.35">
      <c r="A11" s="9" t="s">
        <v>16</v>
      </c>
      <c r="D11" s="10"/>
      <c r="E11" s="10"/>
      <c r="F11" s="10"/>
      <c r="G11" s="10"/>
      <c r="H11" s="10"/>
      <c r="I11" s="10"/>
      <c r="J11" s="10"/>
      <c r="K11" s="10"/>
    </row>
    <row r="12" spans="1:19" x14ac:dyDescent="0.35">
      <c r="A12" s="9" t="s">
        <v>17</v>
      </c>
      <c r="D12" s="10"/>
      <c r="E12" s="10"/>
      <c r="F12" s="10"/>
      <c r="G12" s="10"/>
      <c r="H12" s="10"/>
      <c r="I12" s="10"/>
      <c r="J12" s="10"/>
      <c r="K12" s="10"/>
    </row>
    <row r="13" spans="1:19" x14ac:dyDescent="0.35">
      <c r="A13" s="9" t="s">
        <v>18</v>
      </c>
      <c r="D13" s="10"/>
      <c r="E13" s="10"/>
      <c r="F13" s="10"/>
      <c r="G13" s="10"/>
      <c r="H13" s="10"/>
      <c r="I13" s="10"/>
      <c r="J13" s="10"/>
      <c r="K13" s="10"/>
    </row>
    <row r="14" spans="1:19" x14ac:dyDescent="0.35">
      <c r="A14" s="9" t="s">
        <v>19</v>
      </c>
      <c r="D14" s="10"/>
      <c r="E14" s="10"/>
      <c r="F14" s="10"/>
      <c r="G14" s="10"/>
      <c r="H14" s="10"/>
      <c r="I14" s="10"/>
      <c r="J14" s="10"/>
      <c r="K14" s="10"/>
    </row>
    <row r="15" spans="1:19" x14ac:dyDescent="0.35">
      <c r="A15" s="9" t="s">
        <v>20</v>
      </c>
      <c r="D15" s="10"/>
      <c r="E15" s="10"/>
      <c r="F15" s="10"/>
      <c r="G15" s="10"/>
      <c r="H15" s="10"/>
      <c r="I15" s="10"/>
      <c r="J15" s="10"/>
      <c r="K15" s="10"/>
    </row>
    <row r="16" spans="1:19" x14ac:dyDescent="0.35">
      <c r="A16" s="9" t="s">
        <v>21</v>
      </c>
      <c r="D16" s="10"/>
      <c r="E16" s="10"/>
      <c r="F16" s="10"/>
      <c r="G16" s="10"/>
      <c r="H16" s="10"/>
      <c r="I16" s="10"/>
      <c r="J16" s="10"/>
      <c r="K16" s="10"/>
    </row>
    <row r="17" spans="1:19" x14ac:dyDescent="0.35">
      <c r="A17" s="9" t="s">
        <v>22</v>
      </c>
      <c r="D17" s="10"/>
      <c r="E17" s="10"/>
      <c r="F17" s="10"/>
      <c r="G17" s="10"/>
      <c r="H17" s="10"/>
      <c r="I17" s="10"/>
      <c r="J17" s="10"/>
      <c r="K17" s="10"/>
    </row>
    <row r="18" spans="1:19" x14ac:dyDescent="0.35">
      <c r="A18" s="9" t="s">
        <v>23</v>
      </c>
      <c r="D18" s="10"/>
      <c r="E18" s="10"/>
      <c r="F18" s="10"/>
      <c r="G18" s="10"/>
      <c r="H18" s="11"/>
      <c r="I18" s="11"/>
      <c r="J18" s="11"/>
      <c r="K18" s="11"/>
    </row>
    <row r="19" spans="1:19" x14ac:dyDescent="0.35">
      <c r="A19" s="9" t="s">
        <v>24</v>
      </c>
      <c r="D19" s="10"/>
      <c r="E19" s="10"/>
      <c r="F19" s="10"/>
      <c r="G19" s="10"/>
      <c r="H19" s="10"/>
      <c r="I19" s="10"/>
      <c r="J19" s="10"/>
      <c r="K19" s="10"/>
    </row>
    <row r="20" spans="1:19" x14ac:dyDescent="0.35">
      <c r="A20" s="9" t="s">
        <v>25</v>
      </c>
      <c r="D20" s="10"/>
      <c r="E20" s="10"/>
      <c r="F20" s="10"/>
      <c r="G20" s="10"/>
      <c r="H20" s="10"/>
      <c r="I20" s="10"/>
      <c r="J20" s="10"/>
      <c r="K20" s="10"/>
    </row>
    <row r="21" spans="1:19" x14ac:dyDescent="0.35">
      <c r="A21" s="9" t="s">
        <v>26</v>
      </c>
      <c r="D21" s="10"/>
      <c r="E21" s="10"/>
      <c r="F21" s="10"/>
      <c r="G21" s="10"/>
      <c r="H21" s="10"/>
      <c r="I21" s="10"/>
      <c r="J21" s="10"/>
      <c r="K21" s="10"/>
    </row>
    <row r="22" spans="1:19" x14ac:dyDescent="0.35">
      <c r="A22" s="9" t="s">
        <v>27</v>
      </c>
      <c r="D22" s="10"/>
      <c r="E22" s="10"/>
      <c r="F22" s="10"/>
      <c r="G22" s="10"/>
      <c r="H22" s="10"/>
      <c r="I22" s="10"/>
      <c r="J22" s="10"/>
      <c r="K22" s="10"/>
    </row>
    <row r="23" spans="1:19" x14ac:dyDescent="0.35">
      <c r="A23" s="9" t="s">
        <v>28</v>
      </c>
      <c r="D23" s="10"/>
      <c r="E23" s="10"/>
      <c r="F23" s="10"/>
      <c r="G23" s="10"/>
      <c r="H23" s="10"/>
      <c r="I23" s="10"/>
      <c r="J23" s="10"/>
      <c r="K23" s="10"/>
    </row>
    <row r="24" spans="1:19" x14ac:dyDescent="0.35">
      <c r="A24" s="9" t="s">
        <v>29</v>
      </c>
      <c r="D24" s="10"/>
      <c r="E24" s="10"/>
      <c r="F24" s="10"/>
      <c r="G24" s="10"/>
      <c r="H24" s="10"/>
      <c r="I24" s="10"/>
      <c r="J24" s="10"/>
      <c r="K24" s="10"/>
    </row>
    <row r="25" spans="1:19" x14ac:dyDescent="0.35">
      <c r="A25" s="9" t="s">
        <v>30</v>
      </c>
      <c r="D25" s="10"/>
      <c r="E25" s="10"/>
      <c r="F25" s="10"/>
      <c r="G25" s="10"/>
      <c r="H25" s="10"/>
      <c r="I25" s="10"/>
      <c r="J25" s="10"/>
      <c r="K25" s="10"/>
    </row>
    <row r="26" spans="1:19" x14ac:dyDescent="0.35">
      <c r="A26" s="9" t="s">
        <v>31</v>
      </c>
      <c r="D26" s="10"/>
      <c r="E26" s="10"/>
      <c r="F26" s="10"/>
      <c r="G26" s="10"/>
      <c r="H26" s="10"/>
      <c r="I26" s="10"/>
      <c r="J26" s="10"/>
      <c r="K26" s="10"/>
    </row>
    <row r="27" spans="1:19" x14ac:dyDescent="0.35">
      <c r="A27" s="9" t="s">
        <v>32</v>
      </c>
      <c r="D27" s="10"/>
      <c r="E27" s="10"/>
      <c r="F27" s="10"/>
      <c r="G27" s="10"/>
      <c r="H27" s="10"/>
      <c r="I27" s="10"/>
      <c r="J27" s="10"/>
      <c r="K27" s="10"/>
    </row>
    <row r="28" spans="1:19" x14ac:dyDescent="0.35">
      <c r="A28" s="9" t="s">
        <v>33</v>
      </c>
      <c r="D28" s="10"/>
      <c r="E28" s="10"/>
      <c r="F28" s="10"/>
      <c r="G28" s="10"/>
      <c r="H28" s="10"/>
      <c r="I28" s="10"/>
      <c r="J28" s="10"/>
      <c r="K28" s="10"/>
    </row>
    <row r="29" spans="1:19" x14ac:dyDescent="0.35">
      <c r="A29" s="9" t="s">
        <v>34</v>
      </c>
      <c r="D29" s="10"/>
      <c r="E29" s="10"/>
      <c r="F29" s="10"/>
      <c r="G29" s="10"/>
      <c r="H29" s="11"/>
      <c r="I29" s="11"/>
      <c r="J29" s="11"/>
      <c r="K29" s="11"/>
    </row>
    <row r="30" spans="1:19" x14ac:dyDescent="0.35">
      <c r="A30" s="9" t="s">
        <v>35</v>
      </c>
      <c r="D30" s="10"/>
      <c r="E30" s="10"/>
      <c r="F30" s="10"/>
      <c r="G30" s="10"/>
      <c r="H30" s="11"/>
      <c r="I30" s="11"/>
      <c r="J30" s="11"/>
      <c r="K30" s="11"/>
    </row>
    <row r="31" spans="1:19" x14ac:dyDescent="0.35">
      <c r="A31" s="9" t="s">
        <v>36</v>
      </c>
    </row>
    <row r="32" spans="1:19" x14ac:dyDescent="0.35">
      <c r="A32" s="13" t="s">
        <v>37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</sheetData>
  <mergeCells count="17">
    <mergeCell ref="B2:C5"/>
    <mergeCell ref="D3:K3"/>
    <mergeCell ref="D2:K2"/>
    <mergeCell ref="L2:S2"/>
    <mergeCell ref="L3:S3"/>
    <mergeCell ref="D4:G4"/>
    <mergeCell ref="H4:K4"/>
    <mergeCell ref="R5:S5"/>
    <mergeCell ref="L4:O4"/>
    <mergeCell ref="P4:S4"/>
    <mergeCell ref="D5:E5"/>
    <mergeCell ref="F5:G5"/>
    <mergeCell ref="H5:I5"/>
    <mergeCell ref="J5:K5"/>
    <mergeCell ref="L5:M5"/>
    <mergeCell ref="N5:O5"/>
    <mergeCell ref="P5:Q5"/>
  </mergeCells>
  <hyperlinks>
    <hyperlink ref="A7" r:id="rId1" tooltip="Banteay Meanchey province" display="https://en.wikipedia.org/wiki/Banteay_Meanchey_province" xr:uid="{0C362844-4C8A-40B6-B7E8-0D80CD085EED}"/>
    <hyperlink ref="A8" r:id="rId2" tooltip="Battambang province" display="https://en.wikipedia.org/wiki/Battambang_province" xr:uid="{6BF67667-0C25-4188-AB50-AF35E945A330}"/>
    <hyperlink ref="A9" r:id="rId3" tooltip="Kampong Cham province" display="https://en.wikipedia.org/wiki/Kampong_Cham_province" xr:uid="{0E41C4DB-ACE8-457D-9A4E-0BF5C28D1FD4}"/>
    <hyperlink ref="A10" r:id="rId4" tooltip="Kampong Chhnang province" display="https://en.wikipedia.org/wiki/Kampong_Chhnang_province" xr:uid="{AC0281B1-3ACA-49A2-8336-48B86532D484}"/>
    <hyperlink ref="A11" r:id="rId5" tooltip="Kampong Speu province" display="https://en.wikipedia.org/wiki/Kampong_Speu_province" xr:uid="{3F11DF18-0AC5-45C1-B02F-122EBC601099}"/>
    <hyperlink ref="A12" r:id="rId6" tooltip="Kampong Thom province" display="https://en.wikipedia.org/wiki/Kampong_Thom_province" xr:uid="{83B96006-9E48-463A-85F1-316CD31A4F69}"/>
    <hyperlink ref="A13" r:id="rId7" tooltip="Kampot province" display="https://en.wikipedia.org/wiki/Kampot_province" xr:uid="{632B9178-B0EB-42A2-BD6E-129C8FB7CABD}"/>
    <hyperlink ref="A14" r:id="rId8" tooltip="Kandal province" display="https://en.wikipedia.org/wiki/Kandal_province" xr:uid="{9FFB82B3-A3AA-402D-8A2D-61FDFF319133}"/>
    <hyperlink ref="A15" r:id="rId9" tooltip="Koh Kong province" display="https://en.wikipedia.org/wiki/Koh_Kong_province" xr:uid="{886475B9-D76F-4084-911A-66503A331C60}"/>
    <hyperlink ref="A16" r:id="rId10" tooltip="Kratié province" display="https://en.wikipedia.org/wiki/Krati%C3%A9_province" xr:uid="{2F2E077A-59BD-4668-9871-DB1E6C14B2ED}"/>
    <hyperlink ref="A17" r:id="rId11" tooltip="Mondulkiri province" display="https://en.wikipedia.org/wiki/Mondulkiri_province" xr:uid="{4829CBF7-FC8A-4A9D-80D3-7A9AB5BD2B69}"/>
    <hyperlink ref="A18" r:id="rId12" tooltip="Phnom Penh" display="https://en.wikipedia.org/wiki/Phnom_Penh" xr:uid="{28D5EB58-E244-4D2D-B557-F549B8661643}"/>
    <hyperlink ref="A19" r:id="rId13" tooltip="Preah Vihear province" display="https://en.wikipedia.org/wiki/Preah_Vihear_province" xr:uid="{DA9F3BD9-A0C7-4825-AFD2-2E98ABDDA04F}"/>
    <hyperlink ref="A20" r:id="rId14" tooltip="Prey Veng province" display="https://en.wikipedia.org/wiki/Prey_Veng_province" xr:uid="{05850053-3104-4741-8B23-89881CFDA368}"/>
    <hyperlink ref="A21" r:id="rId15" tooltip="Pursat province" display="https://en.wikipedia.org/wiki/Pursat_province" xr:uid="{F12DAACF-EE6E-4ADA-AB0F-8FC2F86D1EB7}"/>
    <hyperlink ref="A22" r:id="rId16" tooltip="Ratanakiri province" display="https://en.wikipedia.org/wiki/Ratanakiri_province" xr:uid="{4315DC2D-BCE0-4CAA-A418-25ED3A0BD329}"/>
    <hyperlink ref="A23" r:id="rId17" tooltip="Siem Reap province" display="https://en.wikipedia.org/wiki/Siem_Reap_province" xr:uid="{4015BAF0-F57D-4BA6-8B3A-479BB5AC3D7B}"/>
    <hyperlink ref="A24" r:id="rId18" tooltip="Sihanoukville province" display="https://en.wikipedia.org/wiki/Sihanoukville_province" xr:uid="{3546E73B-9D28-41F8-9948-55B70CB17E73}"/>
    <hyperlink ref="A25" r:id="rId19" tooltip="Stung Treng province" display="https://en.wikipedia.org/wiki/Stung_Treng_province" xr:uid="{AA9461E3-3A0B-458B-9633-FFC7C5003DB8}"/>
    <hyperlink ref="A26" r:id="rId20" tooltip="Svay Rieng province" display="https://en.wikipedia.org/wiki/Svay_Rieng_province" xr:uid="{94D987DB-BB7A-4B4E-AD41-9F08ABD07858}"/>
    <hyperlink ref="A27" r:id="rId21" tooltip="Takéo province" display="https://en.wikipedia.org/wiki/Tak%C3%A9o_province" xr:uid="{C64FB1CE-3140-48B3-970D-40A0AD0EB661}"/>
    <hyperlink ref="A28" r:id="rId22" tooltip="Oddar Meanchey province" display="https://en.wikipedia.org/wiki/Oddar_Meanchey_province" xr:uid="{0EEA353E-CE85-418D-B72F-99D1CF8D4CE1}"/>
    <hyperlink ref="A29" r:id="rId23" tooltip="Kep province" display="https://en.wikipedia.org/wiki/Kep_province" xr:uid="{6C2401FA-E4E4-4A4D-A036-97EA7CE63B21}"/>
    <hyperlink ref="A30" r:id="rId24" tooltip="Pailin province" display="https://en.wikipedia.org/wiki/Pailin_province" xr:uid="{EBCD102E-7CA9-4641-89DC-C701330F48F1}"/>
    <hyperlink ref="A31" r:id="rId25" tooltip="Tboung Khmum province" display="https://en.wikipedia.org/wiki/Tboung_Khmum_province" xr:uid="{E4577C78-CC41-45E3-85B7-B1FFE921FE83}"/>
  </hyperlinks>
  <pageMargins left="0.7" right="0.7" top="0.75" bottom="0.75" header="0.3" footer="0.3"/>
  <pageSetup orientation="portrait" r:id="rId2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defaultColWidth="8.6328125" defaultRowHeight="14.5" x14ac:dyDescent="0.35"/>
  <cols>
    <col min="1" max="1" width="21.1796875" style="9" customWidth="1"/>
    <col min="2" max="11" width="10.6328125" style="9" customWidth="1"/>
    <col min="12" max="16384" width="8.6328125" style="9"/>
  </cols>
  <sheetData>
    <row r="1" spans="1:11" x14ac:dyDescent="0.35">
      <c r="A1" s="18"/>
      <c r="B1" s="18"/>
      <c r="C1" s="18"/>
    </row>
    <row r="2" spans="1:11" x14ac:dyDescent="0.35">
      <c r="B2" s="58" t="s">
        <v>40</v>
      </c>
      <c r="C2" s="59"/>
      <c r="D2" s="64" t="s">
        <v>10</v>
      </c>
      <c r="E2" s="63"/>
      <c r="F2" s="63"/>
      <c r="G2" s="63"/>
      <c r="H2" s="63"/>
      <c r="I2" s="63"/>
      <c r="J2" s="63"/>
      <c r="K2" s="65"/>
    </row>
    <row r="3" spans="1:11" x14ac:dyDescent="0.35">
      <c r="B3" s="58"/>
      <c r="C3" s="59"/>
      <c r="D3" s="64">
        <v>2050</v>
      </c>
      <c r="E3" s="63"/>
      <c r="F3" s="63"/>
      <c r="G3" s="63"/>
      <c r="H3" s="63"/>
      <c r="I3" s="63"/>
      <c r="J3" s="63"/>
      <c r="K3" s="65"/>
    </row>
    <row r="4" spans="1:11" ht="29" customHeight="1" x14ac:dyDescent="0.35">
      <c r="A4" s="19"/>
      <c r="B4" s="58"/>
      <c r="C4" s="59"/>
      <c r="D4" s="66" t="s">
        <v>55</v>
      </c>
      <c r="E4" s="67"/>
      <c r="F4" s="67"/>
      <c r="G4" s="68"/>
      <c r="H4" s="67" t="s">
        <v>56</v>
      </c>
      <c r="I4" s="67"/>
      <c r="J4" s="67"/>
      <c r="K4" s="68"/>
    </row>
    <row r="5" spans="1:11" ht="29" customHeight="1" x14ac:dyDescent="0.35">
      <c r="A5" s="19"/>
      <c r="B5" s="60"/>
      <c r="C5" s="61"/>
      <c r="D5" s="62" t="s">
        <v>43</v>
      </c>
      <c r="E5" s="56"/>
      <c r="F5" s="56" t="s">
        <v>42</v>
      </c>
      <c r="G5" s="57"/>
      <c r="H5" s="62" t="s">
        <v>43</v>
      </c>
      <c r="I5" s="56"/>
      <c r="J5" s="56" t="s">
        <v>42</v>
      </c>
      <c r="K5" s="57"/>
    </row>
    <row r="6" spans="1:11" x14ac:dyDescent="0.35">
      <c r="A6" s="12"/>
      <c r="B6" s="16" t="s">
        <v>38</v>
      </c>
      <c r="C6" s="17" t="s">
        <v>39</v>
      </c>
      <c r="D6" s="16" t="s">
        <v>1</v>
      </c>
      <c r="E6" s="14" t="s">
        <v>39</v>
      </c>
      <c r="F6" s="14" t="s">
        <v>1</v>
      </c>
      <c r="G6" s="17" t="s">
        <v>39</v>
      </c>
      <c r="H6" s="14" t="s">
        <v>1</v>
      </c>
      <c r="I6" s="14" t="s">
        <v>39</v>
      </c>
      <c r="J6" s="14" t="s">
        <v>1</v>
      </c>
      <c r="K6" s="17" t="s">
        <v>39</v>
      </c>
    </row>
    <row r="7" spans="1:11" x14ac:dyDescent="0.35">
      <c r="A7" s="9" t="s">
        <v>12</v>
      </c>
      <c r="D7" s="10"/>
      <c r="E7" s="10"/>
      <c r="F7" s="10"/>
      <c r="G7" s="10"/>
      <c r="H7" s="10"/>
      <c r="I7" s="10"/>
      <c r="J7" s="10"/>
      <c r="K7" s="10"/>
    </row>
    <row r="8" spans="1:11" x14ac:dyDescent="0.35">
      <c r="A8" s="9" t="s">
        <v>13</v>
      </c>
      <c r="D8" s="10"/>
      <c r="E8" s="10"/>
      <c r="F8" s="10"/>
      <c r="G8" s="10"/>
      <c r="H8" s="10"/>
      <c r="I8" s="10"/>
      <c r="J8" s="10"/>
      <c r="K8" s="10"/>
    </row>
    <row r="9" spans="1:11" x14ac:dyDescent="0.35">
      <c r="A9" s="9" t="s">
        <v>14</v>
      </c>
      <c r="D9" s="10"/>
      <c r="E9" s="10"/>
      <c r="F9" s="10"/>
      <c r="G9" s="10"/>
      <c r="H9" s="10"/>
      <c r="I9" s="10"/>
      <c r="J9" s="10"/>
      <c r="K9" s="10"/>
    </row>
    <row r="10" spans="1:11" x14ac:dyDescent="0.35">
      <c r="A10" s="9" t="s">
        <v>15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35">
      <c r="A11" s="9" t="s">
        <v>16</v>
      </c>
      <c r="D11" s="10"/>
      <c r="E11" s="10"/>
      <c r="F11" s="10"/>
      <c r="G11" s="10"/>
      <c r="H11" s="10"/>
      <c r="I11" s="10"/>
      <c r="J11" s="10"/>
      <c r="K11" s="10"/>
    </row>
    <row r="12" spans="1:11" x14ac:dyDescent="0.35">
      <c r="A12" s="9" t="s">
        <v>17</v>
      </c>
      <c r="D12" s="10"/>
      <c r="E12" s="10"/>
      <c r="F12" s="10"/>
      <c r="G12" s="10"/>
      <c r="H12" s="10"/>
      <c r="I12" s="10"/>
      <c r="J12" s="10"/>
      <c r="K12" s="10"/>
    </row>
    <row r="13" spans="1:11" x14ac:dyDescent="0.35">
      <c r="A13" s="9" t="s">
        <v>18</v>
      </c>
      <c r="D13" s="10"/>
      <c r="E13" s="10"/>
      <c r="F13" s="10"/>
      <c r="G13" s="10"/>
      <c r="H13" s="10"/>
      <c r="I13" s="10"/>
      <c r="J13" s="10"/>
      <c r="K13" s="10"/>
    </row>
    <row r="14" spans="1:11" x14ac:dyDescent="0.35">
      <c r="A14" s="9" t="s">
        <v>19</v>
      </c>
      <c r="D14" s="10"/>
      <c r="E14" s="10"/>
      <c r="F14" s="10"/>
      <c r="G14" s="10"/>
      <c r="H14" s="10"/>
      <c r="I14" s="10"/>
      <c r="J14" s="10"/>
      <c r="K14" s="10"/>
    </row>
    <row r="15" spans="1:11" x14ac:dyDescent="0.35">
      <c r="A15" s="9" t="s">
        <v>20</v>
      </c>
      <c r="D15" s="10"/>
      <c r="E15" s="10"/>
      <c r="F15" s="10"/>
      <c r="G15" s="10"/>
      <c r="H15" s="10"/>
      <c r="I15" s="10"/>
      <c r="J15" s="10"/>
      <c r="K15" s="10"/>
    </row>
    <row r="16" spans="1:11" x14ac:dyDescent="0.35">
      <c r="A16" s="9" t="s">
        <v>21</v>
      </c>
      <c r="D16" s="10"/>
      <c r="E16" s="10"/>
      <c r="F16" s="10"/>
      <c r="G16" s="10"/>
      <c r="H16" s="10"/>
      <c r="I16" s="10"/>
      <c r="J16" s="10"/>
      <c r="K16" s="10"/>
    </row>
    <row r="17" spans="1:11" x14ac:dyDescent="0.35">
      <c r="A17" s="9" t="s">
        <v>22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35">
      <c r="A18" s="9" t="s">
        <v>23</v>
      </c>
      <c r="D18" s="10"/>
      <c r="E18" s="10"/>
      <c r="F18" s="10"/>
      <c r="G18" s="10"/>
      <c r="H18" s="11"/>
      <c r="I18" s="11"/>
      <c r="J18" s="11"/>
      <c r="K18" s="11"/>
    </row>
    <row r="19" spans="1:11" x14ac:dyDescent="0.35">
      <c r="A19" s="9" t="s">
        <v>24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35">
      <c r="A20" s="9" t="s">
        <v>25</v>
      </c>
      <c r="D20" s="10"/>
      <c r="E20" s="10"/>
      <c r="F20" s="10"/>
      <c r="G20" s="10"/>
      <c r="H20" s="10"/>
      <c r="I20" s="10"/>
      <c r="J20" s="10"/>
      <c r="K20" s="10"/>
    </row>
    <row r="21" spans="1:11" x14ac:dyDescent="0.35">
      <c r="A21" s="9" t="s">
        <v>26</v>
      </c>
      <c r="D21" s="10"/>
      <c r="E21" s="10"/>
      <c r="F21" s="10"/>
      <c r="G21" s="10"/>
      <c r="H21" s="10"/>
      <c r="I21" s="10"/>
      <c r="J21" s="10"/>
      <c r="K21" s="10"/>
    </row>
    <row r="22" spans="1:11" x14ac:dyDescent="0.35">
      <c r="A22" s="9" t="s">
        <v>27</v>
      </c>
      <c r="D22" s="10"/>
      <c r="E22" s="10"/>
      <c r="F22" s="10"/>
      <c r="G22" s="10"/>
      <c r="H22" s="10"/>
      <c r="I22" s="10"/>
      <c r="J22" s="10"/>
      <c r="K22" s="10"/>
    </row>
    <row r="23" spans="1:11" x14ac:dyDescent="0.35">
      <c r="A23" s="9" t="s">
        <v>28</v>
      </c>
      <c r="D23" s="10"/>
      <c r="E23" s="10"/>
      <c r="F23" s="10"/>
      <c r="G23" s="10"/>
      <c r="H23" s="10"/>
      <c r="I23" s="10"/>
      <c r="J23" s="10"/>
      <c r="K23" s="10"/>
    </row>
    <row r="24" spans="1:11" x14ac:dyDescent="0.35">
      <c r="A24" s="9" t="s">
        <v>29</v>
      </c>
      <c r="D24" s="10"/>
      <c r="E24" s="10"/>
      <c r="F24" s="10"/>
      <c r="G24" s="10"/>
      <c r="H24" s="10"/>
      <c r="I24" s="10"/>
      <c r="J24" s="10"/>
      <c r="K24" s="10"/>
    </row>
    <row r="25" spans="1:11" x14ac:dyDescent="0.35">
      <c r="A25" s="9" t="s">
        <v>30</v>
      </c>
      <c r="D25" s="10"/>
      <c r="E25" s="10"/>
      <c r="F25" s="10"/>
      <c r="G25" s="10"/>
      <c r="H25" s="10"/>
      <c r="I25" s="10"/>
      <c r="J25" s="10"/>
      <c r="K25" s="10"/>
    </row>
    <row r="26" spans="1:11" x14ac:dyDescent="0.35">
      <c r="A26" s="9" t="s">
        <v>31</v>
      </c>
      <c r="D26" s="10"/>
      <c r="E26" s="10"/>
      <c r="F26" s="10"/>
      <c r="G26" s="10"/>
      <c r="H26" s="10"/>
      <c r="I26" s="10"/>
      <c r="J26" s="10"/>
      <c r="K26" s="10"/>
    </row>
    <row r="27" spans="1:11" x14ac:dyDescent="0.35">
      <c r="A27" s="9" t="s">
        <v>32</v>
      </c>
      <c r="D27" s="10"/>
      <c r="E27" s="10"/>
      <c r="F27" s="10"/>
      <c r="G27" s="10"/>
      <c r="H27" s="10"/>
      <c r="I27" s="10"/>
      <c r="J27" s="10"/>
      <c r="K27" s="10"/>
    </row>
    <row r="28" spans="1:11" x14ac:dyDescent="0.35">
      <c r="A28" s="9" t="s">
        <v>33</v>
      </c>
      <c r="D28" s="10"/>
      <c r="E28" s="10"/>
      <c r="F28" s="10"/>
      <c r="G28" s="10"/>
      <c r="H28" s="10"/>
      <c r="I28" s="10"/>
      <c r="J28" s="10"/>
      <c r="K28" s="10"/>
    </row>
    <row r="29" spans="1:11" x14ac:dyDescent="0.35">
      <c r="A29" s="9" t="s">
        <v>34</v>
      </c>
      <c r="D29" s="10"/>
      <c r="E29" s="10"/>
      <c r="F29" s="10"/>
      <c r="G29" s="10"/>
      <c r="H29" s="11"/>
      <c r="I29" s="11"/>
      <c r="J29" s="11"/>
      <c r="K29" s="11"/>
    </row>
    <row r="30" spans="1:11" x14ac:dyDescent="0.35">
      <c r="A30" s="9" t="s">
        <v>35</v>
      </c>
      <c r="D30" s="10"/>
      <c r="E30" s="10"/>
      <c r="F30" s="10"/>
      <c r="G30" s="10"/>
      <c r="H30" s="11"/>
      <c r="I30" s="11"/>
      <c r="J30" s="11"/>
      <c r="K30" s="11"/>
    </row>
    <row r="31" spans="1:11" x14ac:dyDescent="0.35">
      <c r="A31" s="9" t="s">
        <v>36</v>
      </c>
    </row>
    <row r="32" spans="1:11" x14ac:dyDescent="0.35">
      <c r="A32" s="13" t="s">
        <v>37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Flood (national AAL PML)</vt:lpstr>
      <vt:lpstr>Drought (national AAL PML)</vt:lpstr>
      <vt:lpstr>Flood Affected Population</vt:lpstr>
      <vt:lpstr>Drought Affected Population</vt:lpstr>
      <vt:lpstr>Flood AAL (admin 1)</vt:lpstr>
      <vt:lpstr>Drought AAL (admin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 Mochizuki</dc:creator>
  <cp:lastModifiedBy>Junko Mochizuki</cp:lastModifiedBy>
  <dcterms:created xsi:type="dcterms:W3CDTF">2022-11-30T10:12:22Z</dcterms:created>
  <dcterms:modified xsi:type="dcterms:W3CDTF">2023-04-24T10:28:46Z</dcterms:modified>
</cp:coreProperties>
</file>