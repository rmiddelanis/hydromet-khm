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vbogaerts_worldbank_org/Documents/VICA 2020/0. EAP/Cambodia/1. DRM Project 2/8. Technical Assistance/CCDR- Flood/data exchange to macroeconomic models/"/>
    </mc:Choice>
  </mc:AlternateContent>
  <xr:revisionPtr revIDLastSave="37" documentId="13_ncr:1_{106DA4D4-8B66-48BA-9848-A4A92B7E794D}" xr6:coauthVersionLast="47" xr6:coauthVersionMax="47" xr10:uidLastSave="{3F8A0873-3F26-44E3-BCE0-ABF6B3CC727A}"/>
  <bookViews>
    <workbookView xWindow="-120" yWindow="-120" windowWidth="38640" windowHeight="21240" tabRatio="864" xr2:uid="{EA58DB0F-896D-4CE3-BD5F-87C5A342EB24}"/>
  </bookViews>
  <sheets>
    <sheet name="Flood (national AAL PML)" sheetId="1" r:id="rId1"/>
    <sheet name="Drought (national AAL PML)" sheetId="2" r:id="rId2"/>
    <sheet name="Flood Affected Population" sheetId="3" r:id="rId3"/>
    <sheet name="Drought Affected Population" sheetId="7" r:id="rId4"/>
    <sheet name="Flood AAL (admin 1)" sheetId="5" r:id="rId5"/>
    <sheet name="Drought AAL (admin 1)" sheetId="8" r:id="rId6"/>
    <sheet name="graph_AALpop" sheetId="11" r:id="rId7"/>
    <sheet name="graph_AALeconomic" sheetId="12" r:id="rId8"/>
    <sheet name="graph_AALbua" sheetId="18" r:id="rId9"/>
    <sheet name="graph_PMLpop" sheetId="14" r:id="rId10"/>
    <sheet name="graph_PMLeco" sheetId="9" r:id="rId11"/>
    <sheet name="graph_PMLbua" sheetId="15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14" l="1"/>
  <c r="U9" i="14"/>
  <c r="H31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7" i="3"/>
  <c r="K5" i="18"/>
  <c r="J5" i="18"/>
  <c r="I5" i="18"/>
  <c r="H5" i="18"/>
  <c r="G5" i="18"/>
  <c r="F5" i="18"/>
  <c r="E5" i="18"/>
  <c r="O4" i="18"/>
  <c r="N4" i="18"/>
  <c r="M4" i="18"/>
  <c r="G4" i="18"/>
  <c r="F4" i="18"/>
  <c r="E4" i="18"/>
  <c r="O3" i="18"/>
  <c r="N3" i="18"/>
  <c r="M3" i="18"/>
  <c r="G3" i="18"/>
  <c r="F3" i="18"/>
  <c r="E3" i="18"/>
  <c r="M13" i="15"/>
  <c r="L13" i="15"/>
  <c r="K13" i="15"/>
  <c r="I13" i="15"/>
  <c r="H13" i="15"/>
  <c r="G13" i="15"/>
  <c r="M12" i="15"/>
  <c r="L12" i="15"/>
  <c r="K12" i="15"/>
  <c r="I12" i="15"/>
  <c r="H12" i="15"/>
  <c r="G12" i="15"/>
  <c r="M11" i="15"/>
  <c r="L11" i="15"/>
  <c r="K11" i="15"/>
  <c r="I11" i="15"/>
  <c r="H11" i="15"/>
  <c r="G11" i="15"/>
  <c r="M10" i="15"/>
  <c r="L10" i="15"/>
  <c r="K10" i="15"/>
  <c r="I10" i="15"/>
  <c r="H10" i="15"/>
  <c r="G10" i="15"/>
  <c r="M7" i="15"/>
  <c r="L7" i="15"/>
  <c r="K7" i="15"/>
  <c r="I7" i="15"/>
  <c r="H7" i="15"/>
  <c r="G7" i="15"/>
  <c r="J7" i="15" s="1"/>
  <c r="E7" i="15"/>
  <c r="D7" i="15"/>
  <c r="C7" i="15"/>
  <c r="M6" i="15"/>
  <c r="L6" i="15"/>
  <c r="K6" i="15"/>
  <c r="I6" i="15"/>
  <c r="H6" i="15"/>
  <c r="G6" i="15"/>
  <c r="E6" i="15"/>
  <c r="D6" i="15"/>
  <c r="C6" i="15"/>
  <c r="M5" i="15"/>
  <c r="L5" i="15"/>
  <c r="K5" i="15"/>
  <c r="I5" i="15"/>
  <c r="H5" i="15"/>
  <c r="G5" i="15"/>
  <c r="E5" i="15"/>
  <c r="D5" i="15"/>
  <c r="C5" i="15"/>
  <c r="M4" i="15"/>
  <c r="L4" i="15"/>
  <c r="K4" i="15"/>
  <c r="I4" i="15"/>
  <c r="H4" i="15"/>
  <c r="G4" i="15"/>
  <c r="E4" i="15"/>
  <c r="D4" i="15"/>
  <c r="C4" i="15"/>
  <c r="Q11" i="9"/>
  <c r="R11" i="9"/>
  <c r="S11" i="9"/>
  <c r="Q12" i="9"/>
  <c r="R12" i="9"/>
  <c r="S12" i="9"/>
  <c r="Q13" i="9"/>
  <c r="R13" i="9"/>
  <c r="S13" i="9"/>
  <c r="S10" i="9"/>
  <c r="R10" i="9"/>
  <c r="Q10" i="9"/>
  <c r="J11" i="9"/>
  <c r="K11" i="9"/>
  <c r="L11" i="9"/>
  <c r="J12" i="9"/>
  <c r="K12" i="9"/>
  <c r="L12" i="9"/>
  <c r="J13" i="9"/>
  <c r="K13" i="9"/>
  <c r="L13" i="9"/>
  <c r="L10" i="9"/>
  <c r="J10" i="9"/>
  <c r="K10" i="9"/>
  <c r="J5" i="9"/>
  <c r="K5" i="9"/>
  <c r="L5" i="9"/>
  <c r="J6" i="9"/>
  <c r="K6" i="9"/>
  <c r="L6" i="9"/>
  <c r="J7" i="9"/>
  <c r="K7" i="9"/>
  <c r="L7" i="9"/>
  <c r="L4" i="9"/>
  <c r="K4" i="9"/>
  <c r="J4" i="9"/>
  <c r="S5" i="9"/>
  <c r="S6" i="9"/>
  <c r="S7" i="9"/>
  <c r="S4" i="9"/>
  <c r="R5" i="9"/>
  <c r="R6" i="9"/>
  <c r="R7" i="9"/>
  <c r="R4" i="9"/>
  <c r="Q5" i="9"/>
  <c r="Q6" i="9"/>
  <c r="Q7" i="9"/>
  <c r="Q4" i="9"/>
  <c r="H5" i="9"/>
  <c r="H6" i="9"/>
  <c r="H7" i="9"/>
  <c r="H4" i="9"/>
  <c r="G5" i="9"/>
  <c r="G6" i="9"/>
  <c r="G7" i="9"/>
  <c r="G4" i="9"/>
  <c r="F5" i="9"/>
  <c r="F6" i="9"/>
  <c r="F7" i="9"/>
  <c r="F4" i="9"/>
  <c r="E5" i="9"/>
  <c r="E6" i="9"/>
  <c r="E7" i="9"/>
  <c r="E4" i="9"/>
  <c r="D5" i="9"/>
  <c r="D6" i="9"/>
  <c r="D7" i="9"/>
  <c r="D4" i="9"/>
  <c r="C5" i="9"/>
  <c r="C6" i="9"/>
  <c r="C7" i="9"/>
  <c r="C4" i="9"/>
  <c r="O4" i="12"/>
  <c r="N4" i="12"/>
  <c r="M4" i="12"/>
  <c r="O3" i="12"/>
  <c r="N3" i="12"/>
  <c r="M3" i="12"/>
  <c r="K5" i="12"/>
  <c r="G4" i="12"/>
  <c r="F4" i="12"/>
  <c r="E4" i="12"/>
  <c r="M11" i="9"/>
  <c r="N5" i="9"/>
  <c r="O11" i="9"/>
  <c r="M6" i="9"/>
  <c r="N12" i="9"/>
  <c r="O6" i="9"/>
  <c r="M7" i="9"/>
  <c r="N13" i="9"/>
  <c r="O13" i="9"/>
  <c r="H4" i="18"/>
  <c r="P4" i="18" s="1"/>
  <c r="I4" i="18"/>
  <c r="Q4" i="18" s="1"/>
  <c r="J4" i="18"/>
  <c r="R4" i="18" s="1"/>
  <c r="M4" i="9"/>
  <c r="N10" i="9"/>
  <c r="O4" i="9"/>
  <c r="G3" i="12"/>
  <c r="F3" i="12"/>
  <c r="E3" i="12"/>
  <c r="T5" i="9"/>
  <c r="U5" i="9"/>
  <c r="V5" i="9"/>
  <c r="T6" i="9"/>
  <c r="U12" i="9"/>
  <c r="V6" i="9"/>
  <c r="T7" i="9"/>
  <c r="U13" i="9"/>
  <c r="V13" i="9"/>
  <c r="H3" i="12"/>
  <c r="P3" i="12" s="1"/>
  <c r="I3" i="18"/>
  <c r="Q3" i="18" s="1"/>
  <c r="J3" i="12"/>
  <c r="R3" i="12" s="1"/>
  <c r="U4" i="9"/>
  <c r="V4" i="9"/>
  <c r="J5" i="12"/>
  <c r="I5" i="12"/>
  <c r="H5" i="12"/>
  <c r="G5" i="12"/>
  <c r="F5" i="12"/>
  <c r="E5" i="12"/>
  <c r="F3" i="11"/>
  <c r="E3" i="11"/>
  <c r="F4" i="11"/>
  <c r="E4" i="11"/>
  <c r="D5" i="11"/>
  <c r="D4" i="11"/>
  <c r="C4" i="11"/>
  <c r="D3" i="11"/>
  <c r="C3" i="11"/>
  <c r="B32" i="3"/>
  <c r="C5" i="11" s="1"/>
  <c r="M13" i="9" l="1"/>
  <c r="O5" i="9"/>
  <c r="C3" i="18"/>
  <c r="T13" i="9"/>
  <c r="N11" i="9"/>
  <c r="P11" i="9" s="1"/>
  <c r="K4" i="18"/>
  <c r="I3" i="12"/>
  <c r="Q3" i="12" s="1"/>
  <c r="K3" i="12" s="1"/>
  <c r="H4" i="12"/>
  <c r="P4" i="12" s="1"/>
  <c r="U6" i="9"/>
  <c r="W6" i="9" s="1"/>
  <c r="F6" i="15"/>
  <c r="U10" i="9"/>
  <c r="C5" i="12"/>
  <c r="V12" i="9"/>
  <c r="I6" i="9"/>
  <c r="I4" i="12"/>
  <c r="Q4" i="12" s="1"/>
  <c r="I5" i="9"/>
  <c r="H3" i="18"/>
  <c r="P3" i="18" s="1"/>
  <c r="C4" i="18"/>
  <c r="U11" i="9"/>
  <c r="O10" i="9"/>
  <c r="T4" i="9"/>
  <c r="W4" i="9" s="1"/>
  <c r="K3" i="18"/>
  <c r="V10" i="9"/>
  <c r="U7" i="9"/>
  <c r="W7" i="9" s="1"/>
  <c r="N7" i="15"/>
  <c r="N13" i="15"/>
  <c r="C5" i="18"/>
  <c r="O12" i="9"/>
  <c r="J4" i="12"/>
  <c r="R4" i="12" s="1"/>
  <c r="N4" i="9"/>
  <c r="P4" i="9" s="1"/>
  <c r="M5" i="9"/>
  <c r="P5" i="9" s="1"/>
  <c r="J5" i="15"/>
  <c r="V11" i="9"/>
  <c r="V7" i="9"/>
  <c r="N6" i="9"/>
  <c r="P6" i="9" s="1"/>
  <c r="N11" i="15"/>
  <c r="O7" i="9"/>
  <c r="N7" i="9"/>
  <c r="J3" i="18"/>
  <c r="R3" i="18" s="1"/>
  <c r="I4" i="9"/>
  <c r="F4" i="15"/>
  <c r="N6" i="15"/>
  <c r="F5" i="15"/>
  <c r="W5" i="9"/>
  <c r="F7" i="15"/>
  <c r="N4" i="15"/>
  <c r="J4" i="15"/>
  <c r="N10" i="15"/>
  <c r="J10" i="15"/>
  <c r="J6" i="15"/>
  <c r="J13" i="15"/>
  <c r="N5" i="15"/>
  <c r="J12" i="15"/>
  <c r="N12" i="15"/>
  <c r="J11" i="15"/>
  <c r="W13" i="9"/>
  <c r="I7" i="9"/>
  <c r="P13" i="9"/>
  <c r="K4" i="12" l="1"/>
  <c r="C3" i="12"/>
  <c r="T12" i="9"/>
  <c r="W12" i="9" s="1"/>
  <c r="T10" i="9"/>
  <c r="W10" i="9" s="1"/>
  <c r="M12" i="9"/>
  <c r="P12" i="9" s="1"/>
  <c r="P7" i="9"/>
  <c r="T11" i="9"/>
  <c r="W11" i="9" s="1"/>
  <c r="M10" i="9"/>
  <c r="P10" i="9" s="1"/>
  <c r="C4" i="12"/>
</calcChain>
</file>

<file path=xl/sharedStrings.xml><?xml version="1.0" encoding="utf-8"?>
<sst xmlns="http://schemas.openxmlformats.org/spreadsheetml/2006/main" count="413" uniqueCount="77">
  <si>
    <t xml:space="preserve">Base year 2020 (no climate change) </t>
  </si>
  <si>
    <t>RP</t>
  </si>
  <si>
    <t>Housing</t>
  </si>
  <si>
    <t>US$ million</t>
  </si>
  <si>
    <t xml:space="preserve">% of total asset value </t>
  </si>
  <si>
    <t>AAL</t>
  </si>
  <si>
    <t>Year 2050 (SSP585, no adaptation, no socio-economic projections)</t>
  </si>
  <si>
    <t>Year 2050 (SSP585, no adaptation, with socio-economic projections)</t>
  </si>
  <si>
    <t>Year 2050 (SSP126, no adaptation, no socio-economic projections)</t>
  </si>
  <si>
    <t>Year 2050 (SSP126, no adaptation, with socio-economic projections)</t>
  </si>
  <si>
    <t>asset 1</t>
  </si>
  <si>
    <t>asset 2</t>
  </si>
  <si>
    <t>asset 3</t>
  </si>
  <si>
    <t>Base year</t>
  </si>
  <si>
    <t>no adaptation</t>
  </si>
  <si>
    <t>with adaptation</t>
  </si>
  <si>
    <t>SSP126</t>
  </si>
  <si>
    <t>SSP585</t>
  </si>
  <si>
    <t>no socio-economic projections</t>
  </si>
  <si>
    <t>with socio-economic projections</t>
  </si>
  <si>
    <t xml:space="preserve">Number </t>
  </si>
  <si>
    <t>%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</si>
  <si>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</si>
  <si>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</si>
  <si>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</si>
  <si>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</si>
  <si>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</si>
  <si>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</si>
  <si>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</si>
  <si>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</si>
  <si>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Koh Kong</t>
  </si>
  <si>
    <t>Kratié</t>
  </si>
  <si>
    <t>Mondulkiri</t>
  </si>
  <si>
    <t>Phnom Penh</t>
  </si>
  <si>
    <t>Preah Vihear</t>
  </si>
  <si>
    <t>Prey Veng</t>
  </si>
  <si>
    <t>Pursat</t>
  </si>
  <si>
    <t>Ratanakiri</t>
  </si>
  <si>
    <t>Siem Reap</t>
  </si>
  <si>
    <t>Preah Sihanouk</t>
  </si>
  <si>
    <t>Stung Treng</t>
  </si>
  <si>
    <t>Svay Rieng</t>
  </si>
  <si>
    <t>Takéo</t>
  </si>
  <si>
    <t>Oddar Meanchey</t>
  </si>
  <si>
    <t>Kep</t>
  </si>
  <si>
    <t>Pailin</t>
  </si>
  <si>
    <t>Tboung Khmum</t>
  </si>
  <si>
    <t>Total</t>
  </si>
  <si>
    <t xml:space="preserve">  AAL [million$]</t>
  </si>
  <si>
    <t>NO ADAPTATION</t>
  </si>
  <si>
    <t>WITH ADAPTATION</t>
  </si>
  <si>
    <t>Scenario</t>
  </si>
  <si>
    <t>People Affected</t>
  </si>
  <si>
    <t>Future Climate 
SSP585 &amp; SEP</t>
  </si>
  <si>
    <t>Future Climate 
SSP126 &amp; SEP</t>
  </si>
  <si>
    <t>Present Climate</t>
  </si>
  <si>
    <t>Direct Loss total $</t>
  </si>
  <si>
    <t>housing</t>
  </si>
  <si>
    <t>service</t>
  </si>
  <si>
    <t>industrial</t>
  </si>
  <si>
    <t>transportation</t>
  </si>
  <si>
    <t>school</t>
  </si>
  <si>
    <t>health</t>
  </si>
  <si>
    <t>Return Period</t>
  </si>
  <si>
    <t>POP 2020 - Current Climate</t>
  </si>
  <si>
    <t>POP 2050 - SSP 126 - Projected</t>
  </si>
  <si>
    <t>POP 2050 - SSP 126 - Mitigated</t>
  </si>
  <si>
    <t>POP 2050 - SSP 585 - Projected</t>
  </si>
  <si>
    <t>POP 2050 - SSP 585 - Mitigated</t>
  </si>
  <si>
    <t>present</t>
  </si>
  <si>
    <t>future SSP126</t>
  </si>
  <si>
    <t>future SSP585</t>
  </si>
  <si>
    <t>productive</t>
  </si>
  <si>
    <t>TOT</t>
  </si>
  <si>
    <t>Services</t>
  </si>
  <si>
    <t>Industry</t>
  </si>
  <si>
    <t>Annual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</si>
</sst>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"/>
    <numFmt numFmtId="166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7"/>
      <color rgb="FF202122"/>
      <name val="Arial"/>
      <family val="2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</cellStyleXfs>
  <cellXfs count="10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/>
    <xf numFmtId="0" fontId="0" fillId="2" borderId="0" xfId="0" applyFill="1"/>
    <xf numFmtId="3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0" fillId="2" borderId="3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1" fillId="2" borderId="0" xfId="0" applyFont="1" applyFill="1"/>
    <xf numFmtId="0" fontId="0" fillId="2" borderId="7" xfId="0" applyFill="1" applyBorder="1"/>
    <xf numFmtId="2" fontId="0" fillId="2" borderId="0" xfId="0" applyNumberFormat="1" applyFill="1"/>
    <xf numFmtId="2" fontId="0" fillId="2" borderId="2" xfId="0" applyNumberFormat="1" applyFill="1" applyBorder="1"/>
    <xf numFmtId="1" fontId="0" fillId="2" borderId="2" xfId="0" applyNumberFormat="1" applyFill="1" applyBorder="1"/>
    <xf numFmtId="165" fontId="0" fillId="2" borderId="0" xfId="0" applyNumberFormat="1" applyFill="1"/>
    <xf numFmtId="165" fontId="0" fillId="2" borderId="3" xfId="0" applyNumberFormat="1" applyFill="1" applyBorder="1"/>
    <xf numFmtId="165" fontId="0" fillId="2" borderId="2" xfId="0" applyNumberFormat="1" applyFill="1" applyBorder="1"/>
    <xf numFmtId="1" fontId="4" fillId="2" borderId="0" xfId="0" applyNumberFormat="1" applyFont="1" applyFill="1"/>
    <xf numFmtId="2" fontId="0" fillId="2" borderId="11" xfId="0" applyNumberFormat="1" applyFill="1" applyBorder="1"/>
    <xf numFmtId="2" fontId="0" fillId="2" borderId="7" xfId="0" applyNumberFormat="1" applyFill="1" applyBorder="1"/>
    <xf numFmtId="2" fontId="0" fillId="2" borderId="6" xfId="0" applyNumberFormat="1" applyFill="1" applyBorder="1"/>
    <xf numFmtId="1" fontId="4" fillId="4" borderId="0" xfId="0" applyNumberFormat="1" applyFont="1" applyFill="1"/>
    <xf numFmtId="2" fontId="0" fillId="4" borderId="0" xfId="0" applyNumberFormat="1" applyFill="1"/>
    <xf numFmtId="1" fontId="0" fillId="4" borderId="2" xfId="0" applyNumberFormat="1" applyFill="1" applyBorder="1"/>
    <xf numFmtId="2" fontId="0" fillId="4" borderId="2" xfId="0" applyNumberFormat="1" applyFill="1" applyBorder="1"/>
    <xf numFmtId="165" fontId="0" fillId="4" borderId="0" xfId="0" applyNumberFormat="1" applyFill="1"/>
    <xf numFmtId="165" fontId="0" fillId="4" borderId="3" xfId="0" applyNumberFormat="1" applyFill="1" applyBorder="1"/>
    <xf numFmtId="165" fontId="0" fillId="4" borderId="2" xfId="0" applyNumberFormat="1" applyFill="1" applyBorder="1"/>
    <xf numFmtId="0" fontId="1" fillId="2" borderId="1" xfId="0" applyFont="1" applyFill="1" applyBorder="1"/>
    <xf numFmtId="0" fontId="2" fillId="2" borderId="3" xfId="0" applyFont="1" applyFill="1" applyBorder="1"/>
    <xf numFmtId="0" fontId="2" fillId="2" borderId="3" xfId="0" applyFont="1" applyFill="1" applyBorder="1" applyAlignment="1">
      <alignment horizontal="center" vertical="center"/>
    </xf>
    <xf numFmtId="165" fontId="1" fillId="2" borderId="0" xfId="0" applyNumberFormat="1" applyFont="1" applyFill="1" applyAlignment="1">
      <alignment vertical="center"/>
    </xf>
    <xf numFmtId="165" fontId="1" fillId="2" borderId="0" xfId="0" applyNumberFormat="1" applyFont="1" applyFill="1"/>
    <xf numFmtId="0" fontId="1" fillId="2" borderId="3" xfId="0" applyFont="1" applyFill="1" applyBorder="1"/>
    <xf numFmtId="0" fontId="2" fillId="2" borderId="0" xfId="0" applyFont="1" applyFill="1"/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6" fillId="0" borderId="0" xfId="0" applyFont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 applyAlignment="1">
      <alignment horizontal="right"/>
    </xf>
    <xf numFmtId="0" fontId="6" fillId="0" borderId="14" xfId="0" applyFont="1" applyBorder="1"/>
    <xf numFmtId="0" fontId="6" fillId="0" borderId="15" xfId="0" applyFont="1" applyBorder="1"/>
    <xf numFmtId="0" fontId="0" fillId="0" borderId="16" xfId="0" applyBorder="1" applyAlignment="1">
      <alignment wrapText="1"/>
    </xf>
    <xf numFmtId="166" fontId="0" fillId="0" borderId="17" xfId="1" applyNumberFormat="1" applyFont="1" applyBorder="1"/>
    <xf numFmtId="0" fontId="0" fillId="0" borderId="18" xfId="0" applyBorder="1"/>
    <xf numFmtId="0" fontId="0" fillId="0" borderId="16" xfId="0" applyBorder="1" applyAlignment="1">
      <alignment horizontal="left" wrapText="1"/>
    </xf>
    <xf numFmtId="0" fontId="0" fillId="0" borderId="19" xfId="0" applyBorder="1"/>
    <xf numFmtId="166" fontId="0" fillId="0" borderId="20" xfId="1" applyNumberFormat="1" applyFont="1" applyBorder="1"/>
    <xf numFmtId="0" fontId="0" fillId="0" borderId="20" xfId="0" applyBorder="1"/>
    <xf numFmtId="0" fontId="0" fillId="0" borderId="22" xfId="0" applyBorder="1"/>
    <xf numFmtId="1" fontId="0" fillId="5" borderId="2" xfId="0" applyNumberFormat="1" applyFill="1" applyBorder="1"/>
    <xf numFmtId="2" fontId="0" fillId="5" borderId="6" xfId="0" applyNumberFormat="1" applyFill="1" applyBorder="1"/>
    <xf numFmtId="0" fontId="6" fillId="0" borderId="15" xfId="0" applyFont="1" applyBorder="1" applyAlignment="1">
      <alignment horizontal="right"/>
    </xf>
    <xf numFmtId="10" fontId="0" fillId="0" borderId="18" xfId="2" applyNumberFormat="1" applyFont="1" applyBorder="1"/>
    <xf numFmtId="10" fontId="0" fillId="0" borderId="22" xfId="2" applyNumberFormat="1" applyFont="1" applyBorder="1"/>
    <xf numFmtId="2" fontId="0" fillId="0" borderId="18" xfId="0" applyNumberFormat="1" applyBorder="1"/>
    <xf numFmtId="165" fontId="1" fillId="5" borderId="3" xfId="0" applyNumberFormat="1" applyFont="1" applyFill="1" applyBorder="1"/>
    <xf numFmtId="2" fontId="0" fillId="0" borderId="0" xfId="0" applyNumberFormat="1"/>
    <xf numFmtId="2" fontId="0" fillId="0" borderId="17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2" fontId="0" fillId="0" borderId="22" xfId="0" applyNumberFormat="1" applyBorder="1"/>
    <xf numFmtId="2" fontId="0" fillId="3" borderId="20" xfId="0" applyNumberFormat="1" applyFill="1" applyBorder="1"/>
    <xf numFmtId="2" fontId="0" fillId="3" borderId="21" xfId="0" applyNumberFormat="1" applyFill="1" applyBorder="1"/>
    <xf numFmtId="0" fontId="7" fillId="0" borderId="0" xfId="3"/>
    <xf numFmtId="1" fontId="7" fillId="0" borderId="0" xfId="3" applyNumberFormat="1"/>
    <xf numFmtId="165" fontId="1" fillId="6" borderId="0" xfId="0" applyNumberFormat="1" applyFont="1" applyFill="1" applyAlignment="1">
      <alignment vertical="center"/>
    </xf>
    <xf numFmtId="165" fontId="1" fillId="6" borderId="0" xfId="0" applyNumberFormat="1" applyFont="1" applyFill="1"/>
    <xf numFmtId="0" fontId="0" fillId="0" borderId="17" xfId="0" applyBorder="1" applyAlignment="1">
      <alignment wrapText="1"/>
    </xf>
    <xf numFmtId="0" fontId="0" fillId="0" borderId="17" xfId="0" applyBorder="1" applyAlignment="1">
      <alignment horizontal="left" wrapText="1"/>
    </xf>
    <xf numFmtId="2" fontId="0" fillId="3" borderId="22" xfId="0" applyNumberFormat="1" applyFill="1" applyBorder="1"/>
    <xf numFmtId="2" fontId="0" fillId="5" borderId="2" xfId="0" applyNumberFormat="1" applyFill="1" applyBorder="1"/>
    <xf numFmtId="2" fontId="0" fillId="3" borderId="0" xfId="0" applyNumberFormat="1" applyFill="1"/>
    <xf numFmtId="166" fontId="0" fillId="5" borderId="2" xfId="1" applyNumberFormat="1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</cellXfs>
  <cellStyles count="4">
    <cellStyle name="Comma" xfId="1" builtinId="3"/>
    <cellStyle name="Normal" xfId="0" builtinId="0"/>
    <cellStyle name="Normale 2" xfId="3" xr:uid="{93B6B8A7-A64D-4F16-B105-B508D8EC578C}"/>
    <cellStyle name="Percent" xfId="2" builtinId="5"/>
  </cellStyles>
  <dxfs count="0"/>
  <tableStyles count="0" defaultTableStyle="TableStyleMedium2" defaultPivotStyle="PivotStyleLight16"/>
  <colors>
    <mruColors>
      <color rgb="FF9BC8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ANNUAL AVERAGE NUMBER OF</a:t>
            </a:r>
          </a:p>
          <a:p>
            <a:pPr algn="ctr" rtl="0">
              <a:defRPr lang="en-US" sz="1400" b="1" cap="all" spc="15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POTENTIALLY AFFECTED PEOPLE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150" normalizeH="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63006745270709"/>
          <c:y val="0.28264246862772863"/>
          <c:w val="0.76469090910385484"/>
          <c:h val="0.59390087907580991"/>
        </c:manualLayout>
      </c:layout>
      <c:barChart>
        <c:barDir val="bar"/>
        <c:grouping val="clustered"/>
        <c:varyColors val="0"/>
        <c:ser>
          <c:idx val="1"/>
          <c:order val="0"/>
          <c:tx>
            <c:v>with adaptation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FEF0428-54A1-4D6E-98DF-DE5F49BA34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756-4DD8-AC79-5C3F4838C29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2DC5013-15CB-41C7-A3AD-7E6A8B01FE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756-4DD8-AC79-5C3F4838C29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756-4DD8-AC79-5C3F4838C2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graph_AALpop!$E$3:$E$5</c:f>
              <c:numCache>
                <c:formatCode>_-* #,##0_-;\-* #,##0_-;_-* "-"??_-;_-@_-</c:formatCode>
                <c:ptCount val="3"/>
                <c:pt idx="0">
                  <c:v>1137427.66150383</c:v>
                </c:pt>
                <c:pt idx="1">
                  <c:v>447053.13098796899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graph_AALpop!$F$3:$F$5</c15:f>
                <c15:dlblRangeCache>
                  <c:ptCount val="3"/>
                  <c:pt idx="0">
                    <c:v>5.63%</c:v>
                  </c:pt>
                  <c:pt idx="1">
                    <c:v>2.21%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7756-4DD8-AC79-5C3F4838C296}"/>
            </c:ext>
          </c:extLst>
        </c:ser>
        <c:ser>
          <c:idx val="0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BC8E2"/>
              </a:solidFill>
              <a:ln>
                <a:solidFill>
                  <a:srgbClr val="9BC8E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56-4DD8-AC79-5C3F4838C296}"/>
              </c:ext>
            </c:extLst>
          </c:dPt>
          <c:dPt>
            <c:idx val="1"/>
            <c:invertIfNegative val="0"/>
            <c:bubble3D val="0"/>
            <c:spPr>
              <a:solidFill>
                <a:srgbClr val="9BC8E2"/>
              </a:solidFill>
              <a:ln>
                <a:solidFill>
                  <a:srgbClr val="9BC8E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56-4DD8-AC79-5C3F4838C29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756-4DD8-AC79-5C3F4838C29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305BBF3-0D25-4EB6-B0AF-05A1C886DB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756-4DD8-AC79-5C3F4838C29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1AE473F-2A10-4D50-8DF4-DFBFF701C9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756-4DD8-AC79-5C3F4838C29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5BD1C17-229B-4166-AA0E-15F76721BD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756-4DD8-AC79-5C3F4838C2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graph_AALpop!$B$3:$B$5</c:f>
              <c:strCache>
                <c:ptCount val="3"/>
                <c:pt idx="0">
                  <c:v>Future Climate 
SSP585 &amp; SEP</c:v>
                </c:pt>
                <c:pt idx="1">
                  <c:v>Future Climate 
SSP126 &amp; SEP</c:v>
                </c:pt>
                <c:pt idx="2">
                  <c:v>Present Climate</c:v>
                </c:pt>
              </c:strCache>
            </c:strRef>
          </c:cat>
          <c:val>
            <c:numRef>
              <c:f>graph_AALpop!$C$3:$C$5</c:f>
              <c:numCache>
                <c:formatCode>_-* #,##0_-;\-* #,##0_-;_-* "-"??_-;_-@_-</c:formatCode>
                <c:ptCount val="3"/>
                <c:pt idx="0">
                  <c:v>1622263.4157116599</c:v>
                </c:pt>
                <c:pt idx="1">
                  <c:v>675523.666796381</c:v>
                </c:pt>
                <c:pt idx="2">
                  <c:v>284185.11788298999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graph_AALpop!$D$3:$D$5</c15:f>
                <c15:dlblRangeCache>
                  <c:ptCount val="3"/>
                  <c:pt idx="0">
                    <c:v>7.52%</c:v>
                  </c:pt>
                  <c:pt idx="1">
                    <c:v>3.13%</c:v>
                  </c:pt>
                  <c:pt idx="2">
                    <c:v>1.74%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7756-4DD8-AC79-5C3F4838C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5"/>
        <c:axId val="666750368"/>
        <c:axId val="272934848"/>
      </c:barChart>
      <c:catAx>
        <c:axId val="666750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4848"/>
        <c:crosses val="autoZero"/>
        <c:auto val="1"/>
        <c:lblAlgn val="r"/>
        <c:lblOffset val="100"/>
        <c:noMultiLvlLbl val="0"/>
      </c:catAx>
      <c:valAx>
        <c:axId val="27293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50368"/>
        <c:crosses val="autoZero"/>
        <c:crossBetween val="between"/>
        <c:majorUnit val="500000"/>
        <c:dispUnits>
          <c:builtInUnit val="thousands"/>
          <c:dispUnitsLbl>
            <c:layout>
              <c:manualLayout>
                <c:xMode val="edge"/>
                <c:yMode val="edge"/>
                <c:x val="7.6922501834327719E-3"/>
                <c:y val="0.8943213512978766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K-People </a:t>
                  </a:r>
                  <a:r>
                    <a:rPr lang="en-US" sz="900" b="0" i="0" u="none" strike="noStrike" kern="1200" cap="all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+mn-lt"/>
                      <a:ea typeface="+mn-ea"/>
                      <a:cs typeface="+mn-cs"/>
                    </a:rPr>
                    <a:t>affected</a:t>
                  </a:r>
                  <a:r>
                    <a:rPr lang="en-US"/>
                    <a:t>/Y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65229034721446455"/>
          <c:y val="0.27964422653698501"/>
          <c:w val="0.26419868192402751"/>
          <c:h val="8.25293695637858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ANNUAL AVERAGE OF DIRECT ECONOMIC LOSS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463006745270709"/>
          <c:y val="0.28264246862772863"/>
          <c:w val="0.76469090910385484"/>
          <c:h val="0.59390087907580991"/>
        </c:manualLayout>
      </c:layout>
      <c:barChart>
        <c:barDir val="bar"/>
        <c:grouping val="clustered"/>
        <c:varyColors val="0"/>
        <c:ser>
          <c:idx val="1"/>
          <c:order val="0"/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483C-4E32-9DA9-8554BB816F47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2-483C-4E32-9DA9-8554BB816F47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483C-4E32-9DA9-8554BB816F47}"/>
              </c:ext>
            </c:extLst>
          </c:dPt>
          <c:val>
            <c:numRef>
              <c:f>graph_AALeconomic!$K$3:$K$5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with adaptation</c:v>
                </c15:tx>
              </c15:filteredSeriesTitle>
            </c:ext>
            <c:ext xmlns:c16="http://schemas.microsoft.com/office/drawing/2014/chart" uri="{C3380CC4-5D6E-409C-BE32-E72D297353CC}">
              <c16:uniqueId val="{00000014-483C-4E32-9DA9-8554BB816F47}"/>
            </c:ext>
          </c:extLst>
        </c:ser>
        <c:ser>
          <c:idx val="0"/>
          <c:order val="1"/>
          <c:invertIfNegative val="0"/>
          <c:dPt>
            <c:idx val="0"/>
            <c:invertIfNegative val="0"/>
            <c:bubble3D val="0"/>
            <c:spPr>
              <a:solidFill>
                <a:srgbClr val="9BC8E2"/>
              </a:solidFill>
              <a:ln>
                <a:solidFill>
                  <a:srgbClr val="9BC8E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83C-4E32-9DA9-8554BB816F47}"/>
              </c:ext>
            </c:extLst>
          </c:dPt>
          <c:dPt>
            <c:idx val="1"/>
            <c:invertIfNegative val="0"/>
            <c:bubble3D val="0"/>
            <c:spPr>
              <a:solidFill>
                <a:srgbClr val="9BC8E2"/>
              </a:solidFill>
              <a:ln>
                <a:solidFill>
                  <a:srgbClr val="9BC8E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83C-4E32-9DA9-8554BB816F4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83C-4E32-9DA9-8554BB816F47}"/>
              </c:ext>
            </c:extLst>
          </c:dPt>
          <c:cat>
            <c:strRef>
              <c:f>graph_AALpop!$B$3:$B$5</c:f>
              <c:strCache>
                <c:ptCount val="3"/>
                <c:pt idx="0">
                  <c:v>Future Climate 
SSP585 &amp; SEP</c:v>
                </c:pt>
                <c:pt idx="1">
                  <c:v>Future Climate 
SSP126 &amp; SEP</c:v>
                </c:pt>
                <c:pt idx="2">
                  <c:v>Present Climate</c:v>
                </c:pt>
              </c:strCache>
            </c:strRef>
          </c:cat>
          <c:val>
            <c:numRef>
              <c:f>graph_AALeconomic!$C$3:$C$5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83C-4E32-9DA9-8554BB816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5"/>
        <c:axId val="666750368"/>
        <c:axId val="272934848"/>
      </c:barChart>
      <c:catAx>
        <c:axId val="666750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4848"/>
        <c:crosses val="autoZero"/>
        <c:auto val="1"/>
        <c:lblAlgn val="r"/>
        <c:lblOffset val="100"/>
        <c:noMultiLvlLbl val="0"/>
      </c:catAx>
      <c:valAx>
        <c:axId val="272934848"/>
        <c:scaling>
          <c:orientation val="minMax"/>
          <c:max val="120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50368"/>
        <c:crosses val="autoZero"/>
        <c:crossBetween val="between"/>
        <c:majorUnit val="2000000000"/>
        <c:minorUnit val="1000000000"/>
        <c:dispUnits>
          <c:builtInUnit val="millions"/>
          <c:dispUnitsLbl>
            <c:layout>
              <c:manualLayout>
                <c:xMode val="edge"/>
                <c:yMode val="edge"/>
                <c:x val="0.10462576532148649"/>
                <c:y val="0.89432134570992261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MilLION$/y</a:t>
                  </a:r>
                </a:p>
              </c:rich>
            </c:tx>
            <c:spPr>
              <a:solidFill>
                <a:schemeClr val="bg1"/>
              </a:solidFill>
              <a:ln>
                <a:noFill/>
              </a:ln>
              <a:effectLst/>
            </c:spPr>
          </c:dispUnitsLbl>
        </c:dispUnits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150" normalizeH="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642554457706279"/>
          <c:y val="0.29111810178471514"/>
          <c:w val="0.52580141182355467"/>
          <c:h val="0.67262808728319079"/>
        </c:manualLayout>
      </c:layout>
      <c:doughnutChart>
        <c:varyColors val="1"/>
        <c:ser>
          <c:idx val="0"/>
          <c:order val="0"/>
          <c:tx>
            <c:v>Proportion of the different sectors to the overall economic loss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AF-4194-BDA5-84F302B3467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AF-4194-BDA5-84F302B3467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AF-4194-BDA5-84F302B3467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AF-4194-BDA5-84F302B3467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8AF-4194-BDA5-84F302B3467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8AF-4194-BDA5-84F302B3467C}"/>
              </c:ext>
            </c:extLst>
          </c:dPt>
          <c:dLbls>
            <c:dLbl>
              <c:idx val="0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089506555875181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8AF-4194-BDA5-84F302B3467C}"/>
                </c:ext>
              </c:extLst>
            </c:dLbl>
            <c:dLbl>
              <c:idx val="1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089506555875181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AF-4194-BDA5-84F302B3467C}"/>
                </c:ext>
              </c:extLst>
            </c:dLbl>
            <c:dLbl>
              <c:idx val="2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089506555875181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8AF-4194-BDA5-84F302B3467C}"/>
                </c:ext>
              </c:extLst>
            </c:dLbl>
            <c:dLbl>
              <c:idx val="3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089506555875181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8AF-4194-BDA5-84F302B3467C}"/>
                </c:ext>
              </c:extLst>
            </c:dLbl>
            <c:dLbl>
              <c:idx val="4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0781183111318103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8AF-4194-BDA5-84F302B3467C}"/>
                </c:ext>
              </c:extLst>
            </c:dLbl>
            <c:dLbl>
              <c:idx val="5"/>
              <c:layout>
                <c:manualLayout>
                  <c:x val="1.062549589133548E-2"/>
                  <c:y val="-8.192672488471278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0781183111318103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28AF-4194-BDA5-84F302B346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none" lIns="38100" tIns="19050" rIns="38100" bIns="19050" anchor="b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graph_AALeconomic!$E$2:$J$2</c:f>
              <c:strCache>
                <c:ptCount val="6"/>
                <c:pt idx="0">
                  <c:v>housing</c:v>
                </c:pt>
                <c:pt idx="1">
                  <c:v>service</c:v>
                </c:pt>
                <c:pt idx="2">
                  <c:v>industrial</c:v>
                </c:pt>
                <c:pt idx="3">
                  <c:v>transportation</c:v>
                </c:pt>
                <c:pt idx="4">
                  <c:v>school</c:v>
                </c:pt>
                <c:pt idx="5">
                  <c:v>health</c:v>
                </c:pt>
              </c:strCache>
            </c:strRef>
          </c:cat>
          <c:val>
            <c:numRef>
              <c:f>graph_AALeconomic!$E$5:$J$5</c:f>
              <c:numCache>
                <c:formatCode>0.00</c:formatCode>
                <c:ptCount val="6"/>
                <c:pt idx="0">
                  <c:v>56.327998339077297</c:v>
                </c:pt>
                <c:pt idx="1">
                  <c:v>180.32301130247399</c:v>
                </c:pt>
                <c:pt idx="2">
                  <c:v>216.188258158633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8AF-4194-BDA5-84F302B34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89337307896577"/>
          <c:y val="0.47627051052950381"/>
          <c:w val="0.13576115242944095"/>
          <c:h val="0.2990055888395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ANNUAL AVERAGE OF DIRECT ECONOMIC LOSS TO BUILT-UP AREA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463006745270709"/>
          <c:y val="0.28264246862772863"/>
          <c:w val="0.76469090910385484"/>
          <c:h val="0.59390087907580991"/>
        </c:manualLayout>
      </c:layout>
      <c:barChart>
        <c:barDir val="bar"/>
        <c:grouping val="clustered"/>
        <c:varyColors val="0"/>
        <c:ser>
          <c:idx val="1"/>
          <c:order val="0"/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F2C2-4B5B-B520-A7A22CFABA9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F2C2-4B5B-B520-A7A22CFABA9B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F2C2-4B5B-B520-A7A22CFABA9B}"/>
              </c:ext>
            </c:extLst>
          </c:dPt>
          <c:val>
            <c:numRef>
              <c:f>graph_AALbua!$K$3:$K$5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with adaptation</c:v>
                </c15:tx>
              </c15:filteredSeriesTitle>
            </c:ext>
            <c:ext xmlns:c16="http://schemas.microsoft.com/office/drawing/2014/chart" uri="{C3380CC4-5D6E-409C-BE32-E72D297353CC}">
              <c16:uniqueId val="{00000006-F2C2-4B5B-B520-A7A22CFABA9B}"/>
            </c:ext>
          </c:extLst>
        </c:ser>
        <c:ser>
          <c:idx val="0"/>
          <c:order val="1"/>
          <c:invertIfNegative val="0"/>
          <c:dPt>
            <c:idx val="0"/>
            <c:invertIfNegative val="0"/>
            <c:bubble3D val="0"/>
            <c:spPr>
              <a:solidFill>
                <a:srgbClr val="9BC8E2"/>
              </a:solidFill>
              <a:ln>
                <a:solidFill>
                  <a:srgbClr val="9BC8E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2C2-4B5B-B520-A7A22CFABA9B}"/>
              </c:ext>
            </c:extLst>
          </c:dPt>
          <c:dPt>
            <c:idx val="1"/>
            <c:invertIfNegative val="0"/>
            <c:bubble3D val="0"/>
            <c:spPr>
              <a:solidFill>
                <a:srgbClr val="9BC8E2"/>
              </a:solidFill>
              <a:ln>
                <a:solidFill>
                  <a:srgbClr val="9BC8E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2C2-4B5B-B520-A7A22CFABA9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2C2-4B5B-B520-A7A22CFABA9B}"/>
              </c:ext>
            </c:extLst>
          </c:dPt>
          <c:cat>
            <c:strRef>
              <c:f>graph_AALpop!$B$3:$B$5</c:f>
              <c:strCache>
                <c:ptCount val="3"/>
                <c:pt idx="0">
                  <c:v>Future Climate 
SSP585 &amp; SEP</c:v>
                </c:pt>
                <c:pt idx="1">
                  <c:v>Future Climate 
SSP126 &amp; SEP</c:v>
                </c:pt>
                <c:pt idx="2">
                  <c:v>Present Climate</c:v>
                </c:pt>
              </c:strCache>
            </c:strRef>
          </c:cat>
          <c:val>
            <c:numRef>
              <c:f>graph_AALbua!$C$3:$C$5</c:f>
              <c:numCache>
                <c:formatCode>0.00</c:formatCode>
                <c:ptCount val="3"/>
                <c:pt idx="0">
                  <c:v>10474120397.274181</c:v>
                </c:pt>
                <c:pt idx="1">
                  <c:v>3249829850.9056749</c:v>
                </c:pt>
                <c:pt idx="2">
                  <c:v>452839267.80018431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2C2-4B5B-B520-A7A22CFAB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5"/>
        <c:axId val="666750368"/>
        <c:axId val="272934848"/>
      </c:barChart>
      <c:catAx>
        <c:axId val="666750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4848"/>
        <c:crosses val="autoZero"/>
        <c:auto val="1"/>
        <c:lblAlgn val="r"/>
        <c:lblOffset val="100"/>
        <c:noMultiLvlLbl val="0"/>
      </c:catAx>
      <c:valAx>
        <c:axId val="272934848"/>
        <c:scaling>
          <c:orientation val="minMax"/>
          <c:max val="120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50368"/>
        <c:crosses val="autoZero"/>
        <c:crossBetween val="between"/>
        <c:majorUnit val="2000000000"/>
        <c:minorUnit val="1000000000"/>
        <c:dispUnits>
          <c:builtInUnit val="millions"/>
          <c:dispUnitsLbl>
            <c:layout>
              <c:manualLayout>
                <c:xMode val="edge"/>
                <c:yMode val="edge"/>
                <c:x val="0.10462576532148649"/>
                <c:y val="0.89432134570992261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MilLION$/y</a:t>
                  </a:r>
                </a:p>
              </c:rich>
            </c:tx>
            <c:spPr>
              <a:solidFill>
                <a:schemeClr val="bg1"/>
              </a:solidFill>
              <a:ln>
                <a:noFill/>
              </a:ln>
              <a:effectLst/>
            </c:spPr>
          </c:dispUnitsLbl>
        </c:dispUnits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cap="none" baseline="0">
                <a:effectLst/>
              </a:rPr>
              <a:t>PROPORTION OF THE DIFFERENT SECTORS TO BUILT-UP AREA ECONOMIC LOSS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642554457706279"/>
          <c:y val="0.29111810178471514"/>
          <c:w val="0.52580141182355467"/>
          <c:h val="0.6726280872831907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2C-4E8D-97CE-C36C6478095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2C-4E8D-97CE-C36C6478095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82C-4E8D-97CE-C36C64780950}"/>
              </c:ext>
            </c:extLst>
          </c:dPt>
          <c:dLbls>
            <c:dLbl>
              <c:idx val="0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089506555875181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82C-4E8D-97CE-C36C64780950}"/>
                </c:ext>
              </c:extLst>
            </c:dLbl>
            <c:dLbl>
              <c:idx val="1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089506555875181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82C-4E8D-97CE-C36C64780950}"/>
                </c:ext>
              </c:extLst>
            </c:dLbl>
            <c:dLbl>
              <c:idx val="2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089506555875181E-2"/>
                      <c:h val="8.2638169559752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82C-4E8D-97CE-C36C647809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none" lIns="38100" tIns="19050" rIns="38100" bIns="19050" anchor="b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graph_AALbua!$E$2:$G$2</c:f>
              <c:strCache>
                <c:ptCount val="3"/>
                <c:pt idx="0">
                  <c:v>housing</c:v>
                </c:pt>
                <c:pt idx="1">
                  <c:v>service</c:v>
                </c:pt>
                <c:pt idx="2">
                  <c:v>industrial</c:v>
                </c:pt>
              </c:strCache>
            </c:strRef>
          </c:cat>
          <c:val>
            <c:numRef>
              <c:f>graph_AALbua!$E$5:$G$5</c:f>
              <c:numCache>
                <c:formatCode>0.00</c:formatCode>
                <c:ptCount val="3"/>
                <c:pt idx="0">
                  <c:v>56.327998339077297</c:v>
                </c:pt>
                <c:pt idx="1">
                  <c:v>180.32301130247399</c:v>
                </c:pt>
                <c:pt idx="2">
                  <c:v>216.188258158633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82C-4E8D-97CE-C36C64780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89337307896577"/>
          <c:y val="0.47627051052950381"/>
          <c:w val="0.13576115242944095"/>
          <c:h val="0.2990055888395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PROBABLE MAXIMUM</a:t>
            </a:r>
            <a:r>
              <a:rPr lang="en-US" sz="1400" b="1" i="0" cap="all" baseline="0">
                <a:effectLst/>
              </a:rPr>
              <a:t> AFFECTED PEOPLE </a:t>
            </a:r>
            <a:endParaRPr lang="en-US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b="1" cap="all" spc="150" normalizeH="0">
                <a:solidFill>
                  <a:sysClr val="windowText" lastClr="000000">
                    <a:lumMod val="50000"/>
                    <a:lumOff val="50000"/>
                  </a:sysClr>
                </a:solidFill>
              </a:defRPr>
            </a:pPr>
            <a:endParaRPr lang="en-US" sz="1400" b="1" i="0" u="none" strike="noStrike" kern="1200" cap="all" spc="150" normalizeH="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400" b="1" i="0" u="none" strike="noStrike" kern="1200" cap="all" spc="150" normalizeH="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graph_PMLpop!$P$3</c:f>
              <c:strCache>
                <c:ptCount val="1"/>
                <c:pt idx="0">
                  <c:v>POP 2020 - Current Climate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graph_PMLpop!$Q$2:$W$2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</c:numCache>
            </c:numRef>
          </c:xVal>
          <c:yVal>
            <c:numRef>
              <c:f>graph_PMLpop!$Q$3:$W$3</c:f>
              <c:numCache>
                <c:formatCode>0</c:formatCode>
                <c:ptCount val="7"/>
                <c:pt idx="0">
                  <c:v>215654.80712890599</c:v>
                </c:pt>
                <c:pt idx="1">
                  <c:v>356854.05899047898</c:v>
                </c:pt>
                <c:pt idx="2">
                  <c:v>411510.74822235102</c:v>
                </c:pt>
                <c:pt idx="3">
                  <c:v>532600.57203674305</c:v>
                </c:pt>
                <c:pt idx="4">
                  <c:v>607229.85278701806</c:v>
                </c:pt>
                <c:pt idx="5">
                  <c:v>688797.21415710496</c:v>
                </c:pt>
                <c:pt idx="6">
                  <c:v>707243.96799087501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AD-48DB-A1B9-64E7D4B65036}"/>
            </c:ext>
          </c:extLst>
        </c:ser>
        <c:ser>
          <c:idx val="5"/>
          <c:order val="1"/>
          <c:tx>
            <c:v> </c:v>
          </c:tx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13-35AD-48DB-A1B9-64E7D4B65036}"/>
            </c:ext>
          </c:extLst>
        </c:ser>
        <c:ser>
          <c:idx val="0"/>
          <c:order val="2"/>
          <c:tx>
            <c:strRef>
              <c:f>graph_PMLpop!$P$4</c:f>
              <c:strCache>
                <c:ptCount val="1"/>
                <c:pt idx="0">
                  <c:v>POP 2050 - SSP 126 - Projected</c:v>
                </c:pt>
              </c:strCache>
            </c:strRef>
          </c:tx>
          <c:spPr>
            <a:ln w="25400" cap="rnd">
              <a:solidFill>
                <a:srgbClr val="00B0F0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graph_PMLpop!$Q$2:$W$2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</c:numCache>
            </c:numRef>
          </c:xVal>
          <c:yVal>
            <c:numRef>
              <c:f>graph_PMLpop!$Q$4:$W$4</c:f>
              <c:numCache>
                <c:formatCode>0</c:formatCode>
                <c:ptCount val="7"/>
                <c:pt idx="0">
                  <c:v>482527.159194946</c:v>
                </c:pt>
                <c:pt idx="1">
                  <c:v>765305.45275878895</c:v>
                </c:pt>
                <c:pt idx="2">
                  <c:v>914190.04852676403</c:v>
                </c:pt>
                <c:pt idx="3">
                  <c:v>1178543.5332093199</c:v>
                </c:pt>
                <c:pt idx="4">
                  <c:v>1373504.8361515999</c:v>
                </c:pt>
                <c:pt idx="5">
                  <c:v>1572703.47485209</c:v>
                </c:pt>
                <c:pt idx="6">
                  <c:v>1874093.1532807399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AD-48DB-A1B9-64E7D4B65036}"/>
            </c:ext>
          </c:extLst>
        </c:ser>
        <c:ser>
          <c:idx val="2"/>
          <c:order val="3"/>
          <c:tx>
            <c:strRef>
              <c:f>graph_PMLpop!$P$5</c:f>
              <c:strCache>
                <c:ptCount val="1"/>
                <c:pt idx="0">
                  <c:v>POP 2050 - SSP 126 - Mitigated</c:v>
                </c:pt>
              </c:strCache>
            </c:strRef>
          </c:tx>
          <c:spPr>
            <a:ln w="25400" cap="rnd">
              <a:solidFill>
                <a:schemeClr val="accent3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graph_PMLpop!$Q$2:$W$2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</c:numCache>
            </c:numRef>
          </c:xVal>
          <c:yVal>
            <c:numRef>
              <c:f>graph_PMLpop!$Q$5:$W$5</c:f>
              <c:numCache>
                <c:formatCode>0</c:formatCode>
                <c:ptCount val="7"/>
                <c:pt idx="0">
                  <c:v>334522.897109985</c:v>
                </c:pt>
                <c:pt idx="1">
                  <c:v>545188.48959446</c:v>
                </c:pt>
                <c:pt idx="2">
                  <c:v>661415.42104673397</c:v>
                </c:pt>
                <c:pt idx="3">
                  <c:v>865920.37583494198</c:v>
                </c:pt>
                <c:pt idx="4">
                  <c:v>1026381.53594065</c:v>
                </c:pt>
                <c:pt idx="5">
                  <c:v>1233181.4341111199</c:v>
                </c:pt>
                <c:pt idx="6">
                  <c:v>1587844.1795415899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AD-48DB-A1B9-64E7D4B65036}"/>
            </c:ext>
          </c:extLst>
        </c:ser>
        <c:ser>
          <c:idx val="3"/>
          <c:order val="4"/>
          <c:tx>
            <c:strRef>
              <c:f>graph_PMLpop!$P$6</c:f>
              <c:strCache>
                <c:ptCount val="1"/>
                <c:pt idx="0">
                  <c:v>POP 2050 - SSP 585 - Projected</c:v>
                </c:pt>
              </c:strCache>
            </c:strRef>
          </c:tx>
          <c:spPr>
            <a:ln w="25400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graph_PMLpop!$Q$2:$W$2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</c:numCache>
            </c:numRef>
          </c:xVal>
          <c:yVal>
            <c:numRef>
              <c:f>graph_PMLpop!$Q$6:$W$6</c:f>
              <c:numCache>
                <c:formatCode>0</c:formatCode>
                <c:ptCount val="7"/>
                <c:pt idx="0">
                  <c:v>1090938.3160667401</c:v>
                </c:pt>
                <c:pt idx="1">
                  <c:v>1709206.24098396</c:v>
                </c:pt>
                <c:pt idx="2">
                  <c:v>2433346.0362815899</c:v>
                </c:pt>
                <c:pt idx="3">
                  <c:v>2707529.8384666401</c:v>
                </c:pt>
                <c:pt idx="4">
                  <c:v>3432323.06270409</c:v>
                </c:pt>
                <c:pt idx="5">
                  <c:v>3705143.2761402102</c:v>
                </c:pt>
                <c:pt idx="6">
                  <c:v>3918848.3908805801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5AD-48DB-A1B9-64E7D4B65036}"/>
            </c:ext>
          </c:extLst>
        </c:ser>
        <c:ser>
          <c:idx val="4"/>
          <c:order val="5"/>
          <c:tx>
            <c:strRef>
              <c:f>graph_PMLpop!$P$7</c:f>
              <c:strCache>
                <c:ptCount val="1"/>
                <c:pt idx="0">
                  <c:v>POP 2050 - SSP 585 - Mitigated</c:v>
                </c:pt>
              </c:strCache>
            </c:strRef>
          </c:tx>
          <c:spPr>
            <a:ln w="25400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6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35AD-48DB-A1B9-64E7D4B65036}"/>
              </c:ext>
            </c:extLst>
          </c:dPt>
          <c:xVal>
            <c:numRef>
              <c:f>graph_PMLpop!$Q$2:$W$2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250</c:v>
                </c:pt>
              </c:numCache>
            </c:numRef>
          </c:xVal>
          <c:yVal>
            <c:numRef>
              <c:f>graph_PMLpop!$Q$7:$W$7</c:f>
              <c:numCache>
                <c:formatCode>0</c:formatCode>
                <c:ptCount val="7"/>
                <c:pt idx="0">
                  <c:v>775319.77493286098</c:v>
                </c:pt>
                <c:pt idx="1">
                  <c:v>1295190.11209106</c:v>
                </c:pt>
                <c:pt idx="2">
                  <c:v>2063402.6722083101</c:v>
                </c:pt>
                <c:pt idx="3">
                  <c:v>2335126.4179968801</c:v>
                </c:pt>
                <c:pt idx="4">
                  <c:v>2938883.5381164602</c:v>
                </c:pt>
                <c:pt idx="5">
                  <c:v>3230913.82177734</c:v>
                </c:pt>
                <c:pt idx="6">
                  <c:v>3363531.6568298298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5AD-48DB-A1B9-64E7D4B65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750368"/>
        <c:axId val="272934848"/>
      </c:scatterChart>
      <c:valAx>
        <c:axId val="666750368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 Period [Years]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4848"/>
        <c:crosses val="autoZero"/>
        <c:crossBetween val="midCat"/>
      </c:valAx>
      <c:valAx>
        <c:axId val="2729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K-People affected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50368"/>
        <c:crosses val="autoZero"/>
        <c:crossBetween val="midCat"/>
        <c:majorUnit val="1000000"/>
        <c:minorUnit val="500000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9007471853565112E-2"/>
          <c:y val="0.83407297559295079"/>
          <c:w val="0.86054013055628764"/>
          <c:h val="0.142910154424659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PROBABLE MAXIMUM LOSS CURVE DIRECT ECONOMIC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150" normalizeH="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Present Climate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graph_PMLeco!$B$4:$B$7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graph_PMLeco!$I$4:$I$7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26-401C-A391-231C567CFD2A}"/>
            </c:ext>
          </c:extLst>
        </c:ser>
        <c:ser>
          <c:idx val="5"/>
          <c:order val="1"/>
          <c:tx>
            <c:v> </c:v>
          </c:tx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8-EF26-401C-A391-231C567CFD2A}"/>
            </c:ext>
          </c:extLst>
        </c:ser>
        <c:ser>
          <c:idx val="0"/>
          <c:order val="2"/>
          <c:tx>
            <c:v>Future Climate SSP126</c:v>
          </c:tx>
          <c:spPr>
            <a:ln w="25400" cap="rnd">
              <a:solidFill>
                <a:srgbClr val="00B0F0"/>
              </a:solidFill>
              <a:prstDash val="lgDashDot"/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5400" cap="rnd">
                <a:solidFill>
                  <a:srgbClr val="00B0F0"/>
                </a:solidFill>
                <a:prstDash val="lgDash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26-401C-A391-231C567CFD2A}"/>
              </c:ext>
            </c:extLst>
          </c:dPt>
          <c:xVal>
            <c:numRef>
              <c:f>graph_PMLeco!$B$4:$B$7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graph_PMLeco!$P$4:$P$7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26-401C-A391-231C567CFD2A}"/>
            </c:ext>
          </c:extLst>
        </c:ser>
        <c:ser>
          <c:idx val="3"/>
          <c:order val="3"/>
          <c:tx>
            <c:v>Future Climate SSP126 - with adaptation</c:v>
          </c:tx>
          <c:spPr>
            <a:ln w="25400" cap="rnd">
              <a:solidFill>
                <a:schemeClr val="bg1">
                  <a:lumMod val="75000"/>
                </a:schemeClr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graph_PMLeco!$B$10:$B$13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graph_PMLeco!$P$10:$P$13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F26-401C-A391-231C567CFD2A}"/>
            </c:ext>
          </c:extLst>
        </c:ser>
        <c:ser>
          <c:idx val="2"/>
          <c:order val="4"/>
          <c:tx>
            <c:v>Future Climate SSP585</c:v>
          </c:tx>
          <c:spPr>
            <a:ln w="25400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graph_PMLeco!$B$4:$B$7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graph_PMLeco!$W$4:$W$7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F26-401C-A391-231C567CFD2A}"/>
            </c:ext>
          </c:extLst>
        </c:ser>
        <c:ser>
          <c:idx val="4"/>
          <c:order val="5"/>
          <c:tx>
            <c:v>Future Climate SSP585 - with adaptation</c:v>
          </c:tx>
          <c:spPr>
            <a:ln w="25400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graph_PMLeco!$B$10:$B$13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graph_PMLeco!$W$10:$W$13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F26-401C-A391-231C567CF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750368"/>
        <c:axId val="272934848"/>
      </c:scatterChart>
      <c:valAx>
        <c:axId val="666750368"/>
        <c:scaling>
          <c:orientation val="minMax"/>
          <c:max val="21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 Period [Years]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4848"/>
        <c:crosses val="max"/>
        <c:crossBetween val="midCat"/>
      </c:valAx>
      <c:valAx>
        <c:axId val="2729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 [Million$]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50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816086045161313E-2"/>
          <c:y val="0.860254981482515"/>
          <c:w val="0.91709900805122757"/>
          <c:h val="0.139745096138949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5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PROBABLE MAXIMUM LOSS CURVE DIRECT ECONOMIC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150" normalizeH="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Present Climate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graph_PMLbua!$B$4:$B$7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graph_PMLbua!$F$4:$F$7</c:f>
              <c:numCache>
                <c:formatCode>General</c:formatCode>
                <c:ptCount val="4"/>
                <c:pt idx="0">
                  <c:v>748.25362079668957</c:v>
                </c:pt>
                <c:pt idx="1">
                  <c:v>864.20019593732798</c:v>
                </c:pt>
                <c:pt idx="2">
                  <c:v>1185.5713828453509</c:v>
                </c:pt>
                <c:pt idx="3">
                  <c:v>1232.9113150392859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3F-4ED5-8E94-7E032FD08446}"/>
            </c:ext>
          </c:extLst>
        </c:ser>
        <c:ser>
          <c:idx val="5"/>
          <c:order val="1"/>
          <c:tx>
            <c:v> </c:v>
          </c:tx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53F-4ED5-8E94-7E032FD08446}"/>
            </c:ext>
          </c:extLst>
        </c:ser>
        <c:ser>
          <c:idx val="0"/>
          <c:order val="2"/>
          <c:tx>
            <c:v>Future Climate SSP126</c:v>
          </c:tx>
          <c:spPr>
            <a:ln w="25400" cap="rnd">
              <a:solidFill>
                <a:srgbClr val="9BC8E2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graph_PMLbua!$B$4:$B$7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graph_PMLbua!$J$4:$J$7</c:f>
              <c:numCache>
                <c:formatCode>General</c:formatCode>
                <c:ptCount val="4"/>
                <c:pt idx="0">
                  <c:v>7842.3946926421568</c:v>
                </c:pt>
                <c:pt idx="1">
                  <c:v>10387.29183281933</c:v>
                </c:pt>
                <c:pt idx="2">
                  <c:v>11523.75308439336</c:v>
                </c:pt>
                <c:pt idx="3">
                  <c:v>11753.211055216761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53F-4ED5-8E94-7E032FD08446}"/>
            </c:ext>
          </c:extLst>
        </c:ser>
        <c:ser>
          <c:idx val="3"/>
          <c:order val="3"/>
          <c:tx>
            <c:v>Future Climate SSP126 - with adaptation</c:v>
          </c:tx>
          <c:spPr>
            <a:ln w="25400" cap="rnd">
              <a:solidFill>
                <a:schemeClr val="bg1">
                  <a:lumMod val="75000"/>
                </a:schemeClr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graph_PMLbua!$B$10:$B$13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graph_PMLbua!$J$10:$J$13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53F-4ED5-8E94-7E032FD08446}"/>
            </c:ext>
          </c:extLst>
        </c:ser>
        <c:ser>
          <c:idx val="2"/>
          <c:order val="4"/>
          <c:tx>
            <c:v>Future Climate SSP585</c:v>
          </c:tx>
          <c:spPr>
            <a:ln w="25400" cap="rnd">
              <a:solidFill>
                <a:srgbClr val="9BC8E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graph_PMLbua!$B$4:$B$7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graph_PMLbua!$N$4:$N$7</c:f>
              <c:numCache>
                <c:formatCode>General</c:formatCode>
                <c:ptCount val="4"/>
                <c:pt idx="0">
                  <c:v>12229.561480880009</c:v>
                </c:pt>
                <c:pt idx="1">
                  <c:v>14047.39071054594</c:v>
                </c:pt>
                <c:pt idx="2">
                  <c:v>17806.712127696272</c:v>
                </c:pt>
                <c:pt idx="3">
                  <c:v>18477.765828511881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53F-4ED5-8E94-7E032FD08446}"/>
            </c:ext>
          </c:extLst>
        </c:ser>
        <c:ser>
          <c:idx val="4"/>
          <c:order val="5"/>
          <c:tx>
            <c:v>Future Climate SSP585 - with adaptation</c:v>
          </c:tx>
          <c:spPr>
            <a:ln w="25400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graph_PMLbua!$B$10:$B$13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100</c:v>
                </c:pt>
                <c:pt idx="3">
                  <c:v>200</c:v>
                </c:pt>
              </c:numCache>
            </c:numRef>
          </c:xVal>
          <c:yVal>
            <c:numRef>
              <c:f>graph_PMLbua!$N$10:$N$13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53F-4ED5-8E94-7E032FD08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750368"/>
        <c:axId val="272934848"/>
      </c:scatterChart>
      <c:valAx>
        <c:axId val="666750368"/>
        <c:scaling>
          <c:orientation val="minMax"/>
          <c:max val="21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 Period [Years]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4848"/>
        <c:crosses val="max"/>
        <c:crossBetween val="midCat"/>
      </c:valAx>
      <c:valAx>
        <c:axId val="2729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 [Million$]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50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816086045161313E-2"/>
          <c:y val="0.860254981482515"/>
          <c:w val="0.91260101665230797"/>
          <c:h val="0.139745096138949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54806</xdr:colOff>
      <xdr:row>5</xdr:row>
      <xdr:rowOff>168074</xdr:rowOff>
    </xdr:from>
    <xdr:to>
      <xdr:col>4</xdr:col>
      <xdr:colOff>1055688</xdr:colOff>
      <xdr:row>20</xdr:row>
      <xdr:rowOff>26458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5F3A2F4-286B-49DE-A03A-3A6CD8331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697745</xdr:colOff>
      <xdr:row>8</xdr:row>
      <xdr:rowOff>64887</xdr:rowOff>
    </xdr:from>
    <xdr:to>
      <xdr:col>5</xdr:col>
      <xdr:colOff>579439</xdr:colOff>
      <xdr:row>22</xdr:row>
      <xdr:rowOff>105833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9F5A79A-EB1E-4273-A84B-4749F90F3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182562</xdr:colOff>
      <xdr:row>8</xdr:row>
      <xdr:rowOff>96841</xdr:rowOff>
    </xdr:from>
    <xdr:to>
      <xdr:col>17</xdr:col>
      <xdr:colOff>508000</xdr:colOff>
      <xdr:row>32</xdr:row>
      <xdr:rowOff>79376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B2737AE-E1AD-4F5B-B9A2-57E089D4FB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697745</xdr:colOff>
      <xdr:row>8</xdr:row>
      <xdr:rowOff>64887</xdr:rowOff>
    </xdr:from>
    <xdr:to>
      <xdr:col>5</xdr:col>
      <xdr:colOff>579439</xdr:colOff>
      <xdr:row>22</xdr:row>
      <xdr:rowOff>105833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F34201A-0B75-4FEB-8C62-79EF10FE1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182562</xdr:colOff>
      <xdr:row>8</xdr:row>
      <xdr:rowOff>96841</xdr:rowOff>
    </xdr:from>
    <xdr:to>
      <xdr:col>17</xdr:col>
      <xdr:colOff>508000</xdr:colOff>
      <xdr:row>32</xdr:row>
      <xdr:rowOff>79376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68913A3-CA06-4FFC-A9FF-93499EEE7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784677</xdr:colOff>
      <xdr:row>2</xdr:row>
      <xdr:rowOff>104320</xdr:rowOff>
    </xdr:from>
    <xdr:to>
      <xdr:col>11</xdr:col>
      <xdr:colOff>27214</xdr:colOff>
      <xdr:row>26</xdr:row>
      <xdr:rowOff>9069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D6272DB-D0BA-4400-9256-CFD35B967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14</xdr:row>
      <xdr:rowOff>31749</xdr:rowOff>
    </xdr:from>
    <xdr:to>
      <xdr:col>11</xdr:col>
      <xdr:colOff>462644</xdr:colOff>
      <xdr:row>37</xdr:row>
      <xdr:rowOff>99785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DF9C19E-6433-44D9-AE8C-C3AAB3BBB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349252</xdr:colOff>
      <xdr:row>2</xdr:row>
      <xdr:rowOff>122464</xdr:rowOff>
    </xdr:from>
    <xdr:to>
      <xdr:col>24</xdr:col>
      <xdr:colOff>526145</xdr:colOff>
      <xdr:row>25</xdr:row>
      <xdr:rowOff>172357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46EA724-DE76-47F7-85AA-FBD0FE223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8271-DC26-4EF4-91FC-4237CF1C3FA0}">
  <dimension ref="A2:I36"/>
  <sheetViews>
    <sheetView tabSelected="1" zoomScale="80" zoomScaleNormal="80" workbookViewId="0">
      <selection activeCell="I7" sqref="I7"/>
    </sheetView>
  </sheetViews>
  <sheetFormatPr defaultColWidth="8.84375" defaultRowHeight="14.6" x14ac:dyDescent="0.4"/>
  <cols>
    <col min="1" max="1" width="9" style="9" bestFit="1" customWidth="1"/>
    <col min="2" max="2" width="9.84375" style="9" customWidth="1"/>
    <col min="3" max="3" width="8.84375" style="9"/>
    <col min="4" max="4" width="8.53515625" style="9" customWidth="1"/>
    <col min="5" max="16384" width="8.84375" style="9"/>
  </cols>
  <sheetData>
    <row r="2" spans="1:9" x14ac:dyDescent="0.4">
      <c r="A2" s="18" t="s">
        <v>0</v>
      </c>
      <c r="B2" s="18"/>
    </row>
    <row r="3" spans="1:9" s="18" customFormat="1" x14ac:dyDescent="0.4"/>
    <row r="4" spans="1:9" s="18" customFormat="1" x14ac:dyDescent="0.4">
      <c r="A4" s="37"/>
      <c r="B4" s="84"/>
      <c r="C4" s="84"/>
      <c r="D4" s="84"/>
    </row>
    <row r="5" spans="1:9" s="43" customFormat="1" ht="12" x14ac:dyDescent="0.35">
      <c r="A5" s="38"/>
      <c r="B5" s="39" t="s">
        <v>2</v>
      </c>
      <c r="C5" s="39" t="s">
        <v>74</v>
      </c>
      <c r="D5" s="39" t="s">
        <v>75</v>
      </c>
      <c r="E5" s="43" t="s">
        <v>47</v>
      </c>
    </row>
    <row r="6" spans="1:9" s="18" customFormat="1" x14ac:dyDescent="0.4">
      <c r="A6" s="18">
        <v>10</v>
      </c>
      <c r="B6" s="76">
        <v>92.689411276849498</v>
      </c>
      <c r="C6" s="76">
        <v>298.13221510010902</v>
      </c>
      <c r="D6" s="77">
        <v>357.43199441973098</v>
      </c>
      <c r="E6" s="41">
        <v>880.69006602953584</v>
      </c>
      <c r="F6" s="9"/>
    </row>
    <row r="7" spans="1:9" s="18" customFormat="1" x14ac:dyDescent="0.4">
      <c r="A7" s="18">
        <v>25</v>
      </c>
      <c r="B7" s="77">
        <v>107.724089770874</v>
      </c>
      <c r="C7" s="77">
        <v>344.05970870607399</v>
      </c>
      <c r="D7" s="77">
        <v>412.41639746037998</v>
      </c>
      <c r="E7" s="41">
        <v>1024.9027073523764</v>
      </c>
      <c r="F7" s="9"/>
    </row>
    <row r="8" spans="1:9" s="18" customFormat="1" x14ac:dyDescent="0.4">
      <c r="A8" s="18">
        <v>100</v>
      </c>
      <c r="B8" s="77">
        <v>148.578348790343</v>
      </c>
      <c r="C8" s="77">
        <v>471.64262625479699</v>
      </c>
      <c r="D8" s="77">
        <v>565.35040780021097</v>
      </c>
      <c r="E8" s="41">
        <v>1386.9241298103464</v>
      </c>
      <c r="F8" s="9"/>
    </row>
    <row r="9" spans="1:9" s="18" customFormat="1" x14ac:dyDescent="0.4">
      <c r="A9" s="18">
        <v>200</v>
      </c>
      <c r="B9" s="77">
        <v>154.26320486480299</v>
      </c>
      <c r="C9" s="77">
        <v>490.57679011763298</v>
      </c>
      <c r="D9" s="77">
        <v>588.07132005685003</v>
      </c>
      <c r="E9" s="41">
        <v>1441.2090350071562</v>
      </c>
      <c r="F9" s="9"/>
    </row>
    <row r="10" spans="1:9" s="18" customFormat="1" x14ac:dyDescent="0.4">
      <c r="A10" s="42" t="s">
        <v>76</v>
      </c>
      <c r="B10" s="66">
        <v>56.327998339077297</v>
      </c>
      <c r="C10" s="66">
        <v>180.32301130247399</v>
      </c>
      <c r="D10" s="66">
        <v>216.188258158633</v>
      </c>
      <c r="E10" s="41">
        <v>534.49869795348457</v>
      </c>
      <c r="F10" s="9"/>
      <c r="H10" s="9"/>
      <c r="I10" s="9"/>
    </row>
    <row r="11" spans="1:9" s="18" customFormat="1" x14ac:dyDescent="0.4">
      <c r="E11" s="41"/>
    </row>
    <row r="12" spans="1:9" s="18" customFormat="1" x14ac:dyDescent="0.4">
      <c r="E12" s="41"/>
      <c r="F12" s="9"/>
      <c r="G12" s="9"/>
      <c r="H12" s="9"/>
      <c r="I12" s="9"/>
    </row>
    <row r="13" spans="1:9" s="18" customFormat="1" x14ac:dyDescent="0.4">
      <c r="E13" s="41"/>
    </row>
    <row r="14" spans="1:9" s="18" customFormat="1" x14ac:dyDescent="0.4">
      <c r="A14" s="18" t="s">
        <v>7</v>
      </c>
      <c r="E14" s="41"/>
    </row>
    <row r="15" spans="1:9" s="18" customFormat="1" x14ac:dyDescent="0.4">
      <c r="E15" s="41"/>
    </row>
    <row r="16" spans="1:9" s="18" customFormat="1" x14ac:dyDescent="0.4">
      <c r="A16" s="37"/>
      <c r="B16" s="84"/>
      <c r="C16" s="84"/>
      <c r="D16" s="84"/>
      <c r="E16" s="41"/>
    </row>
    <row r="17" spans="1:5" s="43" customFormat="1" ht="12" x14ac:dyDescent="0.35">
      <c r="A17" s="38"/>
      <c r="B17" s="39" t="s">
        <v>2</v>
      </c>
      <c r="C17" s="39" t="s">
        <v>74</v>
      </c>
      <c r="D17" s="39" t="s">
        <v>75</v>
      </c>
      <c r="E17" s="43" t="s">
        <v>47</v>
      </c>
    </row>
    <row r="18" spans="1:5" s="18" customFormat="1" x14ac:dyDescent="0.4">
      <c r="A18" s="18">
        <v>10</v>
      </c>
      <c r="B18" s="40">
        <v>1462.8131907151701</v>
      </c>
      <c r="C18" s="40">
        <v>4894.3245325472599</v>
      </c>
      <c r="D18" s="41">
        <v>5872.4237576175801</v>
      </c>
      <c r="E18" s="41">
        <v>12511.639196980272</v>
      </c>
    </row>
    <row r="19" spans="1:5" s="18" customFormat="1" x14ac:dyDescent="0.4">
      <c r="A19" s="18">
        <v>25</v>
      </c>
      <c r="B19" s="41">
        <v>1677.4659332276999</v>
      </c>
      <c r="C19" s="41">
        <v>5623.1095868379298</v>
      </c>
      <c r="D19" s="41">
        <v>6746.8151904803099</v>
      </c>
      <c r="E19" s="41">
        <v>14401.087945709096</v>
      </c>
    </row>
    <row r="20" spans="1:5" s="18" customFormat="1" x14ac:dyDescent="0.4">
      <c r="A20" s="18">
        <v>100</v>
      </c>
      <c r="B20" s="41">
        <v>2143.3480454259302</v>
      </c>
      <c r="C20" s="41">
        <v>7125.3363972999496</v>
      </c>
      <c r="D20" s="41">
        <v>8538.0276849703896</v>
      </c>
      <c r="E20" s="41">
        <v>18248.324939774888</v>
      </c>
    </row>
    <row r="21" spans="1:5" s="18" customFormat="1" x14ac:dyDescent="0.4">
      <c r="A21" s="18">
        <v>200</v>
      </c>
      <c r="B21" s="41">
        <v>2210.5223764256002</v>
      </c>
      <c r="C21" s="41">
        <v>7396.5671302158898</v>
      </c>
      <c r="D21" s="41">
        <v>8870.6763218703909</v>
      </c>
      <c r="E21" s="41">
        <v>18937.75952360774</v>
      </c>
    </row>
    <row r="22" spans="1:5" s="18" customFormat="1" x14ac:dyDescent="0.4">
      <c r="A22" s="42" t="s">
        <v>76</v>
      </c>
      <c r="B22" s="66">
        <v>1256.35289811542</v>
      </c>
      <c r="C22" s="66">
        <v>4190.7359482094098</v>
      </c>
      <c r="D22" s="66">
        <v>5027.0315509493503</v>
      </c>
      <c r="E22" s="41">
        <v>10648.898778147697</v>
      </c>
    </row>
    <row r="23" spans="1:5" s="18" customFormat="1" x14ac:dyDescent="0.4">
      <c r="E23" s="41"/>
    </row>
    <row r="24" spans="1:5" s="18" customFormat="1" x14ac:dyDescent="0.4">
      <c r="E24" s="41"/>
    </row>
    <row r="25" spans="1:5" s="18" customFormat="1" x14ac:dyDescent="0.4">
      <c r="E25" s="41"/>
    </row>
    <row r="26" spans="1:5" s="18" customFormat="1" x14ac:dyDescent="0.4">
      <c r="A26" s="18" t="s">
        <v>9</v>
      </c>
      <c r="E26" s="41"/>
    </row>
    <row r="27" spans="1:5" s="18" customFormat="1" x14ac:dyDescent="0.4">
      <c r="E27" s="41"/>
    </row>
    <row r="28" spans="1:5" s="18" customFormat="1" x14ac:dyDescent="0.4">
      <c r="A28" s="37"/>
      <c r="B28" s="84"/>
      <c r="C28" s="84"/>
      <c r="D28" s="84"/>
      <c r="E28" s="41"/>
    </row>
    <row r="29" spans="1:5" s="43" customFormat="1" ht="12" x14ac:dyDescent="0.35">
      <c r="A29" s="38"/>
      <c r="B29" s="39" t="s">
        <v>2</v>
      </c>
      <c r="C29" s="39" t="s">
        <v>74</v>
      </c>
      <c r="D29" s="39" t="s">
        <v>75</v>
      </c>
      <c r="E29" s="43" t="s">
        <v>47</v>
      </c>
    </row>
    <row r="30" spans="1:5" s="18" customFormat="1" x14ac:dyDescent="0.4">
      <c r="A30" s="18">
        <v>10</v>
      </c>
      <c r="B30" s="40">
        <v>943.81881648035699</v>
      </c>
      <c r="C30" s="40">
        <v>3135.8716643242301</v>
      </c>
      <c r="D30" s="41">
        <v>3762.7042118375698</v>
      </c>
      <c r="E30" s="41">
        <v>7973.6488055303425</v>
      </c>
    </row>
    <row r="31" spans="1:5" s="18" customFormat="1" x14ac:dyDescent="0.4">
      <c r="A31" s="18">
        <v>25</v>
      </c>
      <c r="B31" s="41">
        <v>1241.91184000053</v>
      </c>
      <c r="C31" s="41">
        <v>4157.1924606183602</v>
      </c>
      <c r="D31" s="41">
        <v>4988.1875322004398</v>
      </c>
      <c r="E31" s="41">
        <v>10566.446653451003</v>
      </c>
    </row>
    <row r="32" spans="1:5" s="18" customFormat="1" x14ac:dyDescent="0.4">
      <c r="A32" s="18">
        <v>100</v>
      </c>
      <c r="B32" s="41">
        <v>1382.5573317977</v>
      </c>
      <c r="C32" s="41">
        <v>4610.7650599812396</v>
      </c>
      <c r="D32" s="41">
        <v>5530.43069261442</v>
      </c>
      <c r="E32" s="41">
        <v>11737.241915786628</v>
      </c>
    </row>
    <row r="33" spans="1:6" s="18" customFormat="1" x14ac:dyDescent="0.4">
      <c r="A33" s="18">
        <v>200</v>
      </c>
      <c r="B33" s="41">
        <v>1410.0363313963701</v>
      </c>
      <c r="C33" s="41">
        <v>4703.0830657444003</v>
      </c>
      <c r="D33" s="41">
        <v>5640.0916580759904</v>
      </c>
      <c r="E33" s="41">
        <v>11982.570533903909</v>
      </c>
    </row>
    <row r="34" spans="1:6" s="18" customFormat="1" x14ac:dyDescent="0.4">
      <c r="A34" s="42" t="s">
        <v>76</v>
      </c>
      <c r="B34" s="66">
        <v>392.61409517304497</v>
      </c>
      <c r="C34" s="66">
        <v>1299.37693434927</v>
      </c>
      <c r="D34" s="66">
        <v>1557.83882138336</v>
      </c>
      <c r="E34" s="41">
        <v>3315.8298804681922</v>
      </c>
      <c r="F34" s="41"/>
    </row>
    <row r="35" spans="1:6" s="18" customFormat="1" x14ac:dyDescent="0.4">
      <c r="E35" s="41"/>
    </row>
    <row r="36" spans="1:6" s="18" customFormat="1" x14ac:dyDescent="0.4">
      <c r="E36" s="4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70F9-607F-47CF-A282-A792C3DF1062}">
  <dimension ref="A2:G62"/>
  <sheetViews>
    <sheetView workbookViewId="0">
      <selection activeCell="A40" sqref="A40"/>
    </sheetView>
  </sheetViews>
  <sheetFormatPr defaultColWidth="8.84375" defaultRowHeight="14.6" x14ac:dyDescent="0.4"/>
  <cols>
    <col min="2" max="2" width="9.84375" customWidth="1"/>
    <col min="3" max="3" width="10.3828125" customWidth="1"/>
  </cols>
  <sheetData>
    <row r="2" spans="1:7" x14ac:dyDescent="0.4">
      <c r="A2" s="1" t="s">
        <v>0</v>
      </c>
    </row>
    <row r="3" spans="1:7" s="1" customFormat="1" x14ac:dyDescent="0.4"/>
    <row r="4" spans="1:7" s="1" customFormat="1" x14ac:dyDescent="0.4">
      <c r="A4" s="2" t="s">
        <v>1</v>
      </c>
      <c r="B4" s="85" t="s">
        <v>10</v>
      </c>
      <c r="C4" s="85"/>
      <c r="D4" s="85" t="s">
        <v>11</v>
      </c>
      <c r="E4" s="85"/>
      <c r="F4" s="85" t="s">
        <v>12</v>
      </c>
      <c r="G4" s="85"/>
    </row>
    <row r="5" spans="1:7" s="6" customFormat="1" ht="24" x14ac:dyDescent="0.35">
      <c r="A5" s="3"/>
      <c r="B5" s="4" t="s">
        <v>3</v>
      </c>
      <c r="C5" s="5" t="s">
        <v>4</v>
      </c>
      <c r="D5" s="4" t="s">
        <v>3</v>
      </c>
      <c r="E5" s="5" t="s">
        <v>4</v>
      </c>
      <c r="F5" s="4" t="s">
        <v>3</v>
      </c>
      <c r="G5" s="5" t="s">
        <v>4</v>
      </c>
    </row>
    <row r="6" spans="1:7" s="1" customFormat="1" x14ac:dyDescent="0.4">
      <c r="A6" s="1">
        <v>10</v>
      </c>
      <c r="B6" s="7"/>
      <c r="C6" s="7"/>
    </row>
    <row r="7" spans="1:7" s="1" customFormat="1" x14ac:dyDescent="0.4">
      <c r="A7" s="1">
        <v>25</v>
      </c>
    </row>
    <row r="8" spans="1:7" s="1" customFormat="1" x14ac:dyDescent="0.4">
      <c r="A8" s="1">
        <v>100</v>
      </c>
    </row>
    <row r="9" spans="1:7" s="1" customFormat="1" x14ac:dyDescent="0.4">
      <c r="A9" s="1">
        <v>200</v>
      </c>
    </row>
    <row r="10" spans="1:7" s="1" customFormat="1" x14ac:dyDescent="0.4">
      <c r="A10" s="8" t="s">
        <v>5</v>
      </c>
      <c r="B10" s="8"/>
      <c r="C10" s="8"/>
      <c r="D10" s="8"/>
      <c r="E10" s="8"/>
      <c r="F10" s="8"/>
      <c r="G10" s="8"/>
    </row>
    <row r="11" spans="1:7" s="1" customFormat="1" x14ac:dyDescent="0.4"/>
    <row r="12" spans="1:7" s="1" customFormat="1" x14ac:dyDescent="0.4"/>
    <row r="13" spans="1:7" s="1" customFormat="1" x14ac:dyDescent="0.4">
      <c r="A13" s="1" t="s">
        <v>6</v>
      </c>
    </row>
    <row r="14" spans="1:7" s="1" customFormat="1" x14ac:dyDescent="0.4"/>
    <row r="15" spans="1:7" s="1" customFormat="1" x14ac:dyDescent="0.4">
      <c r="A15" s="2" t="s">
        <v>1</v>
      </c>
      <c r="B15" s="85" t="s">
        <v>10</v>
      </c>
      <c r="C15" s="85"/>
      <c r="D15" s="85" t="s">
        <v>11</v>
      </c>
      <c r="E15" s="85"/>
      <c r="F15" s="85" t="s">
        <v>12</v>
      </c>
      <c r="G15" s="85"/>
    </row>
    <row r="16" spans="1:7" s="6" customFormat="1" ht="24" x14ac:dyDescent="0.35">
      <c r="A16" s="3"/>
      <c r="B16" s="4" t="s">
        <v>3</v>
      </c>
      <c r="C16" s="5" t="s">
        <v>4</v>
      </c>
      <c r="D16" s="4" t="s">
        <v>3</v>
      </c>
      <c r="E16" s="5" t="s">
        <v>4</v>
      </c>
      <c r="F16" s="4" t="s">
        <v>3</v>
      </c>
      <c r="G16" s="5" t="s">
        <v>4</v>
      </c>
    </row>
    <row r="17" spans="1:7" s="1" customFormat="1" x14ac:dyDescent="0.4">
      <c r="A17" s="1">
        <v>10</v>
      </c>
      <c r="B17" s="7"/>
      <c r="C17" s="7"/>
    </row>
    <row r="18" spans="1:7" s="1" customFormat="1" x14ac:dyDescent="0.4">
      <c r="A18" s="1">
        <v>25</v>
      </c>
    </row>
    <row r="19" spans="1:7" s="1" customFormat="1" x14ac:dyDescent="0.4">
      <c r="A19" s="1">
        <v>100</v>
      </c>
    </row>
    <row r="20" spans="1:7" s="1" customFormat="1" x14ac:dyDescent="0.4">
      <c r="A20" s="1">
        <v>200</v>
      </c>
    </row>
    <row r="21" spans="1:7" s="1" customFormat="1" x14ac:dyDescent="0.4">
      <c r="A21" s="1">
        <v>500</v>
      </c>
    </row>
    <row r="22" spans="1:7" s="1" customFormat="1" x14ac:dyDescent="0.4">
      <c r="A22" s="1">
        <v>1000</v>
      </c>
    </row>
    <row r="23" spans="1:7" s="1" customFormat="1" x14ac:dyDescent="0.4">
      <c r="A23" s="8" t="s">
        <v>5</v>
      </c>
      <c r="B23" s="8"/>
      <c r="C23" s="8"/>
      <c r="D23" s="8"/>
      <c r="E23" s="8"/>
      <c r="F23" s="8"/>
      <c r="G23" s="8"/>
    </row>
    <row r="24" spans="1:7" s="1" customFormat="1" x14ac:dyDescent="0.4"/>
    <row r="25" spans="1:7" s="1" customFormat="1" x14ac:dyDescent="0.4"/>
    <row r="26" spans="1:7" s="1" customFormat="1" x14ac:dyDescent="0.4">
      <c r="A26" s="1" t="s">
        <v>7</v>
      </c>
    </row>
    <row r="27" spans="1:7" s="1" customFormat="1" x14ac:dyDescent="0.4"/>
    <row r="28" spans="1:7" s="1" customFormat="1" x14ac:dyDescent="0.4">
      <c r="A28" s="2" t="s">
        <v>1</v>
      </c>
      <c r="B28" s="85" t="s">
        <v>10</v>
      </c>
      <c r="C28" s="85"/>
      <c r="D28" s="85" t="s">
        <v>11</v>
      </c>
      <c r="E28" s="85"/>
      <c r="F28" s="85" t="s">
        <v>12</v>
      </c>
      <c r="G28" s="85"/>
    </row>
    <row r="29" spans="1:7" s="6" customFormat="1" ht="24" x14ac:dyDescent="0.35">
      <c r="A29" s="3"/>
      <c r="B29" s="4" t="s">
        <v>3</v>
      </c>
      <c r="C29" s="5" t="s">
        <v>4</v>
      </c>
      <c r="D29" s="4" t="s">
        <v>3</v>
      </c>
      <c r="E29" s="5" t="s">
        <v>4</v>
      </c>
      <c r="F29" s="4" t="s">
        <v>3</v>
      </c>
      <c r="G29" s="5" t="s">
        <v>4</v>
      </c>
    </row>
    <row r="30" spans="1:7" s="1" customFormat="1" x14ac:dyDescent="0.4">
      <c r="A30" s="1">
        <v>10</v>
      </c>
      <c r="B30" s="7"/>
      <c r="C30" s="7"/>
    </row>
    <row r="31" spans="1:7" s="1" customFormat="1" x14ac:dyDescent="0.4">
      <c r="A31" s="1">
        <v>25</v>
      </c>
    </row>
    <row r="32" spans="1:7" s="1" customFormat="1" x14ac:dyDescent="0.4">
      <c r="A32" s="1">
        <v>100</v>
      </c>
    </row>
    <row r="33" spans="1:7" s="1" customFormat="1" x14ac:dyDescent="0.4">
      <c r="A33" s="1">
        <v>200</v>
      </c>
    </row>
    <row r="34" spans="1:7" s="1" customFormat="1" x14ac:dyDescent="0.4">
      <c r="A34" s="1">
        <v>500</v>
      </c>
    </row>
    <row r="35" spans="1:7" s="1" customFormat="1" x14ac:dyDescent="0.4">
      <c r="A35" s="1">
        <v>1000</v>
      </c>
    </row>
    <row r="36" spans="1:7" s="1" customFormat="1" x14ac:dyDescent="0.4">
      <c r="A36" s="8" t="s">
        <v>5</v>
      </c>
      <c r="B36" s="8"/>
      <c r="C36" s="8"/>
      <c r="D36" s="8"/>
      <c r="E36" s="8"/>
      <c r="F36" s="8"/>
      <c r="G36" s="8"/>
    </row>
    <row r="37" spans="1:7" s="1" customFormat="1" x14ac:dyDescent="0.4"/>
    <row r="38" spans="1:7" s="1" customFormat="1" x14ac:dyDescent="0.4"/>
    <row r="39" spans="1:7" s="1" customFormat="1" x14ac:dyDescent="0.4">
      <c r="A39" s="1" t="s">
        <v>8</v>
      </c>
    </row>
    <row r="40" spans="1:7" s="1" customFormat="1" x14ac:dyDescent="0.4"/>
    <row r="41" spans="1:7" s="1" customFormat="1" x14ac:dyDescent="0.4">
      <c r="A41" s="2" t="s">
        <v>1</v>
      </c>
      <c r="B41" s="85" t="s">
        <v>10</v>
      </c>
      <c r="C41" s="85"/>
      <c r="D41" s="85" t="s">
        <v>11</v>
      </c>
      <c r="E41" s="85"/>
      <c r="F41" s="85" t="s">
        <v>12</v>
      </c>
      <c r="G41" s="85"/>
    </row>
    <row r="42" spans="1:7" s="6" customFormat="1" ht="24" x14ac:dyDescent="0.35">
      <c r="A42" s="3"/>
      <c r="B42" s="4" t="s">
        <v>3</v>
      </c>
      <c r="C42" s="5" t="s">
        <v>4</v>
      </c>
      <c r="D42" s="4" t="s">
        <v>3</v>
      </c>
      <c r="E42" s="5" t="s">
        <v>4</v>
      </c>
      <c r="F42" s="4" t="s">
        <v>3</v>
      </c>
      <c r="G42" s="5" t="s">
        <v>4</v>
      </c>
    </row>
    <row r="43" spans="1:7" s="1" customFormat="1" x14ac:dyDescent="0.4">
      <c r="A43" s="1">
        <v>10</v>
      </c>
      <c r="B43" s="7"/>
      <c r="C43" s="7"/>
    </row>
    <row r="44" spans="1:7" s="1" customFormat="1" x14ac:dyDescent="0.4">
      <c r="A44" s="1">
        <v>25</v>
      </c>
    </row>
    <row r="45" spans="1:7" s="1" customFormat="1" x14ac:dyDescent="0.4">
      <c r="A45" s="1">
        <v>100</v>
      </c>
    </row>
    <row r="46" spans="1:7" s="1" customFormat="1" x14ac:dyDescent="0.4">
      <c r="A46" s="1">
        <v>200</v>
      </c>
    </row>
    <row r="47" spans="1:7" s="1" customFormat="1" x14ac:dyDescent="0.4">
      <c r="A47" s="1">
        <v>500</v>
      </c>
    </row>
    <row r="48" spans="1:7" s="1" customFormat="1" x14ac:dyDescent="0.4">
      <c r="A48" s="1">
        <v>1000</v>
      </c>
    </row>
    <row r="49" spans="1:7" s="1" customFormat="1" x14ac:dyDescent="0.4">
      <c r="A49" s="8" t="s">
        <v>5</v>
      </c>
      <c r="B49" s="8"/>
      <c r="C49" s="8"/>
      <c r="D49" s="8"/>
      <c r="E49" s="8"/>
      <c r="F49" s="8"/>
      <c r="G49" s="8"/>
    </row>
    <row r="50" spans="1:7" s="1" customFormat="1" x14ac:dyDescent="0.4"/>
    <row r="52" spans="1:7" s="1" customFormat="1" x14ac:dyDescent="0.4">
      <c r="A52" s="1" t="s">
        <v>9</v>
      </c>
    </row>
    <row r="53" spans="1:7" s="1" customFormat="1" x14ac:dyDescent="0.4"/>
    <row r="54" spans="1:7" s="1" customFormat="1" x14ac:dyDescent="0.4">
      <c r="A54" s="2" t="s">
        <v>1</v>
      </c>
      <c r="B54" s="85" t="s">
        <v>10</v>
      </c>
      <c r="C54" s="85"/>
      <c r="D54" s="85" t="s">
        <v>11</v>
      </c>
      <c r="E54" s="85"/>
      <c r="F54" s="85" t="s">
        <v>12</v>
      </c>
      <c r="G54" s="85"/>
    </row>
    <row r="55" spans="1:7" s="6" customFormat="1" ht="24" x14ac:dyDescent="0.35">
      <c r="A55" s="3"/>
      <c r="B55" s="4" t="s">
        <v>3</v>
      </c>
      <c r="C55" s="5" t="s">
        <v>4</v>
      </c>
      <c r="D55" s="4" t="s">
        <v>3</v>
      </c>
      <c r="E55" s="5" t="s">
        <v>4</v>
      </c>
      <c r="F55" s="4" t="s">
        <v>3</v>
      </c>
      <c r="G55" s="5" t="s">
        <v>4</v>
      </c>
    </row>
    <row r="56" spans="1:7" s="1" customFormat="1" x14ac:dyDescent="0.4">
      <c r="A56" s="1">
        <v>10</v>
      </c>
      <c r="B56" s="7"/>
      <c r="C56" s="7"/>
    </row>
    <row r="57" spans="1:7" s="1" customFormat="1" x14ac:dyDescent="0.4">
      <c r="A57" s="1">
        <v>25</v>
      </c>
    </row>
    <row r="58" spans="1:7" s="1" customFormat="1" x14ac:dyDescent="0.4">
      <c r="A58" s="1">
        <v>100</v>
      </c>
    </row>
    <row r="59" spans="1:7" s="1" customFormat="1" x14ac:dyDescent="0.4">
      <c r="A59" s="1">
        <v>200</v>
      </c>
    </row>
    <row r="60" spans="1:7" s="1" customFormat="1" x14ac:dyDescent="0.4">
      <c r="A60" s="1">
        <v>500</v>
      </c>
    </row>
    <row r="61" spans="1:7" s="1" customFormat="1" x14ac:dyDescent="0.4">
      <c r="A61" s="1">
        <v>1000</v>
      </c>
    </row>
    <row r="62" spans="1:7" s="1" customFormat="1" x14ac:dyDescent="0.4">
      <c r="A62" s="8" t="s">
        <v>5</v>
      </c>
      <c r="B62" s="8"/>
      <c r="C62" s="8"/>
      <c r="D62" s="8"/>
      <c r="E62" s="8"/>
      <c r="F62" s="8"/>
      <c r="G62" s="8"/>
    </row>
  </sheetData>
  <mergeCells count="15">
    <mergeCell ref="B28:C28"/>
    <mergeCell ref="D28:E28"/>
    <mergeCell ref="F28:G28"/>
    <mergeCell ref="B54:C54"/>
    <mergeCell ref="D54:E54"/>
    <mergeCell ref="F54:G54"/>
    <mergeCell ref="B41:C41"/>
    <mergeCell ref="D41:E41"/>
    <mergeCell ref="F41:G41"/>
    <mergeCell ref="B4:C4"/>
    <mergeCell ref="D4:E4"/>
    <mergeCell ref="F4:G4"/>
    <mergeCell ref="B15:C15"/>
    <mergeCell ref="D15:E15"/>
    <mergeCell ref="F15:G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97A5-CDF3-4DBA-921A-71B24020DDF5}">
  <dimension ref="A1:U32"/>
  <sheetViews>
    <sheetView topLeftCell="A11" workbookViewId="0">
      <selection activeCell="L32" sqref="L32"/>
    </sheetView>
  </sheetViews>
  <sheetFormatPr defaultColWidth="8.53515625" defaultRowHeight="14.6" x14ac:dyDescent="0.4"/>
  <cols>
    <col min="1" max="1" width="17.53515625" style="9" customWidth="1"/>
    <col min="2" max="2" width="11.15234375" style="9" bestFit="1" customWidth="1"/>
    <col min="3" max="21" width="10.53515625" style="9" customWidth="1"/>
    <col min="22" max="16384" width="8.53515625" style="9"/>
  </cols>
  <sheetData>
    <row r="1" spans="1:21" x14ac:dyDescent="0.4">
      <c r="A1" s="18"/>
      <c r="B1" s="18"/>
      <c r="C1" s="18"/>
    </row>
    <row r="2" spans="1:21" x14ac:dyDescent="0.4">
      <c r="A2" s="19"/>
      <c r="B2" s="88" t="s">
        <v>13</v>
      </c>
      <c r="C2" s="89"/>
      <c r="D2" s="94" t="s">
        <v>14</v>
      </c>
      <c r="E2" s="93"/>
      <c r="F2" s="93"/>
      <c r="G2" s="93"/>
      <c r="H2" s="93"/>
      <c r="I2" s="93"/>
      <c r="J2" s="93"/>
      <c r="K2" s="93"/>
      <c r="L2" s="93"/>
      <c r="M2" s="95"/>
      <c r="N2" s="93" t="s">
        <v>15</v>
      </c>
      <c r="O2" s="93"/>
      <c r="P2" s="93"/>
      <c r="Q2" s="93"/>
      <c r="R2" s="93"/>
      <c r="S2" s="93"/>
      <c r="T2" s="93"/>
      <c r="U2" s="93"/>
    </row>
    <row r="3" spans="1:21" x14ac:dyDescent="0.4">
      <c r="A3" s="19"/>
      <c r="B3" s="88"/>
      <c r="C3" s="89"/>
      <c r="D3" s="94">
        <v>2050</v>
      </c>
      <c r="E3" s="93"/>
      <c r="F3" s="93"/>
      <c r="G3" s="93"/>
      <c r="H3" s="93"/>
      <c r="I3" s="93"/>
      <c r="J3" s="93"/>
      <c r="K3" s="93"/>
      <c r="L3" s="93"/>
      <c r="M3" s="95"/>
      <c r="N3" s="93">
        <v>2050</v>
      </c>
      <c r="O3" s="93"/>
      <c r="P3" s="93"/>
      <c r="Q3" s="93"/>
      <c r="R3" s="93"/>
      <c r="S3" s="93"/>
      <c r="T3" s="93"/>
      <c r="U3" s="93"/>
    </row>
    <row r="4" spans="1:21" ht="29.15" customHeight="1" x14ac:dyDescent="0.4">
      <c r="A4" s="19"/>
      <c r="B4" s="88"/>
      <c r="C4" s="89"/>
      <c r="D4" s="96" t="s">
        <v>16</v>
      </c>
      <c r="E4" s="97"/>
      <c r="F4" s="97"/>
      <c r="G4" s="98"/>
      <c r="H4" s="45"/>
      <c r="I4" s="45"/>
      <c r="J4" s="97" t="s">
        <v>17</v>
      </c>
      <c r="K4" s="97"/>
      <c r="L4" s="97"/>
      <c r="M4" s="97"/>
      <c r="N4" s="96" t="s">
        <v>16</v>
      </c>
      <c r="O4" s="97"/>
      <c r="P4" s="97"/>
      <c r="Q4" s="98"/>
      <c r="R4" s="97" t="s">
        <v>17</v>
      </c>
      <c r="S4" s="97"/>
      <c r="T4" s="97"/>
      <c r="U4" s="97"/>
    </row>
    <row r="5" spans="1:21" ht="29.15" customHeight="1" x14ac:dyDescent="0.4">
      <c r="A5" s="19"/>
      <c r="B5" s="90"/>
      <c r="C5" s="91"/>
      <c r="D5" s="92" t="s">
        <v>18</v>
      </c>
      <c r="E5" s="86"/>
      <c r="F5" s="86" t="s">
        <v>19</v>
      </c>
      <c r="G5" s="87"/>
      <c r="H5" s="44"/>
      <c r="I5" s="44"/>
      <c r="J5" s="92" t="s">
        <v>18</v>
      </c>
      <c r="K5" s="86"/>
      <c r="L5" s="86" t="s">
        <v>19</v>
      </c>
      <c r="M5" s="87"/>
      <c r="N5" s="92" t="s">
        <v>18</v>
      </c>
      <c r="O5" s="86"/>
      <c r="P5" s="86" t="s">
        <v>19</v>
      </c>
      <c r="Q5" s="87"/>
      <c r="R5" s="92" t="s">
        <v>18</v>
      </c>
      <c r="S5" s="86"/>
      <c r="T5" s="86" t="s">
        <v>19</v>
      </c>
      <c r="U5" s="87"/>
    </row>
    <row r="6" spans="1:21" x14ac:dyDescent="0.4">
      <c r="A6" s="12"/>
      <c r="B6" s="16" t="s">
        <v>20</v>
      </c>
      <c r="C6" s="15" t="s">
        <v>21</v>
      </c>
      <c r="D6" s="15" t="s">
        <v>20</v>
      </c>
      <c r="E6" s="15" t="s">
        <v>21</v>
      </c>
      <c r="F6" s="16" t="s">
        <v>20</v>
      </c>
      <c r="G6" s="15" t="s">
        <v>21</v>
      </c>
      <c r="H6" s="16"/>
      <c r="I6" s="16"/>
      <c r="J6" s="16" t="s">
        <v>20</v>
      </c>
      <c r="K6" s="15" t="s">
        <v>21</v>
      </c>
      <c r="L6" s="16" t="s">
        <v>20</v>
      </c>
      <c r="M6" s="15" t="s">
        <v>21</v>
      </c>
      <c r="N6" s="17" t="s">
        <v>20</v>
      </c>
      <c r="O6" s="15" t="s">
        <v>21</v>
      </c>
      <c r="P6" s="16" t="s">
        <v>20</v>
      </c>
      <c r="Q6" s="15" t="s">
        <v>21</v>
      </c>
      <c r="R6" s="15" t="s">
        <v>20</v>
      </c>
      <c r="S6" s="15" t="s">
        <v>21</v>
      </c>
      <c r="T6" s="16" t="s">
        <v>20</v>
      </c>
      <c r="U6" s="15" t="s">
        <v>21</v>
      </c>
    </row>
    <row r="7" spans="1:21" ht="15.9" x14ac:dyDescent="0.45">
      <c r="A7" s="9" t="s">
        <v>22</v>
      </c>
      <c r="B7" s="26">
        <v>1652.0816199999999</v>
      </c>
      <c r="C7" s="27">
        <v>0.26600132984996305</v>
      </c>
      <c r="D7" s="26">
        <v>2367.8063639730499</v>
      </c>
      <c r="E7" s="20">
        <v>0.38121405692245802</v>
      </c>
      <c r="F7" s="26">
        <v>6162.6237900350798</v>
      </c>
      <c r="G7" s="27">
        <v>0.75458221069790699</v>
      </c>
      <c r="H7" s="20">
        <f>F7/B7</f>
        <v>3.7302175119138967</v>
      </c>
      <c r="I7" s="20"/>
      <c r="J7" s="26">
        <v>6506.8966310650503</v>
      </c>
      <c r="K7" s="27">
        <v>1.0476027518319599</v>
      </c>
      <c r="L7" s="26">
        <v>14726.703959914499</v>
      </c>
      <c r="M7" s="27">
        <v>1.80321064679216</v>
      </c>
      <c r="N7" s="30"/>
      <c r="O7" s="31"/>
      <c r="P7" s="26">
        <v>3346.26376412538</v>
      </c>
      <c r="Q7" s="27">
        <v>0.43806936954629605</v>
      </c>
      <c r="R7" s="30"/>
      <c r="S7" s="31"/>
      <c r="T7" s="26">
        <v>9251.0988660732801</v>
      </c>
      <c r="U7" s="27">
        <v>1.2110889438299899</v>
      </c>
    </row>
    <row r="8" spans="1:21" ht="15.9" x14ac:dyDescent="0.45">
      <c r="A8" s="9" t="s">
        <v>23</v>
      </c>
      <c r="B8" s="26">
        <v>5083.0474899999999</v>
      </c>
      <c r="C8" s="28">
        <v>0.23684657890740654</v>
      </c>
      <c r="D8" s="26">
        <v>4794.8139623654597</v>
      </c>
      <c r="E8" s="20">
        <v>0.22341803372692301</v>
      </c>
      <c r="F8" s="26">
        <v>9107.0335799748791</v>
      </c>
      <c r="G8" s="28">
        <v>0.32548619272908896</v>
      </c>
      <c r="H8" s="82">
        <f t="shared" ref="H8:H30" si="0">F8/B8</f>
        <v>1.7916483365326337</v>
      </c>
      <c r="I8" s="82"/>
      <c r="J8" s="26">
        <v>12259.0567469581</v>
      </c>
      <c r="K8" s="28">
        <v>0.57122015061476095</v>
      </c>
      <c r="L8" s="26">
        <v>23335.7497647583</v>
      </c>
      <c r="M8" s="28">
        <v>0.83402177873938299</v>
      </c>
      <c r="N8" s="30"/>
      <c r="O8" s="31"/>
      <c r="P8" s="26">
        <v>6648.7957494292896</v>
      </c>
      <c r="Q8" s="28">
        <v>0.24695175690501101</v>
      </c>
      <c r="R8" s="30"/>
      <c r="S8" s="31"/>
      <c r="T8" s="26">
        <v>17387.7780095333</v>
      </c>
      <c r="U8" s="28">
        <v>0.64582256546189498</v>
      </c>
    </row>
    <row r="9" spans="1:21" ht="15.9" x14ac:dyDescent="0.45">
      <c r="A9" s="9" t="s">
        <v>24</v>
      </c>
      <c r="B9" s="26">
        <v>23252.328000000001</v>
      </c>
      <c r="C9" s="28">
        <v>6.5307293406516767</v>
      </c>
      <c r="D9" s="26">
        <v>19170.477260744599</v>
      </c>
      <c r="E9" s="20">
        <v>5.3842817456326602</v>
      </c>
      <c r="F9" s="26">
        <v>65423.365410630096</v>
      </c>
      <c r="G9" s="28">
        <v>10.3725810715469</v>
      </c>
      <c r="H9" s="20">
        <f t="shared" si="0"/>
        <v>2.813626464009543</v>
      </c>
      <c r="I9" s="20"/>
      <c r="J9" s="26">
        <v>42717.480610505401</v>
      </c>
      <c r="K9" s="28">
        <v>11.997768649272899</v>
      </c>
      <c r="L9" s="26">
        <v>128551.021788276</v>
      </c>
      <c r="M9" s="28">
        <v>20.381187775345499</v>
      </c>
      <c r="N9" s="30"/>
      <c r="O9" s="31"/>
      <c r="P9" s="26">
        <v>26428.109856597799</v>
      </c>
      <c r="Q9" s="28">
        <v>5.2750073340940098</v>
      </c>
      <c r="R9" s="30"/>
      <c r="S9" s="31"/>
      <c r="T9" s="26">
        <v>59363.963039945098</v>
      </c>
      <c r="U9" s="28">
        <v>11.848949550904701</v>
      </c>
    </row>
    <row r="10" spans="1:21" ht="15.9" x14ac:dyDescent="0.45">
      <c r="A10" s="9" t="s">
        <v>25</v>
      </c>
      <c r="B10" s="26">
        <v>11520.5324</v>
      </c>
      <c r="C10" s="28">
        <v>5.0072904291458258</v>
      </c>
      <c r="D10" s="26">
        <v>14069.5266333293</v>
      </c>
      <c r="E10" s="20">
        <v>6.1150122258087602</v>
      </c>
      <c r="F10" s="26">
        <v>30880.4982811103</v>
      </c>
      <c r="G10" s="28">
        <v>8.1485169976713099</v>
      </c>
      <c r="H10" s="20">
        <f t="shared" si="0"/>
        <v>2.6804749302306812</v>
      </c>
      <c r="I10" s="20"/>
      <c r="J10" s="26">
        <v>38466.425342736598</v>
      </c>
      <c r="K10" s="28">
        <v>16.718590993443499</v>
      </c>
      <c r="L10" s="26">
        <v>83525.124814372</v>
      </c>
      <c r="M10" s="28">
        <v>22.039990841043398</v>
      </c>
      <c r="N10" s="30"/>
      <c r="O10" s="31"/>
      <c r="P10" s="26">
        <v>18853.6644798665</v>
      </c>
      <c r="Q10" s="28">
        <v>5.97117283486413</v>
      </c>
      <c r="R10" s="30"/>
      <c r="S10" s="31"/>
      <c r="T10" s="26">
        <v>50706.484764234898</v>
      </c>
      <c r="U10" s="28">
        <v>16.0593281321507</v>
      </c>
    </row>
    <row r="11" spans="1:21" ht="15.9" x14ac:dyDescent="0.45">
      <c r="A11" s="9" t="s">
        <v>26</v>
      </c>
      <c r="B11" s="26">
        <v>1397.9829400000001</v>
      </c>
      <c r="C11" s="28">
        <v>0.33851369903850437</v>
      </c>
      <c r="D11" s="26">
        <v>1202.5064115477801</v>
      </c>
      <c r="E11" s="20">
        <v>0.29118988892257103</v>
      </c>
      <c r="F11" s="26">
        <v>2287.2041694823502</v>
      </c>
      <c r="G11" s="28">
        <v>0.32850014719876597</v>
      </c>
      <c r="H11" s="20">
        <f t="shared" si="0"/>
        <v>1.6360744498658546</v>
      </c>
      <c r="I11" s="20"/>
      <c r="J11" s="26">
        <v>1887.8665152496101</v>
      </c>
      <c r="K11" s="28">
        <v>0.45715152584392899</v>
      </c>
      <c r="L11" s="26">
        <v>3574.0697536597399</v>
      </c>
      <c r="M11" s="28">
        <v>0.51332646898838408</v>
      </c>
      <c r="N11" s="30"/>
      <c r="O11" s="31"/>
      <c r="P11" s="26">
        <v>1811.5740091339801</v>
      </c>
      <c r="Q11" s="28">
        <v>0.29899003803837598</v>
      </c>
      <c r="R11" s="30"/>
      <c r="S11" s="31"/>
      <c r="T11" s="26">
        <v>2908.29963100029</v>
      </c>
      <c r="U11" s="28">
        <v>0.479998395271448</v>
      </c>
    </row>
    <row r="12" spans="1:21" ht="15.9" x14ac:dyDescent="0.45">
      <c r="A12" s="9" t="s">
        <v>27</v>
      </c>
      <c r="B12" s="26">
        <v>5529.4800599999999</v>
      </c>
      <c r="C12" s="28">
        <v>1.5975980401930072</v>
      </c>
      <c r="D12" s="26">
        <v>6273.7159356561297</v>
      </c>
      <c r="E12" s="20">
        <v>1.81260888664062</v>
      </c>
      <c r="F12" s="26">
        <v>10777.3838153663</v>
      </c>
      <c r="G12" s="28">
        <v>2.1047384071184299</v>
      </c>
      <c r="H12" s="20">
        <f t="shared" si="0"/>
        <v>1.9490772547186472</v>
      </c>
      <c r="I12" s="20"/>
      <c r="J12" s="26">
        <v>15474.597633969601</v>
      </c>
      <c r="K12" s="28">
        <v>4.4709377147768103</v>
      </c>
      <c r="L12" s="26">
        <v>25997.0785652983</v>
      </c>
      <c r="M12" s="28">
        <v>5.0770252471887805</v>
      </c>
      <c r="N12" s="30"/>
      <c r="O12" s="31"/>
      <c r="P12" s="26">
        <v>7795.7083817576104</v>
      </c>
      <c r="Q12" s="28">
        <v>1.76211242954634</v>
      </c>
      <c r="R12" s="30"/>
      <c r="S12" s="31"/>
      <c r="T12" s="26">
        <v>19582.154845510599</v>
      </c>
      <c r="U12" s="28">
        <v>4.4262761972114602</v>
      </c>
    </row>
    <row r="13" spans="1:21" ht="15.9" x14ac:dyDescent="0.45">
      <c r="A13" s="9" t="s">
        <v>28</v>
      </c>
      <c r="B13" s="26">
        <v>2351.9713400000001</v>
      </c>
      <c r="C13" s="28">
        <v>0.43188824930392983</v>
      </c>
      <c r="D13" s="26">
        <v>2152.6412056969002</v>
      </c>
      <c r="E13" s="20">
        <v>0.39528561688172598</v>
      </c>
      <c r="F13" s="26">
        <v>3712.9010199950899</v>
      </c>
      <c r="G13" s="28">
        <v>0.44754225538354397</v>
      </c>
      <c r="H13" s="82">
        <f t="shared" si="0"/>
        <v>1.5786336154908629</v>
      </c>
      <c r="I13" s="82"/>
      <c r="J13" s="26">
        <v>6170.4675487620898</v>
      </c>
      <c r="K13" s="28">
        <v>1.13307181197038</v>
      </c>
      <c r="L13" s="26">
        <v>11261.054086054801</v>
      </c>
      <c r="M13" s="28">
        <v>1.35737460183512</v>
      </c>
      <c r="N13" s="30"/>
      <c r="O13" s="31"/>
      <c r="P13" s="26">
        <v>3041.3463162806001</v>
      </c>
      <c r="Q13" s="28">
        <v>0.39492671135281499</v>
      </c>
      <c r="R13" s="30"/>
      <c r="S13" s="31"/>
      <c r="T13" s="26">
        <v>9219.8114620529996</v>
      </c>
      <c r="U13" s="28">
        <v>1.19721644342512</v>
      </c>
    </row>
    <row r="14" spans="1:21" ht="15.9" x14ac:dyDescent="0.45">
      <c r="A14" s="9" t="s">
        <v>29</v>
      </c>
      <c r="B14" s="26">
        <v>44867.914900000003</v>
      </c>
      <c r="C14" s="28">
        <v>7.1341563792495606</v>
      </c>
      <c r="D14" s="26">
        <v>46491.338224286897</v>
      </c>
      <c r="E14" s="20">
        <v>7.3925326837009901</v>
      </c>
      <c r="F14" s="26">
        <v>100115.20163005601</v>
      </c>
      <c r="G14" s="28">
        <v>9.4753673068354693</v>
      </c>
      <c r="H14" s="20">
        <f t="shared" si="0"/>
        <v>2.2313317178475791</v>
      </c>
      <c r="I14" s="20"/>
      <c r="J14" s="26">
        <v>120170.186847463</v>
      </c>
      <c r="K14" s="28">
        <v>19.108119228373901</v>
      </c>
      <c r="L14" s="26">
        <v>272055.07701262401</v>
      </c>
      <c r="M14" s="28">
        <v>25.748555068685203</v>
      </c>
      <c r="N14" s="30"/>
      <c r="O14" s="31"/>
      <c r="P14" s="26">
        <v>66872.600558194405</v>
      </c>
      <c r="Q14" s="28">
        <v>7.4531791408014501</v>
      </c>
      <c r="R14" s="30"/>
      <c r="S14" s="31"/>
      <c r="T14" s="26">
        <v>171257.04015322699</v>
      </c>
      <c r="U14" s="28">
        <v>19.087180530308</v>
      </c>
    </row>
    <row r="15" spans="1:21" ht="15.9" x14ac:dyDescent="0.45">
      <c r="A15" s="9" t="s">
        <v>30</v>
      </c>
      <c r="B15" s="26">
        <v>542.39843499999995</v>
      </c>
      <c r="C15" s="28">
        <v>1.0060132667125317</v>
      </c>
      <c r="D15" s="26">
        <v>631.11237910234195</v>
      </c>
      <c r="E15" s="20">
        <v>1.1705554169341801</v>
      </c>
      <c r="F15" s="26">
        <v>1031.1662576835799</v>
      </c>
      <c r="G15" s="28">
        <v>1.4740301305908201</v>
      </c>
      <c r="H15" s="20">
        <f t="shared" si="0"/>
        <v>1.9011232170748797</v>
      </c>
      <c r="I15" s="20"/>
      <c r="J15" s="26">
        <v>815.43792126552205</v>
      </c>
      <c r="K15" s="28">
        <v>1.5124331379279099</v>
      </c>
      <c r="L15" s="26">
        <v>1188.0240178864101</v>
      </c>
      <c r="M15" s="28">
        <v>1.6982549469413502</v>
      </c>
      <c r="N15" s="30"/>
      <c r="O15" s="31"/>
      <c r="P15" s="26">
        <v>756.36707662609194</v>
      </c>
      <c r="Q15" s="28">
        <v>1.1949395164935401</v>
      </c>
      <c r="R15" s="30"/>
      <c r="S15" s="31"/>
      <c r="T15" s="26">
        <v>945.60943394759101</v>
      </c>
      <c r="U15" s="28">
        <v>1.49391230093382</v>
      </c>
    </row>
    <row r="16" spans="1:21" ht="15.9" x14ac:dyDescent="0.45">
      <c r="A16" s="9" t="s">
        <v>31</v>
      </c>
      <c r="B16" s="26">
        <v>13414.6018</v>
      </c>
      <c r="C16" s="28">
        <v>5.2908507915686336</v>
      </c>
      <c r="D16" s="26">
        <v>22783.150648036801</v>
      </c>
      <c r="E16" s="20">
        <v>8.9858985646378002</v>
      </c>
      <c r="F16" s="26">
        <v>80949.251503459207</v>
      </c>
      <c r="G16" s="28">
        <v>21.730350596046598</v>
      </c>
      <c r="H16" s="20">
        <f t="shared" si="0"/>
        <v>6.034413299055899</v>
      </c>
      <c r="I16" s="20"/>
      <c r="J16" s="26">
        <v>48634.623407661202</v>
      </c>
      <c r="K16" s="28">
        <v>19.181973530436998</v>
      </c>
      <c r="L16" s="26">
        <v>133439.882470082</v>
      </c>
      <c r="M16" s="28">
        <v>35.8211518416106</v>
      </c>
      <c r="N16" s="30"/>
      <c r="O16" s="31"/>
      <c r="P16" s="26">
        <v>31630.790293144899</v>
      </c>
      <c r="Q16" s="28">
        <v>10.060439608023799</v>
      </c>
      <c r="R16" s="30"/>
      <c r="S16" s="31"/>
      <c r="T16" s="26">
        <v>69435.449038395498</v>
      </c>
      <c r="U16" s="28">
        <v>22.084530143977599</v>
      </c>
    </row>
    <row r="17" spans="1:21" ht="15.9" x14ac:dyDescent="0.45">
      <c r="A17" s="9" t="s">
        <v>32</v>
      </c>
      <c r="B17" s="26">
        <v>1084.43109</v>
      </c>
      <c r="C17" s="28">
        <v>0.73455305888744615</v>
      </c>
      <c r="D17" s="26">
        <v>3948.4122051803101</v>
      </c>
      <c r="E17" s="20">
        <v>2.6745067422707902</v>
      </c>
      <c r="F17" s="26">
        <v>4112.67586909076</v>
      </c>
      <c r="G17" s="28">
        <v>2.1704855705446899</v>
      </c>
      <c r="H17" s="20">
        <f t="shared" si="0"/>
        <v>3.7924732212267722</v>
      </c>
      <c r="I17" s="20"/>
      <c r="J17" s="26">
        <v>5792.4564663124102</v>
      </c>
      <c r="K17" s="28">
        <v>3.9235933505466098</v>
      </c>
      <c r="L17" s="26">
        <v>6285.0074118020502</v>
      </c>
      <c r="M17" s="28">
        <v>3.3169445714424102</v>
      </c>
      <c r="N17" s="30"/>
      <c r="O17" s="31"/>
      <c r="P17" s="26">
        <v>4065.23380482023</v>
      </c>
      <c r="Q17" s="28">
        <v>2.18409818734172</v>
      </c>
      <c r="R17" s="30"/>
      <c r="S17" s="31"/>
      <c r="T17" s="26">
        <v>6090.0622392887199</v>
      </c>
      <c r="U17" s="28">
        <v>3.2719628282774602</v>
      </c>
    </row>
    <row r="18" spans="1:21" ht="15.9" x14ac:dyDescent="0.45">
      <c r="A18" s="9" t="s">
        <v>33</v>
      </c>
      <c r="B18" s="26">
        <v>35994.251799999998</v>
      </c>
      <c r="C18" s="28">
        <v>1.4442297785294342</v>
      </c>
      <c r="D18" s="26">
        <v>63350.860793799198</v>
      </c>
      <c r="E18" s="20">
        <v>2.5418604480989702</v>
      </c>
      <c r="F18" s="26">
        <v>76040.412466841197</v>
      </c>
      <c r="G18" s="28">
        <v>2.9333522707811999</v>
      </c>
      <c r="H18" s="20">
        <f t="shared" si="0"/>
        <v>2.1125709985404169</v>
      </c>
      <c r="I18" s="20"/>
      <c r="J18" s="26">
        <v>297210.66579748399</v>
      </c>
      <c r="K18" s="28">
        <v>11.925142400239199</v>
      </c>
      <c r="L18" s="26">
        <v>322061.72294371697</v>
      </c>
      <c r="M18" s="28">
        <v>12.423926379155601</v>
      </c>
      <c r="N18" s="30"/>
      <c r="O18" s="31"/>
      <c r="P18" s="26">
        <v>68185.709789919303</v>
      </c>
      <c r="Q18" s="28">
        <v>2.6572102239573798</v>
      </c>
      <c r="R18" s="30"/>
      <c r="S18" s="31"/>
      <c r="T18" s="26">
        <v>306156.565018525</v>
      </c>
      <c r="U18" s="28">
        <v>11.9309802186611</v>
      </c>
    </row>
    <row r="19" spans="1:21" ht="15.9" x14ac:dyDescent="0.45">
      <c r="A19" s="9" t="s">
        <v>34</v>
      </c>
      <c r="B19" s="26">
        <v>954.998243</v>
      </c>
      <c r="C19" s="28">
        <v>0.1493407221253569</v>
      </c>
      <c r="D19" s="26">
        <v>1544.7816428111801</v>
      </c>
      <c r="E19" s="20">
        <v>0.241569874872681</v>
      </c>
      <c r="F19" s="26">
        <v>2768.0610546338098</v>
      </c>
      <c r="G19" s="28">
        <v>0.34769375398762398</v>
      </c>
      <c r="H19" s="20">
        <f t="shared" si="0"/>
        <v>2.8984985835558335</v>
      </c>
      <c r="I19" s="20"/>
      <c r="J19" s="26">
        <v>3003.1129064686802</v>
      </c>
      <c r="K19" s="28">
        <v>0.46962081173102399</v>
      </c>
      <c r="L19" s="26">
        <v>4775.5724282465699</v>
      </c>
      <c r="M19" s="28">
        <v>0.59985552061332803</v>
      </c>
      <c r="N19" s="30"/>
      <c r="O19" s="31"/>
      <c r="P19" s="26">
        <v>2381.9883040588502</v>
      </c>
      <c r="Q19" s="28">
        <v>0.30381737045071899</v>
      </c>
      <c r="R19" s="30"/>
      <c r="S19" s="31"/>
      <c r="T19" s="26">
        <v>4200.2614947110096</v>
      </c>
      <c r="U19" s="28">
        <v>0.53573411773434798</v>
      </c>
    </row>
    <row r="20" spans="1:21" ht="15.9" x14ac:dyDescent="0.45">
      <c r="A20" s="9" t="s">
        <v>35</v>
      </c>
      <c r="B20" s="26">
        <v>50177.576699999998</v>
      </c>
      <c r="C20" s="28">
        <v>14.226312334555979</v>
      </c>
      <c r="D20" s="26">
        <v>40408.858694313298</v>
      </c>
      <c r="E20" s="20">
        <v>11.4568052639175</v>
      </c>
      <c r="F20" s="26">
        <v>79716.553648512898</v>
      </c>
      <c r="G20" s="28">
        <v>12.6671376073792</v>
      </c>
      <c r="H20" s="82">
        <f t="shared" si="0"/>
        <v>1.5886887907146161</v>
      </c>
      <c r="I20" s="82"/>
      <c r="J20" s="26">
        <v>95002.250175946698</v>
      </c>
      <c r="K20" s="28">
        <v>26.935239327929001</v>
      </c>
      <c r="L20" s="26">
        <v>206904.883044096</v>
      </c>
      <c r="M20" s="28">
        <v>32.877645924262502</v>
      </c>
      <c r="N20" s="30"/>
      <c r="O20" s="31"/>
      <c r="P20" s="26">
        <v>59856.967598527997</v>
      </c>
      <c r="Q20" s="28">
        <v>11.8467582600881</v>
      </c>
      <c r="R20" s="30"/>
      <c r="S20" s="31"/>
      <c r="T20" s="26">
        <v>136142.05866965599</v>
      </c>
      <c r="U20" s="28">
        <v>26.944934279126798</v>
      </c>
    </row>
    <row r="21" spans="1:21" ht="15.9" x14ac:dyDescent="0.45">
      <c r="A21" s="9" t="s">
        <v>36</v>
      </c>
      <c r="B21" s="26">
        <v>3347.4664600000001</v>
      </c>
      <c r="C21" s="28">
        <v>1.7805392181072188</v>
      </c>
      <c r="D21" s="26">
        <v>3437.8002592918601</v>
      </c>
      <c r="E21" s="20">
        <v>1.8286072798516599</v>
      </c>
      <c r="F21" s="26">
        <v>6310.5660891698599</v>
      </c>
      <c r="G21" s="28">
        <v>2.3489919022499297</v>
      </c>
      <c r="H21" s="82">
        <f t="shared" si="0"/>
        <v>1.8851767940252522</v>
      </c>
      <c r="I21" s="82"/>
      <c r="J21" s="26">
        <v>5758.0861491565602</v>
      </c>
      <c r="K21" s="28">
        <v>3.0627952342203799</v>
      </c>
      <c r="L21" s="26">
        <v>9671.3353860534298</v>
      </c>
      <c r="M21" s="28">
        <v>3.5999763230070601</v>
      </c>
      <c r="N21" s="30"/>
      <c r="O21" s="31"/>
      <c r="P21" s="26">
        <v>4361.0577318432497</v>
      </c>
      <c r="Q21" s="28">
        <v>1.8627228154827602</v>
      </c>
      <c r="R21" s="30"/>
      <c r="S21" s="31"/>
      <c r="T21" s="26">
        <v>7273.8078753341597</v>
      </c>
      <c r="U21" s="28">
        <v>3.1068352491395301</v>
      </c>
    </row>
    <row r="22" spans="1:21" ht="15.9" x14ac:dyDescent="0.45">
      <c r="A22" s="9" t="s">
        <v>37</v>
      </c>
      <c r="B22" s="26">
        <v>2021.3137899999999</v>
      </c>
      <c r="C22" s="28">
        <v>1.152628723840492</v>
      </c>
      <c r="D22" s="26">
        <v>3538.2659590069002</v>
      </c>
      <c r="E22" s="20">
        <v>2.0176515840188798</v>
      </c>
      <c r="F22" s="26">
        <v>3538.2659590068902</v>
      </c>
      <c r="G22" s="28">
        <v>1.7173681776658001</v>
      </c>
      <c r="H22" s="82">
        <f t="shared" si="0"/>
        <v>1.7504783158912156</v>
      </c>
      <c r="I22" s="82"/>
      <c r="J22" s="26">
        <v>7744.9879388747104</v>
      </c>
      <c r="K22" s="28">
        <v>4.4164817919633501</v>
      </c>
      <c r="L22" s="26">
        <v>7744.9879388747004</v>
      </c>
      <c r="M22" s="28">
        <v>3.7591848596825397</v>
      </c>
      <c r="N22" s="30"/>
      <c r="O22" s="31"/>
      <c r="P22" s="26">
        <v>3538.2659590068902</v>
      </c>
      <c r="Q22" s="28">
        <v>1.7599335966750298</v>
      </c>
      <c r="R22" s="30"/>
      <c r="S22" s="31"/>
      <c r="T22" s="26">
        <v>7744.9879388747004</v>
      </c>
      <c r="U22" s="28">
        <v>3.8523572386554896</v>
      </c>
    </row>
    <row r="23" spans="1:21" ht="15.9" x14ac:dyDescent="0.45">
      <c r="A23" s="9" t="s">
        <v>38</v>
      </c>
      <c r="B23" s="26">
        <v>3489.3434600000001</v>
      </c>
      <c r="C23" s="28">
        <v>0.46276945118957347</v>
      </c>
      <c r="D23" s="26">
        <v>3791.72103271376</v>
      </c>
      <c r="E23" s="20">
        <v>0.50287258661593304</v>
      </c>
      <c r="F23" s="26">
        <v>7609.9317846862996</v>
      </c>
      <c r="G23" s="28">
        <v>0.748400063325947</v>
      </c>
      <c r="H23" s="20">
        <f t="shared" si="0"/>
        <v>2.1809064862552394</v>
      </c>
      <c r="I23" s="20"/>
      <c r="J23" s="26">
        <v>13726.6101542864</v>
      </c>
      <c r="K23" s="28">
        <v>1.8204756874780501</v>
      </c>
      <c r="L23" s="26">
        <v>24901.692893094001</v>
      </c>
      <c r="M23" s="28">
        <v>2.4489613133743799</v>
      </c>
      <c r="N23" s="30"/>
      <c r="O23" s="31"/>
      <c r="P23" s="26">
        <v>5180.70733187728</v>
      </c>
      <c r="Q23" s="28">
        <v>0.55334043427760704</v>
      </c>
      <c r="R23" s="30"/>
      <c r="S23" s="31"/>
      <c r="T23" s="26">
        <v>18273.534869091902</v>
      </c>
      <c r="U23" s="28">
        <v>1.9517577567127902</v>
      </c>
    </row>
    <row r="24" spans="1:21" ht="15.9" x14ac:dyDescent="0.45">
      <c r="A24" s="9" t="s">
        <v>39</v>
      </c>
      <c r="B24" s="26">
        <v>41.0201061</v>
      </c>
      <c r="C24" s="28">
        <v>2.7808380909266319E-2</v>
      </c>
      <c r="D24" s="26">
        <v>54.934116512677598</v>
      </c>
      <c r="E24" s="20">
        <v>3.7240991102819698E-2</v>
      </c>
      <c r="F24" s="26">
        <v>54.934116512677598</v>
      </c>
      <c r="G24" s="28">
        <v>2.6966471665450898E-2</v>
      </c>
      <c r="H24" s="82">
        <f t="shared" si="0"/>
        <v>1.3391997665427198</v>
      </c>
      <c r="I24" s="82"/>
      <c r="J24" s="26">
        <v>59.957335488622398</v>
      </c>
      <c r="K24" s="28">
        <v>4.0646336725289098E-2</v>
      </c>
      <c r="L24" s="26">
        <v>59.957335488622299</v>
      </c>
      <c r="M24" s="28">
        <v>2.9432307120416501E-2</v>
      </c>
      <c r="N24" s="30"/>
      <c r="O24" s="31"/>
      <c r="P24" s="26">
        <v>54.934116512677598</v>
      </c>
      <c r="Q24" s="28">
        <v>2.8204738620072403E-2</v>
      </c>
      <c r="R24" s="30"/>
      <c r="S24" s="31"/>
      <c r="T24" s="26">
        <v>59.957335488622299</v>
      </c>
      <c r="U24" s="28">
        <v>3.0783802182789598E-2</v>
      </c>
    </row>
    <row r="25" spans="1:21" ht="15.9" x14ac:dyDescent="0.45">
      <c r="A25" s="9" t="s">
        <v>40</v>
      </c>
      <c r="B25" s="26">
        <v>9984.2221100000006</v>
      </c>
      <c r="C25" s="28">
        <v>10.685665252612553</v>
      </c>
      <c r="D25" s="26">
        <v>30487.3983429072</v>
      </c>
      <c r="E25" s="20">
        <v>32.629404657101901</v>
      </c>
      <c r="F25" s="26">
        <v>47395.3866361029</v>
      </c>
      <c r="G25" s="28">
        <v>40.519475194138899</v>
      </c>
      <c r="H25" s="20">
        <f t="shared" si="0"/>
        <v>4.7470284729175454</v>
      </c>
      <c r="I25" s="20"/>
      <c r="J25" s="26">
        <v>53832.041847926703</v>
      </c>
      <c r="K25" s="28">
        <v>57.614213492988704</v>
      </c>
      <c r="L25" s="26">
        <v>77196.050176469304</v>
      </c>
      <c r="M25" s="28">
        <v>65.9967912958912</v>
      </c>
      <c r="N25" s="30"/>
      <c r="O25" s="31"/>
      <c r="P25" s="26">
        <v>40646.486180878499</v>
      </c>
      <c r="Q25" s="28">
        <v>37.208725027831903</v>
      </c>
      <c r="R25" s="30"/>
      <c r="S25" s="31"/>
      <c r="T25" s="26">
        <v>68653.149246155604</v>
      </c>
      <c r="U25" s="28">
        <v>62.846666283213303</v>
      </c>
    </row>
    <row r="26" spans="1:21" ht="15.9" x14ac:dyDescent="0.45">
      <c r="A26" s="9" t="s">
        <v>41</v>
      </c>
      <c r="B26" s="26">
        <v>29303.271700000001</v>
      </c>
      <c r="C26" s="28">
        <v>16.091880392437435</v>
      </c>
      <c r="D26" s="26">
        <v>28747.500720754098</v>
      </c>
      <c r="E26" s="20">
        <v>15.786678960685199</v>
      </c>
      <c r="F26" s="26">
        <v>44233.424532110097</v>
      </c>
      <c r="G26" s="28">
        <v>16.567818372604002</v>
      </c>
      <c r="H26" s="20">
        <f t="shared" si="0"/>
        <v>1.5095046377401637</v>
      </c>
      <c r="I26" s="20"/>
      <c r="J26" s="26">
        <v>36447.824404802202</v>
      </c>
      <c r="K26" s="28">
        <v>20.015308749210298</v>
      </c>
      <c r="L26" s="26">
        <v>56012.950334334302</v>
      </c>
      <c r="M26" s="28">
        <v>20.979890150247599</v>
      </c>
      <c r="N26" s="30"/>
      <c r="O26" s="31"/>
      <c r="P26" s="26">
        <v>38345.5213116421</v>
      </c>
      <c r="Q26" s="28">
        <v>16.248888281929499</v>
      </c>
      <c r="R26" s="30"/>
      <c r="S26" s="31"/>
      <c r="T26" s="26">
        <v>47148.753289379099</v>
      </c>
      <c r="U26" s="28">
        <v>19.979251777671799</v>
      </c>
    </row>
    <row r="27" spans="1:21" ht="15.9" x14ac:dyDescent="0.45">
      <c r="A27" s="9" t="s">
        <v>42</v>
      </c>
      <c r="B27" s="26">
        <v>23600.050299999999</v>
      </c>
      <c r="C27" s="28">
        <v>6.4901562095981786</v>
      </c>
      <c r="D27" s="26">
        <v>19769.389759619899</v>
      </c>
      <c r="E27" s="20">
        <v>5.43650202929273</v>
      </c>
      <c r="F27" s="26">
        <v>44901.619668833802</v>
      </c>
      <c r="G27" s="28">
        <v>6.5988998069952798</v>
      </c>
      <c r="H27" s="20">
        <f t="shared" si="0"/>
        <v>1.9026069477840819</v>
      </c>
      <c r="I27" s="20"/>
      <c r="J27" s="26">
        <v>35928.8739722092</v>
      </c>
      <c r="K27" s="28">
        <v>9.8802946694432592</v>
      </c>
      <c r="L27" s="26">
        <v>89510.304316228197</v>
      </c>
      <c r="M27" s="28">
        <v>13.1547488538911</v>
      </c>
      <c r="N27" s="30"/>
      <c r="O27" s="31"/>
      <c r="P27" s="26">
        <v>30696.375479178001</v>
      </c>
      <c r="Q27" s="28">
        <v>5.3765537938150896</v>
      </c>
      <c r="R27" s="30"/>
      <c r="S27" s="31"/>
      <c r="T27" s="26">
        <v>54273.511367938001</v>
      </c>
      <c r="U27" s="28">
        <v>9.5061533778439102</v>
      </c>
    </row>
    <row r="28" spans="1:21" ht="15.9" x14ac:dyDescent="0.45">
      <c r="A28" s="9" t="s">
        <v>43</v>
      </c>
      <c r="B28" s="26">
        <v>3219.4254799999999</v>
      </c>
      <c r="C28" s="28">
        <v>8.6609290785197815E-2</v>
      </c>
      <c r="D28" s="26">
        <v>3152.9996079473499</v>
      </c>
      <c r="E28" s="20">
        <v>8.4822294815583399E-2</v>
      </c>
      <c r="F28" s="26">
        <v>3318.7551935076599</v>
      </c>
      <c r="G28" s="28">
        <v>7.6459377030149503E-2</v>
      </c>
      <c r="H28" s="82">
        <f t="shared" si="0"/>
        <v>1.030853242022443</v>
      </c>
      <c r="I28" s="82"/>
      <c r="J28" s="26">
        <v>6309.2675959357903</v>
      </c>
      <c r="K28" s="28">
        <v>0.16973251590135</v>
      </c>
      <c r="L28" s="26">
        <v>6747.4065495949999</v>
      </c>
      <c r="M28" s="28">
        <v>0.15545060460030899</v>
      </c>
      <c r="N28" s="30"/>
      <c r="O28" s="31"/>
      <c r="P28" s="26">
        <v>3219.739044641</v>
      </c>
      <c r="Q28" s="28">
        <v>7.4252570509283897E-2</v>
      </c>
      <c r="R28" s="30"/>
      <c r="S28" s="31"/>
      <c r="T28" s="26">
        <v>6600.0734234689799</v>
      </c>
      <c r="U28" s="28">
        <v>0.15220873817655101</v>
      </c>
    </row>
    <row r="29" spans="1:21" ht="15.9" x14ac:dyDescent="0.45">
      <c r="A29" s="9" t="s">
        <v>44</v>
      </c>
      <c r="B29" s="26">
        <v>5.86830389</v>
      </c>
      <c r="C29" s="28">
        <v>2.843798167089481E-2</v>
      </c>
      <c r="D29" s="26">
        <v>0.88071974192533897</v>
      </c>
      <c r="E29" s="20">
        <v>4.2679950390287803E-3</v>
      </c>
      <c r="F29" s="26">
        <v>3.9184421831709999</v>
      </c>
      <c r="G29" s="28">
        <v>1.01653742499557E-2</v>
      </c>
      <c r="H29" s="20">
        <f t="shared" si="0"/>
        <v>0.66772993638729228</v>
      </c>
      <c r="I29" s="20"/>
      <c r="J29" s="26">
        <v>38.566803758265202</v>
      </c>
      <c r="K29" s="28">
        <v>0.18689592077456399</v>
      </c>
      <c r="L29" s="26">
        <v>170.70380194338099</v>
      </c>
      <c r="M29" s="28">
        <v>0.44284640464964803</v>
      </c>
      <c r="N29" s="30"/>
      <c r="O29" s="31"/>
      <c r="P29" s="26">
        <v>2.7478488856700598</v>
      </c>
      <c r="Q29" s="28">
        <v>8.1851095424817794E-3</v>
      </c>
      <c r="R29" s="30"/>
      <c r="S29" s="31"/>
      <c r="T29" s="26">
        <v>119.57223202608201</v>
      </c>
      <c r="U29" s="28">
        <v>0.35617381380631202</v>
      </c>
    </row>
    <row r="30" spans="1:21" ht="15.9" x14ac:dyDescent="0.45">
      <c r="A30" s="9" t="s">
        <v>45</v>
      </c>
      <c r="B30" s="26">
        <v>314.15935500000001</v>
      </c>
      <c r="C30" s="28">
        <v>3.7737773768661401E-2</v>
      </c>
      <c r="D30" s="26">
        <v>203.267867343918</v>
      </c>
      <c r="E30" s="20">
        <v>2.4417152198118401E-2</v>
      </c>
      <c r="F30" s="26">
        <v>308.44958025801901</v>
      </c>
      <c r="G30" s="28">
        <v>2.7264512161922903E-2</v>
      </c>
      <c r="H30" s="20">
        <f t="shared" si="0"/>
        <v>0.98182522770337055</v>
      </c>
      <c r="I30" s="20"/>
      <c r="J30" s="26">
        <v>899.96824316368202</v>
      </c>
      <c r="K30" s="28">
        <v>0.108106912587521</v>
      </c>
      <c r="L30" s="26">
        <v>1305.5140528079301</v>
      </c>
      <c r="M30" s="28">
        <v>0.11539715418179</v>
      </c>
      <c r="N30" s="30"/>
      <c r="O30" s="31"/>
      <c r="P30" s="26">
        <v>293.19047645062699</v>
      </c>
      <c r="Q30" s="28">
        <v>2.6006925261280598E-2</v>
      </c>
      <c r="R30" s="30"/>
      <c r="S30" s="31"/>
      <c r="T30" s="26">
        <v>1264.19238835639</v>
      </c>
      <c r="U30" s="28">
        <v>0.112137874865117</v>
      </c>
    </row>
    <row r="31" spans="1:21" ht="15.9" x14ac:dyDescent="0.45">
      <c r="A31" s="9" t="s">
        <v>46</v>
      </c>
      <c r="B31" s="26">
        <v>11035.38</v>
      </c>
      <c r="C31" s="28">
        <v>1.8621831212474176</v>
      </c>
      <c r="D31" s="26">
        <v>12610.165882567801</v>
      </c>
      <c r="E31" s="20">
        <v>2.1279619889670101</v>
      </c>
      <c r="F31" s="26">
        <v>44764.082297137902</v>
      </c>
      <c r="G31" s="28">
        <v>4.7675072294266698</v>
      </c>
      <c r="H31" s="20">
        <f>F31/B31</f>
        <v>4.0564151209236021</v>
      </c>
      <c r="I31" s="20"/>
      <c r="J31" s="26">
        <v>41272.550738183898</v>
      </c>
      <c r="K31" s="28">
        <v>6.9647314695501601</v>
      </c>
      <c r="L31" s="26">
        <v>111261.540865982</v>
      </c>
      <c r="M31" s="28">
        <v>11.849683344667501</v>
      </c>
      <c r="N31" s="30"/>
      <c r="O31" s="31"/>
      <c r="P31" s="26">
        <v>19038.9855245699</v>
      </c>
      <c r="Q31" s="28">
        <v>2.3025808945455704</v>
      </c>
      <c r="R31" s="30"/>
      <c r="S31" s="31"/>
      <c r="T31" s="26">
        <v>63369.484871617897</v>
      </c>
      <c r="U31" s="28">
        <v>7.6639254215661801</v>
      </c>
    </row>
    <row r="32" spans="1:21" x14ac:dyDescent="0.4">
      <c r="A32" s="13" t="s">
        <v>47</v>
      </c>
      <c r="B32" s="83">
        <f>SUM(B7:B31)</f>
        <v>284185.11788298999</v>
      </c>
      <c r="C32" s="61">
        <v>1.744276630161594</v>
      </c>
      <c r="D32" s="22">
        <v>334984.32662925101</v>
      </c>
      <c r="E32" s="21">
        <v>2.0560705989960102</v>
      </c>
      <c r="F32" s="83">
        <v>675523.666796381</v>
      </c>
      <c r="G32" s="61">
        <v>3.13068218030643</v>
      </c>
      <c r="H32" s="81"/>
      <c r="I32" s="81"/>
      <c r="J32" s="22">
        <v>896130.25973563397</v>
      </c>
      <c r="K32" s="29">
        <v>5.50027847109493</v>
      </c>
      <c r="L32" s="83">
        <v>1622263.4157116599</v>
      </c>
      <c r="M32" s="61">
        <v>7.5183023437466296</v>
      </c>
      <c r="N32" s="32"/>
      <c r="O32" s="33"/>
      <c r="P32" s="22">
        <v>447053.13098796899</v>
      </c>
      <c r="Q32" s="29">
        <v>2.2115883026069798</v>
      </c>
      <c r="R32" s="32"/>
      <c r="S32" s="33"/>
      <c r="T32" s="60">
        <v>1137427.66150383</v>
      </c>
      <c r="U32" s="61">
        <v>5.6268965294668503</v>
      </c>
    </row>
  </sheetData>
  <mergeCells count="17">
    <mergeCell ref="P5:Q5"/>
    <mergeCell ref="N2:U2"/>
    <mergeCell ref="N3:U3"/>
    <mergeCell ref="D2:M2"/>
    <mergeCell ref="N4:Q4"/>
    <mergeCell ref="R4:U4"/>
    <mergeCell ref="D3:M3"/>
    <mergeCell ref="D4:G4"/>
    <mergeCell ref="R5:S5"/>
    <mergeCell ref="T5:U5"/>
    <mergeCell ref="J4:M4"/>
    <mergeCell ref="J5:K5"/>
    <mergeCell ref="L5:M5"/>
    <mergeCell ref="B2:C5"/>
    <mergeCell ref="D5:E5"/>
    <mergeCell ref="F5:G5"/>
    <mergeCell ref="N5:O5"/>
  </mergeCells>
  <hyperlinks>
    <hyperlink ref="A7" r:id="rId1" tooltip="Banteay Meanchey province" display="https://en.wikipedia.org/wiki/Banteay_Meanchey_province" xr:uid="{AE6405B6-EA24-4DCC-964F-422F4FD53E1B}"/>
    <hyperlink ref="A8" r:id="rId2" tooltip="Battambang province" display="https://en.wikipedia.org/wiki/Battambang_province" xr:uid="{0896BC90-A827-4321-9D97-94BB76B55043}"/>
    <hyperlink ref="A9" r:id="rId3" tooltip="Kampong Cham province" display="https://en.wikipedia.org/wiki/Kampong_Cham_province" xr:uid="{EEF8A70C-2C09-47C4-B93C-AEE5DB37AC86}"/>
    <hyperlink ref="A10" r:id="rId4" tooltip="Kampong Chhnang province" display="https://en.wikipedia.org/wiki/Kampong_Chhnang_province" xr:uid="{6C908DF5-A07C-40C9-9D5C-E87A4E7FF81C}"/>
    <hyperlink ref="A11" r:id="rId5" tooltip="Kampong Speu province" display="https://en.wikipedia.org/wiki/Kampong_Speu_province" xr:uid="{6FE3A412-5A36-4C94-8227-29D6368107EA}"/>
    <hyperlink ref="A12" r:id="rId6" tooltip="Kampong Thom province" display="https://en.wikipedia.org/wiki/Kampong_Thom_province" xr:uid="{3B06F0F5-CDF5-4E1A-815B-275D618D5472}"/>
    <hyperlink ref="A13" r:id="rId7" tooltip="Kampot province" display="https://en.wikipedia.org/wiki/Kampot_province" xr:uid="{1D4519A9-60A2-4371-A40F-61000B3E0FE8}"/>
    <hyperlink ref="A14" r:id="rId8" tooltip="Kandal province" display="https://en.wikipedia.org/wiki/Kandal_province" xr:uid="{FEBB1EB5-241C-445F-BF37-4073D4620A37}"/>
    <hyperlink ref="A15" r:id="rId9" tooltip="Koh Kong province" display="https://en.wikipedia.org/wiki/Koh_Kong_province" xr:uid="{EB27D286-2E94-40ED-9C59-28D5A14DC5F5}"/>
    <hyperlink ref="A16" r:id="rId10" tooltip="Kratié province" display="https://en.wikipedia.org/wiki/Krati%C3%A9_province" xr:uid="{69CCB2B4-0E6D-470D-B03A-1259779DC4EF}"/>
    <hyperlink ref="A17" r:id="rId11" tooltip="Mondulkiri province" display="https://en.wikipedia.org/wiki/Mondulkiri_province" xr:uid="{D1B8BF42-8F82-425A-80AB-147CD0EF2C00}"/>
    <hyperlink ref="A18" r:id="rId12" tooltip="Phnom Penh" display="https://en.wikipedia.org/wiki/Phnom_Penh" xr:uid="{19805CE6-ADD5-4F80-8864-D3AC2BFDBFC0}"/>
    <hyperlink ref="A19" r:id="rId13" tooltip="Preah Vihear province" display="https://en.wikipedia.org/wiki/Preah_Vihear_province" xr:uid="{3184427A-A70A-465D-AAFD-E12EA3D1D7BF}"/>
    <hyperlink ref="A20" r:id="rId14" tooltip="Prey Veng province" display="https://en.wikipedia.org/wiki/Prey_Veng_province" xr:uid="{F27163DC-BAF2-4C41-BE30-A1236A057708}"/>
    <hyperlink ref="A21" r:id="rId15" tooltip="Pursat province" display="https://en.wikipedia.org/wiki/Pursat_province" xr:uid="{997C5F39-0D0B-46FA-849E-126C8AE7447C}"/>
    <hyperlink ref="A22" r:id="rId16" tooltip="Ratanakiri province" display="https://en.wikipedia.org/wiki/Ratanakiri_province" xr:uid="{675BED5E-3B0E-4F3C-B580-4D7A5EF40799}"/>
    <hyperlink ref="A23" r:id="rId17" tooltip="Siem Reap province" display="https://en.wikipedia.org/wiki/Siem_Reap_province" xr:uid="{E9DBB147-2AE6-4C7A-8B2F-A219FB8314BA}"/>
    <hyperlink ref="A24" r:id="rId18" tooltip="Sihanoukville province" display="https://en.wikipedia.org/wiki/Sihanoukville_province" xr:uid="{56258E38-B9A4-424F-BFF7-1929FC6B57D0}"/>
    <hyperlink ref="A25" r:id="rId19" tooltip="Stung Treng province" display="https://en.wikipedia.org/wiki/Stung_Treng_province" xr:uid="{5DECCD3B-ABDC-43E4-836C-FD12A6331C7A}"/>
    <hyperlink ref="A26" r:id="rId20" tooltip="Svay Rieng province" display="https://en.wikipedia.org/wiki/Svay_Rieng_province" xr:uid="{85CFF55A-5FC0-471F-A3F4-C15BA7DB6138}"/>
    <hyperlink ref="A27" r:id="rId21" tooltip="Takéo province" display="https://en.wikipedia.org/wiki/Tak%C3%A9o_province" xr:uid="{68288945-DD99-4DB9-8653-3A4A4499B37F}"/>
    <hyperlink ref="A28" r:id="rId22" tooltip="Oddar Meanchey province" display="https://en.wikipedia.org/wiki/Oddar_Meanchey_province" xr:uid="{D966B214-C101-49A8-AF50-B6DBA85713FB}"/>
    <hyperlink ref="A29" r:id="rId23" tooltip="Kep province" display="https://en.wikipedia.org/wiki/Kep_province" xr:uid="{7060D38E-0361-4FCE-88A6-5C69A1FEF78D}"/>
    <hyperlink ref="A30" r:id="rId24" tooltip="Pailin province" display="https://en.wikipedia.org/wiki/Pailin_province" xr:uid="{7B47C242-CA75-4E48-BF51-E6B8DDC10501}"/>
    <hyperlink ref="A31" r:id="rId25" tooltip="Tboung Khmum province" display="https://en.wikipedia.org/wiki/Tboung_Khmum_province" xr:uid="{EA04A7EA-16E8-4EB5-AA28-27FE4672806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2027-AA95-44E7-8923-9A6209FF29D8}">
  <dimension ref="A1:K32"/>
  <sheetViews>
    <sheetView workbookViewId="0">
      <selection activeCell="B2" sqref="B2:C5"/>
    </sheetView>
  </sheetViews>
  <sheetFormatPr defaultColWidth="8.53515625" defaultRowHeight="14.6" x14ac:dyDescent="0.4"/>
  <cols>
    <col min="1" max="1" width="17.53515625" style="9" customWidth="1"/>
    <col min="2" max="11" width="10.53515625" style="9" customWidth="1"/>
    <col min="12" max="16384" width="8.53515625" style="9"/>
  </cols>
  <sheetData>
    <row r="1" spans="1:11" x14ac:dyDescent="0.4">
      <c r="A1" s="18"/>
      <c r="B1" s="18"/>
      <c r="C1" s="18"/>
    </row>
    <row r="2" spans="1:11" x14ac:dyDescent="0.4">
      <c r="B2" s="88" t="s">
        <v>13</v>
      </c>
      <c r="C2" s="89"/>
      <c r="D2" s="94" t="s">
        <v>14</v>
      </c>
      <c r="E2" s="93"/>
      <c r="F2" s="93"/>
      <c r="G2" s="93"/>
      <c r="H2" s="93"/>
      <c r="I2" s="93"/>
      <c r="J2" s="93"/>
      <c r="K2" s="95"/>
    </row>
    <row r="3" spans="1:11" x14ac:dyDescent="0.4">
      <c r="B3" s="88"/>
      <c r="C3" s="89"/>
      <c r="D3" s="94">
        <v>2050</v>
      </c>
      <c r="E3" s="93"/>
      <c r="F3" s="93"/>
      <c r="G3" s="93"/>
      <c r="H3" s="93"/>
      <c r="I3" s="93"/>
      <c r="J3" s="93"/>
      <c r="K3" s="95"/>
    </row>
    <row r="4" spans="1:11" ht="29.15" customHeight="1" x14ac:dyDescent="0.4">
      <c r="A4" s="19"/>
      <c r="B4" s="88"/>
      <c r="C4" s="89"/>
      <c r="D4" s="96" t="s">
        <v>16</v>
      </c>
      <c r="E4" s="97"/>
      <c r="F4" s="97"/>
      <c r="G4" s="98"/>
      <c r="H4" s="97" t="s">
        <v>17</v>
      </c>
      <c r="I4" s="97"/>
      <c r="J4" s="97"/>
      <c r="K4" s="97"/>
    </row>
    <row r="5" spans="1:11" ht="29.15" customHeight="1" x14ac:dyDescent="0.4">
      <c r="A5" s="19"/>
      <c r="B5" s="90"/>
      <c r="C5" s="91"/>
      <c r="D5" s="92" t="s">
        <v>18</v>
      </c>
      <c r="E5" s="86"/>
      <c r="F5" s="86" t="s">
        <v>19</v>
      </c>
      <c r="G5" s="87"/>
      <c r="H5" s="92" t="s">
        <v>18</v>
      </c>
      <c r="I5" s="86"/>
      <c r="J5" s="86" t="s">
        <v>19</v>
      </c>
      <c r="K5" s="87"/>
    </row>
    <row r="6" spans="1:11" x14ac:dyDescent="0.4">
      <c r="A6" s="12"/>
      <c r="B6" s="16" t="s">
        <v>20</v>
      </c>
      <c r="C6" s="15" t="s">
        <v>21</v>
      </c>
      <c r="D6" s="15" t="s">
        <v>20</v>
      </c>
      <c r="E6" s="15" t="s">
        <v>21</v>
      </c>
      <c r="F6" s="15" t="s">
        <v>20</v>
      </c>
      <c r="G6" s="15" t="s">
        <v>21</v>
      </c>
      <c r="H6" s="15" t="s">
        <v>20</v>
      </c>
      <c r="I6" s="15" t="s">
        <v>21</v>
      </c>
      <c r="J6" s="15" t="s">
        <v>20</v>
      </c>
      <c r="K6" s="15" t="s">
        <v>21</v>
      </c>
    </row>
    <row r="7" spans="1:11" x14ac:dyDescent="0.4">
      <c r="A7" s="9" t="s">
        <v>22</v>
      </c>
      <c r="D7" s="10"/>
      <c r="E7" s="10"/>
      <c r="F7" s="10"/>
      <c r="G7" s="10"/>
      <c r="H7" s="10"/>
      <c r="I7" s="10"/>
      <c r="J7" s="10"/>
      <c r="K7" s="10"/>
    </row>
    <row r="8" spans="1:11" x14ac:dyDescent="0.4">
      <c r="A8" s="9" t="s">
        <v>23</v>
      </c>
      <c r="D8" s="10"/>
      <c r="E8" s="10"/>
      <c r="F8" s="10"/>
      <c r="G8" s="10"/>
      <c r="H8" s="10"/>
      <c r="I8" s="10"/>
      <c r="J8" s="10"/>
      <c r="K8" s="10"/>
    </row>
    <row r="9" spans="1:11" x14ac:dyDescent="0.4">
      <c r="A9" s="9" t="s">
        <v>24</v>
      </c>
      <c r="D9" s="10"/>
      <c r="E9" s="10"/>
      <c r="F9" s="10"/>
      <c r="G9" s="10"/>
      <c r="H9" s="10"/>
      <c r="I9" s="10"/>
      <c r="J9" s="10"/>
      <c r="K9" s="10"/>
    </row>
    <row r="10" spans="1:11" x14ac:dyDescent="0.4">
      <c r="A10" s="9" t="s">
        <v>25</v>
      </c>
      <c r="D10" s="10"/>
      <c r="E10" s="10"/>
      <c r="F10" s="10"/>
      <c r="G10" s="10"/>
      <c r="H10" s="10"/>
      <c r="I10" s="10"/>
      <c r="J10" s="10"/>
      <c r="K10" s="10"/>
    </row>
    <row r="11" spans="1:11" x14ac:dyDescent="0.4">
      <c r="A11" s="9" t="s">
        <v>26</v>
      </c>
      <c r="D11" s="10"/>
      <c r="E11" s="10"/>
      <c r="F11" s="10"/>
      <c r="G11" s="10"/>
      <c r="H11" s="10"/>
      <c r="I11" s="10"/>
      <c r="J11" s="10"/>
      <c r="K11" s="10"/>
    </row>
    <row r="12" spans="1:11" x14ac:dyDescent="0.4">
      <c r="A12" s="9" t="s">
        <v>27</v>
      </c>
      <c r="D12" s="10"/>
      <c r="E12" s="10"/>
      <c r="F12" s="10"/>
      <c r="G12" s="10"/>
      <c r="H12" s="10"/>
      <c r="I12" s="10"/>
      <c r="J12" s="10"/>
      <c r="K12" s="10"/>
    </row>
    <row r="13" spans="1:11" x14ac:dyDescent="0.4">
      <c r="A13" s="9" t="s">
        <v>28</v>
      </c>
      <c r="D13" s="10"/>
      <c r="E13" s="10"/>
      <c r="F13" s="10"/>
      <c r="G13" s="10"/>
      <c r="H13" s="10"/>
      <c r="I13" s="10"/>
      <c r="J13" s="10"/>
      <c r="K13" s="10"/>
    </row>
    <row r="14" spans="1:11" x14ac:dyDescent="0.4">
      <c r="A14" s="9" t="s">
        <v>29</v>
      </c>
      <c r="D14" s="10"/>
      <c r="E14" s="10"/>
      <c r="F14" s="10"/>
      <c r="G14" s="10"/>
      <c r="H14" s="10"/>
      <c r="I14" s="10"/>
      <c r="J14" s="10"/>
      <c r="K14" s="10"/>
    </row>
    <row r="15" spans="1:11" x14ac:dyDescent="0.4">
      <c r="A15" s="9" t="s">
        <v>30</v>
      </c>
      <c r="D15" s="10"/>
      <c r="E15" s="10"/>
      <c r="F15" s="10"/>
      <c r="G15" s="10"/>
      <c r="H15" s="10"/>
      <c r="I15" s="10"/>
      <c r="J15" s="10"/>
      <c r="K15" s="10"/>
    </row>
    <row r="16" spans="1:11" x14ac:dyDescent="0.4">
      <c r="A16" s="9" t="s">
        <v>31</v>
      </c>
      <c r="D16" s="10"/>
      <c r="E16" s="10"/>
      <c r="F16" s="10"/>
      <c r="G16" s="10"/>
      <c r="H16" s="10"/>
      <c r="I16" s="10"/>
      <c r="J16" s="10"/>
      <c r="K16" s="10"/>
    </row>
    <row r="17" spans="1:11" x14ac:dyDescent="0.4">
      <c r="A17" s="9" t="s">
        <v>32</v>
      </c>
      <c r="D17" s="10"/>
      <c r="E17" s="10"/>
      <c r="F17" s="10"/>
      <c r="G17" s="10"/>
      <c r="H17" s="10"/>
      <c r="I17" s="10"/>
      <c r="J17" s="10"/>
      <c r="K17" s="10"/>
    </row>
    <row r="18" spans="1:11" x14ac:dyDescent="0.4">
      <c r="A18" s="9" t="s">
        <v>33</v>
      </c>
      <c r="D18" s="10"/>
      <c r="E18" s="10"/>
      <c r="F18" s="10"/>
      <c r="G18" s="10"/>
      <c r="H18" s="11"/>
      <c r="I18" s="11"/>
      <c r="J18" s="11"/>
      <c r="K18" s="11"/>
    </row>
    <row r="19" spans="1:11" x14ac:dyDescent="0.4">
      <c r="A19" s="9" t="s">
        <v>34</v>
      </c>
      <c r="D19" s="10"/>
      <c r="E19" s="10"/>
      <c r="F19" s="10"/>
      <c r="G19" s="10"/>
      <c r="H19" s="10"/>
      <c r="I19" s="10"/>
      <c r="J19" s="10"/>
      <c r="K19" s="10"/>
    </row>
    <row r="20" spans="1:11" x14ac:dyDescent="0.4">
      <c r="A20" s="9" t="s">
        <v>35</v>
      </c>
      <c r="D20" s="10"/>
      <c r="E20" s="10"/>
      <c r="F20" s="10"/>
      <c r="G20" s="10"/>
      <c r="H20" s="10"/>
      <c r="I20" s="10"/>
      <c r="J20" s="10"/>
      <c r="K20" s="10"/>
    </row>
    <row r="21" spans="1:11" x14ac:dyDescent="0.4">
      <c r="A21" s="9" t="s">
        <v>36</v>
      </c>
      <c r="D21" s="10"/>
      <c r="E21" s="10"/>
      <c r="F21" s="10"/>
      <c r="G21" s="10"/>
      <c r="H21" s="10"/>
      <c r="I21" s="10"/>
      <c r="J21" s="10"/>
      <c r="K21" s="10"/>
    </row>
    <row r="22" spans="1:11" x14ac:dyDescent="0.4">
      <c r="A22" s="9" t="s">
        <v>37</v>
      </c>
      <c r="D22" s="10"/>
      <c r="E22" s="10"/>
      <c r="F22" s="10"/>
      <c r="G22" s="10"/>
      <c r="H22" s="10"/>
      <c r="I22" s="10"/>
      <c r="J22" s="10"/>
      <c r="K22" s="10"/>
    </row>
    <row r="23" spans="1:11" x14ac:dyDescent="0.4">
      <c r="A23" s="9" t="s">
        <v>38</v>
      </c>
      <c r="D23" s="10"/>
      <c r="E23" s="10"/>
      <c r="F23" s="10"/>
      <c r="G23" s="10"/>
      <c r="H23" s="10"/>
      <c r="I23" s="10"/>
      <c r="J23" s="10"/>
      <c r="K23" s="10"/>
    </row>
    <row r="24" spans="1:11" x14ac:dyDescent="0.4">
      <c r="A24" s="9" t="s">
        <v>39</v>
      </c>
      <c r="D24" s="10"/>
      <c r="E24" s="10"/>
      <c r="F24" s="10"/>
      <c r="G24" s="10"/>
      <c r="H24" s="10"/>
      <c r="I24" s="10"/>
      <c r="J24" s="10"/>
      <c r="K24" s="10"/>
    </row>
    <row r="25" spans="1:11" x14ac:dyDescent="0.4">
      <c r="A25" s="9" t="s">
        <v>40</v>
      </c>
      <c r="D25" s="10"/>
      <c r="E25" s="10"/>
      <c r="F25" s="10"/>
      <c r="G25" s="10"/>
      <c r="H25" s="10"/>
      <c r="I25" s="10"/>
      <c r="J25" s="10"/>
      <c r="K25" s="10"/>
    </row>
    <row r="26" spans="1:11" x14ac:dyDescent="0.4">
      <c r="A26" s="9" t="s">
        <v>41</v>
      </c>
      <c r="D26" s="10"/>
      <c r="E26" s="10"/>
      <c r="F26" s="10"/>
      <c r="G26" s="10"/>
      <c r="H26" s="10"/>
      <c r="I26" s="10"/>
      <c r="J26" s="10"/>
      <c r="K26" s="10"/>
    </row>
    <row r="27" spans="1:11" x14ac:dyDescent="0.4">
      <c r="A27" s="9" t="s">
        <v>42</v>
      </c>
      <c r="D27" s="10"/>
      <c r="E27" s="10"/>
      <c r="F27" s="10"/>
      <c r="G27" s="10"/>
      <c r="H27" s="10"/>
      <c r="I27" s="10"/>
      <c r="J27" s="10"/>
      <c r="K27" s="10"/>
    </row>
    <row r="28" spans="1:11" x14ac:dyDescent="0.4">
      <c r="A28" s="9" t="s">
        <v>43</v>
      </c>
      <c r="D28" s="10"/>
      <c r="E28" s="10"/>
      <c r="F28" s="10"/>
      <c r="G28" s="10"/>
      <c r="H28" s="10"/>
      <c r="I28" s="10"/>
      <c r="J28" s="10"/>
      <c r="K28" s="10"/>
    </row>
    <row r="29" spans="1:11" x14ac:dyDescent="0.4">
      <c r="A29" s="9" t="s">
        <v>44</v>
      </c>
      <c r="D29" s="10"/>
      <c r="E29" s="10"/>
      <c r="F29" s="10"/>
      <c r="G29" s="10"/>
      <c r="H29" s="11"/>
      <c r="I29" s="11"/>
      <c r="J29" s="11"/>
      <c r="K29" s="11"/>
    </row>
    <row r="30" spans="1:11" x14ac:dyDescent="0.4">
      <c r="A30" s="9" t="s">
        <v>45</v>
      </c>
      <c r="D30" s="10"/>
      <c r="E30" s="10"/>
      <c r="F30" s="10"/>
      <c r="G30" s="10"/>
      <c r="H30" s="11"/>
      <c r="I30" s="11"/>
      <c r="J30" s="11"/>
      <c r="K30" s="11"/>
    </row>
    <row r="31" spans="1:11" x14ac:dyDescent="0.4">
      <c r="A31" s="9" t="s">
        <v>46</v>
      </c>
    </row>
    <row r="32" spans="1:11" x14ac:dyDescent="0.4">
      <c r="A32" s="13" t="s">
        <v>47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11629B-C402-4084-A491-51A649A09C03}"/>
    <hyperlink ref="A8" r:id="rId2" tooltip="Battambang province" display="https://en.wikipedia.org/wiki/Battambang_province" xr:uid="{28395E6C-D20F-487D-B192-9F1D6A289273}"/>
    <hyperlink ref="A9" r:id="rId3" tooltip="Kampong Cham province" display="https://en.wikipedia.org/wiki/Kampong_Cham_province" xr:uid="{052E4A78-B57B-468B-BC56-9D06353D2E19}"/>
    <hyperlink ref="A10" r:id="rId4" tooltip="Kampong Chhnang province" display="https://en.wikipedia.org/wiki/Kampong_Chhnang_province" xr:uid="{523914F7-2BE0-4D57-80CB-D7842C6020A1}"/>
    <hyperlink ref="A11" r:id="rId5" tooltip="Kampong Speu province" display="https://en.wikipedia.org/wiki/Kampong_Speu_province" xr:uid="{AE0C592F-6360-480C-914D-0AE817CE63A6}"/>
    <hyperlink ref="A12" r:id="rId6" tooltip="Kampong Thom province" display="https://en.wikipedia.org/wiki/Kampong_Thom_province" xr:uid="{46BAC5E3-01EF-4CF5-8063-206562F8376D}"/>
    <hyperlink ref="A13" r:id="rId7" tooltip="Kampot province" display="https://en.wikipedia.org/wiki/Kampot_province" xr:uid="{51AAC9E1-775C-4D47-AB30-15DA70CB9C19}"/>
    <hyperlink ref="A14" r:id="rId8" tooltip="Kandal province" display="https://en.wikipedia.org/wiki/Kandal_province" xr:uid="{41BCC5C6-B940-4C8C-B944-D42C81B3CAF8}"/>
    <hyperlink ref="A15" r:id="rId9" tooltip="Koh Kong province" display="https://en.wikipedia.org/wiki/Koh_Kong_province" xr:uid="{22986536-61CE-41E4-8746-6FFE9F1CB657}"/>
    <hyperlink ref="A16" r:id="rId10" tooltip="Kratié province" display="https://en.wikipedia.org/wiki/Krati%C3%A9_province" xr:uid="{92BFB27F-0900-453F-B97B-51BE55E68E13}"/>
    <hyperlink ref="A17" r:id="rId11" tooltip="Mondulkiri province" display="https://en.wikipedia.org/wiki/Mondulkiri_province" xr:uid="{216B0DF5-AFE5-44D9-A545-FDA1C10E8962}"/>
    <hyperlink ref="A18" r:id="rId12" tooltip="Phnom Penh" display="https://en.wikipedia.org/wiki/Phnom_Penh" xr:uid="{5040A09A-5C56-422D-AFC3-1C22377143BE}"/>
    <hyperlink ref="A19" r:id="rId13" tooltip="Preah Vihear province" display="https://en.wikipedia.org/wiki/Preah_Vihear_province" xr:uid="{3C1F840E-9163-4914-8B66-FD7520C0F4D3}"/>
    <hyperlink ref="A20" r:id="rId14" tooltip="Prey Veng province" display="https://en.wikipedia.org/wiki/Prey_Veng_province" xr:uid="{C02A5870-17BF-473E-83B5-080A3529D964}"/>
    <hyperlink ref="A21" r:id="rId15" tooltip="Pursat province" display="https://en.wikipedia.org/wiki/Pursat_province" xr:uid="{2BAD197E-B704-4958-8298-08A452F559A3}"/>
    <hyperlink ref="A22" r:id="rId16" tooltip="Ratanakiri province" display="https://en.wikipedia.org/wiki/Ratanakiri_province" xr:uid="{43374D1A-46D2-4E32-9EB2-30C6A05E24B5}"/>
    <hyperlink ref="A23" r:id="rId17" tooltip="Siem Reap province" display="https://en.wikipedia.org/wiki/Siem_Reap_province" xr:uid="{BEFFF79F-4A9E-4783-A768-F105B67D139A}"/>
    <hyperlink ref="A24" r:id="rId18" tooltip="Sihanoukville province" display="https://en.wikipedia.org/wiki/Sihanoukville_province" xr:uid="{ED1525FA-C3EE-4D7D-BD29-D6644DC6708D}"/>
    <hyperlink ref="A25" r:id="rId19" tooltip="Stung Treng province" display="https://en.wikipedia.org/wiki/Stung_Treng_province" xr:uid="{702D5F3B-87D0-4840-BC62-7CA972632E89}"/>
    <hyperlink ref="A26" r:id="rId20" tooltip="Svay Rieng province" display="https://en.wikipedia.org/wiki/Svay_Rieng_province" xr:uid="{B00B3428-2143-480E-936D-BEAB263AC8F2}"/>
    <hyperlink ref="A27" r:id="rId21" tooltip="Takéo province" display="https://en.wikipedia.org/wiki/Tak%C3%A9o_province" xr:uid="{69BC6617-3D3F-4DD9-A03C-569D11F6B2AA}"/>
    <hyperlink ref="A28" r:id="rId22" tooltip="Oddar Meanchey province" display="https://en.wikipedia.org/wiki/Oddar_Meanchey_province" xr:uid="{BBED74C9-CE51-4000-AEAC-0E0230D104DC}"/>
    <hyperlink ref="A29" r:id="rId23" tooltip="Kep province" display="https://en.wikipedia.org/wiki/Kep_province" xr:uid="{E6462D98-E51E-4182-9837-6CD3828D7801}"/>
    <hyperlink ref="A30" r:id="rId24" tooltip="Pailin province" display="https://en.wikipedia.org/wiki/Pailin_province" xr:uid="{A7322865-F2A8-4025-89B9-8E99827CC28D}"/>
    <hyperlink ref="A31" r:id="rId25" tooltip="Tboung Khmum province" display="https://en.wikipedia.org/wiki/Tboung_Khmum_province" xr:uid="{5C1128AB-FAFF-455C-8680-0AE62D40B80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6349-2476-47D3-8232-8F8CAD8623E5}">
  <dimension ref="A1:U32"/>
  <sheetViews>
    <sheetView topLeftCell="A5" workbookViewId="0">
      <selection activeCell="A18" sqref="A18"/>
    </sheetView>
  </sheetViews>
  <sheetFormatPr defaultColWidth="8.53515625" defaultRowHeight="14.6" x14ac:dyDescent="0.4"/>
  <cols>
    <col min="1" max="1" width="21.15234375" style="9" customWidth="1"/>
    <col min="2" max="19" width="10.53515625" style="9" customWidth="1"/>
    <col min="20" max="16384" width="8.53515625" style="9"/>
  </cols>
  <sheetData>
    <row r="1" spans="1:21" x14ac:dyDescent="0.4">
      <c r="A1" s="18"/>
      <c r="B1" s="18"/>
      <c r="C1" s="18"/>
    </row>
    <row r="2" spans="1:21" x14ac:dyDescent="0.4">
      <c r="B2" s="88" t="s">
        <v>13</v>
      </c>
      <c r="C2" s="89"/>
      <c r="D2" s="94" t="s">
        <v>14</v>
      </c>
      <c r="E2" s="93"/>
      <c r="F2" s="93"/>
      <c r="G2" s="93"/>
      <c r="H2" s="93"/>
      <c r="I2" s="93"/>
      <c r="J2" s="93"/>
      <c r="K2" s="95"/>
      <c r="L2" s="93" t="s">
        <v>15</v>
      </c>
      <c r="M2" s="93"/>
      <c r="N2" s="93"/>
      <c r="O2" s="93"/>
      <c r="P2" s="93"/>
      <c r="Q2" s="93"/>
      <c r="R2" s="93"/>
      <c r="S2" s="93"/>
    </row>
    <row r="3" spans="1:21" x14ac:dyDescent="0.4">
      <c r="B3" s="88"/>
      <c r="C3" s="89"/>
      <c r="D3" s="94">
        <v>2050</v>
      </c>
      <c r="E3" s="93"/>
      <c r="F3" s="93"/>
      <c r="G3" s="93"/>
      <c r="H3" s="93"/>
      <c r="I3" s="93"/>
      <c r="J3" s="93"/>
      <c r="K3" s="95"/>
      <c r="L3" s="93">
        <v>2050</v>
      </c>
      <c r="M3" s="93"/>
      <c r="N3" s="93"/>
      <c r="O3" s="93"/>
      <c r="P3" s="93"/>
      <c r="Q3" s="93"/>
      <c r="R3" s="93"/>
      <c r="S3" s="93"/>
    </row>
    <row r="4" spans="1:21" ht="29.15" customHeight="1" x14ac:dyDescent="0.4">
      <c r="A4" s="19"/>
      <c r="B4" s="88"/>
      <c r="C4" s="89"/>
      <c r="D4" s="96" t="s">
        <v>16</v>
      </c>
      <c r="E4" s="97"/>
      <c r="F4" s="97"/>
      <c r="G4" s="98"/>
      <c r="H4" s="97" t="s">
        <v>17</v>
      </c>
      <c r="I4" s="97"/>
      <c r="J4" s="97"/>
      <c r="K4" s="98"/>
      <c r="L4" s="96" t="s">
        <v>16</v>
      </c>
      <c r="M4" s="97"/>
      <c r="N4" s="97"/>
      <c r="O4" s="98"/>
      <c r="P4" s="97" t="s">
        <v>17</v>
      </c>
      <c r="Q4" s="97"/>
      <c r="R4" s="97"/>
      <c r="S4" s="97"/>
    </row>
    <row r="5" spans="1:21" ht="29.15" customHeight="1" x14ac:dyDescent="0.4">
      <c r="A5" s="19"/>
      <c r="B5" s="90"/>
      <c r="C5" s="91"/>
      <c r="D5" s="92" t="s">
        <v>18</v>
      </c>
      <c r="E5" s="86"/>
      <c r="F5" s="86" t="s">
        <v>19</v>
      </c>
      <c r="G5" s="87"/>
      <c r="H5" s="92" t="s">
        <v>18</v>
      </c>
      <c r="I5" s="86"/>
      <c r="J5" s="86" t="s">
        <v>19</v>
      </c>
      <c r="K5" s="87"/>
      <c r="L5" s="92" t="s">
        <v>18</v>
      </c>
      <c r="M5" s="86"/>
      <c r="N5" s="86" t="s">
        <v>19</v>
      </c>
      <c r="O5" s="87"/>
      <c r="P5" s="92" t="s">
        <v>18</v>
      </c>
      <c r="Q5" s="86"/>
      <c r="R5" s="86" t="s">
        <v>19</v>
      </c>
      <c r="S5" s="87"/>
    </row>
    <row r="6" spans="1:21" ht="29.15" x14ac:dyDescent="0.4">
      <c r="A6" s="12"/>
      <c r="B6" s="16" t="s">
        <v>48</v>
      </c>
      <c r="C6" s="17" t="s">
        <v>21</v>
      </c>
      <c r="D6" s="16" t="s">
        <v>5</v>
      </c>
      <c r="E6" s="14" t="s">
        <v>21</v>
      </c>
      <c r="F6" s="14" t="s">
        <v>5</v>
      </c>
      <c r="G6" s="17" t="s">
        <v>21</v>
      </c>
      <c r="H6" s="14" t="s">
        <v>5</v>
      </c>
      <c r="I6" s="14" t="s">
        <v>21</v>
      </c>
      <c r="J6" s="14" t="s">
        <v>5</v>
      </c>
      <c r="K6" s="17" t="s">
        <v>21</v>
      </c>
      <c r="L6" s="16" t="s">
        <v>5</v>
      </c>
      <c r="M6" s="14" t="s">
        <v>21</v>
      </c>
      <c r="N6" s="14" t="s">
        <v>5</v>
      </c>
      <c r="O6" s="17" t="s">
        <v>21</v>
      </c>
      <c r="P6" s="14" t="s">
        <v>5</v>
      </c>
      <c r="Q6" s="14" t="s">
        <v>21</v>
      </c>
      <c r="R6" s="14" t="s">
        <v>5</v>
      </c>
      <c r="S6" s="17" t="s">
        <v>21</v>
      </c>
    </row>
    <row r="7" spans="1:21" x14ac:dyDescent="0.4">
      <c r="A7" s="9" t="s">
        <v>22</v>
      </c>
      <c r="B7" s="23">
        <v>2.2192594789976701</v>
      </c>
      <c r="C7" s="23">
        <v>0.11372062297667399</v>
      </c>
      <c r="D7" s="23">
        <v>3.3691257758603701</v>
      </c>
      <c r="E7" s="23">
        <v>0.17264276022858602</v>
      </c>
      <c r="F7" s="23">
        <v>123.293625755015</v>
      </c>
      <c r="G7" s="23">
        <v>1.3704306661946299</v>
      </c>
      <c r="H7" s="23">
        <v>9.4811951267940398</v>
      </c>
      <c r="I7" s="23">
        <v>0.48584107743426097</v>
      </c>
      <c r="J7" s="23">
        <v>364.20156844228097</v>
      </c>
      <c r="K7" s="23">
        <v>4.0481654668929998</v>
      </c>
      <c r="L7" s="34"/>
      <c r="M7" s="34"/>
      <c r="N7" s="23">
        <v>4.6686153204893603</v>
      </c>
      <c r="O7" s="23">
        <v>0.190582086294315</v>
      </c>
      <c r="P7" s="34"/>
      <c r="Q7" s="34"/>
      <c r="R7" s="23">
        <v>13.2143289429733</v>
      </c>
      <c r="S7" s="23">
        <v>0.53943497290910503</v>
      </c>
      <c r="U7" s="23"/>
    </row>
    <row r="8" spans="1:21" x14ac:dyDescent="0.4">
      <c r="A8" s="9" t="s">
        <v>23</v>
      </c>
      <c r="B8" s="23">
        <v>7.65273977597366</v>
      </c>
      <c r="C8" s="23">
        <v>0.18245795147396598</v>
      </c>
      <c r="D8" s="23">
        <v>8.1497874076024992</v>
      </c>
      <c r="E8" s="23">
        <v>0.194308647473942</v>
      </c>
      <c r="F8" s="23">
        <v>14.3687289133506</v>
      </c>
      <c r="G8" s="23">
        <v>0.24306769756732702</v>
      </c>
      <c r="H8" s="23">
        <v>20.009759609131699</v>
      </c>
      <c r="I8" s="23">
        <v>0.47707616548403797</v>
      </c>
      <c r="J8" s="23">
        <v>39.5854601530596</v>
      </c>
      <c r="K8" s="23">
        <v>0.66964494316593504</v>
      </c>
      <c r="L8" s="34"/>
      <c r="M8" s="34"/>
      <c r="N8" s="23">
        <v>10.7642956817987</v>
      </c>
      <c r="O8" s="23">
        <v>0.19970244652469599</v>
      </c>
      <c r="P8" s="34"/>
      <c r="Q8" s="34"/>
      <c r="R8" s="23">
        <v>28.070619294247901</v>
      </c>
      <c r="S8" s="23">
        <v>0.52077456010460799</v>
      </c>
      <c r="U8" s="23"/>
    </row>
    <row r="9" spans="1:21" x14ac:dyDescent="0.4">
      <c r="A9" s="9" t="s">
        <v>24</v>
      </c>
      <c r="B9" s="23">
        <v>51.525438001706497</v>
      </c>
      <c r="C9" s="23">
        <v>2.4497995816643701</v>
      </c>
      <c r="D9" s="23">
        <v>29.6230166125365</v>
      </c>
      <c r="E9" s="23">
        <v>1.40843933636479</v>
      </c>
      <c r="F9" s="23">
        <v>102.320697660813</v>
      </c>
      <c r="G9" s="23">
        <v>2.6828660461829599</v>
      </c>
      <c r="H9" s="23">
        <v>93.368918434151396</v>
      </c>
      <c r="I9" s="23">
        <v>4.4392662380252501</v>
      </c>
      <c r="J9" s="23">
        <v>307.35176893860398</v>
      </c>
      <c r="K9" s="23">
        <v>8.0588155082082906</v>
      </c>
      <c r="L9" s="34"/>
      <c r="M9" s="34"/>
      <c r="N9" s="23">
        <v>43.446352309208798</v>
      </c>
      <c r="O9" s="23">
        <v>1.4865303838446999</v>
      </c>
      <c r="P9" s="34"/>
      <c r="Q9" s="34"/>
      <c r="R9" s="23">
        <v>137.67270569706</v>
      </c>
      <c r="S9" s="23">
        <v>4.71051421275273</v>
      </c>
      <c r="U9" s="23"/>
    </row>
    <row r="10" spans="1:21" x14ac:dyDescent="0.4">
      <c r="A10" s="9" t="s">
        <v>25</v>
      </c>
      <c r="B10" s="23">
        <v>35.7100914909309</v>
      </c>
      <c r="C10" s="23">
        <v>2.8243631706635299</v>
      </c>
      <c r="D10" s="23">
        <v>32.803733340532098</v>
      </c>
      <c r="E10" s="23">
        <v>2.5944950695742803</v>
      </c>
      <c r="F10" s="23">
        <v>76.044019513995806</v>
      </c>
      <c r="G10" s="23">
        <v>1.1463485538890201</v>
      </c>
      <c r="H10" s="23">
        <v>66.622841997936703</v>
      </c>
      <c r="I10" s="23">
        <v>5.2692976525052</v>
      </c>
      <c r="J10" s="23">
        <v>149.57171663499199</v>
      </c>
      <c r="K10" s="23">
        <v>2.25476404539168</v>
      </c>
      <c r="L10" s="34"/>
      <c r="M10" s="34"/>
      <c r="N10" s="23">
        <v>47.497475494033097</v>
      </c>
      <c r="O10" s="23">
        <v>2.8434665955841298</v>
      </c>
      <c r="P10" s="34"/>
      <c r="Q10" s="34"/>
      <c r="R10" s="23">
        <v>93.8077692539335</v>
      </c>
      <c r="S10" s="23">
        <v>5.6158618011884203</v>
      </c>
      <c r="U10" s="23"/>
    </row>
    <row r="11" spans="1:21" x14ac:dyDescent="0.4">
      <c r="A11" s="9" t="s">
        <v>26</v>
      </c>
      <c r="B11" s="23">
        <v>1.2650458659789601</v>
      </c>
      <c r="C11" s="23">
        <v>6.0316056657439707E-2</v>
      </c>
      <c r="D11" s="23">
        <v>1.0681459250704399</v>
      </c>
      <c r="E11" s="23">
        <v>5.09280745209231E-2</v>
      </c>
      <c r="F11" s="23">
        <v>1.8513185964685499</v>
      </c>
      <c r="G11" s="23">
        <v>5.3682215128597596E-2</v>
      </c>
      <c r="H11" s="23">
        <v>2.4699107722582898</v>
      </c>
      <c r="I11" s="23">
        <v>0.117762748438426</v>
      </c>
      <c r="J11" s="23">
        <v>4.5158247039743502</v>
      </c>
      <c r="K11" s="23">
        <v>0.130944221974655</v>
      </c>
      <c r="L11" s="34"/>
      <c r="M11" s="34"/>
      <c r="N11" s="23">
        <v>1.56251224538611</v>
      </c>
      <c r="O11" s="23">
        <v>5.2107175145604499E-2</v>
      </c>
      <c r="P11" s="34"/>
      <c r="Q11" s="34"/>
      <c r="R11" s="23">
        <v>3.6931435909518702</v>
      </c>
      <c r="S11" s="23">
        <v>0.123160173944136</v>
      </c>
      <c r="U11" s="23"/>
    </row>
    <row r="12" spans="1:21" x14ac:dyDescent="0.4">
      <c r="A12" s="9" t="s">
        <v>27</v>
      </c>
      <c r="B12" s="23">
        <v>8.5217080799169498</v>
      </c>
      <c r="C12" s="23">
        <v>0.49651174658069902</v>
      </c>
      <c r="D12" s="23">
        <v>10.1136441155773</v>
      </c>
      <c r="E12" s="23">
        <v>0.58926485829233799</v>
      </c>
      <c r="F12" s="23">
        <v>17.548454061921301</v>
      </c>
      <c r="G12" s="23">
        <v>0.62794489015836008</v>
      </c>
      <c r="H12" s="23">
        <v>24.205307389814301</v>
      </c>
      <c r="I12" s="23">
        <v>1.41030640053989</v>
      </c>
      <c r="J12" s="23">
        <v>50.588145512574002</v>
      </c>
      <c r="K12" s="23">
        <v>1.8102202829444101</v>
      </c>
      <c r="L12" s="34"/>
      <c r="M12" s="34"/>
      <c r="N12" s="23">
        <v>12.5862764473012</v>
      </c>
      <c r="O12" s="23">
        <v>0.57248098831275906</v>
      </c>
      <c r="P12" s="34"/>
      <c r="Q12" s="34"/>
      <c r="R12" s="23">
        <v>31.773034544790399</v>
      </c>
      <c r="S12" s="23">
        <v>1.4451818450084299</v>
      </c>
      <c r="U12" s="23"/>
    </row>
    <row r="13" spans="1:21" x14ac:dyDescent="0.4">
      <c r="A13" s="9" t="s">
        <v>28</v>
      </c>
      <c r="B13" s="23">
        <v>1.65591645392111</v>
      </c>
      <c r="C13" s="23">
        <v>9.1031343800485304E-2</v>
      </c>
      <c r="D13" s="23">
        <v>1.5356376576961701</v>
      </c>
      <c r="E13" s="23">
        <v>8.4419210425559207E-2</v>
      </c>
      <c r="F13" s="23">
        <v>2.72251003835814</v>
      </c>
      <c r="G13" s="23">
        <v>9.3790182375942402E-2</v>
      </c>
      <c r="H13" s="23">
        <v>7.7478555346852502</v>
      </c>
      <c r="I13" s="23">
        <v>0.42592589694022298</v>
      </c>
      <c r="J13" s="23">
        <v>14.6581523745576</v>
      </c>
      <c r="K13" s="23">
        <v>0.50497179629618905</v>
      </c>
      <c r="L13" s="34"/>
      <c r="M13" s="34"/>
      <c r="N13" s="23">
        <v>2.10085499279743</v>
      </c>
      <c r="O13" s="23">
        <v>8.0189230357337299E-2</v>
      </c>
      <c r="P13" s="34"/>
      <c r="Q13" s="34"/>
      <c r="R13" s="23">
        <v>11.553967403016999</v>
      </c>
      <c r="S13" s="23">
        <v>0.44101270996719105</v>
      </c>
      <c r="U13" s="23"/>
    </row>
    <row r="14" spans="1:21" x14ac:dyDescent="0.4">
      <c r="A14" s="9" t="s">
        <v>29</v>
      </c>
      <c r="B14" s="23">
        <v>102.985668586483</v>
      </c>
      <c r="C14" s="23">
        <v>3.1816174242282398</v>
      </c>
      <c r="D14" s="23">
        <v>84.275861828709296</v>
      </c>
      <c r="E14" s="23">
        <v>2.6036006185744798</v>
      </c>
      <c r="F14" s="23">
        <v>531.534418382117</v>
      </c>
      <c r="G14" s="23">
        <v>6.4985998589736198</v>
      </c>
      <c r="H14" s="23">
        <v>187.70725677723499</v>
      </c>
      <c r="I14" s="23">
        <v>5.7989882185890993</v>
      </c>
      <c r="J14" s="23">
        <v>1057.0165691424299</v>
      </c>
      <c r="K14" s="23">
        <v>12.9232040101374</v>
      </c>
      <c r="L14" s="34"/>
      <c r="M14" s="34"/>
      <c r="N14" s="23">
        <v>132.28719658652801</v>
      </c>
      <c r="O14" s="23">
        <v>2.9396405967216701</v>
      </c>
      <c r="P14" s="34"/>
      <c r="Q14" s="34"/>
      <c r="R14" s="23">
        <v>294.06315155455502</v>
      </c>
      <c r="S14" s="23">
        <v>6.5345702427389902</v>
      </c>
      <c r="U14" s="23"/>
    </row>
    <row r="15" spans="1:21" x14ac:dyDescent="0.4">
      <c r="A15" s="9" t="s">
        <v>30</v>
      </c>
      <c r="B15" s="23">
        <v>0.495098816080838</v>
      </c>
      <c r="C15" s="23">
        <v>0.13424736663161801</v>
      </c>
      <c r="D15" s="23">
        <v>0.94247455592246099</v>
      </c>
      <c r="E15" s="23">
        <v>0.25555449364927402</v>
      </c>
      <c r="F15" s="23">
        <v>1.4961215245472701</v>
      </c>
      <c r="G15" s="23">
        <v>0.319994428142506</v>
      </c>
      <c r="H15" s="23">
        <v>1.3461441546603601</v>
      </c>
      <c r="I15" s="23">
        <v>0.36501058374615802</v>
      </c>
      <c r="J15" s="23">
        <v>2.2400926668987302</v>
      </c>
      <c r="K15" s="23">
        <v>0.479116943489861</v>
      </c>
      <c r="L15" s="34"/>
      <c r="M15" s="34"/>
      <c r="N15" s="23">
        <v>1.16702484637818</v>
      </c>
      <c r="O15" s="23">
        <v>0.276289174192617</v>
      </c>
      <c r="P15" s="34"/>
      <c r="Q15" s="34"/>
      <c r="R15" s="23">
        <v>1.71684224146111</v>
      </c>
      <c r="S15" s="23">
        <v>0.40645657766790794</v>
      </c>
      <c r="U15" s="23"/>
    </row>
    <row r="16" spans="1:21" x14ac:dyDescent="0.4">
      <c r="A16" s="9" t="s">
        <v>31</v>
      </c>
      <c r="B16" s="23">
        <v>37.551357578896599</v>
      </c>
      <c r="C16" s="23">
        <v>3.4319557976409198</v>
      </c>
      <c r="D16" s="23">
        <v>28.739725587946801</v>
      </c>
      <c r="E16" s="23">
        <v>2.6266285485666199</v>
      </c>
      <c r="F16" s="23">
        <v>481.40872043956801</v>
      </c>
      <c r="G16" s="23">
        <v>14.835173602935599</v>
      </c>
      <c r="H16" s="23">
        <v>108.169672243683</v>
      </c>
      <c r="I16" s="23">
        <v>9.8860216439752797</v>
      </c>
      <c r="J16" s="23">
        <v>1811.4535075019901</v>
      </c>
      <c r="K16" s="23">
        <v>55.822061621362096</v>
      </c>
      <c r="L16" s="34"/>
      <c r="M16" s="34"/>
      <c r="N16" s="23">
        <v>43.403070543007203</v>
      </c>
      <c r="O16" s="23">
        <v>3.2910508622796595</v>
      </c>
      <c r="P16" s="34"/>
      <c r="Q16" s="34"/>
      <c r="R16" s="23">
        <v>158.39720315911899</v>
      </c>
      <c r="S16" s="23">
        <v>12.010515512329201</v>
      </c>
      <c r="U16" s="23"/>
    </row>
    <row r="17" spans="1:21" x14ac:dyDescent="0.4">
      <c r="A17" s="9" t="s">
        <v>32</v>
      </c>
      <c r="B17" s="23">
        <v>1.2671933726406801</v>
      </c>
      <c r="C17" s="23">
        <v>0.31264067487299602</v>
      </c>
      <c r="D17" s="23">
        <v>1.96405947955081</v>
      </c>
      <c r="E17" s="23">
        <v>0.48457078014689403</v>
      </c>
      <c r="F17" s="23">
        <v>2.4548719251406301</v>
      </c>
      <c r="G17" s="23">
        <v>0.50377301738318103</v>
      </c>
      <c r="H17" s="23">
        <v>5.1910945011326399</v>
      </c>
      <c r="I17" s="23">
        <v>1.2807416162393301</v>
      </c>
      <c r="J17" s="23">
        <v>6.3004403314530704</v>
      </c>
      <c r="K17" s="23">
        <v>1.29293581637134</v>
      </c>
      <c r="L17" s="34"/>
      <c r="M17" s="34"/>
      <c r="N17" s="23">
        <v>2.3935039404465202</v>
      </c>
      <c r="O17" s="23">
        <v>0.50384602161908498</v>
      </c>
      <c r="P17" s="34"/>
      <c r="Q17" s="34"/>
      <c r="R17" s="23">
        <v>6.1388733895833401</v>
      </c>
      <c r="S17" s="23">
        <v>1.2922673250280099</v>
      </c>
      <c r="U17" s="23"/>
    </row>
    <row r="18" spans="1:21" x14ac:dyDescent="0.4">
      <c r="A18" s="9" t="s">
        <v>33</v>
      </c>
      <c r="B18" s="23">
        <v>35.5715966384494</v>
      </c>
      <c r="C18" s="23">
        <v>0.26065839026566301</v>
      </c>
      <c r="D18" s="23">
        <v>48.555899460336398</v>
      </c>
      <c r="E18" s="23">
        <v>0.35580361263717497</v>
      </c>
      <c r="F18" s="23">
        <v>66.621345741363797</v>
      </c>
      <c r="G18" s="23">
        <v>0.47667244045024998</v>
      </c>
      <c r="H18" s="23">
        <v>265.21200757089099</v>
      </c>
      <c r="I18" s="23">
        <v>1.9433970219326802</v>
      </c>
      <c r="J18" s="23">
        <v>332.454700574951</v>
      </c>
      <c r="K18" s="23">
        <v>2.37869697315086</v>
      </c>
      <c r="L18" s="34"/>
      <c r="M18" s="34"/>
      <c r="N18" s="23">
        <v>59.109716499775402</v>
      </c>
      <c r="O18" s="23">
        <v>0.42583817353506204</v>
      </c>
      <c r="P18" s="34"/>
      <c r="Q18" s="34"/>
      <c r="R18" s="23">
        <v>313.98042401410601</v>
      </c>
      <c r="S18" s="23">
        <v>2.2619775259527599</v>
      </c>
      <c r="U18" s="23"/>
    </row>
    <row r="19" spans="1:21" x14ac:dyDescent="0.4">
      <c r="A19" s="9" t="s">
        <v>34</v>
      </c>
      <c r="B19" s="23">
        <v>1.4495250900969401</v>
      </c>
      <c r="C19" s="23">
        <v>0.14676403893492301</v>
      </c>
      <c r="D19" s="23">
        <v>2.3864953031507201</v>
      </c>
      <c r="E19" s="23">
        <v>0.24163202967821701</v>
      </c>
      <c r="F19" s="23">
        <v>4.4272513060422396</v>
      </c>
      <c r="G19" s="23">
        <v>0.35561346838833402</v>
      </c>
      <c r="H19" s="23">
        <v>5.16154844158069</v>
      </c>
      <c r="I19" s="23">
        <v>0.52260543927113301</v>
      </c>
      <c r="J19" s="23">
        <v>8.9148908844997496</v>
      </c>
      <c r="K19" s="23">
        <v>0.71607754983634897</v>
      </c>
      <c r="L19" s="34"/>
      <c r="M19" s="34"/>
      <c r="N19" s="23">
        <v>3.69277046193131</v>
      </c>
      <c r="O19" s="23">
        <v>0.32818143823003904</v>
      </c>
      <c r="P19" s="34"/>
      <c r="Q19" s="34"/>
      <c r="R19" s="23">
        <v>7.34997420770231</v>
      </c>
      <c r="S19" s="23">
        <v>0.65320201493810093</v>
      </c>
      <c r="U19" s="23"/>
    </row>
    <row r="20" spans="1:21" x14ac:dyDescent="0.4">
      <c r="A20" s="9" t="s">
        <v>35</v>
      </c>
      <c r="B20" s="23">
        <v>86.509064857475295</v>
      </c>
      <c r="C20" s="23">
        <v>3.9968965451291001</v>
      </c>
      <c r="D20" s="23">
        <v>72.539408321996305</v>
      </c>
      <c r="E20" s="23">
        <v>3.3514697099727404</v>
      </c>
      <c r="F20" s="23">
        <v>170.787952813591</v>
      </c>
      <c r="G20" s="23">
        <v>4.4626108800399802</v>
      </c>
      <c r="H20" s="23">
        <v>204.33151520219801</v>
      </c>
      <c r="I20" s="23">
        <v>9.4405358388530889</v>
      </c>
      <c r="J20" s="23">
        <v>473.002929422649</v>
      </c>
      <c r="K20" s="23">
        <v>12.359349616633599</v>
      </c>
      <c r="L20" s="34"/>
      <c r="M20" s="34"/>
      <c r="N20" s="23">
        <v>109.834101113907</v>
      </c>
      <c r="O20" s="23">
        <v>3.64956820105153</v>
      </c>
      <c r="P20" s="34"/>
      <c r="Q20" s="34"/>
      <c r="R20" s="23">
        <v>316.75001638276098</v>
      </c>
      <c r="S20" s="23">
        <v>10.524971532058199</v>
      </c>
      <c r="U20" s="23"/>
    </row>
    <row r="21" spans="1:21" x14ac:dyDescent="0.4">
      <c r="A21" s="9" t="s">
        <v>36</v>
      </c>
      <c r="B21" s="23">
        <v>5.5882779713412303</v>
      </c>
      <c r="C21" s="23">
        <v>0.51875174554785797</v>
      </c>
      <c r="D21" s="23">
        <v>4.6059294017487602</v>
      </c>
      <c r="E21" s="23">
        <v>0.42756175145201503</v>
      </c>
      <c r="F21" s="23">
        <v>7.56863007495999</v>
      </c>
      <c r="G21" s="23">
        <v>0.50465727154437801</v>
      </c>
      <c r="H21" s="23">
        <v>9.0277782763490002</v>
      </c>
      <c r="I21" s="23">
        <v>0.83803557433831088</v>
      </c>
      <c r="J21" s="23">
        <v>14.535579661393999</v>
      </c>
      <c r="K21" s="23">
        <v>0.96919599710702498</v>
      </c>
      <c r="L21" s="34"/>
      <c r="M21" s="34"/>
      <c r="N21" s="23">
        <v>5.8431899730942103</v>
      </c>
      <c r="O21" s="23">
        <v>0.44441298131171203</v>
      </c>
      <c r="P21" s="34"/>
      <c r="Q21" s="34"/>
      <c r="R21" s="23">
        <v>11.4138580439856</v>
      </c>
      <c r="S21" s="23">
        <v>0.86809888176718697</v>
      </c>
      <c r="U21" s="23"/>
    </row>
    <row r="22" spans="1:21" x14ac:dyDescent="0.4">
      <c r="A22" s="9" t="s">
        <v>37</v>
      </c>
      <c r="B22" s="23">
        <v>3.9940689450513398</v>
      </c>
      <c r="C22" s="23">
        <v>0.58277297141264195</v>
      </c>
      <c r="D22" s="23">
        <v>5.6574979648664003</v>
      </c>
      <c r="E22" s="23">
        <v>0.82548322152305298</v>
      </c>
      <c r="F22" s="23">
        <v>6.2277280793613503</v>
      </c>
      <c r="G22" s="23">
        <v>0.79018546349015995</v>
      </c>
      <c r="H22" s="23">
        <v>12.4984227722192</v>
      </c>
      <c r="I22" s="23">
        <v>1.82363977115673</v>
      </c>
      <c r="J22" s="23">
        <v>13.5816472959685</v>
      </c>
      <c r="K22" s="23">
        <v>1.72326410639067</v>
      </c>
      <c r="L22" s="34"/>
      <c r="M22" s="34"/>
      <c r="N22" s="23">
        <v>6.2277479413928498</v>
      </c>
      <c r="O22" s="23">
        <v>0.81024735398879999</v>
      </c>
      <c r="P22" s="34"/>
      <c r="Q22" s="34"/>
      <c r="R22" s="23">
        <v>13.5817025962</v>
      </c>
      <c r="S22" s="23">
        <v>1.7670173383370302</v>
      </c>
      <c r="U22" s="23"/>
    </row>
    <row r="23" spans="1:21" x14ac:dyDescent="0.4">
      <c r="A23" s="9" t="s">
        <v>38</v>
      </c>
      <c r="B23" s="23">
        <v>10.0866813124163</v>
      </c>
      <c r="C23" s="23">
        <v>0.27116758652496198</v>
      </c>
      <c r="D23" s="23">
        <v>9.1963244721251094</v>
      </c>
      <c r="E23" s="23">
        <v>0.247231476316883</v>
      </c>
      <c r="F23" s="23">
        <v>25.940253013899198</v>
      </c>
      <c r="G23" s="23">
        <v>0.50409823738484494</v>
      </c>
      <c r="H23" s="23">
        <v>15.791971165384201</v>
      </c>
      <c r="I23" s="23">
        <v>0.42454704126695497</v>
      </c>
      <c r="J23" s="23">
        <v>42.6136945722956</v>
      </c>
      <c r="K23" s="23">
        <v>0.82811406314503599</v>
      </c>
      <c r="L23" s="34"/>
      <c r="M23" s="34"/>
      <c r="N23" s="23">
        <v>12.8650686705612</v>
      </c>
      <c r="O23" s="23">
        <v>0.28529672602886402</v>
      </c>
      <c r="P23" s="34"/>
      <c r="Q23" s="34"/>
      <c r="R23" s="23">
        <v>23.174934795237998</v>
      </c>
      <c r="S23" s="23">
        <v>0.51392908909559298</v>
      </c>
      <c r="U23" s="23"/>
    </row>
    <row r="24" spans="1:21" x14ac:dyDescent="0.4">
      <c r="A24" s="9" t="s">
        <v>39</v>
      </c>
      <c r="B24" s="23">
        <v>3.2232810309478402E-2</v>
      </c>
      <c r="C24" s="23">
        <v>3.5442506620389997E-3</v>
      </c>
      <c r="D24" s="23">
        <v>0.14300863271703201</v>
      </c>
      <c r="E24" s="23">
        <v>1.5724922410367298E-2</v>
      </c>
      <c r="F24" s="23">
        <v>0.149010742618574</v>
      </c>
      <c r="G24" s="23">
        <v>1.23808588586032E-2</v>
      </c>
      <c r="H24" s="23">
        <v>0.26084325782089801</v>
      </c>
      <c r="I24" s="23">
        <v>2.8681764957623701E-2</v>
      </c>
      <c r="J24" s="23">
        <v>0.27289112252363801</v>
      </c>
      <c r="K24" s="23">
        <v>2.2673710716141399E-2</v>
      </c>
      <c r="L24" s="34"/>
      <c r="M24" s="34"/>
      <c r="N24" s="23">
        <v>0.149010742618574</v>
      </c>
      <c r="O24" s="23">
        <v>1.3320384085878802E-2</v>
      </c>
      <c r="P24" s="34"/>
      <c r="Q24" s="34"/>
      <c r="R24" s="23">
        <v>0.27289112252363801</v>
      </c>
      <c r="S24" s="23">
        <v>2.4394312126516198E-2</v>
      </c>
      <c r="U24" s="23"/>
    </row>
    <row r="25" spans="1:21" x14ac:dyDescent="0.4">
      <c r="A25" s="9" t="s">
        <v>40</v>
      </c>
      <c r="B25" s="23">
        <v>26.598291820318099</v>
      </c>
      <c r="C25" s="23">
        <v>5.7729885648475996</v>
      </c>
      <c r="D25" s="23">
        <v>25.410229787127001</v>
      </c>
      <c r="E25" s="23">
        <v>5.51512732404783</v>
      </c>
      <c r="F25" s="23">
        <v>40.879624712790999</v>
      </c>
      <c r="G25" s="23">
        <v>7.2908300314467596</v>
      </c>
      <c r="H25" s="23">
        <v>88.726970868921995</v>
      </c>
      <c r="I25" s="23">
        <v>19.257619687764098</v>
      </c>
      <c r="J25" s="23">
        <v>143.07603456003301</v>
      </c>
      <c r="K25" s="23">
        <v>25.5174321408143</v>
      </c>
      <c r="L25" s="34"/>
      <c r="M25" s="34"/>
      <c r="N25" s="23">
        <v>36.0436894631112</v>
      </c>
      <c r="O25" s="23">
        <v>6.8127299980621601</v>
      </c>
      <c r="P25" s="34"/>
      <c r="Q25" s="34"/>
      <c r="R25" s="23">
        <v>125.469259297419</v>
      </c>
      <c r="S25" s="23">
        <v>23.7153354549067</v>
      </c>
      <c r="U25" s="23"/>
    </row>
    <row r="26" spans="1:21" x14ac:dyDescent="0.4">
      <c r="A26" s="9" t="s">
        <v>41</v>
      </c>
      <c r="B26" s="23">
        <v>48.170536220842102</v>
      </c>
      <c r="C26" s="23">
        <v>4.0142007829718596</v>
      </c>
      <c r="D26" s="23">
        <v>43.931891993664202</v>
      </c>
      <c r="E26" s="23">
        <v>3.6609813606787096</v>
      </c>
      <c r="F26" s="23">
        <v>75.445348943545298</v>
      </c>
      <c r="G26" s="23">
        <v>4.3748302323061798</v>
      </c>
      <c r="H26" s="23">
        <v>102.392522608021</v>
      </c>
      <c r="I26" s="23">
        <v>8.5326877520981999</v>
      </c>
      <c r="J26" s="23">
        <v>167.96198273979499</v>
      </c>
      <c r="K26" s="23">
        <v>9.7395687110943197</v>
      </c>
      <c r="L26" s="34"/>
      <c r="M26" s="34"/>
      <c r="N26" s="23">
        <v>64.036001421374905</v>
      </c>
      <c r="O26" s="23">
        <v>4.2033235735030301</v>
      </c>
      <c r="P26" s="34"/>
      <c r="Q26" s="34"/>
      <c r="R26" s="23">
        <v>146.76206422181099</v>
      </c>
      <c r="S26" s="23">
        <v>9.6334629044091304</v>
      </c>
      <c r="U26" s="23"/>
    </row>
    <row r="27" spans="1:21" x14ac:dyDescent="0.4">
      <c r="A27" s="9" t="s">
        <v>42</v>
      </c>
      <c r="B27" s="23">
        <v>37.491831162283503</v>
      </c>
      <c r="C27" s="23">
        <v>1.7658168926833102</v>
      </c>
      <c r="D27" s="23">
        <v>30.0574110479109</v>
      </c>
      <c r="E27" s="23">
        <v>1.41566529383395</v>
      </c>
      <c r="F27" s="23">
        <v>98.939959061174306</v>
      </c>
      <c r="G27" s="23">
        <v>2.44724841130687</v>
      </c>
      <c r="H27" s="23">
        <v>71.034895884292297</v>
      </c>
      <c r="I27" s="23">
        <v>3.3456519789481498</v>
      </c>
      <c r="J27" s="23">
        <v>213.51741636883099</v>
      </c>
      <c r="K27" s="23">
        <v>5.28128536693543</v>
      </c>
      <c r="L27" s="34"/>
      <c r="M27" s="34"/>
      <c r="N27" s="23">
        <v>48.050137082711601</v>
      </c>
      <c r="O27" s="23">
        <v>1.48875972132849</v>
      </c>
      <c r="P27" s="34"/>
      <c r="Q27" s="34"/>
      <c r="R27" s="23">
        <v>115.44831875235</v>
      </c>
      <c r="S27" s="23">
        <v>3.5769888971957404</v>
      </c>
      <c r="U27" s="23"/>
    </row>
    <row r="28" spans="1:21" x14ac:dyDescent="0.4">
      <c r="A28" s="9" t="s">
        <v>43</v>
      </c>
      <c r="B28" s="23">
        <v>0.41684091490619701</v>
      </c>
      <c r="C28" s="23">
        <v>1.5409288755964499E-2</v>
      </c>
      <c r="D28" s="23">
        <v>0.364740280432855</v>
      </c>
      <c r="E28" s="23">
        <v>1.3483293268814801E-2</v>
      </c>
      <c r="F28" s="23">
        <v>0.44964484832288998</v>
      </c>
      <c r="G28" s="23">
        <v>1.3913480892941098E-2</v>
      </c>
      <c r="H28" s="23">
        <v>1.4171117288049899</v>
      </c>
      <c r="I28" s="23">
        <v>5.2386133528984899E-2</v>
      </c>
      <c r="J28" s="23">
        <v>1.7511734786511099</v>
      </c>
      <c r="K28" s="23">
        <v>5.4187029666447104E-2</v>
      </c>
      <c r="L28" s="34"/>
      <c r="M28" s="34"/>
      <c r="N28" s="23">
        <v>0.42656412229210799</v>
      </c>
      <c r="O28" s="23">
        <v>1.3258193548157899E-2</v>
      </c>
      <c r="P28" s="34"/>
      <c r="Q28" s="34"/>
      <c r="R28" s="23">
        <v>1.68850462258552</v>
      </c>
      <c r="S28" s="23">
        <v>5.2481022015883699E-2</v>
      </c>
      <c r="U28" s="23"/>
    </row>
    <row r="29" spans="1:21" x14ac:dyDescent="0.4">
      <c r="A29" s="9" t="s">
        <v>44</v>
      </c>
      <c r="B29" s="23">
        <v>3.7993046181610799E-3</v>
      </c>
      <c r="C29" s="23">
        <v>3.0493205709093501E-3</v>
      </c>
      <c r="D29" s="23">
        <v>1.17548443637784E-3</v>
      </c>
      <c r="E29" s="23">
        <v>9.4344340158901603E-4</v>
      </c>
      <c r="F29" s="23">
        <v>6.1675959773890999E-3</v>
      </c>
      <c r="G29" s="23">
        <v>1.8075142885185199E-3</v>
      </c>
      <c r="H29" s="23">
        <v>3.6485307500477002E-2</v>
      </c>
      <c r="I29" s="23">
        <v>2.9283095165716599E-2</v>
      </c>
      <c r="J29" s="23">
        <v>0.19455514118688499</v>
      </c>
      <c r="K29" s="23">
        <v>5.7017547661885E-2</v>
      </c>
      <c r="L29" s="34"/>
      <c r="M29" s="34"/>
      <c r="N29" s="23">
        <v>3.8525025983596399E-3</v>
      </c>
      <c r="O29" s="23">
        <v>2.0240372609728E-3</v>
      </c>
      <c r="P29" s="34"/>
      <c r="Q29" s="34"/>
      <c r="R29" s="23">
        <v>0.119153670020652</v>
      </c>
      <c r="S29" s="23">
        <v>6.2601247305101901E-2</v>
      </c>
      <c r="U29" s="23"/>
    </row>
    <row r="30" spans="1:21" x14ac:dyDescent="0.4">
      <c r="A30" s="9" t="s">
        <v>45</v>
      </c>
      <c r="B30" s="23">
        <v>7.7596676649892005E-2</v>
      </c>
      <c r="C30" s="23">
        <v>8.6576993933391699E-3</v>
      </c>
      <c r="D30" s="23">
        <v>5.2844193871018803E-2</v>
      </c>
      <c r="E30" s="23">
        <v>5.8959889130671198E-3</v>
      </c>
      <c r="F30" s="23">
        <v>9.6297466061076906E-2</v>
      </c>
      <c r="G30" s="23">
        <v>7.8641079277149799E-3</v>
      </c>
      <c r="H30" s="23">
        <v>0.207033171204873</v>
      </c>
      <c r="I30" s="23">
        <v>2.3099326390339799E-2</v>
      </c>
      <c r="J30" s="23">
        <v>0.36179786078605602</v>
      </c>
      <c r="K30" s="23">
        <v>2.9546129733396698E-2</v>
      </c>
      <c r="L30" s="34"/>
      <c r="M30" s="34"/>
      <c r="N30" s="23">
        <v>8.9501120025105699E-2</v>
      </c>
      <c r="O30" s="23">
        <v>7.4366610281969394E-3</v>
      </c>
      <c r="P30" s="34"/>
      <c r="Q30" s="34"/>
      <c r="R30" s="23">
        <v>0.339264408222472</v>
      </c>
      <c r="S30" s="23">
        <v>2.8189528825724598E-2</v>
      </c>
      <c r="U30" s="23"/>
    </row>
    <row r="31" spans="1:21" x14ac:dyDescent="0.4">
      <c r="A31" s="9" t="s">
        <v>46</v>
      </c>
      <c r="B31" s="24">
        <v>27.679621704337499</v>
      </c>
      <c r="C31" s="23">
        <v>1.3031445440898799</v>
      </c>
      <c r="D31" s="24">
        <v>20.380936046162301</v>
      </c>
      <c r="E31" s="24">
        <v>0.95952559957997297</v>
      </c>
      <c r="F31" s="24">
        <v>1463.2471792571801</v>
      </c>
      <c r="G31" s="24">
        <v>14.462656681118899</v>
      </c>
      <c r="H31" s="24">
        <v>78.022814825259104</v>
      </c>
      <c r="I31" s="24">
        <v>3.6732801676310101</v>
      </c>
      <c r="J31" s="24">
        <v>5429.17623806129</v>
      </c>
      <c r="K31" s="24">
        <v>53.661686901204099</v>
      </c>
      <c r="L31" s="35"/>
      <c r="M31" s="35"/>
      <c r="N31" s="24">
        <v>38.213792423987996</v>
      </c>
      <c r="O31" s="23">
        <v>1.2864095446631099</v>
      </c>
      <c r="P31" s="35"/>
      <c r="Q31" s="35"/>
      <c r="R31" s="24">
        <v>139.51271803580701</v>
      </c>
      <c r="S31" s="23">
        <v>4.6964847166149397</v>
      </c>
      <c r="U31" s="23"/>
    </row>
    <row r="32" spans="1:21" x14ac:dyDescent="0.4">
      <c r="A32" s="13" t="s">
        <v>47</v>
      </c>
      <c r="B32" s="25">
        <v>534.51948293062196</v>
      </c>
      <c r="C32" s="25">
        <v>1.0070843349793799</v>
      </c>
      <c r="D32" s="25">
        <v>465.86900467754998</v>
      </c>
      <c r="E32" s="25">
        <v>0.8777404598815951</v>
      </c>
      <c r="F32" s="25">
        <v>3315.8298804681899</v>
      </c>
      <c r="G32" s="25">
        <v>3.4608606624835399</v>
      </c>
      <c r="H32" s="25">
        <v>1380.44187762193</v>
      </c>
      <c r="I32" s="25">
        <v>2.6008806688960497</v>
      </c>
      <c r="J32" s="25">
        <v>10648.898778147601</v>
      </c>
      <c r="K32" s="25">
        <v>11.1146699947274</v>
      </c>
      <c r="L32" s="36"/>
      <c r="M32" s="36"/>
      <c r="N32" s="25">
        <v>686.46232194675702</v>
      </c>
      <c r="O32" s="25">
        <v>1.0471518608077299</v>
      </c>
      <c r="P32" s="36"/>
      <c r="Q32" s="36"/>
      <c r="R32" s="25">
        <v>1995.96472324242</v>
      </c>
      <c r="S32" s="25">
        <v>3.0447092392814801</v>
      </c>
      <c r="U32" s="23"/>
    </row>
  </sheetData>
  <mergeCells count="17">
    <mergeCell ref="B2:C5"/>
    <mergeCell ref="D3:K3"/>
    <mergeCell ref="D2:K2"/>
    <mergeCell ref="L2:S2"/>
    <mergeCell ref="L3:S3"/>
    <mergeCell ref="D4:G4"/>
    <mergeCell ref="H4:K4"/>
    <mergeCell ref="R5:S5"/>
    <mergeCell ref="L4:O4"/>
    <mergeCell ref="P4:S4"/>
    <mergeCell ref="D5:E5"/>
    <mergeCell ref="F5:G5"/>
    <mergeCell ref="H5:I5"/>
    <mergeCell ref="J5:K5"/>
    <mergeCell ref="L5:M5"/>
    <mergeCell ref="N5:O5"/>
    <mergeCell ref="P5:Q5"/>
  </mergeCells>
  <hyperlinks>
    <hyperlink ref="A7" r:id="rId1" tooltip="Banteay Meanchey province" display="https://en.wikipedia.org/wiki/Banteay_Meanchey_province" xr:uid="{0C362844-4C8A-40B6-B7E8-0D80CD085EED}"/>
    <hyperlink ref="A8" r:id="rId2" tooltip="Battambang province" display="https://en.wikipedia.org/wiki/Battambang_province" xr:uid="{6BF67667-0C25-4188-AB50-AF35E945A330}"/>
    <hyperlink ref="A9" r:id="rId3" tooltip="Kampong Cham province" display="https://en.wikipedia.org/wiki/Kampong_Cham_province" xr:uid="{0E41C4DB-ACE8-457D-9A4E-0BF5C28D1FD4}"/>
    <hyperlink ref="A10" r:id="rId4" tooltip="Kampong Chhnang province" display="https://en.wikipedia.org/wiki/Kampong_Chhnang_province" xr:uid="{AC0281B1-3ACA-49A2-8336-48B86532D484}"/>
    <hyperlink ref="A11" r:id="rId5" tooltip="Kampong Speu province" display="https://en.wikipedia.org/wiki/Kampong_Speu_province" xr:uid="{3F11DF18-0AC5-45C1-B02F-122EBC601099}"/>
    <hyperlink ref="A12" r:id="rId6" tooltip="Kampong Thom province" display="https://en.wikipedia.org/wiki/Kampong_Thom_province" xr:uid="{83B96006-9E48-463A-85F1-316CD31A4F69}"/>
    <hyperlink ref="A13" r:id="rId7" tooltip="Kampot province" display="https://en.wikipedia.org/wiki/Kampot_province" xr:uid="{632B9178-B0EB-42A2-BD6E-129C8FB7CABD}"/>
    <hyperlink ref="A14" r:id="rId8" tooltip="Kandal province" display="https://en.wikipedia.org/wiki/Kandal_province" xr:uid="{9FFB82B3-A3AA-402D-8A2D-61FDFF319133}"/>
    <hyperlink ref="A15" r:id="rId9" tooltip="Koh Kong province" display="https://en.wikipedia.org/wiki/Koh_Kong_province" xr:uid="{886475B9-D76F-4084-911A-66503A331C60}"/>
    <hyperlink ref="A16" r:id="rId10" tooltip="Kratié province" display="https://en.wikipedia.org/wiki/Krati%C3%A9_province" xr:uid="{2F2E077A-59BD-4668-9871-DB1E6C14B2ED}"/>
    <hyperlink ref="A17" r:id="rId11" tooltip="Mondulkiri province" display="https://en.wikipedia.org/wiki/Mondulkiri_province" xr:uid="{4829CBF7-FC8A-4A9D-80D3-7A9AB5BD2B69}"/>
    <hyperlink ref="A18" r:id="rId12" tooltip="Phnom Penh" display="https://en.wikipedia.org/wiki/Phnom_Penh" xr:uid="{28D5EB58-E244-4D2D-B557-F549B8661643}"/>
    <hyperlink ref="A19" r:id="rId13" tooltip="Preah Vihear province" display="https://en.wikipedia.org/wiki/Preah_Vihear_province" xr:uid="{DA9F3BD9-A0C7-4825-AFD2-2E98ABDDA04F}"/>
    <hyperlink ref="A20" r:id="rId14" tooltip="Prey Veng province" display="https://en.wikipedia.org/wiki/Prey_Veng_province" xr:uid="{05850053-3104-4741-8B23-89881CFDA368}"/>
    <hyperlink ref="A21" r:id="rId15" tooltip="Pursat province" display="https://en.wikipedia.org/wiki/Pursat_province" xr:uid="{F12DAACF-EE6E-4ADA-AB0F-8FC2F86D1EB7}"/>
    <hyperlink ref="A22" r:id="rId16" tooltip="Ratanakiri province" display="https://en.wikipedia.org/wiki/Ratanakiri_province" xr:uid="{4315DC2D-BCE0-4CAA-A418-25ED3A0BD329}"/>
    <hyperlink ref="A23" r:id="rId17" tooltip="Siem Reap province" display="https://en.wikipedia.org/wiki/Siem_Reap_province" xr:uid="{4015BAF0-F57D-4BA6-8B3A-479BB5AC3D7B}"/>
    <hyperlink ref="A24" r:id="rId18" tooltip="Sihanoukville province" display="https://en.wikipedia.org/wiki/Sihanoukville_province" xr:uid="{3546E73B-9D28-41F8-9948-55B70CB17E73}"/>
    <hyperlink ref="A25" r:id="rId19" tooltip="Stung Treng province" display="https://en.wikipedia.org/wiki/Stung_Treng_province" xr:uid="{AA9461E3-3A0B-458B-9633-FFC7C5003DB8}"/>
    <hyperlink ref="A26" r:id="rId20" tooltip="Svay Rieng province" display="https://en.wikipedia.org/wiki/Svay_Rieng_province" xr:uid="{94D987DB-BB7A-4B4E-AD41-9F08ABD07858}"/>
    <hyperlink ref="A27" r:id="rId21" tooltip="Takéo province" display="https://en.wikipedia.org/wiki/Tak%C3%A9o_province" xr:uid="{C64FB1CE-3140-48B3-970D-40A0AD0EB661}"/>
    <hyperlink ref="A28" r:id="rId22" tooltip="Oddar Meanchey province" display="https://en.wikipedia.org/wiki/Oddar_Meanchey_province" xr:uid="{0EEA353E-CE85-418D-B72F-99D1CF8D4CE1}"/>
    <hyperlink ref="A29" r:id="rId23" tooltip="Kep province" display="https://en.wikipedia.org/wiki/Kep_province" xr:uid="{6C2401FA-E4E4-4A4D-A036-97EA7CE63B21}"/>
    <hyperlink ref="A30" r:id="rId24" tooltip="Pailin province" display="https://en.wikipedia.org/wiki/Pailin_province" xr:uid="{EBCD102E-7CA9-4641-89DC-C701330F48F1}"/>
    <hyperlink ref="A31" r:id="rId25" tooltip="Tboung Khmum province" display="https://en.wikipedia.org/wiki/Tboung_Khmum_province" xr:uid="{E4577C78-CC41-45E3-85B7-B1FFE921FE8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3E40-5198-4A9F-BFF3-F9924F262F66}">
  <dimension ref="A1:K32"/>
  <sheetViews>
    <sheetView workbookViewId="0">
      <selection activeCell="B2" sqref="B2:C5"/>
    </sheetView>
  </sheetViews>
  <sheetFormatPr defaultColWidth="8.53515625" defaultRowHeight="14.6" x14ac:dyDescent="0.4"/>
  <cols>
    <col min="1" max="1" width="21.15234375" style="9" customWidth="1"/>
    <col min="2" max="11" width="10.53515625" style="9" customWidth="1"/>
    <col min="12" max="16384" width="8.53515625" style="9"/>
  </cols>
  <sheetData>
    <row r="1" spans="1:11" x14ac:dyDescent="0.4">
      <c r="A1" s="18"/>
      <c r="B1" s="18"/>
      <c r="C1" s="18"/>
    </row>
    <row r="2" spans="1:11" x14ac:dyDescent="0.4">
      <c r="B2" s="88" t="s">
        <v>13</v>
      </c>
      <c r="C2" s="89"/>
      <c r="D2" s="94" t="s">
        <v>14</v>
      </c>
      <c r="E2" s="93"/>
      <c r="F2" s="93"/>
      <c r="G2" s="93"/>
      <c r="H2" s="93"/>
      <c r="I2" s="93"/>
      <c r="J2" s="93"/>
      <c r="K2" s="95"/>
    </row>
    <row r="3" spans="1:11" x14ac:dyDescent="0.4">
      <c r="B3" s="88"/>
      <c r="C3" s="89"/>
      <c r="D3" s="94">
        <v>2050</v>
      </c>
      <c r="E3" s="93"/>
      <c r="F3" s="93"/>
      <c r="G3" s="93"/>
      <c r="H3" s="93"/>
      <c r="I3" s="93"/>
      <c r="J3" s="93"/>
      <c r="K3" s="95"/>
    </row>
    <row r="4" spans="1:11" ht="29.15" customHeight="1" x14ac:dyDescent="0.4">
      <c r="A4" s="19"/>
      <c r="B4" s="88"/>
      <c r="C4" s="89"/>
      <c r="D4" s="96" t="s">
        <v>16</v>
      </c>
      <c r="E4" s="97"/>
      <c r="F4" s="97"/>
      <c r="G4" s="98"/>
      <c r="H4" s="97" t="s">
        <v>17</v>
      </c>
      <c r="I4" s="97"/>
      <c r="J4" s="97"/>
      <c r="K4" s="98"/>
    </row>
    <row r="5" spans="1:11" ht="29.15" customHeight="1" x14ac:dyDescent="0.4">
      <c r="A5" s="19"/>
      <c r="B5" s="90"/>
      <c r="C5" s="91"/>
      <c r="D5" s="92" t="s">
        <v>18</v>
      </c>
      <c r="E5" s="86"/>
      <c r="F5" s="86" t="s">
        <v>19</v>
      </c>
      <c r="G5" s="87"/>
      <c r="H5" s="92" t="s">
        <v>18</v>
      </c>
      <c r="I5" s="86"/>
      <c r="J5" s="86" t="s">
        <v>19</v>
      </c>
      <c r="K5" s="87"/>
    </row>
    <row r="6" spans="1:11" x14ac:dyDescent="0.4">
      <c r="A6" s="12"/>
      <c r="B6" s="16" t="s">
        <v>20</v>
      </c>
      <c r="C6" s="17" t="s">
        <v>21</v>
      </c>
      <c r="D6" s="16" t="s">
        <v>5</v>
      </c>
      <c r="E6" s="14" t="s">
        <v>21</v>
      </c>
      <c r="F6" s="14" t="s">
        <v>5</v>
      </c>
      <c r="G6" s="17" t="s">
        <v>21</v>
      </c>
      <c r="H6" s="14" t="s">
        <v>5</v>
      </c>
      <c r="I6" s="14" t="s">
        <v>21</v>
      </c>
      <c r="J6" s="14" t="s">
        <v>5</v>
      </c>
      <c r="K6" s="17" t="s">
        <v>21</v>
      </c>
    </row>
    <row r="7" spans="1:11" x14ac:dyDescent="0.4">
      <c r="A7" s="9" t="s">
        <v>22</v>
      </c>
      <c r="D7" s="10"/>
      <c r="E7" s="10"/>
      <c r="F7" s="10"/>
      <c r="G7" s="10"/>
      <c r="H7" s="10"/>
      <c r="I7" s="10"/>
      <c r="J7" s="10"/>
      <c r="K7" s="10"/>
    </row>
    <row r="8" spans="1:11" x14ac:dyDescent="0.4">
      <c r="A8" s="9" t="s">
        <v>23</v>
      </c>
      <c r="D8" s="10"/>
      <c r="E8" s="10"/>
      <c r="F8" s="10"/>
      <c r="G8" s="10"/>
      <c r="H8" s="10"/>
      <c r="I8" s="10"/>
      <c r="J8" s="10"/>
      <c r="K8" s="10"/>
    </row>
    <row r="9" spans="1:11" x14ac:dyDescent="0.4">
      <c r="A9" s="9" t="s">
        <v>24</v>
      </c>
      <c r="D9" s="10"/>
      <c r="E9" s="10"/>
      <c r="F9" s="10"/>
      <c r="G9" s="10"/>
      <c r="H9" s="10"/>
      <c r="I9" s="10"/>
      <c r="J9" s="10"/>
      <c r="K9" s="10"/>
    </row>
    <row r="10" spans="1:11" x14ac:dyDescent="0.4">
      <c r="A10" s="9" t="s">
        <v>25</v>
      </c>
      <c r="D10" s="10"/>
      <c r="E10" s="10"/>
      <c r="F10" s="10"/>
      <c r="G10" s="10"/>
      <c r="H10" s="10"/>
      <c r="I10" s="10"/>
      <c r="J10" s="10"/>
      <c r="K10" s="10"/>
    </row>
    <row r="11" spans="1:11" x14ac:dyDescent="0.4">
      <c r="A11" s="9" t="s">
        <v>26</v>
      </c>
      <c r="D11" s="10"/>
      <c r="E11" s="10"/>
      <c r="F11" s="10"/>
      <c r="G11" s="10"/>
      <c r="H11" s="10"/>
      <c r="I11" s="10"/>
      <c r="J11" s="10"/>
      <c r="K11" s="10"/>
    </row>
    <row r="12" spans="1:11" x14ac:dyDescent="0.4">
      <c r="A12" s="9" t="s">
        <v>27</v>
      </c>
      <c r="D12" s="10"/>
      <c r="E12" s="10"/>
      <c r="F12" s="10"/>
      <c r="G12" s="10"/>
      <c r="H12" s="10"/>
      <c r="I12" s="10"/>
      <c r="J12" s="10"/>
      <c r="K12" s="10"/>
    </row>
    <row r="13" spans="1:11" x14ac:dyDescent="0.4">
      <c r="A13" s="9" t="s">
        <v>28</v>
      </c>
      <c r="D13" s="10"/>
      <c r="E13" s="10"/>
      <c r="F13" s="10"/>
      <c r="G13" s="10"/>
      <c r="H13" s="10"/>
      <c r="I13" s="10"/>
      <c r="J13" s="10"/>
      <c r="K13" s="10"/>
    </row>
    <row r="14" spans="1:11" x14ac:dyDescent="0.4">
      <c r="A14" s="9" t="s">
        <v>29</v>
      </c>
      <c r="D14" s="10"/>
      <c r="E14" s="10"/>
      <c r="F14" s="10"/>
      <c r="G14" s="10"/>
      <c r="H14" s="10"/>
      <c r="I14" s="10"/>
      <c r="J14" s="10"/>
      <c r="K14" s="10"/>
    </row>
    <row r="15" spans="1:11" x14ac:dyDescent="0.4">
      <c r="A15" s="9" t="s">
        <v>30</v>
      </c>
      <c r="D15" s="10"/>
      <c r="E15" s="10"/>
      <c r="F15" s="10"/>
      <c r="G15" s="10"/>
      <c r="H15" s="10"/>
      <c r="I15" s="10"/>
      <c r="J15" s="10"/>
      <c r="K15" s="10"/>
    </row>
    <row r="16" spans="1:11" x14ac:dyDescent="0.4">
      <c r="A16" s="9" t="s">
        <v>31</v>
      </c>
      <c r="D16" s="10"/>
      <c r="E16" s="10"/>
      <c r="F16" s="10"/>
      <c r="G16" s="10"/>
      <c r="H16" s="10"/>
      <c r="I16" s="10"/>
      <c r="J16" s="10"/>
      <c r="K16" s="10"/>
    </row>
    <row r="17" spans="1:11" x14ac:dyDescent="0.4">
      <c r="A17" s="9" t="s">
        <v>32</v>
      </c>
      <c r="D17" s="10"/>
      <c r="E17" s="10"/>
      <c r="F17" s="10"/>
      <c r="G17" s="10"/>
      <c r="H17" s="10"/>
      <c r="I17" s="10"/>
      <c r="J17" s="10"/>
      <c r="K17" s="10"/>
    </row>
    <row r="18" spans="1:11" x14ac:dyDescent="0.4">
      <c r="A18" s="9" t="s">
        <v>33</v>
      </c>
      <c r="D18" s="10"/>
      <c r="E18" s="10"/>
      <c r="F18" s="10"/>
      <c r="G18" s="10"/>
      <c r="H18" s="11"/>
      <c r="I18" s="11"/>
      <c r="J18" s="11"/>
      <c r="K18" s="11"/>
    </row>
    <row r="19" spans="1:11" x14ac:dyDescent="0.4">
      <c r="A19" s="9" t="s">
        <v>34</v>
      </c>
      <c r="D19" s="10"/>
      <c r="E19" s="10"/>
      <c r="F19" s="10"/>
      <c r="G19" s="10"/>
      <c r="H19" s="10"/>
      <c r="I19" s="10"/>
      <c r="J19" s="10"/>
      <c r="K19" s="10"/>
    </row>
    <row r="20" spans="1:11" x14ac:dyDescent="0.4">
      <c r="A20" s="9" t="s">
        <v>35</v>
      </c>
      <c r="D20" s="10"/>
      <c r="E20" s="10"/>
      <c r="F20" s="10"/>
      <c r="G20" s="10"/>
      <c r="H20" s="10"/>
      <c r="I20" s="10"/>
      <c r="J20" s="10"/>
      <c r="K20" s="10"/>
    </row>
    <row r="21" spans="1:11" x14ac:dyDescent="0.4">
      <c r="A21" s="9" t="s">
        <v>36</v>
      </c>
      <c r="D21" s="10"/>
      <c r="E21" s="10"/>
      <c r="F21" s="10"/>
      <c r="G21" s="10"/>
      <c r="H21" s="10"/>
      <c r="I21" s="10"/>
      <c r="J21" s="10"/>
      <c r="K21" s="10"/>
    </row>
    <row r="22" spans="1:11" x14ac:dyDescent="0.4">
      <c r="A22" s="9" t="s">
        <v>37</v>
      </c>
      <c r="D22" s="10"/>
      <c r="E22" s="10"/>
      <c r="F22" s="10"/>
      <c r="G22" s="10"/>
      <c r="H22" s="10"/>
      <c r="I22" s="10"/>
      <c r="J22" s="10"/>
      <c r="K22" s="10"/>
    </row>
    <row r="23" spans="1:11" x14ac:dyDescent="0.4">
      <c r="A23" s="9" t="s">
        <v>38</v>
      </c>
      <c r="D23" s="10"/>
      <c r="E23" s="10"/>
      <c r="F23" s="10"/>
      <c r="G23" s="10"/>
      <c r="H23" s="10"/>
      <c r="I23" s="10"/>
      <c r="J23" s="10"/>
      <c r="K23" s="10"/>
    </row>
    <row r="24" spans="1:11" x14ac:dyDescent="0.4">
      <c r="A24" s="9" t="s">
        <v>39</v>
      </c>
      <c r="D24" s="10"/>
      <c r="E24" s="10"/>
      <c r="F24" s="10"/>
      <c r="G24" s="10"/>
      <c r="H24" s="10"/>
      <c r="I24" s="10"/>
      <c r="J24" s="10"/>
      <c r="K24" s="10"/>
    </row>
    <row r="25" spans="1:11" x14ac:dyDescent="0.4">
      <c r="A25" s="9" t="s">
        <v>40</v>
      </c>
      <c r="D25" s="10"/>
      <c r="E25" s="10"/>
      <c r="F25" s="10"/>
      <c r="G25" s="10"/>
      <c r="H25" s="10"/>
      <c r="I25" s="10"/>
      <c r="J25" s="10"/>
      <c r="K25" s="10"/>
    </row>
    <row r="26" spans="1:11" x14ac:dyDescent="0.4">
      <c r="A26" s="9" t="s">
        <v>41</v>
      </c>
      <c r="D26" s="10"/>
      <c r="E26" s="10"/>
      <c r="F26" s="10"/>
      <c r="G26" s="10"/>
      <c r="H26" s="10"/>
      <c r="I26" s="10"/>
      <c r="J26" s="10"/>
      <c r="K26" s="10"/>
    </row>
    <row r="27" spans="1:11" x14ac:dyDescent="0.4">
      <c r="A27" s="9" t="s">
        <v>42</v>
      </c>
      <c r="D27" s="10"/>
      <c r="E27" s="10"/>
      <c r="F27" s="10"/>
      <c r="G27" s="10"/>
      <c r="H27" s="10"/>
      <c r="I27" s="10"/>
      <c r="J27" s="10"/>
      <c r="K27" s="10"/>
    </row>
    <row r="28" spans="1:11" x14ac:dyDescent="0.4">
      <c r="A28" s="9" t="s">
        <v>43</v>
      </c>
      <c r="D28" s="10"/>
      <c r="E28" s="10"/>
      <c r="F28" s="10"/>
      <c r="G28" s="10"/>
      <c r="H28" s="10"/>
      <c r="I28" s="10"/>
      <c r="J28" s="10"/>
      <c r="K28" s="10"/>
    </row>
    <row r="29" spans="1:11" x14ac:dyDescent="0.4">
      <c r="A29" s="9" t="s">
        <v>44</v>
      </c>
      <c r="D29" s="10"/>
      <c r="E29" s="10"/>
      <c r="F29" s="10"/>
      <c r="G29" s="10"/>
      <c r="H29" s="11"/>
      <c r="I29" s="11"/>
      <c r="J29" s="11"/>
      <c r="K29" s="11"/>
    </row>
    <row r="30" spans="1:11" x14ac:dyDescent="0.4">
      <c r="A30" s="9" t="s">
        <v>45</v>
      </c>
      <c r="D30" s="10"/>
      <c r="E30" s="10"/>
      <c r="F30" s="10"/>
      <c r="G30" s="10"/>
      <c r="H30" s="11"/>
      <c r="I30" s="11"/>
      <c r="J30" s="11"/>
      <c r="K30" s="11"/>
    </row>
    <row r="31" spans="1:11" x14ac:dyDescent="0.4">
      <c r="A31" s="9" t="s">
        <v>46</v>
      </c>
    </row>
    <row r="32" spans="1:11" x14ac:dyDescent="0.4">
      <c r="A32" s="13" t="s">
        <v>47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52A53E-51E5-407D-A6B9-FD90F6F12619}"/>
    <hyperlink ref="A8" r:id="rId2" tooltip="Battambang province" display="https://en.wikipedia.org/wiki/Battambang_province" xr:uid="{62951570-1086-4968-8194-AEE8DBCC4489}"/>
    <hyperlink ref="A9" r:id="rId3" tooltip="Kampong Cham province" display="https://en.wikipedia.org/wiki/Kampong_Cham_province" xr:uid="{89F2FB76-5A69-4A57-B370-13A8E3F8B34E}"/>
    <hyperlink ref="A10" r:id="rId4" tooltip="Kampong Chhnang province" display="https://en.wikipedia.org/wiki/Kampong_Chhnang_province" xr:uid="{E1253B27-D6B0-4139-9E23-8E71F52D96A8}"/>
    <hyperlink ref="A11" r:id="rId5" tooltip="Kampong Speu province" display="https://en.wikipedia.org/wiki/Kampong_Speu_province" xr:uid="{15D70EFB-89AC-407A-AE70-FC85C38BEDC5}"/>
    <hyperlink ref="A12" r:id="rId6" tooltip="Kampong Thom province" display="https://en.wikipedia.org/wiki/Kampong_Thom_province" xr:uid="{995CA415-1215-4193-8661-5AD67DFF032F}"/>
    <hyperlink ref="A13" r:id="rId7" tooltip="Kampot province" display="https://en.wikipedia.org/wiki/Kampot_province" xr:uid="{B066A7FC-B8FF-46FB-AE2F-07AE4C03F3AB}"/>
    <hyperlink ref="A14" r:id="rId8" tooltip="Kandal province" display="https://en.wikipedia.org/wiki/Kandal_province" xr:uid="{FE0F2469-7FFE-46F0-8C63-10EC713A4677}"/>
    <hyperlink ref="A15" r:id="rId9" tooltip="Koh Kong province" display="https://en.wikipedia.org/wiki/Koh_Kong_province" xr:uid="{E40364D7-DCC9-46ED-A294-519E63036D35}"/>
    <hyperlink ref="A16" r:id="rId10" tooltip="Kratié province" display="https://en.wikipedia.org/wiki/Krati%C3%A9_province" xr:uid="{897B7DEF-7EC6-4492-8997-EB3E85080327}"/>
    <hyperlink ref="A17" r:id="rId11" tooltip="Mondulkiri province" display="https://en.wikipedia.org/wiki/Mondulkiri_province" xr:uid="{4A2F5606-69C2-4F16-9248-8A28EA45EA27}"/>
    <hyperlink ref="A18" r:id="rId12" tooltip="Phnom Penh" display="https://en.wikipedia.org/wiki/Phnom_Penh" xr:uid="{3CAD2F1A-8202-4612-8E55-3F183DC46794}"/>
    <hyperlink ref="A19" r:id="rId13" tooltip="Preah Vihear province" display="https://en.wikipedia.org/wiki/Preah_Vihear_province" xr:uid="{619DEFD8-03DD-4029-A32A-992671257418}"/>
    <hyperlink ref="A20" r:id="rId14" tooltip="Prey Veng province" display="https://en.wikipedia.org/wiki/Prey_Veng_province" xr:uid="{BCC782FF-82CC-45B7-94B9-D6C3ADE389ED}"/>
    <hyperlink ref="A21" r:id="rId15" tooltip="Pursat province" display="https://en.wikipedia.org/wiki/Pursat_province" xr:uid="{3F7476A5-6A1A-4775-95EE-424A9CF4789C}"/>
    <hyperlink ref="A22" r:id="rId16" tooltip="Ratanakiri province" display="https://en.wikipedia.org/wiki/Ratanakiri_province" xr:uid="{66DAFC57-56F9-46A3-BD7A-BABD77953755}"/>
    <hyperlink ref="A23" r:id="rId17" tooltip="Siem Reap province" display="https://en.wikipedia.org/wiki/Siem_Reap_province" xr:uid="{5D2745AF-4AC1-485C-B186-A614258BA5E5}"/>
    <hyperlink ref="A24" r:id="rId18" tooltip="Sihanoukville province" display="https://en.wikipedia.org/wiki/Sihanoukville_province" xr:uid="{98E0B813-0FE6-4046-917A-302C4FECB1A4}"/>
    <hyperlink ref="A25" r:id="rId19" tooltip="Stung Treng province" display="https://en.wikipedia.org/wiki/Stung_Treng_province" xr:uid="{1E4DE034-5430-4B2D-AA41-28463794F8BF}"/>
    <hyperlink ref="A26" r:id="rId20" tooltip="Svay Rieng province" display="https://en.wikipedia.org/wiki/Svay_Rieng_province" xr:uid="{E568AE38-5DAA-4045-AF09-759DB6F7794C}"/>
    <hyperlink ref="A27" r:id="rId21" tooltip="Takéo province" display="https://en.wikipedia.org/wiki/Tak%C3%A9o_province" xr:uid="{6463B369-FA51-4493-BA4E-006EC7232F7E}"/>
    <hyperlink ref="A28" r:id="rId22" tooltip="Oddar Meanchey province" display="https://en.wikipedia.org/wiki/Oddar_Meanchey_province" xr:uid="{04CE040C-48A9-4053-A951-9375C8504C8E}"/>
    <hyperlink ref="A29" r:id="rId23" tooltip="Kep province" display="https://en.wikipedia.org/wiki/Kep_province" xr:uid="{F0F8A852-22DC-48EE-A8FF-AF4DF0CDCD26}"/>
    <hyperlink ref="A30" r:id="rId24" tooltip="Pailin province" display="https://en.wikipedia.org/wiki/Pailin_province" xr:uid="{828B9903-8941-4DC3-91D2-566BBF3C8F5D}"/>
    <hyperlink ref="A31" r:id="rId25" tooltip="Tboung Khmum province" display="https://en.wikipedia.org/wiki/Tboung_Khmum_province" xr:uid="{0737D0BA-448B-4FDA-9619-9B10EDC7325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B519-B430-4DBC-9DC7-6DC874FF7C6A}">
  <dimension ref="B1:F5"/>
  <sheetViews>
    <sheetView zoomScale="80" zoomScaleNormal="80" workbookViewId="0">
      <selection activeCell="H1" sqref="H1:H1048576"/>
    </sheetView>
  </sheetViews>
  <sheetFormatPr defaultRowHeight="14.6" x14ac:dyDescent="0.4"/>
  <cols>
    <col min="2" max="2" width="18.15234375" customWidth="1"/>
    <col min="3" max="3" width="15" customWidth="1"/>
    <col min="5" max="5" width="17.84375" customWidth="1"/>
    <col min="6" max="6" width="8.15234375" customWidth="1"/>
  </cols>
  <sheetData>
    <row r="1" spans="2:6" ht="15" thickBot="1" x14ac:dyDescent="0.45">
      <c r="C1" s="99" t="s">
        <v>49</v>
      </c>
      <c r="D1" s="99"/>
      <c r="E1" s="99" t="s">
        <v>50</v>
      </c>
      <c r="F1" s="99"/>
    </row>
    <row r="2" spans="2:6" x14ac:dyDescent="0.4">
      <c r="B2" s="47" t="s">
        <v>51</v>
      </c>
      <c r="C2" s="48" t="s">
        <v>52</v>
      </c>
      <c r="D2" s="49" t="s">
        <v>21</v>
      </c>
      <c r="E2" s="48" t="s">
        <v>52</v>
      </c>
      <c r="F2" s="62" t="s">
        <v>21</v>
      </c>
    </row>
    <row r="3" spans="2:6" ht="29.15" x14ac:dyDescent="0.4">
      <c r="B3" s="52" t="s">
        <v>53</v>
      </c>
      <c r="C3" s="53">
        <f>'Flood Affected Population'!L32</f>
        <v>1622263.4157116599</v>
      </c>
      <c r="D3" s="63">
        <f>'Flood Affected Population'!M32/100</f>
        <v>7.5183023437466301E-2</v>
      </c>
      <c r="E3" s="53">
        <f>'Flood Affected Population'!T32</f>
        <v>1137427.66150383</v>
      </c>
      <c r="F3" s="63">
        <f>'Flood Affected Population'!U32/100</f>
        <v>5.6268965294668502E-2</v>
      </c>
    </row>
    <row r="4" spans="2:6" ht="29.15" x14ac:dyDescent="0.4">
      <c r="B4" s="55" t="s">
        <v>54</v>
      </c>
      <c r="C4" s="53">
        <f>'Flood Affected Population'!F32</f>
        <v>675523.666796381</v>
      </c>
      <c r="D4" s="63">
        <f>'Flood Affected Population'!G32/100</f>
        <v>3.1306821803064301E-2</v>
      </c>
      <c r="E4" s="53">
        <f>'Flood Affected Population'!P32</f>
        <v>447053.13098796899</v>
      </c>
      <c r="F4" s="63">
        <f>'Flood Affected Population'!Q32/100</f>
        <v>2.2115883026069798E-2</v>
      </c>
    </row>
    <row r="5" spans="2:6" ht="15" thickBot="1" x14ac:dyDescent="0.45">
      <c r="B5" s="56" t="s">
        <v>55</v>
      </c>
      <c r="C5" s="57">
        <f>'Flood Affected Population'!B32</f>
        <v>284185.11788298999</v>
      </c>
      <c r="D5" s="64">
        <f>'Flood Affected Population'!C32/100</f>
        <v>1.7442766301615939E-2</v>
      </c>
      <c r="E5" s="57"/>
      <c r="F5" s="64"/>
    </row>
  </sheetData>
  <mergeCells count="2">
    <mergeCell ref="C1:D1"/>
    <mergeCell ref="E1:F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127B-D090-4EDA-96E7-0FD3F3BA562C}">
  <dimension ref="B1:R5"/>
  <sheetViews>
    <sheetView zoomScale="80" zoomScaleNormal="80" workbookViewId="0">
      <selection activeCell="G2" sqref="G2"/>
    </sheetView>
  </sheetViews>
  <sheetFormatPr defaultRowHeight="14.6" x14ac:dyDescent="0.4"/>
  <cols>
    <col min="2" max="2" width="18.15234375" customWidth="1"/>
    <col min="3" max="3" width="22.3046875" bestFit="1" customWidth="1"/>
    <col min="11" max="11" width="13.84375" bestFit="1" customWidth="1"/>
  </cols>
  <sheetData>
    <row r="1" spans="2:18" ht="15" thickBot="1" x14ac:dyDescent="0.45">
      <c r="C1" s="100" t="s">
        <v>49</v>
      </c>
      <c r="D1" s="101"/>
      <c r="E1" s="101"/>
      <c r="F1" s="101"/>
      <c r="G1" s="101"/>
      <c r="H1" s="101"/>
      <c r="I1" s="101"/>
      <c r="J1" s="102"/>
      <c r="K1" s="100" t="s">
        <v>50</v>
      </c>
      <c r="L1" s="101"/>
      <c r="M1" s="101"/>
      <c r="N1" s="101"/>
      <c r="O1" s="101"/>
      <c r="P1" s="101"/>
      <c r="Q1" s="101"/>
      <c r="R1" s="102"/>
    </row>
    <row r="2" spans="2:18" x14ac:dyDescent="0.4">
      <c r="B2" s="48" t="s">
        <v>51</v>
      </c>
      <c r="C2" s="48" t="s">
        <v>56</v>
      </c>
      <c r="D2" s="51" t="s">
        <v>21</v>
      </c>
      <c r="E2" s="48" t="s">
        <v>57</v>
      </c>
      <c r="F2" s="50" t="s">
        <v>58</v>
      </c>
      <c r="G2" s="50" t="s">
        <v>59</v>
      </c>
      <c r="H2" s="50" t="s">
        <v>60</v>
      </c>
      <c r="I2" s="50" t="s">
        <v>61</v>
      </c>
      <c r="J2" s="51" t="s">
        <v>62</v>
      </c>
      <c r="K2" s="48" t="s">
        <v>56</v>
      </c>
      <c r="L2" s="51" t="s">
        <v>21</v>
      </c>
      <c r="M2" s="48" t="s">
        <v>57</v>
      </c>
      <c r="N2" s="50" t="s">
        <v>58</v>
      </c>
      <c r="O2" s="50" t="s">
        <v>59</v>
      </c>
      <c r="P2" s="50" t="s">
        <v>60</v>
      </c>
      <c r="Q2" s="50" t="s">
        <v>61</v>
      </c>
      <c r="R2" s="51" t="s">
        <v>62</v>
      </c>
    </row>
    <row r="3" spans="2:18" ht="29.15" x14ac:dyDescent="0.4">
      <c r="B3" s="78" t="s">
        <v>53</v>
      </c>
      <c r="C3" s="68" t="e">
        <f>SUM(E3:J3)*1000000</f>
        <v>#REF!</v>
      </c>
      <c r="D3" s="54"/>
      <c r="E3" s="68">
        <f>'Flood (national AAL PML)'!B22</f>
        <v>1256.35289811542</v>
      </c>
      <c r="F3" s="67">
        <f>'Flood (national AAL PML)'!C22</f>
        <v>4190.7359482094098</v>
      </c>
      <c r="G3" s="67">
        <f>'Flood (national AAL PML)'!D22</f>
        <v>5027.0315509493503</v>
      </c>
      <c r="H3" s="67" t="e">
        <f>'Flood (national AAL PML)'!#REF!</f>
        <v>#REF!</v>
      </c>
      <c r="I3" s="67" t="e">
        <f>'Flood (national AAL PML)'!#REF!</f>
        <v>#REF!</v>
      </c>
      <c r="J3" s="65" t="e">
        <f>'Flood (national AAL PML)'!#REF!</f>
        <v>#REF!</v>
      </c>
      <c r="K3" s="68" t="e">
        <f>SUM(M3:R3)*1000000</f>
        <v>#REF!</v>
      </c>
      <c r="L3" s="54"/>
      <c r="M3" s="68" t="e">
        <f>'Flood (national AAL PML)'!#REF!</f>
        <v>#REF!</v>
      </c>
      <c r="N3" s="67" t="e">
        <f>'Flood (national AAL PML)'!#REF!</f>
        <v>#REF!</v>
      </c>
      <c r="O3" s="67" t="e">
        <f>'Flood (national AAL PML)'!#REF!</f>
        <v>#REF!</v>
      </c>
      <c r="P3" s="67" t="e">
        <f>H3</f>
        <v>#REF!</v>
      </c>
      <c r="Q3" s="67" t="e">
        <f t="shared" ref="Q3:R3" si="0">I3</f>
        <v>#REF!</v>
      </c>
      <c r="R3" s="65" t="e">
        <f t="shared" si="0"/>
        <v>#REF!</v>
      </c>
    </row>
    <row r="4" spans="2:18" ht="29.15" x14ac:dyDescent="0.4">
      <c r="B4" s="79" t="s">
        <v>54</v>
      </c>
      <c r="C4" s="68" t="e">
        <f>SUM(E4:J4)*1000000</f>
        <v>#REF!</v>
      </c>
      <c r="D4" s="54"/>
      <c r="E4" s="68">
        <f>'Flood (national AAL PML)'!B34</f>
        <v>392.61409517304497</v>
      </c>
      <c r="F4" s="67">
        <f>'Flood (national AAL PML)'!C34</f>
        <v>1299.37693434927</v>
      </c>
      <c r="G4" s="67">
        <f>'Flood (national AAL PML)'!D34</f>
        <v>1557.83882138336</v>
      </c>
      <c r="H4" s="67" t="e">
        <f>'Flood (national AAL PML)'!#REF!</f>
        <v>#REF!</v>
      </c>
      <c r="I4" s="67" t="e">
        <f>'Flood (national AAL PML)'!#REF!</f>
        <v>#REF!</v>
      </c>
      <c r="J4" s="65" t="e">
        <f>'Flood (national AAL PML)'!#REF!</f>
        <v>#REF!</v>
      </c>
      <c r="K4" s="68" t="e">
        <f>SUM(M4:R4)*1000000</f>
        <v>#REF!</v>
      </c>
      <c r="L4" s="54"/>
      <c r="M4" s="68" t="e">
        <f>'Flood (national AAL PML)'!#REF!</f>
        <v>#REF!</v>
      </c>
      <c r="N4" s="67" t="e">
        <f>'Flood (national AAL PML)'!#REF!</f>
        <v>#REF!</v>
      </c>
      <c r="O4" s="67" t="e">
        <f>'Flood (national AAL PML)'!#REF!</f>
        <v>#REF!</v>
      </c>
      <c r="P4" s="67" t="e">
        <f t="shared" ref="P4" si="1">H4</f>
        <v>#REF!</v>
      </c>
      <c r="Q4" s="67" t="e">
        <f t="shared" ref="Q4" si="2">I4</f>
        <v>#REF!</v>
      </c>
      <c r="R4" s="65" t="e">
        <f t="shared" ref="R4" si="3">J4</f>
        <v>#REF!</v>
      </c>
    </row>
    <row r="5" spans="2:18" ht="15" thickBot="1" x14ac:dyDescent="0.45">
      <c r="B5" s="58" t="s">
        <v>55</v>
      </c>
      <c r="C5" s="69" t="e">
        <f>SUM(E5:J5)*1000000</f>
        <v>#REF!</v>
      </c>
      <c r="D5" s="59"/>
      <c r="E5" s="69">
        <f>'Flood (national AAL PML)'!B10</f>
        <v>56.327998339077297</v>
      </c>
      <c r="F5" s="70">
        <f>'Flood (national AAL PML)'!C10</f>
        <v>180.32301130247399</v>
      </c>
      <c r="G5" s="70">
        <f>'Flood (national AAL PML)'!D10</f>
        <v>216.188258158633</v>
      </c>
      <c r="H5" s="70" t="e">
        <f>'Flood (national AAL PML)'!#REF!</f>
        <v>#REF!</v>
      </c>
      <c r="I5" s="70" t="e">
        <f>'Flood (national AAL PML)'!#REF!</f>
        <v>#REF!</v>
      </c>
      <c r="J5" s="71" t="e">
        <f>'Flood (national AAL PML)'!#REF!</f>
        <v>#REF!</v>
      </c>
      <c r="K5" s="69">
        <f>SUM(M5:R5)</f>
        <v>0</v>
      </c>
      <c r="L5" s="59"/>
      <c r="M5" s="72"/>
      <c r="N5" s="73"/>
      <c r="O5" s="73"/>
      <c r="P5" s="73"/>
      <c r="Q5" s="73"/>
      <c r="R5" s="80"/>
    </row>
  </sheetData>
  <mergeCells count="2">
    <mergeCell ref="C1:J1"/>
    <mergeCell ref="K1:R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7025-4979-427C-AC01-2C129A8F74D6}">
  <dimension ref="B1:R5"/>
  <sheetViews>
    <sheetView topLeftCell="A4" zoomScale="80" zoomScaleNormal="80" workbookViewId="0">
      <selection activeCell="S11" sqref="S11"/>
    </sheetView>
  </sheetViews>
  <sheetFormatPr defaultRowHeight="14.6" x14ac:dyDescent="0.4"/>
  <cols>
    <col min="2" max="2" width="18.15234375" customWidth="1"/>
    <col min="3" max="3" width="22.3046875" bestFit="1" customWidth="1"/>
    <col min="11" max="11" width="13.84375" bestFit="1" customWidth="1"/>
  </cols>
  <sheetData>
    <row r="1" spans="2:18" ht="15" thickBot="1" x14ac:dyDescent="0.45">
      <c r="C1" s="100" t="s">
        <v>49</v>
      </c>
      <c r="D1" s="101"/>
      <c r="E1" s="101"/>
      <c r="F1" s="101"/>
      <c r="G1" s="101"/>
      <c r="H1" s="101"/>
      <c r="I1" s="101"/>
      <c r="J1" s="102"/>
      <c r="K1" s="100" t="s">
        <v>50</v>
      </c>
      <c r="L1" s="101"/>
      <c r="M1" s="101"/>
      <c r="N1" s="101"/>
      <c r="O1" s="101"/>
      <c r="P1" s="101"/>
      <c r="Q1" s="101"/>
      <c r="R1" s="102"/>
    </row>
    <row r="2" spans="2:18" x14ac:dyDescent="0.4">
      <c r="B2" s="48" t="s">
        <v>51</v>
      </c>
      <c r="C2" s="48" t="s">
        <v>56</v>
      </c>
      <c r="D2" s="51" t="s">
        <v>21</v>
      </c>
      <c r="E2" s="48" t="s">
        <v>57</v>
      </c>
      <c r="F2" s="50" t="s">
        <v>58</v>
      </c>
      <c r="G2" s="50" t="s">
        <v>59</v>
      </c>
      <c r="H2" s="50" t="s">
        <v>60</v>
      </c>
      <c r="I2" s="50" t="s">
        <v>61</v>
      </c>
      <c r="J2" s="51" t="s">
        <v>62</v>
      </c>
      <c r="K2" s="48" t="s">
        <v>56</v>
      </c>
      <c r="L2" s="51" t="s">
        <v>21</v>
      </c>
      <c r="M2" s="48" t="s">
        <v>57</v>
      </c>
      <c r="N2" s="50" t="s">
        <v>58</v>
      </c>
      <c r="O2" s="50" t="s">
        <v>59</v>
      </c>
      <c r="P2" s="50" t="s">
        <v>60</v>
      </c>
      <c r="Q2" s="50" t="s">
        <v>61</v>
      </c>
      <c r="R2" s="51" t="s">
        <v>62</v>
      </c>
    </row>
    <row r="3" spans="2:18" ht="29.15" x14ac:dyDescent="0.4">
      <c r="B3" s="78" t="s">
        <v>53</v>
      </c>
      <c r="C3" s="68">
        <f>SUM(E3:G3)*1000000</f>
        <v>10474120397.274181</v>
      </c>
      <c r="D3" s="54"/>
      <c r="E3" s="68">
        <f>'Flood (national AAL PML)'!B22</f>
        <v>1256.35289811542</v>
      </c>
      <c r="F3" s="67">
        <f>'Flood (national AAL PML)'!C22</f>
        <v>4190.7359482094098</v>
      </c>
      <c r="G3" s="67">
        <f>'Flood (national AAL PML)'!D22</f>
        <v>5027.0315509493503</v>
      </c>
      <c r="H3" s="67" t="e">
        <f>'Flood (national AAL PML)'!#REF!</f>
        <v>#REF!</v>
      </c>
      <c r="I3" s="67" t="e">
        <f>'Flood (national AAL PML)'!#REF!</f>
        <v>#REF!</v>
      </c>
      <c r="J3" s="65" t="e">
        <f>'Flood (national AAL PML)'!#REF!</f>
        <v>#REF!</v>
      </c>
      <c r="K3" s="68" t="e">
        <f>SUM(M3:O3)*1000000</f>
        <v>#REF!</v>
      </c>
      <c r="L3" s="54"/>
      <c r="M3" s="68" t="e">
        <f>'Flood (national AAL PML)'!#REF!</f>
        <v>#REF!</v>
      </c>
      <c r="N3" s="67" t="e">
        <f>'Flood (national AAL PML)'!#REF!</f>
        <v>#REF!</v>
      </c>
      <c r="O3" s="67" t="e">
        <f>'Flood (national AAL PML)'!#REF!</f>
        <v>#REF!</v>
      </c>
      <c r="P3" s="67" t="e">
        <f>H3</f>
        <v>#REF!</v>
      </c>
      <c r="Q3" s="67" t="e">
        <f t="shared" ref="Q3:R4" si="0">I3</f>
        <v>#REF!</v>
      </c>
      <c r="R3" s="65" t="e">
        <f t="shared" si="0"/>
        <v>#REF!</v>
      </c>
    </row>
    <row r="4" spans="2:18" ht="29.15" x14ac:dyDescent="0.4">
      <c r="B4" s="79" t="s">
        <v>54</v>
      </c>
      <c r="C4" s="68">
        <f>SUM(E4:G4)*1000000</f>
        <v>3249829850.9056749</v>
      </c>
      <c r="D4" s="54"/>
      <c r="E4" s="68">
        <f>'Flood (national AAL PML)'!B34</f>
        <v>392.61409517304497</v>
      </c>
      <c r="F4" s="67">
        <f>'Flood (national AAL PML)'!C34</f>
        <v>1299.37693434927</v>
      </c>
      <c r="G4" s="67">
        <f>'Flood (national AAL PML)'!D34</f>
        <v>1557.83882138336</v>
      </c>
      <c r="H4" s="67" t="e">
        <f>'Flood (national AAL PML)'!#REF!</f>
        <v>#REF!</v>
      </c>
      <c r="I4" s="67" t="e">
        <f>'Flood (national AAL PML)'!#REF!</f>
        <v>#REF!</v>
      </c>
      <c r="J4" s="65" t="e">
        <f>'Flood (national AAL PML)'!#REF!</f>
        <v>#REF!</v>
      </c>
      <c r="K4" s="68" t="e">
        <f>SUM(M4:O4)*1000000</f>
        <v>#REF!</v>
      </c>
      <c r="L4" s="54"/>
      <c r="M4" s="68" t="e">
        <f>'Flood (national AAL PML)'!#REF!</f>
        <v>#REF!</v>
      </c>
      <c r="N4" s="67" t="e">
        <f>'Flood (national AAL PML)'!#REF!</f>
        <v>#REF!</v>
      </c>
      <c r="O4" s="67" t="e">
        <f>'Flood (national AAL PML)'!#REF!</f>
        <v>#REF!</v>
      </c>
      <c r="P4" s="67" t="e">
        <f t="shared" ref="P4" si="1">H4</f>
        <v>#REF!</v>
      </c>
      <c r="Q4" s="67" t="e">
        <f t="shared" si="0"/>
        <v>#REF!</v>
      </c>
      <c r="R4" s="65" t="e">
        <f t="shared" si="0"/>
        <v>#REF!</v>
      </c>
    </row>
    <row r="5" spans="2:18" ht="15" thickBot="1" x14ac:dyDescent="0.45">
      <c r="B5" s="58" t="s">
        <v>55</v>
      </c>
      <c r="C5" s="69">
        <f>SUM(E5:G5)*1000000</f>
        <v>452839267.80018431</v>
      </c>
      <c r="D5" s="59"/>
      <c r="E5" s="69">
        <f>'Flood (national AAL PML)'!B10</f>
        <v>56.327998339077297</v>
      </c>
      <c r="F5" s="70">
        <f>'Flood (national AAL PML)'!C10</f>
        <v>180.32301130247399</v>
      </c>
      <c r="G5" s="70">
        <f>'Flood (national AAL PML)'!D10</f>
        <v>216.188258158633</v>
      </c>
      <c r="H5" s="70" t="e">
        <f>'Flood (national AAL PML)'!#REF!</f>
        <v>#REF!</v>
      </c>
      <c r="I5" s="70" t="e">
        <f>'Flood (national AAL PML)'!#REF!</f>
        <v>#REF!</v>
      </c>
      <c r="J5" s="71" t="e">
        <f>'Flood (national AAL PML)'!#REF!</f>
        <v>#REF!</v>
      </c>
      <c r="K5" s="69">
        <f>SUM(M5:R5)</f>
        <v>0</v>
      </c>
      <c r="L5" s="59"/>
      <c r="M5" s="72"/>
      <c r="N5" s="73"/>
      <c r="O5" s="73"/>
      <c r="P5" s="73"/>
      <c r="Q5" s="73"/>
      <c r="R5" s="80"/>
    </row>
  </sheetData>
  <mergeCells count="2">
    <mergeCell ref="C1:J1"/>
    <mergeCell ref="K1:R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AA3D-D86F-4D1E-9105-F4592F8AA2A8}">
  <dimension ref="I2:W11"/>
  <sheetViews>
    <sheetView topLeftCell="C1" zoomScale="80" zoomScaleNormal="80" workbookViewId="0">
      <selection activeCell="U10" sqref="U10"/>
    </sheetView>
  </sheetViews>
  <sheetFormatPr defaultRowHeight="14.6" x14ac:dyDescent="0.4"/>
  <cols>
    <col min="2" max="2" width="13.3828125" customWidth="1"/>
    <col min="9" max="9" width="8.69140625" style="46" customWidth="1"/>
    <col min="16" max="16" width="28.84375" style="46" bestFit="1" customWidth="1"/>
    <col min="23" max="23" width="8.69140625" style="46"/>
  </cols>
  <sheetData>
    <row r="2" spans="16:23" ht="15.9" x14ac:dyDescent="0.45">
      <c r="P2" s="46" t="s">
        <v>63</v>
      </c>
      <c r="Q2" s="74">
        <v>2</v>
      </c>
      <c r="R2" s="74">
        <v>5</v>
      </c>
      <c r="S2" s="74">
        <v>10</v>
      </c>
      <c r="T2" s="74">
        <v>25</v>
      </c>
      <c r="U2" s="74">
        <v>50</v>
      </c>
      <c r="V2" s="74">
        <v>100</v>
      </c>
      <c r="W2" s="74">
        <v>250</v>
      </c>
    </row>
    <row r="3" spans="16:23" ht="15.9" x14ac:dyDescent="0.45">
      <c r="P3" s="74" t="s">
        <v>64</v>
      </c>
      <c r="Q3" s="75">
        <v>215654.80712890599</v>
      </c>
      <c r="R3" s="75">
        <v>356854.05899047898</v>
      </c>
      <c r="S3" s="75">
        <v>411510.74822235102</v>
      </c>
      <c r="T3" s="75">
        <v>532600.57203674305</v>
      </c>
      <c r="U3" s="75">
        <v>607229.85278701806</v>
      </c>
      <c r="V3" s="75">
        <v>688797.21415710496</v>
      </c>
      <c r="W3" s="75">
        <v>707243.96799087501</v>
      </c>
    </row>
    <row r="4" spans="16:23" ht="15.9" x14ac:dyDescent="0.45">
      <c r="P4" s="74" t="s">
        <v>65</v>
      </c>
      <c r="Q4" s="75">
        <v>482527.159194946</v>
      </c>
      <c r="R4" s="75">
        <v>765305.45275878895</v>
      </c>
      <c r="S4" s="75">
        <v>914190.04852676403</v>
      </c>
      <c r="T4" s="75">
        <v>1178543.5332093199</v>
      </c>
      <c r="U4" s="75">
        <v>1373504.8361515999</v>
      </c>
      <c r="V4" s="75">
        <v>1572703.47485209</v>
      </c>
      <c r="W4" s="75">
        <v>1874093.1532807399</v>
      </c>
    </row>
    <row r="5" spans="16:23" ht="15.9" x14ac:dyDescent="0.45">
      <c r="P5" s="74" t="s">
        <v>66</v>
      </c>
      <c r="Q5" s="75">
        <v>334522.897109985</v>
      </c>
      <c r="R5" s="75">
        <v>545188.48959446</v>
      </c>
      <c r="S5" s="75">
        <v>661415.42104673397</v>
      </c>
      <c r="T5" s="75">
        <v>865920.37583494198</v>
      </c>
      <c r="U5" s="75">
        <v>1026381.53594065</v>
      </c>
      <c r="V5" s="75">
        <v>1233181.4341111199</v>
      </c>
      <c r="W5" s="75">
        <v>1587844.1795415899</v>
      </c>
    </row>
    <row r="6" spans="16:23" ht="15.9" x14ac:dyDescent="0.45">
      <c r="P6" s="74" t="s">
        <v>67</v>
      </c>
      <c r="Q6" s="75">
        <v>1090938.3160667401</v>
      </c>
      <c r="R6" s="75">
        <v>1709206.24098396</v>
      </c>
      <c r="S6" s="75">
        <v>2433346.0362815899</v>
      </c>
      <c r="T6" s="75">
        <v>2707529.8384666401</v>
      </c>
      <c r="U6" s="75">
        <v>3432323.06270409</v>
      </c>
      <c r="V6" s="75">
        <v>3705143.2761402102</v>
      </c>
      <c r="W6" s="75">
        <v>3918848.3908805801</v>
      </c>
    </row>
    <row r="7" spans="16:23" ht="15.9" x14ac:dyDescent="0.45">
      <c r="P7" s="74" t="s">
        <v>68</v>
      </c>
      <c r="Q7" s="75">
        <v>775319.77493286098</v>
      </c>
      <c r="R7" s="75">
        <v>1295190.11209106</v>
      </c>
      <c r="S7" s="75">
        <v>2063402.6722083101</v>
      </c>
      <c r="T7" s="75">
        <v>2335126.4179968801</v>
      </c>
      <c r="U7" s="75">
        <v>2938883.5381164602</v>
      </c>
      <c r="V7" s="75">
        <v>3230913.82177734</v>
      </c>
      <c r="W7" s="75">
        <v>3363531.6568298298</v>
      </c>
    </row>
    <row r="9" spans="16:23" x14ac:dyDescent="0.4">
      <c r="U9">
        <f>(U5-U4)*100/U4</f>
        <v>-25.272812375641049</v>
      </c>
    </row>
    <row r="11" spans="16:23" x14ac:dyDescent="0.4">
      <c r="U11">
        <f>(U7-U6)*100/U6</f>
        <v>-14.376255252583448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6632-3168-4022-990A-0ABA75767FC9}">
  <dimension ref="B1:W13"/>
  <sheetViews>
    <sheetView topLeftCell="A7" zoomScale="70" zoomScaleNormal="70" workbookViewId="0">
      <selection activeCell="M33" sqref="M33"/>
    </sheetView>
  </sheetViews>
  <sheetFormatPr defaultRowHeight="14.6" x14ac:dyDescent="0.4"/>
  <cols>
    <col min="2" max="2" width="13.3828125" customWidth="1"/>
    <col min="9" max="9" width="8.69140625" style="46"/>
    <col min="16" max="16" width="8.69140625" style="46"/>
    <col min="23" max="23" width="8.69140625" style="46"/>
  </cols>
  <sheetData>
    <row r="1" spans="2:23" s="46" customFormat="1" ht="15" thickBot="1" x14ac:dyDescent="0.45">
      <c r="C1" s="103" t="s">
        <v>69</v>
      </c>
      <c r="D1" s="103"/>
      <c r="E1" s="103"/>
      <c r="F1" s="103"/>
      <c r="G1" s="103"/>
      <c r="H1" s="103"/>
      <c r="I1" s="103"/>
      <c r="J1" s="103" t="s">
        <v>70</v>
      </c>
      <c r="K1" s="103"/>
      <c r="L1" s="103"/>
      <c r="M1" s="103"/>
      <c r="N1" s="103"/>
      <c r="O1" s="103"/>
      <c r="P1" s="103"/>
      <c r="Q1" s="103" t="s">
        <v>71</v>
      </c>
      <c r="R1" s="103"/>
      <c r="S1" s="103"/>
      <c r="T1" s="103"/>
      <c r="U1" s="103"/>
      <c r="V1" s="103"/>
      <c r="W1" s="103"/>
    </row>
    <row r="2" spans="2:23" s="46" customFormat="1" ht="15" thickBot="1" x14ac:dyDescent="0.45">
      <c r="C2" s="104" t="s">
        <v>14</v>
      </c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6"/>
    </row>
    <row r="3" spans="2:23" x14ac:dyDescent="0.4">
      <c r="B3" s="46" t="s">
        <v>63</v>
      </c>
      <c r="C3" t="s">
        <v>57</v>
      </c>
      <c r="D3" t="s">
        <v>58</v>
      </c>
      <c r="E3" t="s">
        <v>72</v>
      </c>
      <c r="F3" t="s">
        <v>60</v>
      </c>
      <c r="G3" t="s">
        <v>61</v>
      </c>
      <c r="H3" t="s">
        <v>62</v>
      </c>
      <c r="I3" s="46" t="s">
        <v>73</v>
      </c>
      <c r="J3" t="s">
        <v>57</v>
      </c>
      <c r="K3" t="s">
        <v>58</v>
      </c>
      <c r="L3" t="s">
        <v>72</v>
      </c>
      <c r="M3" t="s">
        <v>60</v>
      </c>
      <c r="N3" t="s">
        <v>61</v>
      </c>
      <c r="O3" t="s">
        <v>62</v>
      </c>
      <c r="P3" s="46" t="s">
        <v>73</v>
      </c>
      <c r="Q3" t="s">
        <v>57</v>
      </c>
      <c r="R3" t="s">
        <v>58</v>
      </c>
      <c r="S3" t="s">
        <v>72</v>
      </c>
      <c r="T3" t="s">
        <v>60</v>
      </c>
      <c r="U3" t="s">
        <v>61</v>
      </c>
      <c r="V3" t="s">
        <v>62</v>
      </c>
      <c r="W3" s="46" t="s">
        <v>73</v>
      </c>
    </row>
    <row r="4" spans="2:23" x14ac:dyDescent="0.4">
      <c r="B4" s="46">
        <v>10</v>
      </c>
      <c r="C4">
        <f>'Flood (national AAL PML)'!B6</f>
        <v>92.689411276849498</v>
      </c>
      <c r="D4">
        <f>'Flood (national AAL PML)'!C6</f>
        <v>298.13221510010902</v>
      </c>
      <c r="E4">
        <f>'Flood (national AAL PML)'!D6</f>
        <v>357.43199441973098</v>
      </c>
      <c r="F4" t="e">
        <f>'Flood (national AAL PML)'!#REF!</f>
        <v>#REF!</v>
      </c>
      <c r="G4" t="e">
        <f>'Flood (national AAL PML)'!#REF!</f>
        <v>#REF!</v>
      </c>
      <c r="H4" t="e">
        <f>'Flood (national AAL PML)'!#REF!</f>
        <v>#REF!</v>
      </c>
      <c r="I4" s="46" t="e">
        <f>SUM(C4:H4)</f>
        <v>#REF!</v>
      </c>
      <c r="J4">
        <f>'Flood (national AAL PML)'!B30</f>
        <v>943.81881648035699</v>
      </c>
      <c r="K4">
        <f>'Flood (national AAL PML)'!C30</f>
        <v>3135.8716643242301</v>
      </c>
      <c r="L4">
        <f>'Flood (national AAL PML)'!D30</f>
        <v>3762.7042118375698</v>
      </c>
      <c r="M4" s="67" t="e">
        <f>'Flood (national AAL PML)'!#REF!</f>
        <v>#REF!</v>
      </c>
      <c r="N4" s="67" t="e">
        <f>'Flood (national AAL PML)'!#REF!</f>
        <v>#REF!</v>
      </c>
      <c r="O4" s="67" t="e">
        <f>'Flood (national AAL PML)'!#REF!</f>
        <v>#REF!</v>
      </c>
      <c r="P4" s="46" t="e">
        <f>SUM(J4:O4)</f>
        <v>#REF!</v>
      </c>
      <c r="Q4">
        <f>'Flood (national AAL PML)'!B18</f>
        <v>1462.8131907151701</v>
      </c>
      <c r="R4">
        <f>'Flood (national AAL PML)'!C18</f>
        <v>4894.3245325472599</v>
      </c>
      <c r="S4">
        <f>'Flood (national AAL PML)'!D18</f>
        <v>5872.4237576175801</v>
      </c>
      <c r="T4" s="67" t="e">
        <f>'Flood (national AAL PML)'!#REF!</f>
        <v>#REF!</v>
      </c>
      <c r="U4" s="67" t="e">
        <f>'Flood (national AAL PML)'!#REF!</f>
        <v>#REF!</v>
      </c>
      <c r="V4" s="67" t="e">
        <f>'Flood (national AAL PML)'!#REF!</f>
        <v>#REF!</v>
      </c>
      <c r="W4" s="46" t="e">
        <f>SUM(Q4:V4)</f>
        <v>#REF!</v>
      </c>
    </row>
    <row r="5" spans="2:23" x14ac:dyDescent="0.4">
      <c r="B5" s="46">
        <v>25</v>
      </c>
      <c r="C5">
        <f>'Flood (national AAL PML)'!B7</f>
        <v>107.724089770874</v>
      </c>
      <c r="D5">
        <f>'Flood (national AAL PML)'!C7</f>
        <v>344.05970870607399</v>
      </c>
      <c r="E5">
        <f>'Flood (national AAL PML)'!D7</f>
        <v>412.41639746037998</v>
      </c>
      <c r="F5" t="e">
        <f>'Flood (national AAL PML)'!#REF!</f>
        <v>#REF!</v>
      </c>
      <c r="G5" t="e">
        <f>'Flood (national AAL PML)'!#REF!</f>
        <v>#REF!</v>
      </c>
      <c r="H5" t="e">
        <f>'Flood (national AAL PML)'!#REF!</f>
        <v>#REF!</v>
      </c>
      <c r="I5" s="46" t="e">
        <f t="shared" ref="I5:I7" si="0">SUM(C5:H5)</f>
        <v>#REF!</v>
      </c>
      <c r="J5">
        <f>'Flood (national AAL PML)'!B31</f>
        <v>1241.91184000053</v>
      </c>
      <c r="K5">
        <f>'Flood (national AAL PML)'!C31</f>
        <v>4157.1924606183602</v>
      </c>
      <c r="L5">
        <f>'Flood (national AAL PML)'!D31</f>
        <v>4988.1875322004398</v>
      </c>
      <c r="M5" s="67" t="e">
        <f>'Flood (national AAL PML)'!#REF!</f>
        <v>#REF!</v>
      </c>
      <c r="N5" s="67" t="e">
        <f>'Flood (national AAL PML)'!#REF!</f>
        <v>#REF!</v>
      </c>
      <c r="O5" s="67" t="e">
        <f>'Flood (national AAL PML)'!#REF!</f>
        <v>#REF!</v>
      </c>
      <c r="P5" s="46" t="e">
        <f t="shared" ref="P5:P7" si="1">SUM(J5:O5)</f>
        <v>#REF!</v>
      </c>
      <c r="Q5">
        <f>'Flood (national AAL PML)'!B19</f>
        <v>1677.4659332276999</v>
      </c>
      <c r="R5">
        <f>'Flood (national AAL PML)'!C19</f>
        <v>5623.1095868379298</v>
      </c>
      <c r="S5">
        <f>'Flood (national AAL PML)'!D19</f>
        <v>6746.8151904803099</v>
      </c>
      <c r="T5" s="67" t="e">
        <f>'Flood (national AAL PML)'!#REF!</f>
        <v>#REF!</v>
      </c>
      <c r="U5" s="67" t="e">
        <f>'Flood (national AAL PML)'!#REF!</f>
        <v>#REF!</v>
      </c>
      <c r="V5" s="67" t="e">
        <f>'Flood (national AAL PML)'!#REF!</f>
        <v>#REF!</v>
      </c>
      <c r="W5" s="46" t="e">
        <f t="shared" ref="W5:W7" si="2">SUM(Q5:V5)</f>
        <v>#REF!</v>
      </c>
    </row>
    <row r="6" spans="2:23" x14ac:dyDescent="0.4">
      <c r="B6" s="46">
        <v>100</v>
      </c>
      <c r="C6">
        <f>'Flood (national AAL PML)'!B8</f>
        <v>148.578348790343</v>
      </c>
      <c r="D6">
        <f>'Flood (national AAL PML)'!C8</f>
        <v>471.64262625479699</v>
      </c>
      <c r="E6">
        <f>'Flood (national AAL PML)'!D8</f>
        <v>565.35040780021097</v>
      </c>
      <c r="F6" t="e">
        <f>'Flood (national AAL PML)'!#REF!</f>
        <v>#REF!</v>
      </c>
      <c r="G6" t="e">
        <f>'Flood (national AAL PML)'!#REF!</f>
        <v>#REF!</v>
      </c>
      <c r="H6" t="e">
        <f>'Flood (national AAL PML)'!#REF!</f>
        <v>#REF!</v>
      </c>
      <c r="I6" s="46" t="e">
        <f t="shared" si="0"/>
        <v>#REF!</v>
      </c>
      <c r="J6">
        <f>'Flood (national AAL PML)'!B32</f>
        <v>1382.5573317977</v>
      </c>
      <c r="K6">
        <f>'Flood (national AAL PML)'!C32</f>
        <v>4610.7650599812396</v>
      </c>
      <c r="L6">
        <f>'Flood (national AAL PML)'!D32</f>
        <v>5530.43069261442</v>
      </c>
      <c r="M6" s="67" t="e">
        <f>'Flood (national AAL PML)'!#REF!</f>
        <v>#REF!</v>
      </c>
      <c r="N6" s="67" t="e">
        <f>'Flood (national AAL PML)'!#REF!</f>
        <v>#REF!</v>
      </c>
      <c r="O6" s="67" t="e">
        <f>'Flood (national AAL PML)'!#REF!</f>
        <v>#REF!</v>
      </c>
      <c r="P6" s="46" t="e">
        <f t="shared" si="1"/>
        <v>#REF!</v>
      </c>
      <c r="Q6">
        <f>'Flood (national AAL PML)'!B20</f>
        <v>2143.3480454259302</v>
      </c>
      <c r="R6">
        <f>'Flood (national AAL PML)'!C20</f>
        <v>7125.3363972999496</v>
      </c>
      <c r="S6">
        <f>'Flood (national AAL PML)'!D20</f>
        <v>8538.0276849703896</v>
      </c>
      <c r="T6" s="67" t="e">
        <f>'Flood (national AAL PML)'!#REF!</f>
        <v>#REF!</v>
      </c>
      <c r="U6" s="67" t="e">
        <f>'Flood (national AAL PML)'!#REF!</f>
        <v>#REF!</v>
      </c>
      <c r="V6" s="67" t="e">
        <f>'Flood (national AAL PML)'!#REF!</f>
        <v>#REF!</v>
      </c>
      <c r="W6" s="46" t="e">
        <f t="shared" si="2"/>
        <v>#REF!</v>
      </c>
    </row>
    <row r="7" spans="2:23" ht="15" thickBot="1" x14ac:dyDescent="0.45">
      <c r="B7" s="46">
        <v>200</v>
      </c>
      <c r="C7">
        <f>'Flood (national AAL PML)'!B9</f>
        <v>154.26320486480299</v>
      </c>
      <c r="D7">
        <f>'Flood (national AAL PML)'!C9</f>
        <v>490.57679011763298</v>
      </c>
      <c r="E7">
        <f>'Flood (national AAL PML)'!D9</f>
        <v>588.07132005685003</v>
      </c>
      <c r="F7" t="e">
        <f>'Flood (national AAL PML)'!#REF!</f>
        <v>#REF!</v>
      </c>
      <c r="G7" t="e">
        <f>'Flood (national AAL PML)'!#REF!</f>
        <v>#REF!</v>
      </c>
      <c r="H7" t="e">
        <f>'Flood (national AAL PML)'!#REF!</f>
        <v>#REF!</v>
      </c>
      <c r="I7" s="46" t="e">
        <f t="shared" si="0"/>
        <v>#REF!</v>
      </c>
      <c r="J7">
        <f>'Flood (national AAL PML)'!B33</f>
        <v>1410.0363313963701</v>
      </c>
      <c r="K7">
        <f>'Flood (national AAL PML)'!C33</f>
        <v>4703.0830657444003</v>
      </c>
      <c r="L7">
        <f>'Flood (national AAL PML)'!D33</f>
        <v>5640.0916580759904</v>
      </c>
      <c r="M7" s="67" t="e">
        <f>'Flood (national AAL PML)'!#REF!</f>
        <v>#REF!</v>
      </c>
      <c r="N7" s="67" t="e">
        <f>'Flood (national AAL PML)'!#REF!</f>
        <v>#REF!</v>
      </c>
      <c r="O7" s="67" t="e">
        <f>'Flood (national AAL PML)'!#REF!</f>
        <v>#REF!</v>
      </c>
      <c r="P7" s="46" t="e">
        <f t="shared" si="1"/>
        <v>#REF!</v>
      </c>
      <c r="Q7">
        <f>'Flood (national AAL PML)'!B21</f>
        <v>2210.5223764256002</v>
      </c>
      <c r="R7">
        <f>'Flood (national AAL PML)'!C21</f>
        <v>7396.5671302158898</v>
      </c>
      <c r="S7">
        <f>'Flood (national AAL PML)'!D21</f>
        <v>8870.6763218703909</v>
      </c>
      <c r="T7" s="67" t="e">
        <f>'Flood (national AAL PML)'!#REF!</f>
        <v>#REF!</v>
      </c>
      <c r="U7" s="67" t="e">
        <f>'Flood (national AAL PML)'!#REF!</f>
        <v>#REF!</v>
      </c>
      <c r="V7" s="67" t="e">
        <f>'Flood (national AAL PML)'!#REF!</f>
        <v>#REF!</v>
      </c>
      <c r="W7" s="46" t="e">
        <f t="shared" si="2"/>
        <v>#REF!</v>
      </c>
    </row>
    <row r="8" spans="2:23" ht="15" thickBot="1" x14ac:dyDescent="0.45">
      <c r="C8" s="104" t="s">
        <v>15</v>
      </c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6"/>
    </row>
    <row r="9" spans="2:23" x14ac:dyDescent="0.4">
      <c r="B9" s="46" t="s">
        <v>63</v>
      </c>
      <c r="J9" t="s">
        <v>57</v>
      </c>
      <c r="K9" t="s">
        <v>58</v>
      </c>
      <c r="L9" t="s">
        <v>72</v>
      </c>
      <c r="M9" t="s">
        <v>60</v>
      </c>
      <c r="N9" t="s">
        <v>61</v>
      </c>
      <c r="O9" t="s">
        <v>62</v>
      </c>
      <c r="P9" s="46" t="s">
        <v>73</v>
      </c>
      <c r="Q9" t="s">
        <v>57</v>
      </c>
      <c r="R9" t="s">
        <v>58</v>
      </c>
      <c r="S9" t="s">
        <v>72</v>
      </c>
      <c r="T9" t="s">
        <v>60</v>
      </c>
      <c r="U9" t="s">
        <v>61</v>
      </c>
      <c r="V9" t="s">
        <v>62</v>
      </c>
      <c r="W9" s="46" t="s">
        <v>73</v>
      </c>
    </row>
    <row r="10" spans="2:23" x14ac:dyDescent="0.4">
      <c r="B10" s="46">
        <v>10</v>
      </c>
      <c r="J10" t="e">
        <f>'Flood (national AAL PML)'!#REF!</f>
        <v>#REF!</v>
      </c>
      <c r="K10" t="e">
        <f>'Flood (national AAL PML)'!#REF!</f>
        <v>#REF!</v>
      </c>
      <c r="L10" t="e">
        <f>'Flood (national AAL PML)'!#REF!</f>
        <v>#REF!</v>
      </c>
      <c r="M10" s="67" t="e">
        <f>'Flood (national AAL PML)'!#REF!</f>
        <v>#REF!</v>
      </c>
      <c r="N10" s="67" t="e">
        <f>'Flood (national AAL PML)'!#REF!</f>
        <v>#REF!</v>
      </c>
      <c r="O10" s="67" t="e">
        <f>'Flood (national AAL PML)'!#REF!</f>
        <v>#REF!</v>
      </c>
      <c r="P10" s="46" t="e">
        <f>SUM(J10:O10)</f>
        <v>#REF!</v>
      </c>
      <c r="Q10" t="e">
        <f>'Flood (national AAL PML)'!#REF!</f>
        <v>#REF!</v>
      </c>
      <c r="R10" t="e">
        <f>'Flood (national AAL PML)'!#REF!</f>
        <v>#REF!</v>
      </c>
      <c r="S10" t="e">
        <f>'Flood (national AAL PML)'!#REF!</f>
        <v>#REF!</v>
      </c>
      <c r="T10" s="67" t="e">
        <f>'Flood (national AAL PML)'!#REF!</f>
        <v>#REF!</v>
      </c>
      <c r="U10" s="67" t="e">
        <f>'Flood (national AAL PML)'!#REF!</f>
        <v>#REF!</v>
      </c>
      <c r="V10" s="67" t="e">
        <f>'Flood (national AAL PML)'!#REF!</f>
        <v>#REF!</v>
      </c>
      <c r="W10" s="46" t="e">
        <f>SUM(Q10:V10)</f>
        <v>#REF!</v>
      </c>
    </row>
    <row r="11" spans="2:23" x14ac:dyDescent="0.4">
      <c r="B11" s="46">
        <v>25</v>
      </c>
      <c r="J11" t="e">
        <f>'Flood (national AAL PML)'!#REF!</f>
        <v>#REF!</v>
      </c>
      <c r="K11" t="e">
        <f>'Flood (national AAL PML)'!#REF!</f>
        <v>#REF!</v>
      </c>
      <c r="L11" t="e">
        <f>'Flood (national AAL PML)'!#REF!</f>
        <v>#REF!</v>
      </c>
      <c r="M11" s="67" t="e">
        <f>'Flood (national AAL PML)'!#REF!</f>
        <v>#REF!</v>
      </c>
      <c r="N11" s="67" t="e">
        <f>'Flood (national AAL PML)'!#REF!</f>
        <v>#REF!</v>
      </c>
      <c r="O11" s="67" t="e">
        <f>'Flood (national AAL PML)'!#REF!</f>
        <v>#REF!</v>
      </c>
      <c r="P11" s="46" t="e">
        <f t="shared" ref="P11:P13" si="3">SUM(J11:O11)</f>
        <v>#REF!</v>
      </c>
      <c r="Q11" t="e">
        <f>'Flood (national AAL PML)'!#REF!</f>
        <v>#REF!</v>
      </c>
      <c r="R11" t="e">
        <f>'Flood (national AAL PML)'!#REF!</f>
        <v>#REF!</v>
      </c>
      <c r="S11" t="e">
        <f>'Flood (national AAL PML)'!#REF!</f>
        <v>#REF!</v>
      </c>
      <c r="T11" s="67" t="e">
        <f>'Flood (national AAL PML)'!#REF!</f>
        <v>#REF!</v>
      </c>
      <c r="U11" s="67" t="e">
        <f>'Flood (national AAL PML)'!#REF!</f>
        <v>#REF!</v>
      </c>
      <c r="V11" s="67" t="e">
        <f>'Flood (national AAL PML)'!#REF!</f>
        <v>#REF!</v>
      </c>
      <c r="W11" s="46" t="e">
        <f t="shared" ref="W11:W13" si="4">SUM(Q11:V11)</f>
        <v>#REF!</v>
      </c>
    </row>
    <row r="12" spans="2:23" x14ac:dyDescent="0.4">
      <c r="B12" s="46">
        <v>100</v>
      </c>
      <c r="J12" t="e">
        <f>'Flood (national AAL PML)'!#REF!</f>
        <v>#REF!</v>
      </c>
      <c r="K12" t="e">
        <f>'Flood (national AAL PML)'!#REF!</f>
        <v>#REF!</v>
      </c>
      <c r="L12" t="e">
        <f>'Flood (national AAL PML)'!#REF!</f>
        <v>#REF!</v>
      </c>
      <c r="M12" s="67" t="e">
        <f>'Flood (national AAL PML)'!#REF!</f>
        <v>#REF!</v>
      </c>
      <c r="N12" s="67" t="e">
        <f>'Flood (national AAL PML)'!#REF!</f>
        <v>#REF!</v>
      </c>
      <c r="O12" s="67" t="e">
        <f>'Flood (national AAL PML)'!#REF!</f>
        <v>#REF!</v>
      </c>
      <c r="P12" s="46" t="e">
        <f t="shared" si="3"/>
        <v>#REF!</v>
      </c>
      <c r="Q12" t="e">
        <f>'Flood (national AAL PML)'!#REF!</f>
        <v>#REF!</v>
      </c>
      <c r="R12" t="e">
        <f>'Flood (national AAL PML)'!#REF!</f>
        <v>#REF!</v>
      </c>
      <c r="S12" t="e">
        <f>'Flood (national AAL PML)'!#REF!</f>
        <v>#REF!</v>
      </c>
      <c r="T12" s="67" t="e">
        <f>'Flood (national AAL PML)'!#REF!</f>
        <v>#REF!</v>
      </c>
      <c r="U12" s="67" t="e">
        <f>'Flood (national AAL PML)'!#REF!</f>
        <v>#REF!</v>
      </c>
      <c r="V12" s="67" t="e">
        <f>'Flood (national AAL PML)'!#REF!</f>
        <v>#REF!</v>
      </c>
      <c r="W12" s="46" t="e">
        <f t="shared" si="4"/>
        <v>#REF!</v>
      </c>
    </row>
    <row r="13" spans="2:23" x14ac:dyDescent="0.4">
      <c r="B13" s="46">
        <v>200</v>
      </c>
      <c r="J13" t="e">
        <f>'Flood (national AAL PML)'!#REF!</f>
        <v>#REF!</v>
      </c>
      <c r="K13" t="e">
        <f>'Flood (national AAL PML)'!#REF!</f>
        <v>#REF!</v>
      </c>
      <c r="L13" t="e">
        <f>'Flood (national AAL PML)'!#REF!</f>
        <v>#REF!</v>
      </c>
      <c r="M13" s="67" t="e">
        <f>'Flood (national AAL PML)'!#REF!</f>
        <v>#REF!</v>
      </c>
      <c r="N13" s="67" t="e">
        <f>'Flood (national AAL PML)'!#REF!</f>
        <v>#REF!</v>
      </c>
      <c r="O13" s="67" t="e">
        <f>'Flood (national AAL PML)'!#REF!</f>
        <v>#REF!</v>
      </c>
      <c r="P13" s="46" t="e">
        <f t="shared" si="3"/>
        <v>#REF!</v>
      </c>
      <c r="Q13" t="e">
        <f>'Flood (national AAL PML)'!#REF!</f>
        <v>#REF!</v>
      </c>
      <c r="R13" t="e">
        <f>'Flood (national AAL PML)'!#REF!</f>
        <v>#REF!</v>
      </c>
      <c r="S13" t="e">
        <f>'Flood (national AAL PML)'!#REF!</f>
        <v>#REF!</v>
      </c>
      <c r="T13" s="67" t="e">
        <f>'Flood (national AAL PML)'!#REF!</f>
        <v>#REF!</v>
      </c>
      <c r="U13" s="67" t="e">
        <f>'Flood (national AAL PML)'!#REF!</f>
        <v>#REF!</v>
      </c>
      <c r="V13" s="67" t="e">
        <f>'Flood (national AAL PML)'!#REF!</f>
        <v>#REF!</v>
      </c>
      <c r="W13" s="46" t="e">
        <f t="shared" si="4"/>
        <v>#REF!</v>
      </c>
    </row>
  </sheetData>
  <mergeCells count="5">
    <mergeCell ref="C1:I1"/>
    <mergeCell ref="J1:P1"/>
    <mergeCell ref="Q1:W1"/>
    <mergeCell ref="C2:W2"/>
    <mergeCell ref="C8:W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6949-DD51-4A83-B402-D8BBA4595093}">
  <dimension ref="B1:N13"/>
  <sheetViews>
    <sheetView zoomScale="70" zoomScaleNormal="70" workbookViewId="0">
      <selection activeCell="L23" sqref="L23"/>
    </sheetView>
  </sheetViews>
  <sheetFormatPr defaultRowHeight="14.6" x14ac:dyDescent="0.4"/>
  <cols>
    <col min="2" max="2" width="13.3828125" customWidth="1"/>
    <col min="6" max="6" width="8.69140625" style="46"/>
    <col min="10" max="10" width="8.69140625" style="46"/>
    <col min="14" max="14" width="8.69140625" style="46"/>
  </cols>
  <sheetData>
    <row r="1" spans="2:14" s="46" customFormat="1" ht="15" thickBot="1" x14ac:dyDescent="0.45">
      <c r="C1" s="103" t="s">
        <v>69</v>
      </c>
      <c r="D1" s="103"/>
      <c r="E1" s="103"/>
      <c r="F1" s="103"/>
      <c r="G1" s="103" t="s">
        <v>70</v>
      </c>
      <c r="H1" s="103"/>
      <c r="I1" s="103"/>
      <c r="J1" s="103"/>
      <c r="K1" s="103" t="s">
        <v>71</v>
      </c>
      <c r="L1" s="103"/>
      <c r="M1" s="103"/>
      <c r="N1" s="103"/>
    </row>
    <row r="2" spans="2:14" s="46" customFormat="1" ht="15" thickBot="1" x14ac:dyDescent="0.45">
      <c r="C2" s="104" t="s">
        <v>14</v>
      </c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6"/>
    </row>
    <row r="3" spans="2:14" x14ac:dyDescent="0.4">
      <c r="B3" s="46" t="s">
        <v>63</v>
      </c>
      <c r="C3" t="s">
        <v>57</v>
      </c>
      <c r="D3" t="s">
        <v>58</v>
      </c>
      <c r="E3" t="s">
        <v>72</v>
      </c>
      <c r="F3" s="46" t="s">
        <v>73</v>
      </c>
      <c r="G3" t="s">
        <v>57</v>
      </c>
      <c r="H3" t="s">
        <v>58</v>
      </c>
      <c r="I3" t="s">
        <v>72</v>
      </c>
      <c r="J3" s="46" t="s">
        <v>73</v>
      </c>
      <c r="K3" t="s">
        <v>57</v>
      </c>
      <c r="L3" t="s">
        <v>58</v>
      </c>
      <c r="M3" t="s">
        <v>72</v>
      </c>
      <c r="N3" s="46" t="s">
        <v>73</v>
      </c>
    </row>
    <row r="4" spans="2:14" x14ac:dyDescent="0.4">
      <c r="B4" s="46">
        <v>10</v>
      </c>
      <c r="C4">
        <f>'Flood (national AAL PML)'!B6</f>
        <v>92.689411276849498</v>
      </c>
      <c r="D4">
        <f>'Flood (national AAL PML)'!C6</f>
        <v>298.13221510010902</v>
      </c>
      <c r="E4">
        <f>'Flood (national AAL PML)'!D6</f>
        <v>357.43199441973098</v>
      </c>
      <c r="F4" s="46">
        <f>SUM(C4:E4)</f>
        <v>748.25362079668957</v>
      </c>
      <c r="G4">
        <f>'Flood (national AAL PML)'!B30</f>
        <v>943.81881648035699</v>
      </c>
      <c r="H4">
        <f>'Flood (national AAL PML)'!C30</f>
        <v>3135.8716643242301</v>
      </c>
      <c r="I4">
        <f>'Flood (national AAL PML)'!D30</f>
        <v>3762.7042118375698</v>
      </c>
      <c r="J4" s="46">
        <f>SUM(G4:I4)</f>
        <v>7842.3946926421568</v>
      </c>
      <c r="K4">
        <f>'Flood (national AAL PML)'!B18</f>
        <v>1462.8131907151701</v>
      </c>
      <c r="L4">
        <f>'Flood (national AAL PML)'!C18</f>
        <v>4894.3245325472599</v>
      </c>
      <c r="M4">
        <f>'Flood (national AAL PML)'!D18</f>
        <v>5872.4237576175801</v>
      </c>
      <c r="N4" s="46">
        <f>SUM(K4:M4)</f>
        <v>12229.561480880009</v>
      </c>
    </row>
    <row r="5" spans="2:14" x14ac:dyDescent="0.4">
      <c r="B5" s="46">
        <v>25</v>
      </c>
      <c r="C5">
        <f>'Flood (national AAL PML)'!B7</f>
        <v>107.724089770874</v>
      </c>
      <c r="D5">
        <f>'Flood (national AAL PML)'!C7</f>
        <v>344.05970870607399</v>
      </c>
      <c r="E5">
        <f>'Flood (national AAL PML)'!D7</f>
        <v>412.41639746037998</v>
      </c>
      <c r="F5" s="46">
        <f>SUM(C5:E5)</f>
        <v>864.20019593732798</v>
      </c>
      <c r="G5">
        <f>'Flood (national AAL PML)'!B31</f>
        <v>1241.91184000053</v>
      </c>
      <c r="H5">
        <f>'Flood (national AAL PML)'!C31</f>
        <v>4157.1924606183602</v>
      </c>
      <c r="I5">
        <f>'Flood (national AAL PML)'!D31</f>
        <v>4988.1875322004398</v>
      </c>
      <c r="J5" s="46">
        <f>SUM(G5:I5)</f>
        <v>10387.29183281933</v>
      </c>
      <c r="K5">
        <f>'Flood (national AAL PML)'!B19</f>
        <v>1677.4659332276999</v>
      </c>
      <c r="L5">
        <f>'Flood (national AAL PML)'!C19</f>
        <v>5623.1095868379298</v>
      </c>
      <c r="M5">
        <f>'Flood (national AAL PML)'!D19</f>
        <v>6746.8151904803099</v>
      </c>
      <c r="N5" s="46">
        <f>SUM(K5:M5)</f>
        <v>14047.39071054594</v>
      </c>
    </row>
    <row r="6" spans="2:14" x14ac:dyDescent="0.4">
      <c r="B6" s="46">
        <v>100</v>
      </c>
      <c r="C6">
        <f>'Flood (national AAL PML)'!B8</f>
        <v>148.578348790343</v>
      </c>
      <c r="D6">
        <f>'Flood (national AAL PML)'!C8</f>
        <v>471.64262625479699</v>
      </c>
      <c r="E6">
        <f>'Flood (national AAL PML)'!D8</f>
        <v>565.35040780021097</v>
      </c>
      <c r="F6" s="46">
        <f>SUM(C6:E6)</f>
        <v>1185.5713828453509</v>
      </c>
      <c r="G6">
        <f>'Flood (national AAL PML)'!B32</f>
        <v>1382.5573317977</v>
      </c>
      <c r="H6">
        <f>'Flood (national AAL PML)'!C32</f>
        <v>4610.7650599812396</v>
      </c>
      <c r="I6">
        <f>'Flood (national AAL PML)'!D32</f>
        <v>5530.43069261442</v>
      </c>
      <c r="J6" s="46">
        <f>SUM(G6:I6)</f>
        <v>11523.75308439336</v>
      </c>
      <c r="K6">
        <f>'Flood (national AAL PML)'!B20</f>
        <v>2143.3480454259302</v>
      </c>
      <c r="L6">
        <f>'Flood (national AAL PML)'!C20</f>
        <v>7125.3363972999496</v>
      </c>
      <c r="M6">
        <f>'Flood (national AAL PML)'!D20</f>
        <v>8538.0276849703896</v>
      </c>
      <c r="N6" s="46">
        <f>SUM(K6:M6)</f>
        <v>17806.712127696272</v>
      </c>
    </row>
    <row r="7" spans="2:14" ht="15" thickBot="1" x14ac:dyDescent="0.45">
      <c r="B7" s="46">
        <v>200</v>
      </c>
      <c r="C7">
        <f>'Flood (national AAL PML)'!B9</f>
        <v>154.26320486480299</v>
      </c>
      <c r="D7">
        <f>'Flood (national AAL PML)'!C9</f>
        <v>490.57679011763298</v>
      </c>
      <c r="E7">
        <f>'Flood (national AAL PML)'!D9</f>
        <v>588.07132005685003</v>
      </c>
      <c r="F7" s="46">
        <f>SUM(C7:E7)</f>
        <v>1232.9113150392859</v>
      </c>
      <c r="G7">
        <f>'Flood (national AAL PML)'!B33</f>
        <v>1410.0363313963701</v>
      </c>
      <c r="H7">
        <f>'Flood (national AAL PML)'!C33</f>
        <v>4703.0830657444003</v>
      </c>
      <c r="I7">
        <f>'Flood (national AAL PML)'!D33</f>
        <v>5640.0916580759904</v>
      </c>
      <c r="J7" s="46">
        <f>SUM(G7:I7)</f>
        <v>11753.211055216761</v>
      </c>
      <c r="K7">
        <f>'Flood (national AAL PML)'!B21</f>
        <v>2210.5223764256002</v>
      </c>
      <c r="L7">
        <f>'Flood (national AAL PML)'!C21</f>
        <v>7396.5671302158898</v>
      </c>
      <c r="M7">
        <f>'Flood (national AAL PML)'!D21</f>
        <v>8870.6763218703909</v>
      </c>
      <c r="N7" s="46">
        <f>SUM(K7:M7)</f>
        <v>18477.765828511881</v>
      </c>
    </row>
    <row r="8" spans="2:14" ht="15" thickBot="1" x14ac:dyDescent="0.45">
      <c r="C8" s="104" t="s">
        <v>15</v>
      </c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6"/>
    </row>
    <row r="9" spans="2:14" x14ac:dyDescent="0.4">
      <c r="B9" s="46" t="s">
        <v>63</v>
      </c>
      <c r="G9" t="s">
        <v>57</v>
      </c>
      <c r="H9" t="s">
        <v>58</v>
      </c>
      <c r="I9" t="s">
        <v>72</v>
      </c>
      <c r="J9" s="46" t="s">
        <v>73</v>
      </c>
      <c r="K9" t="s">
        <v>57</v>
      </c>
      <c r="L9" t="s">
        <v>58</v>
      </c>
      <c r="M9" t="s">
        <v>72</v>
      </c>
      <c r="N9" s="46" t="s">
        <v>73</v>
      </c>
    </row>
    <row r="10" spans="2:14" x14ac:dyDescent="0.4">
      <c r="B10" s="46">
        <v>10</v>
      </c>
      <c r="G10" t="e">
        <f>'Flood (national AAL PML)'!#REF!</f>
        <v>#REF!</v>
      </c>
      <c r="H10" t="e">
        <f>'Flood (national AAL PML)'!#REF!</f>
        <v>#REF!</v>
      </c>
      <c r="I10" t="e">
        <f>'Flood (national AAL PML)'!#REF!</f>
        <v>#REF!</v>
      </c>
      <c r="J10" s="46" t="e">
        <f>SUM(G10:I10)</f>
        <v>#REF!</v>
      </c>
      <c r="K10" t="e">
        <f>'Flood (national AAL PML)'!#REF!</f>
        <v>#REF!</v>
      </c>
      <c r="L10" t="e">
        <f>'Flood (national AAL PML)'!#REF!</f>
        <v>#REF!</v>
      </c>
      <c r="M10" t="e">
        <f>'Flood (national AAL PML)'!#REF!</f>
        <v>#REF!</v>
      </c>
      <c r="N10" s="46" t="e">
        <f>SUM(K10:M10)</f>
        <v>#REF!</v>
      </c>
    </row>
    <row r="11" spans="2:14" x14ac:dyDescent="0.4">
      <c r="B11" s="46">
        <v>25</v>
      </c>
      <c r="G11" t="e">
        <f>'Flood (national AAL PML)'!#REF!</f>
        <v>#REF!</v>
      </c>
      <c r="H11" t="e">
        <f>'Flood (national AAL PML)'!#REF!</f>
        <v>#REF!</v>
      </c>
      <c r="I11" t="e">
        <f>'Flood (national AAL PML)'!#REF!</f>
        <v>#REF!</v>
      </c>
      <c r="J11" s="46" t="e">
        <f>SUM(G11:I11)</f>
        <v>#REF!</v>
      </c>
      <c r="K11" t="e">
        <f>'Flood (national AAL PML)'!#REF!</f>
        <v>#REF!</v>
      </c>
      <c r="L11" t="e">
        <f>'Flood (national AAL PML)'!#REF!</f>
        <v>#REF!</v>
      </c>
      <c r="M11" t="e">
        <f>'Flood (national AAL PML)'!#REF!</f>
        <v>#REF!</v>
      </c>
      <c r="N11" s="46" t="e">
        <f>SUM(K11:M11)</f>
        <v>#REF!</v>
      </c>
    </row>
    <row r="12" spans="2:14" x14ac:dyDescent="0.4">
      <c r="B12" s="46">
        <v>100</v>
      </c>
      <c r="G12" t="e">
        <f>'Flood (national AAL PML)'!#REF!</f>
        <v>#REF!</v>
      </c>
      <c r="H12" t="e">
        <f>'Flood (national AAL PML)'!#REF!</f>
        <v>#REF!</v>
      </c>
      <c r="I12" t="e">
        <f>'Flood (national AAL PML)'!#REF!</f>
        <v>#REF!</v>
      </c>
      <c r="J12" s="46" t="e">
        <f>SUM(G12:I12)</f>
        <v>#REF!</v>
      </c>
      <c r="K12" t="e">
        <f>'Flood (national AAL PML)'!#REF!</f>
        <v>#REF!</v>
      </c>
      <c r="L12" t="e">
        <f>'Flood (national AAL PML)'!#REF!</f>
        <v>#REF!</v>
      </c>
      <c r="M12" t="e">
        <f>'Flood (national AAL PML)'!#REF!</f>
        <v>#REF!</v>
      </c>
      <c r="N12" s="46" t="e">
        <f>SUM(K12:M12)</f>
        <v>#REF!</v>
      </c>
    </row>
    <row r="13" spans="2:14" x14ac:dyDescent="0.4">
      <c r="B13" s="46">
        <v>200</v>
      </c>
      <c r="G13" t="e">
        <f>'Flood (national AAL PML)'!#REF!</f>
        <v>#REF!</v>
      </c>
      <c r="H13" t="e">
        <f>'Flood (national AAL PML)'!#REF!</f>
        <v>#REF!</v>
      </c>
      <c r="I13" t="e">
        <f>'Flood (national AAL PML)'!#REF!</f>
        <v>#REF!</v>
      </c>
      <c r="J13" s="46" t="e">
        <f>SUM(G13:I13)</f>
        <v>#REF!</v>
      </c>
      <c r="K13" t="e">
        <f>'Flood (national AAL PML)'!#REF!</f>
        <v>#REF!</v>
      </c>
      <c r="L13" t="e">
        <f>'Flood (national AAL PML)'!#REF!</f>
        <v>#REF!</v>
      </c>
      <c r="M13" t="e">
        <f>'Flood (national AAL PML)'!#REF!</f>
        <v>#REF!</v>
      </c>
      <c r="N13" s="46" t="e">
        <f>SUM(K13:M13)</f>
        <v>#REF!</v>
      </c>
    </row>
  </sheetData>
  <mergeCells count="5">
    <mergeCell ref="C1:F1"/>
    <mergeCell ref="G1:J1"/>
    <mergeCell ref="K1:N1"/>
    <mergeCell ref="C2:N2"/>
    <mergeCell ref="C8:N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Flood (national AAL PML)</vt:lpstr>
      <vt:lpstr>Drought (national AAL PML)</vt:lpstr>
      <vt:lpstr>Flood Affected Population</vt:lpstr>
      <vt:lpstr>Drought Affected Population</vt:lpstr>
      <vt:lpstr>Flood AAL (admin 1)</vt:lpstr>
      <vt:lpstr>Drought AAL (admin 1)</vt:lpstr>
      <vt:lpstr>graph_AALpop</vt:lpstr>
      <vt:lpstr>graph_AALeconomic</vt:lpstr>
      <vt:lpstr>graph_AALbua</vt:lpstr>
      <vt:lpstr>graph_PMLpop</vt:lpstr>
      <vt:lpstr>graph_PMLeco</vt:lpstr>
      <vt:lpstr>graph_PMLbua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Junko Mochizuki</dc:creator>
  <cp:keywords/>
  <dc:description/>
  <cp:lastModifiedBy>Katherine Anne Stapleton</cp:lastModifiedBy>
  <cp:revision/>
  <dcterms:created xsi:type="dcterms:W3CDTF">2022-11-30T10:12:22Z</dcterms:created>
  <dcterms:modified xsi:type="dcterms:W3CDTF">2023-08-18T02:05:37Z</dcterms:modified>
  <cp:category/>
  <cp:contentStatus/>
</cp:coreProperties>
</file>