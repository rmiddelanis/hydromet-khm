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orEViews" sheetId="1" r:id="rId1"/>
    <sheet name="drr_impact_channel_KHM" sheetId="2" r:id="rId2"/>
    <sheet name="agri_impact_channel_KHM" sheetId="3" r:id="rId3"/>
    <sheet name="hydropower_impact_channel_KHM" sheetId="4" r:id="rId4"/>
    <sheet name="scenario_costs_KHM" sheetId="5" r:id="rId5"/>
  </sheets>
  <calcPr calcId="124519" fullCalcOnLoad="1"/>
</workbook>
</file>

<file path=xl/sharedStrings.xml><?xml version="1.0" encoding="utf-8"?>
<sst xmlns="http://schemas.openxmlformats.org/spreadsheetml/2006/main" count="93" uniqueCount="47">
  <si>
    <t>DRRCON_OPT</t>
  </si>
  <si>
    <t>DRRSTQ_OPT</t>
  </si>
  <si>
    <t>DRRIMP_OPT</t>
  </si>
  <si>
    <t>DRRCON_PES</t>
  </si>
  <si>
    <t>DRRSTQ_PES</t>
  </si>
  <si>
    <t>DRRIMP_PES</t>
  </si>
  <si>
    <t>ARGCON_OPT</t>
  </si>
  <si>
    <t>ARGSTQ_OPT</t>
  </si>
  <si>
    <t>ARGIMP_OPT</t>
  </si>
  <si>
    <t>ARGCON_PES</t>
  </si>
  <si>
    <t>ARGSTQ_PES</t>
  </si>
  <si>
    <t>ARGIMP_PES</t>
  </si>
  <si>
    <t>HYDCON_OPT</t>
  </si>
  <si>
    <t>HYDSTQ_OPT</t>
  </si>
  <si>
    <t>HYDIMP_OPT</t>
  </si>
  <si>
    <t>HYDCON_PES</t>
  </si>
  <si>
    <t>HYDSTQ_PES</t>
  </si>
  <si>
    <t>HYDIMP_PES</t>
  </si>
  <si>
    <t>OPEXCON_OPT</t>
  </si>
  <si>
    <t>OPEXSTQ_OPT</t>
  </si>
  <si>
    <t>OPEXIMP_OPT</t>
  </si>
  <si>
    <t>OPEXCON_PES</t>
  </si>
  <si>
    <t>OPEXSTQ_PES</t>
  </si>
  <si>
    <t>OPEXIMP_PES</t>
  </si>
  <si>
    <t>CAPEXCON_OPT</t>
  </si>
  <si>
    <t>CAPEXSTQ_OPT</t>
  </si>
  <si>
    <t>CAPEXIMP_OPT</t>
  </si>
  <si>
    <t>CAPEXCON_PES</t>
  </si>
  <si>
    <t>CAPEXSTQ_PES</t>
  </si>
  <si>
    <t>CAPEXIMP_PES</t>
  </si>
  <si>
    <t>Info:</t>
  </si>
  <si>
    <t>values denote the percentage of total national capital stock destroyed through floods</t>
  </si>
  <si>
    <t>Climate scenario</t>
  </si>
  <si>
    <t>Forecast scenario</t>
  </si>
  <si>
    <t>Optimistic</t>
  </si>
  <si>
    <t>Pessimistic</t>
  </si>
  <si>
    <t>Control</t>
  </si>
  <si>
    <t>Status quo</t>
  </si>
  <si>
    <t>Improvement</t>
  </si>
  <si>
    <t>Year</t>
  </si>
  <si>
    <t>values are the agricultural productivity change w.r.t. the 2020 control level in percent</t>
  </si>
  <si>
    <t>values are percent cost reductions of electricity generation cost in comparison to the control scenario</t>
  </si>
  <si>
    <t>Optimistic / Pessimistic</t>
  </si>
  <si>
    <t>All values in 2025 USD</t>
  </si>
  <si>
    <t>Cost type</t>
  </si>
  <si>
    <t>OPEX</t>
  </si>
  <si>
    <t>CAPEX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</si>
</sst>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3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2020</v>
      </c>
      <c r="B2">
        <f>drr_impact_channel_KHM!B5</f>
        <v>0</v>
      </c>
      <c r="C2">
        <f>drr_impact_channel_KHM!C5</f>
        <v>0</v>
      </c>
      <c r="D2">
        <f>drr_impact_channel_KHM!D5</f>
        <v>0</v>
      </c>
      <c r="E2">
        <f>drr_impact_channel_KHM!E5</f>
        <v>0</v>
      </c>
      <c r="F2">
        <f>drr_impact_channel_KHM!F5</f>
        <v>0</v>
      </c>
      <c r="G2">
        <f>drr_impact_channel_KHM!G5</f>
        <v>0</v>
      </c>
      <c r="H2">
        <f>agri_impact_channel_KHM!B5</f>
        <v>0</v>
      </c>
      <c r="I2">
        <f>agri_impact_channel_KHM!C5</f>
        <v>0</v>
      </c>
      <c r="J2">
        <f>agri_impact_channel_KHM!D5</f>
        <v>0</v>
      </c>
      <c r="K2">
        <f>agri_impact_channel_KHM!E5</f>
        <v>0</v>
      </c>
      <c r="L2">
        <f>agri_impact_channel_KHM!F5</f>
        <v>0</v>
      </c>
      <c r="M2">
        <f>agri_impact_channel_KHM!G5</f>
        <v>0</v>
      </c>
      <c r="N2">
        <f>hydropower_impact_channel_KHM!B5</f>
        <v>0</v>
      </c>
      <c r="O2">
        <f>hydropower_impact_channel_KHM!C5</f>
        <v>0</v>
      </c>
      <c r="P2">
        <f>hydropower_impact_channel_KHM!D5</f>
        <v>0</v>
      </c>
      <c r="Q2">
        <f>N2</f>
        <v>0</v>
      </c>
      <c r="R2">
        <f>hydropower_impact_channel_KHM!E5</f>
        <v>0</v>
      </c>
      <c r="S2">
        <f>hydropower_impact_channel_KHM!F5</f>
        <v>0</v>
      </c>
      <c r="T2">
        <f>scenario_costs_KHM!B6</f>
        <v>0</v>
      </c>
      <c r="U2">
        <f>scenario_costs_KHM!C6</f>
        <v>0</v>
      </c>
      <c r="V2">
        <f>scenario_costs_KHM!D6</f>
        <v>0</v>
      </c>
      <c r="W2">
        <f>scenario_costs_KHM!E6</f>
        <v>0</v>
      </c>
      <c r="X2">
        <f>scenario_costs_KHM!F6</f>
        <v>0</v>
      </c>
      <c r="Y2">
        <f>scenario_costs_KHM!G6</f>
        <v>0</v>
      </c>
      <c r="Z2">
        <f>scenario_costs_KHM!H6</f>
        <v>0</v>
      </c>
      <c r="AA2">
        <f>scenario_costs_KHM!I6</f>
        <v>0</v>
      </c>
      <c r="AB2">
        <f>scenario_costs_KHM!J6</f>
        <v>0</v>
      </c>
      <c r="AC2">
        <f>scenario_costs_KHM!K6</f>
        <v>0</v>
      </c>
      <c r="AD2">
        <f>scenario_costs_KHM!L6</f>
        <v>0</v>
      </c>
      <c r="AE2">
        <f>scenario_costs_KHM!M6</f>
        <v>0</v>
      </c>
    </row>
    <row r="3" spans="1:31">
      <c r="A3">
        <v>2021</v>
      </c>
      <c r="B3">
        <f>drr_impact_channel_KHM!B6</f>
        <v>0</v>
      </c>
      <c r="C3">
        <f>drr_impact_channel_KHM!C6</f>
        <v>0</v>
      </c>
      <c r="D3">
        <f>drr_impact_channel_KHM!D6</f>
        <v>0</v>
      </c>
      <c r="E3">
        <f>drr_impact_channel_KHM!E6</f>
        <v>0</v>
      </c>
      <c r="F3">
        <f>drr_impact_channel_KHM!F6</f>
        <v>0</v>
      </c>
      <c r="G3">
        <f>drr_impact_channel_KHM!G6</f>
        <v>0</v>
      </c>
      <c r="H3">
        <f>agri_impact_channel_KHM!B6</f>
        <v>0</v>
      </c>
      <c r="I3">
        <f>agri_impact_channel_KHM!C6</f>
        <v>0</v>
      </c>
      <c r="J3">
        <f>agri_impact_channel_KHM!D6</f>
        <v>0</v>
      </c>
      <c r="K3">
        <f>agri_impact_channel_KHM!E6</f>
        <v>0</v>
      </c>
      <c r="L3">
        <f>agri_impact_channel_KHM!F6</f>
        <v>0</v>
      </c>
      <c r="M3">
        <f>agri_impact_channel_KHM!G6</f>
        <v>0</v>
      </c>
      <c r="N3">
        <f>hydropower_impact_channel_KHM!B6</f>
        <v>0</v>
      </c>
      <c r="O3">
        <f>hydropower_impact_channel_KHM!C6</f>
        <v>0</v>
      </c>
      <c r="P3">
        <f>hydropower_impact_channel_KHM!D6</f>
        <v>0</v>
      </c>
      <c r="Q3">
        <f>N3</f>
        <v>0</v>
      </c>
      <c r="R3">
        <f>hydropower_impact_channel_KHM!E6</f>
        <v>0</v>
      </c>
      <c r="S3">
        <f>hydropower_impact_channel_KHM!F6</f>
        <v>0</v>
      </c>
      <c r="T3">
        <f>scenario_costs_KHM!B7</f>
        <v>0</v>
      </c>
      <c r="U3">
        <f>scenario_costs_KHM!C7</f>
        <v>0</v>
      </c>
      <c r="V3">
        <f>scenario_costs_KHM!D7</f>
        <v>0</v>
      </c>
      <c r="W3">
        <f>scenario_costs_KHM!E7</f>
        <v>0</v>
      </c>
      <c r="X3">
        <f>scenario_costs_KHM!F7</f>
        <v>0</v>
      </c>
      <c r="Y3">
        <f>scenario_costs_KHM!G7</f>
        <v>0</v>
      </c>
      <c r="Z3">
        <f>scenario_costs_KHM!H7</f>
        <v>0</v>
      </c>
      <c r="AA3">
        <f>scenario_costs_KHM!I7</f>
        <v>0</v>
      </c>
      <c r="AB3">
        <f>scenario_costs_KHM!J7</f>
        <v>0</v>
      </c>
      <c r="AC3">
        <f>scenario_costs_KHM!K7</f>
        <v>0</v>
      </c>
      <c r="AD3">
        <f>scenario_costs_KHM!L7</f>
        <v>0</v>
      </c>
      <c r="AE3">
        <f>scenario_costs_KHM!M7</f>
        <v>0</v>
      </c>
    </row>
    <row r="4" spans="1:31">
      <c r="A4">
        <v>2022</v>
      </c>
      <c r="B4">
        <f>drr_impact_channel_KHM!B7</f>
        <v>0</v>
      </c>
      <c r="C4">
        <f>drr_impact_channel_KHM!C7</f>
        <v>0</v>
      </c>
      <c r="D4">
        <f>drr_impact_channel_KHM!D7</f>
        <v>0</v>
      </c>
      <c r="E4">
        <f>drr_impact_channel_KHM!E7</f>
        <v>0</v>
      </c>
      <c r="F4">
        <f>drr_impact_channel_KHM!F7</f>
        <v>0</v>
      </c>
      <c r="G4">
        <f>drr_impact_channel_KHM!G7</f>
        <v>0</v>
      </c>
      <c r="H4">
        <f>agri_impact_channel_KHM!B7</f>
        <v>0</v>
      </c>
      <c r="I4">
        <f>agri_impact_channel_KHM!C7</f>
        <v>0</v>
      </c>
      <c r="J4">
        <f>agri_impact_channel_KHM!D7</f>
        <v>0</v>
      </c>
      <c r="K4">
        <f>agri_impact_channel_KHM!E7</f>
        <v>0</v>
      </c>
      <c r="L4">
        <f>agri_impact_channel_KHM!F7</f>
        <v>0</v>
      </c>
      <c r="M4">
        <f>agri_impact_channel_KHM!G7</f>
        <v>0</v>
      </c>
      <c r="N4">
        <f>hydropower_impact_channel_KHM!B7</f>
        <v>0</v>
      </c>
      <c r="O4">
        <f>hydropower_impact_channel_KHM!C7</f>
        <v>0</v>
      </c>
      <c r="P4">
        <f>hydropower_impact_channel_KHM!D7</f>
        <v>0</v>
      </c>
      <c r="Q4">
        <f>N4</f>
        <v>0</v>
      </c>
      <c r="R4">
        <f>hydropower_impact_channel_KHM!E7</f>
        <v>0</v>
      </c>
      <c r="S4">
        <f>hydropower_impact_channel_KHM!F7</f>
        <v>0</v>
      </c>
      <c r="T4">
        <f>scenario_costs_KHM!B8</f>
        <v>0</v>
      </c>
      <c r="U4">
        <f>scenario_costs_KHM!C8</f>
        <v>0</v>
      </c>
      <c r="V4">
        <f>scenario_costs_KHM!D8</f>
        <v>0</v>
      </c>
      <c r="W4">
        <f>scenario_costs_KHM!E8</f>
        <v>0</v>
      </c>
      <c r="X4">
        <f>scenario_costs_KHM!F8</f>
        <v>0</v>
      </c>
      <c r="Y4">
        <f>scenario_costs_KHM!G8</f>
        <v>0</v>
      </c>
      <c r="Z4">
        <f>scenario_costs_KHM!H8</f>
        <v>0</v>
      </c>
      <c r="AA4">
        <f>scenario_costs_KHM!I8</f>
        <v>0</v>
      </c>
      <c r="AB4">
        <f>scenario_costs_KHM!J8</f>
        <v>0</v>
      </c>
      <c r="AC4">
        <f>scenario_costs_KHM!K8</f>
        <v>0</v>
      </c>
      <c r="AD4">
        <f>scenario_costs_KHM!L8</f>
        <v>0</v>
      </c>
      <c r="AE4">
        <f>scenario_costs_KHM!M8</f>
        <v>0</v>
      </c>
    </row>
    <row r="5" spans="1:31">
      <c r="A5">
        <v>2023</v>
      </c>
      <c r="B5">
        <f>drr_impact_channel_KHM!B8</f>
        <v>0</v>
      </c>
      <c r="C5">
        <f>drr_impact_channel_KHM!C8</f>
        <v>0</v>
      </c>
      <c r="D5">
        <f>drr_impact_channel_KHM!D8</f>
        <v>0</v>
      </c>
      <c r="E5">
        <f>drr_impact_channel_KHM!E8</f>
        <v>0</v>
      </c>
      <c r="F5">
        <f>drr_impact_channel_KHM!F8</f>
        <v>0</v>
      </c>
      <c r="G5">
        <f>drr_impact_channel_KHM!G8</f>
        <v>0</v>
      </c>
      <c r="H5">
        <f>agri_impact_channel_KHM!B8</f>
        <v>0</v>
      </c>
      <c r="I5">
        <f>agri_impact_channel_KHM!C8</f>
        <v>0</v>
      </c>
      <c r="J5">
        <f>agri_impact_channel_KHM!D8</f>
        <v>0</v>
      </c>
      <c r="K5">
        <f>agri_impact_channel_KHM!E8</f>
        <v>0</v>
      </c>
      <c r="L5">
        <f>agri_impact_channel_KHM!F8</f>
        <v>0</v>
      </c>
      <c r="M5">
        <f>agri_impact_channel_KHM!G8</f>
        <v>0</v>
      </c>
      <c r="N5">
        <f>hydropower_impact_channel_KHM!B8</f>
        <v>0</v>
      </c>
      <c r="O5">
        <f>hydropower_impact_channel_KHM!C8</f>
        <v>0</v>
      </c>
      <c r="P5">
        <f>hydropower_impact_channel_KHM!D8</f>
        <v>0</v>
      </c>
      <c r="Q5">
        <f>N5</f>
        <v>0</v>
      </c>
      <c r="R5">
        <f>hydropower_impact_channel_KHM!E8</f>
        <v>0</v>
      </c>
      <c r="S5">
        <f>hydropower_impact_channel_KHM!F8</f>
        <v>0</v>
      </c>
      <c r="T5">
        <f>scenario_costs_KHM!B9</f>
        <v>0</v>
      </c>
      <c r="U5">
        <f>scenario_costs_KHM!C9</f>
        <v>0</v>
      </c>
      <c r="V5">
        <f>scenario_costs_KHM!D9</f>
        <v>0</v>
      </c>
      <c r="W5">
        <f>scenario_costs_KHM!E9</f>
        <v>0</v>
      </c>
      <c r="X5">
        <f>scenario_costs_KHM!F9</f>
        <v>0</v>
      </c>
      <c r="Y5">
        <f>scenario_costs_KHM!G9</f>
        <v>0</v>
      </c>
      <c r="Z5">
        <f>scenario_costs_KHM!H9</f>
        <v>0</v>
      </c>
      <c r="AA5">
        <f>scenario_costs_KHM!I9</f>
        <v>0</v>
      </c>
      <c r="AB5">
        <f>scenario_costs_KHM!J9</f>
        <v>0</v>
      </c>
      <c r="AC5">
        <f>scenario_costs_KHM!K9</f>
        <v>0</v>
      </c>
      <c r="AD5">
        <f>scenario_costs_KHM!L9</f>
        <v>0</v>
      </c>
      <c r="AE5">
        <f>scenario_costs_KHM!M9</f>
        <v>0</v>
      </c>
    </row>
    <row r="6" spans="1:31">
      <c r="A6">
        <v>2024</v>
      </c>
      <c r="B6">
        <f>drr_impact_channel_KHM!B9</f>
        <v>0</v>
      </c>
      <c r="C6">
        <f>drr_impact_channel_KHM!C9</f>
        <v>0</v>
      </c>
      <c r="D6">
        <f>drr_impact_channel_KHM!D9</f>
        <v>0</v>
      </c>
      <c r="E6">
        <f>drr_impact_channel_KHM!E9</f>
        <v>0</v>
      </c>
      <c r="F6">
        <f>drr_impact_channel_KHM!F9</f>
        <v>0</v>
      </c>
      <c r="G6">
        <f>drr_impact_channel_KHM!G9</f>
        <v>0</v>
      </c>
      <c r="H6">
        <f>agri_impact_channel_KHM!B9</f>
        <v>0</v>
      </c>
      <c r="I6">
        <f>agri_impact_channel_KHM!C9</f>
        <v>0</v>
      </c>
      <c r="J6">
        <f>agri_impact_channel_KHM!D9</f>
        <v>0</v>
      </c>
      <c r="K6">
        <f>agri_impact_channel_KHM!E9</f>
        <v>0</v>
      </c>
      <c r="L6">
        <f>agri_impact_channel_KHM!F9</f>
        <v>0</v>
      </c>
      <c r="M6">
        <f>agri_impact_channel_KHM!G9</f>
        <v>0</v>
      </c>
      <c r="N6">
        <f>hydropower_impact_channel_KHM!B9</f>
        <v>0</v>
      </c>
      <c r="O6">
        <f>hydropower_impact_channel_KHM!C9</f>
        <v>0</v>
      </c>
      <c r="P6">
        <f>hydropower_impact_channel_KHM!D9</f>
        <v>0</v>
      </c>
      <c r="Q6">
        <f>N6</f>
        <v>0</v>
      </c>
      <c r="R6">
        <f>hydropower_impact_channel_KHM!E9</f>
        <v>0</v>
      </c>
      <c r="S6">
        <f>hydropower_impact_channel_KHM!F9</f>
        <v>0</v>
      </c>
      <c r="T6">
        <f>scenario_costs_KHM!B10</f>
        <v>0</v>
      </c>
      <c r="U6">
        <f>scenario_costs_KHM!C10</f>
        <v>0</v>
      </c>
      <c r="V6">
        <f>scenario_costs_KHM!D10</f>
        <v>0</v>
      </c>
      <c r="W6">
        <f>scenario_costs_KHM!E10</f>
        <v>0</v>
      </c>
      <c r="X6">
        <f>scenario_costs_KHM!F10</f>
        <v>0</v>
      </c>
      <c r="Y6">
        <f>scenario_costs_KHM!G10</f>
        <v>0</v>
      </c>
      <c r="Z6">
        <f>scenario_costs_KHM!H10</f>
        <v>0</v>
      </c>
      <c r="AA6">
        <f>scenario_costs_KHM!I10</f>
        <v>0</v>
      </c>
      <c r="AB6">
        <f>scenario_costs_KHM!J10</f>
        <v>0</v>
      </c>
      <c r="AC6">
        <f>scenario_costs_KHM!K10</f>
        <v>0</v>
      </c>
      <c r="AD6">
        <f>scenario_costs_KHM!L10</f>
        <v>0</v>
      </c>
      <c r="AE6">
        <f>scenario_costs_KHM!M10</f>
        <v>0</v>
      </c>
    </row>
    <row r="7" spans="1:31">
      <c r="A7">
        <v>2025</v>
      </c>
      <c r="B7">
        <f>drr_impact_channel_KHM!B10</f>
        <v>0</v>
      </c>
      <c r="C7">
        <f>drr_impact_channel_KHM!C10</f>
        <v>0</v>
      </c>
      <c r="D7">
        <f>drr_impact_channel_KHM!D10</f>
        <v>0</v>
      </c>
      <c r="E7">
        <f>drr_impact_channel_KHM!E10</f>
        <v>0</v>
      </c>
      <c r="F7">
        <f>drr_impact_channel_KHM!F10</f>
        <v>0</v>
      </c>
      <c r="G7">
        <f>drr_impact_channel_KHM!G10</f>
        <v>0</v>
      </c>
      <c r="H7">
        <f>agri_impact_channel_KHM!B10</f>
        <v>0</v>
      </c>
      <c r="I7">
        <f>agri_impact_channel_KHM!C10</f>
        <v>0</v>
      </c>
      <c r="J7">
        <f>agri_impact_channel_KHM!D10</f>
        <v>0</v>
      </c>
      <c r="K7">
        <f>agri_impact_channel_KHM!E10</f>
        <v>0</v>
      </c>
      <c r="L7">
        <f>agri_impact_channel_KHM!F10</f>
        <v>0</v>
      </c>
      <c r="M7">
        <f>agri_impact_channel_KHM!G10</f>
        <v>0</v>
      </c>
      <c r="N7">
        <f>hydropower_impact_channel_KHM!B10</f>
        <v>0</v>
      </c>
      <c r="O7">
        <f>hydropower_impact_channel_KHM!C10</f>
        <v>0</v>
      </c>
      <c r="P7">
        <f>hydropower_impact_channel_KHM!D10</f>
        <v>0</v>
      </c>
      <c r="Q7">
        <f>N7</f>
        <v>0</v>
      </c>
      <c r="R7">
        <f>hydropower_impact_channel_KHM!E10</f>
        <v>0</v>
      </c>
      <c r="S7">
        <f>hydropower_impact_channel_KHM!F10</f>
        <v>0</v>
      </c>
      <c r="T7">
        <f>scenario_costs_KHM!B11</f>
        <v>0</v>
      </c>
      <c r="U7">
        <f>scenario_costs_KHM!C11</f>
        <v>0</v>
      </c>
      <c r="V7">
        <f>scenario_costs_KHM!D11</f>
        <v>0</v>
      </c>
      <c r="W7">
        <f>scenario_costs_KHM!E11</f>
        <v>0</v>
      </c>
      <c r="X7">
        <f>scenario_costs_KHM!F11</f>
        <v>0</v>
      </c>
      <c r="Y7">
        <f>scenario_costs_KHM!G11</f>
        <v>0</v>
      </c>
      <c r="Z7">
        <f>scenario_costs_KHM!H11</f>
        <v>0</v>
      </c>
      <c r="AA7">
        <f>scenario_costs_KHM!I11</f>
        <v>0</v>
      </c>
      <c r="AB7">
        <f>scenario_costs_KHM!J11</f>
        <v>0</v>
      </c>
      <c r="AC7">
        <f>scenario_costs_KHM!K11</f>
        <v>0</v>
      </c>
      <c r="AD7">
        <f>scenario_costs_KHM!L11</f>
        <v>0</v>
      </c>
      <c r="AE7">
        <f>scenario_costs_KHM!M11</f>
        <v>0</v>
      </c>
    </row>
    <row r="8" spans="1:31">
      <c r="A8">
        <v>2026</v>
      </c>
      <c r="B8">
        <f>drr_impact_channel_KHM!B11</f>
        <v>0</v>
      </c>
      <c r="C8">
        <f>drr_impact_channel_KHM!C11</f>
        <v>0</v>
      </c>
      <c r="D8">
        <f>drr_impact_channel_KHM!D11</f>
        <v>0</v>
      </c>
      <c r="E8">
        <f>drr_impact_channel_KHM!E11</f>
        <v>0</v>
      </c>
      <c r="F8">
        <f>drr_impact_channel_KHM!F11</f>
        <v>0</v>
      </c>
      <c r="G8">
        <f>drr_impact_channel_KHM!G11</f>
        <v>0</v>
      </c>
      <c r="H8">
        <f>agri_impact_channel_KHM!B11</f>
        <v>0</v>
      </c>
      <c r="I8">
        <f>agri_impact_channel_KHM!C11</f>
        <v>0</v>
      </c>
      <c r="J8">
        <f>agri_impact_channel_KHM!D11</f>
        <v>0</v>
      </c>
      <c r="K8">
        <f>agri_impact_channel_KHM!E11</f>
        <v>0</v>
      </c>
      <c r="L8">
        <f>agri_impact_channel_KHM!F11</f>
        <v>0</v>
      </c>
      <c r="M8">
        <f>agri_impact_channel_KHM!G11</f>
        <v>0</v>
      </c>
      <c r="N8">
        <f>hydropower_impact_channel_KHM!B11</f>
        <v>0</v>
      </c>
      <c r="O8">
        <f>hydropower_impact_channel_KHM!C11</f>
        <v>0</v>
      </c>
      <c r="P8">
        <f>hydropower_impact_channel_KHM!D11</f>
        <v>0</v>
      </c>
      <c r="Q8">
        <f>N8</f>
        <v>0</v>
      </c>
      <c r="R8">
        <f>hydropower_impact_channel_KHM!E11</f>
        <v>0</v>
      </c>
      <c r="S8">
        <f>hydropower_impact_channel_KHM!F11</f>
        <v>0</v>
      </c>
      <c r="T8">
        <f>scenario_costs_KHM!B12</f>
        <v>0</v>
      </c>
      <c r="U8">
        <f>scenario_costs_KHM!C12</f>
        <v>0</v>
      </c>
      <c r="V8">
        <f>scenario_costs_KHM!D12</f>
        <v>0</v>
      </c>
      <c r="W8">
        <f>scenario_costs_KHM!E12</f>
        <v>0</v>
      </c>
      <c r="X8">
        <f>scenario_costs_KHM!F12</f>
        <v>0</v>
      </c>
      <c r="Y8">
        <f>scenario_costs_KHM!G12</f>
        <v>0</v>
      </c>
      <c r="Z8">
        <f>scenario_costs_KHM!H12</f>
        <v>0</v>
      </c>
      <c r="AA8">
        <f>scenario_costs_KHM!I12</f>
        <v>0</v>
      </c>
      <c r="AB8">
        <f>scenario_costs_KHM!J12</f>
        <v>0</v>
      </c>
      <c r="AC8">
        <f>scenario_costs_KHM!K12</f>
        <v>0</v>
      </c>
      <c r="AD8">
        <f>scenario_costs_KHM!L12</f>
        <v>0</v>
      </c>
      <c r="AE8">
        <f>scenario_costs_KHM!M12</f>
        <v>0</v>
      </c>
    </row>
    <row r="9" spans="1:31">
      <c r="A9">
        <v>2027</v>
      </c>
      <c r="B9">
        <f>drr_impact_channel_KHM!B12</f>
        <v>0</v>
      </c>
      <c r="C9">
        <f>drr_impact_channel_KHM!C12</f>
        <v>0</v>
      </c>
      <c r="D9">
        <f>drr_impact_channel_KHM!D12</f>
        <v>0</v>
      </c>
      <c r="E9">
        <f>drr_impact_channel_KHM!E12</f>
        <v>0</v>
      </c>
      <c r="F9">
        <f>drr_impact_channel_KHM!F12</f>
        <v>0</v>
      </c>
      <c r="G9">
        <f>drr_impact_channel_KHM!G12</f>
        <v>0</v>
      </c>
      <c r="H9">
        <f>agri_impact_channel_KHM!B12</f>
        <v>0</v>
      </c>
      <c r="I9">
        <f>agri_impact_channel_KHM!C12</f>
        <v>0</v>
      </c>
      <c r="J9">
        <f>agri_impact_channel_KHM!D12</f>
        <v>0</v>
      </c>
      <c r="K9">
        <f>agri_impact_channel_KHM!E12</f>
        <v>0</v>
      </c>
      <c r="L9">
        <f>agri_impact_channel_KHM!F12</f>
        <v>0</v>
      </c>
      <c r="M9">
        <f>agri_impact_channel_KHM!G12</f>
        <v>0</v>
      </c>
      <c r="N9">
        <f>hydropower_impact_channel_KHM!B12</f>
        <v>0</v>
      </c>
      <c r="O9">
        <f>hydropower_impact_channel_KHM!C12</f>
        <v>0</v>
      </c>
      <c r="P9">
        <f>hydropower_impact_channel_KHM!D12</f>
        <v>0</v>
      </c>
      <c r="Q9">
        <f>N9</f>
        <v>0</v>
      </c>
      <c r="R9">
        <f>hydropower_impact_channel_KHM!E12</f>
        <v>0</v>
      </c>
      <c r="S9">
        <f>hydropower_impact_channel_KHM!F12</f>
        <v>0</v>
      </c>
      <c r="T9">
        <f>scenario_costs_KHM!B13</f>
        <v>0</v>
      </c>
      <c r="U9">
        <f>scenario_costs_KHM!C13</f>
        <v>0</v>
      </c>
      <c r="V9">
        <f>scenario_costs_KHM!D13</f>
        <v>0</v>
      </c>
      <c r="W9">
        <f>scenario_costs_KHM!E13</f>
        <v>0</v>
      </c>
      <c r="X9">
        <f>scenario_costs_KHM!F13</f>
        <v>0</v>
      </c>
      <c r="Y9">
        <f>scenario_costs_KHM!G13</f>
        <v>0</v>
      </c>
      <c r="Z9">
        <f>scenario_costs_KHM!H13</f>
        <v>0</v>
      </c>
      <c r="AA9">
        <f>scenario_costs_KHM!I13</f>
        <v>0</v>
      </c>
      <c r="AB9">
        <f>scenario_costs_KHM!J13</f>
        <v>0</v>
      </c>
      <c r="AC9">
        <f>scenario_costs_KHM!K13</f>
        <v>0</v>
      </c>
      <c r="AD9">
        <f>scenario_costs_KHM!L13</f>
        <v>0</v>
      </c>
      <c r="AE9">
        <f>scenario_costs_KHM!M13</f>
        <v>0</v>
      </c>
    </row>
    <row r="10" spans="1:31">
      <c r="A10">
        <v>2028</v>
      </c>
      <c r="B10">
        <f>drr_impact_channel_KHM!B13</f>
        <v>0</v>
      </c>
      <c r="C10">
        <f>drr_impact_channel_KHM!C13</f>
        <v>0</v>
      </c>
      <c r="D10">
        <f>drr_impact_channel_KHM!D13</f>
        <v>0</v>
      </c>
      <c r="E10">
        <f>drr_impact_channel_KHM!E13</f>
        <v>0</v>
      </c>
      <c r="F10">
        <f>drr_impact_channel_KHM!F13</f>
        <v>0</v>
      </c>
      <c r="G10">
        <f>drr_impact_channel_KHM!G13</f>
        <v>0</v>
      </c>
      <c r="H10">
        <f>agri_impact_channel_KHM!B13</f>
        <v>0</v>
      </c>
      <c r="I10">
        <f>agri_impact_channel_KHM!C13</f>
        <v>0</v>
      </c>
      <c r="J10">
        <f>agri_impact_channel_KHM!D13</f>
        <v>0</v>
      </c>
      <c r="K10">
        <f>agri_impact_channel_KHM!E13</f>
        <v>0</v>
      </c>
      <c r="L10">
        <f>agri_impact_channel_KHM!F13</f>
        <v>0</v>
      </c>
      <c r="M10">
        <f>agri_impact_channel_KHM!G13</f>
        <v>0</v>
      </c>
      <c r="N10">
        <f>hydropower_impact_channel_KHM!B13</f>
        <v>0</v>
      </c>
      <c r="O10">
        <f>hydropower_impact_channel_KHM!C13</f>
        <v>0</v>
      </c>
      <c r="P10">
        <f>hydropower_impact_channel_KHM!D13</f>
        <v>0</v>
      </c>
      <c r="Q10">
        <f>N10</f>
        <v>0</v>
      </c>
      <c r="R10">
        <f>hydropower_impact_channel_KHM!E13</f>
        <v>0</v>
      </c>
      <c r="S10">
        <f>hydropower_impact_channel_KHM!F13</f>
        <v>0</v>
      </c>
      <c r="T10">
        <f>scenario_costs_KHM!B14</f>
        <v>0</v>
      </c>
      <c r="U10">
        <f>scenario_costs_KHM!C14</f>
        <v>0</v>
      </c>
      <c r="V10">
        <f>scenario_costs_KHM!D14</f>
        <v>0</v>
      </c>
      <c r="W10">
        <f>scenario_costs_KHM!E14</f>
        <v>0</v>
      </c>
      <c r="X10">
        <f>scenario_costs_KHM!F14</f>
        <v>0</v>
      </c>
      <c r="Y10">
        <f>scenario_costs_KHM!G14</f>
        <v>0</v>
      </c>
      <c r="Z10">
        <f>scenario_costs_KHM!H14</f>
        <v>0</v>
      </c>
      <c r="AA10">
        <f>scenario_costs_KHM!I14</f>
        <v>0</v>
      </c>
      <c r="AB10">
        <f>scenario_costs_KHM!J14</f>
        <v>0</v>
      </c>
      <c r="AC10">
        <f>scenario_costs_KHM!K14</f>
        <v>0</v>
      </c>
      <c r="AD10">
        <f>scenario_costs_KHM!L14</f>
        <v>0</v>
      </c>
      <c r="AE10">
        <f>scenario_costs_KHM!M14</f>
        <v>0</v>
      </c>
    </row>
    <row r="11" spans="1:31">
      <c r="A11">
        <v>2029</v>
      </c>
      <c r="B11">
        <f>drr_impact_channel_KHM!B14</f>
        <v>0</v>
      </c>
      <c r="C11">
        <f>drr_impact_channel_KHM!C14</f>
        <v>0</v>
      </c>
      <c r="D11">
        <f>drr_impact_channel_KHM!D14</f>
        <v>0</v>
      </c>
      <c r="E11">
        <f>drr_impact_channel_KHM!E14</f>
        <v>0</v>
      </c>
      <c r="F11">
        <f>drr_impact_channel_KHM!F14</f>
        <v>0</v>
      </c>
      <c r="G11">
        <f>drr_impact_channel_KHM!G14</f>
        <v>0</v>
      </c>
      <c r="H11">
        <f>agri_impact_channel_KHM!B14</f>
        <v>0</v>
      </c>
      <c r="I11">
        <f>agri_impact_channel_KHM!C14</f>
        <v>0</v>
      </c>
      <c r="J11">
        <f>agri_impact_channel_KHM!D14</f>
        <v>0</v>
      </c>
      <c r="K11">
        <f>agri_impact_channel_KHM!E14</f>
        <v>0</v>
      </c>
      <c r="L11">
        <f>agri_impact_channel_KHM!F14</f>
        <v>0</v>
      </c>
      <c r="M11">
        <f>agri_impact_channel_KHM!G14</f>
        <v>0</v>
      </c>
      <c r="N11">
        <f>hydropower_impact_channel_KHM!B14</f>
        <v>0</v>
      </c>
      <c r="O11">
        <f>hydropower_impact_channel_KHM!C14</f>
        <v>0</v>
      </c>
      <c r="P11">
        <f>hydropower_impact_channel_KHM!D14</f>
        <v>0</v>
      </c>
      <c r="Q11">
        <f>N11</f>
        <v>0</v>
      </c>
      <c r="R11">
        <f>hydropower_impact_channel_KHM!E14</f>
        <v>0</v>
      </c>
      <c r="S11">
        <f>hydropower_impact_channel_KHM!F14</f>
        <v>0</v>
      </c>
      <c r="T11">
        <f>scenario_costs_KHM!B15</f>
        <v>0</v>
      </c>
      <c r="U11">
        <f>scenario_costs_KHM!C15</f>
        <v>0</v>
      </c>
      <c r="V11">
        <f>scenario_costs_KHM!D15</f>
        <v>0</v>
      </c>
      <c r="W11">
        <f>scenario_costs_KHM!E15</f>
        <v>0</v>
      </c>
      <c r="X11">
        <f>scenario_costs_KHM!F15</f>
        <v>0</v>
      </c>
      <c r="Y11">
        <f>scenario_costs_KHM!G15</f>
        <v>0</v>
      </c>
      <c r="Z11">
        <f>scenario_costs_KHM!H15</f>
        <v>0</v>
      </c>
      <c r="AA11">
        <f>scenario_costs_KHM!I15</f>
        <v>0</v>
      </c>
      <c r="AB11">
        <f>scenario_costs_KHM!J15</f>
        <v>0</v>
      </c>
      <c r="AC11">
        <f>scenario_costs_KHM!K15</f>
        <v>0</v>
      </c>
      <c r="AD11">
        <f>scenario_costs_KHM!L15</f>
        <v>0</v>
      </c>
      <c r="AE11">
        <f>scenario_costs_KHM!M15</f>
        <v>0</v>
      </c>
    </row>
    <row r="12" spans="1:31">
      <c r="A12">
        <v>2030</v>
      </c>
      <c r="B12">
        <f>drr_impact_channel_KHM!B15</f>
        <v>0</v>
      </c>
      <c r="C12">
        <f>drr_impact_channel_KHM!C15</f>
        <v>0</v>
      </c>
      <c r="D12">
        <f>drr_impact_channel_KHM!D15</f>
        <v>0</v>
      </c>
      <c r="E12">
        <f>drr_impact_channel_KHM!E15</f>
        <v>0</v>
      </c>
      <c r="F12">
        <f>drr_impact_channel_KHM!F15</f>
        <v>0</v>
      </c>
      <c r="G12">
        <f>drr_impact_channel_KHM!G15</f>
        <v>0</v>
      </c>
      <c r="H12">
        <f>agri_impact_channel_KHM!B15</f>
        <v>0</v>
      </c>
      <c r="I12">
        <f>agri_impact_channel_KHM!C15</f>
        <v>0</v>
      </c>
      <c r="J12">
        <f>agri_impact_channel_KHM!D15</f>
        <v>0</v>
      </c>
      <c r="K12">
        <f>agri_impact_channel_KHM!E15</f>
        <v>0</v>
      </c>
      <c r="L12">
        <f>agri_impact_channel_KHM!F15</f>
        <v>0</v>
      </c>
      <c r="M12">
        <f>agri_impact_channel_KHM!G15</f>
        <v>0</v>
      </c>
      <c r="N12">
        <f>hydropower_impact_channel_KHM!B15</f>
        <v>0</v>
      </c>
      <c r="O12">
        <f>hydropower_impact_channel_KHM!C15</f>
        <v>0</v>
      </c>
      <c r="P12">
        <f>hydropower_impact_channel_KHM!D15</f>
        <v>0</v>
      </c>
      <c r="Q12">
        <f>N12</f>
        <v>0</v>
      </c>
      <c r="R12">
        <f>hydropower_impact_channel_KHM!E15</f>
        <v>0</v>
      </c>
      <c r="S12">
        <f>hydropower_impact_channel_KHM!F15</f>
        <v>0</v>
      </c>
      <c r="T12">
        <f>scenario_costs_KHM!B16</f>
        <v>0</v>
      </c>
      <c r="U12">
        <f>scenario_costs_KHM!C16</f>
        <v>0</v>
      </c>
      <c r="V12">
        <f>scenario_costs_KHM!D16</f>
        <v>0</v>
      </c>
      <c r="W12">
        <f>scenario_costs_KHM!E16</f>
        <v>0</v>
      </c>
      <c r="X12">
        <f>scenario_costs_KHM!F16</f>
        <v>0</v>
      </c>
      <c r="Y12">
        <f>scenario_costs_KHM!G16</f>
        <v>0</v>
      </c>
      <c r="Z12">
        <f>scenario_costs_KHM!H16</f>
        <v>0</v>
      </c>
      <c r="AA12">
        <f>scenario_costs_KHM!I16</f>
        <v>0</v>
      </c>
      <c r="AB12">
        <f>scenario_costs_KHM!J16</f>
        <v>0</v>
      </c>
      <c r="AC12">
        <f>scenario_costs_KHM!K16</f>
        <v>0</v>
      </c>
      <c r="AD12">
        <f>scenario_costs_KHM!L16</f>
        <v>0</v>
      </c>
      <c r="AE12">
        <f>scenario_costs_KHM!M16</f>
        <v>0</v>
      </c>
    </row>
    <row r="13" spans="1:31">
      <c r="A13">
        <v>2031</v>
      </c>
      <c r="B13">
        <f>drr_impact_channel_KHM!B16</f>
        <v>0</v>
      </c>
      <c r="C13">
        <f>drr_impact_channel_KHM!C16</f>
        <v>0</v>
      </c>
      <c r="D13">
        <f>drr_impact_channel_KHM!D16</f>
        <v>0</v>
      </c>
      <c r="E13">
        <f>drr_impact_channel_KHM!E16</f>
        <v>0</v>
      </c>
      <c r="F13">
        <f>drr_impact_channel_KHM!F16</f>
        <v>0</v>
      </c>
      <c r="G13">
        <f>drr_impact_channel_KHM!G16</f>
        <v>0</v>
      </c>
      <c r="H13">
        <f>agri_impact_channel_KHM!B16</f>
        <v>0</v>
      </c>
      <c r="I13">
        <f>agri_impact_channel_KHM!C16</f>
        <v>0</v>
      </c>
      <c r="J13">
        <f>agri_impact_channel_KHM!D16</f>
        <v>0</v>
      </c>
      <c r="K13">
        <f>agri_impact_channel_KHM!E16</f>
        <v>0</v>
      </c>
      <c r="L13">
        <f>agri_impact_channel_KHM!F16</f>
        <v>0</v>
      </c>
      <c r="M13">
        <f>agri_impact_channel_KHM!G16</f>
        <v>0</v>
      </c>
      <c r="N13">
        <f>hydropower_impact_channel_KHM!B16</f>
        <v>0</v>
      </c>
      <c r="O13">
        <f>hydropower_impact_channel_KHM!C16</f>
        <v>0</v>
      </c>
      <c r="P13">
        <f>hydropower_impact_channel_KHM!D16</f>
        <v>0</v>
      </c>
      <c r="Q13">
        <f>N13</f>
        <v>0</v>
      </c>
      <c r="R13">
        <f>hydropower_impact_channel_KHM!E16</f>
        <v>0</v>
      </c>
      <c r="S13">
        <f>hydropower_impact_channel_KHM!F16</f>
        <v>0</v>
      </c>
      <c r="T13">
        <f>scenario_costs_KHM!B17</f>
        <v>0</v>
      </c>
      <c r="U13">
        <f>scenario_costs_KHM!C17</f>
        <v>0</v>
      </c>
      <c r="V13">
        <f>scenario_costs_KHM!D17</f>
        <v>0</v>
      </c>
      <c r="W13">
        <f>scenario_costs_KHM!E17</f>
        <v>0</v>
      </c>
      <c r="X13">
        <f>scenario_costs_KHM!F17</f>
        <v>0</v>
      </c>
      <c r="Y13">
        <f>scenario_costs_KHM!G17</f>
        <v>0</v>
      </c>
      <c r="Z13">
        <f>scenario_costs_KHM!H17</f>
        <v>0</v>
      </c>
      <c r="AA13">
        <f>scenario_costs_KHM!I17</f>
        <v>0</v>
      </c>
      <c r="AB13">
        <f>scenario_costs_KHM!J17</f>
        <v>0</v>
      </c>
      <c r="AC13">
        <f>scenario_costs_KHM!K17</f>
        <v>0</v>
      </c>
      <c r="AD13">
        <f>scenario_costs_KHM!L17</f>
        <v>0</v>
      </c>
      <c r="AE13">
        <f>scenario_costs_KHM!M17</f>
        <v>0</v>
      </c>
    </row>
    <row r="14" spans="1:31">
      <c r="A14">
        <v>2032</v>
      </c>
      <c r="B14">
        <f>drr_impact_channel_KHM!B17</f>
        <v>0</v>
      </c>
      <c r="C14">
        <f>drr_impact_channel_KHM!C17</f>
        <v>0</v>
      </c>
      <c r="D14">
        <f>drr_impact_channel_KHM!D17</f>
        <v>0</v>
      </c>
      <c r="E14">
        <f>drr_impact_channel_KHM!E17</f>
        <v>0</v>
      </c>
      <c r="F14">
        <f>drr_impact_channel_KHM!F17</f>
        <v>0</v>
      </c>
      <c r="G14">
        <f>drr_impact_channel_KHM!G17</f>
        <v>0</v>
      </c>
      <c r="H14">
        <f>agri_impact_channel_KHM!B17</f>
        <v>0</v>
      </c>
      <c r="I14">
        <f>agri_impact_channel_KHM!C17</f>
        <v>0</v>
      </c>
      <c r="J14">
        <f>agri_impact_channel_KHM!D17</f>
        <v>0</v>
      </c>
      <c r="K14">
        <f>agri_impact_channel_KHM!E17</f>
        <v>0</v>
      </c>
      <c r="L14">
        <f>agri_impact_channel_KHM!F17</f>
        <v>0</v>
      </c>
      <c r="M14">
        <f>agri_impact_channel_KHM!G17</f>
        <v>0</v>
      </c>
      <c r="N14">
        <f>hydropower_impact_channel_KHM!B17</f>
        <v>0</v>
      </c>
      <c r="O14">
        <f>hydropower_impact_channel_KHM!C17</f>
        <v>0</v>
      </c>
      <c r="P14">
        <f>hydropower_impact_channel_KHM!D17</f>
        <v>0</v>
      </c>
      <c r="Q14">
        <f>N14</f>
        <v>0</v>
      </c>
      <c r="R14">
        <f>hydropower_impact_channel_KHM!E17</f>
        <v>0</v>
      </c>
      <c r="S14">
        <f>hydropower_impact_channel_KHM!F17</f>
        <v>0</v>
      </c>
      <c r="T14">
        <f>scenario_costs_KHM!B18</f>
        <v>0</v>
      </c>
      <c r="U14">
        <f>scenario_costs_KHM!C18</f>
        <v>0</v>
      </c>
      <c r="V14">
        <f>scenario_costs_KHM!D18</f>
        <v>0</v>
      </c>
      <c r="W14">
        <f>scenario_costs_KHM!E18</f>
        <v>0</v>
      </c>
      <c r="X14">
        <f>scenario_costs_KHM!F18</f>
        <v>0</v>
      </c>
      <c r="Y14">
        <f>scenario_costs_KHM!G18</f>
        <v>0</v>
      </c>
      <c r="Z14">
        <f>scenario_costs_KHM!H18</f>
        <v>0</v>
      </c>
      <c r="AA14">
        <f>scenario_costs_KHM!I18</f>
        <v>0</v>
      </c>
      <c r="AB14">
        <f>scenario_costs_KHM!J18</f>
        <v>0</v>
      </c>
      <c r="AC14">
        <f>scenario_costs_KHM!K18</f>
        <v>0</v>
      </c>
      <c r="AD14">
        <f>scenario_costs_KHM!L18</f>
        <v>0</v>
      </c>
      <c r="AE14">
        <f>scenario_costs_KHM!M18</f>
        <v>0</v>
      </c>
    </row>
    <row r="15" spans="1:31">
      <c r="A15">
        <v>2033</v>
      </c>
      <c r="B15">
        <f>drr_impact_channel_KHM!B18</f>
        <v>0</v>
      </c>
      <c r="C15">
        <f>drr_impact_channel_KHM!C18</f>
        <v>0</v>
      </c>
      <c r="D15">
        <f>drr_impact_channel_KHM!D18</f>
        <v>0</v>
      </c>
      <c r="E15">
        <f>drr_impact_channel_KHM!E18</f>
        <v>0</v>
      </c>
      <c r="F15">
        <f>drr_impact_channel_KHM!F18</f>
        <v>0</v>
      </c>
      <c r="G15">
        <f>drr_impact_channel_KHM!G18</f>
        <v>0</v>
      </c>
      <c r="H15">
        <f>agri_impact_channel_KHM!B18</f>
        <v>0</v>
      </c>
      <c r="I15">
        <f>agri_impact_channel_KHM!C18</f>
        <v>0</v>
      </c>
      <c r="J15">
        <f>agri_impact_channel_KHM!D18</f>
        <v>0</v>
      </c>
      <c r="K15">
        <f>agri_impact_channel_KHM!E18</f>
        <v>0</v>
      </c>
      <c r="L15">
        <f>agri_impact_channel_KHM!F18</f>
        <v>0</v>
      </c>
      <c r="M15">
        <f>agri_impact_channel_KHM!G18</f>
        <v>0</v>
      </c>
      <c r="N15">
        <f>hydropower_impact_channel_KHM!B18</f>
        <v>0</v>
      </c>
      <c r="O15">
        <f>hydropower_impact_channel_KHM!C18</f>
        <v>0</v>
      </c>
      <c r="P15">
        <f>hydropower_impact_channel_KHM!D18</f>
        <v>0</v>
      </c>
      <c r="Q15">
        <f>N15</f>
        <v>0</v>
      </c>
      <c r="R15">
        <f>hydropower_impact_channel_KHM!E18</f>
        <v>0</v>
      </c>
      <c r="S15">
        <f>hydropower_impact_channel_KHM!F18</f>
        <v>0</v>
      </c>
      <c r="T15">
        <f>scenario_costs_KHM!B19</f>
        <v>0</v>
      </c>
      <c r="U15">
        <f>scenario_costs_KHM!C19</f>
        <v>0</v>
      </c>
      <c r="V15">
        <f>scenario_costs_KHM!D19</f>
        <v>0</v>
      </c>
      <c r="W15">
        <f>scenario_costs_KHM!E19</f>
        <v>0</v>
      </c>
      <c r="X15">
        <f>scenario_costs_KHM!F19</f>
        <v>0</v>
      </c>
      <c r="Y15">
        <f>scenario_costs_KHM!G19</f>
        <v>0</v>
      </c>
      <c r="Z15">
        <f>scenario_costs_KHM!H19</f>
        <v>0</v>
      </c>
      <c r="AA15">
        <f>scenario_costs_KHM!I19</f>
        <v>0</v>
      </c>
      <c r="AB15">
        <f>scenario_costs_KHM!J19</f>
        <v>0</v>
      </c>
      <c r="AC15">
        <f>scenario_costs_KHM!K19</f>
        <v>0</v>
      </c>
      <c r="AD15">
        <f>scenario_costs_KHM!L19</f>
        <v>0</v>
      </c>
      <c r="AE15">
        <f>scenario_costs_KHM!M19</f>
        <v>0</v>
      </c>
    </row>
    <row r="16" spans="1:31">
      <c r="A16">
        <v>2034</v>
      </c>
      <c r="B16">
        <f>drr_impact_channel_KHM!B19</f>
        <v>0</v>
      </c>
      <c r="C16">
        <f>drr_impact_channel_KHM!C19</f>
        <v>0</v>
      </c>
      <c r="D16">
        <f>drr_impact_channel_KHM!D19</f>
        <v>0</v>
      </c>
      <c r="E16">
        <f>drr_impact_channel_KHM!E19</f>
        <v>0</v>
      </c>
      <c r="F16">
        <f>drr_impact_channel_KHM!F19</f>
        <v>0</v>
      </c>
      <c r="G16">
        <f>drr_impact_channel_KHM!G19</f>
        <v>0</v>
      </c>
      <c r="H16">
        <f>agri_impact_channel_KHM!B19</f>
        <v>0</v>
      </c>
      <c r="I16">
        <f>agri_impact_channel_KHM!C19</f>
        <v>0</v>
      </c>
      <c r="J16">
        <f>agri_impact_channel_KHM!D19</f>
        <v>0</v>
      </c>
      <c r="K16">
        <f>agri_impact_channel_KHM!E19</f>
        <v>0</v>
      </c>
      <c r="L16">
        <f>agri_impact_channel_KHM!F19</f>
        <v>0</v>
      </c>
      <c r="M16">
        <f>agri_impact_channel_KHM!G19</f>
        <v>0</v>
      </c>
      <c r="N16">
        <f>hydropower_impact_channel_KHM!B19</f>
        <v>0</v>
      </c>
      <c r="O16">
        <f>hydropower_impact_channel_KHM!C19</f>
        <v>0</v>
      </c>
      <c r="P16">
        <f>hydropower_impact_channel_KHM!D19</f>
        <v>0</v>
      </c>
      <c r="Q16">
        <f>N16</f>
        <v>0</v>
      </c>
      <c r="R16">
        <f>hydropower_impact_channel_KHM!E19</f>
        <v>0</v>
      </c>
      <c r="S16">
        <f>hydropower_impact_channel_KHM!F19</f>
        <v>0</v>
      </c>
      <c r="T16">
        <f>scenario_costs_KHM!B20</f>
        <v>0</v>
      </c>
      <c r="U16">
        <f>scenario_costs_KHM!C20</f>
        <v>0</v>
      </c>
      <c r="V16">
        <f>scenario_costs_KHM!D20</f>
        <v>0</v>
      </c>
      <c r="W16">
        <f>scenario_costs_KHM!E20</f>
        <v>0</v>
      </c>
      <c r="X16">
        <f>scenario_costs_KHM!F20</f>
        <v>0</v>
      </c>
      <c r="Y16">
        <f>scenario_costs_KHM!G20</f>
        <v>0</v>
      </c>
      <c r="Z16">
        <f>scenario_costs_KHM!H20</f>
        <v>0</v>
      </c>
      <c r="AA16">
        <f>scenario_costs_KHM!I20</f>
        <v>0</v>
      </c>
      <c r="AB16">
        <f>scenario_costs_KHM!J20</f>
        <v>0</v>
      </c>
      <c r="AC16">
        <f>scenario_costs_KHM!K20</f>
        <v>0</v>
      </c>
      <c r="AD16">
        <f>scenario_costs_KHM!L20</f>
        <v>0</v>
      </c>
      <c r="AE16">
        <f>scenario_costs_KHM!M20</f>
        <v>0</v>
      </c>
    </row>
    <row r="17" spans="1:31">
      <c r="A17">
        <v>2035</v>
      </c>
      <c r="B17">
        <f>drr_impact_channel_KHM!B20</f>
        <v>0</v>
      </c>
      <c r="C17">
        <f>drr_impact_channel_KHM!C20</f>
        <v>0</v>
      </c>
      <c r="D17">
        <f>drr_impact_channel_KHM!D20</f>
        <v>0</v>
      </c>
      <c r="E17">
        <f>drr_impact_channel_KHM!E20</f>
        <v>0</v>
      </c>
      <c r="F17">
        <f>drr_impact_channel_KHM!F20</f>
        <v>0</v>
      </c>
      <c r="G17">
        <f>drr_impact_channel_KHM!G20</f>
        <v>0</v>
      </c>
      <c r="H17">
        <f>agri_impact_channel_KHM!B20</f>
        <v>0</v>
      </c>
      <c r="I17">
        <f>agri_impact_channel_KHM!C20</f>
        <v>0</v>
      </c>
      <c r="J17">
        <f>agri_impact_channel_KHM!D20</f>
        <v>0</v>
      </c>
      <c r="K17">
        <f>agri_impact_channel_KHM!E20</f>
        <v>0</v>
      </c>
      <c r="L17">
        <f>agri_impact_channel_KHM!F20</f>
        <v>0</v>
      </c>
      <c r="M17">
        <f>agri_impact_channel_KHM!G20</f>
        <v>0</v>
      </c>
      <c r="N17">
        <f>hydropower_impact_channel_KHM!B20</f>
        <v>0</v>
      </c>
      <c r="O17">
        <f>hydropower_impact_channel_KHM!C20</f>
        <v>0</v>
      </c>
      <c r="P17">
        <f>hydropower_impact_channel_KHM!D20</f>
        <v>0</v>
      </c>
      <c r="Q17">
        <f>N17</f>
        <v>0</v>
      </c>
      <c r="R17">
        <f>hydropower_impact_channel_KHM!E20</f>
        <v>0</v>
      </c>
      <c r="S17">
        <f>hydropower_impact_channel_KHM!F20</f>
        <v>0</v>
      </c>
      <c r="T17">
        <f>scenario_costs_KHM!B21</f>
        <v>0</v>
      </c>
      <c r="U17">
        <f>scenario_costs_KHM!C21</f>
        <v>0</v>
      </c>
      <c r="V17">
        <f>scenario_costs_KHM!D21</f>
        <v>0</v>
      </c>
      <c r="W17">
        <f>scenario_costs_KHM!E21</f>
        <v>0</v>
      </c>
      <c r="X17">
        <f>scenario_costs_KHM!F21</f>
        <v>0</v>
      </c>
      <c r="Y17">
        <f>scenario_costs_KHM!G21</f>
        <v>0</v>
      </c>
      <c r="Z17">
        <f>scenario_costs_KHM!H21</f>
        <v>0</v>
      </c>
      <c r="AA17">
        <f>scenario_costs_KHM!I21</f>
        <v>0</v>
      </c>
      <c r="AB17">
        <f>scenario_costs_KHM!J21</f>
        <v>0</v>
      </c>
      <c r="AC17">
        <f>scenario_costs_KHM!K21</f>
        <v>0</v>
      </c>
      <c r="AD17">
        <f>scenario_costs_KHM!L21</f>
        <v>0</v>
      </c>
      <c r="AE17">
        <f>scenario_costs_KHM!M21</f>
        <v>0</v>
      </c>
    </row>
    <row r="18" spans="1:31">
      <c r="A18">
        <v>2036</v>
      </c>
      <c r="B18">
        <f>drr_impact_channel_KHM!B21</f>
        <v>0</v>
      </c>
      <c r="C18">
        <f>drr_impact_channel_KHM!C21</f>
        <v>0</v>
      </c>
      <c r="D18">
        <f>drr_impact_channel_KHM!D21</f>
        <v>0</v>
      </c>
      <c r="E18">
        <f>drr_impact_channel_KHM!E21</f>
        <v>0</v>
      </c>
      <c r="F18">
        <f>drr_impact_channel_KHM!F21</f>
        <v>0</v>
      </c>
      <c r="G18">
        <f>drr_impact_channel_KHM!G21</f>
        <v>0</v>
      </c>
      <c r="H18">
        <f>agri_impact_channel_KHM!B21</f>
        <v>0</v>
      </c>
      <c r="I18">
        <f>agri_impact_channel_KHM!C21</f>
        <v>0</v>
      </c>
      <c r="J18">
        <f>agri_impact_channel_KHM!D21</f>
        <v>0</v>
      </c>
      <c r="K18">
        <f>agri_impact_channel_KHM!E21</f>
        <v>0</v>
      </c>
      <c r="L18">
        <f>agri_impact_channel_KHM!F21</f>
        <v>0</v>
      </c>
      <c r="M18">
        <f>agri_impact_channel_KHM!G21</f>
        <v>0</v>
      </c>
      <c r="N18">
        <f>hydropower_impact_channel_KHM!B21</f>
        <v>0</v>
      </c>
      <c r="O18">
        <f>hydropower_impact_channel_KHM!C21</f>
        <v>0</v>
      </c>
      <c r="P18">
        <f>hydropower_impact_channel_KHM!D21</f>
        <v>0</v>
      </c>
      <c r="Q18">
        <f>N18</f>
        <v>0</v>
      </c>
      <c r="R18">
        <f>hydropower_impact_channel_KHM!E21</f>
        <v>0</v>
      </c>
      <c r="S18">
        <f>hydropower_impact_channel_KHM!F21</f>
        <v>0</v>
      </c>
      <c r="T18">
        <f>scenario_costs_KHM!B22</f>
        <v>0</v>
      </c>
      <c r="U18">
        <f>scenario_costs_KHM!C22</f>
        <v>0</v>
      </c>
      <c r="V18">
        <f>scenario_costs_KHM!D22</f>
        <v>0</v>
      </c>
      <c r="W18">
        <f>scenario_costs_KHM!E22</f>
        <v>0</v>
      </c>
      <c r="X18">
        <f>scenario_costs_KHM!F22</f>
        <v>0</v>
      </c>
      <c r="Y18">
        <f>scenario_costs_KHM!G22</f>
        <v>0</v>
      </c>
      <c r="Z18">
        <f>scenario_costs_KHM!H22</f>
        <v>0</v>
      </c>
      <c r="AA18">
        <f>scenario_costs_KHM!I22</f>
        <v>0</v>
      </c>
      <c r="AB18">
        <f>scenario_costs_KHM!J22</f>
        <v>0</v>
      </c>
      <c r="AC18">
        <f>scenario_costs_KHM!K22</f>
        <v>0</v>
      </c>
      <c r="AD18">
        <f>scenario_costs_KHM!L22</f>
        <v>0</v>
      </c>
      <c r="AE18">
        <f>scenario_costs_KHM!M22</f>
        <v>0</v>
      </c>
    </row>
    <row r="19" spans="1:31">
      <c r="A19">
        <v>2037</v>
      </c>
      <c r="B19">
        <f>drr_impact_channel_KHM!B22</f>
        <v>0</v>
      </c>
      <c r="C19">
        <f>drr_impact_channel_KHM!C22</f>
        <v>0</v>
      </c>
      <c r="D19">
        <f>drr_impact_channel_KHM!D22</f>
        <v>0</v>
      </c>
      <c r="E19">
        <f>drr_impact_channel_KHM!E22</f>
        <v>0</v>
      </c>
      <c r="F19">
        <f>drr_impact_channel_KHM!F22</f>
        <v>0</v>
      </c>
      <c r="G19">
        <f>drr_impact_channel_KHM!G22</f>
        <v>0</v>
      </c>
      <c r="H19">
        <f>agri_impact_channel_KHM!B22</f>
        <v>0</v>
      </c>
      <c r="I19">
        <f>agri_impact_channel_KHM!C22</f>
        <v>0</v>
      </c>
      <c r="J19">
        <f>agri_impact_channel_KHM!D22</f>
        <v>0</v>
      </c>
      <c r="K19">
        <f>agri_impact_channel_KHM!E22</f>
        <v>0</v>
      </c>
      <c r="L19">
        <f>agri_impact_channel_KHM!F22</f>
        <v>0</v>
      </c>
      <c r="M19">
        <f>agri_impact_channel_KHM!G22</f>
        <v>0</v>
      </c>
      <c r="N19">
        <f>hydropower_impact_channel_KHM!B22</f>
        <v>0</v>
      </c>
      <c r="O19">
        <f>hydropower_impact_channel_KHM!C22</f>
        <v>0</v>
      </c>
      <c r="P19">
        <f>hydropower_impact_channel_KHM!D22</f>
        <v>0</v>
      </c>
      <c r="Q19">
        <f>N19</f>
        <v>0</v>
      </c>
      <c r="R19">
        <f>hydropower_impact_channel_KHM!E22</f>
        <v>0</v>
      </c>
      <c r="S19">
        <f>hydropower_impact_channel_KHM!F22</f>
        <v>0</v>
      </c>
      <c r="T19">
        <f>scenario_costs_KHM!B23</f>
        <v>0</v>
      </c>
      <c r="U19">
        <f>scenario_costs_KHM!C23</f>
        <v>0</v>
      </c>
      <c r="V19">
        <f>scenario_costs_KHM!D23</f>
        <v>0</v>
      </c>
      <c r="W19">
        <f>scenario_costs_KHM!E23</f>
        <v>0</v>
      </c>
      <c r="X19">
        <f>scenario_costs_KHM!F23</f>
        <v>0</v>
      </c>
      <c r="Y19">
        <f>scenario_costs_KHM!G23</f>
        <v>0</v>
      </c>
      <c r="Z19">
        <f>scenario_costs_KHM!H23</f>
        <v>0</v>
      </c>
      <c r="AA19">
        <f>scenario_costs_KHM!I23</f>
        <v>0</v>
      </c>
      <c r="AB19">
        <f>scenario_costs_KHM!J23</f>
        <v>0</v>
      </c>
      <c r="AC19">
        <f>scenario_costs_KHM!K23</f>
        <v>0</v>
      </c>
      <c r="AD19">
        <f>scenario_costs_KHM!L23</f>
        <v>0</v>
      </c>
      <c r="AE19">
        <f>scenario_costs_KHM!M23</f>
        <v>0</v>
      </c>
    </row>
    <row r="20" spans="1:31">
      <c r="A20">
        <v>2038</v>
      </c>
      <c r="B20">
        <f>drr_impact_channel_KHM!B23</f>
        <v>0</v>
      </c>
      <c r="C20">
        <f>drr_impact_channel_KHM!C23</f>
        <v>0</v>
      </c>
      <c r="D20">
        <f>drr_impact_channel_KHM!D23</f>
        <v>0</v>
      </c>
      <c r="E20">
        <f>drr_impact_channel_KHM!E23</f>
        <v>0</v>
      </c>
      <c r="F20">
        <f>drr_impact_channel_KHM!F23</f>
        <v>0</v>
      </c>
      <c r="G20">
        <f>drr_impact_channel_KHM!G23</f>
        <v>0</v>
      </c>
      <c r="H20">
        <f>agri_impact_channel_KHM!B23</f>
        <v>0</v>
      </c>
      <c r="I20">
        <f>agri_impact_channel_KHM!C23</f>
        <v>0</v>
      </c>
      <c r="J20">
        <f>agri_impact_channel_KHM!D23</f>
        <v>0</v>
      </c>
      <c r="K20">
        <f>agri_impact_channel_KHM!E23</f>
        <v>0</v>
      </c>
      <c r="L20">
        <f>agri_impact_channel_KHM!F23</f>
        <v>0</v>
      </c>
      <c r="M20">
        <f>agri_impact_channel_KHM!G23</f>
        <v>0</v>
      </c>
      <c r="N20">
        <f>hydropower_impact_channel_KHM!B23</f>
        <v>0</v>
      </c>
      <c r="O20">
        <f>hydropower_impact_channel_KHM!C23</f>
        <v>0</v>
      </c>
      <c r="P20">
        <f>hydropower_impact_channel_KHM!D23</f>
        <v>0</v>
      </c>
      <c r="Q20">
        <f>N20</f>
        <v>0</v>
      </c>
      <c r="R20">
        <f>hydropower_impact_channel_KHM!E23</f>
        <v>0</v>
      </c>
      <c r="S20">
        <f>hydropower_impact_channel_KHM!F23</f>
        <v>0</v>
      </c>
      <c r="T20">
        <f>scenario_costs_KHM!B24</f>
        <v>0</v>
      </c>
      <c r="U20">
        <f>scenario_costs_KHM!C24</f>
        <v>0</v>
      </c>
      <c r="V20">
        <f>scenario_costs_KHM!D24</f>
        <v>0</v>
      </c>
      <c r="W20">
        <f>scenario_costs_KHM!E24</f>
        <v>0</v>
      </c>
      <c r="X20">
        <f>scenario_costs_KHM!F24</f>
        <v>0</v>
      </c>
      <c r="Y20">
        <f>scenario_costs_KHM!G24</f>
        <v>0</v>
      </c>
      <c r="Z20">
        <f>scenario_costs_KHM!H24</f>
        <v>0</v>
      </c>
      <c r="AA20">
        <f>scenario_costs_KHM!I24</f>
        <v>0</v>
      </c>
      <c r="AB20">
        <f>scenario_costs_KHM!J24</f>
        <v>0</v>
      </c>
      <c r="AC20">
        <f>scenario_costs_KHM!K24</f>
        <v>0</v>
      </c>
      <c r="AD20">
        <f>scenario_costs_KHM!L24</f>
        <v>0</v>
      </c>
      <c r="AE20">
        <f>scenario_costs_KHM!M24</f>
        <v>0</v>
      </c>
    </row>
    <row r="21" spans="1:31">
      <c r="A21">
        <v>2039</v>
      </c>
      <c r="B21">
        <f>drr_impact_channel_KHM!B24</f>
        <v>0</v>
      </c>
      <c r="C21">
        <f>drr_impact_channel_KHM!C24</f>
        <v>0</v>
      </c>
      <c r="D21">
        <f>drr_impact_channel_KHM!D24</f>
        <v>0</v>
      </c>
      <c r="E21">
        <f>drr_impact_channel_KHM!E24</f>
        <v>0</v>
      </c>
      <c r="F21">
        <f>drr_impact_channel_KHM!F24</f>
        <v>0</v>
      </c>
      <c r="G21">
        <f>drr_impact_channel_KHM!G24</f>
        <v>0</v>
      </c>
      <c r="H21">
        <f>agri_impact_channel_KHM!B24</f>
        <v>0</v>
      </c>
      <c r="I21">
        <f>agri_impact_channel_KHM!C24</f>
        <v>0</v>
      </c>
      <c r="J21">
        <f>agri_impact_channel_KHM!D24</f>
        <v>0</v>
      </c>
      <c r="K21">
        <f>agri_impact_channel_KHM!E24</f>
        <v>0</v>
      </c>
      <c r="L21">
        <f>agri_impact_channel_KHM!F24</f>
        <v>0</v>
      </c>
      <c r="M21">
        <f>agri_impact_channel_KHM!G24</f>
        <v>0</v>
      </c>
      <c r="N21">
        <f>hydropower_impact_channel_KHM!B24</f>
        <v>0</v>
      </c>
      <c r="O21">
        <f>hydropower_impact_channel_KHM!C24</f>
        <v>0</v>
      </c>
      <c r="P21">
        <f>hydropower_impact_channel_KHM!D24</f>
        <v>0</v>
      </c>
      <c r="Q21">
        <f>N21</f>
        <v>0</v>
      </c>
      <c r="R21">
        <f>hydropower_impact_channel_KHM!E24</f>
        <v>0</v>
      </c>
      <c r="S21">
        <f>hydropower_impact_channel_KHM!F24</f>
        <v>0</v>
      </c>
      <c r="T21">
        <f>scenario_costs_KHM!B25</f>
        <v>0</v>
      </c>
      <c r="U21">
        <f>scenario_costs_KHM!C25</f>
        <v>0</v>
      </c>
      <c r="V21">
        <f>scenario_costs_KHM!D25</f>
        <v>0</v>
      </c>
      <c r="W21">
        <f>scenario_costs_KHM!E25</f>
        <v>0</v>
      </c>
      <c r="X21">
        <f>scenario_costs_KHM!F25</f>
        <v>0</v>
      </c>
      <c r="Y21">
        <f>scenario_costs_KHM!G25</f>
        <v>0</v>
      </c>
      <c r="Z21">
        <f>scenario_costs_KHM!H25</f>
        <v>0</v>
      </c>
      <c r="AA21">
        <f>scenario_costs_KHM!I25</f>
        <v>0</v>
      </c>
      <c r="AB21">
        <f>scenario_costs_KHM!J25</f>
        <v>0</v>
      </c>
      <c r="AC21">
        <f>scenario_costs_KHM!K25</f>
        <v>0</v>
      </c>
      <c r="AD21">
        <f>scenario_costs_KHM!L25</f>
        <v>0</v>
      </c>
      <c r="AE21">
        <f>scenario_costs_KHM!M25</f>
        <v>0</v>
      </c>
    </row>
    <row r="22" spans="1:31">
      <c r="A22">
        <v>2040</v>
      </c>
      <c r="B22">
        <f>drr_impact_channel_KHM!B25</f>
        <v>0</v>
      </c>
      <c r="C22">
        <f>drr_impact_channel_KHM!C25</f>
        <v>0</v>
      </c>
      <c r="D22">
        <f>drr_impact_channel_KHM!D25</f>
        <v>0</v>
      </c>
      <c r="E22">
        <f>drr_impact_channel_KHM!E25</f>
        <v>0</v>
      </c>
      <c r="F22">
        <f>drr_impact_channel_KHM!F25</f>
        <v>0</v>
      </c>
      <c r="G22">
        <f>drr_impact_channel_KHM!G25</f>
        <v>0</v>
      </c>
      <c r="H22">
        <f>agri_impact_channel_KHM!B25</f>
        <v>0</v>
      </c>
      <c r="I22">
        <f>agri_impact_channel_KHM!C25</f>
        <v>0</v>
      </c>
      <c r="J22">
        <f>agri_impact_channel_KHM!D25</f>
        <v>0</v>
      </c>
      <c r="K22">
        <f>agri_impact_channel_KHM!E25</f>
        <v>0</v>
      </c>
      <c r="L22">
        <f>agri_impact_channel_KHM!F25</f>
        <v>0</v>
      </c>
      <c r="M22">
        <f>agri_impact_channel_KHM!G25</f>
        <v>0</v>
      </c>
      <c r="N22">
        <f>hydropower_impact_channel_KHM!B25</f>
        <v>0</v>
      </c>
      <c r="O22">
        <f>hydropower_impact_channel_KHM!C25</f>
        <v>0</v>
      </c>
      <c r="P22">
        <f>hydropower_impact_channel_KHM!D25</f>
        <v>0</v>
      </c>
      <c r="Q22">
        <f>N22</f>
        <v>0</v>
      </c>
      <c r="R22">
        <f>hydropower_impact_channel_KHM!E25</f>
        <v>0</v>
      </c>
      <c r="S22">
        <f>hydropower_impact_channel_KHM!F25</f>
        <v>0</v>
      </c>
      <c r="T22">
        <f>scenario_costs_KHM!B26</f>
        <v>0</v>
      </c>
      <c r="U22">
        <f>scenario_costs_KHM!C26</f>
        <v>0</v>
      </c>
      <c r="V22">
        <f>scenario_costs_KHM!D26</f>
        <v>0</v>
      </c>
      <c r="W22">
        <f>scenario_costs_KHM!E26</f>
        <v>0</v>
      </c>
      <c r="X22">
        <f>scenario_costs_KHM!F26</f>
        <v>0</v>
      </c>
      <c r="Y22">
        <f>scenario_costs_KHM!G26</f>
        <v>0</v>
      </c>
      <c r="Z22">
        <f>scenario_costs_KHM!H26</f>
        <v>0</v>
      </c>
      <c r="AA22">
        <f>scenario_costs_KHM!I26</f>
        <v>0</v>
      </c>
      <c r="AB22">
        <f>scenario_costs_KHM!J26</f>
        <v>0</v>
      </c>
      <c r="AC22">
        <f>scenario_costs_KHM!K26</f>
        <v>0</v>
      </c>
      <c r="AD22">
        <f>scenario_costs_KHM!L26</f>
        <v>0</v>
      </c>
      <c r="AE22">
        <f>scenario_costs_KHM!M26</f>
        <v>0</v>
      </c>
    </row>
    <row r="23" spans="1:31">
      <c r="A23">
        <v>2041</v>
      </c>
      <c r="B23">
        <f>drr_impact_channel_KHM!B26</f>
        <v>0</v>
      </c>
      <c r="C23">
        <f>drr_impact_channel_KHM!C26</f>
        <v>0</v>
      </c>
      <c r="D23">
        <f>drr_impact_channel_KHM!D26</f>
        <v>0</v>
      </c>
      <c r="E23">
        <f>drr_impact_channel_KHM!E26</f>
        <v>0</v>
      </c>
      <c r="F23">
        <f>drr_impact_channel_KHM!F26</f>
        <v>0</v>
      </c>
      <c r="G23">
        <f>drr_impact_channel_KHM!G26</f>
        <v>0</v>
      </c>
      <c r="H23">
        <f>agri_impact_channel_KHM!B26</f>
        <v>0</v>
      </c>
      <c r="I23">
        <f>agri_impact_channel_KHM!C26</f>
        <v>0</v>
      </c>
      <c r="J23">
        <f>agri_impact_channel_KHM!D26</f>
        <v>0</v>
      </c>
      <c r="K23">
        <f>agri_impact_channel_KHM!E26</f>
        <v>0</v>
      </c>
      <c r="L23">
        <f>agri_impact_channel_KHM!F26</f>
        <v>0</v>
      </c>
      <c r="M23">
        <f>agri_impact_channel_KHM!G26</f>
        <v>0</v>
      </c>
      <c r="N23">
        <f>hydropower_impact_channel_KHM!B26</f>
        <v>0</v>
      </c>
      <c r="O23">
        <f>hydropower_impact_channel_KHM!C26</f>
        <v>0</v>
      </c>
      <c r="P23">
        <f>hydropower_impact_channel_KHM!D26</f>
        <v>0</v>
      </c>
      <c r="Q23">
        <f>N23</f>
        <v>0</v>
      </c>
      <c r="R23">
        <f>hydropower_impact_channel_KHM!E26</f>
        <v>0</v>
      </c>
      <c r="S23">
        <f>hydropower_impact_channel_KHM!F26</f>
        <v>0</v>
      </c>
      <c r="T23">
        <f>scenario_costs_KHM!B27</f>
        <v>0</v>
      </c>
      <c r="U23">
        <f>scenario_costs_KHM!C27</f>
        <v>0</v>
      </c>
      <c r="V23">
        <f>scenario_costs_KHM!D27</f>
        <v>0</v>
      </c>
      <c r="W23">
        <f>scenario_costs_KHM!E27</f>
        <v>0</v>
      </c>
      <c r="X23">
        <f>scenario_costs_KHM!F27</f>
        <v>0</v>
      </c>
      <c r="Y23">
        <f>scenario_costs_KHM!G27</f>
        <v>0</v>
      </c>
      <c r="Z23">
        <f>scenario_costs_KHM!H27</f>
        <v>0</v>
      </c>
      <c r="AA23">
        <f>scenario_costs_KHM!I27</f>
        <v>0</v>
      </c>
      <c r="AB23">
        <f>scenario_costs_KHM!J27</f>
        <v>0</v>
      </c>
      <c r="AC23">
        <f>scenario_costs_KHM!K27</f>
        <v>0</v>
      </c>
      <c r="AD23">
        <f>scenario_costs_KHM!L27</f>
        <v>0</v>
      </c>
      <c r="AE23">
        <f>scenario_costs_KHM!M27</f>
        <v>0</v>
      </c>
    </row>
    <row r="24" spans="1:31">
      <c r="A24">
        <v>2042</v>
      </c>
      <c r="B24">
        <f>drr_impact_channel_KHM!B27</f>
        <v>0</v>
      </c>
      <c r="C24">
        <f>drr_impact_channel_KHM!C27</f>
        <v>0</v>
      </c>
      <c r="D24">
        <f>drr_impact_channel_KHM!D27</f>
        <v>0</v>
      </c>
      <c r="E24">
        <f>drr_impact_channel_KHM!E27</f>
        <v>0</v>
      </c>
      <c r="F24">
        <f>drr_impact_channel_KHM!F27</f>
        <v>0</v>
      </c>
      <c r="G24">
        <f>drr_impact_channel_KHM!G27</f>
        <v>0</v>
      </c>
      <c r="H24">
        <f>agri_impact_channel_KHM!B27</f>
        <v>0</v>
      </c>
      <c r="I24">
        <f>agri_impact_channel_KHM!C27</f>
        <v>0</v>
      </c>
      <c r="J24">
        <f>agri_impact_channel_KHM!D27</f>
        <v>0</v>
      </c>
      <c r="K24">
        <f>agri_impact_channel_KHM!E27</f>
        <v>0</v>
      </c>
      <c r="L24">
        <f>agri_impact_channel_KHM!F27</f>
        <v>0</v>
      </c>
      <c r="M24">
        <f>agri_impact_channel_KHM!G27</f>
        <v>0</v>
      </c>
      <c r="N24">
        <f>hydropower_impact_channel_KHM!B27</f>
        <v>0</v>
      </c>
      <c r="O24">
        <f>hydropower_impact_channel_KHM!C27</f>
        <v>0</v>
      </c>
      <c r="P24">
        <f>hydropower_impact_channel_KHM!D27</f>
        <v>0</v>
      </c>
      <c r="Q24">
        <f>N24</f>
        <v>0</v>
      </c>
      <c r="R24">
        <f>hydropower_impact_channel_KHM!E27</f>
        <v>0</v>
      </c>
      <c r="S24">
        <f>hydropower_impact_channel_KHM!F27</f>
        <v>0</v>
      </c>
      <c r="T24">
        <f>scenario_costs_KHM!B28</f>
        <v>0</v>
      </c>
      <c r="U24">
        <f>scenario_costs_KHM!C28</f>
        <v>0</v>
      </c>
      <c r="V24">
        <f>scenario_costs_KHM!D28</f>
        <v>0</v>
      </c>
      <c r="W24">
        <f>scenario_costs_KHM!E28</f>
        <v>0</v>
      </c>
      <c r="X24">
        <f>scenario_costs_KHM!F28</f>
        <v>0</v>
      </c>
      <c r="Y24">
        <f>scenario_costs_KHM!G28</f>
        <v>0</v>
      </c>
      <c r="Z24">
        <f>scenario_costs_KHM!H28</f>
        <v>0</v>
      </c>
      <c r="AA24">
        <f>scenario_costs_KHM!I28</f>
        <v>0</v>
      </c>
      <c r="AB24">
        <f>scenario_costs_KHM!J28</f>
        <v>0</v>
      </c>
      <c r="AC24">
        <f>scenario_costs_KHM!K28</f>
        <v>0</v>
      </c>
      <c r="AD24">
        <f>scenario_costs_KHM!L28</f>
        <v>0</v>
      </c>
      <c r="AE24">
        <f>scenario_costs_KHM!M28</f>
        <v>0</v>
      </c>
    </row>
    <row r="25" spans="1:31">
      <c r="A25">
        <v>2043</v>
      </c>
      <c r="B25">
        <f>drr_impact_channel_KHM!B28</f>
        <v>0</v>
      </c>
      <c r="C25">
        <f>drr_impact_channel_KHM!C28</f>
        <v>0</v>
      </c>
      <c r="D25">
        <f>drr_impact_channel_KHM!D28</f>
        <v>0</v>
      </c>
      <c r="E25">
        <f>drr_impact_channel_KHM!E28</f>
        <v>0</v>
      </c>
      <c r="F25">
        <f>drr_impact_channel_KHM!F28</f>
        <v>0</v>
      </c>
      <c r="G25">
        <f>drr_impact_channel_KHM!G28</f>
        <v>0</v>
      </c>
      <c r="H25">
        <f>agri_impact_channel_KHM!B28</f>
        <v>0</v>
      </c>
      <c r="I25">
        <f>agri_impact_channel_KHM!C28</f>
        <v>0</v>
      </c>
      <c r="J25">
        <f>agri_impact_channel_KHM!D28</f>
        <v>0</v>
      </c>
      <c r="K25">
        <f>agri_impact_channel_KHM!E28</f>
        <v>0</v>
      </c>
      <c r="L25">
        <f>agri_impact_channel_KHM!F28</f>
        <v>0</v>
      </c>
      <c r="M25">
        <f>agri_impact_channel_KHM!G28</f>
        <v>0</v>
      </c>
      <c r="N25">
        <f>hydropower_impact_channel_KHM!B28</f>
        <v>0</v>
      </c>
      <c r="O25">
        <f>hydropower_impact_channel_KHM!C28</f>
        <v>0</v>
      </c>
      <c r="P25">
        <f>hydropower_impact_channel_KHM!D28</f>
        <v>0</v>
      </c>
      <c r="Q25">
        <f>N25</f>
        <v>0</v>
      </c>
      <c r="R25">
        <f>hydropower_impact_channel_KHM!E28</f>
        <v>0</v>
      </c>
      <c r="S25">
        <f>hydropower_impact_channel_KHM!F28</f>
        <v>0</v>
      </c>
      <c r="T25">
        <f>scenario_costs_KHM!B29</f>
        <v>0</v>
      </c>
      <c r="U25">
        <f>scenario_costs_KHM!C29</f>
        <v>0</v>
      </c>
      <c r="V25">
        <f>scenario_costs_KHM!D29</f>
        <v>0</v>
      </c>
      <c r="W25">
        <f>scenario_costs_KHM!E29</f>
        <v>0</v>
      </c>
      <c r="X25">
        <f>scenario_costs_KHM!F29</f>
        <v>0</v>
      </c>
      <c r="Y25">
        <f>scenario_costs_KHM!G29</f>
        <v>0</v>
      </c>
      <c r="Z25">
        <f>scenario_costs_KHM!H29</f>
        <v>0</v>
      </c>
      <c r="AA25">
        <f>scenario_costs_KHM!I29</f>
        <v>0</v>
      </c>
      <c r="AB25">
        <f>scenario_costs_KHM!J29</f>
        <v>0</v>
      </c>
      <c r="AC25">
        <f>scenario_costs_KHM!K29</f>
        <v>0</v>
      </c>
      <c r="AD25">
        <f>scenario_costs_KHM!L29</f>
        <v>0</v>
      </c>
      <c r="AE25">
        <f>scenario_costs_KHM!M29</f>
        <v>0</v>
      </c>
    </row>
    <row r="26" spans="1:31">
      <c r="A26">
        <v>2044</v>
      </c>
      <c r="B26">
        <f>drr_impact_channel_KHM!B29</f>
        <v>0</v>
      </c>
      <c r="C26">
        <f>drr_impact_channel_KHM!C29</f>
        <v>0</v>
      </c>
      <c r="D26">
        <f>drr_impact_channel_KHM!D29</f>
        <v>0</v>
      </c>
      <c r="E26">
        <f>drr_impact_channel_KHM!E29</f>
        <v>0</v>
      </c>
      <c r="F26">
        <f>drr_impact_channel_KHM!F29</f>
        <v>0</v>
      </c>
      <c r="G26">
        <f>drr_impact_channel_KHM!G29</f>
        <v>0</v>
      </c>
      <c r="H26">
        <f>agri_impact_channel_KHM!B29</f>
        <v>0</v>
      </c>
      <c r="I26">
        <f>agri_impact_channel_KHM!C29</f>
        <v>0</v>
      </c>
      <c r="J26">
        <f>agri_impact_channel_KHM!D29</f>
        <v>0</v>
      </c>
      <c r="K26">
        <f>agri_impact_channel_KHM!E29</f>
        <v>0</v>
      </c>
      <c r="L26">
        <f>agri_impact_channel_KHM!F29</f>
        <v>0</v>
      </c>
      <c r="M26">
        <f>agri_impact_channel_KHM!G29</f>
        <v>0</v>
      </c>
      <c r="N26">
        <f>hydropower_impact_channel_KHM!B29</f>
        <v>0</v>
      </c>
      <c r="O26">
        <f>hydropower_impact_channel_KHM!C29</f>
        <v>0</v>
      </c>
      <c r="P26">
        <f>hydropower_impact_channel_KHM!D29</f>
        <v>0</v>
      </c>
      <c r="Q26">
        <f>N26</f>
        <v>0</v>
      </c>
      <c r="R26">
        <f>hydropower_impact_channel_KHM!E29</f>
        <v>0</v>
      </c>
      <c r="S26">
        <f>hydropower_impact_channel_KHM!F29</f>
        <v>0</v>
      </c>
      <c r="T26">
        <f>scenario_costs_KHM!B30</f>
        <v>0</v>
      </c>
      <c r="U26">
        <f>scenario_costs_KHM!C30</f>
        <v>0</v>
      </c>
      <c r="V26">
        <f>scenario_costs_KHM!D30</f>
        <v>0</v>
      </c>
      <c r="W26">
        <f>scenario_costs_KHM!E30</f>
        <v>0</v>
      </c>
      <c r="X26">
        <f>scenario_costs_KHM!F30</f>
        <v>0</v>
      </c>
      <c r="Y26">
        <f>scenario_costs_KHM!G30</f>
        <v>0</v>
      </c>
      <c r="Z26">
        <f>scenario_costs_KHM!H30</f>
        <v>0</v>
      </c>
      <c r="AA26">
        <f>scenario_costs_KHM!I30</f>
        <v>0</v>
      </c>
      <c r="AB26">
        <f>scenario_costs_KHM!J30</f>
        <v>0</v>
      </c>
      <c r="AC26">
        <f>scenario_costs_KHM!K30</f>
        <v>0</v>
      </c>
      <c r="AD26">
        <f>scenario_costs_KHM!L30</f>
        <v>0</v>
      </c>
      <c r="AE26">
        <f>scenario_costs_KHM!M30</f>
        <v>0</v>
      </c>
    </row>
    <row r="27" spans="1:31">
      <c r="A27">
        <v>2045</v>
      </c>
      <c r="B27">
        <f>drr_impact_channel_KHM!B30</f>
        <v>0</v>
      </c>
      <c r="C27">
        <f>drr_impact_channel_KHM!C30</f>
        <v>0</v>
      </c>
      <c r="D27">
        <f>drr_impact_channel_KHM!D30</f>
        <v>0</v>
      </c>
      <c r="E27">
        <f>drr_impact_channel_KHM!E30</f>
        <v>0</v>
      </c>
      <c r="F27">
        <f>drr_impact_channel_KHM!F30</f>
        <v>0</v>
      </c>
      <c r="G27">
        <f>drr_impact_channel_KHM!G30</f>
        <v>0</v>
      </c>
      <c r="H27">
        <f>agri_impact_channel_KHM!B30</f>
        <v>0</v>
      </c>
      <c r="I27">
        <f>agri_impact_channel_KHM!C30</f>
        <v>0</v>
      </c>
      <c r="J27">
        <f>agri_impact_channel_KHM!D30</f>
        <v>0</v>
      </c>
      <c r="K27">
        <f>agri_impact_channel_KHM!E30</f>
        <v>0</v>
      </c>
      <c r="L27">
        <f>agri_impact_channel_KHM!F30</f>
        <v>0</v>
      </c>
      <c r="M27">
        <f>agri_impact_channel_KHM!G30</f>
        <v>0</v>
      </c>
      <c r="N27">
        <f>hydropower_impact_channel_KHM!B30</f>
        <v>0</v>
      </c>
      <c r="O27">
        <f>hydropower_impact_channel_KHM!C30</f>
        <v>0</v>
      </c>
      <c r="P27">
        <f>hydropower_impact_channel_KHM!D30</f>
        <v>0</v>
      </c>
      <c r="Q27">
        <f>N27</f>
        <v>0</v>
      </c>
      <c r="R27">
        <f>hydropower_impact_channel_KHM!E30</f>
        <v>0</v>
      </c>
      <c r="S27">
        <f>hydropower_impact_channel_KHM!F30</f>
        <v>0</v>
      </c>
      <c r="T27">
        <f>scenario_costs_KHM!B31</f>
        <v>0</v>
      </c>
      <c r="U27">
        <f>scenario_costs_KHM!C31</f>
        <v>0</v>
      </c>
      <c r="V27">
        <f>scenario_costs_KHM!D31</f>
        <v>0</v>
      </c>
      <c r="W27">
        <f>scenario_costs_KHM!E31</f>
        <v>0</v>
      </c>
      <c r="X27">
        <f>scenario_costs_KHM!F31</f>
        <v>0</v>
      </c>
      <c r="Y27">
        <f>scenario_costs_KHM!G31</f>
        <v>0</v>
      </c>
      <c r="Z27">
        <f>scenario_costs_KHM!H31</f>
        <v>0</v>
      </c>
      <c r="AA27">
        <f>scenario_costs_KHM!I31</f>
        <v>0</v>
      </c>
      <c r="AB27">
        <f>scenario_costs_KHM!J31</f>
        <v>0</v>
      </c>
      <c r="AC27">
        <f>scenario_costs_KHM!K31</f>
        <v>0</v>
      </c>
      <c r="AD27">
        <f>scenario_costs_KHM!L31</f>
        <v>0</v>
      </c>
      <c r="AE27">
        <f>scenario_costs_KHM!M31</f>
        <v>0</v>
      </c>
    </row>
    <row r="28" spans="1:31">
      <c r="A28">
        <v>2046</v>
      </c>
      <c r="B28">
        <f>drr_impact_channel_KHM!B31</f>
        <v>0</v>
      </c>
      <c r="C28">
        <f>drr_impact_channel_KHM!C31</f>
        <v>0</v>
      </c>
      <c r="D28">
        <f>drr_impact_channel_KHM!D31</f>
        <v>0</v>
      </c>
      <c r="E28">
        <f>drr_impact_channel_KHM!E31</f>
        <v>0</v>
      </c>
      <c r="F28">
        <f>drr_impact_channel_KHM!F31</f>
        <v>0</v>
      </c>
      <c r="G28">
        <f>drr_impact_channel_KHM!G31</f>
        <v>0</v>
      </c>
      <c r="H28">
        <f>agri_impact_channel_KHM!B31</f>
        <v>0</v>
      </c>
      <c r="I28">
        <f>agri_impact_channel_KHM!C31</f>
        <v>0</v>
      </c>
      <c r="J28">
        <f>agri_impact_channel_KHM!D31</f>
        <v>0</v>
      </c>
      <c r="K28">
        <f>agri_impact_channel_KHM!E31</f>
        <v>0</v>
      </c>
      <c r="L28">
        <f>agri_impact_channel_KHM!F31</f>
        <v>0</v>
      </c>
      <c r="M28">
        <f>agri_impact_channel_KHM!G31</f>
        <v>0</v>
      </c>
      <c r="N28">
        <f>hydropower_impact_channel_KHM!B31</f>
        <v>0</v>
      </c>
      <c r="O28">
        <f>hydropower_impact_channel_KHM!C31</f>
        <v>0</v>
      </c>
      <c r="P28">
        <f>hydropower_impact_channel_KHM!D31</f>
        <v>0</v>
      </c>
      <c r="Q28">
        <f>N28</f>
        <v>0</v>
      </c>
      <c r="R28">
        <f>hydropower_impact_channel_KHM!E31</f>
        <v>0</v>
      </c>
      <c r="S28">
        <f>hydropower_impact_channel_KHM!F31</f>
        <v>0</v>
      </c>
      <c r="T28">
        <f>scenario_costs_KHM!B32</f>
        <v>0</v>
      </c>
      <c r="U28">
        <f>scenario_costs_KHM!C32</f>
        <v>0</v>
      </c>
      <c r="V28">
        <f>scenario_costs_KHM!D32</f>
        <v>0</v>
      </c>
      <c r="W28">
        <f>scenario_costs_KHM!E32</f>
        <v>0</v>
      </c>
      <c r="X28">
        <f>scenario_costs_KHM!F32</f>
        <v>0</v>
      </c>
      <c r="Y28">
        <f>scenario_costs_KHM!G32</f>
        <v>0</v>
      </c>
      <c r="Z28">
        <f>scenario_costs_KHM!H32</f>
        <v>0</v>
      </c>
      <c r="AA28">
        <f>scenario_costs_KHM!I32</f>
        <v>0</v>
      </c>
      <c r="AB28">
        <f>scenario_costs_KHM!J32</f>
        <v>0</v>
      </c>
      <c r="AC28">
        <f>scenario_costs_KHM!K32</f>
        <v>0</v>
      </c>
      <c r="AD28">
        <f>scenario_costs_KHM!L32</f>
        <v>0</v>
      </c>
      <c r="AE28">
        <f>scenario_costs_KHM!M32</f>
        <v>0</v>
      </c>
    </row>
    <row r="29" spans="1:31">
      <c r="A29">
        <v>2047</v>
      </c>
      <c r="B29">
        <f>drr_impact_channel_KHM!B32</f>
        <v>0</v>
      </c>
      <c r="C29">
        <f>drr_impact_channel_KHM!C32</f>
        <v>0</v>
      </c>
      <c r="D29">
        <f>drr_impact_channel_KHM!D32</f>
        <v>0</v>
      </c>
      <c r="E29">
        <f>drr_impact_channel_KHM!E32</f>
        <v>0</v>
      </c>
      <c r="F29">
        <f>drr_impact_channel_KHM!F32</f>
        <v>0</v>
      </c>
      <c r="G29">
        <f>drr_impact_channel_KHM!G32</f>
        <v>0</v>
      </c>
      <c r="H29">
        <f>agri_impact_channel_KHM!B32</f>
        <v>0</v>
      </c>
      <c r="I29">
        <f>agri_impact_channel_KHM!C32</f>
        <v>0</v>
      </c>
      <c r="J29">
        <f>agri_impact_channel_KHM!D32</f>
        <v>0</v>
      </c>
      <c r="K29">
        <f>agri_impact_channel_KHM!E32</f>
        <v>0</v>
      </c>
      <c r="L29">
        <f>agri_impact_channel_KHM!F32</f>
        <v>0</v>
      </c>
      <c r="M29">
        <f>agri_impact_channel_KHM!G32</f>
        <v>0</v>
      </c>
      <c r="N29">
        <f>hydropower_impact_channel_KHM!B32</f>
        <v>0</v>
      </c>
      <c r="O29">
        <f>hydropower_impact_channel_KHM!C32</f>
        <v>0</v>
      </c>
      <c r="P29">
        <f>hydropower_impact_channel_KHM!D32</f>
        <v>0</v>
      </c>
      <c r="Q29">
        <f>N29</f>
        <v>0</v>
      </c>
      <c r="R29">
        <f>hydropower_impact_channel_KHM!E32</f>
        <v>0</v>
      </c>
      <c r="S29">
        <f>hydropower_impact_channel_KHM!F32</f>
        <v>0</v>
      </c>
      <c r="T29">
        <f>scenario_costs_KHM!B33</f>
        <v>0</v>
      </c>
      <c r="U29">
        <f>scenario_costs_KHM!C33</f>
        <v>0</v>
      </c>
      <c r="V29">
        <f>scenario_costs_KHM!D33</f>
        <v>0</v>
      </c>
      <c r="W29">
        <f>scenario_costs_KHM!E33</f>
        <v>0</v>
      </c>
      <c r="X29">
        <f>scenario_costs_KHM!F33</f>
        <v>0</v>
      </c>
      <c r="Y29">
        <f>scenario_costs_KHM!G33</f>
        <v>0</v>
      </c>
      <c r="Z29">
        <f>scenario_costs_KHM!H33</f>
        <v>0</v>
      </c>
      <c r="AA29">
        <f>scenario_costs_KHM!I33</f>
        <v>0</v>
      </c>
      <c r="AB29">
        <f>scenario_costs_KHM!J33</f>
        <v>0</v>
      </c>
      <c r="AC29">
        <f>scenario_costs_KHM!K33</f>
        <v>0</v>
      </c>
      <c r="AD29">
        <f>scenario_costs_KHM!L33</f>
        <v>0</v>
      </c>
      <c r="AE29">
        <f>scenario_costs_KHM!M33</f>
        <v>0</v>
      </c>
    </row>
    <row r="30" spans="1:31">
      <c r="A30">
        <v>2048</v>
      </c>
      <c r="B30">
        <f>drr_impact_channel_KHM!B33</f>
        <v>0</v>
      </c>
      <c r="C30">
        <f>drr_impact_channel_KHM!C33</f>
        <v>0</v>
      </c>
      <c r="D30">
        <f>drr_impact_channel_KHM!D33</f>
        <v>0</v>
      </c>
      <c r="E30">
        <f>drr_impact_channel_KHM!E33</f>
        <v>0</v>
      </c>
      <c r="F30">
        <f>drr_impact_channel_KHM!F33</f>
        <v>0</v>
      </c>
      <c r="G30">
        <f>drr_impact_channel_KHM!G33</f>
        <v>0</v>
      </c>
      <c r="H30">
        <f>agri_impact_channel_KHM!B33</f>
        <v>0</v>
      </c>
      <c r="I30">
        <f>agri_impact_channel_KHM!C33</f>
        <v>0</v>
      </c>
      <c r="J30">
        <f>agri_impact_channel_KHM!D33</f>
        <v>0</v>
      </c>
      <c r="K30">
        <f>agri_impact_channel_KHM!E33</f>
        <v>0</v>
      </c>
      <c r="L30">
        <f>agri_impact_channel_KHM!F33</f>
        <v>0</v>
      </c>
      <c r="M30">
        <f>agri_impact_channel_KHM!G33</f>
        <v>0</v>
      </c>
      <c r="N30">
        <f>hydropower_impact_channel_KHM!B33</f>
        <v>0</v>
      </c>
      <c r="O30">
        <f>hydropower_impact_channel_KHM!C33</f>
        <v>0</v>
      </c>
      <c r="P30">
        <f>hydropower_impact_channel_KHM!D33</f>
        <v>0</v>
      </c>
      <c r="Q30">
        <f>N30</f>
        <v>0</v>
      </c>
      <c r="R30">
        <f>hydropower_impact_channel_KHM!E33</f>
        <v>0</v>
      </c>
      <c r="S30">
        <f>hydropower_impact_channel_KHM!F33</f>
        <v>0</v>
      </c>
      <c r="T30">
        <f>scenario_costs_KHM!B34</f>
        <v>0</v>
      </c>
      <c r="U30">
        <f>scenario_costs_KHM!C34</f>
        <v>0</v>
      </c>
      <c r="V30">
        <f>scenario_costs_KHM!D34</f>
        <v>0</v>
      </c>
      <c r="W30">
        <f>scenario_costs_KHM!E34</f>
        <v>0</v>
      </c>
      <c r="X30">
        <f>scenario_costs_KHM!F34</f>
        <v>0</v>
      </c>
      <c r="Y30">
        <f>scenario_costs_KHM!G34</f>
        <v>0</v>
      </c>
      <c r="Z30">
        <f>scenario_costs_KHM!H34</f>
        <v>0</v>
      </c>
      <c r="AA30">
        <f>scenario_costs_KHM!I34</f>
        <v>0</v>
      </c>
      <c r="AB30">
        <f>scenario_costs_KHM!J34</f>
        <v>0</v>
      </c>
      <c r="AC30">
        <f>scenario_costs_KHM!K34</f>
        <v>0</v>
      </c>
      <c r="AD30">
        <f>scenario_costs_KHM!L34</f>
        <v>0</v>
      </c>
      <c r="AE30">
        <f>scenario_costs_KHM!M34</f>
        <v>0</v>
      </c>
    </row>
    <row r="31" spans="1:31">
      <c r="A31">
        <v>2049</v>
      </c>
      <c r="B31">
        <f>drr_impact_channel_KHM!B34</f>
        <v>0</v>
      </c>
      <c r="C31">
        <f>drr_impact_channel_KHM!C34</f>
        <v>0</v>
      </c>
      <c r="D31">
        <f>drr_impact_channel_KHM!D34</f>
        <v>0</v>
      </c>
      <c r="E31">
        <f>drr_impact_channel_KHM!E34</f>
        <v>0</v>
      </c>
      <c r="F31">
        <f>drr_impact_channel_KHM!F34</f>
        <v>0</v>
      </c>
      <c r="G31">
        <f>drr_impact_channel_KHM!G34</f>
        <v>0</v>
      </c>
      <c r="H31">
        <f>agri_impact_channel_KHM!B34</f>
        <v>0</v>
      </c>
      <c r="I31">
        <f>agri_impact_channel_KHM!C34</f>
        <v>0</v>
      </c>
      <c r="J31">
        <f>agri_impact_channel_KHM!D34</f>
        <v>0</v>
      </c>
      <c r="K31">
        <f>agri_impact_channel_KHM!E34</f>
        <v>0</v>
      </c>
      <c r="L31">
        <f>agri_impact_channel_KHM!F34</f>
        <v>0</v>
      </c>
      <c r="M31">
        <f>agri_impact_channel_KHM!G34</f>
        <v>0</v>
      </c>
      <c r="N31">
        <f>hydropower_impact_channel_KHM!B34</f>
        <v>0</v>
      </c>
      <c r="O31">
        <f>hydropower_impact_channel_KHM!C34</f>
        <v>0</v>
      </c>
      <c r="P31">
        <f>hydropower_impact_channel_KHM!D34</f>
        <v>0</v>
      </c>
      <c r="Q31">
        <f>N31</f>
        <v>0</v>
      </c>
      <c r="R31">
        <f>hydropower_impact_channel_KHM!E34</f>
        <v>0</v>
      </c>
      <c r="S31">
        <f>hydropower_impact_channel_KHM!F34</f>
        <v>0</v>
      </c>
      <c r="T31">
        <f>scenario_costs_KHM!B35</f>
        <v>0</v>
      </c>
      <c r="U31">
        <f>scenario_costs_KHM!C35</f>
        <v>0</v>
      </c>
      <c r="V31">
        <f>scenario_costs_KHM!D35</f>
        <v>0</v>
      </c>
      <c r="W31">
        <f>scenario_costs_KHM!E35</f>
        <v>0</v>
      </c>
      <c r="X31">
        <f>scenario_costs_KHM!F35</f>
        <v>0</v>
      </c>
      <c r="Y31">
        <f>scenario_costs_KHM!G35</f>
        <v>0</v>
      </c>
      <c r="Z31">
        <f>scenario_costs_KHM!H35</f>
        <v>0</v>
      </c>
      <c r="AA31">
        <f>scenario_costs_KHM!I35</f>
        <v>0</v>
      </c>
      <c r="AB31">
        <f>scenario_costs_KHM!J35</f>
        <v>0</v>
      </c>
      <c r="AC31">
        <f>scenario_costs_KHM!K35</f>
        <v>0</v>
      </c>
      <c r="AD31">
        <f>scenario_costs_KHM!L35</f>
        <v>0</v>
      </c>
      <c r="AE31">
        <f>scenario_costs_KHM!M35</f>
        <v>0</v>
      </c>
    </row>
    <row r="32" spans="1:31">
      <c r="A32">
        <v>2050</v>
      </c>
      <c r="B32">
        <f>drr_impact_channel_KHM!B35</f>
        <v>0</v>
      </c>
      <c r="C32">
        <f>drr_impact_channel_KHM!C35</f>
        <v>0</v>
      </c>
      <c r="D32">
        <f>drr_impact_channel_KHM!D35</f>
        <v>0</v>
      </c>
      <c r="E32">
        <f>drr_impact_channel_KHM!E35</f>
        <v>0</v>
      </c>
      <c r="F32">
        <f>drr_impact_channel_KHM!F35</f>
        <v>0</v>
      </c>
      <c r="G32">
        <f>drr_impact_channel_KHM!G35</f>
        <v>0</v>
      </c>
      <c r="H32">
        <f>agri_impact_channel_KHM!B35</f>
        <v>0</v>
      </c>
      <c r="I32">
        <f>agri_impact_channel_KHM!C35</f>
        <v>0</v>
      </c>
      <c r="J32">
        <f>agri_impact_channel_KHM!D35</f>
        <v>0</v>
      </c>
      <c r="K32">
        <f>agri_impact_channel_KHM!E35</f>
        <v>0</v>
      </c>
      <c r="L32">
        <f>agri_impact_channel_KHM!F35</f>
        <v>0</v>
      </c>
      <c r="M32">
        <f>agri_impact_channel_KHM!G35</f>
        <v>0</v>
      </c>
      <c r="N32">
        <f>hydropower_impact_channel_KHM!B35</f>
        <v>0</v>
      </c>
      <c r="O32">
        <f>hydropower_impact_channel_KHM!C35</f>
        <v>0</v>
      </c>
      <c r="P32">
        <f>hydropower_impact_channel_KHM!D35</f>
        <v>0</v>
      </c>
      <c r="Q32">
        <f>N32</f>
        <v>0</v>
      </c>
      <c r="R32">
        <f>hydropower_impact_channel_KHM!E35</f>
        <v>0</v>
      </c>
      <c r="S32">
        <f>hydropower_impact_channel_KHM!F35</f>
        <v>0</v>
      </c>
      <c r="T32">
        <f>scenario_costs_KHM!B36</f>
        <v>0</v>
      </c>
      <c r="U32">
        <f>scenario_costs_KHM!C36</f>
        <v>0</v>
      </c>
      <c r="V32">
        <f>scenario_costs_KHM!D36</f>
        <v>0</v>
      </c>
      <c r="W32">
        <f>scenario_costs_KHM!E36</f>
        <v>0</v>
      </c>
      <c r="X32">
        <f>scenario_costs_KHM!F36</f>
        <v>0</v>
      </c>
      <c r="Y32">
        <f>scenario_costs_KHM!G36</f>
        <v>0</v>
      </c>
      <c r="Z32">
        <f>scenario_costs_KHM!H36</f>
        <v>0</v>
      </c>
      <c r="AA32">
        <f>scenario_costs_KHM!I36</f>
        <v>0</v>
      </c>
      <c r="AB32">
        <f>scenario_costs_KHM!J36</f>
        <v>0</v>
      </c>
      <c r="AC32">
        <f>scenario_costs_KHM!K36</f>
        <v>0</v>
      </c>
      <c r="AD32">
        <f>scenario_costs_KHM!L36</f>
        <v>0</v>
      </c>
      <c r="AE32">
        <f>scenario_costs_KHM!M36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sheetData>
    <row r="1" spans="1:7">
      <c r="A1" s="1" t="s">
        <v>30</v>
      </c>
      <c r="B1" t="s">
        <v>31</v>
      </c>
    </row>
    <row r="2" spans="1:7">
      <c r="A2" s="1" t="s">
        <v>32</v>
      </c>
      <c r="B2" s="1" t="s">
        <v>34</v>
      </c>
      <c r="C2" s="1"/>
      <c r="D2" s="1"/>
      <c r="E2" s="1" t="s">
        <v>35</v>
      </c>
      <c r="F2" s="1"/>
      <c r="G2" s="1"/>
    </row>
    <row r="3" spans="1:7">
      <c r="A3" s="1" t="s">
        <v>33</v>
      </c>
      <c r="B3" s="1" t="s">
        <v>36</v>
      </c>
      <c r="C3" s="1" t="s">
        <v>37</v>
      </c>
      <c r="D3" s="1" t="s">
        <v>38</v>
      </c>
      <c r="E3" s="1" t="s">
        <v>36</v>
      </c>
      <c r="F3" s="1" t="s">
        <v>37</v>
      </c>
      <c r="G3" s="1" t="s">
        <v>38</v>
      </c>
    </row>
    <row r="4" spans="1:7">
      <c r="A4" s="1" t="s">
        <v>39</v>
      </c>
    </row>
    <row r="5" spans="1:7">
      <c r="A5" s="1">
        <v>2020</v>
      </c>
      <c r="B5">
        <v>0.929</v>
      </c>
      <c r="C5">
        <v>0.8994570053831376</v>
      </c>
      <c r="D5">
        <v>0.8994570053831376</v>
      </c>
      <c r="E5">
        <v>0.929</v>
      </c>
      <c r="F5">
        <v>0.8994570053831376</v>
      </c>
      <c r="G5">
        <v>0.8994570053831376</v>
      </c>
    </row>
    <row r="6" spans="1:7">
      <c r="A6" s="1">
        <v>2021</v>
      </c>
      <c r="B6">
        <v>0.937842105263158</v>
      </c>
      <c r="C6">
        <v>0.9075760684599586</v>
      </c>
      <c r="D6">
        <v>0.9069891835643868</v>
      </c>
      <c r="E6">
        <v>0.9771773093614432</v>
      </c>
      <c r="F6">
        <v>0.9456418470033248</v>
      </c>
      <c r="G6">
        <v>0.945030346837208</v>
      </c>
    </row>
    <row r="7" spans="1:7">
      <c r="A7" s="1">
        <v>2022</v>
      </c>
      <c r="B7">
        <v>0.9428947368421056</v>
      </c>
      <c r="C7">
        <v>0.9120214053553132</v>
      </c>
      <c r="D7">
        <v>0.9108413118703622</v>
      </c>
      <c r="E7">
        <v>1.015212027278365</v>
      </c>
      <c r="F7">
        <v>0.9819708008478136</v>
      </c>
      <c r="G7">
        <v>0.9807001976166964</v>
      </c>
    </row>
    <row r="8" spans="1:7">
      <c r="A8" s="1">
        <v>2023</v>
      </c>
      <c r="B8">
        <v>0.947473684210527</v>
      </c>
      <c r="C8">
        <v>0.9160040301173414</v>
      </c>
      <c r="D8">
        <v>0.914225293618646</v>
      </c>
      <c r="E8">
        <v>1.065924984500926</v>
      </c>
      <c r="F8">
        <v>1.030521056021922</v>
      </c>
      <c r="G8">
        <v>1.028519945377478</v>
      </c>
    </row>
    <row r="9" spans="1:7">
      <c r="A9" s="1">
        <v>2024</v>
      </c>
      <c r="B9">
        <v>0.9501578947368428</v>
      </c>
      <c r="C9">
        <v>0.9181514283829796</v>
      </c>
      <c r="D9">
        <v>0.9157730607933821</v>
      </c>
      <c r="E9">
        <v>1.112834469931804</v>
      </c>
      <c r="F9">
        <v>1.075348175057459</v>
      </c>
      <c r="G9">
        <v>1.072562607047622</v>
      </c>
    </row>
    <row r="10" spans="1:7">
      <c r="A10" s="1">
        <v>2025</v>
      </c>
      <c r="B10">
        <v>0.95521052631579</v>
      </c>
      <c r="C10">
        <v>0.9225838213048884</v>
      </c>
      <c r="D10">
        <v>0.9195950525833736</v>
      </c>
      <c r="E10">
        <v>1.139458772473657</v>
      </c>
      <c r="F10">
        <v>1.100538781312157</v>
      </c>
      <c r="G10">
        <v>1.096973516226815</v>
      </c>
    </row>
    <row r="11" spans="1:7">
      <c r="A11" s="1">
        <v>2026</v>
      </c>
      <c r="B11">
        <v>0.9566315789473684</v>
      </c>
      <c r="C11">
        <v>0.92350562750446</v>
      </c>
      <c r="D11">
        <v>0.9199137694219924</v>
      </c>
      <c r="E11">
        <v>1.181296962182271</v>
      </c>
      <c r="F11">
        <v>1.140391365220938</v>
      </c>
      <c r="G11">
        <v>1.135955957552212</v>
      </c>
    </row>
    <row r="12" spans="1:7">
      <c r="A12" s="1">
        <v>2027</v>
      </c>
      <c r="B12">
        <v>0.9569473684210535</v>
      </c>
      <c r="C12">
        <v>0.9233596249701536</v>
      </c>
      <c r="D12">
        <v>0.9191677405659212</v>
      </c>
      <c r="E12">
        <v>1.234545567265968</v>
      </c>
      <c r="F12">
        <v>1.191214448794748</v>
      </c>
      <c r="G12">
        <v>1.185806552310038</v>
      </c>
    </row>
    <row r="13" spans="1:7">
      <c r="A13" s="1">
        <v>2028</v>
      </c>
      <c r="B13">
        <v>0.961368421052632</v>
      </c>
      <c r="C13">
        <v>0.9271725638956764</v>
      </c>
      <c r="D13">
        <v>0.9223597059339428</v>
      </c>
      <c r="E13">
        <v>1.267508989460636</v>
      </c>
      <c r="F13">
        <v>1.222423717883591</v>
      </c>
      <c r="G13">
        <v>1.216078241375412</v>
      </c>
    </row>
    <row r="14" spans="1:7">
      <c r="A14" s="1">
        <v>2029</v>
      </c>
      <c r="B14">
        <v>0.964368421052632</v>
      </c>
      <c r="C14">
        <v>0.9296115006450972</v>
      </c>
      <c r="D14">
        <v>0.924180139318756</v>
      </c>
      <c r="E14">
        <v>1.337239305641665</v>
      </c>
      <c r="F14">
        <v>1.289043700002399</v>
      </c>
      <c r="G14">
        <v>1.281512315014908</v>
      </c>
    </row>
    <row r="15" spans="1:7">
      <c r="A15" s="1">
        <v>2030</v>
      </c>
      <c r="B15">
        <v>0.96421052631579</v>
      </c>
      <c r="C15">
        <v>0.9290050176970228</v>
      </c>
      <c r="D15">
        <v>0.9229711598560232</v>
      </c>
      <c r="E15">
        <v>1.380345319280846</v>
      </c>
      <c r="F15">
        <v>1.329945787530763</v>
      </c>
      <c r="G15">
        <v>1.321307832228767</v>
      </c>
    </row>
    <row r="16" spans="1:7">
      <c r="A16" s="1">
        <v>2031</v>
      </c>
      <c r="B16">
        <v>0.9632631578947372</v>
      </c>
      <c r="C16">
        <v>0.9276384072703324</v>
      </c>
      <c r="D16">
        <v>0.9210076849544716</v>
      </c>
      <c r="E16">
        <v>1.398094854308747</v>
      </c>
      <c r="F16">
        <v>1.346388547339769</v>
      </c>
      <c r="G16">
        <v>1.336764615733772</v>
      </c>
    </row>
    <row r="17" spans="1:7">
      <c r="A17" s="1">
        <v>2032</v>
      </c>
      <c r="B17">
        <v>0.966578947368421</v>
      </c>
      <c r="C17">
        <v>0.93037617278743</v>
      </c>
      <c r="D17">
        <v>0.9231177579893975</v>
      </c>
      <c r="E17">
        <v>1.466557346559201</v>
      </c>
      <c r="F17">
        <v>1.411628108578041</v>
      </c>
      <c r="G17">
        <v>1.40061516279083</v>
      </c>
    </row>
    <row r="18" spans="1:7">
      <c r="A18" s="1">
        <v>2033</v>
      </c>
      <c r="B18">
        <v>0.9714736842105266</v>
      </c>
      <c r="C18">
        <v>0.9346298786039448</v>
      </c>
      <c r="D18">
        <v>0.9267267763966344</v>
      </c>
      <c r="E18">
        <v>1.521073775573469</v>
      </c>
      <c r="F18">
        <v>1.463386009644903</v>
      </c>
      <c r="G18">
        <v>1.451011818034159</v>
      </c>
    </row>
    <row r="19" spans="1:7">
      <c r="A19" s="1">
        <v>2034</v>
      </c>
      <c r="B19">
        <v>0.9711578947368426</v>
      </c>
      <c r="C19">
        <v>0.9338685135591112</v>
      </c>
      <c r="D19">
        <v>0.9253602470288176</v>
      </c>
      <c r="E19">
        <v>1.583197148171112</v>
      </c>
      <c r="F19">
        <v>1.522407401974746</v>
      </c>
      <c r="G19">
        <v>1.5085370896603</v>
      </c>
    </row>
    <row r="20" spans="1:7">
      <c r="A20" s="1">
        <v>2035</v>
      </c>
      <c r="B20">
        <v>0.9736842105263164</v>
      </c>
      <c r="C20">
        <v>0.9358390844856548</v>
      </c>
      <c r="D20">
        <v>0.926699370779992</v>
      </c>
      <c r="E20">
        <v>1.678283942963424</v>
      </c>
      <c r="F20">
        <v>1.613052457573374</v>
      </c>
      <c r="G20">
        <v>1.597298854310972</v>
      </c>
    </row>
    <row r="21" spans="1:7">
      <c r="A21" s="1">
        <v>2036</v>
      </c>
      <c r="B21">
        <v>0.9711578947368426</v>
      </c>
      <c r="C21">
        <v>0.932953409352164</v>
      </c>
      <c r="D21">
        <v>0.9232296761746857</v>
      </c>
      <c r="E21">
        <v>1.789852448853072</v>
      </c>
      <c r="F21">
        <v>1.719441249918765</v>
      </c>
      <c r="G21">
        <v>1.701520325078403</v>
      </c>
    </row>
    <row r="22" spans="1:7">
      <c r="A22" s="1">
        <v>2037</v>
      </c>
      <c r="B22">
        <v>0.9763684210526328</v>
      </c>
      <c r="C22">
        <v>0.9374989512150698</v>
      </c>
      <c r="D22">
        <v>0.9271120535854708</v>
      </c>
      <c r="E22">
        <v>1.865921884686915</v>
      </c>
      <c r="F22">
        <v>1.791639070072844</v>
      </c>
      <c r="G22">
        <v>1.771788838148939</v>
      </c>
    </row>
    <row r="23" spans="1:7">
      <c r="A23" s="1">
        <v>2038</v>
      </c>
      <c r="B23">
        <v>0.9828421052631584</v>
      </c>
      <c r="C23">
        <v>0.943251859434304</v>
      </c>
      <c r="D23">
        <v>0.9321810477322794</v>
      </c>
      <c r="E23">
        <v>1.961008679479232</v>
      </c>
      <c r="F23">
        <v>1.882016524709557</v>
      </c>
      <c r="G23">
        <v>1.859927566859367</v>
      </c>
    </row>
    <row r="24" spans="1:7">
      <c r="A24" s="1">
        <v>2039</v>
      </c>
      <c r="B24">
        <v>0.9864736842105269</v>
      </c>
      <c r="C24">
        <v>0.9462723853382502</v>
      </c>
      <c r="D24">
        <v>0.9345433495698916</v>
      </c>
      <c r="E24">
        <v>2.048488530688158</v>
      </c>
      <c r="F24">
        <v>1.96500743942668</v>
      </c>
      <c r="G24">
        <v>1.940651193910873</v>
      </c>
    </row>
    <row r="25" spans="1:7">
      <c r="A25" s="1">
        <v>2040</v>
      </c>
      <c r="B25">
        <v>0.986789473684211</v>
      </c>
      <c r="C25">
        <v>0.9461103888137662</v>
      </c>
      <c r="D25">
        <v>0.9337600830647592</v>
      </c>
      <c r="E25">
        <v>2.168931804091752</v>
      </c>
      <c r="F25">
        <v>2.079520472404715</v>
      </c>
      <c r="G25">
        <v>2.05237489409887</v>
      </c>
    </row>
    <row r="26" spans="1:7">
      <c r="A26" s="1">
        <v>2041</v>
      </c>
      <c r="B26">
        <v>0.9913684210526326</v>
      </c>
      <c r="C26">
        <v>0.9500335010542068</v>
      </c>
      <c r="D26">
        <v>0.9370055061188656</v>
      </c>
      <c r="E26">
        <v>2.314731556106634</v>
      </c>
      <c r="F26">
        <v>2.218219258904442</v>
      </c>
      <c r="G26">
        <v>2.187800385003242</v>
      </c>
    </row>
    <row r="27" spans="1:7">
      <c r="A27" s="1">
        <v>2042</v>
      </c>
      <c r="B27">
        <v>0.9937368421052636</v>
      </c>
      <c r="C27">
        <v>0.951834981269461</v>
      </c>
      <c r="D27">
        <v>0.93815399907672</v>
      </c>
      <c r="E27">
        <v>2.399675759454438</v>
      </c>
      <c r="F27">
        <v>2.298491144510819</v>
      </c>
      <c r="G27">
        <v>2.265454308255561</v>
      </c>
    </row>
    <row r="28" spans="1:7">
      <c r="A28" s="1">
        <v>2043</v>
      </c>
      <c r="B28">
        <v>0.9972105263157904</v>
      </c>
      <c r="C28">
        <v>0.9546923677142776</v>
      </c>
      <c r="D28">
        <v>0.940339525990431</v>
      </c>
      <c r="E28">
        <v>2.487155610663355</v>
      </c>
      <c r="F28">
        <v>2.38111052396384</v>
      </c>
      <c r="G28">
        <v>2.345312916657874</v>
      </c>
    </row>
    <row r="29" spans="1:7">
      <c r="A29" s="1">
        <v>2044</v>
      </c>
      <c r="B29">
        <v>0.9981578947368424</v>
      </c>
      <c r="C29">
        <v>0.9551290701942752</v>
      </c>
      <c r="D29">
        <v>0.9401379635626734</v>
      </c>
      <c r="E29">
        <v>2.570831990080593</v>
      </c>
      <c r="F29">
        <v>2.460007961925448</v>
      </c>
      <c r="G29">
        <v>2.421397220380001</v>
      </c>
    </row>
    <row r="30" spans="1:7">
      <c r="A30" s="1">
        <v>2045</v>
      </c>
      <c r="B30">
        <v>0.998789473684211</v>
      </c>
      <c r="C30">
        <v>0.9552628524207372</v>
      </c>
      <c r="D30">
        <v>0.9396372355745785</v>
      </c>
      <c r="E30">
        <v>2.636758834469929</v>
      </c>
      <c r="F30">
        <v>2.521850531794546</v>
      </c>
      <c r="G30">
        <v>2.480599613208897</v>
      </c>
    </row>
    <row r="31" spans="1:7">
      <c r="A31" s="1">
        <v>2046</v>
      </c>
      <c r="B31">
        <v>1.006052631578947</v>
      </c>
      <c r="C31">
        <v>0.9617354939945598</v>
      </c>
      <c r="D31">
        <v>0.9453666784465332</v>
      </c>
      <c r="E31">
        <v>2.674793552386856</v>
      </c>
      <c r="F31">
        <v>2.556967516103923</v>
      </c>
      <c r="G31">
        <v>2.513447723089361</v>
      </c>
    </row>
    <row r="32" spans="1:7">
      <c r="A32" s="1">
        <v>2047</v>
      </c>
      <c r="B32">
        <v>1.008894736842105</v>
      </c>
      <c r="C32">
        <v>0.963977071584938</v>
      </c>
      <c r="D32">
        <v>0.946930665658293</v>
      </c>
      <c r="E32">
        <v>2.722970861748294</v>
      </c>
      <c r="F32">
        <v>2.60173968746755</v>
      </c>
      <c r="G32">
        <v>2.555732046689212</v>
      </c>
    </row>
    <row r="33" spans="1:7">
      <c r="A33" s="1">
        <v>2048</v>
      </c>
      <c r="B33">
        <v>1.009684210526316</v>
      </c>
      <c r="C33">
        <v>0.9642556931701416</v>
      </c>
      <c r="D33">
        <v>0.94656410579564</v>
      </c>
      <c r="E33">
        <v>2.854824550526967</v>
      </c>
      <c r="F33">
        <v>2.726378007250982</v>
      </c>
      <c r="G33">
        <v>2.676356052418002</v>
      </c>
    </row>
    <row r="34" spans="1:7">
      <c r="A34" s="1">
        <v>2049</v>
      </c>
      <c r="B34">
        <v>1.009210526315789</v>
      </c>
      <c r="C34">
        <v>0.9633278410868384</v>
      </c>
      <c r="D34">
        <v>0.9450130075773736</v>
      </c>
      <c r="E34">
        <v>2.905537507749541</v>
      </c>
      <c r="F34">
        <v>2.773440329398007</v>
      </c>
      <c r="G34">
        <v>2.720711553466387</v>
      </c>
    </row>
    <row r="35" spans="1:7">
      <c r="A35" s="1">
        <v>2050</v>
      </c>
      <c r="B35">
        <v>1.013</v>
      </c>
      <c r="C35">
        <v>0.9664677647465472</v>
      </c>
      <c r="D35">
        <v>0.9474502436986668</v>
      </c>
      <c r="E35">
        <v>2.974</v>
      </c>
      <c r="F35">
        <v>2.837389074389173</v>
      </c>
      <c r="G35">
        <v>2.781556786534882</v>
      </c>
    </row>
  </sheetData>
  <mergeCells count="2">
    <mergeCell ref="B2:D2"/>
    <mergeCell ref="E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sheetData>
    <row r="1" spans="1:7">
      <c r="A1" s="1" t="s">
        <v>30</v>
      </c>
      <c r="B1" t="s">
        <v>40</v>
      </c>
    </row>
    <row r="2" spans="1:7">
      <c r="A2" s="1" t="s">
        <v>32</v>
      </c>
      <c r="B2" s="1" t="s">
        <v>34</v>
      </c>
      <c r="C2" s="1"/>
      <c r="D2" s="1"/>
      <c r="E2" s="1" t="s">
        <v>35</v>
      </c>
      <c r="F2" s="1"/>
      <c r="G2" s="1"/>
    </row>
    <row r="3" spans="1:7">
      <c r="A3" s="1" t="s">
        <v>33</v>
      </c>
      <c r="B3" s="1" t="s">
        <v>36</v>
      </c>
      <c r="C3" s="1" t="s">
        <v>37</v>
      </c>
      <c r="D3" s="1" t="s">
        <v>38</v>
      </c>
      <c r="E3" s="1" t="s">
        <v>36</v>
      </c>
      <c r="F3" s="1" t="s">
        <v>37</v>
      </c>
      <c r="G3" s="1" t="s">
        <v>38</v>
      </c>
    </row>
    <row r="4" spans="1:7">
      <c r="A4" s="1" t="s">
        <v>39</v>
      </c>
    </row>
    <row r="5" spans="1:7">
      <c r="A5" s="1">
        <v>2020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s="1">
        <v>2021</v>
      </c>
      <c r="B6">
        <v>-0.1431652496301505</v>
      </c>
      <c r="C6">
        <v>0.201007974142775</v>
      </c>
      <c r="D6">
        <v>0.4180301616669268</v>
      </c>
      <c r="E6">
        <v>-0.0971478479633192</v>
      </c>
      <c r="F6">
        <v>0.2471839824540245</v>
      </c>
      <c r="G6">
        <v>0.4643061811311133</v>
      </c>
    </row>
    <row r="7" spans="1:7">
      <c r="A7" s="1">
        <v>2022</v>
      </c>
      <c r="B7">
        <v>-0.2249739637045111</v>
      </c>
      <c r="C7">
        <v>0.4628085491056977</v>
      </c>
      <c r="D7">
        <v>0.8964973289434353</v>
      </c>
      <c r="E7">
        <v>-0.1738435174080344</v>
      </c>
      <c r="F7">
        <v>0.5142914546119703</v>
      </c>
      <c r="G7">
        <v>0.9482024814562841</v>
      </c>
    </row>
    <row r="8" spans="1:7">
      <c r="A8" s="1">
        <v>2023</v>
      </c>
      <c r="B8">
        <v>-0.2991131108344258</v>
      </c>
      <c r="C8">
        <v>0.7317940595995553</v>
      </c>
      <c r="D8">
        <v>1.381843842116926</v>
      </c>
      <c r="E8">
        <v>-0.2761044100009879</v>
      </c>
      <c r="F8">
        <v>0.7550406703995982</v>
      </c>
      <c r="G8">
        <v>1.405240469646407</v>
      </c>
    </row>
    <row r="9" spans="1:7">
      <c r="A9" s="1">
        <v>2024</v>
      </c>
      <c r="B9">
        <v>-0.3425739901864344</v>
      </c>
      <c r="C9">
        <v>1.031369723068853</v>
      </c>
      <c r="D9">
        <v>1.89772494651419</v>
      </c>
      <c r="E9">
        <v>-0.3706957356494844</v>
      </c>
      <c r="F9">
        <v>1.002860272475026</v>
      </c>
      <c r="G9">
        <v>1.868971024213129</v>
      </c>
    </row>
    <row r="10" spans="1:7">
      <c r="A10" s="1">
        <v>2025</v>
      </c>
      <c r="B10">
        <v>-0.424382704260795</v>
      </c>
      <c r="C10">
        <v>1.291637100469112</v>
      </c>
      <c r="D10">
        <v>2.373692141749473</v>
      </c>
      <c r="E10">
        <v>-0.424382704260795</v>
      </c>
      <c r="F10">
        <v>1.291637100469112</v>
      </c>
      <c r="G10">
        <v>2.373692141749473</v>
      </c>
    </row>
    <row r="11" spans="1:7">
      <c r="A11" s="1">
        <v>2026</v>
      </c>
      <c r="B11">
        <v>-0.4473914050941996</v>
      </c>
      <c r="C11">
        <v>1.611356540648456</v>
      </c>
      <c r="D11">
        <v>2.90952255672603</v>
      </c>
      <c r="E11">
        <v>-0.5087479406499784</v>
      </c>
      <c r="F11">
        <v>1.548731151937388</v>
      </c>
      <c r="G11">
        <v>2.84609707879131</v>
      </c>
    </row>
    <row r="12" spans="1:7">
      <c r="A12" s="1">
        <v>2027</v>
      </c>
      <c r="B12">
        <v>-0.4525044497238673</v>
      </c>
      <c r="C12">
        <v>1.949244792919114</v>
      </c>
      <c r="D12">
        <v>3.463694025223996</v>
      </c>
      <c r="E12">
        <v>-0.6161218778725996</v>
      </c>
      <c r="F12">
        <v>1.781679821620585</v>
      </c>
      <c r="G12">
        <v>3.293639887451882</v>
      </c>
    </row>
    <row r="13" spans="1:7">
      <c r="A13" s="1">
        <v>2028</v>
      </c>
      <c r="B13">
        <v>-0.5240870745389259</v>
      </c>
      <c r="C13">
        <v>2.218795431192433</v>
      </c>
      <c r="D13">
        <v>3.948349970589815</v>
      </c>
      <c r="E13">
        <v>-0.6825914580580128</v>
      </c>
      <c r="F13">
        <v>2.055920553471791</v>
      </c>
      <c r="G13">
        <v>3.782719229987719</v>
      </c>
    </row>
    <row r="14" spans="1:7">
      <c r="A14" s="1">
        <v>2029</v>
      </c>
      <c r="B14">
        <v>-0.572660998520591</v>
      </c>
      <c r="C14">
        <v>2.511575057305304</v>
      </c>
      <c r="D14">
        <v>4.456373808174252</v>
      </c>
      <c r="E14">
        <v>-0.8351679691180336</v>
      </c>
      <c r="F14">
        <v>2.240925120479931</v>
      </c>
      <c r="G14">
        <v>4.180589235003973</v>
      </c>
    </row>
    <row r="15" spans="1:7">
      <c r="A15" s="1">
        <v>2030</v>
      </c>
      <c r="B15">
        <v>-0.5701044762057572</v>
      </c>
      <c r="C15">
        <v>2.856912589514349</v>
      </c>
      <c r="D15">
        <v>5.017855652231473</v>
      </c>
      <c r="E15">
        <v>-0.9307472735096912</v>
      </c>
      <c r="F15">
        <v>2.483839637130014</v>
      </c>
      <c r="G15">
        <v>4.636944729719072</v>
      </c>
    </row>
    <row r="16" spans="1:7">
      <c r="A16" s="1">
        <v>2031</v>
      </c>
      <c r="B16">
        <v>-0.5547653423168097</v>
      </c>
      <c r="C16">
        <v>3.215534987671487</v>
      </c>
      <c r="D16">
        <v>5.592939064221158</v>
      </c>
      <c r="E16">
        <v>-0.9701034576709788</v>
      </c>
      <c r="F16">
        <v>2.784450019903839</v>
      </c>
      <c r="G16">
        <v>5.151924746575798</v>
      </c>
    </row>
    <row r="17" spans="1:7">
      <c r="A17" s="1">
        <v>2032</v>
      </c>
      <c r="B17">
        <v>-0.6084523109281204</v>
      </c>
      <c r="C17">
        <v>3.502382101491897</v>
      </c>
      <c r="D17">
        <v>6.094513665222889</v>
      </c>
      <c r="E17">
        <v>-1.121905882293017</v>
      </c>
      <c r="F17">
        <v>2.967692090415341</v>
      </c>
      <c r="G17">
        <v>5.546432785005129</v>
      </c>
    </row>
    <row r="18" spans="1:7">
      <c r="A18" s="1">
        <v>2033</v>
      </c>
      <c r="B18">
        <v>-0.6877045026876583</v>
      </c>
      <c r="C18">
        <v>3.762148417561906</v>
      </c>
      <c r="D18">
        <v>6.568051806345965</v>
      </c>
      <c r="E18">
        <v>-1.242785590788376</v>
      </c>
      <c r="F18">
        <v>3.182195996173709</v>
      </c>
      <c r="G18">
        <v>5.972416493948618</v>
      </c>
    </row>
    <row r="19" spans="1:7">
      <c r="A19" s="1">
        <v>2034</v>
      </c>
      <c r="B19">
        <v>-0.6825914580580128</v>
      </c>
      <c r="C19">
        <v>4.109804562119157</v>
      </c>
      <c r="D19">
        <v>7.131702246021998</v>
      </c>
      <c r="E19">
        <v>-1.380532235352838</v>
      </c>
      <c r="F19">
        <v>3.378185815850587</v>
      </c>
      <c r="G19">
        <v>6.37884748836961</v>
      </c>
    </row>
    <row r="20" spans="1:7">
      <c r="A20" s="1">
        <v>2035</v>
      </c>
      <c r="B20">
        <v>-0.7255328846687781</v>
      </c>
      <c r="C20">
        <v>4.406957065193851</v>
      </c>
      <c r="D20">
        <v>7.643304693153641</v>
      </c>
      <c r="E20">
        <v>-1.591368936216808</v>
      </c>
      <c r="F20">
        <v>3.496357289780794</v>
      </c>
      <c r="G20">
        <v>6.704478662460112</v>
      </c>
    </row>
    <row r="21" spans="1:7">
      <c r="A21" s="1">
        <v>2036</v>
      </c>
      <c r="B21">
        <v>-0.6825914580580128</v>
      </c>
      <c r="C21">
        <v>4.794432565001605</v>
      </c>
      <c r="D21">
        <v>8.248029918033417</v>
      </c>
      <c r="E21">
        <v>-1.838750665230538</v>
      </c>
      <c r="F21">
        <v>3.574515031417547</v>
      </c>
      <c r="G21">
        <v>6.987908874951931</v>
      </c>
    </row>
    <row r="22" spans="1:7">
      <c r="A22" s="1">
        <v>2037</v>
      </c>
      <c r="B22">
        <v>-0.7733225368646179</v>
      </c>
      <c r="C22">
        <v>5.040699251292025</v>
      </c>
      <c r="D22">
        <v>8.706794227963321</v>
      </c>
      <c r="E22">
        <v>-2.007420025921702</v>
      </c>
      <c r="F22">
        <v>3.734291876692786</v>
      </c>
      <c r="G22">
        <v>7.354791064801725</v>
      </c>
    </row>
    <row r="23" spans="1:7">
      <c r="A23" s="1">
        <v>2038</v>
      </c>
      <c r="B23">
        <v>-0.8885799333369082</v>
      </c>
      <c r="C23">
        <v>5.260292567598879</v>
      </c>
      <c r="D23">
        <v>9.13753132060673</v>
      </c>
      <c r="E23">
        <v>-2.218256726785683</v>
      </c>
      <c r="F23">
        <v>3.848122625884542</v>
      </c>
      <c r="G23">
        <v>7.673344422732664</v>
      </c>
    </row>
    <row r="24" spans="1:7">
      <c r="A24" s="1">
        <v>2039</v>
      </c>
      <c r="B24">
        <v>-0.9532365216018636</v>
      </c>
      <c r="C24">
        <v>5.533005862720164</v>
      </c>
      <c r="D24">
        <v>9.622976882621504</v>
      </c>
      <c r="E24">
        <v>-2.412226491580538</v>
      </c>
      <c r="F24">
        <v>3.978471502907488</v>
      </c>
      <c r="G24">
        <v>8.0081959636485</v>
      </c>
    </row>
    <row r="25" spans="1:7">
      <c r="A25" s="1">
        <v>2040</v>
      </c>
      <c r="B25">
        <v>-0.9588588336248982</v>
      </c>
      <c r="C25">
        <v>5.86837716411055</v>
      </c>
      <c r="D25">
        <v>10.17336543347567</v>
      </c>
      <c r="E25">
        <v>-2.6792863126749</v>
      </c>
      <c r="F25">
        <v>4.029354884171377</v>
      </c>
      <c r="G25">
        <v>8.259561905780455</v>
      </c>
    </row>
    <row r="26" spans="1:7">
      <c r="A26" s="1">
        <v>2041</v>
      </c>
      <c r="B26">
        <v>-1.04038235795898</v>
      </c>
      <c r="C26">
        <v>6.122314766971937</v>
      </c>
      <c r="D26">
        <v>10.63883171615469</v>
      </c>
      <c r="E26">
        <v>-3.002569253999654</v>
      </c>
      <c r="F26">
        <v>4.018104783395837</v>
      </c>
      <c r="G26">
        <v>8.445067522643313</v>
      </c>
    </row>
    <row r="27" spans="1:7">
      <c r="A27" s="1">
        <v>2042</v>
      </c>
      <c r="B27">
        <v>-1.082549698131763</v>
      </c>
      <c r="C27">
        <v>6.418030833424559</v>
      </c>
      <c r="D27">
        <v>11.14760385719122</v>
      </c>
      <c r="E27">
        <v>-3.190916706771485</v>
      </c>
      <c r="F27">
        <v>4.149793382409728</v>
      </c>
      <c r="G27">
        <v>8.778558351603284</v>
      </c>
    </row>
    <row r="28" spans="1:7">
      <c r="A28" s="1">
        <v>2043</v>
      </c>
      <c r="B28">
        <v>-1.144395130385201</v>
      </c>
      <c r="C28">
        <v>6.692218186312071</v>
      </c>
      <c r="D28">
        <v>11.6336803550612</v>
      </c>
      <c r="E28">
        <v>-3.384886471566317</v>
      </c>
      <c r="F28">
        <v>4.27411562821105</v>
      </c>
      <c r="G28">
        <v>9.103583103119009</v>
      </c>
    </row>
    <row r="29" spans="1:7">
      <c r="A29" s="1">
        <v>2044</v>
      </c>
      <c r="B29">
        <v>-1.161262066454305</v>
      </c>
      <c r="C29">
        <v>7.014678335408608</v>
      </c>
      <c r="D29">
        <v>12.17010690602234</v>
      </c>
      <c r="E29">
        <v>-3.573885786601683</v>
      </c>
      <c r="F29">
        <v>4.402482381130635</v>
      </c>
      <c r="G29">
        <v>9.432068498501469</v>
      </c>
    </row>
    <row r="30" spans="1:7">
      <c r="A30" s="1">
        <v>2045</v>
      </c>
      <c r="B30">
        <v>-1.172506690500397</v>
      </c>
      <c r="C30">
        <v>7.34312898300149</v>
      </c>
      <c r="D30">
        <v>12.7127561194843</v>
      </c>
      <c r="E30">
        <v>-3.729069746715852</v>
      </c>
      <c r="F30">
        <v>4.566275410108811</v>
      </c>
      <c r="G30">
        <v>9.79699595387058</v>
      </c>
    </row>
    <row r="31" spans="1:7">
      <c r="A31" s="1">
        <v>2046</v>
      </c>
      <c r="B31">
        <v>-1.301819867030285</v>
      </c>
      <c r="C31">
        <v>7.542853048618903</v>
      </c>
      <c r="D31">
        <v>13.11995821399925</v>
      </c>
      <c r="E31">
        <v>-3.818598954474039</v>
      </c>
      <c r="F31">
        <v>4.800536997885696</v>
      </c>
      <c r="G31">
        <v>10.23542736629821</v>
      </c>
    </row>
    <row r="32" spans="1:7">
      <c r="A32" s="1">
        <v>2047</v>
      </c>
      <c r="B32">
        <v>-1.352420675237642</v>
      </c>
      <c r="C32">
        <v>7.827723056724745</v>
      </c>
      <c r="D32">
        <v>13.6163630115018</v>
      </c>
      <c r="E32">
        <v>-3.9320026176344</v>
      </c>
      <c r="F32">
        <v>5.008085218768543</v>
      </c>
      <c r="G32">
        <v>10.64535530516575</v>
      </c>
    </row>
    <row r="33" spans="1:7">
      <c r="A33" s="1">
        <v>2048</v>
      </c>
      <c r="B33">
        <v>-1.36647645529524</v>
      </c>
      <c r="C33">
        <v>8.152316123592417</v>
      </c>
      <c r="D33">
        <v>14.1544948096995</v>
      </c>
      <c r="E33">
        <v>-4.242370537862749</v>
      </c>
      <c r="F33">
        <v>4.998879089429908</v>
      </c>
      <c r="G33">
        <v>10.82605003429917</v>
      </c>
    </row>
    <row r="34" spans="1:7">
      <c r="A34" s="1">
        <v>2049</v>
      </c>
      <c r="B34">
        <v>-1.358042987260677</v>
      </c>
      <c r="C34">
        <v>8.501549422685994</v>
      </c>
      <c r="D34">
        <v>14.71862316667558</v>
      </c>
      <c r="E34">
        <v>-4.361742814873681</v>
      </c>
      <c r="F34">
        <v>5.197619784970309</v>
      </c>
      <c r="G34">
        <v>11.22538034115821</v>
      </c>
    </row>
    <row r="35" spans="1:7">
      <c r="A35" s="1">
        <v>2050</v>
      </c>
      <c r="B35">
        <v>-1.42551073153715</v>
      </c>
      <c r="C35">
        <v>8.767091458821907</v>
      </c>
      <c r="D35">
        <v>15.1941481591257</v>
      </c>
      <c r="E35">
        <v>-4.522895388838388</v>
      </c>
      <c r="F35">
        <v>5.349437227955711</v>
      </c>
      <c r="G35">
        <v>11.57454444860346</v>
      </c>
    </row>
  </sheetData>
  <mergeCells count="2">
    <mergeCell ref="B2:D2"/>
    <mergeCell ref="E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sheetFormatPr defaultRowHeight="15"/>
  <sheetData>
    <row r="1" spans="1:6">
      <c r="A1" s="1" t="s">
        <v>30</v>
      </c>
      <c r="B1" t="s">
        <v>41</v>
      </c>
    </row>
    <row r="2" spans="1:6">
      <c r="A2" s="1" t="s">
        <v>32</v>
      </c>
      <c r="B2" s="1" t="s">
        <v>42</v>
      </c>
      <c r="C2" s="1" t="s">
        <v>34</v>
      </c>
      <c r="D2" s="1"/>
      <c r="E2" s="1" t="s">
        <v>35</v>
      </c>
      <c r="F2" s="1"/>
    </row>
    <row r="3" spans="1:6">
      <c r="A3" s="1" t="s">
        <v>33</v>
      </c>
      <c r="B3" s="1" t="s">
        <v>36</v>
      </c>
      <c r="C3" s="1" t="s">
        <v>37</v>
      </c>
      <c r="D3" s="1" t="s">
        <v>38</v>
      </c>
      <c r="E3" s="1" t="s">
        <v>37</v>
      </c>
      <c r="F3" s="1" t="s">
        <v>38</v>
      </c>
    </row>
    <row r="4" spans="1:6">
      <c r="A4" s="1" t="s">
        <v>39</v>
      </c>
    </row>
    <row r="5" spans="1:6">
      <c r="A5" s="1">
        <v>2020</v>
      </c>
      <c r="B5">
        <v>0</v>
      </c>
      <c r="C5">
        <v>0</v>
      </c>
      <c r="D5">
        <v>0</v>
      </c>
      <c r="E5">
        <v>0</v>
      </c>
      <c r="F5">
        <v>0</v>
      </c>
    </row>
    <row r="6" spans="1:6">
      <c r="A6" s="1">
        <v>2021</v>
      </c>
      <c r="B6">
        <v>0</v>
      </c>
      <c r="C6">
        <v>0.2603889822975349</v>
      </c>
      <c r="D6">
        <v>0.3068751872300947</v>
      </c>
      <c r="E6">
        <v>0.2577113683187297</v>
      </c>
      <c r="F6">
        <v>0.3042123374111146</v>
      </c>
    </row>
    <row r="7" spans="1:6">
      <c r="A7" s="1">
        <v>2022</v>
      </c>
      <c r="B7">
        <v>0</v>
      </c>
      <c r="C7">
        <v>0.5238315463099888</v>
      </c>
      <c r="D7">
        <v>0.616732027355991</v>
      </c>
      <c r="E7">
        <v>0.5154136893033788</v>
      </c>
      <c r="F7">
        <v>0.6083395639772493</v>
      </c>
    </row>
    <row r="8" spans="1:6">
      <c r="A8" s="1">
        <v>2023</v>
      </c>
      <c r="B8">
        <v>0</v>
      </c>
      <c r="C8">
        <v>0.7898982821087018</v>
      </c>
      <c r="D8">
        <v>0.9291512254392172</v>
      </c>
      <c r="E8">
        <v>0.773102439286907</v>
      </c>
      <c r="F8">
        <v>0.912339124275914</v>
      </c>
    </row>
    <row r="9" spans="1:6">
      <c r="A9" s="1">
        <v>2024</v>
      </c>
      <c r="B9">
        <v>0</v>
      </c>
      <c r="C9">
        <v>1.05644214005037</v>
      </c>
      <c r="D9">
        <v>1.242036306787412</v>
      </c>
      <c r="E9">
        <v>1.030780935625144</v>
      </c>
      <c r="F9">
        <v>1.216242225616935</v>
      </c>
    </row>
    <row r="10" spans="1:6">
      <c r="A10" s="1">
        <v>2025</v>
      </c>
      <c r="B10">
        <v>0</v>
      </c>
      <c r="C10">
        <v>1.32818662935026</v>
      </c>
      <c r="D10">
        <v>1.559999515723768</v>
      </c>
      <c r="E10">
        <v>1.288460336696789</v>
      </c>
      <c r="F10">
        <v>1.520153838042454</v>
      </c>
    </row>
    <row r="11" spans="1:6">
      <c r="A11" s="1">
        <v>2026</v>
      </c>
      <c r="B11">
        <v>0</v>
      </c>
      <c r="C11">
        <v>1.596400414792275</v>
      </c>
      <c r="D11">
        <v>1.874515188499354</v>
      </c>
      <c r="E11">
        <v>1.546122547833681</v>
      </c>
      <c r="F11">
        <v>1.823903739862511</v>
      </c>
    </row>
    <row r="12" spans="1:6">
      <c r="A12" s="1">
        <v>2027</v>
      </c>
      <c r="B12">
        <v>0</v>
      </c>
      <c r="C12">
        <v>1.863135121591128</v>
      </c>
      <c r="D12">
        <v>2.187586623153537</v>
      </c>
      <c r="E12">
        <v>1.803765307202299</v>
      </c>
      <c r="F12">
        <v>2.127470653365862</v>
      </c>
    </row>
    <row r="13" spans="1:6">
      <c r="A13" s="1">
        <v>2028</v>
      </c>
      <c r="B13">
        <v>0</v>
      </c>
      <c r="C13">
        <v>2.139984817820646</v>
      </c>
      <c r="D13">
        <v>2.51053478302506</v>
      </c>
      <c r="E13">
        <v>2.061414701282577</v>
      </c>
      <c r="F13">
        <v>2.431099981488864</v>
      </c>
    </row>
    <row r="14" spans="1:6">
      <c r="A14" s="1">
        <v>2029</v>
      </c>
      <c r="B14">
        <v>0</v>
      </c>
      <c r="C14">
        <v>2.415641708692777</v>
      </c>
      <c r="D14">
        <v>2.832318234734162</v>
      </c>
      <c r="E14">
        <v>2.319016898436733</v>
      </c>
      <c r="F14">
        <v>2.734285314703887</v>
      </c>
    </row>
    <row r="15" spans="1:6">
      <c r="A15" s="1">
        <v>2030</v>
      </c>
      <c r="B15">
        <v>0</v>
      </c>
      <c r="C15">
        <v>2.683569220849018</v>
      </c>
      <c r="D15">
        <v>3.146554377550766</v>
      </c>
      <c r="E15">
        <v>2.576634174481025</v>
      </c>
      <c r="F15">
        <v>3.03761249932721</v>
      </c>
    </row>
    <row r="16" spans="1:6">
      <c r="A16" s="1">
        <v>2031</v>
      </c>
      <c r="B16">
        <v>0</v>
      </c>
      <c r="C16">
        <v>2.948777136790409</v>
      </c>
      <c r="D16">
        <v>3.458134985757047</v>
      </c>
      <c r="E16">
        <v>2.83427437043832</v>
      </c>
      <c r="F16">
        <v>3.341155298091149</v>
      </c>
    </row>
    <row r="17" spans="1:6">
      <c r="A17" s="1">
        <v>2032</v>
      </c>
      <c r="B17">
        <v>0</v>
      </c>
      <c r="C17">
        <v>3.22887126359203</v>
      </c>
      <c r="D17">
        <v>3.78425115183036</v>
      </c>
      <c r="E17">
        <v>3.091837965633734</v>
      </c>
      <c r="F17">
        <v>3.643977491700926</v>
      </c>
    </row>
    <row r="18" spans="1:6">
      <c r="A18" s="1">
        <v>2033</v>
      </c>
      <c r="B18">
        <v>0</v>
      </c>
      <c r="C18">
        <v>3.517171891252497</v>
      </c>
      <c r="D18">
        <v>4.118380510061141</v>
      </c>
      <c r="E18">
        <v>3.349406838440694</v>
      </c>
      <c r="F18">
        <v>3.946849333303607</v>
      </c>
    </row>
    <row r="19" spans="1:6">
      <c r="A19" s="1">
        <v>2034</v>
      </c>
      <c r="B19">
        <v>0</v>
      </c>
      <c r="C19">
        <v>3.786387633194721</v>
      </c>
      <c r="D19">
        <v>4.433874537693162</v>
      </c>
      <c r="E19">
        <v>3.606950077134425</v>
      </c>
      <c r="F19">
        <v>4.249480027512178</v>
      </c>
    </row>
    <row r="20" spans="1:6">
      <c r="A20" s="1">
        <v>2035</v>
      </c>
      <c r="B20">
        <v>0</v>
      </c>
      <c r="C20">
        <v>4.068294824139577</v>
      </c>
      <c r="D20">
        <v>4.761761060173359</v>
      </c>
      <c r="E20">
        <v>3.864419730844302</v>
      </c>
      <c r="F20">
        <v>4.551418486848246</v>
      </c>
    </row>
    <row r="21" spans="1:6">
      <c r="A21" s="1">
        <v>2036</v>
      </c>
      <c r="B21">
        <v>0</v>
      </c>
      <c r="C21">
        <v>4.327300152222538</v>
      </c>
      <c r="D21">
        <v>5.067285185935042</v>
      </c>
      <c r="E21">
        <v>4.121835402127497</v>
      </c>
      <c r="F21">
        <v>4.852849118142601</v>
      </c>
    </row>
    <row r="22" spans="1:6">
      <c r="A22" s="1">
        <v>2037</v>
      </c>
      <c r="B22">
        <v>0</v>
      </c>
      <c r="C22">
        <v>4.624522963956287</v>
      </c>
      <c r="D22">
        <v>5.410126561220745</v>
      </c>
      <c r="E22">
        <v>4.379296310081095</v>
      </c>
      <c r="F22">
        <v>5.154705303661856</v>
      </c>
    </row>
    <row r="23" spans="1:6">
      <c r="A23" s="1">
        <v>2038</v>
      </c>
      <c r="B23">
        <v>0</v>
      </c>
      <c r="C23">
        <v>4.931765340692108</v>
      </c>
      <c r="D23">
        <v>5.762751485070791</v>
      </c>
      <c r="E23">
        <v>4.636698410363169</v>
      </c>
      <c r="F23">
        <v>5.456008268688739</v>
      </c>
    </row>
    <row r="24" spans="1:6">
      <c r="A24" s="1">
        <v>2039</v>
      </c>
      <c r="B24">
        <v>0</v>
      </c>
      <c r="C24">
        <v>5.226602541711073</v>
      </c>
      <c r="D24">
        <v>6.103263444031644</v>
      </c>
      <c r="E24">
        <v>4.894095082244794</v>
      </c>
      <c r="F24">
        <v>5.757260167208636</v>
      </c>
    </row>
    <row r="25" spans="1:6">
      <c r="A25" s="1">
        <v>2040</v>
      </c>
      <c r="B25">
        <v>0</v>
      </c>
      <c r="C25">
        <v>5.503595374583478</v>
      </c>
      <c r="D25">
        <v>6.426351368882658</v>
      </c>
      <c r="E25">
        <v>5.151392535029336</v>
      </c>
      <c r="F25">
        <v>6.05757868346192</v>
      </c>
    </row>
    <row r="26" spans="1:6">
      <c r="A26" s="1">
        <v>2041</v>
      </c>
      <c r="B26">
        <v>0</v>
      </c>
      <c r="C26">
        <v>5.807831881818682</v>
      </c>
      <c r="D26">
        <v>6.776041228163405</v>
      </c>
      <c r="E26">
        <v>5.408598006584058</v>
      </c>
      <c r="F26">
        <v>6.357031906124575</v>
      </c>
    </row>
    <row r="27" spans="1:6">
      <c r="A27" s="1">
        <v>2042</v>
      </c>
      <c r="B27">
        <v>0</v>
      </c>
      <c r="C27">
        <v>6.100140335479977</v>
      </c>
      <c r="D27">
        <v>7.114084005819921</v>
      </c>
      <c r="E27">
        <v>5.66592802977129</v>
      </c>
      <c r="F27">
        <v>6.657656821419785</v>
      </c>
    </row>
    <row r="28" spans="1:6">
      <c r="A28" s="1">
        <v>2043</v>
      </c>
      <c r="B28">
        <v>0</v>
      </c>
      <c r="C28">
        <v>6.401561822071738</v>
      </c>
      <c r="D28">
        <v>7.46102515383735</v>
      </c>
      <c r="E28">
        <v>5.923230910956281</v>
      </c>
      <c r="F28">
        <v>6.958026404180059</v>
      </c>
    </row>
    <row r="29" spans="1:6">
      <c r="A29" s="1">
        <v>2044</v>
      </c>
      <c r="B29">
        <v>0</v>
      </c>
      <c r="C29">
        <v>6.686761155802987</v>
      </c>
      <c r="D29">
        <v>7.792126270845829</v>
      </c>
      <c r="E29">
        <v>6.180523840073782</v>
      </c>
      <c r="F29">
        <v>7.258302365010852</v>
      </c>
    </row>
    <row r="30" spans="1:6">
      <c r="A30" s="1">
        <v>2045</v>
      </c>
      <c r="B30">
        <v>0</v>
      </c>
      <c r="C30">
        <v>6.970147425391007</v>
      </c>
      <c r="D30">
        <v>8.121457031447429</v>
      </c>
      <c r="E30">
        <v>6.437849641171777</v>
      </c>
      <c r="F30">
        <v>7.55888756191174</v>
      </c>
    </row>
    <row r="31" spans="1:6">
      <c r="A31" s="1">
        <v>2046</v>
      </c>
      <c r="B31">
        <v>0</v>
      </c>
      <c r="C31">
        <v>7.30601713070419</v>
      </c>
      <c r="D31">
        <v>8.502034951195609</v>
      </c>
      <c r="E31">
        <v>6.6952460114756</v>
      </c>
      <c r="F31">
        <v>7.860136623403469</v>
      </c>
    </row>
    <row r="32" spans="1:6">
      <c r="A32" s="1">
        <v>2047</v>
      </c>
      <c r="B32">
        <v>0</v>
      </c>
      <c r="C32">
        <v>7.610205925725096</v>
      </c>
      <c r="D32">
        <v>8.851678222149857</v>
      </c>
      <c r="E32">
        <v>6.952600764042652</v>
      </c>
      <c r="F32">
        <v>8.160994175008293</v>
      </c>
    </row>
    <row r="33" spans="1:6">
      <c r="A33" s="1">
        <v>2048</v>
      </c>
      <c r="B33">
        <v>0</v>
      </c>
      <c r="C33">
        <v>7.898745114457044</v>
      </c>
      <c r="D33">
        <v>9.186040522013124</v>
      </c>
      <c r="E33">
        <v>7.209665398763519</v>
      </c>
      <c r="F33">
        <v>8.459122505517428</v>
      </c>
    </row>
    <row r="34" spans="1:6">
      <c r="A34" s="1">
        <v>2049</v>
      </c>
      <c r="B34">
        <v>0</v>
      </c>
      <c r="C34">
        <v>8.176692191615357</v>
      </c>
      <c r="D34">
        <v>9.510060213394071</v>
      </c>
      <c r="E34">
        <v>7.466978533593801</v>
      </c>
      <c r="F34">
        <v>8.759588547235342</v>
      </c>
    </row>
    <row r="35" spans="1:6">
      <c r="A35" s="1">
        <v>2050</v>
      </c>
      <c r="B35">
        <v>0</v>
      </c>
      <c r="C35">
        <v>8.492999889067347</v>
      </c>
      <c r="D35">
        <v>9.871536919278531</v>
      </c>
      <c r="E35">
        <v>7.72421627397341</v>
      </c>
      <c r="F35">
        <v>9.059345331911761</v>
      </c>
    </row>
  </sheetData>
  <mergeCells count="2">
    <mergeCell ref="C2:D2"/>
    <mergeCell ref="E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36"/>
  <sheetViews>
    <sheetView workbookViewId="0"/>
  </sheetViews>
  <sheetFormatPr defaultRowHeight="15"/>
  <sheetData>
    <row r="1" spans="1:13">
      <c r="A1" s="1" t="s">
        <v>30</v>
      </c>
      <c r="B1" t="s">
        <v>43</v>
      </c>
    </row>
    <row r="2" spans="1:13">
      <c r="A2" s="1" t="s">
        <v>44</v>
      </c>
      <c r="B2" s="1" t="s">
        <v>45</v>
      </c>
      <c r="C2" s="1"/>
      <c r="D2" s="1"/>
      <c r="E2" s="1"/>
      <c r="F2" s="1"/>
      <c r="G2" s="1"/>
      <c r="H2" s="1" t="s">
        <v>46</v>
      </c>
      <c r="I2" s="1"/>
      <c r="J2" s="1"/>
      <c r="K2" s="1"/>
      <c r="L2" s="1"/>
      <c r="M2" s="1"/>
    </row>
    <row r="3" spans="1:13">
      <c r="A3" s="1" t="s">
        <v>32</v>
      </c>
      <c r="B3" s="1" t="s">
        <v>34</v>
      </c>
      <c r="C3" s="1"/>
      <c r="D3" s="1"/>
      <c r="E3" s="1" t="s">
        <v>35</v>
      </c>
      <c r="F3" s="1"/>
      <c r="G3" s="1"/>
      <c r="H3" s="1" t="s">
        <v>34</v>
      </c>
      <c r="I3" s="1"/>
      <c r="J3" s="1"/>
      <c r="K3" s="1" t="s">
        <v>35</v>
      </c>
      <c r="L3" s="1"/>
      <c r="M3" s="1"/>
    </row>
    <row r="4" spans="1:13">
      <c r="A4" s="1" t="s">
        <v>33</v>
      </c>
      <c r="B4" s="1" t="s">
        <v>36</v>
      </c>
      <c r="C4" s="1" t="s">
        <v>37</v>
      </c>
      <c r="D4" s="1" t="s">
        <v>38</v>
      </c>
      <c r="E4" s="1" t="s">
        <v>36</v>
      </c>
      <c r="F4" s="1" t="s">
        <v>37</v>
      </c>
      <c r="G4" s="1" t="s">
        <v>38</v>
      </c>
      <c r="H4" s="1" t="s">
        <v>36</v>
      </c>
      <c r="I4" s="1" t="s">
        <v>37</v>
      </c>
      <c r="J4" s="1" t="s">
        <v>38</v>
      </c>
      <c r="K4" s="1" t="s">
        <v>36</v>
      </c>
      <c r="L4" s="1" t="s">
        <v>37</v>
      </c>
      <c r="M4" s="1" t="s">
        <v>38</v>
      </c>
    </row>
    <row r="5" spans="1:13">
      <c r="A5" s="1" t="s">
        <v>39</v>
      </c>
    </row>
    <row r="6" spans="1:13">
      <c r="A6" s="1">
        <v>2020</v>
      </c>
      <c r="B6">
        <v>0</v>
      </c>
      <c r="C6">
        <v>500000</v>
      </c>
      <c r="D6">
        <v>1000000</v>
      </c>
      <c r="E6">
        <v>0</v>
      </c>
      <c r="F6">
        <v>500000</v>
      </c>
      <c r="G6">
        <v>1000000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>
      <c r="A7" s="1">
        <v>2021</v>
      </c>
      <c r="B7">
        <v>0</v>
      </c>
      <c r="C7">
        <v>500000</v>
      </c>
      <c r="D7">
        <v>1000000</v>
      </c>
      <c r="E7">
        <v>0</v>
      </c>
      <c r="F7">
        <v>500000</v>
      </c>
      <c r="G7">
        <v>1000000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>
      <c r="A8" s="1">
        <v>2022</v>
      </c>
      <c r="B8">
        <v>0</v>
      </c>
      <c r="C8">
        <v>500000</v>
      </c>
      <c r="D8">
        <v>1000000</v>
      </c>
      <c r="E8">
        <v>0</v>
      </c>
      <c r="F8">
        <v>500000</v>
      </c>
      <c r="G8">
        <v>1000000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>
      <c r="A9" s="1">
        <v>2023</v>
      </c>
      <c r="B9">
        <v>0</v>
      </c>
      <c r="C9">
        <v>500000</v>
      </c>
      <c r="D9">
        <v>1000000</v>
      </c>
      <c r="E9">
        <v>0</v>
      </c>
      <c r="F9">
        <v>500000</v>
      </c>
      <c r="G9">
        <v>1000000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>
      <c r="A10" s="1">
        <v>2024</v>
      </c>
      <c r="B10">
        <v>0</v>
      </c>
      <c r="C10">
        <v>500000</v>
      </c>
      <c r="D10">
        <v>1000000</v>
      </c>
      <c r="E10">
        <v>0</v>
      </c>
      <c r="F10">
        <v>500000</v>
      </c>
      <c r="G10">
        <v>1000000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>
      <c r="A11" s="1">
        <v>2025</v>
      </c>
      <c r="B11">
        <v>0</v>
      </c>
      <c r="C11">
        <v>500000</v>
      </c>
      <c r="D11">
        <v>1000000</v>
      </c>
      <c r="E11">
        <v>0</v>
      </c>
      <c r="F11">
        <v>500000</v>
      </c>
      <c r="G11">
        <v>1000000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>
      <c r="A12" s="1">
        <v>2026</v>
      </c>
      <c r="B12">
        <v>0</v>
      </c>
      <c r="C12">
        <v>500000</v>
      </c>
      <c r="D12">
        <v>1000000</v>
      </c>
      <c r="E12">
        <v>0</v>
      </c>
      <c r="F12">
        <v>500000</v>
      </c>
      <c r="G12">
        <v>1000000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>
      <c r="A13" s="1">
        <v>2027</v>
      </c>
      <c r="B13">
        <v>0</v>
      </c>
      <c r="C13">
        <v>500000</v>
      </c>
      <c r="D13">
        <v>1000000</v>
      </c>
      <c r="E13">
        <v>0</v>
      </c>
      <c r="F13">
        <v>500000</v>
      </c>
      <c r="G13">
        <v>1000000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>
      <c r="A14" s="1">
        <v>2028</v>
      </c>
      <c r="B14">
        <v>0</v>
      </c>
      <c r="C14">
        <v>500000</v>
      </c>
      <c r="D14">
        <v>1000000</v>
      </c>
      <c r="E14">
        <v>0</v>
      </c>
      <c r="F14">
        <v>500000</v>
      </c>
      <c r="G14">
        <v>1000000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>
      <c r="A15" s="1">
        <v>2029</v>
      </c>
      <c r="B15">
        <v>0</v>
      </c>
      <c r="C15">
        <v>500000</v>
      </c>
      <c r="D15">
        <v>1000000</v>
      </c>
      <c r="E15">
        <v>0</v>
      </c>
      <c r="F15">
        <v>500000</v>
      </c>
      <c r="G15">
        <v>1000000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>
      <c r="A16" s="1">
        <v>2030</v>
      </c>
      <c r="B16">
        <v>0</v>
      </c>
      <c r="C16">
        <v>500000</v>
      </c>
      <c r="D16">
        <v>1000000</v>
      </c>
      <c r="E16">
        <v>0</v>
      </c>
      <c r="F16">
        <v>500000</v>
      </c>
      <c r="G16">
        <v>1000000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>
      <c r="A17" s="1">
        <v>2031</v>
      </c>
      <c r="B17">
        <v>0</v>
      </c>
      <c r="C17">
        <v>500000</v>
      </c>
      <c r="D17">
        <v>1000000</v>
      </c>
      <c r="E17">
        <v>0</v>
      </c>
      <c r="F17">
        <v>500000</v>
      </c>
      <c r="G17">
        <v>1000000</v>
      </c>
      <c r="H17">
        <v>0</v>
      </c>
      <c r="I17">
        <v>0</v>
      </c>
      <c r="J17">
        <v>4200000</v>
      </c>
      <c r="K17">
        <v>0</v>
      </c>
      <c r="L17">
        <v>0</v>
      </c>
      <c r="M17">
        <v>4200000</v>
      </c>
    </row>
    <row r="18" spans="1:13">
      <c r="A18" s="1">
        <v>2032</v>
      </c>
      <c r="B18">
        <v>0</v>
      </c>
      <c r="C18">
        <v>500000</v>
      </c>
      <c r="D18">
        <v>1000000</v>
      </c>
      <c r="E18">
        <v>0</v>
      </c>
      <c r="F18">
        <v>500000</v>
      </c>
      <c r="G18">
        <v>1000000</v>
      </c>
      <c r="H18">
        <v>0</v>
      </c>
      <c r="I18">
        <v>0</v>
      </c>
      <c r="J18">
        <v>4200000</v>
      </c>
      <c r="K18">
        <v>0</v>
      </c>
      <c r="L18">
        <v>0</v>
      </c>
      <c r="M18">
        <v>4200000</v>
      </c>
    </row>
    <row r="19" spans="1:13">
      <c r="A19" s="1">
        <v>2033</v>
      </c>
      <c r="B19">
        <v>0</v>
      </c>
      <c r="C19">
        <v>500000</v>
      </c>
      <c r="D19">
        <v>1000000</v>
      </c>
      <c r="E19">
        <v>0</v>
      </c>
      <c r="F19">
        <v>500000</v>
      </c>
      <c r="G19">
        <v>1000000</v>
      </c>
      <c r="H19">
        <v>0</v>
      </c>
      <c r="I19">
        <v>0</v>
      </c>
      <c r="J19">
        <v>4200000</v>
      </c>
      <c r="K19">
        <v>0</v>
      </c>
      <c r="L19">
        <v>0</v>
      </c>
      <c r="M19">
        <v>4200000</v>
      </c>
    </row>
    <row r="20" spans="1:13">
      <c r="A20" s="1">
        <v>2034</v>
      </c>
      <c r="B20">
        <v>0</v>
      </c>
      <c r="C20">
        <v>500000</v>
      </c>
      <c r="D20">
        <v>1000000</v>
      </c>
      <c r="E20">
        <v>0</v>
      </c>
      <c r="F20">
        <v>500000</v>
      </c>
      <c r="G20">
        <v>1000000</v>
      </c>
      <c r="H20">
        <v>0</v>
      </c>
      <c r="I20">
        <v>0</v>
      </c>
      <c r="J20">
        <v>4200000</v>
      </c>
      <c r="K20">
        <v>0</v>
      </c>
      <c r="L20">
        <v>0</v>
      </c>
      <c r="M20">
        <v>4200000</v>
      </c>
    </row>
    <row r="21" spans="1:13">
      <c r="A21" s="1">
        <v>2035</v>
      </c>
      <c r="B21">
        <v>0</v>
      </c>
      <c r="C21">
        <v>500000</v>
      </c>
      <c r="D21">
        <v>1000000</v>
      </c>
      <c r="E21">
        <v>0</v>
      </c>
      <c r="F21">
        <v>500000</v>
      </c>
      <c r="G21">
        <v>1000000</v>
      </c>
      <c r="H21">
        <v>0</v>
      </c>
      <c r="I21">
        <v>0</v>
      </c>
      <c r="J21">
        <v>4200000</v>
      </c>
      <c r="K21">
        <v>0</v>
      </c>
      <c r="L21">
        <v>0</v>
      </c>
      <c r="M21">
        <v>4200000</v>
      </c>
    </row>
    <row r="22" spans="1:13">
      <c r="A22" s="1">
        <v>2036</v>
      </c>
      <c r="B22">
        <v>0</v>
      </c>
      <c r="C22">
        <v>500000</v>
      </c>
      <c r="D22">
        <v>1000000</v>
      </c>
      <c r="E22">
        <v>0</v>
      </c>
      <c r="F22">
        <v>500000</v>
      </c>
      <c r="G22">
        <v>1000000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>
      <c r="A23" s="1">
        <v>2037</v>
      </c>
      <c r="B23">
        <v>0</v>
      </c>
      <c r="C23">
        <v>500000</v>
      </c>
      <c r="D23">
        <v>1000000</v>
      </c>
      <c r="E23">
        <v>0</v>
      </c>
      <c r="F23">
        <v>500000</v>
      </c>
      <c r="G23">
        <v>1000000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>
      <c r="A24" s="1">
        <v>2038</v>
      </c>
      <c r="B24">
        <v>0</v>
      </c>
      <c r="C24">
        <v>500000</v>
      </c>
      <c r="D24">
        <v>1000000</v>
      </c>
      <c r="E24">
        <v>0</v>
      </c>
      <c r="F24">
        <v>500000</v>
      </c>
      <c r="G24">
        <v>1000000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>
      <c r="A25" s="1">
        <v>2039</v>
      </c>
      <c r="B25">
        <v>0</v>
      </c>
      <c r="C25">
        <v>500000</v>
      </c>
      <c r="D25">
        <v>1000000</v>
      </c>
      <c r="E25">
        <v>0</v>
      </c>
      <c r="F25">
        <v>500000</v>
      </c>
      <c r="G25">
        <v>1000000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>
      <c r="A26" s="1">
        <v>2040</v>
      </c>
      <c r="B26">
        <v>0</v>
      </c>
      <c r="C26">
        <v>500000</v>
      </c>
      <c r="D26">
        <v>1000000</v>
      </c>
      <c r="E26">
        <v>0</v>
      </c>
      <c r="F26">
        <v>500000</v>
      </c>
      <c r="G26">
        <v>1000000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>
      <c r="A27" s="1">
        <v>2041</v>
      </c>
      <c r="B27">
        <v>0</v>
      </c>
      <c r="C27">
        <v>500000</v>
      </c>
      <c r="D27">
        <v>1000000</v>
      </c>
      <c r="E27">
        <v>0</v>
      </c>
      <c r="F27">
        <v>500000</v>
      </c>
      <c r="G27">
        <v>1000000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3">
      <c r="A28" s="1">
        <v>2042</v>
      </c>
      <c r="B28">
        <v>0</v>
      </c>
      <c r="C28">
        <v>500000</v>
      </c>
      <c r="D28">
        <v>1000000</v>
      </c>
      <c r="E28">
        <v>0</v>
      </c>
      <c r="F28">
        <v>500000</v>
      </c>
      <c r="G28">
        <v>1000000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13">
      <c r="A29" s="1">
        <v>2043</v>
      </c>
      <c r="B29">
        <v>0</v>
      </c>
      <c r="C29">
        <v>500000</v>
      </c>
      <c r="D29">
        <v>1000000</v>
      </c>
      <c r="E29">
        <v>0</v>
      </c>
      <c r="F29">
        <v>500000</v>
      </c>
      <c r="G29">
        <v>1000000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>
      <c r="A30" s="1">
        <v>2044</v>
      </c>
      <c r="B30">
        <v>0</v>
      </c>
      <c r="C30">
        <v>500000</v>
      </c>
      <c r="D30">
        <v>1000000</v>
      </c>
      <c r="E30">
        <v>0</v>
      </c>
      <c r="F30">
        <v>500000</v>
      </c>
      <c r="G30">
        <v>1000000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</row>
    <row r="31" spans="1:13">
      <c r="A31" s="1">
        <v>2045</v>
      </c>
      <c r="B31">
        <v>0</v>
      </c>
      <c r="C31">
        <v>500000</v>
      </c>
      <c r="D31">
        <v>1000000</v>
      </c>
      <c r="E31">
        <v>0</v>
      </c>
      <c r="F31">
        <v>500000</v>
      </c>
      <c r="G31">
        <v>1000000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>
      <c r="A32" s="1">
        <v>2046</v>
      </c>
      <c r="B32">
        <v>0</v>
      </c>
      <c r="C32">
        <v>500000</v>
      </c>
      <c r="D32">
        <v>1000000</v>
      </c>
      <c r="E32">
        <v>0</v>
      </c>
      <c r="F32">
        <v>500000</v>
      </c>
      <c r="G32">
        <v>1000000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</row>
    <row r="33" spans="1:13">
      <c r="A33" s="1">
        <v>2047</v>
      </c>
      <c r="B33">
        <v>0</v>
      </c>
      <c r="C33">
        <v>500000</v>
      </c>
      <c r="D33">
        <v>1000000</v>
      </c>
      <c r="E33">
        <v>0</v>
      </c>
      <c r="F33">
        <v>500000</v>
      </c>
      <c r="G33">
        <v>1000000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</row>
    <row r="34" spans="1:13">
      <c r="A34" s="1">
        <v>2048</v>
      </c>
      <c r="B34">
        <v>0</v>
      </c>
      <c r="C34">
        <v>500000</v>
      </c>
      <c r="D34">
        <v>1000000</v>
      </c>
      <c r="E34">
        <v>0</v>
      </c>
      <c r="F34">
        <v>500000</v>
      </c>
      <c r="G34">
        <v>1000000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>
      <c r="A35" s="1">
        <v>2049</v>
      </c>
      <c r="B35">
        <v>0</v>
      </c>
      <c r="C35">
        <v>500000</v>
      </c>
      <c r="D35">
        <v>1000000</v>
      </c>
      <c r="E35">
        <v>0</v>
      </c>
      <c r="F35">
        <v>500000</v>
      </c>
      <c r="G35">
        <v>1000000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>
      <c r="A36" s="1">
        <v>2050</v>
      </c>
      <c r="B36">
        <v>0</v>
      </c>
      <c r="C36">
        <v>500000</v>
      </c>
      <c r="D36">
        <v>1000000</v>
      </c>
      <c r="E36">
        <v>0</v>
      </c>
      <c r="F36">
        <v>500000</v>
      </c>
      <c r="G36">
        <v>1000000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</sheetData>
  <mergeCells count="6">
    <mergeCell ref="B2:G2"/>
    <mergeCell ref="H2:M2"/>
    <mergeCell ref="B3:D3"/>
    <mergeCell ref="E3:G3"/>
    <mergeCell ref="H3:J3"/>
    <mergeCell ref="K3: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ForEViews</vt:lpstr>
      <vt:lpstr>drr_impact_channel_KHM</vt:lpstr>
      <vt:lpstr>agri_impact_channel_KHM</vt:lpstr>
      <vt:lpstr>hydropower_impact_channel_KHM</vt:lpstr>
      <vt:lpstr>scenario_costs_KHM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2026-04-20T08:53:32Z</dcterms:created>
  <dcterms:modified xsi:type="dcterms:W3CDTF">2026-04-20T08:53:32Z</dcterms:modified>
</cp:coreProperties>
</file>