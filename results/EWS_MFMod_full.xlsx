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results/"/>
    </mc:Choice>
  </mc:AlternateContent>
  <xr:revisionPtr revIDLastSave="0" documentId="13_ncr:1_{AFDB7AB8-FA99-4C43-9E6F-019F62C802A5}" xr6:coauthVersionLast="47" xr6:coauthVersionMax="47" xr10:uidLastSave="{00000000-0000-0000-0000-000000000000}"/>
  <bookViews>
    <workbookView xWindow="0" yWindow="680" windowWidth="29400" windowHeight="17340" activeTab="8" xr2:uid="{2EC56365-9625-4159-A662-61D3C1071C46}"/>
  </bookViews>
  <sheets>
    <sheet name="MFModRaw" sheetId="1" r:id="rId1"/>
    <sheet name="All" sheetId="2" r:id="rId2"/>
    <sheet name="DRR" sheetId="3" r:id="rId3"/>
    <sheet name="AGR" sheetId="5" r:id="rId4"/>
    <sheet name="HYD" sheetId="6" r:id="rId5"/>
    <sheet name="INPUT_DRR" sheetId="8" r:id="rId6"/>
    <sheet name="INPUT_HYD" sheetId="9" r:id="rId7"/>
    <sheet name="INPUT_AGR" sheetId="10" r:id="rId8"/>
    <sheet name="INPUT_COST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6" l="1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B9" i="6" a="1"/>
  <c r="B9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B6" i="6" a="1"/>
  <c r="B6" i="6" s="1"/>
  <c r="H5" i="6" a="1"/>
  <c r="H5" i="6" s="1"/>
  <c r="G5" i="6" a="1"/>
  <c r="G5" i="6" s="1"/>
  <c r="F5" i="6" a="1"/>
  <c r="F5" i="6" s="1"/>
  <c r="E5" i="6" a="1"/>
  <c r="E5" i="6" s="1"/>
  <c r="D5" i="6" a="1"/>
  <c r="D5" i="6" s="1"/>
  <c r="C5" i="6" a="1"/>
  <c r="C5" i="6" s="1"/>
  <c r="B5" i="6" a="1"/>
  <c r="B5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B4" i="6" a="1"/>
  <c r="B4" i="6" s="1"/>
  <c r="H3" i="6" a="1"/>
  <c r="H3" i="6" s="1"/>
  <c r="G3" i="6" a="1"/>
  <c r="G3" i="6" s="1"/>
  <c r="F3" i="6" a="1"/>
  <c r="F3" i="6" s="1"/>
  <c r="E3" i="6" a="1"/>
  <c r="E3" i="6" s="1"/>
  <c r="D3" i="6" a="1"/>
  <c r="D3" i="6" s="1"/>
  <c r="C3" i="6" a="1"/>
  <c r="C3" i="6" s="1"/>
  <c r="B3" i="6" a="1"/>
  <c r="B3" i="6" s="1"/>
  <c r="Q2" i="6"/>
  <c r="P2" i="6"/>
  <c r="O2" i="6"/>
  <c r="N2" i="6"/>
  <c r="M2" i="6"/>
  <c r="L2" i="6"/>
  <c r="H38" i="5" a="1"/>
  <c r="H38" i="5" s="1"/>
  <c r="G38" i="5" a="1"/>
  <c r="G38" i="5" s="1"/>
  <c r="F38" i="5" a="1"/>
  <c r="F38" i="5" s="1"/>
  <c r="E38" i="5" a="1"/>
  <c r="E38" i="5" s="1"/>
  <c r="D38" i="5" a="1"/>
  <c r="D38" i="5" s="1"/>
  <c r="C38" i="5" a="1"/>
  <c r="C38" i="5" s="1"/>
  <c r="B38" i="5" a="1"/>
  <c r="B38" i="5" s="1"/>
  <c r="H37" i="5" a="1"/>
  <c r="H37" i="5" s="1"/>
  <c r="G37" i="5" a="1"/>
  <c r="G37" i="5" s="1"/>
  <c r="F37" i="5" a="1"/>
  <c r="F37" i="5" s="1"/>
  <c r="E37" i="5" a="1"/>
  <c r="E37" i="5" s="1"/>
  <c r="D37" i="5" a="1"/>
  <c r="D37" i="5" s="1"/>
  <c r="C37" i="5" a="1"/>
  <c r="C37" i="5" s="1"/>
  <c r="B37" i="5" a="1"/>
  <c r="B37" i="5" s="1"/>
  <c r="H36" i="5" a="1"/>
  <c r="H36" i="5" s="1"/>
  <c r="G36" i="5" a="1"/>
  <c r="G36" i="5" s="1"/>
  <c r="F36" i="5" a="1"/>
  <c r="F36" i="5" s="1"/>
  <c r="E36" i="5" a="1"/>
  <c r="E36" i="5" s="1"/>
  <c r="D36" i="5" a="1"/>
  <c r="D36" i="5" s="1"/>
  <c r="C36" i="5" a="1"/>
  <c r="C36" i="5" s="1"/>
  <c r="B36" i="5" a="1"/>
  <c r="B36" i="5" s="1"/>
  <c r="H35" i="5" a="1"/>
  <c r="H35" i="5" s="1"/>
  <c r="G35" i="5" a="1"/>
  <c r="G35" i="5" s="1"/>
  <c r="F35" i="5" a="1"/>
  <c r="F35" i="5" s="1"/>
  <c r="E35" i="5" a="1"/>
  <c r="E35" i="5" s="1"/>
  <c r="D35" i="5" a="1"/>
  <c r="D35" i="5" s="1"/>
  <c r="C35" i="5" a="1"/>
  <c r="C35" i="5" s="1"/>
  <c r="B35" i="5" a="1"/>
  <c r="B35" i="5" s="1"/>
  <c r="H34" i="5" a="1"/>
  <c r="H34" i="5" s="1"/>
  <c r="G34" i="5" a="1"/>
  <c r="G34" i="5" s="1"/>
  <c r="F34" i="5" a="1"/>
  <c r="F34" i="5" s="1"/>
  <c r="E34" i="5" a="1"/>
  <c r="E34" i="5" s="1"/>
  <c r="D34" i="5" a="1"/>
  <c r="D34" i="5" s="1"/>
  <c r="C34" i="5" a="1"/>
  <c r="C34" i="5" s="1"/>
  <c r="B34" i="5" a="1"/>
  <c r="B34" i="5" s="1"/>
  <c r="H33" i="5" a="1"/>
  <c r="H33" i="5" s="1"/>
  <c r="G33" i="5" a="1"/>
  <c r="G33" i="5" s="1"/>
  <c r="F33" i="5" a="1"/>
  <c r="F33" i="5" s="1"/>
  <c r="E33" i="5" a="1"/>
  <c r="E33" i="5" s="1"/>
  <c r="D33" i="5" a="1"/>
  <c r="D33" i="5" s="1"/>
  <c r="C33" i="5" a="1"/>
  <c r="C33" i="5" s="1"/>
  <c r="B33" i="5" a="1"/>
  <c r="B33" i="5" s="1"/>
  <c r="H32" i="5" a="1"/>
  <c r="H32" i="5" s="1"/>
  <c r="G32" i="5" a="1"/>
  <c r="G32" i="5" s="1"/>
  <c r="F32" i="5" a="1"/>
  <c r="F32" i="5" s="1"/>
  <c r="E32" i="5" a="1"/>
  <c r="E32" i="5" s="1"/>
  <c r="D32" i="5" a="1"/>
  <c r="D32" i="5" s="1"/>
  <c r="C32" i="5" a="1"/>
  <c r="C32" i="5" s="1"/>
  <c r="B32" i="5" a="1"/>
  <c r="B32" i="5" s="1"/>
  <c r="H31" i="5" a="1"/>
  <c r="H31" i="5" s="1"/>
  <c r="G31" i="5" a="1"/>
  <c r="G31" i="5" s="1"/>
  <c r="F31" i="5" a="1"/>
  <c r="F31" i="5" s="1"/>
  <c r="E31" i="5" a="1"/>
  <c r="E31" i="5" s="1"/>
  <c r="D31" i="5" a="1"/>
  <c r="D31" i="5" s="1"/>
  <c r="C31" i="5" a="1"/>
  <c r="C31" i="5" s="1"/>
  <c r="B31" i="5" a="1"/>
  <c r="B31" i="5" s="1"/>
  <c r="H30" i="5" a="1"/>
  <c r="H30" i="5" s="1"/>
  <c r="G30" i="5" a="1"/>
  <c r="G30" i="5" s="1"/>
  <c r="F30" i="5" a="1"/>
  <c r="F30" i="5" s="1"/>
  <c r="E30" i="5" a="1"/>
  <c r="E30" i="5" s="1"/>
  <c r="D30" i="5" a="1"/>
  <c r="D30" i="5" s="1"/>
  <c r="C30" i="5" a="1"/>
  <c r="C30" i="5" s="1"/>
  <c r="B30" i="5" a="1"/>
  <c r="B30" i="5" s="1"/>
  <c r="H29" i="5" a="1"/>
  <c r="H29" i="5" s="1"/>
  <c r="G29" i="5" a="1"/>
  <c r="G29" i="5" s="1"/>
  <c r="F29" i="5" a="1"/>
  <c r="F29" i="5" s="1"/>
  <c r="E29" i="5" a="1"/>
  <c r="E29" i="5" s="1"/>
  <c r="D29" i="5" a="1"/>
  <c r="D29" i="5" s="1"/>
  <c r="C29" i="5" a="1"/>
  <c r="C29" i="5" s="1"/>
  <c r="B29" i="5" a="1"/>
  <c r="B29" i="5" s="1"/>
  <c r="H28" i="5" a="1"/>
  <c r="H28" i="5" s="1"/>
  <c r="G28" i="5" a="1"/>
  <c r="G28" i="5" s="1"/>
  <c r="F28" i="5" a="1"/>
  <c r="F28" i="5" s="1"/>
  <c r="E28" i="5" a="1"/>
  <c r="E28" i="5" s="1"/>
  <c r="D28" i="5" a="1"/>
  <c r="D28" i="5" s="1"/>
  <c r="C28" i="5" a="1"/>
  <c r="C28" i="5" s="1"/>
  <c r="B28" i="5" a="1"/>
  <c r="B28" i="5" s="1"/>
  <c r="H27" i="5" a="1"/>
  <c r="H27" i="5" s="1"/>
  <c r="G27" i="5" a="1"/>
  <c r="G27" i="5" s="1"/>
  <c r="F27" i="5" a="1"/>
  <c r="F27" i="5" s="1"/>
  <c r="E27" i="5" a="1"/>
  <c r="E27" i="5" s="1"/>
  <c r="D27" i="5" a="1"/>
  <c r="D27" i="5" s="1"/>
  <c r="C27" i="5" a="1"/>
  <c r="C27" i="5" s="1"/>
  <c r="B27" i="5" a="1"/>
  <c r="B27" i="5" s="1"/>
  <c r="H26" i="5" a="1"/>
  <c r="H26" i="5" s="1"/>
  <c r="G26" i="5" a="1"/>
  <c r="G26" i="5" s="1"/>
  <c r="F26" i="5" a="1"/>
  <c r="F26" i="5" s="1"/>
  <c r="E26" i="5" a="1"/>
  <c r="E26" i="5" s="1"/>
  <c r="D26" i="5" a="1"/>
  <c r="D26" i="5" s="1"/>
  <c r="C26" i="5" a="1"/>
  <c r="C26" i="5" s="1"/>
  <c r="B26" i="5" a="1"/>
  <c r="B26" i="5" s="1"/>
  <c r="H25" i="5" a="1"/>
  <c r="H25" i="5" s="1"/>
  <c r="G25" i="5" a="1"/>
  <c r="G25" i="5" s="1"/>
  <c r="F25" i="5" a="1"/>
  <c r="F25" i="5" s="1"/>
  <c r="E25" i="5" a="1"/>
  <c r="E25" i="5" s="1"/>
  <c r="D25" i="5" a="1"/>
  <c r="D25" i="5" s="1"/>
  <c r="C25" i="5" a="1"/>
  <c r="C25" i="5" s="1"/>
  <c r="B25" i="5" a="1"/>
  <c r="B25" i="5" s="1"/>
  <c r="H24" i="5" a="1"/>
  <c r="H24" i="5" s="1"/>
  <c r="G24" i="5" a="1"/>
  <c r="G24" i="5" s="1"/>
  <c r="F24" i="5" a="1"/>
  <c r="F24" i="5" s="1"/>
  <c r="E24" i="5" a="1"/>
  <c r="E24" i="5" s="1"/>
  <c r="D24" i="5" a="1"/>
  <c r="D24" i="5" s="1"/>
  <c r="C24" i="5" a="1"/>
  <c r="C24" i="5" s="1"/>
  <c r="B24" i="5" a="1"/>
  <c r="B24" i="5" s="1"/>
  <c r="H23" i="5" a="1"/>
  <c r="H23" i="5" s="1"/>
  <c r="G23" i="5" a="1"/>
  <c r="G23" i="5" s="1"/>
  <c r="F23" i="5" a="1"/>
  <c r="F23" i="5" s="1"/>
  <c r="E23" i="5" a="1"/>
  <c r="E23" i="5" s="1"/>
  <c r="D23" i="5" a="1"/>
  <c r="D23" i="5" s="1"/>
  <c r="C23" i="5" a="1"/>
  <c r="C23" i="5" s="1"/>
  <c r="B23" i="5" a="1"/>
  <c r="B23" i="5" s="1"/>
  <c r="H22" i="5" a="1"/>
  <c r="H22" i="5" s="1"/>
  <c r="G22" i="5" a="1"/>
  <c r="G22" i="5" s="1"/>
  <c r="F22" i="5" a="1"/>
  <c r="F22" i="5" s="1"/>
  <c r="E22" i="5" a="1"/>
  <c r="E22" i="5" s="1"/>
  <c r="D22" i="5" a="1"/>
  <c r="D22" i="5" s="1"/>
  <c r="C22" i="5" a="1"/>
  <c r="C22" i="5" s="1"/>
  <c r="B22" i="5" a="1"/>
  <c r="B22" i="5" s="1"/>
  <c r="H21" i="5" a="1"/>
  <c r="H21" i="5" s="1"/>
  <c r="G21" i="5" a="1"/>
  <c r="G21" i="5" s="1"/>
  <c r="F21" i="5" a="1"/>
  <c r="F21" i="5" s="1"/>
  <c r="E21" i="5" a="1"/>
  <c r="E21" i="5" s="1"/>
  <c r="D21" i="5" a="1"/>
  <c r="D21" i="5" s="1"/>
  <c r="C21" i="5" a="1"/>
  <c r="C21" i="5" s="1"/>
  <c r="B21" i="5" a="1"/>
  <c r="B21" i="5" s="1"/>
  <c r="H20" i="5" a="1"/>
  <c r="H20" i="5" s="1"/>
  <c r="G20" i="5" a="1"/>
  <c r="G20" i="5" s="1"/>
  <c r="F20" i="5" a="1"/>
  <c r="F20" i="5" s="1"/>
  <c r="E20" i="5" a="1"/>
  <c r="E20" i="5" s="1"/>
  <c r="D20" i="5" a="1"/>
  <c r="D20" i="5" s="1"/>
  <c r="C20" i="5" a="1"/>
  <c r="C20" i="5" s="1"/>
  <c r="B20" i="5" a="1"/>
  <c r="B20" i="5" s="1"/>
  <c r="H19" i="5" a="1"/>
  <c r="H19" i="5" s="1"/>
  <c r="G19" i="5" a="1"/>
  <c r="G19" i="5" s="1"/>
  <c r="F19" i="5" a="1"/>
  <c r="F19" i="5" s="1"/>
  <c r="E19" i="5" a="1"/>
  <c r="E19" i="5" s="1"/>
  <c r="D19" i="5" a="1"/>
  <c r="D19" i="5" s="1"/>
  <c r="C19" i="5" a="1"/>
  <c r="C19" i="5" s="1"/>
  <c r="B19" i="5" a="1"/>
  <c r="B19" i="5" s="1"/>
  <c r="H18" i="5" a="1"/>
  <c r="H18" i="5" s="1"/>
  <c r="G18" i="5" a="1"/>
  <c r="G18" i="5" s="1"/>
  <c r="F18" i="5" a="1"/>
  <c r="F18" i="5" s="1"/>
  <c r="E18" i="5" a="1"/>
  <c r="E18" i="5" s="1"/>
  <c r="D18" i="5" a="1"/>
  <c r="D18" i="5" s="1"/>
  <c r="C18" i="5" a="1"/>
  <c r="C18" i="5" s="1"/>
  <c r="B18" i="5" a="1"/>
  <c r="B18" i="5" s="1"/>
  <c r="H17" i="5" a="1"/>
  <c r="H17" i="5" s="1"/>
  <c r="G17" i="5" a="1"/>
  <c r="G17" i="5" s="1"/>
  <c r="F17" i="5" a="1"/>
  <c r="F17" i="5" s="1"/>
  <c r="E17" i="5" a="1"/>
  <c r="E17" i="5" s="1"/>
  <c r="D17" i="5" a="1"/>
  <c r="D17" i="5" s="1"/>
  <c r="C17" i="5" a="1"/>
  <c r="C17" i="5" s="1"/>
  <c r="B17" i="5" a="1"/>
  <c r="B17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B16" i="5" a="1"/>
  <c r="B16" i="5" s="1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B15" i="5" a="1"/>
  <c r="B15" i="5" s="1"/>
  <c r="H14" i="5" a="1"/>
  <c r="H14" i="5" s="1"/>
  <c r="G14" i="5" a="1"/>
  <c r="G14" i="5" s="1"/>
  <c r="F14" i="5" a="1"/>
  <c r="F14" i="5" s="1"/>
  <c r="E14" i="5" a="1"/>
  <c r="E14" i="5" s="1"/>
  <c r="D14" i="5" a="1"/>
  <c r="D14" i="5" s="1"/>
  <c r="C14" i="5" a="1"/>
  <c r="C14" i="5" s="1"/>
  <c r="B14" i="5" a="1"/>
  <c r="B14" i="5" s="1"/>
  <c r="H13" i="5" a="1"/>
  <c r="H13" i="5" s="1"/>
  <c r="Q13" i="5" s="1"/>
  <c r="G13" i="5" a="1"/>
  <c r="G13" i="5" s="1"/>
  <c r="F13" i="5" a="1"/>
  <c r="F13" i="5" s="1"/>
  <c r="E13" i="5" a="1"/>
  <c r="E13" i="5" s="1"/>
  <c r="D13" i="5" a="1"/>
  <c r="D13" i="5" s="1"/>
  <c r="C13" i="5" a="1"/>
  <c r="C13" i="5" s="1"/>
  <c r="B13" i="5" a="1"/>
  <c r="B13" i="5" s="1"/>
  <c r="H12" i="5" a="1"/>
  <c r="H12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B12" i="5" a="1"/>
  <c r="B12" i="5" s="1"/>
  <c r="H11" i="5" a="1"/>
  <c r="H11" i="5" s="1"/>
  <c r="G11" i="5" a="1"/>
  <c r="G11" i="5" s="1"/>
  <c r="F11" i="5" a="1"/>
  <c r="F11" i="5" s="1"/>
  <c r="E11" i="5" a="1"/>
  <c r="E11" i="5" s="1"/>
  <c r="D11" i="5" a="1"/>
  <c r="D11" i="5" s="1"/>
  <c r="C11" i="5" a="1"/>
  <c r="C11" i="5" s="1"/>
  <c r="B11" i="5" a="1"/>
  <c r="B11" i="5" s="1"/>
  <c r="H10" i="5" a="1"/>
  <c r="H10" i="5" s="1"/>
  <c r="G10" i="5" a="1"/>
  <c r="G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H9" i="5" a="1"/>
  <c r="H9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B9" i="5" a="1"/>
  <c r="B9" i="5" s="1"/>
  <c r="H8" i="5" a="1"/>
  <c r="H8" i="5" s="1"/>
  <c r="G8" i="5" a="1"/>
  <c r="G8" i="5" s="1"/>
  <c r="F8" i="5" a="1"/>
  <c r="F8" i="5" s="1"/>
  <c r="E8" i="5" a="1"/>
  <c r="E8" i="5" s="1"/>
  <c r="D8" i="5" a="1"/>
  <c r="D8" i="5" s="1"/>
  <c r="C8" i="5" a="1"/>
  <c r="C8" i="5" s="1"/>
  <c r="B8" i="5" a="1"/>
  <c r="B8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B7" i="5" a="1"/>
  <c r="B7" i="5" s="1"/>
  <c r="H6" i="5" a="1"/>
  <c r="H6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B6" i="5" a="1"/>
  <c r="B6" i="5" s="1"/>
  <c r="H5" i="5" a="1"/>
  <c r="H5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B5" i="5" a="1"/>
  <c r="B5" i="5" s="1"/>
  <c r="H4" i="5" a="1"/>
  <c r="H4" i="5" s="1"/>
  <c r="G4" i="5" a="1"/>
  <c r="G4" i="5" s="1"/>
  <c r="F4" i="5" a="1"/>
  <c r="F4" i="5" s="1"/>
  <c r="E4" i="5" a="1"/>
  <c r="E4" i="5" s="1"/>
  <c r="D4" i="5" a="1"/>
  <c r="D4" i="5" s="1"/>
  <c r="C4" i="5" a="1"/>
  <c r="C4" i="5" s="1"/>
  <c r="B4" i="5" a="1"/>
  <c r="B4" i="5" s="1"/>
  <c r="H3" i="5" a="1"/>
  <c r="H3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  <c r="Q2" i="5"/>
  <c r="P2" i="5"/>
  <c r="O2" i="5"/>
  <c r="N2" i="5"/>
  <c r="M2" i="5"/>
  <c r="L2" i="5"/>
  <c r="Q21" i="2"/>
  <c r="N30" i="2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M36" i="3" s="1"/>
  <c r="C36" i="3" a="1"/>
  <c r="C36" i="3" s="1"/>
  <c r="B36" i="3" a="1"/>
  <c r="B36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O35" i="3" s="1"/>
  <c r="H34" i="3" a="1"/>
  <c r="H34" i="3" s="1"/>
  <c r="G34" i="3" a="1"/>
  <c r="G34" i="3" s="1"/>
  <c r="P34" i="3" s="1"/>
  <c r="F34" i="3" a="1"/>
  <c r="F34" i="3" s="1"/>
  <c r="E34" i="3" a="1"/>
  <c r="E34" i="3" s="1"/>
  <c r="D34" i="3" a="1"/>
  <c r="D34" i="3" s="1"/>
  <c r="M34" i="3" s="1"/>
  <c r="C34" i="3" a="1"/>
  <c r="C34" i="3" s="1"/>
  <c r="B34" i="3" a="1"/>
  <c r="B34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P33" i="3" s="1"/>
  <c r="H32" i="3" a="1"/>
  <c r="H32" i="3" s="1"/>
  <c r="G32" i="3" a="1"/>
  <c r="G32" i="3" s="1"/>
  <c r="P32" i="3" s="1"/>
  <c r="F32" i="3" a="1"/>
  <c r="F32" i="3" s="1"/>
  <c r="E32" i="3" a="1"/>
  <c r="E32" i="3" s="1"/>
  <c r="D32" i="3" a="1"/>
  <c r="D32" i="3" s="1"/>
  <c r="M32" i="3" s="1"/>
  <c r="C32" i="3" a="1"/>
  <c r="C32" i="3" s="1"/>
  <c r="B32" i="3" a="1"/>
  <c r="B32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P31" i="3" s="1"/>
  <c r="H30" i="3" a="1"/>
  <c r="H30" i="3" s="1"/>
  <c r="G30" i="3" a="1"/>
  <c r="G30" i="3" s="1"/>
  <c r="P30" i="3" s="1"/>
  <c r="F30" i="3" a="1"/>
  <c r="F30" i="3" s="1"/>
  <c r="E30" i="3" a="1"/>
  <c r="E30" i="3" s="1"/>
  <c r="D30" i="3" a="1"/>
  <c r="D30" i="3" s="1"/>
  <c r="M30" i="3" s="1"/>
  <c r="C30" i="3" a="1"/>
  <c r="C30" i="3" s="1"/>
  <c r="B30" i="3" a="1"/>
  <c r="B30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B29" i="3" a="1"/>
  <c r="B29" i="3" s="1"/>
  <c r="P29" i="3" s="1"/>
  <c r="H28" i="3" a="1"/>
  <c r="H28" i="3" s="1"/>
  <c r="G28" i="3" a="1"/>
  <c r="G28" i="3" s="1"/>
  <c r="P28" i="3" s="1"/>
  <c r="F28" i="3" a="1"/>
  <c r="F28" i="3" s="1"/>
  <c r="E28" i="3" a="1"/>
  <c r="E28" i="3" s="1"/>
  <c r="D28" i="3" a="1"/>
  <c r="D28" i="3" s="1"/>
  <c r="M28" i="3" s="1"/>
  <c r="C28" i="3" a="1"/>
  <c r="C28" i="3" s="1"/>
  <c r="B28" i="3" a="1"/>
  <c r="B28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H26" i="3" a="1"/>
  <c r="H26" i="3" s="1"/>
  <c r="G26" i="3" a="1"/>
  <c r="G26" i="3" s="1"/>
  <c r="P26" i="3" s="1"/>
  <c r="F26" i="3" a="1"/>
  <c r="F26" i="3" s="1"/>
  <c r="E26" i="3" a="1"/>
  <c r="E26" i="3" s="1"/>
  <c r="D26" i="3" a="1"/>
  <c r="D26" i="3" s="1"/>
  <c r="M26" i="3" s="1"/>
  <c r="C26" i="3" a="1"/>
  <c r="C26" i="3" s="1"/>
  <c r="B26" i="3" a="1"/>
  <c r="B26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P25" i="3" s="1"/>
  <c r="H24" i="3" a="1"/>
  <c r="H24" i="3" s="1"/>
  <c r="G24" i="3" a="1"/>
  <c r="G24" i="3" s="1"/>
  <c r="P24" i="3" s="1"/>
  <c r="F24" i="3" a="1"/>
  <c r="F24" i="3" s="1"/>
  <c r="E24" i="3" a="1"/>
  <c r="E24" i="3" s="1"/>
  <c r="N24" i="3" s="1"/>
  <c r="D24" i="3" a="1"/>
  <c r="D24" i="3" s="1"/>
  <c r="M24" i="3" s="1"/>
  <c r="C24" i="3" a="1"/>
  <c r="C24" i="3" s="1"/>
  <c r="B24" i="3" a="1"/>
  <c r="B24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H22" i="3" a="1"/>
  <c r="H22" i="3" s="1"/>
  <c r="G22" i="3" a="1"/>
  <c r="G22" i="3" s="1"/>
  <c r="P22" i="3" s="1"/>
  <c r="F22" i="3" a="1"/>
  <c r="F22" i="3" s="1"/>
  <c r="E22" i="3" a="1"/>
  <c r="E22" i="3" s="1"/>
  <c r="N22" i="3" s="1"/>
  <c r="D22" i="3" a="1"/>
  <c r="D22" i="3" s="1"/>
  <c r="M22" i="3" s="1"/>
  <c r="C22" i="3" a="1"/>
  <c r="C22" i="3" s="1"/>
  <c r="B22" i="3" a="1"/>
  <c r="B22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H20" i="3" a="1"/>
  <c r="H20" i="3" s="1"/>
  <c r="G20" i="3" a="1"/>
  <c r="G20" i="3" s="1"/>
  <c r="P20" i="3" s="1"/>
  <c r="F20" i="3" a="1"/>
  <c r="F20" i="3" s="1"/>
  <c r="E20" i="3" a="1"/>
  <c r="E20" i="3" s="1"/>
  <c r="N20" i="3" s="1"/>
  <c r="D20" i="3" a="1"/>
  <c r="D20" i="3" s="1"/>
  <c r="M20" i="3" s="1"/>
  <c r="C20" i="3" a="1"/>
  <c r="C20" i="3" s="1"/>
  <c r="L20" i="3" s="1"/>
  <c r="B20" i="3" a="1"/>
  <c r="B20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O19" i="3" s="1"/>
  <c r="H18" i="3" a="1"/>
  <c r="H18" i="3" s="1"/>
  <c r="G18" i="3" a="1"/>
  <c r="G18" i="3" s="1"/>
  <c r="P18" i="3" s="1"/>
  <c r="F18" i="3" a="1"/>
  <c r="F18" i="3" s="1"/>
  <c r="E18" i="3" a="1"/>
  <c r="E18" i="3" s="1"/>
  <c r="N18" i="3" s="1"/>
  <c r="D18" i="3" a="1"/>
  <c r="D18" i="3" s="1"/>
  <c r="M18" i="3" s="1"/>
  <c r="C18" i="3" a="1"/>
  <c r="C18" i="3" s="1"/>
  <c r="L18" i="3" s="1"/>
  <c r="B18" i="3" a="1"/>
  <c r="B18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H14" i="3" a="1"/>
  <c r="H14" i="3" s="1"/>
  <c r="G14" i="3" a="1"/>
  <c r="G14" i="3" s="1"/>
  <c r="F14" i="3" a="1"/>
  <c r="F14" i="3" s="1"/>
  <c r="O14" i="3" s="1"/>
  <c r="E14" i="3" a="1"/>
  <c r="E14" i="3" s="1"/>
  <c r="N14" i="3" s="1"/>
  <c r="D14" i="3" a="1"/>
  <c r="D14" i="3" s="1"/>
  <c r="C14" i="3" a="1"/>
  <c r="C14" i="3" s="1"/>
  <c r="L14" i="3" s="1"/>
  <c r="B14" i="3" a="1"/>
  <c r="B14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B13" i="3" a="1"/>
  <c r="B13" i="3" s="1"/>
  <c r="M13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L11" i="3" s="1"/>
  <c r="H10" i="3" a="1"/>
  <c r="H10" i="3" s="1"/>
  <c r="G10" i="3" a="1"/>
  <c r="G10" i="3" s="1"/>
  <c r="F10" i="3" a="1"/>
  <c r="F10" i="3" s="1"/>
  <c r="E10" i="3" a="1"/>
  <c r="E10" i="3" s="1"/>
  <c r="N10" i="3" s="1"/>
  <c r="D10" i="3" a="1"/>
  <c r="D10" i="3" s="1"/>
  <c r="M10" i="3" s="1"/>
  <c r="C10" i="3" a="1"/>
  <c r="C10" i="3" s="1"/>
  <c r="B10" i="3" a="1"/>
  <c r="B10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B9" i="3" a="1"/>
  <c r="B9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B8" i="3" a="1"/>
  <c r="B8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B7" i="3" a="1"/>
  <c r="B7" i="3" s="1"/>
  <c r="H6" i="3" a="1"/>
  <c r="H6" i="3" s="1"/>
  <c r="G6" i="3" a="1"/>
  <c r="G6" i="3" s="1"/>
  <c r="F6" i="3" a="1"/>
  <c r="F6" i="3" s="1"/>
  <c r="E6" i="3" a="1"/>
  <c r="E6" i="3" s="1"/>
  <c r="N6" i="3" s="1"/>
  <c r="D6" i="3" a="1"/>
  <c r="D6" i="3" s="1"/>
  <c r="C6" i="3" a="1"/>
  <c r="C6" i="3" s="1"/>
  <c r="L6" i="3" s="1"/>
  <c r="B6" i="3" a="1"/>
  <c r="B6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H3" i="3" a="1"/>
  <c r="H3" i="3" s="1"/>
  <c r="G3" i="3" a="1"/>
  <c r="G3" i="3" s="1"/>
  <c r="F3" i="3" a="1"/>
  <c r="F3" i="3" s="1"/>
  <c r="E3" i="3" a="1"/>
  <c r="E3" i="3" s="1"/>
  <c r="D3" i="3" a="1"/>
  <c r="D3" i="3" s="1"/>
  <c r="C3" i="3" a="1"/>
  <c r="C3" i="3" s="1"/>
  <c r="B3" i="3" a="1"/>
  <c r="B3" i="3" s="1"/>
  <c r="Q2" i="3"/>
  <c r="P2" i="3"/>
  <c r="O2" i="3"/>
  <c r="N2" i="3"/>
  <c r="M2" i="3"/>
  <c r="L2" i="3"/>
  <c r="L2" i="2"/>
  <c r="M2" i="2"/>
  <c r="N2" i="2"/>
  <c r="O2" i="2"/>
  <c r="P2" i="2"/>
  <c r="Q2" i="2"/>
  <c r="B4" i="2" a="1"/>
  <c r="B4" i="2" s="1"/>
  <c r="P4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B5" i="2" a="1"/>
  <c r="B5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B6" i="2" a="1"/>
  <c r="B6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B7" i="2" a="1"/>
  <c r="B7" i="2"/>
  <c r="C7" i="2" a="1"/>
  <c r="C7" i="2" s="1"/>
  <c r="D7" i="2" a="1"/>
  <c r="D7" i="2"/>
  <c r="E7" i="2" a="1"/>
  <c r="E7" i="2" s="1"/>
  <c r="F7" i="2" a="1"/>
  <c r="F7" i="2" s="1"/>
  <c r="G7" i="2" a="1"/>
  <c r="G7" i="2" s="1"/>
  <c r="H7" i="2" a="1"/>
  <c r="H7" i="2" s="1"/>
  <c r="B8" i="2" a="1"/>
  <c r="B8" i="2" s="1"/>
  <c r="C8" i="2" a="1"/>
  <c r="C8" i="2" s="1"/>
  <c r="L8" i="2" s="1"/>
  <c r="D8" i="2" a="1"/>
  <c r="D8" i="2" s="1"/>
  <c r="M8" i="2" s="1"/>
  <c r="E8" i="2" a="1"/>
  <c r="E8" i="2" s="1"/>
  <c r="N8" i="2" s="1"/>
  <c r="F8" i="2" a="1"/>
  <c r="F8" i="2"/>
  <c r="O8" i="2" s="1"/>
  <c r="G8" i="2" a="1"/>
  <c r="G8" i="2" s="1"/>
  <c r="P8" i="2" s="1"/>
  <c r="H8" i="2" a="1"/>
  <c r="H8" i="2" s="1"/>
  <c r="Q8" i="2" s="1"/>
  <c r="B9" i="2" a="1"/>
  <c r="B9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B10" i="2" a="1"/>
  <c r="B10" i="2" s="1"/>
  <c r="C10" i="2" a="1"/>
  <c r="C10" i="2" s="1"/>
  <c r="L10" i="2" s="1"/>
  <c r="D10" i="2" a="1"/>
  <c r="D10" i="2" s="1"/>
  <c r="E10" i="2" a="1"/>
  <c r="E10" i="2"/>
  <c r="F10" i="2" a="1"/>
  <c r="F10" i="2" s="1"/>
  <c r="G10" i="2" a="1"/>
  <c r="G10" i="2" s="1"/>
  <c r="H10" i="2" a="1"/>
  <c r="H10" i="2" s="1"/>
  <c r="B11" i="2" a="1"/>
  <c r="B11" i="2" s="1"/>
  <c r="C11" i="2" a="1"/>
  <c r="C11" i="2" s="1"/>
  <c r="L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B12" i="2" a="1"/>
  <c r="B12" i="2" s="1"/>
  <c r="C12" i="2" a="1"/>
  <c r="C12" i="2" s="1"/>
  <c r="D12" i="2" a="1"/>
  <c r="D12" i="2"/>
  <c r="E12" i="2" a="1"/>
  <c r="E12" i="2" s="1"/>
  <c r="F12" i="2" a="1"/>
  <c r="F12" i="2" s="1"/>
  <c r="G12" i="2" a="1"/>
  <c r="G12" i="2" s="1"/>
  <c r="H12" i="2" a="1"/>
  <c r="H12" i="2" s="1"/>
  <c r="B13" i="2" a="1"/>
  <c r="B13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B14" i="2" a="1"/>
  <c r="B14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B15" i="2" a="1"/>
  <c r="B15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B16" i="2" a="1"/>
  <c r="B16" i="2" s="1"/>
  <c r="C16" i="2" a="1"/>
  <c r="C16" i="2" s="1"/>
  <c r="L16" i="2" s="1"/>
  <c r="D16" i="2" a="1"/>
  <c r="D16" i="2"/>
  <c r="E16" i="2" a="1"/>
  <c r="E16" i="2" s="1"/>
  <c r="F16" i="2" a="1"/>
  <c r="F16" i="2" s="1"/>
  <c r="O16" i="2" s="1"/>
  <c r="G16" i="2" a="1"/>
  <c r="G16" i="2" s="1"/>
  <c r="H16" i="2" a="1"/>
  <c r="H16" i="2" s="1"/>
  <c r="B17" i="2" a="1"/>
  <c r="B17" i="2" s="1"/>
  <c r="L17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B18" i="2" a="1"/>
  <c r="B18" i="2"/>
  <c r="C18" i="2" a="1"/>
  <c r="C18" i="2" s="1"/>
  <c r="L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B19" i="2" a="1"/>
  <c r="B19" i="2" s="1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 s="1"/>
  <c r="B20" i="2" a="1"/>
  <c r="B20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B21" i="2" a="1"/>
  <c r="B21" i="2"/>
  <c r="C21" i="2" a="1"/>
  <c r="C21" i="2" s="1"/>
  <c r="D21" i="2" a="1"/>
  <c r="D21" i="2" s="1"/>
  <c r="E21" i="2" a="1"/>
  <c r="E21" i="2" s="1"/>
  <c r="N21" i="2" s="1"/>
  <c r="F21" i="2" a="1"/>
  <c r="F21" i="2" s="1"/>
  <c r="G21" i="2" a="1"/>
  <c r="G21" i="2" s="1"/>
  <c r="H21" i="2" a="1"/>
  <c r="H21" i="2" s="1"/>
  <c r="B22" i="2" a="1"/>
  <c r="B22" i="2" s="1"/>
  <c r="C22" i="2" a="1"/>
  <c r="C22" i="2" s="1"/>
  <c r="D22" i="2" a="1"/>
  <c r="D22" i="2" s="1"/>
  <c r="M22" i="2" s="1"/>
  <c r="E22" i="2" a="1"/>
  <c r="E22" i="2" s="1"/>
  <c r="F22" i="2" a="1"/>
  <c r="F22" i="2" s="1"/>
  <c r="G22" i="2" a="1"/>
  <c r="G22" i="2" s="1"/>
  <c r="H22" i="2" a="1"/>
  <c r="H22" i="2" s="1"/>
  <c r="B23" i="2" a="1"/>
  <c r="B23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B24" i="2" a="1"/>
  <c r="B24" i="2" s="1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B25" i="2" a="1"/>
  <c r="B25" i="2" s="1"/>
  <c r="C25" i="2" a="1"/>
  <c r="C25" i="2" s="1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B26" i="2" a="1"/>
  <c r="B26" i="2" s="1"/>
  <c r="C26" i="2" a="1"/>
  <c r="C26" i="2" s="1"/>
  <c r="D26" i="2" a="1"/>
  <c r="D26" i="2" s="1"/>
  <c r="E26" i="2" a="1"/>
  <c r="E26" i="2" s="1"/>
  <c r="F26" i="2" a="1"/>
  <c r="F26" i="2" s="1"/>
  <c r="G26" i="2" a="1"/>
  <c r="G26" i="2" s="1"/>
  <c r="H26" i="2" a="1"/>
  <c r="H26" i="2" s="1"/>
  <c r="B27" i="2" a="1"/>
  <c r="B27" i="2"/>
  <c r="C27" i="2" a="1"/>
  <c r="C27" i="2"/>
  <c r="D27" i="2" a="1"/>
  <c r="D27" i="2" s="1"/>
  <c r="E27" i="2" a="1"/>
  <c r="E27" i="2" s="1"/>
  <c r="F27" i="2" a="1"/>
  <c r="F27" i="2" s="1"/>
  <c r="G27" i="2" a="1"/>
  <c r="G27" i="2" s="1"/>
  <c r="H27" i="2" a="1"/>
  <c r="H27" i="2" s="1"/>
  <c r="B28" i="2" a="1"/>
  <c r="B28" i="2"/>
  <c r="C28" i="2" a="1"/>
  <c r="C28" i="2" s="1"/>
  <c r="D28" i="2" a="1"/>
  <c r="D28" i="2" s="1"/>
  <c r="E28" i="2" a="1"/>
  <c r="E28" i="2" s="1"/>
  <c r="F28" i="2" a="1"/>
  <c r="F28" i="2" s="1"/>
  <c r="G28" i="2" a="1"/>
  <c r="G28" i="2" s="1"/>
  <c r="H28" i="2" a="1"/>
  <c r="H28" i="2" s="1"/>
  <c r="B29" i="2" a="1"/>
  <c r="B29" i="2" s="1"/>
  <c r="C29" i="2" a="1"/>
  <c r="C29" i="2" s="1"/>
  <c r="D29" i="2" a="1"/>
  <c r="D29" i="2" s="1"/>
  <c r="E29" i="2" a="1"/>
  <c r="E29" i="2" s="1"/>
  <c r="F29" i="2" a="1"/>
  <c r="F29" i="2" s="1"/>
  <c r="G29" i="2" a="1"/>
  <c r="G29" i="2" s="1"/>
  <c r="H29" i="2" a="1"/>
  <c r="H29" i="2" s="1"/>
  <c r="B30" i="2" a="1"/>
  <c r="B30" i="2" s="1"/>
  <c r="C30" i="2" a="1"/>
  <c r="C30" i="2" s="1"/>
  <c r="D30" i="2" a="1"/>
  <c r="D30" i="2" s="1"/>
  <c r="E30" i="2" a="1"/>
  <c r="E30" i="2" s="1"/>
  <c r="F30" i="2" a="1"/>
  <c r="F30" i="2" s="1"/>
  <c r="G30" i="2" a="1"/>
  <c r="G30" i="2" s="1"/>
  <c r="H30" i="2" a="1"/>
  <c r="H30" i="2" s="1"/>
  <c r="Q30" i="2" s="1"/>
  <c r="B31" i="2" a="1"/>
  <c r="B31" i="2" s="1"/>
  <c r="C31" i="2" a="1"/>
  <c r="C31" i="2" s="1"/>
  <c r="D31" i="2" a="1"/>
  <c r="D31" i="2" s="1"/>
  <c r="E31" i="2" a="1"/>
  <c r="E31" i="2" s="1"/>
  <c r="F31" i="2" a="1"/>
  <c r="F31" i="2" s="1"/>
  <c r="G31" i="2" a="1"/>
  <c r="G31" i="2" s="1"/>
  <c r="H31" i="2" a="1"/>
  <c r="H31" i="2" s="1"/>
  <c r="B32" i="2" a="1"/>
  <c r="B32" i="2" s="1"/>
  <c r="C32" i="2" a="1"/>
  <c r="C32" i="2" s="1"/>
  <c r="D32" i="2" a="1"/>
  <c r="D32" i="2" s="1"/>
  <c r="E32" i="2" a="1"/>
  <c r="E32" i="2" s="1"/>
  <c r="F32" i="2" a="1"/>
  <c r="F32" i="2" s="1"/>
  <c r="O32" i="2" s="1"/>
  <c r="G32" i="2" a="1"/>
  <c r="G32" i="2" s="1"/>
  <c r="H32" i="2" a="1"/>
  <c r="H32" i="2" s="1"/>
  <c r="B33" i="2" a="1"/>
  <c r="B33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B34" i="2" a="1"/>
  <c r="B34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B35" i="2" a="1"/>
  <c r="B35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B36" i="2" a="1"/>
  <c r="B36" i="2" s="1"/>
  <c r="C36" i="2" a="1"/>
  <c r="C36" i="2" s="1"/>
  <c r="L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B37" i="2" a="1"/>
  <c r="B37" i="2" s="1"/>
  <c r="C37" i="2" a="1"/>
  <c r="C37" i="2" s="1"/>
  <c r="D37" i="2" a="1"/>
  <c r="D37" i="2" s="1"/>
  <c r="E37" i="2" a="1"/>
  <c r="E37" i="2" s="1"/>
  <c r="N37" i="2" s="1"/>
  <c r="F37" i="2" a="1"/>
  <c r="F37" i="2"/>
  <c r="G37" i="2" a="1"/>
  <c r="G37" i="2" s="1"/>
  <c r="H37" i="2" a="1"/>
  <c r="H37" i="2" s="1"/>
  <c r="B38" i="2" a="1"/>
  <c r="B38" i="2" s="1"/>
  <c r="C38" i="2" a="1"/>
  <c r="C38" i="2" s="1"/>
  <c r="D38" i="2" a="1"/>
  <c r="D38" i="2" s="1"/>
  <c r="E38" i="2" a="1"/>
  <c r="E38" i="2" s="1"/>
  <c r="F38" i="2" a="1"/>
  <c r="F38" i="2" s="1"/>
  <c r="G38" i="2" a="1"/>
  <c r="G38" i="2" s="1"/>
  <c r="H38" i="2" a="1"/>
  <c r="H38" i="2" s="1"/>
  <c r="C3" i="2" a="1"/>
  <c r="C3" i="2" s="1"/>
  <c r="L3" i="2" s="1"/>
  <c r="D3" i="2" a="1"/>
  <c r="D3" i="2" s="1"/>
  <c r="M3" i="2" s="1"/>
  <c r="E3" i="2" a="1"/>
  <c r="E3" i="2" s="1"/>
  <c r="N3" i="2" s="1"/>
  <c r="F3" i="2" a="1"/>
  <c r="F3" i="2" s="1"/>
  <c r="O3" i="2" s="1"/>
  <c r="G3" i="2" a="1"/>
  <c r="G3" i="2" s="1"/>
  <c r="H3" i="2" a="1"/>
  <c r="H3" i="2" s="1"/>
  <c r="B3" i="2" a="1"/>
  <c r="B3" i="2" s="1"/>
  <c r="P28" i="2" l="1"/>
  <c r="O6" i="6"/>
  <c r="L31" i="2"/>
  <c r="P11" i="2"/>
  <c r="L4" i="3"/>
  <c r="L28" i="3"/>
  <c r="Q37" i="2"/>
  <c r="M15" i="2"/>
  <c r="N8" i="3"/>
  <c r="N26" i="3"/>
  <c r="N28" i="3"/>
  <c r="N30" i="3"/>
  <c r="N32" i="3"/>
  <c r="N34" i="3"/>
  <c r="P37" i="2"/>
  <c r="L28" i="2"/>
  <c r="L13" i="2"/>
  <c r="O28" i="3"/>
  <c r="O34" i="3"/>
  <c r="O37" i="2"/>
  <c r="N3" i="6"/>
  <c r="Q14" i="3"/>
  <c r="Q18" i="3"/>
  <c r="Q20" i="3"/>
  <c r="Q22" i="3"/>
  <c r="Q24" i="3"/>
  <c r="Q26" i="3"/>
  <c r="Q28" i="3"/>
  <c r="Q30" i="3"/>
  <c r="Q32" i="3"/>
  <c r="Q34" i="3"/>
  <c r="O7" i="2"/>
  <c r="M28" i="2"/>
  <c r="P25" i="2"/>
  <c r="M23" i="2"/>
  <c r="M21" i="2"/>
  <c r="N19" i="2"/>
  <c r="M11" i="3"/>
  <c r="Q29" i="2"/>
  <c r="M19" i="2"/>
  <c r="M14" i="2"/>
  <c r="L12" i="2"/>
  <c r="N27" i="3"/>
  <c r="N31" i="3"/>
  <c r="L17" i="5"/>
  <c r="L21" i="5"/>
  <c r="Q3" i="6"/>
  <c r="Q15" i="6"/>
  <c r="P29" i="2"/>
  <c r="Q13" i="2"/>
  <c r="O27" i="3"/>
  <c r="L3" i="6"/>
  <c r="P5" i="6"/>
  <c r="P13" i="6"/>
  <c r="Q9" i="6"/>
  <c r="O29" i="2"/>
  <c r="Q28" i="2"/>
  <c r="N15" i="2"/>
  <c r="Q11" i="2"/>
  <c r="L13" i="3"/>
  <c r="Q13" i="6"/>
  <c r="O13" i="2"/>
  <c r="Q9" i="2"/>
  <c r="Q34" i="2"/>
  <c r="N29" i="2"/>
  <c r="N24" i="2"/>
  <c r="P18" i="2"/>
  <c r="P15" i="6"/>
  <c r="O18" i="2"/>
  <c r="L22" i="3"/>
  <c r="L24" i="3"/>
  <c r="L26" i="3"/>
  <c r="L30" i="3"/>
  <c r="L32" i="3"/>
  <c r="L34" i="3"/>
  <c r="L36" i="3"/>
  <c r="L36" i="5"/>
  <c r="L27" i="6"/>
  <c r="N3" i="3"/>
  <c r="O34" i="2"/>
  <c r="P32" i="2"/>
  <c r="M17" i="2"/>
  <c r="L14" i="2"/>
  <c r="M12" i="2"/>
  <c r="N5" i="2"/>
  <c r="L3" i="3"/>
  <c r="L7" i="3"/>
  <c r="M38" i="2"/>
  <c r="N34" i="2"/>
  <c r="O19" i="2"/>
  <c r="M5" i="2"/>
  <c r="Q36" i="5"/>
  <c r="Q16" i="2"/>
  <c r="L5" i="2"/>
  <c r="P17" i="3"/>
  <c r="P19" i="3"/>
  <c r="L31" i="5"/>
  <c r="Q35" i="2"/>
  <c r="Q24" i="2"/>
  <c r="N20" i="2"/>
  <c r="N18" i="2"/>
  <c r="P16" i="2"/>
  <c r="Q5" i="3"/>
  <c r="M31" i="5"/>
  <c r="P35" i="2"/>
  <c r="M27" i="2"/>
  <c r="M20" i="2"/>
  <c r="N13" i="2"/>
  <c r="N36" i="3"/>
  <c r="L38" i="3"/>
  <c r="N27" i="5"/>
  <c r="N29" i="5"/>
  <c r="N31" i="5"/>
  <c r="O31" i="3"/>
  <c r="P36" i="5"/>
  <c r="P29" i="6"/>
  <c r="Q38" i="5"/>
  <c r="Q29" i="6"/>
  <c r="O25" i="2"/>
  <c r="Q15" i="2"/>
  <c r="O4" i="2"/>
  <c r="O27" i="5"/>
  <c r="O29" i="5"/>
  <c r="O31" i="5"/>
  <c r="O28" i="2"/>
  <c r="N25" i="2"/>
  <c r="P21" i="2"/>
  <c r="N16" i="2"/>
  <c r="N4" i="2"/>
  <c r="L6" i="5"/>
  <c r="N16" i="5"/>
  <c r="P27" i="5"/>
  <c r="P29" i="5"/>
  <c r="P31" i="5"/>
  <c r="N28" i="2"/>
  <c r="O27" i="2"/>
  <c r="O21" i="2"/>
  <c r="M16" i="2"/>
  <c r="Q6" i="2"/>
  <c r="Q23" i="5"/>
  <c r="Q27" i="5"/>
  <c r="Q29" i="5"/>
  <c r="Q31" i="5"/>
  <c r="L37" i="2"/>
  <c r="L30" i="2"/>
  <c r="N23" i="2"/>
  <c r="O8" i="3"/>
  <c r="O10" i="3"/>
  <c r="O18" i="3"/>
  <c r="O20" i="3"/>
  <c r="O22" i="3"/>
  <c r="O24" i="3"/>
  <c r="O26" i="3"/>
  <c r="O30" i="3"/>
  <c r="O32" i="3"/>
  <c r="O31" i="2"/>
  <c r="M4" i="2"/>
  <c r="M38" i="3"/>
  <c r="Q7" i="2"/>
  <c r="N18" i="5"/>
  <c r="N20" i="5"/>
  <c r="L22" i="5"/>
  <c r="O31" i="6"/>
  <c r="L8" i="6"/>
  <c r="M8" i="6"/>
  <c r="Q36" i="2"/>
  <c r="N35" i="2"/>
  <c r="M20" i="5"/>
  <c r="L33" i="2"/>
  <c r="M25" i="2"/>
  <c r="L25" i="2"/>
  <c r="N38" i="3"/>
  <c r="P7" i="2"/>
  <c r="O33" i="6"/>
  <c r="M36" i="2"/>
  <c r="Q3" i="2"/>
  <c r="P36" i="3"/>
  <c r="P38" i="3"/>
  <c r="L6" i="6"/>
  <c r="M6" i="6"/>
  <c r="L16" i="5"/>
  <c r="N8" i="6"/>
  <c r="N10" i="6"/>
  <c r="M18" i="6"/>
  <c r="N31" i="2"/>
  <c r="M7" i="2"/>
  <c r="O36" i="3"/>
  <c r="O38" i="3"/>
  <c r="N7" i="2"/>
  <c r="M31" i="2"/>
  <c r="O12" i="2"/>
  <c r="P3" i="2"/>
  <c r="N12" i="2"/>
  <c r="L7" i="2"/>
  <c r="Q36" i="3"/>
  <c r="O20" i="5"/>
  <c r="O8" i="6"/>
  <c r="L22" i="6"/>
  <c r="P31" i="6"/>
  <c r="L5" i="3"/>
  <c r="Q38" i="3"/>
  <c r="P14" i="5"/>
  <c r="P18" i="5"/>
  <c r="M26" i="5"/>
  <c r="M22" i="6"/>
  <c r="L24" i="6"/>
  <c r="M37" i="2"/>
  <c r="M29" i="2"/>
  <c r="Q14" i="2"/>
  <c r="O11" i="2"/>
  <c r="M10" i="2"/>
  <c r="M3" i="3"/>
  <c r="M5" i="3"/>
  <c r="M7" i="3"/>
  <c r="M9" i="3"/>
  <c r="L17" i="3"/>
  <c r="L19" i="3"/>
  <c r="L21" i="3"/>
  <c r="L23" i="3"/>
  <c r="L25" i="3"/>
  <c r="L27" i="3"/>
  <c r="L29" i="3"/>
  <c r="L31" i="3"/>
  <c r="L33" i="3"/>
  <c r="Q16" i="5"/>
  <c r="Q18" i="5"/>
  <c r="Q20" i="5"/>
  <c r="O22" i="5"/>
  <c r="Q8" i="6"/>
  <c r="N22" i="6"/>
  <c r="M24" i="6"/>
  <c r="L29" i="2"/>
  <c r="Q23" i="2"/>
  <c r="Q17" i="2"/>
  <c r="N11" i="2"/>
  <c r="N5" i="3"/>
  <c r="N7" i="3"/>
  <c r="N9" i="3"/>
  <c r="N11" i="3"/>
  <c r="M17" i="3"/>
  <c r="M19" i="3"/>
  <c r="M21" i="3"/>
  <c r="M23" i="3"/>
  <c r="M25" i="3"/>
  <c r="M27" i="3"/>
  <c r="M29" i="3"/>
  <c r="M31" i="3"/>
  <c r="M33" i="3"/>
  <c r="N3" i="5"/>
  <c r="N9" i="5"/>
  <c r="M11" i="5"/>
  <c r="N24" i="6"/>
  <c r="L30" i="6"/>
  <c r="L32" i="6"/>
  <c r="O16" i="5"/>
  <c r="M22" i="5"/>
  <c r="L9" i="3"/>
  <c r="P20" i="5"/>
  <c r="Q33" i="2"/>
  <c r="Q22" i="2"/>
  <c r="P17" i="2"/>
  <c r="N6" i="2"/>
  <c r="O3" i="3"/>
  <c r="O7" i="3"/>
  <c r="O11" i="3"/>
  <c r="N19" i="3"/>
  <c r="N21" i="3"/>
  <c r="N25" i="3"/>
  <c r="N29" i="3"/>
  <c r="N33" i="3"/>
  <c r="N11" i="5"/>
  <c r="M13" i="5"/>
  <c r="P22" i="5"/>
  <c r="O22" i="6"/>
  <c r="M35" i="2"/>
  <c r="P33" i="2"/>
  <c r="P22" i="2"/>
  <c r="L21" i="2"/>
  <c r="O17" i="2"/>
  <c r="O9" i="2"/>
  <c r="Q4" i="2"/>
  <c r="P3" i="3"/>
  <c r="P5" i="3"/>
  <c r="P7" i="3"/>
  <c r="P9" i="3"/>
  <c r="P11" i="3"/>
  <c r="O13" i="3"/>
  <c r="O17" i="3"/>
  <c r="O21" i="3"/>
  <c r="O23" i="3"/>
  <c r="O25" i="3"/>
  <c r="O29" i="3"/>
  <c r="O33" i="3"/>
  <c r="P3" i="5"/>
  <c r="P7" i="5"/>
  <c r="N13" i="5"/>
  <c r="M36" i="5"/>
  <c r="L13" i="6"/>
  <c r="P22" i="6"/>
  <c r="P24" i="6"/>
  <c r="P36" i="2"/>
  <c r="M6" i="2"/>
  <c r="Q11" i="3"/>
  <c r="Q3" i="5"/>
  <c r="Q9" i="5"/>
  <c r="P11" i="5"/>
  <c r="O13" i="5"/>
  <c r="N23" i="5"/>
  <c r="M13" i="6"/>
  <c r="M15" i="6"/>
  <c r="Q22" i="6"/>
  <c r="O18" i="5"/>
  <c r="M18" i="2"/>
  <c r="P16" i="5"/>
  <c r="O30" i="2"/>
  <c r="O24" i="2"/>
  <c r="O14" i="2"/>
  <c r="P9" i="2"/>
  <c r="O5" i="3"/>
  <c r="O9" i="3"/>
  <c r="N13" i="3"/>
  <c r="N17" i="3"/>
  <c r="N23" i="3"/>
  <c r="L35" i="2"/>
  <c r="O33" i="2"/>
  <c r="Q32" i="2"/>
  <c r="N27" i="2"/>
  <c r="M26" i="2"/>
  <c r="O22" i="2"/>
  <c r="N17" i="2"/>
  <c r="N14" i="2"/>
  <c r="N9" i="2"/>
  <c r="Q3" i="3"/>
  <c r="Q7" i="3"/>
  <c r="Q9" i="3"/>
  <c r="P13" i="3"/>
  <c r="P27" i="3"/>
  <c r="O36" i="2"/>
  <c r="N33" i="2"/>
  <c r="M24" i="2"/>
  <c r="L19" i="2"/>
  <c r="M9" i="2"/>
  <c r="P4" i="3"/>
  <c r="M6" i="3"/>
  <c r="L8" i="3"/>
  <c r="P10" i="3"/>
  <c r="M12" i="3"/>
  <c r="Q13" i="3"/>
  <c r="Q17" i="3"/>
  <c r="Q19" i="3"/>
  <c r="Q21" i="3"/>
  <c r="Q23" i="3"/>
  <c r="Q25" i="3"/>
  <c r="Q27" i="3"/>
  <c r="Q29" i="3"/>
  <c r="Q31" i="3"/>
  <c r="Q33" i="3"/>
  <c r="O4" i="5"/>
  <c r="P6" i="5"/>
  <c r="L27" i="5"/>
  <c r="N13" i="6"/>
  <c r="M25" i="6"/>
  <c r="Q31" i="6"/>
  <c r="N36" i="2"/>
  <c r="M33" i="2"/>
  <c r="Q25" i="2"/>
  <c r="L24" i="2"/>
  <c r="Q20" i="2"/>
  <c r="L9" i="2"/>
  <c r="M14" i="3"/>
  <c r="O16" i="3"/>
  <c r="M27" i="5"/>
  <c r="O38" i="5"/>
  <c r="O13" i="6"/>
  <c r="O15" i="6"/>
  <c r="P15" i="3"/>
  <c r="Q15" i="3"/>
  <c r="L15" i="3"/>
  <c r="N37" i="3"/>
  <c r="Q37" i="3"/>
  <c r="N15" i="3"/>
  <c r="M15" i="3"/>
  <c r="O15" i="3"/>
  <c r="N15" i="5"/>
  <c r="L35" i="6"/>
  <c r="O10" i="2"/>
  <c r="M37" i="5"/>
  <c r="M35" i="6"/>
  <c r="M37" i="6"/>
  <c r="L27" i="2"/>
  <c r="L15" i="2"/>
  <c r="N10" i="2"/>
  <c r="L6" i="2"/>
  <c r="N35" i="3"/>
  <c r="M37" i="3"/>
  <c r="P30" i="2"/>
  <c r="L26" i="2"/>
  <c r="Q8" i="3"/>
  <c r="N24" i="5"/>
  <c r="O35" i="5"/>
  <c r="N37" i="5"/>
  <c r="N35" i="6"/>
  <c r="N37" i="6"/>
  <c r="P34" i="2"/>
  <c r="N22" i="2"/>
  <c r="P13" i="2"/>
  <c r="L10" i="3"/>
  <c r="L12" i="3"/>
  <c r="P21" i="3"/>
  <c r="P23" i="3"/>
  <c r="P8" i="3"/>
  <c r="M4" i="3"/>
  <c r="L15" i="5"/>
  <c r="L19" i="5"/>
  <c r="O24" i="5"/>
  <c r="P35" i="5"/>
  <c r="O35" i="6"/>
  <c r="N26" i="2"/>
  <c r="N4" i="3"/>
  <c r="N12" i="3"/>
  <c r="P37" i="3"/>
  <c r="L38" i="2"/>
  <c r="M30" i="2"/>
  <c r="L4" i="5"/>
  <c r="Q35" i="6"/>
  <c r="M34" i="2"/>
  <c r="Q26" i="2"/>
  <c r="L22" i="2"/>
  <c r="P20" i="2"/>
  <c r="M13" i="2"/>
  <c r="Q5" i="2"/>
  <c r="L4" i="2"/>
  <c r="O4" i="3"/>
  <c r="L16" i="3"/>
  <c r="Q12" i="3"/>
  <c r="M8" i="3"/>
  <c r="M4" i="5"/>
  <c r="L10" i="5"/>
  <c r="N17" i="5"/>
  <c r="L28" i="6"/>
  <c r="P10" i="2"/>
  <c r="L35" i="3"/>
  <c r="L26" i="5"/>
  <c r="P19" i="2"/>
  <c r="Q35" i="3"/>
  <c r="N35" i="5"/>
  <c r="P26" i="2"/>
  <c r="O20" i="2"/>
  <c r="P5" i="2"/>
  <c r="P6" i="3"/>
  <c r="M16" i="3"/>
  <c r="M6" i="5"/>
  <c r="M8" i="5"/>
  <c r="M28" i="6"/>
  <c r="P38" i="2"/>
  <c r="L34" i="2"/>
  <c r="M11" i="2"/>
  <c r="Q4" i="3"/>
  <c r="Q6" i="3"/>
  <c r="N16" i="3"/>
  <c r="P14" i="2"/>
  <c r="O5" i="2"/>
  <c r="O12" i="3"/>
  <c r="Q30" i="5"/>
  <c r="N7" i="6"/>
  <c r="M30" i="6"/>
  <c r="Q10" i="2"/>
  <c r="O26" i="2"/>
  <c r="O35" i="2"/>
  <c r="L37" i="3"/>
  <c r="O6" i="2"/>
  <c r="P6" i="2"/>
  <c r="P35" i="3"/>
  <c r="P12" i="3"/>
  <c r="N32" i="2"/>
  <c r="N38" i="2"/>
  <c r="M32" i="2"/>
  <c r="P15" i="2"/>
  <c r="Q12" i="2"/>
  <c r="P16" i="3"/>
  <c r="P23" i="2"/>
  <c r="O6" i="3"/>
  <c r="P7" i="6"/>
  <c r="N17" i="6"/>
  <c r="L21" i="6"/>
  <c r="L35" i="5"/>
  <c r="Q19" i="2"/>
  <c r="L24" i="5"/>
  <c r="L37" i="5"/>
  <c r="O37" i="3"/>
  <c r="P24" i="5"/>
  <c r="P37" i="6"/>
  <c r="O28" i="6"/>
  <c r="L32" i="2"/>
  <c r="P27" i="2"/>
  <c r="P24" i="2"/>
  <c r="O15" i="2"/>
  <c r="P12" i="2"/>
  <c r="Q16" i="3"/>
  <c r="O23" i="2"/>
  <c r="Q18" i="2"/>
  <c r="Q10" i="3"/>
  <c r="Q7" i="6"/>
  <c r="M19" i="6"/>
  <c r="M35" i="5"/>
  <c r="L12" i="6"/>
  <c r="L37" i="6"/>
  <c r="M35" i="3"/>
  <c r="M15" i="5"/>
  <c r="O26" i="5"/>
  <c r="Q38" i="2"/>
  <c r="P31" i="2"/>
  <c r="Q31" i="2"/>
  <c r="N4" i="5"/>
  <c r="O38" i="2"/>
  <c r="O7" i="6"/>
  <c r="L23" i="2"/>
  <c r="L20" i="2"/>
  <c r="Q27" i="2"/>
  <c r="N28" i="6"/>
  <c r="P35" i="6"/>
  <c r="M21" i="6"/>
  <c r="L23" i="6"/>
  <c r="P28" i="6"/>
  <c r="L34" i="6"/>
  <c r="Q37" i="6"/>
  <c r="P14" i="3"/>
  <c r="P4" i="5"/>
  <c r="N6" i="5"/>
  <c r="O15" i="5"/>
  <c r="O17" i="5"/>
  <c r="M21" i="5"/>
  <c r="Q24" i="5"/>
  <c r="L34" i="5"/>
  <c r="Q35" i="5"/>
  <c r="O37" i="5"/>
  <c r="M12" i="6"/>
  <c r="L14" i="6"/>
  <c r="O19" i="6"/>
  <c r="N21" i="6"/>
  <c r="M23" i="6"/>
  <c r="Q28" i="6"/>
  <c r="O30" i="6"/>
  <c r="M34" i="6"/>
  <c r="O8" i="5"/>
  <c r="N21" i="5"/>
  <c r="Q25" i="5"/>
  <c r="M34" i="5"/>
  <c r="P37" i="5"/>
  <c r="P6" i="6"/>
  <c r="N12" i="6"/>
  <c r="M14" i="6"/>
  <c r="O21" i="6"/>
  <c r="N23" i="6"/>
  <c r="N34" i="6"/>
  <c r="L3" i="5"/>
  <c r="P8" i="5"/>
  <c r="O10" i="5"/>
  <c r="L23" i="5"/>
  <c r="N32" i="5"/>
  <c r="Q37" i="5"/>
  <c r="P8" i="6"/>
  <c r="O12" i="6"/>
  <c r="N14" i="6"/>
  <c r="L18" i="6"/>
  <c r="Q19" i="6"/>
  <c r="P21" i="6"/>
  <c r="O23" i="6"/>
  <c r="Q30" i="6"/>
  <c r="O34" i="6"/>
  <c r="M38" i="6"/>
  <c r="Q4" i="5"/>
  <c r="O6" i="5"/>
  <c r="N10" i="5"/>
  <c r="P15" i="5"/>
  <c r="Q26" i="5"/>
  <c r="Q6" i="5"/>
  <c r="Q8" i="5"/>
  <c r="P10" i="5"/>
  <c r="Q17" i="5"/>
  <c r="P19" i="5"/>
  <c r="M23" i="5"/>
  <c r="N34" i="5"/>
  <c r="P12" i="6"/>
  <c r="O14" i="6"/>
  <c r="O20" i="6"/>
  <c r="Q21" i="6"/>
  <c r="P23" i="6"/>
  <c r="M29" i="6"/>
  <c r="P34" i="6"/>
  <c r="O34" i="5"/>
  <c r="L38" i="5"/>
  <c r="Q12" i="6"/>
  <c r="P14" i="6"/>
  <c r="Q23" i="6"/>
  <c r="O27" i="6"/>
  <c r="L31" i="6"/>
  <c r="Q34" i="6"/>
  <c r="Q10" i="5"/>
  <c r="M16" i="5"/>
  <c r="Q21" i="5"/>
  <c r="O23" i="5"/>
  <c r="Q32" i="5"/>
  <c r="P34" i="5"/>
  <c r="N36" i="5"/>
  <c r="L7" i="6"/>
  <c r="Q14" i="6"/>
  <c r="N18" i="6"/>
  <c r="M31" i="6"/>
  <c r="P36" i="6"/>
  <c r="P21" i="5"/>
  <c r="O3" i="5"/>
  <c r="L11" i="5"/>
  <c r="L20" i="5"/>
  <c r="P23" i="5"/>
  <c r="L29" i="5"/>
  <c r="Q34" i="5"/>
  <c r="O36" i="5"/>
  <c r="N38" i="5"/>
  <c r="M7" i="6"/>
  <c r="O18" i="6"/>
  <c r="N31" i="6"/>
  <c r="Q36" i="6"/>
  <c r="N27" i="6"/>
  <c r="M32" i="6"/>
  <c r="L9" i="6"/>
  <c r="L16" i="6"/>
  <c r="M4" i="6"/>
  <c r="L4" i="6"/>
  <c r="L25" i="6"/>
  <c r="L11" i="6"/>
  <c r="M11" i="6"/>
  <c r="O25" i="6"/>
  <c r="N11" i="6"/>
  <c r="L17" i="6"/>
  <c r="P25" i="6"/>
  <c r="N4" i="6"/>
  <c r="Q5" i="6"/>
  <c r="L10" i="6"/>
  <c r="O11" i="6"/>
  <c r="M17" i="6"/>
  <c r="P18" i="6"/>
  <c r="Q25" i="6"/>
  <c r="L33" i="6"/>
  <c r="O37" i="6"/>
  <c r="L36" i="6"/>
  <c r="O4" i="6"/>
  <c r="P11" i="6"/>
  <c r="Q18" i="6"/>
  <c r="L20" i="6"/>
  <c r="M27" i="6"/>
  <c r="M33" i="6"/>
  <c r="M36" i="6"/>
  <c r="M10" i="6"/>
  <c r="M3" i="6"/>
  <c r="P4" i="6"/>
  <c r="Q11" i="6"/>
  <c r="M20" i="6"/>
  <c r="O24" i="6"/>
  <c r="N33" i="6"/>
  <c r="N36" i="6"/>
  <c r="O10" i="6"/>
  <c r="L26" i="6"/>
  <c r="P33" i="6"/>
  <c r="O36" i="6"/>
  <c r="O3" i="6"/>
  <c r="P17" i="6"/>
  <c r="L19" i="6"/>
  <c r="Q24" i="6"/>
  <c r="M26" i="6"/>
  <c r="P27" i="6"/>
  <c r="L29" i="6"/>
  <c r="N30" i="6"/>
  <c r="L38" i="6"/>
  <c r="P10" i="6"/>
  <c r="M16" i="6"/>
  <c r="Q17" i="6"/>
  <c r="P20" i="6"/>
  <c r="N26" i="6"/>
  <c r="Q27" i="6"/>
  <c r="Q33" i="6"/>
  <c r="P3" i="6"/>
  <c r="L5" i="6"/>
  <c r="M9" i="6"/>
  <c r="Q10" i="6"/>
  <c r="L15" i="6"/>
  <c r="N16" i="6"/>
  <c r="N19" i="6"/>
  <c r="Q20" i="6"/>
  <c r="P30" i="6"/>
  <c r="N38" i="6"/>
  <c r="O17" i="6"/>
  <c r="M5" i="6"/>
  <c r="N9" i="6"/>
  <c r="O16" i="6"/>
  <c r="N20" i="6"/>
  <c r="O26" i="6"/>
  <c r="N29" i="6"/>
  <c r="N32" i="6"/>
  <c r="O38" i="6"/>
  <c r="N5" i="6"/>
  <c r="Q6" i="6"/>
  <c r="O9" i="6"/>
  <c r="P16" i="6"/>
  <c r="P26" i="6"/>
  <c r="O32" i="6"/>
  <c r="N6" i="6"/>
  <c r="P9" i="6"/>
  <c r="N15" i="6"/>
  <c r="P19" i="6"/>
  <c r="O29" i="6"/>
  <c r="P32" i="6"/>
  <c r="P38" i="6"/>
  <c r="Q4" i="6"/>
  <c r="O5" i="6"/>
  <c r="Q16" i="6"/>
  <c r="N25" i="6"/>
  <c r="Q26" i="6"/>
  <c r="Q32" i="6"/>
  <c r="Q38" i="6"/>
  <c r="Q15" i="5"/>
  <c r="Q22" i="5"/>
  <c r="P26" i="5"/>
  <c r="P30" i="5"/>
  <c r="P13" i="5"/>
  <c r="O14" i="5"/>
  <c r="O7" i="5"/>
  <c r="O9" i="5"/>
  <c r="N12" i="5"/>
  <c r="L8" i="5"/>
  <c r="M33" i="5"/>
  <c r="L33" i="5"/>
  <c r="L5" i="5"/>
  <c r="L12" i="5"/>
  <c r="L25" i="5"/>
  <c r="N28" i="5"/>
  <c r="M12" i="5"/>
  <c r="M25" i="5"/>
  <c r="M5" i="5"/>
  <c r="L30" i="5"/>
  <c r="L7" i="5"/>
  <c r="O12" i="5"/>
  <c r="O25" i="5"/>
  <c r="Q28" i="5"/>
  <c r="O5" i="5"/>
  <c r="L14" i="5"/>
  <c r="P25" i="5"/>
  <c r="O32" i="5"/>
  <c r="M32" i="5"/>
  <c r="P5" i="5"/>
  <c r="N7" i="5"/>
  <c r="L9" i="5"/>
  <c r="P12" i="5"/>
  <c r="M14" i="5"/>
  <c r="N19" i="5"/>
  <c r="O30" i="5"/>
  <c r="L32" i="5"/>
  <c r="O28" i="5"/>
  <c r="M28" i="5"/>
  <c r="L28" i="5"/>
  <c r="N33" i="5"/>
  <c r="N25" i="5"/>
  <c r="P28" i="5"/>
  <c r="O33" i="5"/>
  <c r="N5" i="5"/>
  <c r="M30" i="5"/>
  <c r="P33" i="5"/>
  <c r="M7" i="5"/>
  <c r="M19" i="5"/>
  <c r="Q5" i="5"/>
  <c r="M9" i="5"/>
  <c r="Q11" i="5"/>
  <c r="O11" i="5"/>
  <c r="Q12" i="5"/>
  <c r="N14" i="5"/>
  <c r="O19" i="5"/>
  <c r="Q7" i="5"/>
  <c r="L18" i="5"/>
  <c r="Q19" i="5"/>
  <c r="P9" i="5"/>
  <c r="Q14" i="5"/>
  <c r="M18" i="5"/>
  <c r="O21" i="5"/>
  <c r="N26" i="5"/>
  <c r="N8" i="5"/>
  <c r="P17" i="5"/>
  <c r="M10" i="5"/>
  <c r="P32" i="5"/>
  <c r="M38" i="5"/>
  <c r="P38" i="5"/>
  <c r="Q33" i="5"/>
  <c r="M17" i="5"/>
  <c r="L13" i="5"/>
  <c r="N22" i="5"/>
  <c r="M29" i="5"/>
  <c r="M3" i="5"/>
  <c r="M24" i="5"/>
  <c r="N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<sst xmlns="http://schemas.openxmlformats.org/spreadsheetml/2006/main" count="160" uniqueCount="61">
  <si>
    <t>KHMNYGDPMKTPKN_0</t>
  </si>
  <si>
    <t>KHMNYGDPMKTPKN_111</t>
  </si>
  <si>
    <t>KHMNYGDPMKTPKN_112</t>
  </si>
  <si>
    <t>KHMNYGDPMKTPKN_113</t>
  </si>
  <si>
    <t>KHMNYGDPMKTPKN_114</t>
  </si>
  <si>
    <t>KHMNYGDPMKTPKN_121</t>
  </si>
  <si>
    <t>KHMNYGDPMKTPKN_122</t>
  </si>
  <si>
    <t>KHMNYGDPMKTPKN_123</t>
  </si>
  <si>
    <t>KHMNYGDPMKTPKN_124</t>
  </si>
  <si>
    <t>KHMNYGDPMKTPKN_131</t>
  </si>
  <si>
    <t>KHMNYGDPMKTPKN_132</t>
  </si>
  <si>
    <t>KHMNYGDPMKTPKN_133</t>
  </si>
  <si>
    <t>KHMNYGDPMKTPKN_134</t>
  </si>
  <si>
    <t>KHMNYGDPMKTPKN_211</t>
  </si>
  <si>
    <t>KHMNYGDPMKTPKN_212</t>
  </si>
  <si>
    <t>KHMNYGDPMKTPKN_213</t>
  </si>
  <si>
    <t>KHMNYGDPMKTPKN_214</t>
  </si>
  <si>
    <t>KHMNYGDPMKTPKN_221</t>
  </si>
  <si>
    <t>KHMNYGDPMKTPKN_222</t>
  </si>
  <si>
    <t>KHMNYGDPMKTPKN_223</t>
  </si>
  <si>
    <t>KHMNYGDPMKTPKN_224</t>
  </si>
  <si>
    <t>KHMNYGDPMKTPKN_231</t>
  </si>
  <si>
    <t>KHMNYGDPMKTPKN_232</t>
  </si>
  <si>
    <t>KHMNYGDPMKTPKN_233</t>
  </si>
  <si>
    <t>KHMNYGDPMKTPKN_234</t>
  </si>
  <si>
    <t>Baseline</t>
  </si>
  <si>
    <t>Control</t>
  </si>
  <si>
    <t>Control_Optimistic</t>
  </si>
  <si>
    <t>StatusQuo_Optimistic</t>
  </si>
  <si>
    <t>Improvement_Optimistic</t>
  </si>
  <si>
    <t>Control_Pessimistic</t>
  </si>
  <si>
    <t>StatusQuo_Pessimistic</t>
  </si>
  <si>
    <t>Improvement_Pessimistic</t>
  </si>
  <si>
    <t>Improvement</t>
  </si>
  <si>
    <t>DRR</t>
  </si>
  <si>
    <t>Agriculture</t>
  </si>
  <si>
    <t>Hydro</t>
  </si>
  <si>
    <t>Optimistic</t>
  </si>
  <si>
    <t xml:space="preserve">Scenario Codes </t>
  </si>
  <si>
    <t xml:space="preserve">Pessimistic </t>
  </si>
  <si>
    <t>Climate Scenarios</t>
  </si>
  <si>
    <t>EWS Scenarios</t>
  </si>
  <si>
    <t>Status Quo</t>
  </si>
  <si>
    <t>No additional climate change</t>
  </si>
  <si>
    <t>Channel Scenarios</t>
  </si>
  <si>
    <t>ALL</t>
  </si>
  <si>
    <t xml:space="preserve">e.g. _222 = Pessimistic StatusQuo Agriculture </t>
  </si>
  <si>
    <t>Year</t>
  </si>
  <si>
    <t>Status quo</t>
  </si>
  <si>
    <t>Forecast scenario</t>
  </si>
  <si>
    <t>Pessimistic</t>
  </si>
  <si>
    <t>Climate scenario</t>
  </si>
  <si>
    <t>values denote the percentage of total national capital stock destroyed through floods</t>
  </si>
  <si>
    <t>Info:</t>
  </si>
  <si>
    <t>Optimistic / Pessimistic</t>
  </si>
  <si>
    <t>values are percent cost reductions of electricity generation cost in comparison to the control scenario</t>
  </si>
  <si>
    <t>values are the agricultural productivity change w.r.t. the 2020 control level in percent</t>
  </si>
  <si>
    <t>CAPEX</t>
  </si>
  <si>
    <t>OPEX</t>
  </si>
  <si>
    <t>Cost type</t>
  </si>
  <si>
    <t>All values in 2025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</si>
</sst>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9" fontId="0" fillId="0" borderId="0" xfId="1" applyFont="1"/>
    <xf numFmtId="2" fontId="0" fillId="2" borderId="0" xfId="0" applyNumberFormat="1" applyFill="1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3" borderId="0" xfId="0" applyFont="1" applyFill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ALL channels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All!$L$3:$L$38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-6.1811395527577861E-4</c:v>
                </c:pt>
                <c:pt idx="7">
                  <c:v>-2.3261382530559427E-3</c:v>
                </c:pt>
                <c:pt idx="8">
                  <c:v>-4.4954206650691386E-3</c:v>
                </c:pt>
                <c:pt idx="9">
                  <c:v>-7.7076383207863586E-3</c:v>
                </c:pt>
                <c:pt idx="10">
                  <c:v>-1.1323454595252413E-2</c:v>
                </c:pt>
                <c:pt idx="11">
                  <c:v>-1.5333709021981723E-2</c:v>
                </c:pt>
                <c:pt idx="12">
                  <c:v>-1.9688201295458008E-2</c:v>
                </c:pt>
                <c:pt idx="13">
                  <c:v>-2.4321098512603223E-2</c:v>
                </c:pt>
                <c:pt idx="14">
                  <c:v>-2.9148198877760545E-2</c:v>
                </c:pt>
                <c:pt idx="15">
                  <c:v>-3.4076082863141344E-2</c:v>
                </c:pt>
                <c:pt idx="16">
                  <c:v>-3.9015922006928716E-2</c:v>
                </c:pt>
                <c:pt idx="17">
                  <c:v>-4.3896978131210518E-2</c:v>
                </c:pt>
                <c:pt idx="18">
                  <c:v>-4.866810535326116E-2</c:v>
                </c:pt>
                <c:pt idx="19">
                  <c:v>-5.3290512613896945E-2</c:v>
                </c:pt>
                <c:pt idx="20">
                  <c:v>-5.7745582884691671E-2</c:v>
                </c:pt>
                <c:pt idx="21">
                  <c:v>-6.2025252168005141E-2</c:v>
                </c:pt>
                <c:pt idx="22">
                  <c:v>-6.6141148692035023E-2</c:v>
                </c:pt>
                <c:pt idx="23">
                  <c:v>-7.0117505733548025E-2</c:v>
                </c:pt>
                <c:pt idx="24">
                  <c:v>-7.3976635746475838E-2</c:v>
                </c:pt>
                <c:pt idx="25">
                  <c:v>-7.7733089805295807E-2</c:v>
                </c:pt>
                <c:pt idx="26">
                  <c:v>-8.1402695438432593E-2</c:v>
                </c:pt>
                <c:pt idx="27">
                  <c:v>-8.4995376383105614E-2</c:v>
                </c:pt>
                <c:pt idx="28">
                  <c:v>-8.8515760890714779E-2</c:v>
                </c:pt>
                <c:pt idx="29">
                  <c:v>-9.1960075391010143E-2</c:v>
                </c:pt>
                <c:pt idx="30">
                  <c:v>-9.5318934159401514E-2</c:v>
                </c:pt>
                <c:pt idx="31">
                  <c:v>-9.8590375548530451E-2</c:v>
                </c:pt>
                <c:pt idx="32">
                  <c:v>-0.10176603878484303</c:v>
                </c:pt>
                <c:pt idx="33">
                  <c:v>-0.10483120211518904</c:v>
                </c:pt>
                <c:pt idx="34">
                  <c:v>-0.10776992648060524</c:v>
                </c:pt>
                <c:pt idx="35">
                  <c:v>-0.11057520613531757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7-40EE-9B45-3C1F09E432F9}"/>
            </c:ext>
          </c:extLst>
        </c:ser>
        <c:ser>
          <c:idx val="1"/>
          <c:order val="1"/>
          <c:tx>
            <c:strRef>
              <c:f>All!$M$2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All!$M$3:$M$38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-5.6608629476107009E-4</c:v>
                </c:pt>
                <c:pt idx="7">
                  <c:v>-2.1032236582529951E-3</c:v>
                </c:pt>
                <c:pt idx="8">
                  <c:v>-4.0279766109289072E-3</c:v>
                </c:pt>
                <c:pt idx="9">
                  <c:v>-6.8522415207599163E-3</c:v>
                </c:pt>
                <c:pt idx="10">
                  <c:v>-1.0005157623476313E-2</c:v>
                </c:pt>
                <c:pt idx="11">
                  <c:v>-1.3473910396604505E-2</c:v>
                </c:pt>
                <c:pt idx="12">
                  <c:v>-1.7210006809102674E-2</c:v>
                </c:pt>
                <c:pt idx="13">
                  <c:v>-2.1153082337100559E-2</c:v>
                </c:pt>
                <c:pt idx="14">
                  <c:v>-2.5227277473947041E-2</c:v>
                </c:pt>
                <c:pt idx="15">
                  <c:v>-2.9349857214637232E-2</c:v>
                </c:pt>
                <c:pt idx="16">
                  <c:v>-3.3444081062495856E-2</c:v>
                </c:pt>
                <c:pt idx="17">
                  <c:v>-3.7451624588626498E-2</c:v>
                </c:pt>
                <c:pt idx="18">
                  <c:v>-4.1332529803802531E-2</c:v>
                </c:pt>
                <c:pt idx="19">
                  <c:v>-4.5056878895455066E-2</c:v>
                </c:pt>
                <c:pt idx="20">
                  <c:v>-4.8612958100404113E-2</c:v>
                </c:pt>
                <c:pt idx="21">
                  <c:v>-5.1996687678826259E-2</c:v>
                </c:pt>
                <c:pt idx="22">
                  <c:v>-5.5222229908740039E-2</c:v>
                </c:pt>
                <c:pt idx="23">
                  <c:v>-5.8314092023971087E-2</c:v>
                </c:pt>
                <c:pt idx="24">
                  <c:v>-6.1293288194141593E-2</c:v>
                </c:pt>
                <c:pt idx="25">
                  <c:v>-6.4172517296140708E-2</c:v>
                </c:pt>
                <c:pt idx="26">
                  <c:v>-6.696639824949302E-2</c:v>
                </c:pt>
                <c:pt idx="27">
                  <c:v>-6.9683468576580698E-2</c:v>
                </c:pt>
                <c:pt idx="28">
                  <c:v>-7.2327848317022325E-2</c:v>
                </c:pt>
                <c:pt idx="29">
                  <c:v>-7.4895813802296263E-2</c:v>
                </c:pt>
                <c:pt idx="30">
                  <c:v>-7.737906480436052E-2</c:v>
                </c:pt>
                <c:pt idx="31">
                  <c:v>-7.9778200982299263E-2</c:v>
                </c:pt>
                <c:pt idx="32">
                  <c:v>-8.2086764449077809E-2</c:v>
                </c:pt>
                <c:pt idx="33">
                  <c:v>-8.4292508745859585E-2</c:v>
                </c:pt>
                <c:pt idx="34">
                  <c:v>-8.6382368319518843E-2</c:v>
                </c:pt>
                <c:pt idx="35">
                  <c:v>-8.8352957577913838E-2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7-40EE-9B45-3C1F09E432F9}"/>
            </c:ext>
          </c:extLst>
        </c:ser>
        <c:ser>
          <c:idx val="2"/>
          <c:order val="2"/>
          <c:tx>
            <c:strRef>
              <c:f>All!$N$2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All!$N$3:$N$38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-5.4642253851211464E-4</c:v>
                </c:pt>
                <c:pt idx="7">
                  <c:v>-2.0142113665836403E-3</c:v>
                </c:pt>
                <c:pt idx="8">
                  <c:v>-3.8352041152514005E-3</c:v>
                </c:pt>
                <c:pt idx="9">
                  <c:v>-6.4898465203340194E-3</c:v>
                </c:pt>
                <c:pt idx="10">
                  <c:v>-9.4360788495988501E-3</c:v>
                </c:pt>
                <c:pt idx="11">
                  <c:v>-1.2659157703954538E-2</c:v>
                </c:pt>
                <c:pt idx="12">
                  <c:v>-1.6110799362044181E-2</c:v>
                </c:pt>
                <c:pt idx="13">
                  <c:v>-1.9732310959938326E-2</c:v>
                </c:pt>
                <c:pt idx="14">
                  <c:v>-2.3450736452660492E-2</c:v>
                </c:pt>
                <c:pt idx="15">
                  <c:v>-2.7187298023519491E-2</c:v>
                </c:pt>
                <c:pt idx="16">
                  <c:v>-3.087013279792028E-2</c:v>
                </c:pt>
                <c:pt idx="17">
                  <c:v>-3.4447328990441783E-2</c:v>
                </c:pt>
                <c:pt idx="18">
                  <c:v>-3.7884600168738847E-2</c:v>
                </c:pt>
                <c:pt idx="19">
                  <c:v>-4.1156436418774089E-2</c:v>
                </c:pt>
                <c:pt idx="20">
                  <c:v>-4.4254433277322702E-2</c:v>
                </c:pt>
                <c:pt idx="21">
                  <c:v>-4.7176247447154873E-2</c:v>
                </c:pt>
                <c:pt idx="22">
                  <c:v>-4.9936175356526058E-2</c:v>
                </c:pt>
                <c:pt idx="23">
                  <c:v>-5.2558261522740901E-2</c:v>
                </c:pt>
                <c:pt idx="24">
                  <c:v>-5.5062550867246873E-2</c:v>
                </c:pt>
                <c:pt idx="25">
                  <c:v>-5.7460486328024585E-2</c:v>
                </c:pt>
                <c:pt idx="26">
                  <c:v>-5.976597574509912E-2</c:v>
                </c:pt>
                <c:pt idx="27">
                  <c:v>-6.1986989830450367E-2</c:v>
                </c:pt>
                <c:pt idx="28">
                  <c:v>-6.4127613629087477E-2</c:v>
                </c:pt>
                <c:pt idx="29">
                  <c:v>-6.6184306152063832E-2</c:v>
                </c:pt>
                <c:pt idx="30">
                  <c:v>-6.8149503913434661E-2</c:v>
                </c:pt>
                <c:pt idx="31">
                  <c:v>-7.0025650235095882E-2</c:v>
                </c:pt>
                <c:pt idx="32">
                  <c:v>-7.1807763642267708E-2</c:v>
                </c:pt>
                <c:pt idx="33">
                  <c:v>-7.3485112146687404E-2</c:v>
                </c:pt>
                <c:pt idx="34">
                  <c:v>-7.5046211742382019E-2</c:v>
                </c:pt>
                <c:pt idx="35">
                  <c:v>-7.6489917838961863E-2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7-40EE-9B45-3C1F09E432F9}"/>
            </c:ext>
          </c:extLst>
        </c:ser>
        <c:ser>
          <c:idx val="3"/>
          <c:order val="3"/>
          <c:tx>
            <c:strRef>
              <c:f>All!$O$2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All!$O$3:$O$38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-6.1390113902792809E-4</c:v>
                </c:pt>
                <c:pt idx="7">
                  <c:v>-2.3463451876315489E-3</c:v>
                </c:pt>
                <c:pt idx="8">
                  <c:v>-4.5994311827193268E-3</c:v>
                </c:pt>
                <c:pt idx="9">
                  <c:v>-8.0267763500201372E-3</c:v>
                </c:pt>
                <c:pt idx="10">
                  <c:v>-1.198286877216248E-2</c:v>
                </c:pt>
                <c:pt idx="11">
                  <c:v>-1.6460781111171552E-2</c:v>
                </c:pt>
                <c:pt idx="12">
                  <c:v>-2.1438893659112446E-2</c:v>
                </c:pt>
                <c:pt idx="13">
                  <c:v>-2.6868564453863319E-2</c:v>
                </c:pt>
                <c:pt idx="14">
                  <c:v>-3.2675501463092282E-2</c:v>
                </c:pt>
                <c:pt idx="15">
                  <c:v>-3.8799484831852138E-2</c:v>
                </c:pt>
                <c:pt idx="16">
                  <c:v>-4.5152279115896587E-2</c:v>
                </c:pt>
                <c:pt idx="17">
                  <c:v>-5.1648136502649766E-2</c:v>
                </c:pt>
                <c:pt idx="18">
                  <c:v>-5.8239735489810873E-2</c:v>
                </c:pt>
                <c:pt idx="19">
                  <c:v>-6.4889426250253956E-2</c:v>
                </c:pt>
                <c:pt idx="20">
                  <c:v>-7.1586153524649809E-2</c:v>
                </c:pt>
                <c:pt idx="21">
                  <c:v>-7.8357392924627955E-2</c:v>
                </c:pt>
                <c:pt idx="22">
                  <c:v>-8.5248472687137866E-2</c:v>
                </c:pt>
                <c:pt idx="23">
                  <c:v>-9.2294397078714452E-2</c:v>
                </c:pt>
                <c:pt idx="24">
                  <c:v>-9.9536134682262523E-2</c:v>
                </c:pt>
                <c:pt idx="25">
                  <c:v>-0.10701303094119829</c:v>
                </c:pt>
                <c:pt idx="26">
                  <c:v>-0.11477798110724147</c:v>
                </c:pt>
                <c:pt idx="27">
                  <c:v>-0.12288047930213475</c:v>
                </c:pt>
                <c:pt idx="28">
                  <c:v>-0.13132376510418298</c:v>
                </c:pt>
                <c:pt idx="29">
                  <c:v>-0.14009429417885977</c:v>
                </c:pt>
                <c:pt idx="30">
                  <c:v>-0.14916306598754991</c:v>
                </c:pt>
                <c:pt idx="31">
                  <c:v>-0.158475891775956</c:v>
                </c:pt>
                <c:pt idx="32">
                  <c:v>-0.16795767536554218</c:v>
                </c:pt>
                <c:pt idx="33">
                  <c:v>-0.17755133453489869</c:v>
                </c:pt>
                <c:pt idx="34">
                  <c:v>-0.18723532351882377</c:v>
                </c:pt>
                <c:pt idx="35">
                  <c:v>-0.19695140852864879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E7-40EE-9B45-3C1F09E432F9}"/>
            </c:ext>
          </c:extLst>
        </c:ser>
        <c:ser>
          <c:idx val="4"/>
          <c:order val="4"/>
          <c:tx>
            <c:strRef>
              <c:f>All!$P$2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All!$P$3:$P$38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-5.6188043137883614E-4</c:v>
                </c:pt>
                <c:pt idx="7">
                  <c:v>-2.1223937073021615E-3</c:v>
                </c:pt>
                <c:pt idx="8">
                  <c:v>-4.1282062838247091E-3</c:v>
                </c:pt>
                <c:pt idx="9">
                  <c:v>-7.1610386471721021E-3</c:v>
                </c:pt>
                <c:pt idx="10">
                  <c:v>-1.0643877032741944E-2</c:v>
                </c:pt>
                <c:pt idx="11">
                  <c:v>-1.4566730010450057E-2</c:v>
                </c:pt>
                <c:pt idx="12">
                  <c:v>-1.8909358115949737E-2</c:v>
                </c:pt>
                <c:pt idx="13">
                  <c:v>-2.362790935092296E-2</c:v>
                </c:pt>
                <c:pt idx="14">
                  <c:v>-2.8657102981120119E-2</c:v>
                </c:pt>
                <c:pt idx="15">
                  <c:v>-3.3946840746242768E-2</c:v>
                </c:pt>
                <c:pt idx="16">
                  <c:v>-3.9421158039856685E-2</c:v>
                </c:pt>
                <c:pt idx="17">
                  <c:v>-4.5007863327790609E-2</c:v>
                </c:pt>
                <c:pt idx="18">
                  <c:v>-5.0671207545443187E-2</c:v>
                </c:pt>
                <c:pt idx="19">
                  <c:v>-5.6383451127569151E-2</c:v>
                </c:pt>
                <c:pt idx="20">
                  <c:v>-6.2141259676136928E-2</c:v>
                </c:pt>
                <c:pt idx="21">
                  <c:v>-6.7976866848807438E-2</c:v>
                </c:pt>
                <c:pt idx="22">
                  <c:v>-7.3937179980017143E-2</c:v>
                </c:pt>
                <c:pt idx="23">
                  <c:v>-8.0057640920334294E-2</c:v>
                </c:pt>
                <c:pt idx="24">
                  <c:v>-8.6378489828979776E-2</c:v>
                </c:pt>
                <c:pt idx="25">
                  <c:v>-9.2938332236995658E-2</c:v>
                </c:pt>
                <c:pt idx="26">
                  <c:v>-9.9789447880174076E-2</c:v>
                </c:pt>
                <c:pt idx="27">
                  <c:v>-0.10697956662625374</c:v>
                </c:pt>
                <c:pt idx="28">
                  <c:v>-0.11451149719151599</c:v>
                </c:pt>
                <c:pt idx="29">
                  <c:v>-0.12237271814744421</c:v>
                </c:pt>
                <c:pt idx="30">
                  <c:v>-0.13053601185514185</c:v>
                </c:pt>
                <c:pt idx="31">
                  <c:v>-0.13894955519735686</c:v>
                </c:pt>
                <c:pt idx="32">
                  <c:v>-0.14754194594952963</c:v>
                </c:pt>
                <c:pt idx="33">
                  <c:v>-0.15626234521461679</c:v>
                </c:pt>
                <c:pt idx="34">
                  <c:v>-0.16509254976688836</c:v>
                </c:pt>
                <c:pt idx="35">
                  <c:v>-0.17397728454103212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E7-40EE-9B45-3C1F09E432F9}"/>
            </c:ext>
          </c:extLst>
        </c:ser>
        <c:ser>
          <c:idx val="5"/>
          <c:order val="5"/>
          <c:tx>
            <c:strRef>
              <c:f>All!$Q$2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All!$K$3:$K$38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All!$Q$3:$Q$38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-5.4221003691645731E-4</c:v>
                </c:pt>
                <c:pt idx="7">
                  <c:v>-2.0333117288255931E-3</c:v>
                </c:pt>
                <c:pt idx="8">
                  <c:v>-3.935215686612481E-3</c:v>
                </c:pt>
                <c:pt idx="9">
                  <c:v>-6.7980628786865616E-3</c:v>
                </c:pt>
                <c:pt idx="10">
                  <c:v>-1.007355626197648E-2</c:v>
                </c:pt>
                <c:pt idx="11">
                  <c:v>-1.3749900272776672E-2</c:v>
                </c:pt>
                <c:pt idx="12">
                  <c:v>-1.7807169443167403E-2</c:v>
                </c:pt>
                <c:pt idx="13">
                  <c:v>-2.2203015560802397E-2</c:v>
                </c:pt>
                <c:pt idx="14">
                  <c:v>-2.6875279886333647E-2</c:v>
                </c:pt>
                <c:pt idx="15">
                  <c:v>-3.1777885564953978E-2</c:v>
                </c:pt>
                <c:pt idx="16">
                  <c:v>-3.6839774231898548E-2</c:v>
                </c:pt>
                <c:pt idx="17">
                  <c:v>-4.1995433162788531E-2</c:v>
                </c:pt>
                <c:pt idx="18">
                  <c:v>-4.7214854421070207E-2</c:v>
                </c:pt>
                <c:pt idx="19">
                  <c:v>-5.2475049281472286E-2</c:v>
                </c:pt>
                <c:pt idx="20">
                  <c:v>-5.7776369172055309E-2</c:v>
                </c:pt>
                <c:pt idx="21">
                  <c:v>-6.3153404518324074E-2</c:v>
                </c:pt>
                <c:pt idx="22">
                  <c:v>-6.8652942989189669E-2</c:v>
                </c:pt>
                <c:pt idx="23">
                  <c:v>-7.4309806082503371E-2</c:v>
                </c:pt>
                <c:pt idx="24">
                  <c:v>-8.0163433705410458E-2</c:v>
                </c:pt>
                <c:pt idx="25">
                  <c:v>-8.6251784761636197E-2</c:v>
                </c:pt>
                <c:pt idx="26">
                  <c:v>-9.2626918583252116E-2</c:v>
                </c:pt>
                <c:pt idx="27">
                  <c:v>-9.9335886413375762E-2</c:v>
                </c:pt>
                <c:pt idx="28">
                  <c:v>-0.10638126616050492</c:v>
                </c:pt>
                <c:pt idx="29">
                  <c:v>-0.11375106886165343</c:v>
                </c:pt>
                <c:pt idx="30">
                  <c:v>-0.12141898145868046</c:v>
                </c:pt>
                <c:pt idx="31">
                  <c:v>-0.12933414439413426</c:v>
                </c:pt>
                <c:pt idx="32">
                  <c:v>-0.13742684682106399</c:v>
                </c:pt>
                <c:pt idx="33">
                  <c:v>-0.14564943984142265</c:v>
                </c:pt>
                <c:pt idx="34">
                  <c:v>-0.15398543152030397</c:v>
                </c:pt>
                <c:pt idx="35">
                  <c:v>-0.16238101887943479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E7-40EE-9B45-3C1F09E4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DRR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DRR!$L$2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DRR!$L$3:$L$38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-6.0500920937456293E-4</c:v>
                </c:pt>
                <c:pt idx="7">
                  <c:v>-2.2753746415531406E-3</c:v>
                </c:pt>
                <c:pt idx="8">
                  <c:v>-4.3957148820485958E-3</c:v>
                </c:pt>
                <c:pt idx="9">
                  <c:v>-7.5393859531486251E-3</c:v>
                </c:pt>
                <c:pt idx="10">
                  <c:v>-1.107641226043643E-2</c:v>
                </c:pt>
                <c:pt idx="11">
                  <c:v>-1.5003032129494276E-2</c:v>
                </c:pt>
                <c:pt idx="12">
                  <c:v>-1.9272788119199302E-2</c:v>
                </c:pt>
                <c:pt idx="13">
                  <c:v>-2.3814502443183949E-2</c:v>
                </c:pt>
                <c:pt idx="14">
                  <c:v>-2.8546790970147118E-2</c:v>
                </c:pt>
                <c:pt idx="15">
                  <c:v>-3.3382408438453859E-2</c:v>
                </c:pt>
                <c:pt idx="16">
                  <c:v>-3.8236659446024945E-2</c:v>
                </c:pt>
                <c:pt idx="17">
                  <c:v>-4.3035901891125716E-2</c:v>
                </c:pt>
                <c:pt idx="18">
                  <c:v>-4.7725423819441115E-2</c:v>
                </c:pt>
                <c:pt idx="19">
                  <c:v>-5.2270322684857762E-2</c:v>
                </c:pt>
                <c:pt idx="20">
                  <c:v>-5.6650822864207528E-2</c:v>
                </c:pt>
                <c:pt idx="21">
                  <c:v>-6.0863827483098376E-2</c:v>
                </c:pt>
                <c:pt idx="22">
                  <c:v>-6.4914807004891828E-2</c:v>
                </c:pt>
                <c:pt idx="23">
                  <c:v>-6.8820229807224353E-2</c:v>
                </c:pt>
                <c:pt idx="24">
                  <c:v>-7.2601303864458178E-2</c:v>
                </c:pt>
                <c:pt idx="25">
                  <c:v>-7.6276993665391313E-2</c:v>
                </c:pt>
                <c:pt idx="26">
                  <c:v>-7.9860636369406324E-2</c:v>
                </c:pt>
                <c:pt idx="27">
                  <c:v>-8.3363071386051146E-2</c:v>
                </c:pt>
                <c:pt idx="28">
                  <c:v>-8.6788814130281278E-2</c:v>
                </c:pt>
                <c:pt idx="29">
                  <c:v>-9.0137611091296255E-2</c:v>
                </c:pt>
                <c:pt idx="30">
                  <c:v>-9.3403343044676013E-2</c:v>
                </c:pt>
                <c:pt idx="31">
                  <c:v>-9.6576313325764662E-2</c:v>
                </c:pt>
                <c:pt idx="32">
                  <c:v>-9.9649620911631431E-2</c:v>
                </c:pt>
                <c:pt idx="33">
                  <c:v>-0.10261332355209651</c:v>
                </c:pt>
                <c:pt idx="34">
                  <c:v>-0.10545637487428772</c:v>
                </c:pt>
                <c:pt idx="35">
                  <c:v>-0.10816828992077565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0-47FB-8B46-83E21B48669C}"/>
            </c:ext>
          </c:extLst>
        </c:ser>
        <c:ser>
          <c:idx val="1"/>
          <c:order val="1"/>
          <c:tx>
            <c:strRef>
              <c:f>DRR!$M$2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DRR!$M$3:$M$38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-5.8607687758827076E-4</c:v>
                </c:pt>
                <c:pt idx="7">
                  <c:v>-2.2031378227651555E-3</c:v>
                </c:pt>
                <c:pt idx="8">
                  <c:v>-4.255671442594533E-3</c:v>
                </c:pt>
                <c:pt idx="9">
                  <c:v>-7.2962789821973129E-3</c:v>
                </c:pt>
                <c:pt idx="10">
                  <c:v>-1.0716960876925641E-2</c:v>
                </c:pt>
                <c:pt idx="11">
                  <c:v>-1.4513821692590301E-2</c:v>
                </c:pt>
                <c:pt idx="12">
                  <c:v>-1.8641733310723496E-2</c:v>
                </c:pt>
                <c:pt idx="13">
                  <c:v>-2.3031676980587501E-2</c:v>
                </c:pt>
                <c:pt idx="14">
                  <c:v>-2.760479598919896E-2</c:v>
                </c:pt>
                <c:pt idx="15">
                  <c:v>-3.227663864390673E-2</c:v>
                </c:pt>
                <c:pt idx="16">
                  <c:v>-3.6965269097043008E-2</c:v>
                </c:pt>
                <c:pt idx="17">
                  <c:v>-4.1599471877079575E-2</c:v>
                </c:pt>
                <c:pt idx="18">
                  <c:v>-4.6126343029982086E-2</c:v>
                </c:pt>
                <c:pt idx="19">
                  <c:v>-5.0512128177888749E-2</c:v>
                </c:pt>
                <c:pt idx="20">
                  <c:v>-5.4737698118022426E-2</c:v>
                </c:pt>
                <c:pt idx="21">
                  <c:v>-5.8800040412725907E-2</c:v>
                </c:pt>
                <c:pt idx="22">
                  <c:v>-6.2704417415792912E-2</c:v>
                </c:pt>
                <c:pt idx="23">
                  <c:v>-6.6466701775687587E-2</c:v>
                </c:pt>
                <c:pt idx="24">
                  <c:v>-7.0107316184435997E-2</c:v>
                </c:pt>
                <c:pt idx="25">
                  <c:v>-7.3644499816352793E-2</c:v>
                </c:pt>
                <c:pt idx="26">
                  <c:v>-7.7091050729874211E-2</c:v>
                </c:pt>
                <c:pt idx="27">
                  <c:v>-8.0457356723457996E-2</c:v>
                </c:pt>
                <c:pt idx="28">
                  <c:v>-8.3747655431334778E-2</c:v>
                </c:pt>
                <c:pt idx="29">
                  <c:v>-8.6961628135257207E-2</c:v>
                </c:pt>
                <c:pt idx="30">
                  <c:v>-9.00932964898985E-2</c:v>
                </c:pt>
                <c:pt idx="31">
                  <c:v>-9.3133255127857417E-2</c:v>
                </c:pt>
                <c:pt idx="32">
                  <c:v>-9.6074808114178678E-2</c:v>
                </c:pt>
                <c:pt idx="33">
                  <c:v>-9.8908347730222168E-2</c:v>
                </c:pt>
                <c:pt idx="34">
                  <c:v>-0.10162324238900367</c:v>
                </c:pt>
                <c:pt idx="35">
                  <c:v>-0.10420945337524157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0-47FB-8B46-83E21B48669C}"/>
            </c:ext>
          </c:extLst>
        </c:ser>
        <c:ser>
          <c:idx val="2"/>
          <c:order val="2"/>
          <c:tx>
            <c:strRef>
              <c:f>DRR!$N$2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DRR!$N$3:$N$38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-5.8653924803142576E-4</c:v>
                </c:pt>
                <c:pt idx="7">
                  <c:v>-2.203714181156835E-3</c:v>
                </c:pt>
                <c:pt idx="8">
                  <c:v>-4.2558378360655347E-3</c:v>
                </c:pt>
                <c:pt idx="9">
                  <c:v>-7.2929048445076194E-3</c:v>
                </c:pt>
                <c:pt idx="10">
                  <c:v>-1.0708447465919702E-2</c:v>
                </c:pt>
                <c:pt idx="11">
                  <c:v>-1.449813215092699E-2</c:v>
                </c:pt>
                <c:pt idx="12">
                  <c:v>-1.8616509110428336E-2</c:v>
                </c:pt>
                <c:pt idx="13">
                  <c:v>-2.299429295149813E-2</c:v>
                </c:pt>
                <c:pt idx="14">
                  <c:v>-2.7552421801846583E-2</c:v>
                </c:pt>
                <c:pt idx="15">
                  <c:v>-3.2206337688568953E-2</c:v>
                </c:pt>
                <c:pt idx="16">
                  <c:v>-3.68740984485737E-2</c:v>
                </c:pt>
                <c:pt idx="17">
                  <c:v>-4.1485598337891116E-2</c:v>
                </c:pt>
                <c:pt idx="18">
                  <c:v>-4.5988568024245557E-2</c:v>
                </c:pt>
                <c:pt idx="19">
                  <c:v>-5.0349625825337752E-2</c:v>
                </c:pt>
                <c:pt idx="20">
                  <c:v>-5.454983115384382E-2</c:v>
                </c:pt>
                <c:pt idx="21">
                  <c:v>-5.8586148568760654E-2</c:v>
                </c:pt>
                <c:pt idx="22">
                  <c:v>-6.2462817362065826E-2</c:v>
                </c:pt>
                <c:pt idx="23">
                  <c:v>-6.6194822396802522E-2</c:v>
                </c:pt>
                <c:pt idx="24">
                  <c:v>-6.980198433693463E-2</c:v>
                </c:pt>
                <c:pt idx="25">
                  <c:v>-7.330215176553323E-2</c:v>
                </c:pt>
                <c:pt idx="26">
                  <c:v>-7.6707932318489602E-2</c:v>
                </c:pt>
                <c:pt idx="27">
                  <c:v>-8.0029634825380724E-2</c:v>
                </c:pt>
                <c:pt idx="28">
                  <c:v>-8.3271535223241155E-2</c:v>
                </c:pt>
                <c:pt idx="29">
                  <c:v>-8.6433424303492434E-2</c:v>
                </c:pt>
                <c:pt idx="30">
                  <c:v>-8.9509509317735381E-2</c:v>
                </c:pt>
                <c:pt idx="31">
                  <c:v>-9.2490616042406049E-2</c:v>
                </c:pt>
                <c:pt idx="32">
                  <c:v>-9.5370234851433033E-2</c:v>
                </c:pt>
                <c:pt idx="33">
                  <c:v>-9.8138994650007749E-2</c:v>
                </c:pt>
                <c:pt idx="34">
                  <c:v>-0.10078653637208046</c:v>
                </c:pt>
                <c:pt idx="35">
                  <c:v>-0.10330311267462078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0-47FB-8B46-83E21B48669C}"/>
            </c:ext>
          </c:extLst>
        </c:ser>
        <c:ser>
          <c:idx val="3"/>
          <c:order val="3"/>
          <c:tx>
            <c:strRef>
              <c:f>DRR!$O$2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DRR!$O$3:$O$38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-6.0500920937456293E-4</c:v>
                </c:pt>
                <c:pt idx="7">
                  <c:v>-2.3094467044917355E-3</c:v>
                </c:pt>
                <c:pt idx="8">
                  <c:v>-4.5201082322654518E-3</c:v>
                </c:pt>
                <c:pt idx="9">
                  <c:v>-7.8788267419235281E-3</c:v>
                </c:pt>
                <c:pt idx="10">
                  <c:v>-1.1756454158114327E-2</c:v>
                </c:pt>
                <c:pt idx="11">
                  <c:v>-1.614304758715146E-2</c:v>
                </c:pt>
                <c:pt idx="12">
                  <c:v>-2.1014200195962784E-2</c:v>
                </c:pt>
                <c:pt idx="13">
                  <c:v>-2.6326117358382528E-2</c:v>
                </c:pt>
                <c:pt idx="14">
                  <c:v>-3.1997624607855601E-2</c:v>
                </c:pt>
                <c:pt idx="15">
                  <c:v>-3.7973091839094142E-2</c:v>
                </c:pt>
                <c:pt idx="16">
                  <c:v>-4.4171499016175675E-2</c:v>
                </c:pt>
                <c:pt idx="17">
                  <c:v>-5.0502593799104378E-2</c:v>
                </c:pt>
                <c:pt idx="18">
                  <c:v>-5.6920208728275079E-2</c:v>
                </c:pt>
                <c:pt idx="19">
                  <c:v>-6.3386784966455556E-2</c:v>
                </c:pt>
                <c:pt idx="20">
                  <c:v>-6.9885946873560978E-2</c:v>
                </c:pt>
                <c:pt idx="21">
                  <c:v>-7.6438912737890607E-2</c:v>
                </c:pt>
                <c:pt idx="22">
                  <c:v>-8.3093213300576063E-2</c:v>
                </c:pt>
                <c:pt idx="23">
                  <c:v>-8.9883787452862629E-2</c:v>
                </c:pt>
                <c:pt idx="24">
                  <c:v>-9.6853061787728012E-2</c:v>
                </c:pt>
                <c:pt idx="25">
                  <c:v>-0.10403719820701796</c:v>
                </c:pt>
                <c:pt idx="26">
                  <c:v>-0.11148315673932663</c:v>
                </c:pt>
                <c:pt idx="27">
                  <c:v>-0.11924770861117151</c:v>
                </c:pt>
                <c:pt idx="28">
                  <c:v>-0.12734078453338427</c:v>
                </c:pt>
                <c:pt idx="29">
                  <c:v>-0.13575424669562242</c:v>
                </c:pt>
                <c:pt idx="30">
                  <c:v>-0.14446630291955764</c:v>
                </c:pt>
                <c:pt idx="31">
                  <c:v>-0.1534332738654709</c:v>
                </c:pt>
                <c:pt idx="32">
                  <c:v>-0.16258548039758591</c:v>
                </c:pt>
                <c:pt idx="33">
                  <c:v>-0.17185426455410391</c:v>
                </c:pt>
                <c:pt idx="34">
                  <c:v>-0.18122502271394292</c:v>
                </c:pt>
                <c:pt idx="35">
                  <c:v>-0.19064139592462881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50-47FB-8B46-83E21B48669C}"/>
            </c:ext>
          </c:extLst>
        </c:ser>
        <c:ser>
          <c:idx val="4"/>
          <c:order val="4"/>
          <c:tx>
            <c:strRef>
              <c:f>DRR!$P$2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DRR!$P$3:$P$38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-5.8607687758827076E-4</c:v>
                </c:pt>
                <c:pt idx="7">
                  <c:v>-2.2360891274250116E-3</c:v>
                </c:pt>
                <c:pt idx="8">
                  <c:v>-4.3759588560298157E-3</c:v>
                </c:pt>
                <c:pt idx="9">
                  <c:v>-7.6244444362165709E-3</c:v>
                </c:pt>
                <c:pt idx="10">
                  <c:v>-1.1374311860733011E-2</c:v>
                </c:pt>
                <c:pt idx="11">
                  <c:v>-1.5615693472954106E-2</c:v>
                </c:pt>
                <c:pt idx="12">
                  <c:v>-2.0324750151154314E-2</c:v>
                </c:pt>
                <c:pt idx="13">
                  <c:v>-2.5458884681550664E-2</c:v>
                </c:pt>
                <c:pt idx="14">
                  <c:v>-3.0939432091435015E-2</c:v>
                </c:pt>
                <c:pt idx="15">
                  <c:v>-3.6712419550695041E-2</c:v>
                </c:pt>
                <c:pt idx="16">
                  <c:v>-4.2699420459117454E-2</c:v>
                </c:pt>
                <c:pt idx="17">
                  <c:v>-4.8813160095269703E-2</c:v>
                </c:pt>
                <c:pt idx="18">
                  <c:v>-5.5008961382757904E-2</c:v>
                </c:pt>
                <c:pt idx="19">
                  <c:v>-6.1250467516211216E-2</c:v>
                </c:pt>
                <c:pt idx="20">
                  <c:v>-6.7521798572291458E-2</c:v>
                </c:pt>
                <c:pt idx="21">
                  <c:v>-7.3843358085176281E-2</c:v>
                </c:pt>
                <c:pt idx="22">
                  <c:v>-8.0260906667450449E-2</c:v>
                </c:pt>
                <c:pt idx="23">
                  <c:v>-8.6808054282918157E-2</c:v>
                </c:pt>
                <c:pt idx="24">
                  <c:v>-9.3525643038689044E-2</c:v>
                </c:pt>
                <c:pt idx="25">
                  <c:v>-0.10044849309685222</c:v>
                </c:pt>
                <c:pt idx="26">
                  <c:v>-0.10762184371513794</c:v>
                </c:pt>
                <c:pt idx="27">
                  <c:v>-0.11510032782599611</c:v>
                </c:pt>
                <c:pt idx="28">
                  <c:v>-0.12289345044516953</c:v>
                </c:pt>
                <c:pt idx="29">
                  <c:v>-0.1309933039090635</c:v>
                </c:pt>
                <c:pt idx="30">
                  <c:v>-0.13937895531031297</c:v>
                </c:pt>
                <c:pt idx="31">
                  <c:v>-0.14800840248345726</c:v>
                </c:pt>
                <c:pt idx="32">
                  <c:v>-0.15681461734691426</c:v>
                </c:pt>
                <c:pt idx="33">
                  <c:v>-0.16573166042650567</c:v>
                </c:pt>
                <c:pt idx="34">
                  <c:v>-0.17474578025954135</c:v>
                </c:pt>
                <c:pt idx="35">
                  <c:v>-0.18380258458359222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50-47FB-8B46-83E21B48669C}"/>
            </c:ext>
          </c:extLst>
        </c:ser>
        <c:ser>
          <c:idx val="5"/>
          <c:order val="5"/>
          <c:tx>
            <c:strRef>
              <c:f>DRR!$Q$2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DRR!$K$3:$K$38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DRR!$Q$3:$Q$38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-5.8653924803142576E-4</c:v>
                </c:pt>
                <c:pt idx="7">
                  <c:v>-2.2366435608061064E-3</c:v>
                </c:pt>
                <c:pt idx="8">
                  <c:v>-4.3760051551503532E-3</c:v>
                </c:pt>
                <c:pt idx="9">
                  <c:v>-7.6206190600671686E-3</c:v>
                </c:pt>
                <c:pt idx="10">
                  <c:v>-1.1364656174982279E-2</c:v>
                </c:pt>
                <c:pt idx="11">
                  <c:v>-1.5597735621656117E-2</c:v>
                </c:pt>
                <c:pt idx="12">
                  <c:v>-2.0295529807781376E-2</c:v>
                </c:pt>
                <c:pt idx="13">
                  <c:v>-2.5414948159876327E-2</c:v>
                </c:pt>
                <c:pt idx="14">
                  <c:v>-3.0876978699000968E-2</c:v>
                </c:pt>
                <c:pt idx="15">
                  <c:v>-3.6627201091343653E-2</c:v>
                </c:pt>
                <c:pt idx="16">
                  <c:v>-4.2586951789972072E-2</c:v>
                </c:pt>
                <c:pt idx="17">
                  <c:v>-4.8669959517400496E-2</c:v>
                </c:pt>
                <c:pt idx="18">
                  <c:v>-5.4831886003299579E-2</c:v>
                </c:pt>
                <c:pt idx="19">
                  <c:v>-6.1036519454222837E-2</c:v>
                </c:pt>
                <c:pt idx="20">
                  <c:v>-6.7267887667774362E-2</c:v>
                </c:pt>
                <c:pt idx="21">
                  <c:v>-7.3545898519623787E-2</c:v>
                </c:pt>
                <c:pt idx="22">
                  <c:v>-7.9914608948418397E-2</c:v>
                </c:pt>
                <c:pt idx="23">
                  <c:v>-8.6406263953050289E-2</c:v>
                </c:pt>
                <c:pt idx="24">
                  <c:v>-9.3060598574610354E-2</c:v>
                </c:pt>
                <c:pt idx="25">
                  <c:v>-9.9911573527645015E-2</c:v>
                </c:pt>
                <c:pt idx="26">
                  <c:v>-0.10700356199246819</c:v>
                </c:pt>
                <c:pt idx="27">
                  <c:v>-0.11439026024088317</c:v>
                </c:pt>
                <c:pt idx="28">
                  <c:v>-0.12208081059865805</c:v>
                </c:pt>
                <c:pt idx="29">
                  <c:v>-0.13006722432563333</c:v>
                </c:pt>
                <c:pt idx="30">
                  <c:v>-0.13832866689584278</c:v>
                </c:pt>
                <c:pt idx="31">
                  <c:v>-0.14682355162591854</c:v>
                </c:pt>
                <c:pt idx="32">
                  <c:v>-0.15548567748055897</c:v>
                </c:pt>
                <c:pt idx="33">
                  <c:v>-0.16424997786744266</c:v>
                </c:pt>
                <c:pt idx="34">
                  <c:v>-0.17310279123655092</c:v>
                </c:pt>
                <c:pt idx="35">
                  <c:v>-0.18199045249064638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50-47FB-8B46-83E21B48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AGR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AGR!$L$2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AGR!$L$3:$L$38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-1.302002319192308E-5</c:v>
                </c:pt>
                <c:pt idx="7">
                  <c:v>-5.03958567472651E-5</c:v>
                </c:pt>
                <c:pt idx="8">
                  <c:v>-9.9269184881678463E-5</c:v>
                </c:pt>
                <c:pt idx="9">
                  <c:v>-1.6787462362233274E-4</c:v>
                </c:pt>
                <c:pt idx="10">
                  <c:v>-2.4726301680888518E-4</c:v>
                </c:pt>
                <c:pt idx="11">
                  <c:v>-3.3220207910478194E-4</c:v>
                </c:pt>
                <c:pt idx="12">
                  <c:v>-4.1900043837994616E-4</c:v>
                </c:pt>
                <c:pt idx="13">
                  <c:v>-5.1318102017816614E-4</c:v>
                </c:pt>
                <c:pt idx="14">
                  <c:v>-6.1202088247891417E-4</c:v>
                </c:pt>
                <c:pt idx="15">
                  <c:v>-7.0924333250543814E-4</c:v>
                </c:pt>
                <c:pt idx="16">
                  <c:v>-8.0061755731597462E-4</c:v>
                </c:pt>
                <c:pt idx="17">
                  <c:v>-8.8931583098283973E-4</c:v>
                </c:pt>
                <c:pt idx="18">
                  <c:v>-9.7909237956883555E-4</c:v>
                </c:pt>
                <c:pt idx="19">
                  <c:v>-1.0655538758242988E-3</c:v>
                </c:pt>
                <c:pt idx="20">
                  <c:v>-1.1499801233395557E-3</c:v>
                </c:pt>
                <c:pt idx="21">
                  <c:v>-1.2266971887507916E-3</c:v>
                </c:pt>
                <c:pt idx="22">
                  <c:v>-1.3026506905070567E-3</c:v>
                </c:pt>
                <c:pt idx="23">
                  <c:v>-1.3860445764422025E-3</c:v>
                </c:pt>
                <c:pt idx="24">
                  <c:v>-1.4776527876904089E-3</c:v>
                </c:pt>
                <c:pt idx="25">
                  <c:v>-1.5723362627171333E-3</c:v>
                </c:pt>
                <c:pt idx="26">
                  <c:v>-1.6731745214383364E-3</c:v>
                </c:pt>
                <c:pt idx="27">
                  <c:v>-1.7789151356581989E-3</c:v>
                </c:pt>
                <c:pt idx="28">
                  <c:v>-1.8897956135206506E-3</c:v>
                </c:pt>
                <c:pt idx="29">
                  <c:v>-2.0016681080992083E-3</c:v>
                </c:pt>
                <c:pt idx="30">
                  <c:v>-2.1109413872919536E-3</c:v>
                </c:pt>
                <c:pt idx="31">
                  <c:v>-2.2269385021304045E-3</c:v>
                </c:pt>
                <c:pt idx="32">
                  <c:v>-2.3473156252195038E-3</c:v>
                </c:pt>
                <c:pt idx="33">
                  <c:v>-2.4664202267106194E-3</c:v>
                </c:pt>
                <c:pt idx="34">
                  <c:v>-2.57866959436992E-3</c:v>
                </c:pt>
                <c:pt idx="35">
                  <c:v>-2.6886034478740273E-3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5-4811-B078-0F07E02C1243}"/>
            </c:ext>
          </c:extLst>
        </c:ser>
        <c:ser>
          <c:idx val="1"/>
          <c:order val="1"/>
          <c:tx>
            <c:strRef>
              <c:f>AGR!$M$2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AGR!$M$3:$M$38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1.778853030920402E-5</c:v>
                </c:pt>
                <c:pt idx="7">
                  <c:v>8.6408451493547034E-5</c:v>
                </c:pt>
                <c:pt idx="8">
                  <c:v>1.9536880557802228E-4</c:v>
                </c:pt>
                <c:pt idx="9">
                  <c:v>3.824817056790053E-4</c:v>
                </c:pt>
                <c:pt idx="10">
                  <c:v>6.1480571846517229E-4</c:v>
                </c:pt>
                <c:pt idx="11">
                  <c:v>9.0050362036686593E-4</c:v>
                </c:pt>
                <c:pt idx="12">
                  <c:v>1.243095723975518E-3</c:v>
                </c:pt>
                <c:pt idx="13">
                  <c:v>1.6348617892090189E-3</c:v>
                </c:pt>
                <c:pt idx="14">
                  <c:v>2.0747018070643719E-3</c:v>
                </c:pt>
                <c:pt idx="15">
                  <c:v>2.5635459414889983E-3</c:v>
                </c:pt>
                <c:pt idx="16">
                  <c:v>3.0990124382652695E-3</c:v>
                </c:pt>
                <c:pt idx="17">
                  <c:v>3.6705498522358049E-3</c:v>
                </c:pt>
                <c:pt idx="18">
                  <c:v>4.2672303106012777E-3</c:v>
                </c:pt>
                <c:pt idx="19">
                  <c:v>4.8876429439659308E-3</c:v>
                </c:pt>
                <c:pt idx="20">
                  <c:v>5.5258605156689455E-3</c:v>
                </c:pt>
                <c:pt idx="21">
                  <c:v>6.1849274398737553E-3</c:v>
                </c:pt>
                <c:pt idx="22">
                  <c:v>6.8559727238930446E-3</c:v>
                </c:pt>
                <c:pt idx="23">
                  <c:v>7.5299573963238942E-3</c:v>
                </c:pt>
                <c:pt idx="24">
                  <c:v>8.20642430516072E-3</c:v>
                </c:pt>
                <c:pt idx="25">
                  <c:v>8.8914904825121432E-3</c:v>
                </c:pt>
                <c:pt idx="26">
                  <c:v>9.5822910822509488E-3</c:v>
                </c:pt>
                <c:pt idx="27">
                  <c:v>1.0280231953682106E-2</c:v>
                </c:pt>
                <c:pt idx="28">
                  <c:v>1.0984444115799796E-2</c:v>
                </c:pt>
                <c:pt idx="29">
                  <c:v>1.1698146210423976E-2</c:v>
                </c:pt>
                <c:pt idx="30">
                  <c:v>1.2423265501570357E-2</c:v>
                </c:pt>
                <c:pt idx="31">
                  <c:v>1.3146960140175246E-2</c:v>
                </c:pt>
                <c:pt idx="32">
                  <c:v>1.3868865311283507E-2</c:v>
                </c:pt>
                <c:pt idx="33">
                  <c:v>1.4591936607203371E-2</c:v>
                </c:pt>
                <c:pt idx="34">
                  <c:v>1.5318997754508734E-2</c:v>
                </c:pt>
                <c:pt idx="35">
                  <c:v>1.604169124992838E-2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5-4811-B078-0F07E02C1243}"/>
            </c:ext>
          </c:extLst>
        </c:ser>
        <c:ser>
          <c:idx val="2"/>
          <c:order val="2"/>
          <c:tx>
            <c:strRef>
              <c:f>AGR!$N$2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AGR!$N$3:$N$38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3.702070066458063E-5</c:v>
                </c:pt>
                <c:pt idx="7">
                  <c:v>1.7216879786552397E-4</c:v>
                </c:pt>
                <c:pt idx="8">
                  <c:v>3.8013852679563698E-4</c:v>
                </c:pt>
                <c:pt idx="9">
                  <c:v>7.2831913294901796E-4</c:v>
                </c:pt>
                <c:pt idx="10">
                  <c:v>1.1568900177094665E-3</c:v>
                </c:pt>
                <c:pt idx="11">
                  <c:v>1.6759620171706846E-3</c:v>
                </c:pt>
                <c:pt idx="12">
                  <c:v>2.2890132431856447E-3</c:v>
                </c:pt>
                <c:pt idx="13">
                  <c:v>2.9869836383467074E-3</c:v>
                </c:pt>
                <c:pt idx="14">
                  <c:v>3.7663761140400709E-3</c:v>
                </c:pt>
                <c:pt idx="15">
                  <c:v>4.6247911490382432E-3</c:v>
                </c:pt>
                <c:pt idx="16">
                  <c:v>5.5557716273946234E-3</c:v>
                </c:pt>
                <c:pt idx="17">
                  <c:v>6.5431094428503034E-3</c:v>
                </c:pt>
                <c:pt idx="18">
                  <c:v>7.5708978345341293E-3</c:v>
                </c:pt>
                <c:pt idx="19">
                  <c:v>8.6338628004312135E-3</c:v>
                </c:pt>
                <c:pt idx="20">
                  <c:v>9.7231356736546815E-3</c:v>
                </c:pt>
                <c:pt idx="21">
                  <c:v>1.084023927035993E-2</c:v>
                </c:pt>
                <c:pt idx="22">
                  <c:v>1.197621246799474E-2</c:v>
                </c:pt>
                <c:pt idx="23">
                  <c:v>1.3122308649103021E-2</c:v>
                </c:pt>
                <c:pt idx="24">
                  <c:v>1.427879748671379E-2</c:v>
                </c:pt>
                <c:pt idx="25">
                  <c:v>1.545273088301613E-2</c:v>
                </c:pt>
                <c:pt idx="26">
                  <c:v>1.6641503944706315E-2</c:v>
                </c:pt>
                <c:pt idx="27">
                  <c:v>1.7846655544068613E-2</c:v>
                </c:pt>
                <c:pt idx="28">
                  <c:v>1.9066843215211238E-2</c:v>
                </c:pt>
                <c:pt idx="29">
                  <c:v>2.0304581670959498E-2</c:v>
                </c:pt>
                <c:pt idx="30">
                  <c:v>2.1560561443528137E-2</c:v>
                </c:pt>
                <c:pt idx="31">
                  <c:v>2.2819554608314307E-2</c:v>
                </c:pt>
                <c:pt idx="32">
                  <c:v>2.4079317363399522E-2</c:v>
                </c:pt>
                <c:pt idx="33">
                  <c:v>2.5340921523683058E-2</c:v>
                </c:pt>
                <c:pt idx="34">
                  <c:v>2.6605274361721776E-2</c:v>
                </c:pt>
                <c:pt idx="35">
                  <c:v>2.7861440165980467E-2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5-4811-B078-0F07E02C1243}"/>
            </c:ext>
          </c:extLst>
        </c:ser>
        <c:ser>
          <c:idx val="3"/>
          <c:order val="3"/>
          <c:tx>
            <c:strRef>
              <c:f>AGR!$O$2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AGR!$O$3:$O$38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-8.8348833278129035E-6</c:v>
                </c:pt>
                <c:pt idx="7">
                  <c:v>-3.661841218605133E-5</c:v>
                </c:pt>
                <c:pt idx="8">
                  <c:v>-7.8937897514896882E-5</c:v>
                </c:pt>
                <c:pt idx="9">
                  <c:v>-1.47523006671757E-4</c:v>
                </c:pt>
                <c:pt idx="10">
                  <c:v>-2.2651938370810143E-4</c:v>
                </c:pt>
                <c:pt idx="11">
                  <c:v>-3.1917952561644203E-4</c:v>
                </c:pt>
                <c:pt idx="12">
                  <c:v>-4.2859613958257103E-4</c:v>
                </c:pt>
                <c:pt idx="13">
                  <c:v>-5.5015648782086313E-4</c:v>
                </c:pt>
                <c:pt idx="14">
                  <c:v>-6.9125453861418329E-4</c:v>
                </c:pt>
                <c:pt idx="15">
                  <c:v>-8.4755303541439453E-4</c:v>
                </c:pt>
                <c:pt idx="16">
                  <c:v>-1.0118558844744996E-3</c:v>
                </c:pt>
                <c:pt idx="17">
                  <c:v>-1.1894729140601301E-3</c:v>
                </c:pt>
                <c:pt idx="18">
                  <c:v>-1.3795250298931361E-3</c:v>
                </c:pt>
                <c:pt idx="19">
                  <c:v>-1.5823463912105762E-3</c:v>
                </c:pt>
                <c:pt idx="20">
                  <c:v>-1.8042148369952216E-3</c:v>
                </c:pt>
                <c:pt idx="21">
                  <c:v>-2.0523925852015124E-3</c:v>
                </c:pt>
                <c:pt idx="22">
                  <c:v>-2.3246289899168104E-3</c:v>
                </c:pt>
                <c:pt idx="23">
                  <c:v>-2.6217555522494163E-3</c:v>
                </c:pt>
                <c:pt idx="24">
                  <c:v>-2.942830063923263E-3</c:v>
                </c:pt>
                <c:pt idx="25">
                  <c:v>-3.2925926148925644E-3</c:v>
                </c:pt>
                <c:pt idx="26">
                  <c:v>-3.6789302107252952E-3</c:v>
                </c:pt>
                <c:pt idx="27">
                  <c:v>-4.0937374370279001E-3</c:v>
                </c:pt>
                <c:pt idx="28">
                  <c:v>-4.5305265398718486E-3</c:v>
                </c:pt>
                <c:pt idx="29">
                  <c:v>-4.984167576190135E-3</c:v>
                </c:pt>
                <c:pt idx="30">
                  <c:v>-5.4469968358682452E-3</c:v>
                </c:pt>
                <c:pt idx="31">
                  <c:v>-5.9067802734973363E-3</c:v>
                </c:pt>
                <c:pt idx="32">
                  <c:v>-6.357667958181934E-3</c:v>
                </c:pt>
                <c:pt idx="33">
                  <c:v>-6.8156359943278844E-3</c:v>
                </c:pt>
                <c:pt idx="34">
                  <c:v>-7.2697098115493963E-3</c:v>
                </c:pt>
                <c:pt idx="35">
                  <c:v>-7.7172940925229749E-3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5-4811-B078-0F07E02C1243}"/>
            </c:ext>
          </c:extLst>
        </c:ser>
        <c:ser>
          <c:idx val="4"/>
          <c:order val="4"/>
          <c:tx>
            <c:strRef>
              <c:f>AGR!$P$2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AGR!$P$3:$P$38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2.198092689686959E-5</c:v>
                </c:pt>
                <c:pt idx="7">
                  <c:v>1.0023451016749618E-4</c:v>
                </c:pt>
                <c:pt idx="8">
                  <c:v>2.1579198207422046E-4</c:v>
                </c:pt>
                <c:pt idx="9">
                  <c:v>4.0291317837937157E-4</c:v>
                </c:pt>
                <c:pt idx="10">
                  <c:v>6.3563178769987516E-4</c:v>
                </c:pt>
                <c:pt idx="11">
                  <c:v>9.1348219566400601E-4</c:v>
                </c:pt>
                <c:pt idx="12">
                  <c:v>1.2330077923365934E-3</c:v>
                </c:pt>
                <c:pt idx="13">
                  <c:v>1.5967819838731412E-3</c:v>
                </c:pt>
                <c:pt idx="14">
                  <c:v>1.9932724532343293E-3</c:v>
                </c:pt>
                <c:pt idx="15">
                  <c:v>2.4213058543047783E-3</c:v>
                </c:pt>
                <c:pt idx="16">
                  <c:v>2.8814498157485602E-3</c:v>
                </c:pt>
                <c:pt idx="17">
                  <c:v>3.3607925690333218E-3</c:v>
                </c:pt>
                <c:pt idx="18">
                  <c:v>3.8530892528645388E-3</c:v>
                </c:pt>
                <c:pt idx="19">
                  <c:v>4.3518043453001365E-3</c:v>
                </c:pt>
                <c:pt idx="20">
                  <c:v>4.845582539192872E-3</c:v>
                </c:pt>
                <c:pt idx="21">
                  <c:v>5.3235937911824127E-3</c:v>
                </c:pt>
                <c:pt idx="22">
                  <c:v>5.7865119879543236E-3</c:v>
                </c:pt>
                <c:pt idx="23">
                  <c:v>6.232796336527624E-3</c:v>
                </c:pt>
                <c:pt idx="24">
                  <c:v>6.663584694244884E-3</c:v>
                </c:pt>
                <c:pt idx="25">
                  <c:v>7.0741355654837523E-3</c:v>
                </c:pt>
                <c:pt idx="26">
                  <c:v>7.4561758611759732E-3</c:v>
                </c:pt>
                <c:pt idx="27">
                  <c:v>7.8182653747722597E-3</c:v>
                </c:pt>
                <c:pt idx="28">
                  <c:v>8.166520816133227E-3</c:v>
                </c:pt>
                <c:pt idx="29">
                  <c:v>8.5049395582681431E-3</c:v>
                </c:pt>
                <c:pt idx="30">
                  <c:v>8.8396644781363332E-3</c:v>
                </c:pt>
                <c:pt idx="31">
                  <c:v>9.1813555813740066E-3</c:v>
                </c:pt>
                <c:pt idx="32">
                  <c:v>9.5332719101768326E-3</c:v>
                </c:pt>
                <c:pt idx="33">
                  <c:v>9.8743512677268441E-3</c:v>
                </c:pt>
                <c:pt idx="34">
                  <c:v>1.021356206828461E-2</c:v>
                </c:pt>
                <c:pt idx="35">
                  <c:v>1.0550486679202553E-2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5-4811-B078-0F07E02C1243}"/>
            </c:ext>
          </c:extLst>
        </c:ser>
        <c:ser>
          <c:idx val="5"/>
          <c:order val="5"/>
          <c:tx>
            <c:strRef>
              <c:f>AGR!$Q$2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AGR!$K$3:$K$38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AGR!$Q$3:$Q$38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4.1219532716185725E-5</c:v>
                </c:pt>
                <c:pt idx="7">
                  <c:v>1.8602685750335191E-4</c:v>
                </c:pt>
                <c:pt idx="8">
                  <c:v>4.0062064462897951E-4</c:v>
                </c:pt>
                <c:pt idx="9">
                  <c:v>7.4880304350277704E-4</c:v>
                </c:pt>
                <c:pt idx="10">
                  <c:v>1.1777714147269691E-3</c:v>
                </c:pt>
                <c:pt idx="11">
                  <c:v>1.6889159060498038E-3</c:v>
                </c:pt>
                <c:pt idx="12">
                  <c:v>2.2786183455927311E-3</c:v>
                </c:pt>
                <c:pt idx="13">
                  <c:v>2.9482111920677845E-3</c:v>
                </c:pt>
                <c:pt idx="14">
                  <c:v>3.683568188324271E-3</c:v>
                </c:pt>
                <c:pt idx="15">
                  <c:v>4.4800828724069763E-3</c:v>
                </c:pt>
                <c:pt idx="16">
                  <c:v>5.3342331180239455E-3</c:v>
                </c:pt>
                <c:pt idx="17">
                  <c:v>6.2273121375722162E-3</c:v>
                </c:pt>
                <c:pt idx="18">
                  <c:v>7.1481273752420638E-3</c:v>
                </c:pt>
                <c:pt idx="19">
                  <c:v>8.086027810028984E-3</c:v>
                </c:pt>
                <c:pt idx="20">
                  <c:v>9.0264443362044755E-3</c:v>
                </c:pt>
                <c:pt idx="21">
                  <c:v>9.9564323722414194E-3</c:v>
                </c:pt>
                <c:pt idx="22">
                  <c:v>1.0876782676357166E-2</c:v>
                </c:pt>
                <c:pt idx="23">
                  <c:v>1.1786381233485743E-2</c:v>
                </c:pt>
                <c:pt idx="24">
                  <c:v>1.2686969851059882E-2</c:v>
                </c:pt>
                <c:pt idx="25">
                  <c:v>1.3574106098495964E-2</c:v>
                </c:pt>
                <c:pt idx="26">
                  <c:v>1.4439412231131321E-2</c:v>
                </c:pt>
                <c:pt idx="27">
                  <c:v>1.529175213618128E-2</c:v>
                </c:pt>
                <c:pt idx="28">
                  <c:v>1.61369261698181E-2</c:v>
                </c:pt>
                <c:pt idx="29">
                  <c:v>1.6978080521180994E-2</c:v>
                </c:pt>
                <c:pt idx="30">
                  <c:v>1.7820233513399897E-2</c:v>
                </c:pt>
                <c:pt idx="31">
                  <c:v>1.8672868056994529E-2</c:v>
                </c:pt>
                <c:pt idx="32">
                  <c:v>1.9537435907568179E-2</c:v>
                </c:pt>
                <c:pt idx="33">
                  <c:v>2.0389477191198324E-2</c:v>
                </c:pt>
                <c:pt idx="34">
                  <c:v>2.1236537931368815E-2</c:v>
                </c:pt>
                <c:pt idx="35">
                  <c:v>2.2076124668761521E-2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35-4811-B078-0F07E02C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Impacts, %d</a:t>
            </a:r>
            <a:r>
              <a:rPr lang="en-US" baseline="0"/>
              <a:t>ifferences from baseline, HYD only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HYD!$L$2</c:f>
              <c:strCache>
                <c:ptCount val="1"/>
                <c:pt idx="0">
                  <c:v>Control_Optimistic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HYD!$L$3:$L$38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-3.0423508157184642E-10</c:v>
                </c:pt>
                <c:pt idx="7">
                  <c:v>1.8558599101936579E-10</c:v>
                </c:pt>
                <c:pt idx="8">
                  <c:v>4.1378900306199284E-11</c:v>
                </c:pt>
                <c:pt idx="9">
                  <c:v>-1.9655993499512192E-9</c:v>
                </c:pt>
                <c:pt idx="10">
                  <c:v>1.6805046243462129E-10</c:v>
                </c:pt>
                <c:pt idx="11">
                  <c:v>8.4622664431321937E-10</c:v>
                </c:pt>
                <c:pt idx="12">
                  <c:v>2.7519631018435575E-10</c:v>
                </c:pt>
                <c:pt idx="13">
                  <c:v>6.4970251401064161E-12</c:v>
                </c:pt>
                <c:pt idx="14">
                  <c:v>1.2888690115175905E-10</c:v>
                </c:pt>
                <c:pt idx="15">
                  <c:v>-4.6035242284858668E-10</c:v>
                </c:pt>
                <c:pt idx="16">
                  <c:v>3.0406521744907877E-10</c:v>
                </c:pt>
                <c:pt idx="17">
                  <c:v>1.0204437295158186E-10</c:v>
                </c:pt>
                <c:pt idx="18">
                  <c:v>1.5025913846500316E-10</c:v>
                </c:pt>
                <c:pt idx="19">
                  <c:v>9.077822937797464E-10</c:v>
                </c:pt>
                <c:pt idx="20">
                  <c:v>1.0199530109389343E-9</c:v>
                </c:pt>
                <c:pt idx="21">
                  <c:v>-1.0779800385662952E-9</c:v>
                </c:pt>
                <c:pt idx="22">
                  <c:v>-9.3481822283081328E-10</c:v>
                </c:pt>
                <c:pt idx="23">
                  <c:v>-3.9122360906418407E-10</c:v>
                </c:pt>
                <c:pt idx="24">
                  <c:v>-1.857035636376736E-10</c:v>
                </c:pt>
                <c:pt idx="25">
                  <c:v>-1.9358170622041371E-10</c:v>
                </c:pt>
                <c:pt idx="26">
                  <c:v>-2.2627255624740883E-10</c:v>
                </c:pt>
                <c:pt idx="27">
                  <c:v>3.4052760611302801E-11</c:v>
                </c:pt>
                <c:pt idx="28">
                  <c:v>-3.9724112887995489E-11</c:v>
                </c:pt>
                <c:pt idx="29">
                  <c:v>-1.1815259881586826E-10</c:v>
                </c:pt>
                <c:pt idx="30">
                  <c:v>-1.2543954763799547E-10</c:v>
                </c:pt>
                <c:pt idx="31">
                  <c:v>-1.0064604705206648E-10</c:v>
                </c:pt>
                <c:pt idx="32">
                  <c:v>-7.4960926355061019E-11</c:v>
                </c:pt>
                <c:pt idx="33">
                  <c:v>-5.5809024068764757E-11</c:v>
                </c:pt>
                <c:pt idx="34">
                  <c:v>-8.9145912873789257E-11</c:v>
                </c:pt>
                <c:pt idx="35">
                  <c:v>6.7432059935867983E-11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6-4776-B3FF-67CADBCA4F52}"/>
            </c:ext>
          </c:extLst>
        </c:ser>
        <c:ser>
          <c:idx val="1"/>
          <c:order val="1"/>
          <c:tx>
            <c:strRef>
              <c:f>HYD!$M$2</c:f>
              <c:strCache>
                <c:ptCount val="1"/>
                <c:pt idx="0">
                  <c:v>StatusQuo_Optimistic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HYD!$M$3:$M$38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1.1749875821198685E-6</c:v>
                </c:pt>
                <c:pt idx="7">
                  <c:v>1.0740811932308247E-5</c:v>
                </c:pt>
                <c:pt idx="8">
                  <c:v>2.7491859998507451E-5</c:v>
                </c:pt>
                <c:pt idx="9">
                  <c:v>5.7435823663798402E-5</c:v>
                </c:pt>
                <c:pt idx="10">
                  <c:v>9.4912213735476314E-5</c:v>
                </c:pt>
                <c:pt idx="11">
                  <c:v>1.4188636665957155E-4</c:v>
                </c:pt>
                <c:pt idx="12">
                  <c:v>1.9928071302044437E-4</c:v>
                </c:pt>
                <c:pt idx="13">
                  <c:v>2.6690805080664681E-4</c:v>
                </c:pt>
                <c:pt idx="14">
                  <c:v>3.4359667908967495E-4</c:v>
                </c:pt>
                <c:pt idx="15">
                  <c:v>4.2758830529487923E-4</c:v>
                </c:pt>
                <c:pt idx="16">
                  <c:v>5.16826217979105E-4</c:v>
                </c:pt>
                <c:pt idx="17">
                  <c:v>6.0927779241692903E-4</c:v>
                </c:pt>
                <c:pt idx="18">
                  <c:v>7.0311512880394389E-4</c:v>
                </c:pt>
                <c:pt idx="19">
                  <c:v>7.9652551977527075E-4</c:v>
                </c:pt>
                <c:pt idx="20">
                  <c:v>8.8780804665611335E-4</c:v>
                </c:pt>
                <c:pt idx="21">
                  <c:v>9.7543355647200514E-4</c:v>
                </c:pt>
                <c:pt idx="22">
                  <c:v>1.0582798981988439E-3</c:v>
                </c:pt>
                <c:pt idx="23">
                  <c:v>1.1360061553262746E-3</c:v>
                </c:pt>
                <c:pt idx="24">
                  <c:v>1.208387283210044E-3</c:v>
                </c:pt>
                <c:pt idx="25">
                  <c:v>1.2750046517662206E-3</c:v>
                </c:pt>
                <c:pt idx="26">
                  <c:v>1.3356572168274905E-3</c:v>
                </c:pt>
                <c:pt idx="27">
                  <c:v>1.3903511783419642E-3</c:v>
                </c:pt>
                <c:pt idx="28">
                  <c:v>1.4390833109223511E-3</c:v>
                </c:pt>
                <c:pt idx="29">
                  <c:v>1.4817126768522648E-3</c:v>
                </c:pt>
                <c:pt idx="30">
                  <c:v>1.5178995842932697E-3</c:v>
                </c:pt>
                <c:pt idx="31">
                  <c:v>1.5478241852895369E-3</c:v>
                </c:pt>
                <c:pt idx="32">
                  <c:v>1.5715694372326894E-3</c:v>
                </c:pt>
                <c:pt idx="33">
                  <c:v>1.5886395017052912E-3</c:v>
                </c:pt>
                <c:pt idx="34">
                  <c:v>1.5983346926067288E-3</c:v>
                </c:pt>
                <c:pt idx="35">
                  <c:v>1.6004307783070715E-3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6-4776-B3FF-67CADBCA4F52}"/>
            </c:ext>
          </c:extLst>
        </c:ser>
        <c:ser>
          <c:idx val="2"/>
          <c:order val="2"/>
          <c:tx>
            <c:strRef>
              <c:f>HYD!$N$2</c:f>
              <c:strCache>
                <c:ptCount val="1"/>
                <c:pt idx="0">
                  <c:v>Improvement_Optimistic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HYD!$N$3:$N$38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9.7507188900891606E-7</c:v>
                </c:pt>
                <c:pt idx="7">
                  <c:v>1.1742746815812666E-5</c:v>
                </c:pt>
                <c:pt idx="8">
                  <c:v>3.0616654299819857E-5</c:v>
                </c:pt>
                <c:pt idx="9">
                  <c:v>6.6033659227082708E-5</c:v>
                </c:pt>
                <c:pt idx="10">
                  <c:v>1.1010556051282983E-4</c:v>
                </c:pt>
                <c:pt idx="11">
                  <c:v>1.6531698123922745E-4</c:v>
                </c:pt>
                <c:pt idx="12">
                  <c:v>2.3282845361149995E-4</c:v>
                </c:pt>
                <c:pt idx="13">
                  <c:v>3.1242002627163146E-4</c:v>
                </c:pt>
                <c:pt idx="14">
                  <c:v>4.0268834488377259E-4</c:v>
                </c:pt>
                <c:pt idx="15">
                  <c:v>5.0153668118335659E-4</c:v>
                </c:pt>
                <c:pt idx="16">
                  <c:v>6.0652749636314063E-4</c:v>
                </c:pt>
                <c:pt idx="17">
                  <c:v>7.1422628490158679E-4</c:v>
                </c:pt>
                <c:pt idx="18">
                  <c:v>8.2192840677253187E-4</c:v>
                </c:pt>
                <c:pt idx="19">
                  <c:v>9.2723757647683591E-4</c:v>
                </c:pt>
                <c:pt idx="20">
                  <c:v>1.0281024058680366E-3</c:v>
                </c:pt>
                <c:pt idx="21">
                  <c:v>1.1228564084782011E-3</c:v>
                </c:pt>
                <c:pt idx="22">
                  <c:v>1.2112702490565397E-3</c:v>
                </c:pt>
                <c:pt idx="23">
                  <c:v>1.2936892128578847E-3</c:v>
                </c:pt>
                <c:pt idx="24">
                  <c:v>1.3702886405368986E-3</c:v>
                </c:pt>
                <c:pt idx="25">
                  <c:v>1.4409610999033262E-3</c:v>
                </c:pt>
                <c:pt idx="26">
                  <c:v>1.5055943059814059E-3</c:v>
                </c:pt>
                <c:pt idx="27">
                  <c:v>1.5642754372517942E-3</c:v>
                </c:pt>
                <c:pt idx="28">
                  <c:v>1.6169422797442934E-3</c:v>
                </c:pt>
                <c:pt idx="29">
                  <c:v>1.663373113523603E-3</c:v>
                </c:pt>
                <c:pt idx="30">
                  <c:v>1.7031218189942354E-3</c:v>
                </c:pt>
                <c:pt idx="31">
                  <c:v>1.7362325485894559E-3</c:v>
                </c:pt>
                <c:pt idx="32">
                  <c:v>1.7626458491195596E-3</c:v>
                </c:pt>
                <c:pt idx="33">
                  <c:v>1.7817363167611511E-3</c:v>
                </c:pt>
                <c:pt idx="34">
                  <c:v>1.7926817747504487E-3</c:v>
                </c:pt>
                <c:pt idx="35">
                  <c:v>1.7951353304679341E-3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06-4776-B3FF-67CADBCA4F52}"/>
            </c:ext>
          </c:extLst>
        </c:ser>
        <c:ser>
          <c:idx val="3"/>
          <c:order val="3"/>
          <c:tx>
            <c:strRef>
              <c:f>HYD!$O$2</c:f>
              <c:strCache>
                <c:ptCount val="1"/>
                <c:pt idx="0">
                  <c:v>Control_Pessimistic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HYD!$O$3:$O$38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-3.0423508157184642E-10</c:v>
                </c:pt>
                <c:pt idx="7">
                  <c:v>1.8558599101936579E-10</c:v>
                </c:pt>
                <c:pt idx="8">
                  <c:v>4.1378900306199284E-11</c:v>
                </c:pt>
                <c:pt idx="9">
                  <c:v>-1.9655993499512192E-9</c:v>
                </c:pt>
                <c:pt idx="10">
                  <c:v>1.6805046243462129E-10</c:v>
                </c:pt>
                <c:pt idx="11">
                  <c:v>8.4622664431321937E-10</c:v>
                </c:pt>
                <c:pt idx="12">
                  <c:v>2.7519631018435575E-10</c:v>
                </c:pt>
                <c:pt idx="13">
                  <c:v>6.4970251401064161E-12</c:v>
                </c:pt>
                <c:pt idx="14">
                  <c:v>1.2888690115175905E-10</c:v>
                </c:pt>
                <c:pt idx="15">
                  <c:v>-4.6035242284858668E-10</c:v>
                </c:pt>
                <c:pt idx="16">
                  <c:v>3.0406521744907877E-10</c:v>
                </c:pt>
                <c:pt idx="17">
                  <c:v>1.0204437295158186E-10</c:v>
                </c:pt>
                <c:pt idx="18">
                  <c:v>1.5025913846500316E-10</c:v>
                </c:pt>
                <c:pt idx="19">
                  <c:v>9.077822937797464E-10</c:v>
                </c:pt>
                <c:pt idx="20">
                  <c:v>1.0199530109389343E-9</c:v>
                </c:pt>
                <c:pt idx="21">
                  <c:v>-1.0779800385662952E-9</c:v>
                </c:pt>
                <c:pt idx="22">
                  <c:v>-9.3481822283081328E-10</c:v>
                </c:pt>
                <c:pt idx="23">
                  <c:v>-3.9122360906418407E-10</c:v>
                </c:pt>
                <c:pt idx="24">
                  <c:v>-1.857035636376736E-10</c:v>
                </c:pt>
                <c:pt idx="25">
                  <c:v>-1.9358170622041371E-10</c:v>
                </c:pt>
                <c:pt idx="26">
                  <c:v>-2.2627255624740883E-10</c:v>
                </c:pt>
                <c:pt idx="27">
                  <c:v>3.4052760611302801E-11</c:v>
                </c:pt>
                <c:pt idx="28">
                  <c:v>-3.9724112887995489E-11</c:v>
                </c:pt>
                <c:pt idx="29">
                  <c:v>-1.1815259881586826E-10</c:v>
                </c:pt>
                <c:pt idx="30">
                  <c:v>-1.2543954763799547E-10</c:v>
                </c:pt>
                <c:pt idx="31">
                  <c:v>-1.0064604705206648E-10</c:v>
                </c:pt>
                <c:pt idx="32">
                  <c:v>-7.4960926355061019E-11</c:v>
                </c:pt>
                <c:pt idx="33">
                  <c:v>-5.5809024068764757E-11</c:v>
                </c:pt>
                <c:pt idx="34">
                  <c:v>-8.9145912873789257E-11</c:v>
                </c:pt>
                <c:pt idx="35">
                  <c:v>6.7432059935867983E-11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06-4776-B3FF-67CADBCA4F52}"/>
            </c:ext>
          </c:extLst>
        </c:ser>
        <c:ser>
          <c:idx val="4"/>
          <c:order val="4"/>
          <c:tx>
            <c:strRef>
              <c:f>HYD!$P$2</c:f>
              <c:strCache>
                <c:ptCount val="1"/>
                <c:pt idx="0">
                  <c:v>StatusQuo_Pessimistic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HYD!$P$3:$P$38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9.8388950986461055E-7</c:v>
                </c:pt>
                <c:pt idx="6">
                  <c:v>1.1579758103508198E-6</c:v>
                </c:pt>
                <c:pt idx="7">
                  <c:v>1.0562678229630862E-5</c:v>
                </c:pt>
                <c:pt idx="8">
                  <c:v>2.6990124356363054E-5</c:v>
                </c:pt>
                <c:pt idx="9">
                  <c:v>5.6289531029873885E-5</c:v>
                </c:pt>
                <c:pt idx="10">
                  <c:v>9.2784292843095528E-5</c:v>
                </c:pt>
                <c:pt idx="11">
                  <c:v>1.384139335944834E-4</c:v>
                </c:pt>
                <c:pt idx="12">
                  <c:v>1.9407824450246025E-4</c:v>
                </c:pt>
                <c:pt idx="13">
                  <c:v>2.5945295385709777E-4</c:v>
                </c:pt>
                <c:pt idx="14">
                  <c:v>3.3332195203095161E-4</c:v>
                </c:pt>
                <c:pt idx="15">
                  <c:v>4.1397568845535915E-4</c:v>
                </c:pt>
                <c:pt idx="16">
                  <c:v>4.9948055398774116E-4</c:v>
                </c:pt>
                <c:pt idx="17">
                  <c:v>5.8784750701601496E-4</c:v>
                </c:pt>
                <c:pt idx="18">
                  <c:v>6.7714506847060818E-4</c:v>
                </c:pt>
                <c:pt idx="19">
                  <c:v>7.655764582865654E-4</c:v>
                </c:pt>
                <c:pt idx="20">
                  <c:v>8.5156713987477595E-4</c:v>
                </c:pt>
                <c:pt idx="21">
                  <c:v>9.3378180957692791E-4</c:v>
                </c:pt>
                <c:pt idx="22">
                  <c:v>1.0111996172783577E-3</c:v>
                </c:pt>
                <c:pt idx="23">
                  <c:v>1.0830818499993899E-3</c:v>
                </c:pt>
                <c:pt idx="24">
                  <c:v>1.1489518563592149E-3</c:v>
                </c:pt>
                <c:pt idx="25">
                  <c:v>1.2085525245242312E-3</c:v>
                </c:pt>
                <c:pt idx="26">
                  <c:v>1.2617889679100713E-3</c:v>
                </c:pt>
                <c:pt idx="27">
                  <c:v>1.3086570822073984E-3</c:v>
                </c:pt>
                <c:pt idx="28">
                  <c:v>1.3491608880622508E-3</c:v>
                </c:pt>
                <c:pt idx="29">
                  <c:v>1.3833423691600455E-3</c:v>
                </c:pt>
                <c:pt idx="30">
                  <c:v>1.4111738028574905E-3</c:v>
                </c:pt>
                <c:pt idx="31">
                  <c:v>1.4325682264020312E-3</c:v>
                </c:pt>
                <c:pt idx="32">
                  <c:v>1.447380220531036E-3</c:v>
                </c:pt>
                <c:pt idx="33">
                  <c:v>1.4554216571913692E-3</c:v>
                </c:pt>
                <c:pt idx="34">
                  <c:v>1.4564700121926233E-3</c:v>
                </c:pt>
                <c:pt idx="35">
                  <c:v>1.4503159781993347E-3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06-4776-B3FF-67CADBCA4F52}"/>
            </c:ext>
          </c:extLst>
        </c:ser>
        <c:ser>
          <c:idx val="5"/>
          <c:order val="5"/>
          <c:tx>
            <c:strRef>
              <c:f>HYD!$Q$2</c:f>
              <c:strCache>
                <c:ptCount val="1"/>
                <c:pt idx="0">
                  <c:v>Improvement_Pessimistic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HYD!$K$3:$K$38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HYD!$Q$3:$Q$38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1.9678185319005337E-6</c:v>
                </c:pt>
                <c:pt idx="6">
                  <c:v>9.5852285264541592E-7</c:v>
                </c:pt>
                <c:pt idx="7">
                  <c:v>1.1586817425746077E-5</c:v>
                </c:pt>
                <c:pt idx="8">
                  <c:v>3.0140510833165379E-5</c:v>
                </c:pt>
                <c:pt idx="9">
                  <c:v>6.4903184293196858E-5</c:v>
                </c:pt>
                <c:pt idx="10">
                  <c:v>1.079858687669244E-4</c:v>
                </c:pt>
                <c:pt idx="11">
                  <c:v>1.6184180046519003E-4</c:v>
                </c:pt>
                <c:pt idx="12">
                  <c:v>2.2760416342082479E-4</c:v>
                </c:pt>
                <c:pt idx="13">
                  <c:v>3.0491689773670672E-4</c:v>
                </c:pt>
                <c:pt idx="14">
                  <c:v>3.9232715199788437E-4</c:v>
                </c:pt>
                <c:pt idx="15">
                  <c:v>4.8778276591554537E-4</c:v>
                </c:pt>
                <c:pt idx="16">
                  <c:v>5.8896681603193279E-4</c:v>
                </c:pt>
                <c:pt idx="17">
                  <c:v>6.9248540849664586E-4</c:v>
                </c:pt>
                <c:pt idx="18">
                  <c:v>7.9552950708938752E-4</c:v>
                </c:pt>
                <c:pt idx="19">
                  <c:v>8.9571655128883876E-4</c:v>
                </c:pt>
                <c:pt idx="20">
                  <c:v>9.9111289791897761E-4</c:v>
                </c:pt>
                <c:pt idx="21">
                  <c:v>1.0802304367927285E-3</c:v>
                </c:pt>
                <c:pt idx="22">
                  <c:v>1.1629328437856579E-3</c:v>
                </c:pt>
                <c:pt idx="23">
                  <c:v>1.2391774267861422E-3</c:v>
                </c:pt>
                <c:pt idx="24">
                  <c:v>1.308912407915086E-3</c:v>
                </c:pt>
                <c:pt idx="25">
                  <c:v>1.3721439341438657E-3</c:v>
                </c:pt>
                <c:pt idx="26">
                  <c:v>1.4288752309579156E-3</c:v>
                </c:pt>
                <c:pt idx="27">
                  <c:v>1.4791574845036681E-3</c:v>
                </c:pt>
                <c:pt idx="28">
                  <c:v>1.5229985856641814E-3</c:v>
                </c:pt>
                <c:pt idx="29">
                  <c:v>1.560343554452448E-3</c:v>
                </c:pt>
                <c:pt idx="30">
                  <c:v>1.5910657127298222E-3</c:v>
                </c:pt>
                <c:pt idx="31">
                  <c:v>1.614970601095278E-3</c:v>
                </c:pt>
                <c:pt idx="32">
                  <c:v>1.631795564371874E-3</c:v>
                </c:pt>
                <c:pt idx="33">
                  <c:v>1.6412039272590828E-3</c:v>
                </c:pt>
                <c:pt idx="34">
                  <c:v>1.6428395939975804E-3</c:v>
                </c:pt>
                <c:pt idx="35">
                  <c:v>1.6363812089918994E-3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06-4776-B3FF-67CADBCA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22639"/>
        <c:axId val="375731759"/>
      </c:lineChart>
      <c:catAx>
        <c:axId val="3757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31759"/>
        <c:crosses val="autoZero"/>
        <c:auto val="1"/>
        <c:lblAlgn val="ctr"/>
        <c:lblOffset val="100"/>
        <c:noMultiLvlLbl val="0"/>
      </c:catAx>
      <c:valAx>
        <c:axId val="3757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366711</xdr:colOff>
      <xdr:row>7</xdr:row>
      <xdr:rowOff>128586</xdr:rowOff>
    </xdr:from>
    <xdr:to>
      <xdr:col>20</xdr:col>
      <xdr:colOff>9524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01659-2548-E4E0-402E-2C6D02778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109536</xdr:colOff>
      <xdr:row>12</xdr:row>
      <xdr:rowOff>61911</xdr:rowOff>
    </xdr:from>
    <xdr:to>
      <xdr:col>9</xdr:col>
      <xdr:colOff>28574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7EB43-3B23-4B7E-A5EC-3DEDC451E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109536</xdr:colOff>
      <xdr:row>12</xdr:row>
      <xdr:rowOff>61911</xdr:rowOff>
    </xdr:from>
    <xdr:to>
      <xdr:col>9</xdr:col>
      <xdr:colOff>28574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9CAFB-BDE7-4C2B-A612-09024E4BC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576261</xdr:colOff>
      <xdr:row>12</xdr:row>
      <xdr:rowOff>119061</xdr:rowOff>
    </xdr:from>
    <xdr:to>
      <xdr:col>9</xdr:col>
      <xdr:colOff>495299</xdr:colOff>
      <xdr:row>36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84299-2C44-45D5-A051-A95D2885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21A5-DE01-430B-B5C3-A9C1FBDE66B3}">
  <dimension ref="A1:Z56"/>
  <sheetViews>
    <sheetView workbookViewId="0">
      <selection activeCell="E47" sqref="E47"/>
    </sheetView>
  </sheetViews>
  <sheetFormatPr baseColWidth="10" defaultColWidth="8.83203125" defaultRowHeight="15" x14ac:dyDescent="0.2"/>
  <cols>
    <col min="2" max="26" width="22.83203125" bestFit="1" customWidth="1"/>
  </cols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>
        <v>2015</v>
      </c>
      <c r="B2" s="1">
        <v>95406124.717485994</v>
      </c>
      <c r="C2" s="1">
        <v>95406124.717485994</v>
      </c>
      <c r="D2" s="1">
        <v>95406124.717485994</v>
      </c>
      <c r="E2" s="1">
        <v>95406124.717485994</v>
      </c>
      <c r="F2" s="1">
        <v>95406124.717485994</v>
      </c>
      <c r="G2" s="1">
        <v>95406124.717485994</v>
      </c>
      <c r="H2" s="1">
        <v>95406124.717485994</v>
      </c>
      <c r="I2">
        <v>95406124.717485994</v>
      </c>
      <c r="J2">
        <v>95406124.717485994</v>
      </c>
      <c r="K2" s="2">
        <v>95406124.717485994</v>
      </c>
      <c r="L2" s="2">
        <v>95406124.717485994</v>
      </c>
      <c r="M2" s="2">
        <v>95406124.717485994</v>
      </c>
      <c r="N2" s="2">
        <v>95406124.717485994</v>
      </c>
      <c r="O2" s="2">
        <v>95406124.717485994</v>
      </c>
      <c r="P2" s="2">
        <v>95406124.717485994</v>
      </c>
      <c r="Q2">
        <v>95406124.717485994</v>
      </c>
      <c r="R2">
        <v>95406124.717485994</v>
      </c>
      <c r="S2">
        <v>95406124.717485994</v>
      </c>
      <c r="T2">
        <v>95406124.717485994</v>
      </c>
      <c r="U2">
        <v>95406124.717485994</v>
      </c>
      <c r="V2">
        <v>95406124.717485994</v>
      </c>
      <c r="W2">
        <v>95406124.717485994</v>
      </c>
      <c r="X2">
        <v>95406124.717485994</v>
      </c>
      <c r="Y2">
        <v>95406124.717485994</v>
      </c>
      <c r="Z2">
        <v>95406124.717485994</v>
      </c>
    </row>
    <row r="3" spans="1:26" x14ac:dyDescent="0.2">
      <c r="A3">
        <v>2016</v>
      </c>
      <c r="B3" s="1">
        <v>102948457.015031</v>
      </c>
      <c r="C3" s="1">
        <v>102948457.015031</v>
      </c>
      <c r="D3" s="1">
        <v>102948457.015031</v>
      </c>
      <c r="E3" s="1">
        <v>102948457.015031</v>
      </c>
      <c r="F3" s="1">
        <v>102948457.015031</v>
      </c>
      <c r="G3" s="1">
        <v>102948457.015031</v>
      </c>
      <c r="H3" s="1">
        <v>102948457.015031</v>
      </c>
      <c r="I3">
        <v>102948457.015031</v>
      </c>
      <c r="J3">
        <v>102948457.015031</v>
      </c>
      <c r="K3" s="2">
        <v>102948457.015031</v>
      </c>
      <c r="L3" s="2">
        <v>102948457.015031</v>
      </c>
      <c r="M3" s="2">
        <v>102948457.015031</v>
      </c>
      <c r="N3" s="2">
        <v>102948457.015031</v>
      </c>
      <c r="O3" s="2">
        <v>102948457.015031</v>
      </c>
      <c r="P3" s="2">
        <v>102948457.015031</v>
      </c>
      <c r="Q3">
        <v>102948457.015031</v>
      </c>
      <c r="R3">
        <v>102948457.015031</v>
      </c>
      <c r="S3">
        <v>102948457.015031</v>
      </c>
      <c r="T3">
        <v>102948457.015031</v>
      </c>
      <c r="U3">
        <v>102948457.015031</v>
      </c>
      <c r="V3">
        <v>102948457.015031</v>
      </c>
      <c r="W3">
        <v>102948457.015031</v>
      </c>
      <c r="X3">
        <v>102948457.015031</v>
      </c>
      <c r="Y3">
        <v>102948457.015031</v>
      </c>
      <c r="Z3">
        <v>102948457.015031</v>
      </c>
    </row>
    <row r="4" spans="1:26" x14ac:dyDescent="0.2">
      <c r="A4">
        <v>2017</v>
      </c>
      <c r="B4" s="1">
        <v>111261585.22876</v>
      </c>
      <c r="C4" s="1">
        <v>111261585.22876</v>
      </c>
      <c r="D4" s="1">
        <v>111261585.22876</v>
      </c>
      <c r="E4" s="1">
        <v>111261585.22876</v>
      </c>
      <c r="F4" s="1">
        <v>111261585.22876</v>
      </c>
      <c r="G4" s="1">
        <v>111261585.22876</v>
      </c>
      <c r="H4" s="1">
        <v>111261585.22876</v>
      </c>
      <c r="I4">
        <v>111261585.22876</v>
      </c>
      <c r="J4">
        <v>111261585.22876</v>
      </c>
      <c r="K4" s="2">
        <v>111261585.22876</v>
      </c>
      <c r="L4" s="2">
        <v>111261585.22876</v>
      </c>
      <c r="M4" s="2">
        <v>111261585.22876</v>
      </c>
      <c r="N4" s="2">
        <v>111261585.22876</v>
      </c>
      <c r="O4" s="2">
        <v>111261585.22876</v>
      </c>
      <c r="P4" s="2">
        <v>111261585.22876</v>
      </c>
      <c r="Q4">
        <v>111261585.22876</v>
      </c>
      <c r="R4">
        <v>111261585.22876</v>
      </c>
      <c r="S4">
        <v>111261585.22876</v>
      </c>
      <c r="T4">
        <v>111261585.22876</v>
      </c>
      <c r="U4">
        <v>111261585.22876</v>
      </c>
      <c r="V4">
        <v>111261585.22876</v>
      </c>
      <c r="W4">
        <v>111261585.22876</v>
      </c>
      <c r="X4">
        <v>111261585.22876</v>
      </c>
      <c r="Y4">
        <v>111261585.22876</v>
      </c>
      <c r="Z4">
        <v>111261585.22876</v>
      </c>
    </row>
    <row r="5" spans="1:26" x14ac:dyDescent="0.2">
      <c r="A5">
        <v>2018</v>
      </c>
      <c r="B5" s="1">
        <v>121026150.909922</v>
      </c>
      <c r="C5" s="1">
        <v>121026150.909922</v>
      </c>
      <c r="D5" s="1">
        <v>121026150.909922</v>
      </c>
      <c r="E5" s="1">
        <v>121026150.909922</v>
      </c>
      <c r="F5" s="1">
        <v>121026150.909922</v>
      </c>
      <c r="G5" s="1">
        <v>121026150.909922</v>
      </c>
      <c r="H5" s="1">
        <v>121026150.909922</v>
      </c>
      <c r="I5">
        <v>121026150.909922</v>
      </c>
      <c r="J5">
        <v>121026150.909922</v>
      </c>
      <c r="K5" s="2">
        <v>121026150.909922</v>
      </c>
      <c r="L5" s="2">
        <v>121026150.909922</v>
      </c>
      <c r="M5" s="2">
        <v>121026150.909922</v>
      </c>
      <c r="N5" s="2">
        <v>121026150.909922</v>
      </c>
      <c r="O5" s="2">
        <v>121026150.909922</v>
      </c>
      <c r="P5" s="2">
        <v>121026150.909922</v>
      </c>
      <c r="Q5">
        <v>121026150.909922</v>
      </c>
      <c r="R5">
        <v>121026150.909922</v>
      </c>
      <c r="S5">
        <v>121026150.909922</v>
      </c>
      <c r="T5">
        <v>121026150.909922</v>
      </c>
      <c r="U5">
        <v>121026150.909922</v>
      </c>
      <c r="V5">
        <v>121026150.909922</v>
      </c>
      <c r="W5">
        <v>121026150.909922</v>
      </c>
      <c r="X5">
        <v>121026150.909922</v>
      </c>
      <c r="Y5">
        <v>121026150.909922</v>
      </c>
      <c r="Z5">
        <v>121026150.909922</v>
      </c>
    </row>
    <row r="6" spans="1:26" x14ac:dyDescent="0.2">
      <c r="A6">
        <v>2019</v>
      </c>
      <c r="B6" s="1">
        <v>130631936.159025</v>
      </c>
      <c r="C6" s="1">
        <v>130631936.159025</v>
      </c>
      <c r="D6" s="1">
        <v>130631936.159025</v>
      </c>
      <c r="E6" s="1">
        <v>130631936.159025</v>
      </c>
      <c r="F6" s="1">
        <v>130631936.159025</v>
      </c>
      <c r="G6" s="1">
        <v>130631936.159025</v>
      </c>
      <c r="H6" s="1">
        <v>130631936.159025</v>
      </c>
      <c r="I6">
        <v>130631936.159025</v>
      </c>
      <c r="J6">
        <v>130631936.159025</v>
      </c>
      <c r="K6" s="2">
        <v>130631936.159025</v>
      </c>
      <c r="L6" s="2">
        <v>130631936.159025</v>
      </c>
      <c r="M6" s="2">
        <v>130631936.159025</v>
      </c>
      <c r="N6" s="2">
        <v>130631936.159025</v>
      </c>
      <c r="O6" s="2">
        <v>130631936.159025</v>
      </c>
      <c r="P6" s="2">
        <v>130631936.159025</v>
      </c>
      <c r="Q6">
        <v>130631936.159025</v>
      </c>
      <c r="R6">
        <v>130631936.159025</v>
      </c>
      <c r="S6">
        <v>130631936.159025</v>
      </c>
      <c r="T6">
        <v>130631936.159025</v>
      </c>
      <c r="U6">
        <v>130631936.159025</v>
      </c>
      <c r="V6">
        <v>130631936.159025</v>
      </c>
      <c r="W6">
        <v>130631936.159025</v>
      </c>
      <c r="X6">
        <v>130631936.159025</v>
      </c>
      <c r="Y6">
        <v>130631936.159025</v>
      </c>
      <c r="Z6">
        <v>130631936.159025</v>
      </c>
    </row>
    <row r="7" spans="1:26" x14ac:dyDescent="0.2">
      <c r="A7">
        <v>2020</v>
      </c>
      <c r="B7" s="1">
        <v>125987027.75209901</v>
      </c>
      <c r="C7" s="1">
        <v>125987027.75209901</v>
      </c>
      <c r="D7" s="1">
        <v>125987027.75209901</v>
      </c>
      <c r="E7" s="1">
        <v>125987027.75209901</v>
      </c>
      <c r="F7" s="1">
        <v>125987027.75209901</v>
      </c>
      <c r="G7" s="1">
        <v>125987151.70941401</v>
      </c>
      <c r="H7" s="1">
        <v>125987151.70941401</v>
      </c>
      <c r="I7">
        <v>125987151.70941401</v>
      </c>
      <c r="J7">
        <v>125987151.70941401</v>
      </c>
      <c r="K7" s="2">
        <v>125987275.671707</v>
      </c>
      <c r="L7" s="2">
        <v>125987275.671707</v>
      </c>
      <c r="M7" s="2">
        <v>125987275.671707</v>
      </c>
      <c r="N7" s="2">
        <v>125987275.671707</v>
      </c>
      <c r="O7" s="2">
        <v>125987027.75209901</v>
      </c>
      <c r="P7" s="2">
        <v>125987027.75209901</v>
      </c>
      <c r="Q7">
        <v>125987027.75209901</v>
      </c>
      <c r="R7">
        <v>125987027.75209901</v>
      </c>
      <c r="S7">
        <v>125987151.70941401</v>
      </c>
      <c r="T7">
        <v>125987151.70941401</v>
      </c>
      <c r="U7">
        <v>125987151.70941401</v>
      </c>
      <c r="V7">
        <v>125987151.70941401</v>
      </c>
      <c r="W7">
        <v>125987275.671707</v>
      </c>
      <c r="X7">
        <v>125987275.671707</v>
      </c>
      <c r="Y7">
        <v>125987275.671707</v>
      </c>
      <c r="Z7">
        <v>125987275.671707</v>
      </c>
    </row>
    <row r="8" spans="1:26" x14ac:dyDescent="0.2">
      <c r="A8">
        <v>2021</v>
      </c>
      <c r="B8" s="1">
        <v>129879828.790113</v>
      </c>
      <c r="C8" s="1">
        <v>129801250.297583</v>
      </c>
      <c r="D8" s="1">
        <v>129878137.75173</v>
      </c>
      <c r="E8" s="1">
        <v>129879828.750599</v>
      </c>
      <c r="F8" s="1">
        <v>129799548.255429</v>
      </c>
      <c r="G8" s="1">
        <v>129803709.225594</v>
      </c>
      <c r="H8" s="1">
        <v>129882139.161384</v>
      </c>
      <c r="I8">
        <v>129879981.39729901</v>
      </c>
      <c r="J8">
        <v>129806305.599069</v>
      </c>
      <c r="K8" s="2">
        <v>129803649.17299999</v>
      </c>
      <c r="L8" s="2">
        <v>129884637.032377</v>
      </c>
      <c r="M8" s="2">
        <v>129879955.432283</v>
      </c>
      <c r="N8" s="2">
        <v>129808859.52436399</v>
      </c>
      <c r="O8" s="2">
        <v>129801250.297583</v>
      </c>
      <c r="P8" s="2">
        <v>129878681.31697901</v>
      </c>
      <c r="Q8">
        <v>129879828.750599</v>
      </c>
      <c r="R8">
        <v>129800095.415282</v>
      </c>
      <c r="S8">
        <v>129803709.225594</v>
      </c>
      <c r="T8">
        <v>129882683.669135</v>
      </c>
      <c r="U8">
        <v>129879979.187813</v>
      </c>
      <c r="V8">
        <v>129806851.855885</v>
      </c>
      <c r="W8">
        <v>129803649.17299999</v>
      </c>
      <c r="X8">
        <v>129885182.375965</v>
      </c>
      <c r="Y8">
        <v>129879953.282897</v>
      </c>
      <c r="Z8">
        <v>129809406.64335001</v>
      </c>
    </row>
    <row r="9" spans="1:26" x14ac:dyDescent="0.2">
      <c r="A9">
        <v>2022</v>
      </c>
      <c r="B9" s="1">
        <v>136508075.76283899</v>
      </c>
      <c r="C9" s="1">
        <v>136197468.74888101</v>
      </c>
      <c r="D9" s="1">
        <v>136501196.321408</v>
      </c>
      <c r="E9" s="1">
        <v>136508075.78817299</v>
      </c>
      <c r="F9" s="1">
        <v>136190539.10595599</v>
      </c>
      <c r="G9" s="1">
        <v>136207329.65801299</v>
      </c>
      <c r="H9" s="1">
        <v>136519871.21428201</v>
      </c>
      <c r="I9">
        <v>136509541.97040799</v>
      </c>
      <c r="J9">
        <v>136220968.74835199</v>
      </c>
      <c r="K9" s="2">
        <v>136207250.98043799</v>
      </c>
      <c r="L9" s="2">
        <v>136531578.19414201</v>
      </c>
      <c r="M9" s="2">
        <v>136509678.74261099</v>
      </c>
      <c r="N9" s="2">
        <v>136233119.64500701</v>
      </c>
      <c r="O9" s="2">
        <v>136192817.63713199</v>
      </c>
      <c r="P9" s="2">
        <v>136503077.05385399</v>
      </c>
      <c r="Q9">
        <v>136508075.78817299</v>
      </c>
      <c r="R9">
        <v>136187780.69620001</v>
      </c>
      <c r="S9">
        <v>136202831.53882</v>
      </c>
      <c r="T9">
        <v>136521758.58294699</v>
      </c>
      <c r="U9">
        <v>136509517.65371901</v>
      </c>
      <c r="V9">
        <v>136218351.88184401</v>
      </c>
      <c r="W9">
        <v>136202755.854186</v>
      </c>
      <c r="X9">
        <v>136533469.93119699</v>
      </c>
      <c r="Y9">
        <v>136509657.45699</v>
      </c>
      <c r="Z9">
        <v>136230512.291311</v>
      </c>
    </row>
    <row r="10" spans="1:26" x14ac:dyDescent="0.2">
      <c r="A10">
        <v>2023</v>
      </c>
      <c r="B10" s="1">
        <v>143334277.97308999</v>
      </c>
      <c r="C10" s="1">
        <v>142704221.354296</v>
      </c>
      <c r="D10" s="1">
        <v>143320049.29615</v>
      </c>
      <c r="E10" s="1">
        <v>143334277.97902101</v>
      </c>
      <c r="F10" s="1">
        <v>142689930.097877</v>
      </c>
      <c r="G10" s="1">
        <v>142724294.37957501</v>
      </c>
      <c r="H10" s="1">
        <v>143362281.01977599</v>
      </c>
      <c r="I10">
        <v>143338218.49899301</v>
      </c>
      <c r="J10">
        <v>142756930.85387</v>
      </c>
      <c r="K10" s="2">
        <v>142724270.52968699</v>
      </c>
      <c r="L10" s="2">
        <v>143388764.85435799</v>
      </c>
      <c r="M10" s="2">
        <v>143338666.389128</v>
      </c>
      <c r="N10" s="2">
        <v>142784561.760351</v>
      </c>
      <c r="O10" s="2">
        <v>142686391.523258</v>
      </c>
      <c r="P10" s="2">
        <v>143322963.46654499</v>
      </c>
      <c r="Q10">
        <v>143334277.97902101</v>
      </c>
      <c r="R10">
        <v>142675021.82542801</v>
      </c>
      <c r="S10">
        <v>142707053.070021</v>
      </c>
      <c r="T10">
        <v>143365208.36103299</v>
      </c>
      <c r="U10">
        <v>143338146.58307701</v>
      </c>
      <c r="V10">
        <v>142742564.50607401</v>
      </c>
      <c r="W10">
        <v>142707046.43377</v>
      </c>
      <c r="X10">
        <v>143391700.643929</v>
      </c>
      <c r="Y10">
        <v>143338598.14144799</v>
      </c>
      <c r="Z10">
        <v>142770226.67398101</v>
      </c>
    </row>
    <row r="11" spans="1:26" x14ac:dyDescent="0.2">
      <c r="A11">
        <v>2024</v>
      </c>
      <c r="B11" s="1">
        <v>151960779.35757601</v>
      </c>
      <c r="C11" s="1">
        <v>150815088.39225799</v>
      </c>
      <c r="D11" s="1">
        <v>151935268.998936</v>
      </c>
      <c r="E11" s="1">
        <v>151960779.058882</v>
      </c>
      <c r="F11" s="1">
        <v>150789520.63134301</v>
      </c>
      <c r="G11" s="1">
        <v>150852031.11703101</v>
      </c>
      <c r="H11" s="1">
        <v>152018901.575661</v>
      </c>
      <c r="I11">
        <v>151969507.35010299</v>
      </c>
      <c r="J11">
        <v>150919507.395735</v>
      </c>
      <c r="K11" s="2">
        <v>150852543.85362399</v>
      </c>
      <c r="L11" s="2">
        <v>152071455.30063999</v>
      </c>
      <c r="M11" s="2">
        <v>151970813.88389599</v>
      </c>
      <c r="N11" s="2">
        <v>150974577.222435</v>
      </c>
      <c r="O11" s="2">
        <v>150763506.70545</v>
      </c>
      <c r="P11" s="2">
        <v>151938361.64650899</v>
      </c>
      <c r="Q11">
        <v>151960779.058882</v>
      </c>
      <c r="R11">
        <v>150741024.167698</v>
      </c>
      <c r="S11">
        <v>150802162.83888</v>
      </c>
      <c r="T11">
        <v>152022006.35817599</v>
      </c>
      <c r="U11">
        <v>151969333.15858099</v>
      </c>
      <c r="V11">
        <v>150872582.34374201</v>
      </c>
      <c r="W11">
        <v>150802744.14602101</v>
      </c>
      <c r="X11">
        <v>152074568.05165201</v>
      </c>
      <c r="Y11">
        <v>151970642.096044</v>
      </c>
      <c r="Z11">
        <v>150927740.424409</v>
      </c>
    </row>
    <row r="12" spans="1:26" x14ac:dyDescent="0.2">
      <c r="A12">
        <v>2025</v>
      </c>
      <c r="B12" s="1">
        <v>157327866.00698</v>
      </c>
      <c r="C12" s="1">
        <v>155585237.70303199</v>
      </c>
      <c r="D12" s="1">
        <v>157288964.64420301</v>
      </c>
      <c r="E12" s="1">
        <v>157327866.03341901</v>
      </c>
      <c r="F12" s="1">
        <v>155546371.05968201</v>
      </c>
      <c r="G12" s="1">
        <v>155641789.422133</v>
      </c>
      <c r="H12" s="1">
        <v>157424592.078675</v>
      </c>
      <c r="I12">
        <v>157342798.343025</v>
      </c>
      <c r="J12">
        <v>155753775.909015</v>
      </c>
      <c r="K12" s="2">
        <v>155643128.818919</v>
      </c>
      <c r="L12" s="2">
        <v>157509877.044671</v>
      </c>
      <c r="M12" s="2">
        <v>157345188.679851</v>
      </c>
      <c r="N12" s="2">
        <v>155843307.85809901</v>
      </c>
      <c r="O12" s="2">
        <v>155478248.16247499</v>
      </c>
      <c r="P12" s="2">
        <v>157292228.195732</v>
      </c>
      <c r="Q12">
        <v>157327866.03341901</v>
      </c>
      <c r="R12">
        <v>155442626.83441401</v>
      </c>
      <c r="S12">
        <v>155538369.794633</v>
      </c>
      <c r="T12">
        <v>157427868.59970501</v>
      </c>
      <c r="U12">
        <v>157342463.56177199</v>
      </c>
      <c r="V12">
        <v>155653287.547378</v>
      </c>
      <c r="W12">
        <v>155539888.90306699</v>
      </c>
      <c r="X12">
        <v>157513162.27030301</v>
      </c>
      <c r="Y12">
        <v>157344855.19327199</v>
      </c>
      <c r="Z12">
        <v>155743014.89718199</v>
      </c>
    </row>
    <row r="13" spans="1:26" x14ac:dyDescent="0.2">
      <c r="A13">
        <v>2026</v>
      </c>
      <c r="B13" s="1">
        <v>161174295.799999</v>
      </c>
      <c r="C13" s="1">
        <v>158756192.661663</v>
      </c>
      <c r="D13" s="1">
        <v>161120753.36383599</v>
      </c>
      <c r="E13" s="1">
        <v>161174295.936389</v>
      </c>
      <c r="F13" s="1">
        <v>158702896.046379</v>
      </c>
      <c r="G13" s="1">
        <v>158835040.809329</v>
      </c>
      <c r="H13" s="1">
        <v>161319433.83687699</v>
      </c>
      <c r="I13">
        <v>161197164.23522899</v>
      </c>
      <c r="J13">
        <v>159002647.78015399</v>
      </c>
      <c r="K13" s="2">
        <v>158837569.56015801</v>
      </c>
      <c r="L13" s="2">
        <v>161444417.79790401</v>
      </c>
      <c r="M13" s="2">
        <v>161200940.64803401</v>
      </c>
      <c r="N13" s="2">
        <v>159133964.971643</v>
      </c>
      <c r="O13" s="2">
        <v>158572451.47307399</v>
      </c>
      <c r="P13" s="2">
        <v>161122852.26472399</v>
      </c>
      <c r="Q13">
        <v>161174295.936389</v>
      </c>
      <c r="R13">
        <v>158521240.996088</v>
      </c>
      <c r="S13">
        <v>158657447.40106699</v>
      </c>
      <c r="T13">
        <v>161321525.649611</v>
      </c>
      <c r="U13">
        <v>161196604.568275</v>
      </c>
      <c r="V13">
        <v>158826513.348456</v>
      </c>
      <c r="W13">
        <v>158660341.74510401</v>
      </c>
      <c r="X13">
        <v>161446505.63182199</v>
      </c>
      <c r="Y13">
        <v>161200380.53821999</v>
      </c>
      <c r="Z13">
        <v>158958165.306214</v>
      </c>
    </row>
    <row r="14" spans="1:26" x14ac:dyDescent="0.2">
      <c r="A14">
        <v>2027</v>
      </c>
      <c r="B14" s="1">
        <v>163828412.62031001</v>
      </c>
      <c r="C14" s="1">
        <v>160670982.33597401</v>
      </c>
      <c r="D14" s="1">
        <v>163759768.44360301</v>
      </c>
      <c r="E14" s="1">
        <v>163828412.66539499</v>
      </c>
      <c r="F14" s="1">
        <v>160602925.85472599</v>
      </c>
      <c r="G14" s="1">
        <v>160774367.04352301</v>
      </c>
      <c r="H14" s="1">
        <v>164032067.01950401</v>
      </c>
      <c r="I14">
        <v>163861060.46318999</v>
      </c>
      <c r="J14">
        <v>161008924.52359</v>
      </c>
      <c r="K14" s="2">
        <v>160778499.48421699</v>
      </c>
      <c r="L14" s="2">
        <v>164203418.02640799</v>
      </c>
      <c r="M14" s="2">
        <v>163866556.53627801</v>
      </c>
      <c r="N14" s="2">
        <v>161189005.934782</v>
      </c>
      <c r="O14" s="2">
        <v>160385689.55972001</v>
      </c>
      <c r="P14" s="2">
        <v>163758196.395107</v>
      </c>
      <c r="Q14">
        <v>163828412.66539499</v>
      </c>
      <c r="R14">
        <v>160316112.70380199</v>
      </c>
      <c r="S14">
        <v>160498641.06614199</v>
      </c>
      <c r="T14">
        <v>164030414.32967699</v>
      </c>
      <c r="U14">
        <v>163860208.15103099</v>
      </c>
      <c r="V14">
        <v>160730522.49650499</v>
      </c>
      <c r="W14">
        <v>160503428.188613</v>
      </c>
      <c r="X14">
        <v>164201715.04683599</v>
      </c>
      <c r="Y14">
        <v>163865700.64910901</v>
      </c>
      <c r="Z14">
        <v>160911092.317175</v>
      </c>
    </row>
    <row r="15" spans="1:26" x14ac:dyDescent="0.2">
      <c r="A15">
        <v>2028</v>
      </c>
      <c r="B15" s="1">
        <v>165613937.73779401</v>
      </c>
      <c r="C15" s="1">
        <v>161669924.21291199</v>
      </c>
      <c r="D15" s="1">
        <v>165528947.80827001</v>
      </c>
      <c r="E15" s="1">
        <v>165613937.73886999</v>
      </c>
      <c r="F15" s="1">
        <v>161586024.84301299</v>
      </c>
      <c r="G15" s="1">
        <v>161799571.02033401</v>
      </c>
      <c r="H15" s="1">
        <v>165884693.63636199</v>
      </c>
      <c r="I15">
        <v>165658141.43110201</v>
      </c>
      <c r="J15">
        <v>162110692.47665501</v>
      </c>
      <c r="K15" s="2">
        <v>161805762.33660001</v>
      </c>
      <c r="L15" s="2">
        <v>166108623.86009899</v>
      </c>
      <c r="M15" s="2">
        <v>165665678.848573</v>
      </c>
      <c r="N15" s="2">
        <v>162345992.019052</v>
      </c>
      <c r="O15" s="2">
        <v>161253965.77672499</v>
      </c>
      <c r="P15" s="2">
        <v>165522824.15547401</v>
      </c>
      <c r="Q15">
        <v>165613937.73886999</v>
      </c>
      <c r="R15">
        <v>161164128.97722799</v>
      </c>
      <c r="S15">
        <v>161397591.59527001</v>
      </c>
      <c r="T15">
        <v>165878387.08985201</v>
      </c>
      <c r="U15">
        <v>165656906.76313999</v>
      </c>
      <c r="V15">
        <v>161700826.62967601</v>
      </c>
      <c r="W15">
        <v>161404868.095635</v>
      </c>
      <c r="X15">
        <v>166102202.602595</v>
      </c>
      <c r="Y15">
        <v>165664436.22591099</v>
      </c>
      <c r="Z15">
        <v>161936808.90111601</v>
      </c>
    </row>
    <row r="16" spans="1:26" x14ac:dyDescent="0.2">
      <c r="A16">
        <v>2029</v>
      </c>
      <c r="B16" s="1">
        <v>166797663.84194899</v>
      </c>
      <c r="C16" s="1">
        <v>162036125.79794401</v>
      </c>
      <c r="D16" s="1">
        <v>166695580.18852901</v>
      </c>
      <c r="E16" s="1">
        <v>166797663.86344701</v>
      </c>
      <c r="F16" s="1">
        <v>161935812.363938</v>
      </c>
      <c r="G16" s="1">
        <v>162193248.36011699</v>
      </c>
      <c r="H16" s="1">
        <v>167143719.25653601</v>
      </c>
      <c r="I16">
        <v>166854974.965325</v>
      </c>
      <c r="J16">
        <v>162589812.89420199</v>
      </c>
      <c r="K16" s="2">
        <v>162201984.252213</v>
      </c>
      <c r="L16" s="2">
        <v>167425886.57892099</v>
      </c>
      <c r="M16" s="2">
        <v>166864831.317132</v>
      </c>
      <c r="N16" s="2">
        <v>162886135.78627199</v>
      </c>
      <c r="O16" s="2">
        <v>161460534.80886701</v>
      </c>
      <c r="P16" s="2">
        <v>166682364.199788</v>
      </c>
      <c r="Q16">
        <v>166797663.86344701</v>
      </c>
      <c r="R16">
        <v>161347466.533041</v>
      </c>
      <c r="S16">
        <v>161637038.848501</v>
      </c>
      <c r="T16">
        <v>167130137.03054899</v>
      </c>
      <c r="U16">
        <v>166853261.164855</v>
      </c>
      <c r="V16">
        <v>162017726.01222</v>
      </c>
      <c r="W16">
        <v>161647455.92845801</v>
      </c>
      <c r="X16">
        <v>167412074.410364</v>
      </c>
      <c r="Y16">
        <v>166863103.09436399</v>
      </c>
      <c r="Z16">
        <v>162314929.94181001</v>
      </c>
    </row>
    <row r="17" spans="1:26" x14ac:dyDescent="0.2">
      <c r="A17">
        <v>2030</v>
      </c>
      <c r="B17" s="1">
        <v>167621595.458682</v>
      </c>
      <c r="C17" s="1">
        <v>162025982.89597499</v>
      </c>
      <c r="D17" s="1">
        <v>167502710.959719</v>
      </c>
      <c r="E17" s="1">
        <v>167621595.38151699</v>
      </c>
      <c r="F17" s="1">
        <v>161909708.08217999</v>
      </c>
      <c r="G17" s="1">
        <v>162211333.793147</v>
      </c>
      <c r="H17" s="1">
        <v>168051301.11942601</v>
      </c>
      <c r="I17">
        <v>167693268.49261501</v>
      </c>
      <c r="J17">
        <v>162701925.56588</v>
      </c>
      <c r="K17" s="2">
        <v>162223117.751443</v>
      </c>
      <c r="L17" s="2">
        <v>168396810.32974699</v>
      </c>
      <c r="M17" s="2">
        <v>167705663.837363</v>
      </c>
      <c r="N17" s="2">
        <v>163064417.187769</v>
      </c>
      <c r="O17" s="2">
        <v>161256485.22011399</v>
      </c>
      <c r="P17" s="2">
        <v>167479527.26664999</v>
      </c>
      <c r="Q17">
        <v>167621595.38151699</v>
      </c>
      <c r="R17">
        <v>161117963.90819201</v>
      </c>
      <c r="S17">
        <v>161467801.120446</v>
      </c>
      <c r="T17">
        <v>168027458.609074</v>
      </c>
      <c r="U17">
        <v>167690986.724062</v>
      </c>
      <c r="V17">
        <v>161931371.85201499</v>
      </c>
      <c r="W17">
        <v>161482085.57456499</v>
      </c>
      <c r="X17">
        <v>168372554.09754199</v>
      </c>
      <c r="Y17">
        <v>167703358.38414201</v>
      </c>
      <c r="Z17">
        <v>162294935.579981</v>
      </c>
    </row>
    <row r="18" spans="1:26" x14ac:dyDescent="0.2">
      <c r="A18">
        <v>2031</v>
      </c>
      <c r="B18" s="1">
        <v>168309329.610174</v>
      </c>
      <c r="C18" s="1">
        <v>161873743.09228101</v>
      </c>
      <c r="D18" s="1">
        <v>168174578.20582801</v>
      </c>
      <c r="E18" s="1">
        <v>168309329.661351</v>
      </c>
      <c r="F18" s="1">
        <v>161742585.933065</v>
      </c>
      <c r="G18" s="1">
        <v>162087729.94959101</v>
      </c>
      <c r="H18" s="1">
        <v>168830922.31611201</v>
      </c>
      <c r="I18">
        <v>168396316.28444701</v>
      </c>
      <c r="J18">
        <v>162680378.74711701</v>
      </c>
      <c r="K18" s="2">
        <v>162103074.820315</v>
      </c>
      <c r="L18" s="2">
        <v>169244417.80824801</v>
      </c>
      <c r="M18" s="2">
        <v>168411413.846477</v>
      </c>
      <c r="N18" s="2">
        <v>163113598.253979</v>
      </c>
      <c r="O18" s="2">
        <v>160874854.22288501</v>
      </c>
      <c r="P18" s="2">
        <v>168139024.82459599</v>
      </c>
      <c r="Q18">
        <v>168309329.661351</v>
      </c>
      <c r="R18">
        <v>160709779.78180599</v>
      </c>
      <c r="S18">
        <v>161122618.77795699</v>
      </c>
      <c r="T18">
        <v>168794304.496968</v>
      </c>
      <c r="U18">
        <v>168393396.84736899</v>
      </c>
      <c r="V18">
        <v>161674380.928029</v>
      </c>
      <c r="W18">
        <v>161141548.304263</v>
      </c>
      <c r="X18">
        <v>169207130.81025299</v>
      </c>
      <c r="Y18">
        <v>168408458.22014299</v>
      </c>
      <c r="Z18">
        <v>162108851.90621299</v>
      </c>
    </row>
    <row r="19" spans="1:26" x14ac:dyDescent="0.2">
      <c r="A19">
        <v>2032</v>
      </c>
      <c r="B19" s="1">
        <v>169054085.10363299</v>
      </c>
      <c r="C19" s="1">
        <v>161778690.08281901</v>
      </c>
      <c r="D19" s="1">
        <v>168903742.62945801</v>
      </c>
      <c r="E19" s="1">
        <v>169054085.120884</v>
      </c>
      <c r="F19" s="1">
        <v>161633121.626847</v>
      </c>
      <c r="G19" s="1">
        <v>162021524.44465899</v>
      </c>
      <c r="H19" s="1">
        <v>169674606.55072999</v>
      </c>
      <c r="I19">
        <v>169157086.00340399</v>
      </c>
      <c r="J19">
        <v>162722734.973158</v>
      </c>
      <c r="K19" s="2">
        <v>162040775.231644</v>
      </c>
      <c r="L19" s="2">
        <v>170160224.484227</v>
      </c>
      <c r="M19" s="2">
        <v>169174827.97478399</v>
      </c>
      <c r="N19" s="2">
        <v>163230623.41689</v>
      </c>
      <c r="O19" s="2">
        <v>160516415.31356499</v>
      </c>
      <c r="P19" s="2">
        <v>168852999.848391</v>
      </c>
      <c r="Q19">
        <v>169054085.120884</v>
      </c>
      <c r="R19">
        <v>160322756.63986999</v>
      </c>
      <c r="S19">
        <v>160802020.98271</v>
      </c>
      <c r="T19">
        <v>169622240.816614</v>
      </c>
      <c r="U19">
        <v>169153463.12611201</v>
      </c>
      <c r="V19">
        <v>161445321.946284</v>
      </c>
      <c r="W19">
        <v>160826229.625388</v>
      </c>
      <c r="X19">
        <v>170106837.65970501</v>
      </c>
      <c r="Y19">
        <v>169171152.59081399</v>
      </c>
      <c r="Z19">
        <v>161954585.571767</v>
      </c>
    </row>
    <row r="20" spans="1:26" x14ac:dyDescent="0.2">
      <c r="A20">
        <v>2033</v>
      </c>
      <c r="B20" s="1">
        <v>170006357.98768699</v>
      </c>
      <c r="C20" s="1">
        <v>161892732.500725</v>
      </c>
      <c r="D20" s="1">
        <v>169839906.058103</v>
      </c>
      <c r="E20" s="1">
        <v>170006358.01323199</v>
      </c>
      <c r="F20" s="1">
        <v>161732470.64641801</v>
      </c>
      <c r="G20" s="1">
        <v>162164586.401869</v>
      </c>
      <c r="H20" s="1">
        <v>170731814.271487</v>
      </c>
      <c r="I20">
        <v>170125892.02998099</v>
      </c>
      <c r="J20">
        <v>162979565.129325</v>
      </c>
      <c r="K20" s="2">
        <v>162188009.02881601</v>
      </c>
      <c r="L20" s="2">
        <v>171293458.75523299</v>
      </c>
      <c r="M20" s="2">
        <v>170146091.042649</v>
      </c>
      <c r="N20" s="2">
        <v>163565735.08917999</v>
      </c>
      <c r="O20" s="2">
        <v>160329560.605894</v>
      </c>
      <c r="P20" s="2">
        <v>169771829.961602</v>
      </c>
      <c r="Q20">
        <v>170006358.01323199</v>
      </c>
      <c r="R20">
        <v>160105232.66689801</v>
      </c>
      <c r="S20">
        <v>160654484.806319</v>
      </c>
      <c r="T20">
        <v>170661407.65856799</v>
      </c>
      <c r="U20">
        <v>170121476.95460701</v>
      </c>
      <c r="V20">
        <v>161391930.538048</v>
      </c>
      <c r="W20">
        <v>160684588.74667001</v>
      </c>
      <c r="X20">
        <v>171221585.08918399</v>
      </c>
      <c r="Y20">
        <v>170141603.06185901</v>
      </c>
      <c r="Z20">
        <v>161979532.544642</v>
      </c>
    </row>
    <row r="21" spans="1:26" x14ac:dyDescent="0.2">
      <c r="A21">
        <v>2034</v>
      </c>
      <c r="B21" s="1">
        <v>171269059.74022999</v>
      </c>
      <c r="C21" s="1">
        <v>162316770.72167599</v>
      </c>
      <c r="D21" s="1">
        <v>171086563.329815</v>
      </c>
      <c r="E21" s="1">
        <v>171269059.89570501</v>
      </c>
      <c r="F21" s="1">
        <v>162142043.751773</v>
      </c>
      <c r="G21" s="1">
        <v>162617895.04172501</v>
      </c>
      <c r="H21" s="1">
        <v>172106161.751589</v>
      </c>
      <c r="I21">
        <v>171405479.917061</v>
      </c>
      <c r="J21">
        <v>163552210.456976</v>
      </c>
      <c r="K21" s="2">
        <v>162645726.666852</v>
      </c>
      <c r="L21" s="2">
        <v>172747773.30398601</v>
      </c>
      <c r="M21" s="2">
        <v>171427866.84810901</v>
      </c>
      <c r="N21" s="2">
        <v>164220235.572528</v>
      </c>
      <c r="O21" s="2">
        <v>160412864.67906901</v>
      </c>
      <c r="P21" s="2">
        <v>170998052.76162401</v>
      </c>
      <c r="Q21">
        <v>171269059.89570501</v>
      </c>
      <c r="R21">
        <v>160155508.719266</v>
      </c>
      <c r="S21">
        <v>160778749.760079</v>
      </c>
      <c r="T21">
        <v>172014389.17862299</v>
      </c>
      <c r="U21">
        <v>171400179.30039999</v>
      </c>
      <c r="V21">
        <v>161612319.08070201</v>
      </c>
      <c r="W21">
        <v>160815392.44348899</v>
      </c>
      <c r="X21">
        <v>172653946.120287</v>
      </c>
      <c r="Y21">
        <v>171422468.271763</v>
      </c>
      <c r="Z21">
        <v>162281707.38997</v>
      </c>
    </row>
    <row r="22" spans="1:26" x14ac:dyDescent="0.2">
      <c r="A22">
        <v>2035</v>
      </c>
      <c r="B22" s="1">
        <v>172900131.026261</v>
      </c>
      <c r="C22" s="1">
        <v>163105196.33029401</v>
      </c>
      <c r="D22" s="1">
        <v>172701299.31225801</v>
      </c>
      <c r="E22" s="1">
        <v>172900131.202611</v>
      </c>
      <c r="F22" s="1">
        <v>162915912.17930999</v>
      </c>
      <c r="G22" s="1">
        <v>163435975.84957901</v>
      </c>
      <c r="H22" s="1">
        <v>173855553.03345299</v>
      </c>
      <c r="I22">
        <v>173053633.15385401</v>
      </c>
      <c r="J22">
        <v>164494944.20112699</v>
      </c>
      <c r="K22" s="2">
        <v>163468458.072301</v>
      </c>
      <c r="L22" s="2">
        <v>174581262.458222</v>
      </c>
      <c r="M22" s="2">
        <v>173077890.066944</v>
      </c>
      <c r="N22" s="2">
        <v>165248533.71411899</v>
      </c>
      <c r="O22" s="2">
        <v>160816841.654928</v>
      </c>
      <c r="P22" s="2">
        <v>172588182.04454499</v>
      </c>
      <c r="Q22">
        <v>172900131.202611</v>
      </c>
      <c r="R22">
        <v>160522875.70218301</v>
      </c>
      <c r="S22">
        <v>161225603.20598301</v>
      </c>
      <c r="T22">
        <v>173737932.882186</v>
      </c>
      <c r="U22">
        <v>173047367.09632301</v>
      </c>
      <c r="V22">
        <v>162155899.08612001</v>
      </c>
      <c r="W22">
        <v>161269504.434643</v>
      </c>
      <c r="X22">
        <v>174460804.434692</v>
      </c>
      <c r="Y22">
        <v>173071494.57617301</v>
      </c>
      <c r="Z22">
        <v>162910589.22619101</v>
      </c>
    </row>
    <row r="23" spans="1:26" x14ac:dyDescent="0.2">
      <c r="A23">
        <v>2036</v>
      </c>
      <c r="B23" s="1">
        <v>174919726.61688799</v>
      </c>
      <c r="C23" s="1">
        <v>164273442.55268699</v>
      </c>
      <c r="D23" s="1">
        <v>174705153.07999</v>
      </c>
      <c r="E23" s="1">
        <v>174919726.42832801</v>
      </c>
      <c r="F23" s="1">
        <v>164070286.46431699</v>
      </c>
      <c r="G23" s="1">
        <v>164634439.622832</v>
      </c>
      <c r="H23" s="1">
        <v>176001592.43381599</v>
      </c>
      <c r="I23">
        <v>175090349.18791899</v>
      </c>
      <c r="J23">
        <v>165824480.223124</v>
      </c>
      <c r="K23" s="2">
        <v>164671853.525704</v>
      </c>
      <c r="L23" s="2">
        <v>176815898.306521</v>
      </c>
      <c r="M23" s="2">
        <v>175116136.352889</v>
      </c>
      <c r="N23" s="2">
        <v>166667670.31062099</v>
      </c>
      <c r="O23" s="2">
        <v>161549052.89788401</v>
      </c>
      <c r="P23" s="2">
        <v>174560722.66697401</v>
      </c>
      <c r="Q23">
        <v>174919726.42832801</v>
      </c>
      <c r="R23">
        <v>161213472.86809999</v>
      </c>
      <c r="S23">
        <v>162003066.608156</v>
      </c>
      <c r="T23">
        <v>175850928.18746099</v>
      </c>
      <c r="U23">
        <v>175083063.475739</v>
      </c>
      <c r="V23">
        <v>163029231.65142199</v>
      </c>
      <c r="W23">
        <v>162055098.15404201</v>
      </c>
      <c r="X23">
        <v>176661303.04552001</v>
      </c>
      <c r="Y23">
        <v>175108680.22957501</v>
      </c>
      <c r="Z23">
        <v>163872950.363617</v>
      </c>
    </row>
    <row r="24" spans="1:26" x14ac:dyDescent="0.2">
      <c r="A24">
        <v>2037</v>
      </c>
      <c r="B24" s="1">
        <v>177318984.33424601</v>
      </c>
      <c r="C24" s="1">
        <v>165808356.68788499</v>
      </c>
      <c r="D24" s="1">
        <v>177087999.63686299</v>
      </c>
      <c r="E24" s="1">
        <v>177318984.16848499</v>
      </c>
      <c r="F24" s="1">
        <v>165590903.02547401</v>
      </c>
      <c r="G24" s="1">
        <v>166200300.72480699</v>
      </c>
      <c r="H24" s="1">
        <v>178534678.45427001</v>
      </c>
      <c r="I24">
        <v>177506637.45093599</v>
      </c>
      <c r="J24">
        <v>167527034.61415601</v>
      </c>
      <c r="K24" s="2">
        <v>166243141.000949</v>
      </c>
      <c r="L24" s="2">
        <v>179442594.16524199</v>
      </c>
      <c r="M24" s="2">
        <v>177533765.544563</v>
      </c>
      <c r="N24" s="2">
        <v>168464352.43849</v>
      </c>
      <c r="O24" s="2">
        <v>162584980.14671901</v>
      </c>
      <c r="P24" s="2">
        <v>176906783.48280001</v>
      </c>
      <c r="Q24">
        <v>177318984.16848499</v>
      </c>
      <c r="R24">
        <v>162202811.741317</v>
      </c>
      <c r="S24">
        <v>163087201.88222799</v>
      </c>
      <c r="T24">
        <v>178345042.762788</v>
      </c>
      <c r="U24">
        <v>177498289.22334099</v>
      </c>
      <c r="V24">
        <v>164208518.67565101</v>
      </c>
      <c r="W24">
        <v>163148607.04204401</v>
      </c>
      <c r="X24">
        <v>179247644.391242</v>
      </c>
      <c r="Y24">
        <v>177525194.404955</v>
      </c>
      <c r="Z24">
        <v>165145514.21184599</v>
      </c>
    </row>
    <row r="25" spans="1:26" x14ac:dyDescent="0.2">
      <c r="A25">
        <v>2038</v>
      </c>
      <c r="B25" s="1">
        <v>180068444.86968201</v>
      </c>
      <c r="C25" s="1">
        <v>167676093.112721</v>
      </c>
      <c r="D25" s="1">
        <v>179818861.978282</v>
      </c>
      <c r="E25" s="1">
        <v>180068444.79923499</v>
      </c>
      <c r="F25" s="1">
        <v>167442494.65410101</v>
      </c>
      <c r="G25" s="1">
        <v>168099889.24531701</v>
      </c>
      <c r="H25" s="1">
        <v>181424352.587973</v>
      </c>
      <c r="I25">
        <v>180273003.73143399</v>
      </c>
      <c r="J25">
        <v>169567917.00493801</v>
      </c>
      <c r="K25" s="2">
        <v>168148846.14226499</v>
      </c>
      <c r="L25" s="2">
        <v>182431358.58122599</v>
      </c>
      <c r="M25" s="2">
        <v>180301397.47438601</v>
      </c>
      <c r="N25" s="2">
        <v>170604360.45222801</v>
      </c>
      <c r="O25" s="2">
        <v>163883211.04404801</v>
      </c>
      <c r="P25" s="2">
        <v>179596349.42456001</v>
      </c>
      <c r="Q25">
        <v>180068444.79923499</v>
      </c>
      <c r="R25">
        <v>163449136.31753299</v>
      </c>
      <c r="S25">
        <v>164437053.532794</v>
      </c>
      <c r="T25">
        <v>181190774.81319001</v>
      </c>
      <c r="U25">
        <v>180263473.73407799</v>
      </c>
      <c r="V25">
        <v>165652589.96922201</v>
      </c>
      <c r="W25">
        <v>164509403.29265699</v>
      </c>
      <c r="X25">
        <v>182190800.20903701</v>
      </c>
      <c r="Y25">
        <v>180291581.62184101</v>
      </c>
      <c r="Z25">
        <v>166687593.649838</v>
      </c>
    </row>
    <row r="26" spans="1:26" x14ac:dyDescent="0.2">
      <c r="A26">
        <v>2039</v>
      </c>
      <c r="B26" s="1">
        <v>183125137.17307499</v>
      </c>
      <c r="C26" s="1">
        <v>169830013.44395199</v>
      </c>
      <c r="D26" s="1">
        <v>182854541.803635</v>
      </c>
      <c r="E26" s="1">
        <v>183125137.13906801</v>
      </c>
      <c r="F26" s="1">
        <v>169578155.604399</v>
      </c>
      <c r="G26" s="1">
        <v>170286725.279964</v>
      </c>
      <c r="H26" s="1">
        <v>184627939.74965799</v>
      </c>
      <c r="I26">
        <v>183346423.26007101</v>
      </c>
      <c r="J26">
        <v>171900795.36473399</v>
      </c>
      <c r="K26" s="2">
        <v>170342639.21642101</v>
      </c>
      <c r="L26" s="2">
        <v>185739943.921496</v>
      </c>
      <c r="M26" s="2">
        <v>183376071.46834001</v>
      </c>
      <c r="N26" s="2">
        <v>173041799.99241099</v>
      </c>
      <c r="O26" s="2">
        <v>165388906.94756499</v>
      </c>
      <c r="P26" s="2">
        <v>182586231.013942</v>
      </c>
      <c r="Q26">
        <v>183125137.13906801</v>
      </c>
      <c r="R26">
        <v>164897568.855708</v>
      </c>
      <c r="S26">
        <v>165998240.96241501</v>
      </c>
      <c r="T26">
        <v>184345407.034273</v>
      </c>
      <c r="U26">
        <v>183335539.13937601</v>
      </c>
      <c r="V26">
        <v>167307064.37434</v>
      </c>
      <c r="W26">
        <v>166083402.29369101</v>
      </c>
      <c r="X26">
        <v>185448440.26736099</v>
      </c>
      <c r="Y26">
        <v>183364831.93732199</v>
      </c>
      <c r="Z26">
        <v>168445197.37950701</v>
      </c>
    </row>
    <row r="27" spans="1:26" x14ac:dyDescent="0.2">
      <c r="A27">
        <v>2040</v>
      </c>
      <c r="B27" s="1">
        <v>186438077.322853</v>
      </c>
      <c r="C27" s="1">
        <v>172217141.27991</v>
      </c>
      <c r="D27" s="1">
        <v>186144933.97312701</v>
      </c>
      <c r="E27" s="1">
        <v>186438077.286762</v>
      </c>
      <c r="F27" s="1">
        <v>171945669.51518899</v>
      </c>
      <c r="G27" s="1">
        <v>172707938.37168899</v>
      </c>
      <c r="H27" s="1">
        <v>188095789.71294701</v>
      </c>
      <c r="I27">
        <v>186675786.73870599</v>
      </c>
      <c r="J27">
        <v>174473876.581193</v>
      </c>
      <c r="K27" s="2">
        <v>172771765.084059</v>
      </c>
      <c r="L27" s="2">
        <v>189319054.75806999</v>
      </c>
      <c r="M27" s="2">
        <v>186706727.339816</v>
      </c>
      <c r="N27" s="2">
        <v>175725254.72982001</v>
      </c>
      <c r="O27" s="2">
        <v>167041582.11908001</v>
      </c>
      <c r="P27" s="2">
        <v>185824212.68632501</v>
      </c>
      <c r="Q27">
        <v>186438077.286762</v>
      </c>
      <c r="R27">
        <v>166486773.58568501</v>
      </c>
      <c r="S27">
        <v>167710653.39989799</v>
      </c>
      <c r="T27">
        <v>187756965.55640301</v>
      </c>
      <c r="U27">
        <v>186663397.53186899</v>
      </c>
      <c r="V27">
        <v>169110833.350995</v>
      </c>
      <c r="W27">
        <v>167810755.65205801</v>
      </c>
      <c r="X27">
        <v>188968807.56523299</v>
      </c>
      <c r="Y27">
        <v>186693897.199745</v>
      </c>
      <c r="Z27">
        <v>170357460.40622899</v>
      </c>
    </row>
    <row r="28" spans="1:26" x14ac:dyDescent="0.2">
      <c r="A28">
        <v>2041</v>
      </c>
      <c r="B28" s="1">
        <v>189952295.52131799</v>
      </c>
      <c r="C28" s="1">
        <v>174782584.321156</v>
      </c>
      <c r="D28" s="1">
        <v>189634472.180163</v>
      </c>
      <c r="E28" s="1">
        <v>189952295.47833699</v>
      </c>
      <c r="F28" s="1">
        <v>174489666.661165</v>
      </c>
      <c r="G28" s="1">
        <v>175308673.471028</v>
      </c>
      <c r="H28" s="1">
        <v>191772473.708745</v>
      </c>
      <c r="I28">
        <v>190206006.67568401</v>
      </c>
      <c r="J28">
        <v>177231874.45103201</v>
      </c>
      <c r="K28" s="2">
        <v>175381447.692727</v>
      </c>
      <c r="L28" s="2">
        <v>193113387.39654201</v>
      </c>
      <c r="M28" s="2">
        <v>190238286.615863</v>
      </c>
      <c r="N28" s="2">
        <v>178599611.234465</v>
      </c>
      <c r="O28" s="2">
        <v>168775813.98672</v>
      </c>
      <c r="P28" s="2">
        <v>189253474.28272799</v>
      </c>
      <c r="Q28">
        <v>189952295.47833699</v>
      </c>
      <c r="R28">
        <v>168149954.534695</v>
      </c>
      <c r="S28">
        <v>169509279.25939101</v>
      </c>
      <c r="T28">
        <v>191368613.24195901</v>
      </c>
      <c r="U28">
        <v>190191975.232236</v>
      </c>
      <c r="V28">
        <v>170997060.827674</v>
      </c>
      <c r="W28">
        <v>169626723.29189101</v>
      </c>
      <c r="X28">
        <v>192695095.02059999</v>
      </c>
      <c r="Y28">
        <v>190223713.651452</v>
      </c>
      <c r="Z28">
        <v>172357599.70936301</v>
      </c>
    </row>
    <row r="29" spans="1:26" x14ac:dyDescent="0.2">
      <c r="A29">
        <v>2042</v>
      </c>
      <c r="B29" s="1">
        <v>193611669.19498399</v>
      </c>
      <c r="C29" s="1">
        <v>177471605.79471001</v>
      </c>
      <c r="D29" s="1">
        <v>193267250.46621299</v>
      </c>
      <c r="E29" s="1">
        <v>193611669.20157701</v>
      </c>
      <c r="F29" s="1">
        <v>177155572.49959499</v>
      </c>
      <c r="G29" s="1">
        <v>178034186.06073901</v>
      </c>
      <c r="H29" s="1">
        <v>195602042.06324801</v>
      </c>
      <c r="I29">
        <v>193880857.40739</v>
      </c>
      <c r="J29">
        <v>180120136.52857599</v>
      </c>
      <c r="K29" s="2">
        <v>178116998.01137701</v>
      </c>
      <c r="L29" s="2">
        <v>197066989.96441901</v>
      </c>
      <c r="M29" s="2">
        <v>193914531.173471</v>
      </c>
      <c r="N29" s="2">
        <v>181610264.62553799</v>
      </c>
      <c r="O29" s="2">
        <v>170523921.28309801</v>
      </c>
      <c r="P29" s="2">
        <v>192819073.85655501</v>
      </c>
      <c r="Q29">
        <v>193611669.20157701</v>
      </c>
      <c r="R29">
        <v>169820574.485818</v>
      </c>
      <c r="S29">
        <v>171326902.59970301</v>
      </c>
      <c r="T29">
        <v>195125376.60440299</v>
      </c>
      <c r="U29">
        <v>193865040.477074</v>
      </c>
      <c r="V29">
        <v>172899176.730719</v>
      </c>
      <c r="W29">
        <v>171464379.97009799</v>
      </c>
      <c r="X29">
        <v>196572330.850986</v>
      </c>
      <c r="Y29">
        <v>193898051.34456101</v>
      </c>
      <c r="Z29">
        <v>174379082.41552699</v>
      </c>
    </row>
    <row r="30" spans="1:26" x14ac:dyDescent="0.2">
      <c r="A30">
        <v>2043</v>
      </c>
      <c r="B30" s="1">
        <v>197360875.84739399</v>
      </c>
      <c r="C30" s="1">
        <v>180232159.47688499</v>
      </c>
      <c r="D30" s="1">
        <v>196987904.12993699</v>
      </c>
      <c r="E30" s="1">
        <v>197360875.83955401</v>
      </c>
      <c r="F30" s="1">
        <v>179891327.75170401</v>
      </c>
      <c r="G30" s="1">
        <v>180832365.22130001</v>
      </c>
      <c r="H30" s="1">
        <v>199528775.358785</v>
      </c>
      <c r="I30">
        <v>197644894.59005499</v>
      </c>
      <c r="J30">
        <v>183086188.355389</v>
      </c>
      <c r="K30" s="2">
        <v>180926332.72257799</v>
      </c>
      <c r="L30" s="2">
        <v>201123924.723993</v>
      </c>
      <c r="M30" s="2">
        <v>197679996.99191901</v>
      </c>
      <c r="N30" s="2">
        <v>184704593.85555401</v>
      </c>
      <c r="O30" s="2">
        <v>172228787.080791</v>
      </c>
      <c r="P30" s="2">
        <v>196466727.16143501</v>
      </c>
      <c r="Q30">
        <v>197360875.83955401</v>
      </c>
      <c r="R30">
        <v>171442702.546855</v>
      </c>
      <c r="S30">
        <v>173106516.83162701</v>
      </c>
      <c r="T30">
        <v>198972627.54829201</v>
      </c>
      <c r="U30">
        <v>197627147.42192101</v>
      </c>
      <c r="V30">
        <v>174760786.46708</v>
      </c>
      <c r="W30">
        <v>173266900.14348301</v>
      </c>
      <c r="X30">
        <v>200545673.729754</v>
      </c>
      <c r="Y30">
        <v>197661456.18217501</v>
      </c>
      <c r="Z30">
        <v>176365375.984202</v>
      </c>
    </row>
    <row r="31" spans="1:26" x14ac:dyDescent="0.2">
      <c r="A31">
        <v>2044</v>
      </c>
      <c r="B31" s="1">
        <v>201146745.651225</v>
      </c>
      <c r="C31" s="1">
        <v>183015858.51943499</v>
      </c>
      <c r="D31" s="1">
        <v>200744116.62540701</v>
      </c>
      <c r="E31" s="1">
        <v>201146745.62745899</v>
      </c>
      <c r="F31" s="1">
        <v>182649275.75648201</v>
      </c>
      <c r="G31" s="1">
        <v>183654697.15528601</v>
      </c>
      <c r="H31" s="1">
        <v>203499789.69160399</v>
      </c>
      <c r="I31">
        <v>201444787.33416399</v>
      </c>
      <c r="J31">
        <v>186081696.441993</v>
      </c>
      <c r="K31" s="2">
        <v>183760943.637086</v>
      </c>
      <c r="L31" s="2">
        <v>205230946.176148</v>
      </c>
      <c r="M31" s="2">
        <v>201481327.73981401</v>
      </c>
      <c r="N31" s="2">
        <v>187833987.855553</v>
      </c>
      <c r="O31" s="2">
        <v>173840220.72006699</v>
      </c>
      <c r="P31" s="2">
        <v>200144196.563494</v>
      </c>
      <c r="Q31">
        <v>201146745.62745899</v>
      </c>
      <c r="R31">
        <v>172967234.292842</v>
      </c>
      <c r="S31">
        <v>174797868.86781499</v>
      </c>
      <c r="T31">
        <v>202857486.56533101</v>
      </c>
      <c r="U31">
        <v>201425000.466903</v>
      </c>
      <c r="V31">
        <v>176531871.63937199</v>
      </c>
      <c r="W31">
        <v>174984146.762236</v>
      </c>
      <c r="X31">
        <v>204561831.29546499</v>
      </c>
      <c r="Y31">
        <v>201460603.67930099</v>
      </c>
      <c r="Z31">
        <v>178266088.33535501</v>
      </c>
    </row>
    <row r="32" spans="1:26" x14ac:dyDescent="0.2">
      <c r="A32">
        <v>2045</v>
      </c>
      <c r="B32" s="1">
        <v>204919239.09830499</v>
      </c>
      <c r="C32" s="1">
        <v>185779097.11235201</v>
      </c>
      <c r="D32" s="1">
        <v>204486666.59544</v>
      </c>
      <c r="E32" s="1">
        <v>204919239.07260001</v>
      </c>
      <c r="F32" s="1">
        <v>185386555.638699</v>
      </c>
      <c r="G32" s="1">
        <v>186457389.33373699</v>
      </c>
      <c r="H32" s="1">
        <v>207465005.21200299</v>
      </c>
      <c r="I32">
        <v>205230285.926146</v>
      </c>
      <c r="J32">
        <v>189062780.01645699</v>
      </c>
      <c r="K32" s="2">
        <v>186577018.55685201</v>
      </c>
      <c r="L32" s="2">
        <v>209337412.943845</v>
      </c>
      <c r="M32" s="2">
        <v>205268241.525545</v>
      </c>
      <c r="N32" s="2">
        <v>190954094.61143699</v>
      </c>
      <c r="O32" s="2">
        <v>175315314.22868401</v>
      </c>
      <c r="P32" s="2">
        <v>203803044.651328</v>
      </c>
      <c r="Q32">
        <v>204919239.07260001</v>
      </c>
      <c r="R32">
        <v>174352857.114566</v>
      </c>
      <c r="S32">
        <v>176357809.62979901</v>
      </c>
      <c r="T32">
        <v>206730656.41704899</v>
      </c>
      <c r="U32">
        <v>205208415.76022199</v>
      </c>
      <c r="V32">
        <v>178169898.87402201</v>
      </c>
      <c r="W32">
        <v>176573033.93252599</v>
      </c>
      <c r="X32">
        <v>208570947.790425</v>
      </c>
      <c r="Y32">
        <v>205245279.073513</v>
      </c>
      <c r="Z32">
        <v>180038153.80570099</v>
      </c>
    </row>
    <row r="33" spans="1:26" x14ac:dyDescent="0.2">
      <c r="A33">
        <v>2046</v>
      </c>
      <c r="B33" s="1">
        <v>208632203.80201301</v>
      </c>
      <c r="C33" s="1">
        <v>188483274.717785</v>
      </c>
      <c r="D33" s="1">
        <v>208167592.714582</v>
      </c>
      <c r="E33" s="1">
        <v>208632203.78101501</v>
      </c>
      <c r="F33" s="1">
        <v>188063076.47765499</v>
      </c>
      <c r="G33" s="1">
        <v>189201607.537433</v>
      </c>
      <c r="H33" s="1">
        <v>211375083.06935501</v>
      </c>
      <c r="I33">
        <v>208955129.772888</v>
      </c>
      <c r="J33">
        <v>191987901.91571599</v>
      </c>
      <c r="K33" s="2">
        <v>189335682.74608001</v>
      </c>
      <c r="L33" s="2">
        <v>213393097.76972601</v>
      </c>
      <c r="M33" s="2">
        <v>208994437.824938</v>
      </c>
      <c r="N33" s="2">
        <v>194022598.07079601</v>
      </c>
      <c r="O33" s="2">
        <v>176621081.738902</v>
      </c>
      <c r="P33" s="2">
        <v>207399859.21617901</v>
      </c>
      <c r="Q33">
        <v>208632203.78101501</v>
      </c>
      <c r="R33">
        <v>175569029.251306</v>
      </c>
      <c r="S33">
        <v>177752884.61067399</v>
      </c>
      <c r="T33">
        <v>210547730.25084499</v>
      </c>
      <c r="U33">
        <v>208931083.66818401</v>
      </c>
      <c r="V33">
        <v>179642851.88387901</v>
      </c>
      <c r="W33">
        <v>178000082.656259</v>
      </c>
      <c r="X33">
        <v>212527965.41604799</v>
      </c>
      <c r="Y33">
        <v>208969138.67759499</v>
      </c>
      <c r="Z33">
        <v>181648936.23021701</v>
      </c>
    </row>
    <row r="34" spans="1:26" x14ac:dyDescent="0.2">
      <c r="A34">
        <v>2047</v>
      </c>
      <c r="B34" s="1">
        <v>212244002.797198</v>
      </c>
      <c r="C34" s="1">
        <v>191093968.37768999</v>
      </c>
      <c r="D34" s="1">
        <v>211745799.133073</v>
      </c>
      <c r="E34" s="1">
        <v>212244002.781288</v>
      </c>
      <c r="F34" s="1">
        <v>190644771.376688</v>
      </c>
      <c r="G34" s="1">
        <v>191852700.95507199</v>
      </c>
      <c r="H34" s="1">
        <v>215187586.28512001</v>
      </c>
      <c r="I34">
        <v>212577558.98523</v>
      </c>
      <c r="J34">
        <v>194821579.333855</v>
      </c>
      <c r="K34" s="2">
        <v>192002242.40462101</v>
      </c>
      <c r="L34" s="2">
        <v>217354693.49902999</v>
      </c>
      <c r="M34" s="2">
        <v>212618113.80772901</v>
      </c>
      <c r="N34" s="2">
        <v>197003235.60984799</v>
      </c>
      <c r="O34" s="2">
        <v>177736209.64090899</v>
      </c>
      <c r="P34" s="2">
        <v>210894625.90129799</v>
      </c>
      <c r="Q34">
        <v>212244002.781288</v>
      </c>
      <c r="R34">
        <v>176595993.47710299</v>
      </c>
      <c r="S34">
        <v>178961040.714378</v>
      </c>
      <c r="T34">
        <v>214267382.58716801</v>
      </c>
      <c r="U34">
        <v>212551200.568773</v>
      </c>
      <c r="V34">
        <v>180929109.60838199</v>
      </c>
      <c r="W34">
        <v>179243100.23109001</v>
      </c>
      <c r="X34">
        <v>216390706.39861399</v>
      </c>
      <c r="Y34">
        <v>212590341.61952701</v>
      </c>
      <c r="Z34">
        <v>183075978.73609799</v>
      </c>
    </row>
    <row r="35" spans="1:26" x14ac:dyDescent="0.2">
      <c r="A35">
        <v>2048</v>
      </c>
      <c r="B35">
        <v>215718054.303161</v>
      </c>
      <c r="C35">
        <v>193582507.80092201</v>
      </c>
      <c r="D35">
        <v>215186002.93076101</v>
      </c>
      <c r="E35">
        <v>215718054.29112199</v>
      </c>
      <c r="F35">
        <v>193104071.35261101</v>
      </c>
      <c r="G35">
        <v>194381737.976457</v>
      </c>
      <c r="H35">
        <v>218865798.47658199</v>
      </c>
      <c r="I35">
        <v>216060752.52545801</v>
      </c>
      <c r="J35">
        <v>197534638.32417199</v>
      </c>
      <c r="K35">
        <v>194547701.325993</v>
      </c>
      <c r="L35">
        <v>221184548.58849901</v>
      </c>
      <c r="M35">
        <v>216102406.99469399</v>
      </c>
      <c r="N35">
        <v>199865988.89062801</v>
      </c>
      <c r="O35">
        <v>178645986.72984901</v>
      </c>
      <c r="P35">
        <v>214247798.567626</v>
      </c>
      <c r="Q35">
        <v>215718054.29112199</v>
      </c>
      <c r="R35">
        <v>177417025.87836301</v>
      </c>
      <c r="S35">
        <v>179966742.979523</v>
      </c>
      <c r="T35">
        <v>217848130.14614099</v>
      </c>
      <c r="U35">
        <v>216032015.031241</v>
      </c>
      <c r="V35">
        <v>182009445.23261499</v>
      </c>
      <c r="W35">
        <v>180286368.658259</v>
      </c>
      <c r="X35">
        <v>220116432.65110499</v>
      </c>
      <c r="Y35">
        <v>216072091.62106401</v>
      </c>
      <c r="Z35">
        <v>184298840.530224</v>
      </c>
    </row>
    <row r="36" spans="1:26" x14ac:dyDescent="0.2">
      <c r="A36">
        <v>2049</v>
      </c>
      <c r="B36">
        <v>219023285.71374601</v>
      </c>
      <c r="C36">
        <v>195925883.989319</v>
      </c>
      <c r="D36">
        <v>218458497.02641699</v>
      </c>
      <c r="E36">
        <v>219023285.69422099</v>
      </c>
      <c r="F36">
        <v>195419162.31483501</v>
      </c>
      <c r="G36">
        <v>196765429.260822</v>
      </c>
      <c r="H36">
        <v>222378502.93577999</v>
      </c>
      <c r="I36">
        <v>219373358.22979099</v>
      </c>
      <c r="J36">
        <v>200103535.57666999</v>
      </c>
      <c r="K36">
        <v>196948687.36182499</v>
      </c>
      <c r="L36">
        <v>224850460.32176599</v>
      </c>
      <c r="M36">
        <v>219415924.76629099</v>
      </c>
      <c r="N36">
        <v>202586417.83756</v>
      </c>
      <c r="O36">
        <v>179330785.78538999</v>
      </c>
      <c r="P36">
        <v>217431049.984635</v>
      </c>
      <c r="Q36">
        <v>219023285.69422099</v>
      </c>
      <c r="R36">
        <v>178014389.95497701</v>
      </c>
      <c r="S36">
        <v>180749890.75668901</v>
      </c>
      <c r="T36">
        <v>221260293.636783</v>
      </c>
      <c r="U36">
        <v>219342286.56136</v>
      </c>
      <c r="V36">
        <v>182864173.01694199</v>
      </c>
      <c r="W36">
        <v>181109743.61089599</v>
      </c>
      <c r="X36">
        <v>223674582.02865899</v>
      </c>
      <c r="Y36">
        <v>219383105.839524</v>
      </c>
      <c r="Z36">
        <v>185296890.55012</v>
      </c>
    </row>
    <row r="37" spans="1:26" x14ac:dyDescent="0.2">
      <c r="A37">
        <v>2050</v>
      </c>
      <c r="B37">
        <v>222134480.72465101</v>
      </c>
      <c r="C37">
        <v>198106573.812226</v>
      </c>
      <c r="D37">
        <v>221537249.193883</v>
      </c>
      <c r="E37">
        <v>222134480.73963001</v>
      </c>
      <c r="F37">
        <v>197571914.72876099</v>
      </c>
      <c r="G37">
        <v>198985967.91254199</v>
      </c>
      <c r="H37">
        <v>225697893.48039901</v>
      </c>
      <c r="I37">
        <v>222489991.584526</v>
      </c>
      <c r="J37">
        <v>202508242.372594</v>
      </c>
      <c r="K37">
        <v>199187297.43343401</v>
      </c>
      <c r="L37">
        <v>228323467.26816201</v>
      </c>
      <c r="M37">
        <v>222533242.179115</v>
      </c>
      <c r="N37">
        <v>205143432.54482201</v>
      </c>
      <c r="O37">
        <v>179786453.23631099</v>
      </c>
      <c r="P37">
        <v>220420203.60880899</v>
      </c>
      <c r="Q37">
        <v>222134480.73963001</v>
      </c>
      <c r="R37">
        <v>178384781.86315101</v>
      </c>
      <c r="S37">
        <v>181305589.042326</v>
      </c>
      <c r="T37">
        <v>224478107.60452801</v>
      </c>
      <c r="U37">
        <v>222456645.91135499</v>
      </c>
      <c r="V37">
        <v>183488126.965244</v>
      </c>
      <c r="W37">
        <v>181708126.063797</v>
      </c>
      <c r="X37">
        <v>227038349.21435899</v>
      </c>
      <c r="Y37">
        <v>222497977.41477799</v>
      </c>
      <c r="Z37">
        <v>186064057.41632801</v>
      </c>
    </row>
    <row r="41" spans="1:26" x14ac:dyDescent="0.2">
      <c r="B41" s="6" t="s">
        <v>38</v>
      </c>
    </row>
    <row r="42" spans="1:26" x14ac:dyDescent="0.2">
      <c r="B42" s="14" t="s">
        <v>25</v>
      </c>
      <c r="C42" s="7"/>
    </row>
    <row r="43" spans="1:26" x14ac:dyDescent="0.2">
      <c r="B43" s="7">
        <v>0</v>
      </c>
      <c r="C43" s="7" t="s">
        <v>43</v>
      </c>
    </row>
    <row r="44" spans="1:26" x14ac:dyDescent="0.2">
      <c r="B44" s="9" t="s">
        <v>40</v>
      </c>
      <c r="C44" s="8"/>
    </row>
    <row r="45" spans="1:26" x14ac:dyDescent="0.2">
      <c r="B45" s="8">
        <v>100</v>
      </c>
      <c r="C45" s="8" t="s">
        <v>37</v>
      </c>
    </row>
    <row r="46" spans="1:26" x14ac:dyDescent="0.2">
      <c r="B46" s="8">
        <v>200</v>
      </c>
      <c r="C46" s="8" t="s">
        <v>39</v>
      </c>
    </row>
    <row r="47" spans="1:26" x14ac:dyDescent="0.2">
      <c r="B47" s="10" t="s">
        <v>41</v>
      </c>
      <c r="C47" s="11"/>
    </row>
    <row r="48" spans="1:26" x14ac:dyDescent="0.2">
      <c r="B48" s="11">
        <v>10</v>
      </c>
      <c r="C48" s="11" t="s">
        <v>26</v>
      </c>
    </row>
    <row r="49" spans="2:3" x14ac:dyDescent="0.2">
      <c r="B49" s="11">
        <v>20</v>
      </c>
      <c r="C49" s="11" t="s">
        <v>42</v>
      </c>
    </row>
    <row r="50" spans="2:3" x14ac:dyDescent="0.2">
      <c r="B50" s="11">
        <v>30</v>
      </c>
      <c r="C50" s="11" t="s">
        <v>33</v>
      </c>
    </row>
    <row r="51" spans="2:3" x14ac:dyDescent="0.2">
      <c r="B51" s="12" t="s">
        <v>44</v>
      </c>
      <c r="C51" s="13"/>
    </row>
    <row r="52" spans="2:3" x14ac:dyDescent="0.2">
      <c r="B52" s="13">
        <v>1</v>
      </c>
      <c r="C52" s="13" t="s">
        <v>34</v>
      </c>
    </row>
    <row r="53" spans="2:3" x14ac:dyDescent="0.2">
      <c r="B53" s="13">
        <v>2</v>
      </c>
      <c r="C53" s="13" t="s">
        <v>35</v>
      </c>
    </row>
    <row r="54" spans="2:3" x14ac:dyDescent="0.2">
      <c r="B54" s="13">
        <v>3</v>
      </c>
      <c r="C54" s="13" t="s">
        <v>36</v>
      </c>
    </row>
    <row r="55" spans="2:3" x14ac:dyDescent="0.2">
      <c r="B55" s="13">
        <v>4</v>
      </c>
      <c r="C55" s="13" t="s">
        <v>45</v>
      </c>
    </row>
    <row r="56" spans="2:3" x14ac:dyDescent="0.2">
      <c r="B56" s="6" t="s">
        <v>46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2498-81CF-42AB-9635-B7831E2B1584}">
  <dimension ref="A1:Q38"/>
  <sheetViews>
    <sheetView workbookViewId="0">
      <selection activeCell="U11" sqref="U11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4</v>
      </c>
      <c r="D2" t="s">
        <v>8</v>
      </c>
      <c r="E2" t="s">
        <v>12</v>
      </c>
      <c r="F2" t="s">
        <v>16</v>
      </c>
      <c r="G2" t="s">
        <v>20</v>
      </c>
      <c r="H2" t="s">
        <v>24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3" cm="1">
        <f t="array" ref="B3">INDEX(MFModRaw!$B$2:$Z$37,_xlfn.XMATCH($A3,MFModRaw!$A$2:$A$37),_xlfn.XMATCH(B$2,MFModRaw!$B$1:$Z$1))</f>
        <v>95406124.717485994</v>
      </c>
      <c r="C3" s="3" cm="1">
        <f t="array" ref="C3">INDEX(MFModRaw!$B$2:$Z$37,_xlfn.XMATCH($A3,MFModRaw!$A$2:$A$37),_xlfn.XMATCH(C$2,MFModRaw!$B$1:$Z$1))</f>
        <v>95406124.717485994</v>
      </c>
      <c r="D3" s="3" cm="1">
        <f t="array" ref="D3">INDEX(MFModRaw!$B$2:$Z$37,_xlfn.XMATCH($A3,MFModRaw!$A$2:$A$37),_xlfn.XMATCH(D$2,MFModRaw!$B$1:$Z$1))</f>
        <v>95406124.717485994</v>
      </c>
      <c r="E3" s="3" cm="1">
        <f t="array" ref="E3">INDEX(MFModRaw!$B$2:$Z$37,_xlfn.XMATCH($A3,MFModRaw!$A$2:$A$37),_xlfn.XMATCH(E$2,MFModRaw!$B$1:$Z$1))</f>
        <v>95406124.717485994</v>
      </c>
      <c r="F3" s="3" cm="1">
        <f t="array" ref="F3">INDEX(MFModRaw!$B$2:$Z$37,_xlfn.XMATCH($A3,MFModRaw!$A$2:$A$37),_xlfn.XMATCH(F$2,MFModRaw!$B$1:$Z$1))</f>
        <v>95406124.717485994</v>
      </c>
      <c r="G3" s="3" cm="1">
        <f t="array" ref="G3">INDEX(MFModRaw!$B$2:$Z$37,_xlfn.XMATCH($A3,MFModRaw!$A$2:$A$37),_xlfn.XMATCH(G$2,MFModRaw!$B$1:$Z$1))</f>
        <v>95406124.717485994</v>
      </c>
      <c r="H3" s="3" cm="1">
        <f t="array" ref="H3">INDEX(MFModRaw!$B$2:$Z$37,_xlfn.XMATCH($A3,MFModRaw!$A$2:$A$37),_xlfn.XMATCH(H$2,MFModRaw!$B$1:$Z$1))</f>
        <v>95406124.717485994</v>
      </c>
      <c r="K3">
        <v>2015</v>
      </c>
      <c r="L3" s="2">
        <f>C3/$B3-1</f>
        <v>0</v>
      </c>
      <c r="M3" s="2">
        <f t="shared" ref="M3:Q3" si="1">D3/$B3-1</f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</row>
    <row r="4" spans="1:17" x14ac:dyDescent="0.2">
      <c r="A4">
        <v>2016</v>
      </c>
      <c r="B4" s="3" cm="1">
        <f t="array" ref="B4">INDEX(MFModRaw!$B$2:$Z$37,_xlfn.XMATCH($A4,MFModRaw!$A$2:$A$37),_xlfn.XMATCH(B$2,MFModRaw!$B$1:$Z$1))</f>
        <v>102948457.015031</v>
      </c>
      <c r="C4" s="3" cm="1">
        <f t="array" ref="C4">INDEX(MFModRaw!$B$2:$Z$37,_xlfn.XMATCH($A4,MFModRaw!$A$2:$A$37),_xlfn.XMATCH(C$2,MFModRaw!$B$1:$Z$1))</f>
        <v>102948457.015031</v>
      </c>
      <c r="D4" s="3" cm="1">
        <f t="array" ref="D4">INDEX(MFModRaw!$B$2:$Z$37,_xlfn.XMATCH($A4,MFModRaw!$A$2:$A$37),_xlfn.XMATCH(D$2,MFModRaw!$B$1:$Z$1))</f>
        <v>102948457.015031</v>
      </c>
      <c r="E4" s="3" cm="1">
        <f t="array" ref="E4">INDEX(MFModRaw!$B$2:$Z$37,_xlfn.XMATCH($A4,MFModRaw!$A$2:$A$37),_xlfn.XMATCH(E$2,MFModRaw!$B$1:$Z$1))</f>
        <v>102948457.015031</v>
      </c>
      <c r="F4" s="3" cm="1">
        <f t="array" ref="F4">INDEX(MFModRaw!$B$2:$Z$37,_xlfn.XMATCH($A4,MFModRaw!$A$2:$A$37),_xlfn.XMATCH(F$2,MFModRaw!$B$1:$Z$1))</f>
        <v>102948457.015031</v>
      </c>
      <c r="G4" s="3" cm="1">
        <f t="array" ref="G4">INDEX(MFModRaw!$B$2:$Z$37,_xlfn.XMATCH($A4,MFModRaw!$A$2:$A$37),_xlfn.XMATCH(G$2,MFModRaw!$B$1:$Z$1))</f>
        <v>102948457.015031</v>
      </c>
      <c r="H4" s="3" cm="1">
        <f t="array" ref="H4">INDEX(MFModRaw!$B$2:$Z$37,_xlfn.XMATCH($A4,MFModRaw!$A$2:$A$37),_xlfn.XMATCH(H$2,MFModRaw!$B$1:$Z$1))</f>
        <v>102948457.015031</v>
      </c>
      <c r="K4">
        <v>2016</v>
      </c>
      <c r="L4" s="2">
        <f t="shared" ref="L4:L38" si="2">C4/$B4-1</f>
        <v>0</v>
      </c>
      <c r="M4" s="2">
        <f t="shared" ref="M4:M38" si="3">D4/$B4-1</f>
        <v>0</v>
      </c>
      <c r="N4" s="2">
        <f t="shared" ref="N4:N38" si="4">E4/$B4-1</f>
        <v>0</v>
      </c>
      <c r="O4" s="2">
        <f t="shared" ref="O4:O38" si="5">F4/$B4-1</f>
        <v>0</v>
      </c>
      <c r="P4" s="2">
        <f t="shared" ref="P4:P38" si="6">G4/$B4-1</f>
        <v>0</v>
      </c>
      <c r="Q4" s="2">
        <f t="shared" ref="Q4:Q38" si="7">H4/$B4-1</f>
        <v>0</v>
      </c>
    </row>
    <row r="5" spans="1:17" x14ac:dyDescent="0.2">
      <c r="A5">
        <v>2017</v>
      </c>
      <c r="B5" s="3" cm="1">
        <f t="array" ref="B5">INDEX(MFModRaw!$B$2:$Z$37,_xlfn.XMATCH($A5,MFModRaw!$A$2:$A$37),_xlfn.XMATCH(B$2,MFModRaw!$B$1:$Z$1))</f>
        <v>111261585.22876</v>
      </c>
      <c r="C5" s="3" cm="1">
        <f t="array" ref="C5">INDEX(MFModRaw!$B$2:$Z$37,_xlfn.XMATCH($A5,MFModRaw!$A$2:$A$37),_xlfn.XMATCH(C$2,MFModRaw!$B$1:$Z$1))</f>
        <v>111261585.22876</v>
      </c>
      <c r="D5" s="3" cm="1">
        <f t="array" ref="D5">INDEX(MFModRaw!$B$2:$Z$37,_xlfn.XMATCH($A5,MFModRaw!$A$2:$A$37),_xlfn.XMATCH(D$2,MFModRaw!$B$1:$Z$1))</f>
        <v>111261585.22876</v>
      </c>
      <c r="E5" s="3" cm="1">
        <f t="array" ref="E5">INDEX(MFModRaw!$B$2:$Z$37,_xlfn.XMATCH($A5,MFModRaw!$A$2:$A$37),_xlfn.XMATCH(E$2,MFModRaw!$B$1:$Z$1))</f>
        <v>111261585.22876</v>
      </c>
      <c r="F5" s="3" cm="1">
        <f t="array" ref="F5">INDEX(MFModRaw!$B$2:$Z$37,_xlfn.XMATCH($A5,MFModRaw!$A$2:$A$37),_xlfn.XMATCH(F$2,MFModRaw!$B$1:$Z$1))</f>
        <v>111261585.22876</v>
      </c>
      <c r="G5" s="3" cm="1">
        <f t="array" ref="G5">INDEX(MFModRaw!$B$2:$Z$37,_xlfn.XMATCH($A5,MFModRaw!$A$2:$A$37),_xlfn.XMATCH(G$2,MFModRaw!$B$1:$Z$1))</f>
        <v>111261585.22876</v>
      </c>
      <c r="H5" s="3" cm="1">
        <f t="array" ref="H5">INDEX(MFModRaw!$B$2:$Z$37,_xlfn.XMATCH($A5,MFModRaw!$A$2:$A$37),_xlfn.XMATCH(H$2,MFModRaw!$B$1:$Z$1))</f>
        <v>111261585.22876</v>
      </c>
      <c r="K5">
        <v>2017</v>
      </c>
      <c r="L5" s="2">
        <f t="shared" si="2"/>
        <v>0</v>
      </c>
      <c r="M5" s="2">
        <f t="shared" si="3"/>
        <v>0</v>
      </c>
      <c r="N5" s="2">
        <f t="shared" si="4"/>
        <v>0</v>
      </c>
      <c r="O5" s="2">
        <f t="shared" si="5"/>
        <v>0</v>
      </c>
      <c r="P5" s="2">
        <f t="shared" si="6"/>
        <v>0</v>
      </c>
      <c r="Q5" s="2">
        <f t="shared" si="7"/>
        <v>0</v>
      </c>
    </row>
    <row r="6" spans="1:17" x14ac:dyDescent="0.2">
      <c r="A6">
        <v>2018</v>
      </c>
      <c r="B6" s="3" cm="1">
        <f t="array" ref="B6">INDEX(MFModRaw!$B$2:$Z$37,_xlfn.XMATCH($A6,MFModRaw!$A$2:$A$37),_xlfn.XMATCH(B$2,MFModRaw!$B$1:$Z$1))</f>
        <v>121026150.909922</v>
      </c>
      <c r="C6" s="3" cm="1">
        <f t="array" ref="C6">INDEX(MFModRaw!$B$2:$Z$37,_xlfn.XMATCH($A6,MFModRaw!$A$2:$A$37),_xlfn.XMATCH(C$2,MFModRaw!$B$1:$Z$1))</f>
        <v>121026150.909922</v>
      </c>
      <c r="D6" s="3" cm="1">
        <f t="array" ref="D6">INDEX(MFModRaw!$B$2:$Z$37,_xlfn.XMATCH($A6,MFModRaw!$A$2:$A$37),_xlfn.XMATCH(D$2,MFModRaw!$B$1:$Z$1))</f>
        <v>121026150.909922</v>
      </c>
      <c r="E6" s="3" cm="1">
        <f t="array" ref="E6">INDEX(MFModRaw!$B$2:$Z$37,_xlfn.XMATCH($A6,MFModRaw!$A$2:$A$37),_xlfn.XMATCH(E$2,MFModRaw!$B$1:$Z$1))</f>
        <v>121026150.909922</v>
      </c>
      <c r="F6" s="3" cm="1">
        <f t="array" ref="F6">INDEX(MFModRaw!$B$2:$Z$37,_xlfn.XMATCH($A6,MFModRaw!$A$2:$A$37),_xlfn.XMATCH(F$2,MFModRaw!$B$1:$Z$1))</f>
        <v>121026150.909922</v>
      </c>
      <c r="G6" s="3" cm="1">
        <f t="array" ref="G6">INDEX(MFModRaw!$B$2:$Z$37,_xlfn.XMATCH($A6,MFModRaw!$A$2:$A$37),_xlfn.XMATCH(G$2,MFModRaw!$B$1:$Z$1))</f>
        <v>121026150.909922</v>
      </c>
      <c r="H6" s="3" cm="1">
        <f t="array" ref="H6">INDEX(MFModRaw!$B$2:$Z$37,_xlfn.XMATCH($A6,MFModRaw!$A$2:$A$37),_xlfn.XMATCH(H$2,MFModRaw!$B$1:$Z$1))</f>
        <v>121026150.909922</v>
      </c>
      <c r="K6">
        <v>2018</v>
      </c>
      <c r="L6" s="2">
        <f t="shared" si="2"/>
        <v>0</v>
      </c>
      <c r="M6" s="2">
        <f t="shared" si="3"/>
        <v>0</v>
      </c>
      <c r="N6" s="2">
        <f t="shared" si="4"/>
        <v>0</v>
      </c>
      <c r="O6" s="2">
        <f t="shared" si="5"/>
        <v>0</v>
      </c>
      <c r="P6" s="2">
        <f t="shared" si="6"/>
        <v>0</v>
      </c>
      <c r="Q6" s="2">
        <f t="shared" si="7"/>
        <v>0</v>
      </c>
    </row>
    <row r="7" spans="1:17" x14ac:dyDescent="0.2">
      <c r="A7">
        <v>2019</v>
      </c>
      <c r="B7" s="3" cm="1">
        <f t="array" ref="B7">INDEX(MFModRaw!$B$2:$Z$37,_xlfn.XMATCH($A7,MFModRaw!$A$2:$A$37),_xlfn.XMATCH(B$2,MFModRaw!$B$1:$Z$1))</f>
        <v>130631936.159025</v>
      </c>
      <c r="C7" s="3" cm="1">
        <f t="array" ref="C7">INDEX(MFModRaw!$B$2:$Z$37,_xlfn.XMATCH($A7,MFModRaw!$A$2:$A$37),_xlfn.XMATCH(C$2,MFModRaw!$B$1:$Z$1))</f>
        <v>130631936.159025</v>
      </c>
      <c r="D7" s="3" cm="1">
        <f t="array" ref="D7">INDEX(MFModRaw!$B$2:$Z$37,_xlfn.XMATCH($A7,MFModRaw!$A$2:$A$37),_xlfn.XMATCH(D$2,MFModRaw!$B$1:$Z$1))</f>
        <v>130631936.159025</v>
      </c>
      <c r="E7" s="3" cm="1">
        <f t="array" ref="E7">INDEX(MFModRaw!$B$2:$Z$37,_xlfn.XMATCH($A7,MFModRaw!$A$2:$A$37),_xlfn.XMATCH(E$2,MFModRaw!$B$1:$Z$1))</f>
        <v>130631936.159025</v>
      </c>
      <c r="F7" s="3" cm="1">
        <f t="array" ref="F7">INDEX(MFModRaw!$B$2:$Z$37,_xlfn.XMATCH($A7,MFModRaw!$A$2:$A$37),_xlfn.XMATCH(F$2,MFModRaw!$B$1:$Z$1))</f>
        <v>130631936.159025</v>
      </c>
      <c r="G7" s="3" cm="1">
        <f t="array" ref="G7">INDEX(MFModRaw!$B$2:$Z$37,_xlfn.XMATCH($A7,MFModRaw!$A$2:$A$37),_xlfn.XMATCH(G$2,MFModRaw!$B$1:$Z$1))</f>
        <v>130631936.159025</v>
      </c>
      <c r="H7" s="3" cm="1">
        <f t="array" ref="H7">INDEX(MFModRaw!$B$2:$Z$37,_xlfn.XMATCH($A7,MFModRaw!$A$2:$A$37),_xlfn.XMATCH(H$2,MFModRaw!$B$1:$Z$1))</f>
        <v>130631936.159025</v>
      </c>
      <c r="K7">
        <v>2019</v>
      </c>
      <c r="L7" s="2">
        <f t="shared" si="2"/>
        <v>0</v>
      </c>
      <c r="M7" s="2">
        <f t="shared" si="3"/>
        <v>0</v>
      </c>
      <c r="N7" s="2">
        <f t="shared" si="4"/>
        <v>0</v>
      </c>
      <c r="O7" s="2">
        <f t="shared" si="5"/>
        <v>0</v>
      </c>
      <c r="P7" s="2">
        <f t="shared" si="6"/>
        <v>0</v>
      </c>
      <c r="Q7" s="2">
        <f t="shared" si="7"/>
        <v>0</v>
      </c>
    </row>
    <row r="8" spans="1:17" x14ac:dyDescent="0.2">
      <c r="A8">
        <v>2020</v>
      </c>
      <c r="B8" s="3" cm="1">
        <f t="array" ref="B8">INDEX(MFModRaw!$B$2:$Z$37,_xlfn.XMATCH($A8,MFModRaw!$A$2:$A$37),_xlfn.XMATCH(B$2,MFModRaw!$B$1:$Z$1))</f>
        <v>125987027.75209901</v>
      </c>
      <c r="C8" s="3" cm="1">
        <f t="array" ref="C8">INDEX(MFModRaw!$B$2:$Z$37,_xlfn.XMATCH($A8,MFModRaw!$A$2:$A$37),_xlfn.XMATCH(C$2,MFModRaw!$B$1:$Z$1))</f>
        <v>125987027.75209901</v>
      </c>
      <c r="D8" s="3" cm="1">
        <f t="array" ref="D8">INDEX(MFModRaw!$B$2:$Z$37,_xlfn.XMATCH($A8,MFModRaw!$A$2:$A$37),_xlfn.XMATCH(D$2,MFModRaw!$B$1:$Z$1))</f>
        <v>125987151.70941401</v>
      </c>
      <c r="E8" s="3" cm="1">
        <f t="array" ref="E8">INDEX(MFModRaw!$B$2:$Z$37,_xlfn.XMATCH($A8,MFModRaw!$A$2:$A$37),_xlfn.XMATCH(E$2,MFModRaw!$B$1:$Z$1))</f>
        <v>125987275.671707</v>
      </c>
      <c r="F8" s="3" cm="1">
        <f t="array" ref="F8">INDEX(MFModRaw!$B$2:$Z$37,_xlfn.XMATCH($A8,MFModRaw!$A$2:$A$37),_xlfn.XMATCH(F$2,MFModRaw!$B$1:$Z$1))</f>
        <v>125987027.75209901</v>
      </c>
      <c r="G8" s="3" cm="1">
        <f t="array" ref="G8">INDEX(MFModRaw!$B$2:$Z$37,_xlfn.XMATCH($A8,MFModRaw!$A$2:$A$37),_xlfn.XMATCH(G$2,MFModRaw!$B$1:$Z$1))</f>
        <v>125987151.70941401</v>
      </c>
      <c r="H8" s="3" cm="1">
        <f t="array" ref="H8">INDEX(MFModRaw!$B$2:$Z$37,_xlfn.XMATCH($A8,MFModRaw!$A$2:$A$37),_xlfn.XMATCH(H$2,MFModRaw!$B$1:$Z$1))</f>
        <v>125987275.671707</v>
      </c>
      <c r="K8">
        <v>2020</v>
      </c>
      <c r="L8" s="2">
        <f t="shared" si="2"/>
        <v>0</v>
      </c>
      <c r="M8" s="2">
        <f t="shared" si="3"/>
        <v>9.8388950986461055E-7</v>
      </c>
      <c r="N8" s="2">
        <f t="shared" si="4"/>
        <v>1.9678185319005337E-6</v>
      </c>
      <c r="O8" s="2">
        <f t="shared" si="5"/>
        <v>0</v>
      </c>
      <c r="P8" s="2">
        <f t="shared" si="6"/>
        <v>9.8388950986461055E-7</v>
      </c>
      <c r="Q8" s="2">
        <f t="shared" si="7"/>
        <v>1.9678185319005337E-6</v>
      </c>
    </row>
    <row r="9" spans="1:17" x14ac:dyDescent="0.2">
      <c r="A9">
        <v>2021</v>
      </c>
      <c r="B9" s="3" cm="1">
        <f t="array" ref="B9">INDEX(MFModRaw!$B$2:$Z$37,_xlfn.XMATCH($A9,MFModRaw!$A$2:$A$37),_xlfn.XMATCH(B$2,MFModRaw!$B$1:$Z$1))</f>
        <v>129879828.790113</v>
      </c>
      <c r="C9" s="3" cm="1">
        <f t="array" ref="C9">INDEX(MFModRaw!$B$2:$Z$37,_xlfn.XMATCH($A9,MFModRaw!$A$2:$A$37),_xlfn.XMATCH(C$2,MFModRaw!$B$1:$Z$1))</f>
        <v>129799548.255429</v>
      </c>
      <c r="D9" s="3" cm="1">
        <f t="array" ref="D9">INDEX(MFModRaw!$B$2:$Z$37,_xlfn.XMATCH($A9,MFModRaw!$A$2:$A$37),_xlfn.XMATCH(D$2,MFModRaw!$B$1:$Z$1))</f>
        <v>129806305.599069</v>
      </c>
      <c r="E9" s="3" cm="1">
        <f t="array" ref="E9">INDEX(MFModRaw!$B$2:$Z$37,_xlfn.XMATCH($A9,MFModRaw!$A$2:$A$37),_xlfn.XMATCH(E$2,MFModRaw!$B$1:$Z$1))</f>
        <v>129808859.52436399</v>
      </c>
      <c r="F9" s="3" cm="1">
        <f t="array" ref="F9">INDEX(MFModRaw!$B$2:$Z$37,_xlfn.XMATCH($A9,MFModRaw!$A$2:$A$37),_xlfn.XMATCH(F$2,MFModRaw!$B$1:$Z$1))</f>
        <v>129800095.415282</v>
      </c>
      <c r="G9" s="3" cm="1">
        <f t="array" ref="G9">INDEX(MFModRaw!$B$2:$Z$37,_xlfn.XMATCH($A9,MFModRaw!$A$2:$A$37),_xlfn.XMATCH(G$2,MFModRaw!$B$1:$Z$1))</f>
        <v>129806851.855885</v>
      </c>
      <c r="H9" s="3" cm="1">
        <f t="array" ref="H9">INDEX(MFModRaw!$B$2:$Z$37,_xlfn.XMATCH($A9,MFModRaw!$A$2:$A$37),_xlfn.XMATCH(H$2,MFModRaw!$B$1:$Z$1))</f>
        <v>129809406.64335001</v>
      </c>
      <c r="K9">
        <v>2021</v>
      </c>
      <c r="L9" s="2">
        <f t="shared" si="2"/>
        <v>-6.1811395527577861E-4</v>
      </c>
      <c r="M9" s="2">
        <f t="shared" si="3"/>
        <v>-5.6608629476107009E-4</v>
      </c>
      <c r="N9" s="2">
        <f t="shared" si="4"/>
        <v>-5.4642253851211464E-4</v>
      </c>
      <c r="O9" s="2">
        <f t="shared" si="5"/>
        <v>-6.1390113902792809E-4</v>
      </c>
      <c r="P9" s="2">
        <f t="shared" si="6"/>
        <v>-5.6188043137883614E-4</v>
      </c>
      <c r="Q9" s="2">
        <f t="shared" si="7"/>
        <v>-5.4221003691645731E-4</v>
      </c>
    </row>
    <row r="10" spans="1:17" x14ac:dyDescent="0.2">
      <c r="A10">
        <v>2022</v>
      </c>
      <c r="B10" s="3" cm="1">
        <f t="array" ref="B10">INDEX(MFModRaw!$B$2:$Z$37,_xlfn.XMATCH($A10,MFModRaw!$A$2:$A$37),_xlfn.XMATCH(B$2,MFModRaw!$B$1:$Z$1))</f>
        <v>136508075.76283899</v>
      </c>
      <c r="C10" s="3" cm="1">
        <f t="array" ref="C10">INDEX(MFModRaw!$B$2:$Z$37,_xlfn.XMATCH($A10,MFModRaw!$A$2:$A$37),_xlfn.XMATCH(C$2,MFModRaw!$B$1:$Z$1))</f>
        <v>136190539.10595599</v>
      </c>
      <c r="D10" s="3" cm="1">
        <f t="array" ref="D10">INDEX(MFModRaw!$B$2:$Z$37,_xlfn.XMATCH($A10,MFModRaw!$A$2:$A$37),_xlfn.XMATCH(D$2,MFModRaw!$B$1:$Z$1))</f>
        <v>136220968.74835199</v>
      </c>
      <c r="E10" s="3" cm="1">
        <f t="array" ref="E10">INDEX(MFModRaw!$B$2:$Z$37,_xlfn.XMATCH($A10,MFModRaw!$A$2:$A$37),_xlfn.XMATCH(E$2,MFModRaw!$B$1:$Z$1))</f>
        <v>136233119.64500701</v>
      </c>
      <c r="F10" s="3" cm="1">
        <f t="array" ref="F10">INDEX(MFModRaw!$B$2:$Z$37,_xlfn.XMATCH($A10,MFModRaw!$A$2:$A$37),_xlfn.XMATCH(F$2,MFModRaw!$B$1:$Z$1))</f>
        <v>136187780.69620001</v>
      </c>
      <c r="G10" s="3" cm="1">
        <f t="array" ref="G10">INDEX(MFModRaw!$B$2:$Z$37,_xlfn.XMATCH($A10,MFModRaw!$A$2:$A$37),_xlfn.XMATCH(G$2,MFModRaw!$B$1:$Z$1))</f>
        <v>136218351.88184401</v>
      </c>
      <c r="H10" s="3" cm="1">
        <f t="array" ref="H10">INDEX(MFModRaw!$B$2:$Z$37,_xlfn.XMATCH($A10,MFModRaw!$A$2:$A$37),_xlfn.XMATCH(H$2,MFModRaw!$B$1:$Z$1))</f>
        <v>136230512.291311</v>
      </c>
      <c r="K10">
        <v>2022</v>
      </c>
      <c r="L10" s="2">
        <f t="shared" si="2"/>
        <v>-2.3261382530559427E-3</v>
      </c>
      <c r="M10" s="2">
        <f t="shared" si="3"/>
        <v>-2.1032236582529951E-3</v>
      </c>
      <c r="N10" s="2">
        <f t="shared" si="4"/>
        <v>-2.0142113665836403E-3</v>
      </c>
      <c r="O10" s="2">
        <f t="shared" si="5"/>
        <v>-2.3463451876315489E-3</v>
      </c>
      <c r="P10" s="2">
        <f t="shared" si="6"/>
        <v>-2.1223937073021615E-3</v>
      </c>
      <c r="Q10" s="2">
        <f t="shared" si="7"/>
        <v>-2.0333117288255931E-3</v>
      </c>
    </row>
    <row r="11" spans="1:17" x14ac:dyDescent="0.2">
      <c r="A11">
        <v>2023</v>
      </c>
      <c r="B11" s="3" cm="1">
        <f t="array" ref="B11">INDEX(MFModRaw!$B$2:$Z$37,_xlfn.XMATCH($A11,MFModRaw!$A$2:$A$37),_xlfn.XMATCH(B$2,MFModRaw!$B$1:$Z$1))</f>
        <v>143334277.97308999</v>
      </c>
      <c r="C11" s="3" cm="1">
        <f t="array" ref="C11">INDEX(MFModRaw!$B$2:$Z$37,_xlfn.XMATCH($A11,MFModRaw!$A$2:$A$37),_xlfn.XMATCH(C$2,MFModRaw!$B$1:$Z$1))</f>
        <v>142689930.097877</v>
      </c>
      <c r="D11" s="3" cm="1">
        <f t="array" ref="D11">INDEX(MFModRaw!$B$2:$Z$37,_xlfn.XMATCH($A11,MFModRaw!$A$2:$A$37),_xlfn.XMATCH(D$2,MFModRaw!$B$1:$Z$1))</f>
        <v>142756930.85387</v>
      </c>
      <c r="E11" s="3" cm="1">
        <f t="array" ref="E11">INDEX(MFModRaw!$B$2:$Z$37,_xlfn.XMATCH($A11,MFModRaw!$A$2:$A$37),_xlfn.XMATCH(E$2,MFModRaw!$B$1:$Z$1))</f>
        <v>142784561.760351</v>
      </c>
      <c r="F11" s="3" cm="1">
        <f t="array" ref="F11">INDEX(MFModRaw!$B$2:$Z$37,_xlfn.XMATCH($A11,MFModRaw!$A$2:$A$37),_xlfn.XMATCH(F$2,MFModRaw!$B$1:$Z$1))</f>
        <v>142675021.82542801</v>
      </c>
      <c r="G11" s="3" cm="1">
        <f t="array" ref="G11">INDEX(MFModRaw!$B$2:$Z$37,_xlfn.XMATCH($A11,MFModRaw!$A$2:$A$37),_xlfn.XMATCH(G$2,MFModRaw!$B$1:$Z$1))</f>
        <v>142742564.50607401</v>
      </c>
      <c r="H11" s="3" cm="1">
        <f t="array" ref="H11">INDEX(MFModRaw!$B$2:$Z$37,_xlfn.XMATCH($A11,MFModRaw!$A$2:$A$37),_xlfn.XMATCH(H$2,MFModRaw!$B$1:$Z$1))</f>
        <v>142770226.67398101</v>
      </c>
      <c r="K11">
        <v>2023</v>
      </c>
      <c r="L11" s="2">
        <f t="shared" si="2"/>
        <v>-4.4954206650691386E-3</v>
      </c>
      <c r="M11" s="2">
        <f t="shared" si="3"/>
        <v>-4.0279766109289072E-3</v>
      </c>
      <c r="N11" s="2">
        <f t="shared" si="4"/>
        <v>-3.8352041152514005E-3</v>
      </c>
      <c r="O11" s="2">
        <f t="shared" si="5"/>
        <v>-4.5994311827193268E-3</v>
      </c>
      <c r="P11" s="2">
        <f t="shared" si="6"/>
        <v>-4.1282062838247091E-3</v>
      </c>
      <c r="Q11" s="2">
        <f t="shared" si="7"/>
        <v>-3.935215686612481E-3</v>
      </c>
    </row>
    <row r="12" spans="1:17" x14ac:dyDescent="0.2">
      <c r="A12">
        <v>2024</v>
      </c>
      <c r="B12" s="3" cm="1">
        <f t="array" ref="B12">INDEX(MFModRaw!$B$2:$Z$37,_xlfn.XMATCH($A12,MFModRaw!$A$2:$A$37),_xlfn.XMATCH(B$2,MFModRaw!$B$1:$Z$1))</f>
        <v>151960779.35757601</v>
      </c>
      <c r="C12" s="3" cm="1">
        <f t="array" ref="C12">INDEX(MFModRaw!$B$2:$Z$37,_xlfn.XMATCH($A12,MFModRaw!$A$2:$A$37),_xlfn.XMATCH(C$2,MFModRaw!$B$1:$Z$1))</f>
        <v>150789520.63134301</v>
      </c>
      <c r="D12" s="3" cm="1">
        <f t="array" ref="D12">INDEX(MFModRaw!$B$2:$Z$37,_xlfn.XMATCH($A12,MFModRaw!$A$2:$A$37),_xlfn.XMATCH(D$2,MFModRaw!$B$1:$Z$1))</f>
        <v>150919507.395735</v>
      </c>
      <c r="E12" s="3" cm="1">
        <f t="array" ref="E12">INDEX(MFModRaw!$B$2:$Z$37,_xlfn.XMATCH($A12,MFModRaw!$A$2:$A$37),_xlfn.XMATCH(E$2,MFModRaw!$B$1:$Z$1))</f>
        <v>150974577.222435</v>
      </c>
      <c r="F12" s="3" cm="1">
        <f t="array" ref="F12">INDEX(MFModRaw!$B$2:$Z$37,_xlfn.XMATCH($A12,MFModRaw!$A$2:$A$37),_xlfn.XMATCH(F$2,MFModRaw!$B$1:$Z$1))</f>
        <v>150741024.167698</v>
      </c>
      <c r="G12" s="3" cm="1">
        <f t="array" ref="G12">INDEX(MFModRaw!$B$2:$Z$37,_xlfn.XMATCH($A12,MFModRaw!$A$2:$A$37),_xlfn.XMATCH(G$2,MFModRaw!$B$1:$Z$1))</f>
        <v>150872582.34374201</v>
      </c>
      <c r="H12" s="3" cm="1">
        <f t="array" ref="H12">INDEX(MFModRaw!$B$2:$Z$37,_xlfn.XMATCH($A12,MFModRaw!$A$2:$A$37),_xlfn.XMATCH(H$2,MFModRaw!$B$1:$Z$1))</f>
        <v>150927740.424409</v>
      </c>
      <c r="K12">
        <v>2024</v>
      </c>
      <c r="L12" s="2">
        <f t="shared" si="2"/>
        <v>-7.7076383207863586E-3</v>
      </c>
      <c r="M12" s="2">
        <f t="shared" si="3"/>
        <v>-6.8522415207599163E-3</v>
      </c>
      <c r="N12" s="2">
        <f t="shared" si="4"/>
        <v>-6.4898465203340194E-3</v>
      </c>
      <c r="O12" s="2">
        <f t="shared" si="5"/>
        <v>-8.0267763500201372E-3</v>
      </c>
      <c r="P12" s="2">
        <f t="shared" si="6"/>
        <v>-7.1610386471721021E-3</v>
      </c>
      <c r="Q12" s="2">
        <f t="shared" si="7"/>
        <v>-6.7980628786865616E-3</v>
      </c>
    </row>
    <row r="13" spans="1:17" x14ac:dyDescent="0.2">
      <c r="A13">
        <v>2025</v>
      </c>
      <c r="B13" s="3" cm="1">
        <f t="array" ref="B13">INDEX(MFModRaw!$B$2:$Z$37,_xlfn.XMATCH($A13,MFModRaw!$A$2:$A$37),_xlfn.XMATCH(B$2,MFModRaw!$B$1:$Z$1))</f>
        <v>157327866.00698</v>
      </c>
      <c r="C13" s="3" cm="1">
        <f t="array" ref="C13">INDEX(MFModRaw!$B$2:$Z$37,_xlfn.XMATCH($A13,MFModRaw!$A$2:$A$37),_xlfn.XMATCH(C$2,MFModRaw!$B$1:$Z$1))</f>
        <v>155546371.05968201</v>
      </c>
      <c r="D13" s="3" cm="1">
        <f t="array" ref="D13">INDEX(MFModRaw!$B$2:$Z$37,_xlfn.XMATCH($A13,MFModRaw!$A$2:$A$37),_xlfn.XMATCH(D$2,MFModRaw!$B$1:$Z$1))</f>
        <v>155753775.909015</v>
      </c>
      <c r="E13" s="3" cm="1">
        <f t="array" ref="E13">INDEX(MFModRaw!$B$2:$Z$37,_xlfn.XMATCH($A13,MFModRaw!$A$2:$A$37),_xlfn.XMATCH(E$2,MFModRaw!$B$1:$Z$1))</f>
        <v>155843307.85809901</v>
      </c>
      <c r="F13" s="3" cm="1">
        <f t="array" ref="F13">INDEX(MFModRaw!$B$2:$Z$37,_xlfn.XMATCH($A13,MFModRaw!$A$2:$A$37),_xlfn.XMATCH(F$2,MFModRaw!$B$1:$Z$1))</f>
        <v>155442626.83441401</v>
      </c>
      <c r="G13" s="3" cm="1">
        <f t="array" ref="G13">INDEX(MFModRaw!$B$2:$Z$37,_xlfn.XMATCH($A13,MFModRaw!$A$2:$A$37),_xlfn.XMATCH(G$2,MFModRaw!$B$1:$Z$1))</f>
        <v>155653287.547378</v>
      </c>
      <c r="H13" s="3" cm="1">
        <f t="array" ref="H13">INDEX(MFModRaw!$B$2:$Z$37,_xlfn.XMATCH($A13,MFModRaw!$A$2:$A$37),_xlfn.XMATCH(H$2,MFModRaw!$B$1:$Z$1))</f>
        <v>155743014.89718199</v>
      </c>
      <c r="K13">
        <v>2025</v>
      </c>
      <c r="L13" s="2">
        <f t="shared" si="2"/>
        <v>-1.1323454595252413E-2</v>
      </c>
      <c r="M13" s="2">
        <f t="shared" si="3"/>
        <v>-1.0005157623476313E-2</v>
      </c>
      <c r="N13" s="2">
        <f t="shared" si="4"/>
        <v>-9.4360788495988501E-3</v>
      </c>
      <c r="O13" s="2">
        <f t="shared" si="5"/>
        <v>-1.198286877216248E-2</v>
      </c>
      <c r="P13" s="2">
        <f t="shared" si="6"/>
        <v>-1.0643877032741944E-2</v>
      </c>
      <c r="Q13" s="2">
        <f t="shared" si="7"/>
        <v>-1.007355626197648E-2</v>
      </c>
    </row>
    <row r="14" spans="1:17" x14ac:dyDescent="0.2">
      <c r="A14">
        <v>2026</v>
      </c>
      <c r="B14" s="3" cm="1">
        <f t="array" ref="B14">INDEX(MFModRaw!$B$2:$Z$37,_xlfn.XMATCH($A14,MFModRaw!$A$2:$A$37),_xlfn.XMATCH(B$2,MFModRaw!$B$1:$Z$1))</f>
        <v>161174295.799999</v>
      </c>
      <c r="C14" s="3" cm="1">
        <f t="array" ref="C14">INDEX(MFModRaw!$B$2:$Z$37,_xlfn.XMATCH($A14,MFModRaw!$A$2:$A$37),_xlfn.XMATCH(C$2,MFModRaw!$B$1:$Z$1))</f>
        <v>158702896.046379</v>
      </c>
      <c r="D14" s="3" cm="1">
        <f t="array" ref="D14">INDEX(MFModRaw!$B$2:$Z$37,_xlfn.XMATCH($A14,MFModRaw!$A$2:$A$37),_xlfn.XMATCH(D$2,MFModRaw!$B$1:$Z$1))</f>
        <v>159002647.78015399</v>
      </c>
      <c r="E14" s="3" cm="1">
        <f t="array" ref="E14">INDEX(MFModRaw!$B$2:$Z$37,_xlfn.XMATCH($A14,MFModRaw!$A$2:$A$37),_xlfn.XMATCH(E$2,MFModRaw!$B$1:$Z$1))</f>
        <v>159133964.971643</v>
      </c>
      <c r="F14" s="3" cm="1">
        <f t="array" ref="F14">INDEX(MFModRaw!$B$2:$Z$37,_xlfn.XMATCH($A14,MFModRaw!$A$2:$A$37),_xlfn.XMATCH(F$2,MFModRaw!$B$1:$Z$1))</f>
        <v>158521240.996088</v>
      </c>
      <c r="G14" s="3" cm="1">
        <f t="array" ref="G14">INDEX(MFModRaw!$B$2:$Z$37,_xlfn.XMATCH($A14,MFModRaw!$A$2:$A$37),_xlfn.XMATCH(G$2,MFModRaw!$B$1:$Z$1))</f>
        <v>158826513.348456</v>
      </c>
      <c r="H14" s="3" cm="1">
        <f t="array" ref="H14">INDEX(MFModRaw!$B$2:$Z$37,_xlfn.XMATCH($A14,MFModRaw!$A$2:$A$37),_xlfn.XMATCH(H$2,MFModRaw!$B$1:$Z$1))</f>
        <v>158958165.306214</v>
      </c>
      <c r="K14">
        <v>2026</v>
      </c>
      <c r="L14" s="2">
        <f t="shared" si="2"/>
        <v>-1.5333709021981723E-2</v>
      </c>
      <c r="M14" s="2">
        <f t="shared" si="3"/>
        <v>-1.3473910396604505E-2</v>
      </c>
      <c r="N14" s="2">
        <f t="shared" si="4"/>
        <v>-1.2659157703954538E-2</v>
      </c>
      <c r="O14" s="2">
        <f t="shared" si="5"/>
        <v>-1.6460781111171552E-2</v>
      </c>
      <c r="P14" s="2">
        <f t="shared" si="6"/>
        <v>-1.4566730010450057E-2</v>
      </c>
      <c r="Q14" s="2">
        <f t="shared" si="7"/>
        <v>-1.3749900272776672E-2</v>
      </c>
    </row>
    <row r="15" spans="1:17" x14ac:dyDescent="0.2">
      <c r="A15">
        <v>2027</v>
      </c>
      <c r="B15" s="3" cm="1">
        <f t="array" ref="B15">INDEX(MFModRaw!$B$2:$Z$37,_xlfn.XMATCH($A15,MFModRaw!$A$2:$A$37),_xlfn.XMATCH(B$2,MFModRaw!$B$1:$Z$1))</f>
        <v>163828412.62031001</v>
      </c>
      <c r="C15" s="3" cm="1">
        <f t="array" ref="C15">INDEX(MFModRaw!$B$2:$Z$37,_xlfn.XMATCH($A15,MFModRaw!$A$2:$A$37),_xlfn.XMATCH(C$2,MFModRaw!$B$1:$Z$1))</f>
        <v>160602925.85472599</v>
      </c>
      <c r="D15" s="3" cm="1">
        <f t="array" ref="D15">INDEX(MFModRaw!$B$2:$Z$37,_xlfn.XMATCH($A15,MFModRaw!$A$2:$A$37),_xlfn.XMATCH(D$2,MFModRaw!$B$1:$Z$1))</f>
        <v>161008924.52359</v>
      </c>
      <c r="E15" s="3" cm="1">
        <f t="array" ref="E15">INDEX(MFModRaw!$B$2:$Z$37,_xlfn.XMATCH($A15,MFModRaw!$A$2:$A$37),_xlfn.XMATCH(E$2,MFModRaw!$B$1:$Z$1))</f>
        <v>161189005.934782</v>
      </c>
      <c r="F15" s="3" cm="1">
        <f t="array" ref="F15">INDEX(MFModRaw!$B$2:$Z$37,_xlfn.XMATCH($A15,MFModRaw!$A$2:$A$37),_xlfn.XMATCH(F$2,MFModRaw!$B$1:$Z$1))</f>
        <v>160316112.70380199</v>
      </c>
      <c r="G15" s="3" cm="1">
        <f t="array" ref="G15">INDEX(MFModRaw!$B$2:$Z$37,_xlfn.XMATCH($A15,MFModRaw!$A$2:$A$37),_xlfn.XMATCH(G$2,MFModRaw!$B$1:$Z$1))</f>
        <v>160730522.49650499</v>
      </c>
      <c r="H15" s="3" cm="1">
        <f t="array" ref="H15">INDEX(MFModRaw!$B$2:$Z$37,_xlfn.XMATCH($A15,MFModRaw!$A$2:$A$37),_xlfn.XMATCH(H$2,MFModRaw!$B$1:$Z$1))</f>
        <v>160911092.317175</v>
      </c>
      <c r="K15">
        <v>2027</v>
      </c>
      <c r="L15" s="2">
        <f t="shared" si="2"/>
        <v>-1.9688201295458008E-2</v>
      </c>
      <c r="M15" s="2">
        <f t="shared" si="3"/>
        <v>-1.7210006809102674E-2</v>
      </c>
      <c r="N15" s="2">
        <f t="shared" si="4"/>
        <v>-1.6110799362044181E-2</v>
      </c>
      <c r="O15" s="2">
        <f t="shared" si="5"/>
        <v>-2.1438893659112446E-2</v>
      </c>
      <c r="P15" s="2">
        <f t="shared" si="6"/>
        <v>-1.8909358115949737E-2</v>
      </c>
      <c r="Q15" s="2">
        <f t="shared" si="7"/>
        <v>-1.7807169443167403E-2</v>
      </c>
    </row>
    <row r="16" spans="1:17" x14ac:dyDescent="0.2">
      <c r="A16">
        <v>2028</v>
      </c>
      <c r="B16" s="3" cm="1">
        <f t="array" ref="B16">INDEX(MFModRaw!$B$2:$Z$37,_xlfn.XMATCH($A16,MFModRaw!$A$2:$A$37),_xlfn.XMATCH(B$2,MFModRaw!$B$1:$Z$1))</f>
        <v>165613937.73779401</v>
      </c>
      <c r="C16" s="3" cm="1">
        <f t="array" ref="C16">INDEX(MFModRaw!$B$2:$Z$37,_xlfn.XMATCH($A16,MFModRaw!$A$2:$A$37),_xlfn.XMATCH(C$2,MFModRaw!$B$1:$Z$1))</f>
        <v>161586024.84301299</v>
      </c>
      <c r="D16" s="3" cm="1">
        <f t="array" ref="D16">INDEX(MFModRaw!$B$2:$Z$37,_xlfn.XMATCH($A16,MFModRaw!$A$2:$A$37),_xlfn.XMATCH(D$2,MFModRaw!$B$1:$Z$1))</f>
        <v>162110692.47665501</v>
      </c>
      <c r="E16" s="3" cm="1">
        <f t="array" ref="E16">INDEX(MFModRaw!$B$2:$Z$37,_xlfn.XMATCH($A16,MFModRaw!$A$2:$A$37),_xlfn.XMATCH(E$2,MFModRaw!$B$1:$Z$1))</f>
        <v>162345992.019052</v>
      </c>
      <c r="F16" s="3" cm="1">
        <f t="array" ref="F16">INDEX(MFModRaw!$B$2:$Z$37,_xlfn.XMATCH($A16,MFModRaw!$A$2:$A$37),_xlfn.XMATCH(F$2,MFModRaw!$B$1:$Z$1))</f>
        <v>161164128.97722799</v>
      </c>
      <c r="G16" s="3" cm="1">
        <f t="array" ref="G16">INDEX(MFModRaw!$B$2:$Z$37,_xlfn.XMATCH($A16,MFModRaw!$A$2:$A$37),_xlfn.XMATCH(G$2,MFModRaw!$B$1:$Z$1))</f>
        <v>161700826.62967601</v>
      </c>
      <c r="H16" s="3" cm="1">
        <f t="array" ref="H16">INDEX(MFModRaw!$B$2:$Z$37,_xlfn.XMATCH($A16,MFModRaw!$A$2:$A$37),_xlfn.XMATCH(H$2,MFModRaw!$B$1:$Z$1))</f>
        <v>161936808.90111601</v>
      </c>
      <c r="K16">
        <v>2028</v>
      </c>
      <c r="L16" s="2">
        <f t="shared" si="2"/>
        <v>-2.4321098512603223E-2</v>
      </c>
      <c r="M16" s="2">
        <f t="shared" si="3"/>
        <v>-2.1153082337100559E-2</v>
      </c>
      <c r="N16" s="2">
        <f t="shared" si="4"/>
        <v>-1.9732310959938326E-2</v>
      </c>
      <c r="O16" s="2">
        <f t="shared" si="5"/>
        <v>-2.6868564453863319E-2</v>
      </c>
      <c r="P16" s="2">
        <f t="shared" si="6"/>
        <v>-2.362790935092296E-2</v>
      </c>
      <c r="Q16" s="2">
        <f t="shared" si="7"/>
        <v>-2.2203015560802397E-2</v>
      </c>
    </row>
    <row r="17" spans="1:17" x14ac:dyDescent="0.2">
      <c r="A17">
        <v>2029</v>
      </c>
      <c r="B17" s="3" cm="1">
        <f t="array" ref="B17">INDEX(MFModRaw!$B$2:$Z$37,_xlfn.XMATCH($A17,MFModRaw!$A$2:$A$37),_xlfn.XMATCH(B$2,MFModRaw!$B$1:$Z$1))</f>
        <v>166797663.84194899</v>
      </c>
      <c r="C17" s="3" cm="1">
        <f t="array" ref="C17">INDEX(MFModRaw!$B$2:$Z$37,_xlfn.XMATCH($A17,MFModRaw!$A$2:$A$37),_xlfn.XMATCH(C$2,MFModRaw!$B$1:$Z$1))</f>
        <v>161935812.363938</v>
      </c>
      <c r="D17" s="3" cm="1">
        <f t="array" ref="D17">INDEX(MFModRaw!$B$2:$Z$37,_xlfn.XMATCH($A17,MFModRaw!$A$2:$A$37),_xlfn.XMATCH(D$2,MFModRaw!$B$1:$Z$1))</f>
        <v>162589812.89420199</v>
      </c>
      <c r="E17" s="3" cm="1">
        <f t="array" ref="E17">INDEX(MFModRaw!$B$2:$Z$37,_xlfn.XMATCH($A17,MFModRaw!$A$2:$A$37),_xlfn.XMATCH(E$2,MFModRaw!$B$1:$Z$1))</f>
        <v>162886135.78627199</v>
      </c>
      <c r="F17" s="3" cm="1">
        <f t="array" ref="F17">INDEX(MFModRaw!$B$2:$Z$37,_xlfn.XMATCH($A17,MFModRaw!$A$2:$A$37),_xlfn.XMATCH(F$2,MFModRaw!$B$1:$Z$1))</f>
        <v>161347466.533041</v>
      </c>
      <c r="G17" s="3" cm="1">
        <f t="array" ref="G17">INDEX(MFModRaw!$B$2:$Z$37,_xlfn.XMATCH($A17,MFModRaw!$A$2:$A$37),_xlfn.XMATCH(G$2,MFModRaw!$B$1:$Z$1))</f>
        <v>162017726.01222</v>
      </c>
      <c r="H17" s="3" cm="1">
        <f t="array" ref="H17">INDEX(MFModRaw!$B$2:$Z$37,_xlfn.XMATCH($A17,MFModRaw!$A$2:$A$37),_xlfn.XMATCH(H$2,MFModRaw!$B$1:$Z$1))</f>
        <v>162314929.94181001</v>
      </c>
      <c r="K17">
        <v>2029</v>
      </c>
      <c r="L17" s="2">
        <f t="shared" si="2"/>
        <v>-2.9148198877760545E-2</v>
      </c>
      <c r="M17" s="2">
        <f t="shared" si="3"/>
        <v>-2.5227277473947041E-2</v>
      </c>
      <c r="N17" s="2">
        <f t="shared" si="4"/>
        <v>-2.3450736452660492E-2</v>
      </c>
      <c r="O17" s="2">
        <f t="shared" si="5"/>
        <v>-3.2675501463092282E-2</v>
      </c>
      <c r="P17" s="2">
        <f t="shared" si="6"/>
        <v>-2.8657102981120119E-2</v>
      </c>
      <c r="Q17" s="2">
        <f t="shared" si="7"/>
        <v>-2.6875279886333647E-2</v>
      </c>
    </row>
    <row r="18" spans="1:17" x14ac:dyDescent="0.2">
      <c r="A18">
        <v>2030</v>
      </c>
      <c r="B18" s="3" cm="1">
        <f t="array" ref="B18">INDEX(MFModRaw!$B$2:$Z$37,_xlfn.XMATCH($A18,MFModRaw!$A$2:$A$37),_xlfn.XMATCH(B$2,MFModRaw!$B$1:$Z$1))</f>
        <v>167621595.458682</v>
      </c>
      <c r="C18" s="3" cm="1">
        <f t="array" ref="C18">INDEX(MFModRaw!$B$2:$Z$37,_xlfn.XMATCH($A18,MFModRaw!$A$2:$A$37),_xlfn.XMATCH(C$2,MFModRaw!$B$1:$Z$1))</f>
        <v>161909708.08217999</v>
      </c>
      <c r="D18" s="3" cm="1">
        <f t="array" ref="D18">INDEX(MFModRaw!$B$2:$Z$37,_xlfn.XMATCH($A18,MFModRaw!$A$2:$A$37),_xlfn.XMATCH(D$2,MFModRaw!$B$1:$Z$1))</f>
        <v>162701925.56588</v>
      </c>
      <c r="E18" s="3" cm="1">
        <f t="array" ref="E18">INDEX(MFModRaw!$B$2:$Z$37,_xlfn.XMATCH($A18,MFModRaw!$A$2:$A$37),_xlfn.XMATCH(E$2,MFModRaw!$B$1:$Z$1))</f>
        <v>163064417.187769</v>
      </c>
      <c r="F18" s="3" cm="1">
        <f t="array" ref="F18">INDEX(MFModRaw!$B$2:$Z$37,_xlfn.XMATCH($A18,MFModRaw!$A$2:$A$37),_xlfn.XMATCH(F$2,MFModRaw!$B$1:$Z$1))</f>
        <v>161117963.90819201</v>
      </c>
      <c r="G18" s="3" cm="1">
        <f t="array" ref="G18">INDEX(MFModRaw!$B$2:$Z$37,_xlfn.XMATCH($A18,MFModRaw!$A$2:$A$37),_xlfn.XMATCH(G$2,MFModRaw!$B$1:$Z$1))</f>
        <v>161931371.85201499</v>
      </c>
      <c r="H18" s="3" cm="1">
        <f t="array" ref="H18">INDEX(MFModRaw!$B$2:$Z$37,_xlfn.XMATCH($A18,MFModRaw!$A$2:$A$37),_xlfn.XMATCH(H$2,MFModRaw!$B$1:$Z$1))</f>
        <v>162294935.579981</v>
      </c>
      <c r="K18">
        <v>2030</v>
      </c>
      <c r="L18" s="2">
        <f t="shared" si="2"/>
        <v>-3.4076082863141344E-2</v>
      </c>
      <c r="M18" s="2">
        <f t="shared" si="3"/>
        <v>-2.9349857214637232E-2</v>
      </c>
      <c r="N18" s="2">
        <f t="shared" si="4"/>
        <v>-2.7187298023519491E-2</v>
      </c>
      <c r="O18" s="2">
        <f t="shared" si="5"/>
        <v>-3.8799484831852138E-2</v>
      </c>
      <c r="P18" s="2">
        <f t="shared" si="6"/>
        <v>-3.3946840746242768E-2</v>
      </c>
      <c r="Q18" s="2">
        <f t="shared" si="7"/>
        <v>-3.1777885564953978E-2</v>
      </c>
    </row>
    <row r="19" spans="1:17" x14ac:dyDescent="0.2">
      <c r="A19">
        <v>2031</v>
      </c>
      <c r="B19" s="3" cm="1">
        <f t="array" ref="B19">INDEX(MFModRaw!$B$2:$Z$37,_xlfn.XMATCH($A19,MFModRaw!$A$2:$A$37),_xlfn.XMATCH(B$2,MFModRaw!$B$1:$Z$1))</f>
        <v>168309329.610174</v>
      </c>
      <c r="C19" s="3" cm="1">
        <f t="array" ref="C19">INDEX(MFModRaw!$B$2:$Z$37,_xlfn.XMATCH($A19,MFModRaw!$A$2:$A$37),_xlfn.XMATCH(C$2,MFModRaw!$B$1:$Z$1))</f>
        <v>161742585.933065</v>
      </c>
      <c r="D19" s="3" cm="1">
        <f t="array" ref="D19">INDEX(MFModRaw!$B$2:$Z$37,_xlfn.XMATCH($A19,MFModRaw!$A$2:$A$37),_xlfn.XMATCH(D$2,MFModRaw!$B$1:$Z$1))</f>
        <v>162680378.74711701</v>
      </c>
      <c r="E19" s="3" cm="1">
        <f t="array" ref="E19">INDEX(MFModRaw!$B$2:$Z$37,_xlfn.XMATCH($A19,MFModRaw!$A$2:$A$37),_xlfn.XMATCH(E$2,MFModRaw!$B$1:$Z$1))</f>
        <v>163113598.253979</v>
      </c>
      <c r="F19" s="3" cm="1">
        <f t="array" ref="F19">INDEX(MFModRaw!$B$2:$Z$37,_xlfn.XMATCH($A19,MFModRaw!$A$2:$A$37),_xlfn.XMATCH(F$2,MFModRaw!$B$1:$Z$1))</f>
        <v>160709779.78180599</v>
      </c>
      <c r="G19" s="3" cm="1">
        <f t="array" ref="G19">INDEX(MFModRaw!$B$2:$Z$37,_xlfn.XMATCH($A19,MFModRaw!$A$2:$A$37),_xlfn.XMATCH(G$2,MFModRaw!$B$1:$Z$1))</f>
        <v>161674380.928029</v>
      </c>
      <c r="H19" s="3" cm="1">
        <f t="array" ref="H19">INDEX(MFModRaw!$B$2:$Z$37,_xlfn.XMATCH($A19,MFModRaw!$A$2:$A$37),_xlfn.XMATCH(H$2,MFModRaw!$B$1:$Z$1))</f>
        <v>162108851.90621299</v>
      </c>
      <c r="K19">
        <v>2031</v>
      </c>
      <c r="L19" s="2">
        <f t="shared" si="2"/>
        <v>-3.9015922006928716E-2</v>
      </c>
      <c r="M19" s="2">
        <f t="shared" si="3"/>
        <v>-3.3444081062495856E-2</v>
      </c>
      <c r="N19" s="2">
        <f t="shared" si="4"/>
        <v>-3.087013279792028E-2</v>
      </c>
      <c r="O19" s="2">
        <f t="shared" si="5"/>
        <v>-4.5152279115896587E-2</v>
      </c>
      <c r="P19" s="2">
        <f t="shared" si="6"/>
        <v>-3.9421158039856685E-2</v>
      </c>
      <c r="Q19" s="2">
        <f t="shared" si="7"/>
        <v>-3.6839774231898548E-2</v>
      </c>
    </row>
    <row r="20" spans="1:17" x14ac:dyDescent="0.2">
      <c r="A20">
        <v>2032</v>
      </c>
      <c r="B20" s="3" cm="1">
        <f t="array" ref="B20">INDEX(MFModRaw!$B$2:$Z$37,_xlfn.XMATCH($A20,MFModRaw!$A$2:$A$37),_xlfn.XMATCH(B$2,MFModRaw!$B$1:$Z$1))</f>
        <v>169054085.10363299</v>
      </c>
      <c r="C20" s="3" cm="1">
        <f t="array" ref="C20">INDEX(MFModRaw!$B$2:$Z$37,_xlfn.XMATCH($A20,MFModRaw!$A$2:$A$37),_xlfn.XMATCH(C$2,MFModRaw!$B$1:$Z$1))</f>
        <v>161633121.626847</v>
      </c>
      <c r="D20" s="3" cm="1">
        <f t="array" ref="D20">INDEX(MFModRaw!$B$2:$Z$37,_xlfn.XMATCH($A20,MFModRaw!$A$2:$A$37),_xlfn.XMATCH(D$2,MFModRaw!$B$1:$Z$1))</f>
        <v>162722734.973158</v>
      </c>
      <c r="E20" s="3" cm="1">
        <f t="array" ref="E20">INDEX(MFModRaw!$B$2:$Z$37,_xlfn.XMATCH($A20,MFModRaw!$A$2:$A$37),_xlfn.XMATCH(E$2,MFModRaw!$B$1:$Z$1))</f>
        <v>163230623.41689</v>
      </c>
      <c r="F20" s="3" cm="1">
        <f t="array" ref="F20">INDEX(MFModRaw!$B$2:$Z$37,_xlfn.XMATCH($A20,MFModRaw!$A$2:$A$37),_xlfn.XMATCH(F$2,MFModRaw!$B$1:$Z$1))</f>
        <v>160322756.63986999</v>
      </c>
      <c r="G20" s="3" cm="1">
        <f t="array" ref="G20">INDEX(MFModRaw!$B$2:$Z$37,_xlfn.XMATCH($A20,MFModRaw!$A$2:$A$37),_xlfn.XMATCH(G$2,MFModRaw!$B$1:$Z$1))</f>
        <v>161445321.946284</v>
      </c>
      <c r="H20" s="3" cm="1">
        <f t="array" ref="H20">INDEX(MFModRaw!$B$2:$Z$37,_xlfn.XMATCH($A20,MFModRaw!$A$2:$A$37),_xlfn.XMATCH(H$2,MFModRaw!$B$1:$Z$1))</f>
        <v>161954585.571767</v>
      </c>
      <c r="K20">
        <v>2032</v>
      </c>
      <c r="L20" s="2">
        <f t="shared" si="2"/>
        <v>-4.3896978131210518E-2</v>
      </c>
      <c r="M20" s="2">
        <f t="shared" si="3"/>
        <v>-3.7451624588626498E-2</v>
      </c>
      <c r="N20" s="2">
        <f t="shared" si="4"/>
        <v>-3.4447328990441783E-2</v>
      </c>
      <c r="O20" s="2">
        <f t="shared" si="5"/>
        <v>-5.1648136502649766E-2</v>
      </c>
      <c r="P20" s="2">
        <f t="shared" si="6"/>
        <v>-4.5007863327790609E-2</v>
      </c>
      <c r="Q20" s="2">
        <f t="shared" si="7"/>
        <v>-4.1995433162788531E-2</v>
      </c>
    </row>
    <row r="21" spans="1:17" x14ac:dyDescent="0.2">
      <c r="A21">
        <v>2033</v>
      </c>
      <c r="B21" s="3" cm="1">
        <f t="array" ref="B21">INDEX(MFModRaw!$B$2:$Z$37,_xlfn.XMATCH($A21,MFModRaw!$A$2:$A$37),_xlfn.XMATCH(B$2,MFModRaw!$B$1:$Z$1))</f>
        <v>170006357.98768699</v>
      </c>
      <c r="C21" s="3" cm="1">
        <f t="array" ref="C21">INDEX(MFModRaw!$B$2:$Z$37,_xlfn.XMATCH($A21,MFModRaw!$A$2:$A$37),_xlfn.XMATCH(C$2,MFModRaw!$B$1:$Z$1))</f>
        <v>161732470.64641801</v>
      </c>
      <c r="D21" s="3" cm="1">
        <f t="array" ref="D21">INDEX(MFModRaw!$B$2:$Z$37,_xlfn.XMATCH($A21,MFModRaw!$A$2:$A$37),_xlfn.XMATCH(D$2,MFModRaw!$B$1:$Z$1))</f>
        <v>162979565.129325</v>
      </c>
      <c r="E21" s="3" cm="1">
        <f t="array" ref="E21">INDEX(MFModRaw!$B$2:$Z$37,_xlfn.XMATCH($A21,MFModRaw!$A$2:$A$37),_xlfn.XMATCH(E$2,MFModRaw!$B$1:$Z$1))</f>
        <v>163565735.08917999</v>
      </c>
      <c r="F21" s="3" cm="1">
        <f t="array" ref="F21">INDEX(MFModRaw!$B$2:$Z$37,_xlfn.XMATCH($A21,MFModRaw!$A$2:$A$37),_xlfn.XMATCH(F$2,MFModRaw!$B$1:$Z$1))</f>
        <v>160105232.66689801</v>
      </c>
      <c r="G21" s="3" cm="1">
        <f t="array" ref="G21">INDEX(MFModRaw!$B$2:$Z$37,_xlfn.XMATCH($A21,MFModRaw!$A$2:$A$37),_xlfn.XMATCH(G$2,MFModRaw!$B$1:$Z$1))</f>
        <v>161391930.538048</v>
      </c>
      <c r="H21" s="3" cm="1">
        <f t="array" ref="H21">INDEX(MFModRaw!$B$2:$Z$37,_xlfn.XMATCH($A21,MFModRaw!$A$2:$A$37),_xlfn.XMATCH(H$2,MFModRaw!$B$1:$Z$1))</f>
        <v>161979532.544642</v>
      </c>
      <c r="K21">
        <v>2033</v>
      </c>
      <c r="L21" s="2">
        <f t="shared" si="2"/>
        <v>-4.866810535326116E-2</v>
      </c>
      <c r="M21" s="2">
        <f t="shared" si="3"/>
        <v>-4.1332529803802531E-2</v>
      </c>
      <c r="N21" s="2">
        <f t="shared" si="4"/>
        <v>-3.7884600168738847E-2</v>
      </c>
      <c r="O21" s="2">
        <f t="shared" si="5"/>
        <v>-5.8239735489810873E-2</v>
      </c>
      <c r="P21" s="2">
        <f t="shared" si="6"/>
        <v>-5.0671207545443187E-2</v>
      </c>
      <c r="Q21" s="2">
        <f t="shared" si="7"/>
        <v>-4.7214854421070207E-2</v>
      </c>
    </row>
    <row r="22" spans="1:17" x14ac:dyDescent="0.2">
      <c r="A22">
        <v>2034</v>
      </c>
      <c r="B22" s="3" cm="1">
        <f t="array" ref="B22">INDEX(MFModRaw!$B$2:$Z$37,_xlfn.XMATCH($A22,MFModRaw!$A$2:$A$37),_xlfn.XMATCH(B$2,MFModRaw!$B$1:$Z$1))</f>
        <v>171269059.74022999</v>
      </c>
      <c r="C22" s="3" cm="1">
        <f t="array" ref="C22">INDEX(MFModRaw!$B$2:$Z$37,_xlfn.XMATCH($A22,MFModRaw!$A$2:$A$37),_xlfn.XMATCH(C$2,MFModRaw!$B$1:$Z$1))</f>
        <v>162142043.751773</v>
      </c>
      <c r="D22" s="3" cm="1">
        <f t="array" ref="D22">INDEX(MFModRaw!$B$2:$Z$37,_xlfn.XMATCH($A22,MFModRaw!$A$2:$A$37),_xlfn.XMATCH(D$2,MFModRaw!$B$1:$Z$1))</f>
        <v>163552210.456976</v>
      </c>
      <c r="E22" s="3" cm="1">
        <f t="array" ref="E22">INDEX(MFModRaw!$B$2:$Z$37,_xlfn.XMATCH($A22,MFModRaw!$A$2:$A$37),_xlfn.XMATCH(E$2,MFModRaw!$B$1:$Z$1))</f>
        <v>164220235.572528</v>
      </c>
      <c r="F22" s="3" cm="1">
        <f t="array" ref="F22">INDEX(MFModRaw!$B$2:$Z$37,_xlfn.XMATCH($A22,MFModRaw!$A$2:$A$37),_xlfn.XMATCH(F$2,MFModRaw!$B$1:$Z$1))</f>
        <v>160155508.719266</v>
      </c>
      <c r="G22" s="3" cm="1">
        <f t="array" ref="G22">INDEX(MFModRaw!$B$2:$Z$37,_xlfn.XMATCH($A22,MFModRaw!$A$2:$A$37),_xlfn.XMATCH(G$2,MFModRaw!$B$1:$Z$1))</f>
        <v>161612319.08070201</v>
      </c>
      <c r="H22" s="3" cm="1">
        <f t="array" ref="H22">INDEX(MFModRaw!$B$2:$Z$37,_xlfn.XMATCH($A22,MFModRaw!$A$2:$A$37),_xlfn.XMATCH(H$2,MFModRaw!$B$1:$Z$1))</f>
        <v>162281707.38997</v>
      </c>
      <c r="K22">
        <v>2034</v>
      </c>
      <c r="L22" s="2">
        <f t="shared" si="2"/>
        <v>-5.3290512613896945E-2</v>
      </c>
      <c r="M22" s="2">
        <f t="shared" si="3"/>
        <v>-4.5056878895455066E-2</v>
      </c>
      <c r="N22" s="2">
        <f t="shared" si="4"/>
        <v>-4.1156436418774089E-2</v>
      </c>
      <c r="O22" s="2">
        <f t="shared" si="5"/>
        <v>-6.4889426250253956E-2</v>
      </c>
      <c r="P22" s="2">
        <f t="shared" si="6"/>
        <v>-5.6383451127569151E-2</v>
      </c>
      <c r="Q22" s="2">
        <f t="shared" si="7"/>
        <v>-5.2475049281472286E-2</v>
      </c>
    </row>
    <row r="23" spans="1:17" x14ac:dyDescent="0.2">
      <c r="A23">
        <v>2035</v>
      </c>
      <c r="B23" s="3" cm="1">
        <f t="array" ref="B23">INDEX(MFModRaw!$B$2:$Z$37,_xlfn.XMATCH($A23,MFModRaw!$A$2:$A$37),_xlfn.XMATCH(B$2,MFModRaw!$B$1:$Z$1))</f>
        <v>172900131.026261</v>
      </c>
      <c r="C23" s="3" cm="1">
        <f t="array" ref="C23">INDEX(MFModRaw!$B$2:$Z$37,_xlfn.XMATCH($A23,MFModRaw!$A$2:$A$37),_xlfn.XMATCH(C$2,MFModRaw!$B$1:$Z$1))</f>
        <v>162915912.17930999</v>
      </c>
      <c r="D23" s="3" cm="1">
        <f t="array" ref="D23">INDEX(MFModRaw!$B$2:$Z$37,_xlfn.XMATCH($A23,MFModRaw!$A$2:$A$37),_xlfn.XMATCH(D$2,MFModRaw!$B$1:$Z$1))</f>
        <v>164494944.20112699</v>
      </c>
      <c r="E23" s="3" cm="1">
        <f t="array" ref="E23">INDEX(MFModRaw!$B$2:$Z$37,_xlfn.XMATCH($A23,MFModRaw!$A$2:$A$37),_xlfn.XMATCH(E$2,MFModRaw!$B$1:$Z$1))</f>
        <v>165248533.71411899</v>
      </c>
      <c r="F23" s="3" cm="1">
        <f t="array" ref="F23">INDEX(MFModRaw!$B$2:$Z$37,_xlfn.XMATCH($A23,MFModRaw!$A$2:$A$37),_xlfn.XMATCH(F$2,MFModRaw!$B$1:$Z$1))</f>
        <v>160522875.70218301</v>
      </c>
      <c r="G23" s="3" cm="1">
        <f t="array" ref="G23">INDEX(MFModRaw!$B$2:$Z$37,_xlfn.XMATCH($A23,MFModRaw!$A$2:$A$37),_xlfn.XMATCH(G$2,MFModRaw!$B$1:$Z$1))</f>
        <v>162155899.08612001</v>
      </c>
      <c r="H23" s="3" cm="1">
        <f t="array" ref="H23">INDEX(MFModRaw!$B$2:$Z$37,_xlfn.XMATCH($A23,MFModRaw!$A$2:$A$37),_xlfn.XMATCH(H$2,MFModRaw!$B$1:$Z$1))</f>
        <v>162910589.22619101</v>
      </c>
      <c r="K23">
        <v>2035</v>
      </c>
      <c r="L23" s="2">
        <f t="shared" si="2"/>
        <v>-5.7745582884691671E-2</v>
      </c>
      <c r="M23" s="2">
        <f t="shared" si="3"/>
        <v>-4.8612958100404113E-2</v>
      </c>
      <c r="N23" s="2">
        <f t="shared" si="4"/>
        <v>-4.4254433277322702E-2</v>
      </c>
      <c r="O23" s="2">
        <f t="shared" si="5"/>
        <v>-7.1586153524649809E-2</v>
      </c>
      <c r="P23" s="2">
        <f t="shared" si="6"/>
        <v>-6.2141259676136928E-2</v>
      </c>
      <c r="Q23" s="2">
        <f t="shared" si="7"/>
        <v>-5.7776369172055309E-2</v>
      </c>
    </row>
    <row r="24" spans="1:17" x14ac:dyDescent="0.2">
      <c r="A24">
        <v>2036</v>
      </c>
      <c r="B24" s="3" cm="1">
        <f t="array" ref="B24">INDEX(MFModRaw!$B$2:$Z$37,_xlfn.XMATCH($A24,MFModRaw!$A$2:$A$37),_xlfn.XMATCH(B$2,MFModRaw!$B$1:$Z$1))</f>
        <v>174919726.61688799</v>
      </c>
      <c r="C24" s="3" cm="1">
        <f t="array" ref="C24">INDEX(MFModRaw!$B$2:$Z$37,_xlfn.XMATCH($A24,MFModRaw!$A$2:$A$37),_xlfn.XMATCH(C$2,MFModRaw!$B$1:$Z$1))</f>
        <v>164070286.46431699</v>
      </c>
      <c r="D24" s="3" cm="1">
        <f t="array" ref="D24">INDEX(MFModRaw!$B$2:$Z$37,_xlfn.XMATCH($A24,MFModRaw!$A$2:$A$37),_xlfn.XMATCH(D$2,MFModRaw!$B$1:$Z$1))</f>
        <v>165824480.223124</v>
      </c>
      <c r="E24" s="3" cm="1">
        <f t="array" ref="E24">INDEX(MFModRaw!$B$2:$Z$37,_xlfn.XMATCH($A24,MFModRaw!$A$2:$A$37),_xlfn.XMATCH(E$2,MFModRaw!$B$1:$Z$1))</f>
        <v>166667670.31062099</v>
      </c>
      <c r="F24" s="3" cm="1">
        <f t="array" ref="F24">INDEX(MFModRaw!$B$2:$Z$37,_xlfn.XMATCH($A24,MFModRaw!$A$2:$A$37),_xlfn.XMATCH(F$2,MFModRaw!$B$1:$Z$1))</f>
        <v>161213472.86809999</v>
      </c>
      <c r="G24" s="3" cm="1">
        <f t="array" ref="G24">INDEX(MFModRaw!$B$2:$Z$37,_xlfn.XMATCH($A24,MFModRaw!$A$2:$A$37),_xlfn.XMATCH(G$2,MFModRaw!$B$1:$Z$1))</f>
        <v>163029231.65142199</v>
      </c>
      <c r="H24" s="3" cm="1">
        <f t="array" ref="H24">INDEX(MFModRaw!$B$2:$Z$37,_xlfn.XMATCH($A24,MFModRaw!$A$2:$A$37),_xlfn.XMATCH(H$2,MFModRaw!$B$1:$Z$1))</f>
        <v>163872950.363617</v>
      </c>
      <c r="K24">
        <v>2036</v>
      </c>
      <c r="L24" s="2">
        <f t="shared" si="2"/>
        <v>-6.2025252168005141E-2</v>
      </c>
      <c r="M24" s="2">
        <f t="shared" si="3"/>
        <v>-5.1996687678826259E-2</v>
      </c>
      <c r="N24" s="2">
        <f t="shared" si="4"/>
        <v>-4.7176247447154873E-2</v>
      </c>
      <c r="O24" s="2">
        <f t="shared" si="5"/>
        <v>-7.8357392924627955E-2</v>
      </c>
      <c r="P24" s="2">
        <f t="shared" si="6"/>
        <v>-6.7976866848807438E-2</v>
      </c>
      <c r="Q24" s="2">
        <f t="shared" si="7"/>
        <v>-6.3153404518324074E-2</v>
      </c>
    </row>
    <row r="25" spans="1:17" x14ac:dyDescent="0.2">
      <c r="A25">
        <v>2037</v>
      </c>
      <c r="B25" s="3" cm="1">
        <f t="array" ref="B25">INDEX(MFModRaw!$B$2:$Z$37,_xlfn.XMATCH($A25,MFModRaw!$A$2:$A$37),_xlfn.XMATCH(B$2,MFModRaw!$B$1:$Z$1))</f>
        <v>177318984.33424601</v>
      </c>
      <c r="C25" s="3" cm="1">
        <f t="array" ref="C25">INDEX(MFModRaw!$B$2:$Z$37,_xlfn.XMATCH($A25,MFModRaw!$A$2:$A$37),_xlfn.XMATCH(C$2,MFModRaw!$B$1:$Z$1))</f>
        <v>165590903.02547401</v>
      </c>
      <c r="D25" s="3" cm="1">
        <f t="array" ref="D25">INDEX(MFModRaw!$B$2:$Z$37,_xlfn.XMATCH($A25,MFModRaw!$A$2:$A$37),_xlfn.XMATCH(D$2,MFModRaw!$B$1:$Z$1))</f>
        <v>167527034.61415601</v>
      </c>
      <c r="E25" s="3" cm="1">
        <f t="array" ref="E25">INDEX(MFModRaw!$B$2:$Z$37,_xlfn.XMATCH($A25,MFModRaw!$A$2:$A$37),_xlfn.XMATCH(E$2,MFModRaw!$B$1:$Z$1))</f>
        <v>168464352.43849</v>
      </c>
      <c r="F25" s="3" cm="1">
        <f t="array" ref="F25">INDEX(MFModRaw!$B$2:$Z$37,_xlfn.XMATCH($A25,MFModRaw!$A$2:$A$37),_xlfn.XMATCH(F$2,MFModRaw!$B$1:$Z$1))</f>
        <v>162202811.741317</v>
      </c>
      <c r="G25" s="3" cm="1">
        <f t="array" ref="G25">INDEX(MFModRaw!$B$2:$Z$37,_xlfn.XMATCH($A25,MFModRaw!$A$2:$A$37),_xlfn.XMATCH(G$2,MFModRaw!$B$1:$Z$1))</f>
        <v>164208518.67565101</v>
      </c>
      <c r="H25" s="3" cm="1">
        <f t="array" ref="H25">INDEX(MFModRaw!$B$2:$Z$37,_xlfn.XMATCH($A25,MFModRaw!$A$2:$A$37),_xlfn.XMATCH(H$2,MFModRaw!$B$1:$Z$1))</f>
        <v>165145514.21184599</v>
      </c>
      <c r="K25">
        <v>2037</v>
      </c>
      <c r="L25" s="2">
        <f t="shared" si="2"/>
        <v>-6.6141148692035023E-2</v>
      </c>
      <c r="M25" s="2">
        <f t="shared" si="3"/>
        <v>-5.5222229908740039E-2</v>
      </c>
      <c r="N25" s="2">
        <f t="shared" si="4"/>
        <v>-4.9936175356526058E-2</v>
      </c>
      <c r="O25" s="2">
        <f t="shared" si="5"/>
        <v>-8.5248472687137866E-2</v>
      </c>
      <c r="P25" s="2">
        <f t="shared" si="6"/>
        <v>-7.3937179980017143E-2</v>
      </c>
      <c r="Q25" s="2">
        <f t="shared" si="7"/>
        <v>-6.8652942989189669E-2</v>
      </c>
    </row>
    <row r="26" spans="1:17" x14ac:dyDescent="0.2">
      <c r="A26">
        <v>2038</v>
      </c>
      <c r="B26" s="3" cm="1">
        <f t="array" ref="B26">INDEX(MFModRaw!$B$2:$Z$37,_xlfn.XMATCH($A26,MFModRaw!$A$2:$A$37),_xlfn.XMATCH(B$2,MFModRaw!$B$1:$Z$1))</f>
        <v>180068444.86968201</v>
      </c>
      <c r="C26" s="3" cm="1">
        <f t="array" ref="C26">INDEX(MFModRaw!$B$2:$Z$37,_xlfn.XMATCH($A26,MFModRaw!$A$2:$A$37),_xlfn.XMATCH(C$2,MFModRaw!$B$1:$Z$1))</f>
        <v>167442494.65410101</v>
      </c>
      <c r="D26" s="3" cm="1">
        <f t="array" ref="D26">INDEX(MFModRaw!$B$2:$Z$37,_xlfn.XMATCH($A26,MFModRaw!$A$2:$A$37),_xlfn.XMATCH(D$2,MFModRaw!$B$1:$Z$1))</f>
        <v>169567917.00493801</v>
      </c>
      <c r="E26" s="3" cm="1">
        <f t="array" ref="E26">INDEX(MFModRaw!$B$2:$Z$37,_xlfn.XMATCH($A26,MFModRaw!$A$2:$A$37),_xlfn.XMATCH(E$2,MFModRaw!$B$1:$Z$1))</f>
        <v>170604360.45222801</v>
      </c>
      <c r="F26" s="3" cm="1">
        <f t="array" ref="F26">INDEX(MFModRaw!$B$2:$Z$37,_xlfn.XMATCH($A26,MFModRaw!$A$2:$A$37),_xlfn.XMATCH(F$2,MFModRaw!$B$1:$Z$1))</f>
        <v>163449136.31753299</v>
      </c>
      <c r="G26" s="3" cm="1">
        <f t="array" ref="G26">INDEX(MFModRaw!$B$2:$Z$37,_xlfn.XMATCH($A26,MFModRaw!$A$2:$A$37),_xlfn.XMATCH(G$2,MFModRaw!$B$1:$Z$1))</f>
        <v>165652589.96922201</v>
      </c>
      <c r="H26" s="3" cm="1">
        <f t="array" ref="H26">INDEX(MFModRaw!$B$2:$Z$37,_xlfn.XMATCH($A26,MFModRaw!$A$2:$A$37),_xlfn.XMATCH(H$2,MFModRaw!$B$1:$Z$1))</f>
        <v>166687593.649838</v>
      </c>
      <c r="K26">
        <v>2038</v>
      </c>
      <c r="L26" s="2">
        <f t="shared" si="2"/>
        <v>-7.0117505733548025E-2</v>
      </c>
      <c r="M26" s="2">
        <f t="shared" si="3"/>
        <v>-5.8314092023971087E-2</v>
      </c>
      <c r="N26" s="2">
        <f t="shared" si="4"/>
        <v>-5.2558261522740901E-2</v>
      </c>
      <c r="O26" s="2">
        <f t="shared" si="5"/>
        <v>-9.2294397078714452E-2</v>
      </c>
      <c r="P26" s="2">
        <f t="shared" si="6"/>
        <v>-8.0057640920334294E-2</v>
      </c>
      <c r="Q26" s="2">
        <f t="shared" si="7"/>
        <v>-7.4309806082503371E-2</v>
      </c>
    </row>
    <row r="27" spans="1:17" x14ac:dyDescent="0.2">
      <c r="A27">
        <v>2039</v>
      </c>
      <c r="B27" s="3" cm="1">
        <f t="array" ref="B27">INDEX(MFModRaw!$B$2:$Z$37,_xlfn.XMATCH($A27,MFModRaw!$A$2:$A$37),_xlfn.XMATCH(B$2,MFModRaw!$B$1:$Z$1))</f>
        <v>183125137.17307499</v>
      </c>
      <c r="C27" s="3" cm="1">
        <f t="array" ref="C27">INDEX(MFModRaw!$B$2:$Z$37,_xlfn.XMATCH($A27,MFModRaw!$A$2:$A$37),_xlfn.XMATCH(C$2,MFModRaw!$B$1:$Z$1))</f>
        <v>169578155.604399</v>
      </c>
      <c r="D27" s="3" cm="1">
        <f t="array" ref="D27">INDEX(MFModRaw!$B$2:$Z$37,_xlfn.XMATCH($A27,MFModRaw!$A$2:$A$37),_xlfn.XMATCH(D$2,MFModRaw!$B$1:$Z$1))</f>
        <v>171900795.36473399</v>
      </c>
      <c r="E27" s="3" cm="1">
        <f t="array" ref="E27">INDEX(MFModRaw!$B$2:$Z$37,_xlfn.XMATCH($A27,MFModRaw!$A$2:$A$37),_xlfn.XMATCH(E$2,MFModRaw!$B$1:$Z$1))</f>
        <v>173041799.99241099</v>
      </c>
      <c r="F27" s="3" cm="1">
        <f t="array" ref="F27">INDEX(MFModRaw!$B$2:$Z$37,_xlfn.XMATCH($A27,MFModRaw!$A$2:$A$37),_xlfn.XMATCH(F$2,MFModRaw!$B$1:$Z$1))</f>
        <v>164897568.855708</v>
      </c>
      <c r="G27" s="3" cm="1">
        <f t="array" ref="G27">INDEX(MFModRaw!$B$2:$Z$37,_xlfn.XMATCH($A27,MFModRaw!$A$2:$A$37),_xlfn.XMATCH(G$2,MFModRaw!$B$1:$Z$1))</f>
        <v>167307064.37434</v>
      </c>
      <c r="H27" s="3" cm="1">
        <f t="array" ref="H27">INDEX(MFModRaw!$B$2:$Z$37,_xlfn.XMATCH($A27,MFModRaw!$A$2:$A$37),_xlfn.XMATCH(H$2,MFModRaw!$B$1:$Z$1))</f>
        <v>168445197.37950701</v>
      </c>
      <c r="K27">
        <v>2039</v>
      </c>
      <c r="L27" s="2">
        <f t="shared" si="2"/>
        <v>-7.3976635746475838E-2</v>
      </c>
      <c r="M27" s="2">
        <f t="shared" si="3"/>
        <v>-6.1293288194141593E-2</v>
      </c>
      <c r="N27" s="2">
        <f t="shared" si="4"/>
        <v>-5.5062550867246873E-2</v>
      </c>
      <c r="O27" s="2">
        <f t="shared" si="5"/>
        <v>-9.9536134682262523E-2</v>
      </c>
      <c r="P27" s="2">
        <f t="shared" si="6"/>
        <v>-8.6378489828979776E-2</v>
      </c>
      <c r="Q27" s="2">
        <f t="shared" si="7"/>
        <v>-8.0163433705410458E-2</v>
      </c>
    </row>
    <row r="28" spans="1:17" x14ac:dyDescent="0.2">
      <c r="A28">
        <v>2040</v>
      </c>
      <c r="B28" s="3" cm="1">
        <f t="array" ref="B28">INDEX(MFModRaw!$B$2:$Z$37,_xlfn.XMATCH($A28,MFModRaw!$A$2:$A$37),_xlfn.XMATCH(B$2,MFModRaw!$B$1:$Z$1))</f>
        <v>186438077.322853</v>
      </c>
      <c r="C28" s="3" cm="1">
        <f t="array" ref="C28">INDEX(MFModRaw!$B$2:$Z$37,_xlfn.XMATCH($A28,MFModRaw!$A$2:$A$37),_xlfn.XMATCH(C$2,MFModRaw!$B$1:$Z$1))</f>
        <v>171945669.51518899</v>
      </c>
      <c r="D28" s="3" cm="1">
        <f t="array" ref="D28">INDEX(MFModRaw!$B$2:$Z$37,_xlfn.XMATCH($A28,MFModRaw!$A$2:$A$37),_xlfn.XMATCH(D$2,MFModRaw!$B$1:$Z$1))</f>
        <v>174473876.581193</v>
      </c>
      <c r="E28" s="3" cm="1">
        <f t="array" ref="E28">INDEX(MFModRaw!$B$2:$Z$37,_xlfn.XMATCH($A28,MFModRaw!$A$2:$A$37),_xlfn.XMATCH(E$2,MFModRaw!$B$1:$Z$1))</f>
        <v>175725254.72982001</v>
      </c>
      <c r="F28" s="3" cm="1">
        <f t="array" ref="F28">INDEX(MFModRaw!$B$2:$Z$37,_xlfn.XMATCH($A28,MFModRaw!$A$2:$A$37),_xlfn.XMATCH(F$2,MFModRaw!$B$1:$Z$1))</f>
        <v>166486773.58568501</v>
      </c>
      <c r="G28" s="3" cm="1">
        <f t="array" ref="G28">INDEX(MFModRaw!$B$2:$Z$37,_xlfn.XMATCH($A28,MFModRaw!$A$2:$A$37),_xlfn.XMATCH(G$2,MFModRaw!$B$1:$Z$1))</f>
        <v>169110833.350995</v>
      </c>
      <c r="H28" s="3" cm="1">
        <f t="array" ref="H28">INDEX(MFModRaw!$B$2:$Z$37,_xlfn.XMATCH($A28,MFModRaw!$A$2:$A$37),_xlfn.XMATCH(H$2,MFModRaw!$B$1:$Z$1))</f>
        <v>170357460.40622899</v>
      </c>
      <c r="K28">
        <v>2040</v>
      </c>
      <c r="L28" s="2">
        <f t="shared" si="2"/>
        <v>-7.7733089805295807E-2</v>
      </c>
      <c r="M28" s="2">
        <f t="shared" si="3"/>
        <v>-6.4172517296140708E-2</v>
      </c>
      <c r="N28" s="2">
        <f t="shared" si="4"/>
        <v>-5.7460486328024585E-2</v>
      </c>
      <c r="O28" s="2">
        <f t="shared" si="5"/>
        <v>-0.10701303094119829</v>
      </c>
      <c r="P28" s="2">
        <f t="shared" si="6"/>
        <v>-9.2938332236995658E-2</v>
      </c>
      <c r="Q28" s="2">
        <f t="shared" si="7"/>
        <v>-8.6251784761636197E-2</v>
      </c>
    </row>
    <row r="29" spans="1:17" x14ac:dyDescent="0.2">
      <c r="A29">
        <v>2041</v>
      </c>
      <c r="B29" s="3" cm="1">
        <f t="array" ref="B29">INDEX(MFModRaw!$B$2:$Z$37,_xlfn.XMATCH($A29,MFModRaw!$A$2:$A$37),_xlfn.XMATCH(B$2,MFModRaw!$B$1:$Z$1))</f>
        <v>189952295.52131799</v>
      </c>
      <c r="C29" s="3" cm="1">
        <f t="array" ref="C29">INDEX(MFModRaw!$B$2:$Z$37,_xlfn.XMATCH($A29,MFModRaw!$A$2:$A$37),_xlfn.XMATCH(C$2,MFModRaw!$B$1:$Z$1))</f>
        <v>174489666.661165</v>
      </c>
      <c r="D29" s="3" cm="1">
        <f t="array" ref="D29">INDEX(MFModRaw!$B$2:$Z$37,_xlfn.XMATCH($A29,MFModRaw!$A$2:$A$37),_xlfn.XMATCH(D$2,MFModRaw!$B$1:$Z$1))</f>
        <v>177231874.45103201</v>
      </c>
      <c r="E29" s="3" cm="1">
        <f t="array" ref="E29">INDEX(MFModRaw!$B$2:$Z$37,_xlfn.XMATCH($A29,MFModRaw!$A$2:$A$37),_xlfn.XMATCH(E$2,MFModRaw!$B$1:$Z$1))</f>
        <v>178599611.234465</v>
      </c>
      <c r="F29" s="3" cm="1">
        <f t="array" ref="F29">INDEX(MFModRaw!$B$2:$Z$37,_xlfn.XMATCH($A29,MFModRaw!$A$2:$A$37),_xlfn.XMATCH(F$2,MFModRaw!$B$1:$Z$1))</f>
        <v>168149954.534695</v>
      </c>
      <c r="G29" s="3" cm="1">
        <f t="array" ref="G29">INDEX(MFModRaw!$B$2:$Z$37,_xlfn.XMATCH($A29,MFModRaw!$A$2:$A$37),_xlfn.XMATCH(G$2,MFModRaw!$B$1:$Z$1))</f>
        <v>170997060.827674</v>
      </c>
      <c r="H29" s="3" cm="1">
        <f t="array" ref="H29">INDEX(MFModRaw!$B$2:$Z$37,_xlfn.XMATCH($A29,MFModRaw!$A$2:$A$37),_xlfn.XMATCH(H$2,MFModRaw!$B$1:$Z$1))</f>
        <v>172357599.70936301</v>
      </c>
      <c r="K29">
        <v>2041</v>
      </c>
      <c r="L29" s="2">
        <f t="shared" si="2"/>
        <v>-8.1402695438432593E-2</v>
      </c>
      <c r="M29" s="2">
        <f t="shared" si="3"/>
        <v>-6.696639824949302E-2</v>
      </c>
      <c r="N29" s="2">
        <f t="shared" si="4"/>
        <v>-5.976597574509912E-2</v>
      </c>
      <c r="O29" s="2">
        <f t="shared" si="5"/>
        <v>-0.11477798110724147</v>
      </c>
      <c r="P29" s="2">
        <f t="shared" si="6"/>
        <v>-9.9789447880174076E-2</v>
      </c>
      <c r="Q29" s="2">
        <f t="shared" si="7"/>
        <v>-9.2626918583252116E-2</v>
      </c>
    </row>
    <row r="30" spans="1:17" x14ac:dyDescent="0.2">
      <c r="A30">
        <v>2042</v>
      </c>
      <c r="B30" s="3" cm="1">
        <f t="array" ref="B30">INDEX(MFModRaw!$B$2:$Z$37,_xlfn.XMATCH($A30,MFModRaw!$A$2:$A$37),_xlfn.XMATCH(B$2,MFModRaw!$B$1:$Z$1))</f>
        <v>193611669.19498399</v>
      </c>
      <c r="C30" s="3" cm="1">
        <f t="array" ref="C30">INDEX(MFModRaw!$B$2:$Z$37,_xlfn.XMATCH($A30,MFModRaw!$A$2:$A$37),_xlfn.XMATCH(C$2,MFModRaw!$B$1:$Z$1))</f>
        <v>177155572.49959499</v>
      </c>
      <c r="D30" s="3" cm="1">
        <f t="array" ref="D30">INDEX(MFModRaw!$B$2:$Z$37,_xlfn.XMATCH($A30,MFModRaw!$A$2:$A$37),_xlfn.XMATCH(D$2,MFModRaw!$B$1:$Z$1))</f>
        <v>180120136.52857599</v>
      </c>
      <c r="E30" s="3" cm="1">
        <f t="array" ref="E30">INDEX(MFModRaw!$B$2:$Z$37,_xlfn.XMATCH($A30,MFModRaw!$A$2:$A$37),_xlfn.XMATCH(E$2,MFModRaw!$B$1:$Z$1))</f>
        <v>181610264.62553799</v>
      </c>
      <c r="F30" s="3" cm="1">
        <f t="array" ref="F30">INDEX(MFModRaw!$B$2:$Z$37,_xlfn.XMATCH($A30,MFModRaw!$A$2:$A$37),_xlfn.XMATCH(F$2,MFModRaw!$B$1:$Z$1))</f>
        <v>169820574.485818</v>
      </c>
      <c r="G30" s="3" cm="1">
        <f t="array" ref="G30">INDEX(MFModRaw!$B$2:$Z$37,_xlfn.XMATCH($A30,MFModRaw!$A$2:$A$37),_xlfn.XMATCH(G$2,MFModRaw!$B$1:$Z$1))</f>
        <v>172899176.730719</v>
      </c>
      <c r="H30" s="3" cm="1">
        <f t="array" ref="H30">INDEX(MFModRaw!$B$2:$Z$37,_xlfn.XMATCH($A30,MFModRaw!$A$2:$A$37),_xlfn.XMATCH(H$2,MFModRaw!$B$1:$Z$1))</f>
        <v>174379082.41552699</v>
      </c>
      <c r="K30">
        <v>2042</v>
      </c>
      <c r="L30" s="2">
        <f t="shared" si="2"/>
        <v>-8.4995376383105614E-2</v>
      </c>
      <c r="M30" s="2">
        <f t="shared" si="3"/>
        <v>-6.9683468576580698E-2</v>
      </c>
      <c r="N30" s="2">
        <f t="shared" si="4"/>
        <v>-6.1986989830450367E-2</v>
      </c>
      <c r="O30" s="2">
        <f t="shared" si="5"/>
        <v>-0.12288047930213475</v>
      </c>
      <c r="P30" s="2">
        <f t="shared" si="6"/>
        <v>-0.10697956662625374</v>
      </c>
      <c r="Q30" s="2">
        <f t="shared" si="7"/>
        <v>-9.9335886413375762E-2</v>
      </c>
    </row>
    <row r="31" spans="1:17" x14ac:dyDescent="0.2">
      <c r="A31">
        <v>2043</v>
      </c>
      <c r="B31" s="3" cm="1">
        <f t="array" ref="B31">INDEX(MFModRaw!$B$2:$Z$37,_xlfn.XMATCH($A31,MFModRaw!$A$2:$A$37),_xlfn.XMATCH(B$2,MFModRaw!$B$1:$Z$1))</f>
        <v>197360875.84739399</v>
      </c>
      <c r="C31" s="3" cm="1">
        <f t="array" ref="C31">INDEX(MFModRaw!$B$2:$Z$37,_xlfn.XMATCH($A31,MFModRaw!$A$2:$A$37),_xlfn.XMATCH(C$2,MFModRaw!$B$1:$Z$1))</f>
        <v>179891327.75170401</v>
      </c>
      <c r="D31" s="3" cm="1">
        <f t="array" ref="D31">INDEX(MFModRaw!$B$2:$Z$37,_xlfn.XMATCH($A31,MFModRaw!$A$2:$A$37),_xlfn.XMATCH(D$2,MFModRaw!$B$1:$Z$1))</f>
        <v>183086188.355389</v>
      </c>
      <c r="E31" s="3" cm="1">
        <f t="array" ref="E31">INDEX(MFModRaw!$B$2:$Z$37,_xlfn.XMATCH($A31,MFModRaw!$A$2:$A$37),_xlfn.XMATCH(E$2,MFModRaw!$B$1:$Z$1))</f>
        <v>184704593.85555401</v>
      </c>
      <c r="F31" s="3" cm="1">
        <f t="array" ref="F31">INDEX(MFModRaw!$B$2:$Z$37,_xlfn.XMATCH($A31,MFModRaw!$A$2:$A$37),_xlfn.XMATCH(F$2,MFModRaw!$B$1:$Z$1))</f>
        <v>171442702.546855</v>
      </c>
      <c r="G31" s="3" cm="1">
        <f t="array" ref="G31">INDEX(MFModRaw!$B$2:$Z$37,_xlfn.XMATCH($A31,MFModRaw!$A$2:$A$37),_xlfn.XMATCH(G$2,MFModRaw!$B$1:$Z$1))</f>
        <v>174760786.46708</v>
      </c>
      <c r="H31" s="3" cm="1">
        <f t="array" ref="H31">INDEX(MFModRaw!$B$2:$Z$37,_xlfn.XMATCH($A31,MFModRaw!$A$2:$A$37),_xlfn.XMATCH(H$2,MFModRaw!$B$1:$Z$1))</f>
        <v>176365375.984202</v>
      </c>
      <c r="K31">
        <v>2043</v>
      </c>
      <c r="L31" s="2">
        <f t="shared" si="2"/>
        <v>-8.8515760890714779E-2</v>
      </c>
      <c r="M31" s="2">
        <f t="shared" si="3"/>
        <v>-7.2327848317022325E-2</v>
      </c>
      <c r="N31" s="2">
        <f t="shared" si="4"/>
        <v>-6.4127613629087477E-2</v>
      </c>
      <c r="O31" s="2">
        <f t="shared" si="5"/>
        <v>-0.13132376510418298</v>
      </c>
      <c r="P31" s="2">
        <f t="shared" si="6"/>
        <v>-0.11451149719151599</v>
      </c>
      <c r="Q31" s="2">
        <f t="shared" si="7"/>
        <v>-0.10638126616050492</v>
      </c>
    </row>
    <row r="32" spans="1:17" x14ac:dyDescent="0.2">
      <c r="A32">
        <v>2044</v>
      </c>
      <c r="B32" s="3" cm="1">
        <f t="array" ref="B32">INDEX(MFModRaw!$B$2:$Z$37,_xlfn.XMATCH($A32,MFModRaw!$A$2:$A$37),_xlfn.XMATCH(B$2,MFModRaw!$B$1:$Z$1))</f>
        <v>201146745.651225</v>
      </c>
      <c r="C32" s="3" cm="1">
        <f t="array" ref="C32">INDEX(MFModRaw!$B$2:$Z$37,_xlfn.XMATCH($A32,MFModRaw!$A$2:$A$37),_xlfn.XMATCH(C$2,MFModRaw!$B$1:$Z$1))</f>
        <v>182649275.75648201</v>
      </c>
      <c r="D32" s="3" cm="1">
        <f t="array" ref="D32">INDEX(MFModRaw!$B$2:$Z$37,_xlfn.XMATCH($A32,MFModRaw!$A$2:$A$37),_xlfn.XMATCH(D$2,MFModRaw!$B$1:$Z$1))</f>
        <v>186081696.441993</v>
      </c>
      <c r="E32" s="3" cm="1">
        <f t="array" ref="E32">INDEX(MFModRaw!$B$2:$Z$37,_xlfn.XMATCH($A32,MFModRaw!$A$2:$A$37),_xlfn.XMATCH(E$2,MFModRaw!$B$1:$Z$1))</f>
        <v>187833987.855553</v>
      </c>
      <c r="F32" s="3" cm="1">
        <f t="array" ref="F32">INDEX(MFModRaw!$B$2:$Z$37,_xlfn.XMATCH($A32,MFModRaw!$A$2:$A$37),_xlfn.XMATCH(F$2,MFModRaw!$B$1:$Z$1))</f>
        <v>172967234.292842</v>
      </c>
      <c r="G32" s="3" cm="1">
        <f t="array" ref="G32">INDEX(MFModRaw!$B$2:$Z$37,_xlfn.XMATCH($A32,MFModRaw!$A$2:$A$37),_xlfn.XMATCH(G$2,MFModRaw!$B$1:$Z$1))</f>
        <v>176531871.63937199</v>
      </c>
      <c r="H32" s="3" cm="1">
        <f t="array" ref="H32">INDEX(MFModRaw!$B$2:$Z$37,_xlfn.XMATCH($A32,MFModRaw!$A$2:$A$37),_xlfn.XMATCH(H$2,MFModRaw!$B$1:$Z$1))</f>
        <v>178266088.33535501</v>
      </c>
      <c r="K32">
        <v>2044</v>
      </c>
      <c r="L32" s="2">
        <f t="shared" si="2"/>
        <v>-9.1960075391010143E-2</v>
      </c>
      <c r="M32" s="2">
        <f t="shared" si="3"/>
        <v>-7.4895813802296263E-2</v>
      </c>
      <c r="N32" s="2">
        <f t="shared" si="4"/>
        <v>-6.6184306152063832E-2</v>
      </c>
      <c r="O32" s="2">
        <f t="shared" si="5"/>
        <v>-0.14009429417885977</v>
      </c>
      <c r="P32" s="2">
        <f t="shared" si="6"/>
        <v>-0.12237271814744421</v>
      </c>
      <c r="Q32" s="2">
        <f t="shared" si="7"/>
        <v>-0.11375106886165343</v>
      </c>
    </row>
    <row r="33" spans="1:17" x14ac:dyDescent="0.2">
      <c r="A33">
        <v>2045</v>
      </c>
      <c r="B33" s="3" cm="1">
        <f t="array" ref="B33">INDEX(MFModRaw!$B$2:$Z$37,_xlfn.XMATCH($A33,MFModRaw!$A$2:$A$37),_xlfn.XMATCH(B$2,MFModRaw!$B$1:$Z$1))</f>
        <v>204919239.09830499</v>
      </c>
      <c r="C33" s="3" cm="1">
        <f t="array" ref="C33">INDEX(MFModRaw!$B$2:$Z$37,_xlfn.XMATCH($A33,MFModRaw!$A$2:$A$37),_xlfn.XMATCH(C$2,MFModRaw!$B$1:$Z$1))</f>
        <v>185386555.638699</v>
      </c>
      <c r="D33" s="3" cm="1">
        <f t="array" ref="D33">INDEX(MFModRaw!$B$2:$Z$37,_xlfn.XMATCH($A33,MFModRaw!$A$2:$A$37),_xlfn.XMATCH(D$2,MFModRaw!$B$1:$Z$1))</f>
        <v>189062780.01645699</v>
      </c>
      <c r="E33" s="3" cm="1">
        <f t="array" ref="E33">INDEX(MFModRaw!$B$2:$Z$37,_xlfn.XMATCH($A33,MFModRaw!$A$2:$A$37),_xlfn.XMATCH(E$2,MFModRaw!$B$1:$Z$1))</f>
        <v>190954094.61143699</v>
      </c>
      <c r="F33" s="3" cm="1">
        <f t="array" ref="F33">INDEX(MFModRaw!$B$2:$Z$37,_xlfn.XMATCH($A33,MFModRaw!$A$2:$A$37),_xlfn.XMATCH(F$2,MFModRaw!$B$1:$Z$1))</f>
        <v>174352857.114566</v>
      </c>
      <c r="G33" s="3" cm="1">
        <f t="array" ref="G33">INDEX(MFModRaw!$B$2:$Z$37,_xlfn.XMATCH($A33,MFModRaw!$A$2:$A$37),_xlfn.XMATCH(G$2,MFModRaw!$B$1:$Z$1))</f>
        <v>178169898.87402201</v>
      </c>
      <c r="H33" s="3" cm="1">
        <f t="array" ref="H33">INDEX(MFModRaw!$B$2:$Z$37,_xlfn.XMATCH($A33,MFModRaw!$A$2:$A$37),_xlfn.XMATCH(H$2,MFModRaw!$B$1:$Z$1))</f>
        <v>180038153.80570099</v>
      </c>
      <c r="K33">
        <v>2045</v>
      </c>
      <c r="L33" s="2">
        <f t="shared" si="2"/>
        <v>-9.5318934159401514E-2</v>
      </c>
      <c r="M33" s="2">
        <f t="shared" si="3"/>
        <v>-7.737906480436052E-2</v>
      </c>
      <c r="N33" s="2">
        <f t="shared" si="4"/>
        <v>-6.8149503913434661E-2</v>
      </c>
      <c r="O33" s="2">
        <f t="shared" si="5"/>
        <v>-0.14916306598754991</v>
      </c>
      <c r="P33" s="2">
        <f t="shared" si="6"/>
        <v>-0.13053601185514185</v>
      </c>
      <c r="Q33" s="2">
        <f t="shared" si="7"/>
        <v>-0.12141898145868046</v>
      </c>
    </row>
    <row r="34" spans="1:17" x14ac:dyDescent="0.2">
      <c r="A34">
        <v>2046</v>
      </c>
      <c r="B34" s="3" cm="1">
        <f t="array" ref="B34">INDEX(MFModRaw!$B$2:$Z$37,_xlfn.XMATCH($A34,MFModRaw!$A$2:$A$37),_xlfn.XMATCH(B$2,MFModRaw!$B$1:$Z$1))</f>
        <v>208632203.80201301</v>
      </c>
      <c r="C34" s="3" cm="1">
        <f t="array" ref="C34">INDEX(MFModRaw!$B$2:$Z$37,_xlfn.XMATCH($A34,MFModRaw!$A$2:$A$37),_xlfn.XMATCH(C$2,MFModRaw!$B$1:$Z$1))</f>
        <v>188063076.47765499</v>
      </c>
      <c r="D34" s="3" cm="1">
        <f t="array" ref="D34">INDEX(MFModRaw!$B$2:$Z$37,_xlfn.XMATCH($A34,MFModRaw!$A$2:$A$37),_xlfn.XMATCH(D$2,MFModRaw!$B$1:$Z$1))</f>
        <v>191987901.91571599</v>
      </c>
      <c r="E34" s="3" cm="1">
        <f t="array" ref="E34">INDEX(MFModRaw!$B$2:$Z$37,_xlfn.XMATCH($A34,MFModRaw!$A$2:$A$37),_xlfn.XMATCH(E$2,MFModRaw!$B$1:$Z$1))</f>
        <v>194022598.07079601</v>
      </c>
      <c r="F34" s="3" cm="1">
        <f t="array" ref="F34">INDEX(MFModRaw!$B$2:$Z$37,_xlfn.XMATCH($A34,MFModRaw!$A$2:$A$37),_xlfn.XMATCH(F$2,MFModRaw!$B$1:$Z$1))</f>
        <v>175569029.251306</v>
      </c>
      <c r="G34" s="3" cm="1">
        <f t="array" ref="G34">INDEX(MFModRaw!$B$2:$Z$37,_xlfn.XMATCH($A34,MFModRaw!$A$2:$A$37),_xlfn.XMATCH(G$2,MFModRaw!$B$1:$Z$1))</f>
        <v>179642851.88387901</v>
      </c>
      <c r="H34" s="3" cm="1">
        <f t="array" ref="H34">INDEX(MFModRaw!$B$2:$Z$37,_xlfn.XMATCH($A34,MFModRaw!$A$2:$A$37),_xlfn.XMATCH(H$2,MFModRaw!$B$1:$Z$1))</f>
        <v>181648936.23021701</v>
      </c>
      <c r="K34">
        <v>2046</v>
      </c>
      <c r="L34" s="2">
        <f t="shared" si="2"/>
        <v>-9.8590375548530451E-2</v>
      </c>
      <c r="M34" s="2">
        <f t="shared" si="3"/>
        <v>-7.9778200982299263E-2</v>
      </c>
      <c r="N34" s="2">
        <f t="shared" si="4"/>
        <v>-7.0025650235095882E-2</v>
      </c>
      <c r="O34" s="2">
        <f t="shared" si="5"/>
        <v>-0.158475891775956</v>
      </c>
      <c r="P34" s="2">
        <f t="shared" si="6"/>
        <v>-0.13894955519735686</v>
      </c>
      <c r="Q34" s="2">
        <f t="shared" si="7"/>
        <v>-0.12933414439413426</v>
      </c>
    </row>
    <row r="35" spans="1:17" x14ac:dyDescent="0.2">
      <c r="A35">
        <v>2047</v>
      </c>
      <c r="B35" s="3" cm="1">
        <f t="array" ref="B35">INDEX(MFModRaw!$B$2:$Z$37,_xlfn.XMATCH($A35,MFModRaw!$A$2:$A$37),_xlfn.XMATCH(B$2,MFModRaw!$B$1:$Z$1))</f>
        <v>212244002.797198</v>
      </c>
      <c r="C35" s="3" cm="1">
        <f t="array" ref="C35">INDEX(MFModRaw!$B$2:$Z$37,_xlfn.XMATCH($A35,MFModRaw!$A$2:$A$37),_xlfn.XMATCH(C$2,MFModRaw!$B$1:$Z$1))</f>
        <v>190644771.376688</v>
      </c>
      <c r="D35" s="3" cm="1">
        <f t="array" ref="D35">INDEX(MFModRaw!$B$2:$Z$37,_xlfn.XMATCH($A35,MFModRaw!$A$2:$A$37),_xlfn.XMATCH(D$2,MFModRaw!$B$1:$Z$1))</f>
        <v>194821579.333855</v>
      </c>
      <c r="E35" s="3" cm="1">
        <f t="array" ref="E35">INDEX(MFModRaw!$B$2:$Z$37,_xlfn.XMATCH($A35,MFModRaw!$A$2:$A$37),_xlfn.XMATCH(E$2,MFModRaw!$B$1:$Z$1))</f>
        <v>197003235.60984799</v>
      </c>
      <c r="F35" s="3" cm="1">
        <f t="array" ref="F35">INDEX(MFModRaw!$B$2:$Z$37,_xlfn.XMATCH($A35,MFModRaw!$A$2:$A$37),_xlfn.XMATCH(F$2,MFModRaw!$B$1:$Z$1))</f>
        <v>176595993.47710299</v>
      </c>
      <c r="G35" s="3" cm="1">
        <f t="array" ref="G35">INDEX(MFModRaw!$B$2:$Z$37,_xlfn.XMATCH($A35,MFModRaw!$A$2:$A$37),_xlfn.XMATCH(G$2,MFModRaw!$B$1:$Z$1))</f>
        <v>180929109.60838199</v>
      </c>
      <c r="H35" s="3" cm="1">
        <f t="array" ref="H35">INDEX(MFModRaw!$B$2:$Z$37,_xlfn.XMATCH($A35,MFModRaw!$A$2:$A$37),_xlfn.XMATCH(H$2,MFModRaw!$B$1:$Z$1))</f>
        <v>183075978.73609799</v>
      </c>
      <c r="K35">
        <v>2047</v>
      </c>
      <c r="L35" s="2">
        <f t="shared" si="2"/>
        <v>-0.10176603878484303</v>
      </c>
      <c r="M35" s="2">
        <f t="shared" si="3"/>
        <v>-8.2086764449077809E-2</v>
      </c>
      <c r="N35" s="2">
        <f t="shared" si="4"/>
        <v>-7.1807763642267708E-2</v>
      </c>
      <c r="O35" s="2">
        <f t="shared" si="5"/>
        <v>-0.16795767536554218</v>
      </c>
      <c r="P35" s="2">
        <f t="shared" si="6"/>
        <v>-0.14754194594952963</v>
      </c>
      <c r="Q35" s="2">
        <f t="shared" si="7"/>
        <v>-0.13742684682106399</v>
      </c>
    </row>
    <row r="36" spans="1:17" x14ac:dyDescent="0.2">
      <c r="A36">
        <v>2048</v>
      </c>
      <c r="B36" s="3" cm="1">
        <f t="array" ref="B36">INDEX(MFModRaw!$B$2:$Z$37,_xlfn.XMATCH($A36,MFModRaw!$A$2:$A$37),_xlfn.XMATCH(B$2,MFModRaw!$B$1:$Z$1))</f>
        <v>215718054.303161</v>
      </c>
      <c r="C36" s="3" cm="1">
        <f t="array" ref="C36">INDEX(MFModRaw!$B$2:$Z$37,_xlfn.XMATCH($A36,MFModRaw!$A$2:$A$37),_xlfn.XMATCH(C$2,MFModRaw!$B$1:$Z$1))</f>
        <v>193104071.35261101</v>
      </c>
      <c r="D36" s="3" cm="1">
        <f t="array" ref="D36">INDEX(MFModRaw!$B$2:$Z$37,_xlfn.XMATCH($A36,MFModRaw!$A$2:$A$37),_xlfn.XMATCH(D$2,MFModRaw!$B$1:$Z$1))</f>
        <v>197534638.32417199</v>
      </c>
      <c r="E36" s="3" cm="1">
        <f t="array" ref="E36">INDEX(MFModRaw!$B$2:$Z$37,_xlfn.XMATCH($A36,MFModRaw!$A$2:$A$37),_xlfn.XMATCH(E$2,MFModRaw!$B$1:$Z$1))</f>
        <v>199865988.89062801</v>
      </c>
      <c r="F36" s="3" cm="1">
        <f t="array" ref="F36">INDEX(MFModRaw!$B$2:$Z$37,_xlfn.XMATCH($A36,MFModRaw!$A$2:$A$37),_xlfn.XMATCH(F$2,MFModRaw!$B$1:$Z$1))</f>
        <v>177417025.87836301</v>
      </c>
      <c r="G36" s="3" cm="1">
        <f t="array" ref="G36">INDEX(MFModRaw!$B$2:$Z$37,_xlfn.XMATCH($A36,MFModRaw!$A$2:$A$37),_xlfn.XMATCH(G$2,MFModRaw!$B$1:$Z$1))</f>
        <v>182009445.23261499</v>
      </c>
      <c r="H36" s="3" cm="1">
        <f t="array" ref="H36">INDEX(MFModRaw!$B$2:$Z$37,_xlfn.XMATCH($A36,MFModRaw!$A$2:$A$37),_xlfn.XMATCH(H$2,MFModRaw!$B$1:$Z$1))</f>
        <v>184298840.530224</v>
      </c>
      <c r="K36">
        <v>2048</v>
      </c>
      <c r="L36" s="2">
        <f t="shared" si="2"/>
        <v>-0.10483120211518904</v>
      </c>
      <c r="M36" s="2">
        <f t="shared" si="3"/>
        <v>-8.4292508745859585E-2</v>
      </c>
      <c r="N36" s="2">
        <f t="shared" si="4"/>
        <v>-7.3485112146687404E-2</v>
      </c>
      <c r="O36" s="2">
        <f t="shared" si="5"/>
        <v>-0.17755133453489869</v>
      </c>
      <c r="P36" s="2">
        <f t="shared" si="6"/>
        <v>-0.15626234521461679</v>
      </c>
      <c r="Q36" s="2">
        <f t="shared" si="7"/>
        <v>-0.14564943984142265</v>
      </c>
    </row>
    <row r="37" spans="1:17" x14ac:dyDescent="0.2">
      <c r="A37">
        <v>2049</v>
      </c>
      <c r="B37" s="3" cm="1">
        <f t="array" ref="B37">INDEX(MFModRaw!$B$2:$Z$37,_xlfn.XMATCH($A37,MFModRaw!$A$2:$A$37),_xlfn.XMATCH(B$2,MFModRaw!$B$1:$Z$1))</f>
        <v>219023285.71374601</v>
      </c>
      <c r="C37" s="3" cm="1">
        <f t="array" ref="C37">INDEX(MFModRaw!$B$2:$Z$37,_xlfn.XMATCH($A37,MFModRaw!$A$2:$A$37),_xlfn.XMATCH(C$2,MFModRaw!$B$1:$Z$1))</f>
        <v>195419162.31483501</v>
      </c>
      <c r="D37" s="3" cm="1">
        <f t="array" ref="D37">INDEX(MFModRaw!$B$2:$Z$37,_xlfn.XMATCH($A37,MFModRaw!$A$2:$A$37),_xlfn.XMATCH(D$2,MFModRaw!$B$1:$Z$1))</f>
        <v>200103535.57666999</v>
      </c>
      <c r="E37" s="3" cm="1">
        <f t="array" ref="E37">INDEX(MFModRaw!$B$2:$Z$37,_xlfn.XMATCH($A37,MFModRaw!$A$2:$A$37),_xlfn.XMATCH(E$2,MFModRaw!$B$1:$Z$1))</f>
        <v>202586417.83756</v>
      </c>
      <c r="F37" s="3" cm="1">
        <f t="array" ref="F37">INDEX(MFModRaw!$B$2:$Z$37,_xlfn.XMATCH($A37,MFModRaw!$A$2:$A$37),_xlfn.XMATCH(F$2,MFModRaw!$B$1:$Z$1))</f>
        <v>178014389.95497701</v>
      </c>
      <c r="G37" s="3" cm="1">
        <f t="array" ref="G37">INDEX(MFModRaw!$B$2:$Z$37,_xlfn.XMATCH($A37,MFModRaw!$A$2:$A$37),_xlfn.XMATCH(G$2,MFModRaw!$B$1:$Z$1))</f>
        <v>182864173.01694199</v>
      </c>
      <c r="H37" s="3" cm="1">
        <f t="array" ref="H37">INDEX(MFModRaw!$B$2:$Z$37,_xlfn.XMATCH($A37,MFModRaw!$A$2:$A$37),_xlfn.XMATCH(H$2,MFModRaw!$B$1:$Z$1))</f>
        <v>185296890.55012</v>
      </c>
      <c r="K37">
        <v>2049</v>
      </c>
      <c r="L37" s="2">
        <f t="shared" si="2"/>
        <v>-0.10776992648060524</v>
      </c>
      <c r="M37" s="2">
        <f t="shared" si="3"/>
        <v>-8.6382368319518843E-2</v>
      </c>
      <c r="N37" s="2">
        <f t="shared" si="4"/>
        <v>-7.5046211742382019E-2</v>
      </c>
      <c r="O37" s="2">
        <f t="shared" si="5"/>
        <v>-0.18723532351882377</v>
      </c>
      <c r="P37" s="2">
        <f t="shared" si="6"/>
        <v>-0.16509254976688836</v>
      </c>
      <c r="Q37" s="2">
        <f t="shared" si="7"/>
        <v>-0.15398543152030397</v>
      </c>
    </row>
    <row r="38" spans="1:17" x14ac:dyDescent="0.2">
      <c r="A38">
        <v>2050</v>
      </c>
      <c r="B38" s="3" cm="1">
        <f t="array" ref="B38">INDEX(MFModRaw!$B$2:$Z$37,_xlfn.XMATCH($A38,MFModRaw!$A$2:$A$37),_xlfn.XMATCH(B$2,MFModRaw!$B$1:$Z$1))</f>
        <v>222134480.72465101</v>
      </c>
      <c r="C38" s="3" cm="1">
        <f t="array" ref="C38">INDEX(MFModRaw!$B$2:$Z$37,_xlfn.XMATCH($A38,MFModRaw!$A$2:$A$37),_xlfn.XMATCH(C$2,MFModRaw!$B$1:$Z$1))</f>
        <v>197571914.72876099</v>
      </c>
      <c r="D38" s="3" cm="1">
        <f t="array" ref="D38">INDEX(MFModRaw!$B$2:$Z$37,_xlfn.XMATCH($A38,MFModRaw!$A$2:$A$37),_xlfn.XMATCH(D$2,MFModRaw!$B$1:$Z$1))</f>
        <v>202508242.372594</v>
      </c>
      <c r="E38" s="3" cm="1">
        <f t="array" ref="E38">INDEX(MFModRaw!$B$2:$Z$37,_xlfn.XMATCH($A38,MFModRaw!$A$2:$A$37),_xlfn.XMATCH(E$2,MFModRaw!$B$1:$Z$1))</f>
        <v>205143432.54482201</v>
      </c>
      <c r="F38" s="3" cm="1">
        <f t="array" ref="F38">INDEX(MFModRaw!$B$2:$Z$37,_xlfn.XMATCH($A38,MFModRaw!$A$2:$A$37),_xlfn.XMATCH(F$2,MFModRaw!$B$1:$Z$1))</f>
        <v>178384781.86315101</v>
      </c>
      <c r="G38" s="3" cm="1">
        <f t="array" ref="G38">INDEX(MFModRaw!$B$2:$Z$37,_xlfn.XMATCH($A38,MFModRaw!$A$2:$A$37),_xlfn.XMATCH(G$2,MFModRaw!$B$1:$Z$1))</f>
        <v>183488126.965244</v>
      </c>
      <c r="H38" s="3" cm="1">
        <f t="array" ref="H38">INDEX(MFModRaw!$B$2:$Z$37,_xlfn.XMATCH($A38,MFModRaw!$A$2:$A$37),_xlfn.XMATCH(H$2,MFModRaw!$B$1:$Z$1))</f>
        <v>186064057.41632801</v>
      </c>
      <c r="K38">
        <v>2050</v>
      </c>
      <c r="L38" s="2">
        <f t="shared" si="2"/>
        <v>-0.11057520613531757</v>
      </c>
      <c r="M38" s="2">
        <f t="shared" si="3"/>
        <v>-8.8352957577913838E-2</v>
      </c>
      <c r="N38" s="2">
        <f t="shared" si="4"/>
        <v>-7.6489917838961863E-2</v>
      </c>
      <c r="O38" s="2">
        <f t="shared" si="5"/>
        <v>-0.19695140852864879</v>
      </c>
      <c r="P38" s="2">
        <f t="shared" si="6"/>
        <v>-0.17397728454103212</v>
      </c>
      <c r="Q38" s="2">
        <f t="shared" si="7"/>
        <v>-0.16238101887943479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E2A3-AA7C-47ED-8A2F-72821A6EF6A1}">
  <dimension ref="A1:Q38"/>
  <sheetViews>
    <sheetView workbookViewId="0">
      <selection activeCell="U33" sqref="U33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1</v>
      </c>
      <c r="D2" t="s">
        <v>5</v>
      </c>
      <c r="E2" t="s">
        <v>9</v>
      </c>
      <c r="F2" t="s">
        <v>13</v>
      </c>
      <c r="G2" t="s">
        <v>17</v>
      </c>
      <c r="H2" t="s">
        <v>21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3" cm="1">
        <f t="array" ref="B3">INDEX(MFModRaw!$B$2:$Z$37,_xlfn.XMATCH($A3,MFModRaw!$A$2:$A$37),_xlfn.XMATCH(B$2,MFModRaw!$B$1:$Z$1))</f>
        <v>95406124.717485994</v>
      </c>
      <c r="C3" s="3" cm="1">
        <f t="array" ref="C3">INDEX(MFModRaw!$B$2:$Z$37,_xlfn.XMATCH($A3,MFModRaw!$A$2:$A$37),_xlfn.XMATCH(C$2,MFModRaw!$B$1:$Z$1))</f>
        <v>95406124.717485994</v>
      </c>
      <c r="D3" s="3" cm="1">
        <f t="array" ref="D3">INDEX(MFModRaw!$B$2:$Z$37,_xlfn.XMATCH($A3,MFModRaw!$A$2:$A$37),_xlfn.XMATCH(D$2,MFModRaw!$B$1:$Z$1))</f>
        <v>95406124.717485994</v>
      </c>
      <c r="E3" s="3" cm="1">
        <f t="array" ref="E3">INDEX(MFModRaw!$B$2:$Z$37,_xlfn.XMATCH($A3,MFModRaw!$A$2:$A$37),_xlfn.XMATCH(E$2,MFModRaw!$B$1:$Z$1))</f>
        <v>95406124.717485994</v>
      </c>
      <c r="F3" s="3" cm="1">
        <f t="array" ref="F3">INDEX(MFModRaw!$B$2:$Z$37,_xlfn.XMATCH($A3,MFModRaw!$A$2:$A$37),_xlfn.XMATCH(F$2,MFModRaw!$B$1:$Z$1))</f>
        <v>95406124.717485994</v>
      </c>
      <c r="G3" s="3" cm="1">
        <f t="array" ref="G3">INDEX(MFModRaw!$B$2:$Z$37,_xlfn.XMATCH($A3,MFModRaw!$A$2:$A$37),_xlfn.XMATCH(G$2,MFModRaw!$B$1:$Z$1))</f>
        <v>95406124.717485994</v>
      </c>
      <c r="H3" s="3" cm="1">
        <f t="array" ref="H3">INDEX(MFModRaw!$B$2:$Z$37,_xlfn.XMATCH($A3,MFModRaw!$A$2:$A$37),_xlfn.XMATCH(H$2,MFModRaw!$B$1:$Z$1))</f>
        <v>95406124.717485994</v>
      </c>
      <c r="K3">
        <v>2015</v>
      </c>
      <c r="L3" s="2">
        <f>C3/$B3-1</f>
        <v>0</v>
      </c>
      <c r="M3" s="2">
        <f t="shared" ref="M3:Q3" si="1">D3/$B3-1</f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</row>
    <row r="4" spans="1:17" x14ac:dyDescent="0.2">
      <c r="A4">
        <v>2016</v>
      </c>
      <c r="B4" s="3" cm="1">
        <f t="array" ref="B4">INDEX(MFModRaw!$B$2:$Z$37,_xlfn.XMATCH($A4,MFModRaw!$A$2:$A$37),_xlfn.XMATCH(B$2,MFModRaw!$B$1:$Z$1))</f>
        <v>102948457.015031</v>
      </c>
      <c r="C4" s="3" cm="1">
        <f t="array" ref="C4">INDEX(MFModRaw!$B$2:$Z$37,_xlfn.XMATCH($A4,MFModRaw!$A$2:$A$37),_xlfn.XMATCH(C$2,MFModRaw!$B$1:$Z$1))</f>
        <v>102948457.015031</v>
      </c>
      <c r="D4" s="3" cm="1">
        <f t="array" ref="D4">INDEX(MFModRaw!$B$2:$Z$37,_xlfn.XMATCH($A4,MFModRaw!$A$2:$A$37),_xlfn.XMATCH(D$2,MFModRaw!$B$1:$Z$1))</f>
        <v>102948457.015031</v>
      </c>
      <c r="E4" s="3" cm="1">
        <f t="array" ref="E4">INDEX(MFModRaw!$B$2:$Z$37,_xlfn.XMATCH($A4,MFModRaw!$A$2:$A$37),_xlfn.XMATCH(E$2,MFModRaw!$B$1:$Z$1))</f>
        <v>102948457.015031</v>
      </c>
      <c r="F4" s="3" cm="1">
        <f t="array" ref="F4">INDEX(MFModRaw!$B$2:$Z$37,_xlfn.XMATCH($A4,MFModRaw!$A$2:$A$37),_xlfn.XMATCH(F$2,MFModRaw!$B$1:$Z$1))</f>
        <v>102948457.015031</v>
      </c>
      <c r="G4" s="3" cm="1">
        <f t="array" ref="G4">INDEX(MFModRaw!$B$2:$Z$37,_xlfn.XMATCH($A4,MFModRaw!$A$2:$A$37),_xlfn.XMATCH(G$2,MFModRaw!$B$1:$Z$1))</f>
        <v>102948457.015031</v>
      </c>
      <c r="H4" s="3" cm="1">
        <f t="array" ref="H4">INDEX(MFModRaw!$B$2:$Z$37,_xlfn.XMATCH($A4,MFModRaw!$A$2:$A$37),_xlfn.XMATCH(H$2,MFModRaw!$B$1:$Z$1))</f>
        <v>102948457.015031</v>
      </c>
      <c r="K4">
        <v>2016</v>
      </c>
      <c r="L4" s="2">
        <f t="shared" ref="L4:L38" si="2">C4/$B4-1</f>
        <v>0</v>
      </c>
      <c r="M4" s="2">
        <f t="shared" ref="M4:M38" si="3">D4/$B4-1</f>
        <v>0</v>
      </c>
      <c r="N4" s="2">
        <f t="shared" ref="N4:N38" si="4">E4/$B4-1</f>
        <v>0</v>
      </c>
      <c r="O4" s="2">
        <f t="shared" ref="O4:O38" si="5">F4/$B4-1</f>
        <v>0</v>
      </c>
      <c r="P4" s="2">
        <f t="shared" ref="P4:P38" si="6">G4/$B4-1</f>
        <v>0</v>
      </c>
      <c r="Q4" s="2">
        <f t="shared" ref="Q4:Q38" si="7">H4/$B4-1</f>
        <v>0</v>
      </c>
    </row>
    <row r="5" spans="1:17" x14ac:dyDescent="0.2">
      <c r="A5">
        <v>2017</v>
      </c>
      <c r="B5" s="3" cm="1">
        <f t="array" ref="B5">INDEX(MFModRaw!$B$2:$Z$37,_xlfn.XMATCH($A5,MFModRaw!$A$2:$A$37),_xlfn.XMATCH(B$2,MFModRaw!$B$1:$Z$1))</f>
        <v>111261585.22876</v>
      </c>
      <c r="C5" s="3" cm="1">
        <f t="array" ref="C5">INDEX(MFModRaw!$B$2:$Z$37,_xlfn.XMATCH($A5,MFModRaw!$A$2:$A$37),_xlfn.XMATCH(C$2,MFModRaw!$B$1:$Z$1))</f>
        <v>111261585.22876</v>
      </c>
      <c r="D5" s="3" cm="1">
        <f t="array" ref="D5">INDEX(MFModRaw!$B$2:$Z$37,_xlfn.XMATCH($A5,MFModRaw!$A$2:$A$37),_xlfn.XMATCH(D$2,MFModRaw!$B$1:$Z$1))</f>
        <v>111261585.22876</v>
      </c>
      <c r="E5" s="3" cm="1">
        <f t="array" ref="E5">INDEX(MFModRaw!$B$2:$Z$37,_xlfn.XMATCH($A5,MFModRaw!$A$2:$A$37),_xlfn.XMATCH(E$2,MFModRaw!$B$1:$Z$1))</f>
        <v>111261585.22876</v>
      </c>
      <c r="F5" s="3" cm="1">
        <f t="array" ref="F5">INDEX(MFModRaw!$B$2:$Z$37,_xlfn.XMATCH($A5,MFModRaw!$A$2:$A$37),_xlfn.XMATCH(F$2,MFModRaw!$B$1:$Z$1))</f>
        <v>111261585.22876</v>
      </c>
      <c r="G5" s="3" cm="1">
        <f t="array" ref="G5">INDEX(MFModRaw!$B$2:$Z$37,_xlfn.XMATCH($A5,MFModRaw!$A$2:$A$37),_xlfn.XMATCH(G$2,MFModRaw!$B$1:$Z$1))</f>
        <v>111261585.22876</v>
      </c>
      <c r="H5" s="3" cm="1">
        <f t="array" ref="H5">INDEX(MFModRaw!$B$2:$Z$37,_xlfn.XMATCH($A5,MFModRaw!$A$2:$A$37),_xlfn.XMATCH(H$2,MFModRaw!$B$1:$Z$1))</f>
        <v>111261585.22876</v>
      </c>
      <c r="K5">
        <v>2017</v>
      </c>
      <c r="L5" s="2">
        <f t="shared" si="2"/>
        <v>0</v>
      </c>
      <c r="M5" s="2">
        <f t="shared" si="3"/>
        <v>0</v>
      </c>
      <c r="N5" s="2">
        <f t="shared" si="4"/>
        <v>0</v>
      </c>
      <c r="O5" s="2">
        <f t="shared" si="5"/>
        <v>0</v>
      </c>
      <c r="P5" s="2">
        <f t="shared" si="6"/>
        <v>0</v>
      </c>
      <c r="Q5" s="2">
        <f t="shared" si="7"/>
        <v>0</v>
      </c>
    </row>
    <row r="6" spans="1:17" x14ac:dyDescent="0.2">
      <c r="A6">
        <v>2018</v>
      </c>
      <c r="B6" s="3" cm="1">
        <f t="array" ref="B6">INDEX(MFModRaw!$B$2:$Z$37,_xlfn.XMATCH($A6,MFModRaw!$A$2:$A$37),_xlfn.XMATCH(B$2,MFModRaw!$B$1:$Z$1))</f>
        <v>121026150.909922</v>
      </c>
      <c r="C6" s="3" cm="1">
        <f t="array" ref="C6">INDEX(MFModRaw!$B$2:$Z$37,_xlfn.XMATCH($A6,MFModRaw!$A$2:$A$37),_xlfn.XMATCH(C$2,MFModRaw!$B$1:$Z$1))</f>
        <v>121026150.909922</v>
      </c>
      <c r="D6" s="3" cm="1">
        <f t="array" ref="D6">INDEX(MFModRaw!$B$2:$Z$37,_xlfn.XMATCH($A6,MFModRaw!$A$2:$A$37),_xlfn.XMATCH(D$2,MFModRaw!$B$1:$Z$1))</f>
        <v>121026150.909922</v>
      </c>
      <c r="E6" s="3" cm="1">
        <f t="array" ref="E6">INDEX(MFModRaw!$B$2:$Z$37,_xlfn.XMATCH($A6,MFModRaw!$A$2:$A$37),_xlfn.XMATCH(E$2,MFModRaw!$B$1:$Z$1))</f>
        <v>121026150.909922</v>
      </c>
      <c r="F6" s="3" cm="1">
        <f t="array" ref="F6">INDEX(MFModRaw!$B$2:$Z$37,_xlfn.XMATCH($A6,MFModRaw!$A$2:$A$37),_xlfn.XMATCH(F$2,MFModRaw!$B$1:$Z$1))</f>
        <v>121026150.909922</v>
      </c>
      <c r="G6" s="3" cm="1">
        <f t="array" ref="G6">INDEX(MFModRaw!$B$2:$Z$37,_xlfn.XMATCH($A6,MFModRaw!$A$2:$A$37),_xlfn.XMATCH(G$2,MFModRaw!$B$1:$Z$1))</f>
        <v>121026150.909922</v>
      </c>
      <c r="H6" s="3" cm="1">
        <f t="array" ref="H6">INDEX(MFModRaw!$B$2:$Z$37,_xlfn.XMATCH($A6,MFModRaw!$A$2:$A$37),_xlfn.XMATCH(H$2,MFModRaw!$B$1:$Z$1))</f>
        <v>121026150.909922</v>
      </c>
      <c r="K6">
        <v>2018</v>
      </c>
      <c r="L6" s="2">
        <f t="shared" si="2"/>
        <v>0</v>
      </c>
      <c r="M6" s="2">
        <f t="shared" si="3"/>
        <v>0</v>
      </c>
      <c r="N6" s="2">
        <f t="shared" si="4"/>
        <v>0</v>
      </c>
      <c r="O6" s="2">
        <f t="shared" si="5"/>
        <v>0</v>
      </c>
      <c r="P6" s="2">
        <f t="shared" si="6"/>
        <v>0</v>
      </c>
      <c r="Q6" s="2">
        <f t="shared" si="7"/>
        <v>0</v>
      </c>
    </row>
    <row r="7" spans="1:17" x14ac:dyDescent="0.2">
      <c r="A7">
        <v>2019</v>
      </c>
      <c r="B7" s="3" cm="1">
        <f t="array" ref="B7">INDEX(MFModRaw!$B$2:$Z$37,_xlfn.XMATCH($A7,MFModRaw!$A$2:$A$37),_xlfn.XMATCH(B$2,MFModRaw!$B$1:$Z$1))</f>
        <v>130631936.159025</v>
      </c>
      <c r="C7" s="3" cm="1">
        <f t="array" ref="C7">INDEX(MFModRaw!$B$2:$Z$37,_xlfn.XMATCH($A7,MFModRaw!$A$2:$A$37),_xlfn.XMATCH(C$2,MFModRaw!$B$1:$Z$1))</f>
        <v>130631936.159025</v>
      </c>
      <c r="D7" s="3" cm="1">
        <f t="array" ref="D7">INDEX(MFModRaw!$B$2:$Z$37,_xlfn.XMATCH($A7,MFModRaw!$A$2:$A$37),_xlfn.XMATCH(D$2,MFModRaw!$B$1:$Z$1))</f>
        <v>130631936.159025</v>
      </c>
      <c r="E7" s="3" cm="1">
        <f t="array" ref="E7">INDEX(MFModRaw!$B$2:$Z$37,_xlfn.XMATCH($A7,MFModRaw!$A$2:$A$37),_xlfn.XMATCH(E$2,MFModRaw!$B$1:$Z$1))</f>
        <v>130631936.159025</v>
      </c>
      <c r="F7" s="3" cm="1">
        <f t="array" ref="F7">INDEX(MFModRaw!$B$2:$Z$37,_xlfn.XMATCH($A7,MFModRaw!$A$2:$A$37),_xlfn.XMATCH(F$2,MFModRaw!$B$1:$Z$1))</f>
        <v>130631936.159025</v>
      </c>
      <c r="G7" s="3" cm="1">
        <f t="array" ref="G7">INDEX(MFModRaw!$B$2:$Z$37,_xlfn.XMATCH($A7,MFModRaw!$A$2:$A$37),_xlfn.XMATCH(G$2,MFModRaw!$B$1:$Z$1))</f>
        <v>130631936.159025</v>
      </c>
      <c r="H7" s="3" cm="1">
        <f t="array" ref="H7">INDEX(MFModRaw!$B$2:$Z$37,_xlfn.XMATCH($A7,MFModRaw!$A$2:$A$37),_xlfn.XMATCH(H$2,MFModRaw!$B$1:$Z$1))</f>
        <v>130631936.159025</v>
      </c>
      <c r="K7">
        <v>2019</v>
      </c>
      <c r="L7" s="2">
        <f t="shared" si="2"/>
        <v>0</v>
      </c>
      <c r="M7" s="2">
        <f t="shared" si="3"/>
        <v>0</v>
      </c>
      <c r="N7" s="2">
        <f t="shared" si="4"/>
        <v>0</v>
      </c>
      <c r="O7" s="2">
        <f t="shared" si="5"/>
        <v>0</v>
      </c>
      <c r="P7" s="2">
        <f t="shared" si="6"/>
        <v>0</v>
      </c>
      <c r="Q7" s="2">
        <f t="shared" si="7"/>
        <v>0</v>
      </c>
    </row>
    <row r="8" spans="1:17" x14ac:dyDescent="0.2">
      <c r="A8">
        <v>2020</v>
      </c>
      <c r="B8" s="3" cm="1">
        <f t="array" ref="B8">INDEX(MFModRaw!$B$2:$Z$37,_xlfn.XMATCH($A8,MFModRaw!$A$2:$A$37),_xlfn.XMATCH(B$2,MFModRaw!$B$1:$Z$1))</f>
        <v>125987027.75209901</v>
      </c>
      <c r="C8" s="3" cm="1">
        <f t="array" ref="C8">INDEX(MFModRaw!$B$2:$Z$37,_xlfn.XMATCH($A8,MFModRaw!$A$2:$A$37),_xlfn.XMATCH(C$2,MFModRaw!$B$1:$Z$1))</f>
        <v>125987027.75209901</v>
      </c>
      <c r="D8" s="3" cm="1">
        <f t="array" ref="D8">INDEX(MFModRaw!$B$2:$Z$37,_xlfn.XMATCH($A8,MFModRaw!$A$2:$A$37),_xlfn.XMATCH(D$2,MFModRaw!$B$1:$Z$1))</f>
        <v>125987151.70941401</v>
      </c>
      <c r="E8" s="3" cm="1">
        <f t="array" ref="E8">INDEX(MFModRaw!$B$2:$Z$37,_xlfn.XMATCH($A8,MFModRaw!$A$2:$A$37),_xlfn.XMATCH(E$2,MFModRaw!$B$1:$Z$1))</f>
        <v>125987275.671707</v>
      </c>
      <c r="F8" s="3" cm="1">
        <f t="array" ref="F8">INDEX(MFModRaw!$B$2:$Z$37,_xlfn.XMATCH($A8,MFModRaw!$A$2:$A$37),_xlfn.XMATCH(F$2,MFModRaw!$B$1:$Z$1))</f>
        <v>125987027.75209901</v>
      </c>
      <c r="G8" s="3" cm="1">
        <f t="array" ref="G8">INDEX(MFModRaw!$B$2:$Z$37,_xlfn.XMATCH($A8,MFModRaw!$A$2:$A$37),_xlfn.XMATCH(G$2,MFModRaw!$B$1:$Z$1))</f>
        <v>125987151.70941401</v>
      </c>
      <c r="H8" s="3" cm="1">
        <f t="array" ref="H8">INDEX(MFModRaw!$B$2:$Z$37,_xlfn.XMATCH($A8,MFModRaw!$A$2:$A$37),_xlfn.XMATCH(H$2,MFModRaw!$B$1:$Z$1))</f>
        <v>125987275.671707</v>
      </c>
      <c r="K8">
        <v>2020</v>
      </c>
      <c r="L8" s="2">
        <f t="shared" si="2"/>
        <v>0</v>
      </c>
      <c r="M8" s="2">
        <f t="shared" si="3"/>
        <v>9.8388950986461055E-7</v>
      </c>
      <c r="N8" s="2">
        <f t="shared" si="4"/>
        <v>1.9678185319005337E-6</v>
      </c>
      <c r="O8" s="2">
        <f t="shared" si="5"/>
        <v>0</v>
      </c>
      <c r="P8" s="2">
        <f t="shared" si="6"/>
        <v>9.8388950986461055E-7</v>
      </c>
      <c r="Q8" s="2">
        <f t="shared" si="7"/>
        <v>1.9678185319005337E-6</v>
      </c>
    </row>
    <row r="9" spans="1:17" x14ac:dyDescent="0.2">
      <c r="A9">
        <v>2021</v>
      </c>
      <c r="B9" s="3" cm="1">
        <f t="array" ref="B9">INDEX(MFModRaw!$B$2:$Z$37,_xlfn.XMATCH($A9,MFModRaw!$A$2:$A$37),_xlfn.XMATCH(B$2,MFModRaw!$B$1:$Z$1))</f>
        <v>129879828.790113</v>
      </c>
      <c r="C9" s="3" cm="1">
        <f t="array" ref="C9">INDEX(MFModRaw!$B$2:$Z$37,_xlfn.XMATCH($A9,MFModRaw!$A$2:$A$37),_xlfn.XMATCH(C$2,MFModRaw!$B$1:$Z$1))</f>
        <v>129801250.297583</v>
      </c>
      <c r="D9" s="3" cm="1">
        <f t="array" ref="D9">INDEX(MFModRaw!$B$2:$Z$37,_xlfn.XMATCH($A9,MFModRaw!$A$2:$A$37),_xlfn.XMATCH(D$2,MFModRaw!$B$1:$Z$1))</f>
        <v>129803709.225594</v>
      </c>
      <c r="E9" s="3" cm="1">
        <f t="array" ref="E9">INDEX(MFModRaw!$B$2:$Z$37,_xlfn.XMATCH($A9,MFModRaw!$A$2:$A$37),_xlfn.XMATCH(E$2,MFModRaw!$B$1:$Z$1))</f>
        <v>129803649.17299999</v>
      </c>
      <c r="F9" s="3" cm="1">
        <f t="array" ref="F9">INDEX(MFModRaw!$B$2:$Z$37,_xlfn.XMATCH($A9,MFModRaw!$A$2:$A$37),_xlfn.XMATCH(F$2,MFModRaw!$B$1:$Z$1))</f>
        <v>129801250.297583</v>
      </c>
      <c r="G9" s="3" cm="1">
        <f t="array" ref="G9">INDEX(MFModRaw!$B$2:$Z$37,_xlfn.XMATCH($A9,MFModRaw!$A$2:$A$37),_xlfn.XMATCH(G$2,MFModRaw!$B$1:$Z$1))</f>
        <v>129803709.225594</v>
      </c>
      <c r="H9" s="3" cm="1">
        <f t="array" ref="H9">INDEX(MFModRaw!$B$2:$Z$37,_xlfn.XMATCH($A9,MFModRaw!$A$2:$A$37),_xlfn.XMATCH(H$2,MFModRaw!$B$1:$Z$1))</f>
        <v>129803649.17299999</v>
      </c>
      <c r="K9">
        <v>2021</v>
      </c>
      <c r="L9" s="2">
        <f t="shared" si="2"/>
        <v>-6.0500920937456293E-4</v>
      </c>
      <c r="M9" s="2">
        <f t="shared" si="3"/>
        <v>-5.8607687758827076E-4</v>
      </c>
      <c r="N9" s="2">
        <f t="shared" si="4"/>
        <v>-5.8653924803142576E-4</v>
      </c>
      <c r="O9" s="2">
        <f t="shared" si="5"/>
        <v>-6.0500920937456293E-4</v>
      </c>
      <c r="P9" s="2">
        <f t="shared" si="6"/>
        <v>-5.8607687758827076E-4</v>
      </c>
      <c r="Q9" s="2">
        <f t="shared" si="7"/>
        <v>-5.8653924803142576E-4</v>
      </c>
    </row>
    <row r="10" spans="1:17" x14ac:dyDescent="0.2">
      <c r="A10">
        <v>2022</v>
      </c>
      <c r="B10" s="3" cm="1">
        <f t="array" ref="B10">INDEX(MFModRaw!$B$2:$Z$37,_xlfn.XMATCH($A10,MFModRaw!$A$2:$A$37),_xlfn.XMATCH(B$2,MFModRaw!$B$1:$Z$1))</f>
        <v>136508075.76283899</v>
      </c>
      <c r="C10" s="3" cm="1">
        <f t="array" ref="C10">INDEX(MFModRaw!$B$2:$Z$37,_xlfn.XMATCH($A10,MFModRaw!$A$2:$A$37),_xlfn.XMATCH(C$2,MFModRaw!$B$1:$Z$1))</f>
        <v>136197468.74888101</v>
      </c>
      <c r="D10" s="3" cm="1">
        <f t="array" ref="D10">INDEX(MFModRaw!$B$2:$Z$37,_xlfn.XMATCH($A10,MFModRaw!$A$2:$A$37),_xlfn.XMATCH(D$2,MFModRaw!$B$1:$Z$1))</f>
        <v>136207329.65801299</v>
      </c>
      <c r="E10" s="3" cm="1">
        <f t="array" ref="E10">INDEX(MFModRaw!$B$2:$Z$37,_xlfn.XMATCH($A10,MFModRaw!$A$2:$A$37),_xlfn.XMATCH(E$2,MFModRaw!$B$1:$Z$1))</f>
        <v>136207250.98043799</v>
      </c>
      <c r="F10" s="3" cm="1">
        <f t="array" ref="F10">INDEX(MFModRaw!$B$2:$Z$37,_xlfn.XMATCH($A10,MFModRaw!$A$2:$A$37),_xlfn.XMATCH(F$2,MFModRaw!$B$1:$Z$1))</f>
        <v>136192817.63713199</v>
      </c>
      <c r="G10" s="3" cm="1">
        <f t="array" ref="G10">INDEX(MFModRaw!$B$2:$Z$37,_xlfn.XMATCH($A10,MFModRaw!$A$2:$A$37),_xlfn.XMATCH(G$2,MFModRaw!$B$1:$Z$1))</f>
        <v>136202831.53882</v>
      </c>
      <c r="H10" s="3" cm="1">
        <f t="array" ref="H10">INDEX(MFModRaw!$B$2:$Z$37,_xlfn.XMATCH($A10,MFModRaw!$A$2:$A$37),_xlfn.XMATCH(H$2,MFModRaw!$B$1:$Z$1))</f>
        <v>136202755.854186</v>
      </c>
      <c r="K10">
        <v>2022</v>
      </c>
      <c r="L10" s="2">
        <f t="shared" si="2"/>
        <v>-2.2753746415531406E-3</v>
      </c>
      <c r="M10" s="2">
        <f t="shared" si="3"/>
        <v>-2.2031378227651555E-3</v>
      </c>
      <c r="N10" s="2">
        <f t="shared" si="4"/>
        <v>-2.203714181156835E-3</v>
      </c>
      <c r="O10" s="2">
        <f t="shared" si="5"/>
        <v>-2.3094467044917355E-3</v>
      </c>
      <c r="P10" s="2">
        <f t="shared" si="6"/>
        <v>-2.2360891274250116E-3</v>
      </c>
      <c r="Q10" s="2">
        <f t="shared" si="7"/>
        <v>-2.2366435608061064E-3</v>
      </c>
    </row>
    <row r="11" spans="1:17" x14ac:dyDescent="0.2">
      <c r="A11">
        <v>2023</v>
      </c>
      <c r="B11" s="3" cm="1">
        <f t="array" ref="B11">INDEX(MFModRaw!$B$2:$Z$37,_xlfn.XMATCH($A11,MFModRaw!$A$2:$A$37),_xlfn.XMATCH(B$2,MFModRaw!$B$1:$Z$1))</f>
        <v>143334277.97308999</v>
      </c>
      <c r="C11" s="3" cm="1">
        <f t="array" ref="C11">INDEX(MFModRaw!$B$2:$Z$37,_xlfn.XMATCH($A11,MFModRaw!$A$2:$A$37),_xlfn.XMATCH(C$2,MFModRaw!$B$1:$Z$1))</f>
        <v>142704221.354296</v>
      </c>
      <c r="D11" s="3" cm="1">
        <f t="array" ref="D11">INDEX(MFModRaw!$B$2:$Z$37,_xlfn.XMATCH($A11,MFModRaw!$A$2:$A$37),_xlfn.XMATCH(D$2,MFModRaw!$B$1:$Z$1))</f>
        <v>142724294.37957501</v>
      </c>
      <c r="E11" s="3" cm="1">
        <f t="array" ref="E11">INDEX(MFModRaw!$B$2:$Z$37,_xlfn.XMATCH($A11,MFModRaw!$A$2:$A$37),_xlfn.XMATCH(E$2,MFModRaw!$B$1:$Z$1))</f>
        <v>142724270.52968699</v>
      </c>
      <c r="F11" s="3" cm="1">
        <f t="array" ref="F11">INDEX(MFModRaw!$B$2:$Z$37,_xlfn.XMATCH($A11,MFModRaw!$A$2:$A$37),_xlfn.XMATCH(F$2,MFModRaw!$B$1:$Z$1))</f>
        <v>142686391.523258</v>
      </c>
      <c r="G11" s="3" cm="1">
        <f t="array" ref="G11">INDEX(MFModRaw!$B$2:$Z$37,_xlfn.XMATCH($A11,MFModRaw!$A$2:$A$37),_xlfn.XMATCH(G$2,MFModRaw!$B$1:$Z$1))</f>
        <v>142707053.070021</v>
      </c>
      <c r="H11" s="3" cm="1">
        <f t="array" ref="H11">INDEX(MFModRaw!$B$2:$Z$37,_xlfn.XMATCH($A11,MFModRaw!$A$2:$A$37),_xlfn.XMATCH(H$2,MFModRaw!$B$1:$Z$1))</f>
        <v>142707046.43377</v>
      </c>
      <c r="K11">
        <v>2023</v>
      </c>
      <c r="L11" s="2">
        <f t="shared" si="2"/>
        <v>-4.3957148820485958E-3</v>
      </c>
      <c r="M11" s="2">
        <f t="shared" si="3"/>
        <v>-4.255671442594533E-3</v>
      </c>
      <c r="N11" s="2">
        <f t="shared" si="4"/>
        <v>-4.2558378360655347E-3</v>
      </c>
      <c r="O11" s="2">
        <f t="shared" si="5"/>
        <v>-4.5201082322654518E-3</v>
      </c>
      <c r="P11" s="2">
        <f t="shared" si="6"/>
        <v>-4.3759588560298157E-3</v>
      </c>
      <c r="Q11" s="2">
        <f t="shared" si="7"/>
        <v>-4.3760051551503532E-3</v>
      </c>
    </row>
    <row r="12" spans="1:17" x14ac:dyDescent="0.2">
      <c r="A12">
        <v>2024</v>
      </c>
      <c r="B12" s="3" cm="1">
        <f t="array" ref="B12">INDEX(MFModRaw!$B$2:$Z$37,_xlfn.XMATCH($A12,MFModRaw!$A$2:$A$37),_xlfn.XMATCH(B$2,MFModRaw!$B$1:$Z$1))</f>
        <v>151960779.35757601</v>
      </c>
      <c r="C12" s="3" cm="1">
        <f t="array" ref="C12">INDEX(MFModRaw!$B$2:$Z$37,_xlfn.XMATCH($A12,MFModRaw!$A$2:$A$37),_xlfn.XMATCH(C$2,MFModRaw!$B$1:$Z$1))</f>
        <v>150815088.39225799</v>
      </c>
      <c r="D12" s="3" cm="1">
        <f t="array" ref="D12">INDEX(MFModRaw!$B$2:$Z$37,_xlfn.XMATCH($A12,MFModRaw!$A$2:$A$37),_xlfn.XMATCH(D$2,MFModRaw!$B$1:$Z$1))</f>
        <v>150852031.11703101</v>
      </c>
      <c r="E12" s="3" cm="1">
        <f t="array" ref="E12">INDEX(MFModRaw!$B$2:$Z$37,_xlfn.XMATCH($A12,MFModRaw!$A$2:$A$37),_xlfn.XMATCH(E$2,MFModRaw!$B$1:$Z$1))</f>
        <v>150852543.85362399</v>
      </c>
      <c r="F12" s="3" cm="1">
        <f t="array" ref="F12">INDEX(MFModRaw!$B$2:$Z$37,_xlfn.XMATCH($A12,MFModRaw!$A$2:$A$37),_xlfn.XMATCH(F$2,MFModRaw!$B$1:$Z$1))</f>
        <v>150763506.70545</v>
      </c>
      <c r="G12" s="3" cm="1">
        <f t="array" ref="G12">INDEX(MFModRaw!$B$2:$Z$37,_xlfn.XMATCH($A12,MFModRaw!$A$2:$A$37),_xlfn.XMATCH(G$2,MFModRaw!$B$1:$Z$1))</f>
        <v>150802162.83888</v>
      </c>
      <c r="H12" s="3" cm="1">
        <f t="array" ref="H12">INDEX(MFModRaw!$B$2:$Z$37,_xlfn.XMATCH($A12,MFModRaw!$A$2:$A$37),_xlfn.XMATCH(H$2,MFModRaw!$B$1:$Z$1))</f>
        <v>150802744.14602101</v>
      </c>
      <c r="K12">
        <v>2024</v>
      </c>
      <c r="L12" s="2">
        <f t="shared" si="2"/>
        <v>-7.5393859531486251E-3</v>
      </c>
      <c r="M12" s="2">
        <f t="shared" si="3"/>
        <v>-7.2962789821973129E-3</v>
      </c>
      <c r="N12" s="2">
        <f t="shared" si="4"/>
        <v>-7.2929048445076194E-3</v>
      </c>
      <c r="O12" s="2">
        <f t="shared" si="5"/>
        <v>-7.8788267419235281E-3</v>
      </c>
      <c r="P12" s="2">
        <f t="shared" si="6"/>
        <v>-7.6244444362165709E-3</v>
      </c>
      <c r="Q12" s="2">
        <f t="shared" si="7"/>
        <v>-7.6206190600671686E-3</v>
      </c>
    </row>
    <row r="13" spans="1:17" x14ac:dyDescent="0.2">
      <c r="A13">
        <v>2025</v>
      </c>
      <c r="B13" s="3" cm="1">
        <f t="array" ref="B13">INDEX(MFModRaw!$B$2:$Z$37,_xlfn.XMATCH($A13,MFModRaw!$A$2:$A$37),_xlfn.XMATCH(B$2,MFModRaw!$B$1:$Z$1))</f>
        <v>157327866.00698</v>
      </c>
      <c r="C13" s="3" cm="1">
        <f t="array" ref="C13">INDEX(MFModRaw!$B$2:$Z$37,_xlfn.XMATCH($A13,MFModRaw!$A$2:$A$37),_xlfn.XMATCH(C$2,MFModRaw!$B$1:$Z$1))</f>
        <v>155585237.70303199</v>
      </c>
      <c r="D13" s="3" cm="1">
        <f t="array" ref="D13">INDEX(MFModRaw!$B$2:$Z$37,_xlfn.XMATCH($A13,MFModRaw!$A$2:$A$37),_xlfn.XMATCH(D$2,MFModRaw!$B$1:$Z$1))</f>
        <v>155641789.422133</v>
      </c>
      <c r="E13" s="3" cm="1">
        <f t="array" ref="E13">INDEX(MFModRaw!$B$2:$Z$37,_xlfn.XMATCH($A13,MFModRaw!$A$2:$A$37),_xlfn.XMATCH(E$2,MFModRaw!$B$1:$Z$1))</f>
        <v>155643128.818919</v>
      </c>
      <c r="F13" s="3" cm="1">
        <f t="array" ref="F13">INDEX(MFModRaw!$B$2:$Z$37,_xlfn.XMATCH($A13,MFModRaw!$A$2:$A$37),_xlfn.XMATCH(F$2,MFModRaw!$B$1:$Z$1))</f>
        <v>155478248.16247499</v>
      </c>
      <c r="G13" s="3" cm="1">
        <f t="array" ref="G13">INDEX(MFModRaw!$B$2:$Z$37,_xlfn.XMATCH($A13,MFModRaw!$A$2:$A$37),_xlfn.XMATCH(G$2,MFModRaw!$B$1:$Z$1))</f>
        <v>155538369.794633</v>
      </c>
      <c r="H13" s="3" cm="1">
        <f t="array" ref="H13">INDEX(MFModRaw!$B$2:$Z$37,_xlfn.XMATCH($A13,MFModRaw!$A$2:$A$37),_xlfn.XMATCH(H$2,MFModRaw!$B$1:$Z$1))</f>
        <v>155539888.90306699</v>
      </c>
      <c r="K13">
        <v>2025</v>
      </c>
      <c r="L13" s="2">
        <f t="shared" si="2"/>
        <v>-1.107641226043643E-2</v>
      </c>
      <c r="M13" s="2">
        <f t="shared" si="3"/>
        <v>-1.0716960876925641E-2</v>
      </c>
      <c r="N13" s="2">
        <f t="shared" si="4"/>
        <v>-1.0708447465919702E-2</v>
      </c>
      <c r="O13" s="2">
        <f t="shared" si="5"/>
        <v>-1.1756454158114327E-2</v>
      </c>
      <c r="P13" s="2">
        <f t="shared" si="6"/>
        <v>-1.1374311860733011E-2</v>
      </c>
      <c r="Q13" s="2">
        <f t="shared" si="7"/>
        <v>-1.1364656174982279E-2</v>
      </c>
    </row>
    <row r="14" spans="1:17" x14ac:dyDescent="0.2">
      <c r="A14">
        <v>2026</v>
      </c>
      <c r="B14" s="3" cm="1">
        <f t="array" ref="B14">INDEX(MFModRaw!$B$2:$Z$37,_xlfn.XMATCH($A14,MFModRaw!$A$2:$A$37),_xlfn.XMATCH(B$2,MFModRaw!$B$1:$Z$1))</f>
        <v>161174295.799999</v>
      </c>
      <c r="C14" s="3" cm="1">
        <f t="array" ref="C14">INDEX(MFModRaw!$B$2:$Z$37,_xlfn.XMATCH($A14,MFModRaw!$A$2:$A$37),_xlfn.XMATCH(C$2,MFModRaw!$B$1:$Z$1))</f>
        <v>158756192.661663</v>
      </c>
      <c r="D14" s="3" cm="1">
        <f t="array" ref="D14">INDEX(MFModRaw!$B$2:$Z$37,_xlfn.XMATCH($A14,MFModRaw!$A$2:$A$37),_xlfn.XMATCH(D$2,MFModRaw!$B$1:$Z$1))</f>
        <v>158835040.809329</v>
      </c>
      <c r="E14" s="3" cm="1">
        <f t="array" ref="E14">INDEX(MFModRaw!$B$2:$Z$37,_xlfn.XMATCH($A14,MFModRaw!$A$2:$A$37),_xlfn.XMATCH(E$2,MFModRaw!$B$1:$Z$1))</f>
        <v>158837569.56015801</v>
      </c>
      <c r="F14" s="3" cm="1">
        <f t="array" ref="F14">INDEX(MFModRaw!$B$2:$Z$37,_xlfn.XMATCH($A14,MFModRaw!$A$2:$A$37),_xlfn.XMATCH(F$2,MFModRaw!$B$1:$Z$1))</f>
        <v>158572451.47307399</v>
      </c>
      <c r="G14" s="3" cm="1">
        <f t="array" ref="G14">INDEX(MFModRaw!$B$2:$Z$37,_xlfn.XMATCH($A14,MFModRaw!$A$2:$A$37),_xlfn.XMATCH(G$2,MFModRaw!$B$1:$Z$1))</f>
        <v>158657447.40106699</v>
      </c>
      <c r="H14" s="3" cm="1">
        <f t="array" ref="H14">INDEX(MFModRaw!$B$2:$Z$37,_xlfn.XMATCH($A14,MFModRaw!$A$2:$A$37),_xlfn.XMATCH(H$2,MFModRaw!$B$1:$Z$1))</f>
        <v>158660341.74510401</v>
      </c>
      <c r="K14">
        <v>2026</v>
      </c>
      <c r="L14" s="2">
        <f t="shared" si="2"/>
        <v>-1.5003032129494276E-2</v>
      </c>
      <c r="M14" s="2">
        <f t="shared" si="3"/>
        <v>-1.4513821692590301E-2</v>
      </c>
      <c r="N14" s="2">
        <f t="shared" si="4"/>
        <v>-1.449813215092699E-2</v>
      </c>
      <c r="O14" s="2">
        <f t="shared" si="5"/>
        <v>-1.614304758715146E-2</v>
      </c>
      <c r="P14" s="2">
        <f t="shared" si="6"/>
        <v>-1.5615693472954106E-2</v>
      </c>
      <c r="Q14" s="2">
        <f t="shared" si="7"/>
        <v>-1.5597735621656117E-2</v>
      </c>
    </row>
    <row r="15" spans="1:17" x14ac:dyDescent="0.2">
      <c r="A15">
        <v>2027</v>
      </c>
      <c r="B15" s="3" cm="1">
        <f t="array" ref="B15">INDEX(MFModRaw!$B$2:$Z$37,_xlfn.XMATCH($A15,MFModRaw!$A$2:$A$37),_xlfn.XMATCH(B$2,MFModRaw!$B$1:$Z$1))</f>
        <v>163828412.62031001</v>
      </c>
      <c r="C15" s="3" cm="1">
        <f t="array" ref="C15">INDEX(MFModRaw!$B$2:$Z$37,_xlfn.XMATCH($A15,MFModRaw!$A$2:$A$37),_xlfn.XMATCH(C$2,MFModRaw!$B$1:$Z$1))</f>
        <v>160670982.33597401</v>
      </c>
      <c r="D15" s="3" cm="1">
        <f t="array" ref="D15">INDEX(MFModRaw!$B$2:$Z$37,_xlfn.XMATCH($A15,MFModRaw!$A$2:$A$37),_xlfn.XMATCH(D$2,MFModRaw!$B$1:$Z$1))</f>
        <v>160774367.04352301</v>
      </c>
      <c r="E15" s="3" cm="1">
        <f t="array" ref="E15">INDEX(MFModRaw!$B$2:$Z$37,_xlfn.XMATCH($A15,MFModRaw!$A$2:$A$37),_xlfn.XMATCH(E$2,MFModRaw!$B$1:$Z$1))</f>
        <v>160778499.48421699</v>
      </c>
      <c r="F15" s="3" cm="1">
        <f t="array" ref="F15">INDEX(MFModRaw!$B$2:$Z$37,_xlfn.XMATCH($A15,MFModRaw!$A$2:$A$37),_xlfn.XMATCH(F$2,MFModRaw!$B$1:$Z$1))</f>
        <v>160385689.55972001</v>
      </c>
      <c r="G15" s="3" cm="1">
        <f t="array" ref="G15">INDEX(MFModRaw!$B$2:$Z$37,_xlfn.XMATCH($A15,MFModRaw!$A$2:$A$37),_xlfn.XMATCH(G$2,MFModRaw!$B$1:$Z$1))</f>
        <v>160498641.06614199</v>
      </c>
      <c r="H15" s="3" cm="1">
        <f t="array" ref="H15">INDEX(MFModRaw!$B$2:$Z$37,_xlfn.XMATCH($A15,MFModRaw!$A$2:$A$37),_xlfn.XMATCH(H$2,MFModRaw!$B$1:$Z$1))</f>
        <v>160503428.188613</v>
      </c>
      <c r="K15">
        <v>2027</v>
      </c>
      <c r="L15" s="2">
        <f t="shared" si="2"/>
        <v>-1.9272788119199302E-2</v>
      </c>
      <c r="M15" s="2">
        <f t="shared" si="3"/>
        <v>-1.8641733310723496E-2</v>
      </c>
      <c r="N15" s="2">
        <f t="shared" si="4"/>
        <v>-1.8616509110428336E-2</v>
      </c>
      <c r="O15" s="2">
        <f t="shared" si="5"/>
        <v>-2.1014200195962784E-2</v>
      </c>
      <c r="P15" s="2">
        <f t="shared" si="6"/>
        <v>-2.0324750151154314E-2</v>
      </c>
      <c r="Q15" s="2">
        <f t="shared" si="7"/>
        <v>-2.0295529807781376E-2</v>
      </c>
    </row>
    <row r="16" spans="1:17" x14ac:dyDescent="0.2">
      <c r="A16">
        <v>2028</v>
      </c>
      <c r="B16" s="3" cm="1">
        <f t="array" ref="B16">INDEX(MFModRaw!$B$2:$Z$37,_xlfn.XMATCH($A16,MFModRaw!$A$2:$A$37),_xlfn.XMATCH(B$2,MFModRaw!$B$1:$Z$1))</f>
        <v>165613937.73779401</v>
      </c>
      <c r="C16" s="3" cm="1">
        <f t="array" ref="C16">INDEX(MFModRaw!$B$2:$Z$37,_xlfn.XMATCH($A16,MFModRaw!$A$2:$A$37),_xlfn.XMATCH(C$2,MFModRaw!$B$1:$Z$1))</f>
        <v>161669924.21291199</v>
      </c>
      <c r="D16" s="3" cm="1">
        <f t="array" ref="D16">INDEX(MFModRaw!$B$2:$Z$37,_xlfn.XMATCH($A16,MFModRaw!$A$2:$A$37),_xlfn.XMATCH(D$2,MFModRaw!$B$1:$Z$1))</f>
        <v>161799571.02033401</v>
      </c>
      <c r="E16" s="3" cm="1">
        <f t="array" ref="E16">INDEX(MFModRaw!$B$2:$Z$37,_xlfn.XMATCH($A16,MFModRaw!$A$2:$A$37),_xlfn.XMATCH(E$2,MFModRaw!$B$1:$Z$1))</f>
        <v>161805762.33660001</v>
      </c>
      <c r="F16" s="3" cm="1">
        <f t="array" ref="F16">INDEX(MFModRaw!$B$2:$Z$37,_xlfn.XMATCH($A16,MFModRaw!$A$2:$A$37),_xlfn.XMATCH(F$2,MFModRaw!$B$1:$Z$1))</f>
        <v>161253965.77672499</v>
      </c>
      <c r="G16" s="3" cm="1">
        <f t="array" ref="G16">INDEX(MFModRaw!$B$2:$Z$37,_xlfn.XMATCH($A16,MFModRaw!$A$2:$A$37),_xlfn.XMATCH(G$2,MFModRaw!$B$1:$Z$1))</f>
        <v>161397591.59527001</v>
      </c>
      <c r="H16" s="3" cm="1">
        <f t="array" ref="H16">INDEX(MFModRaw!$B$2:$Z$37,_xlfn.XMATCH($A16,MFModRaw!$A$2:$A$37),_xlfn.XMATCH(H$2,MFModRaw!$B$1:$Z$1))</f>
        <v>161404868.095635</v>
      </c>
      <c r="K16">
        <v>2028</v>
      </c>
      <c r="L16" s="2">
        <f t="shared" si="2"/>
        <v>-2.3814502443183949E-2</v>
      </c>
      <c r="M16" s="2">
        <f t="shared" si="3"/>
        <v>-2.3031676980587501E-2</v>
      </c>
      <c r="N16" s="2">
        <f t="shared" si="4"/>
        <v>-2.299429295149813E-2</v>
      </c>
      <c r="O16" s="2">
        <f t="shared" si="5"/>
        <v>-2.6326117358382528E-2</v>
      </c>
      <c r="P16" s="2">
        <f t="shared" si="6"/>
        <v>-2.5458884681550664E-2</v>
      </c>
      <c r="Q16" s="2">
        <f t="shared" si="7"/>
        <v>-2.5414948159876327E-2</v>
      </c>
    </row>
    <row r="17" spans="1:17" x14ac:dyDescent="0.2">
      <c r="A17">
        <v>2029</v>
      </c>
      <c r="B17" s="3" cm="1">
        <f t="array" ref="B17">INDEX(MFModRaw!$B$2:$Z$37,_xlfn.XMATCH($A17,MFModRaw!$A$2:$A$37),_xlfn.XMATCH(B$2,MFModRaw!$B$1:$Z$1))</f>
        <v>166797663.84194899</v>
      </c>
      <c r="C17" s="3" cm="1">
        <f t="array" ref="C17">INDEX(MFModRaw!$B$2:$Z$37,_xlfn.XMATCH($A17,MFModRaw!$A$2:$A$37),_xlfn.XMATCH(C$2,MFModRaw!$B$1:$Z$1))</f>
        <v>162036125.79794401</v>
      </c>
      <c r="D17" s="3" cm="1">
        <f t="array" ref="D17">INDEX(MFModRaw!$B$2:$Z$37,_xlfn.XMATCH($A17,MFModRaw!$A$2:$A$37),_xlfn.XMATCH(D$2,MFModRaw!$B$1:$Z$1))</f>
        <v>162193248.36011699</v>
      </c>
      <c r="E17" s="3" cm="1">
        <f t="array" ref="E17">INDEX(MFModRaw!$B$2:$Z$37,_xlfn.XMATCH($A17,MFModRaw!$A$2:$A$37),_xlfn.XMATCH(E$2,MFModRaw!$B$1:$Z$1))</f>
        <v>162201984.252213</v>
      </c>
      <c r="F17" s="3" cm="1">
        <f t="array" ref="F17">INDEX(MFModRaw!$B$2:$Z$37,_xlfn.XMATCH($A17,MFModRaw!$A$2:$A$37),_xlfn.XMATCH(F$2,MFModRaw!$B$1:$Z$1))</f>
        <v>161460534.80886701</v>
      </c>
      <c r="G17" s="3" cm="1">
        <f t="array" ref="G17">INDEX(MFModRaw!$B$2:$Z$37,_xlfn.XMATCH($A17,MFModRaw!$A$2:$A$37),_xlfn.XMATCH(G$2,MFModRaw!$B$1:$Z$1))</f>
        <v>161637038.848501</v>
      </c>
      <c r="H17" s="3" cm="1">
        <f t="array" ref="H17">INDEX(MFModRaw!$B$2:$Z$37,_xlfn.XMATCH($A17,MFModRaw!$A$2:$A$37),_xlfn.XMATCH(H$2,MFModRaw!$B$1:$Z$1))</f>
        <v>161647455.92845801</v>
      </c>
      <c r="K17">
        <v>2029</v>
      </c>
      <c r="L17" s="2">
        <f t="shared" si="2"/>
        <v>-2.8546790970147118E-2</v>
      </c>
      <c r="M17" s="2">
        <f t="shared" si="3"/>
        <v>-2.760479598919896E-2</v>
      </c>
      <c r="N17" s="2">
        <f t="shared" si="4"/>
        <v>-2.7552421801846583E-2</v>
      </c>
      <c r="O17" s="2">
        <f t="shared" si="5"/>
        <v>-3.1997624607855601E-2</v>
      </c>
      <c r="P17" s="2">
        <f t="shared" si="6"/>
        <v>-3.0939432091435015E-2</v>
      </c>
      <c r="Q17" s="2">
        <f t="shared" si="7"/>
        <v>-3.0876978699000968E-2</v>
      </c>
    </row>
    <row r="18" spans="1:17" x14ac:dyDescent="0.2">
      <c r="A18">
        <v>2030</v>
      </c>
      <c r="B18" s="3" cm="1">
        <f t="array" ref="B18">INDEX(MFModRaw!$B$2:$Z$37,_xlfn.XMATCH($A18,MFModRaw!$A$2:$A$37),_xlfn.XMATCH(B$2,MFModRaw!$B$1:$Z$1))</f>
        <v>167621595.458682</v>
      </c>
      <c r="C18" s="3" cm="1">
        <f t="array" ref="C18">INDEX(MFModRaw!$B$2:$Z$37,_xlfn.XMATCH($A18,MFModRaw!$A$2:$A$37),_xlfn.XMATCH(C$2,MFModRaw!$B$1:$Z$1))</f>
        <v>162025982.89597499</v>
      </c>
      <c r="D18" s="3" cm="1">
        <f t="array" ref="D18">INDEX(MFModRaw!$B$2:$Z$37,_xlfn.XMATCH($A18,MFModRaw!$A$2:$A$37),_xlfn.XMATCH(D$2,MFModRaw!$B$1:$Z$1))</f>
        <v>162211333.793147</v>
      </c>
      <c r="E18" s="3" cm="1">
        <f t="array" ref="E18">INDEX(MFModRaw!$B$2:$Z$37,_xlfn.XMATCH($A18,MFModRaw!$A$2:$A$37),_xlfn.XMATCH(E$2,MFModRaw!$B$1:$Z$1))</f>
        <v>162223117.751443</v>
      </c>
      <c r="F18" s="3" cm="1">
        <f t="array" ref="F18">INDEX(MFModRaw!$B$2:$Z$37,_xlfn.XMATCH($A18,MFModRaw!$A$2:$A$37),_xlfn.XMATCH(F$2,MFModRaw!$B$1:$Z$1))</f>
        <v>161256485.22011399</v>
      </c>
      <c r="G18" s="3" cm="1">
        <f t="array" ref="G18">INDEX(MFModRaw!$B$2:$Z$37,_xlfn.XMATCH($A18,MFModRaw!$A$2:$A$37),_xlfn.XMATCH(G$2,MFModRaw!$B$1:$Z$1))</f>
        <v>161467801.120446</v>
      </c>
      <c r="H18" s="3" cm="1">
        <f t="array" ref="H18">INDEX(MFModRaw!$B$2:$Z$37,_xlfn.XMATCH($A18,MFModRaw!$A$2:$A$37),_xlfn.XMATCH(H$2,MFModRaw!$B$1:$Z$1))</f>
        <v>161482085.57456499</v>
      </c>
      <c r="K18">
        <v>2030</v>
      </c>
      <c r="L18" s="2">
        <f t="shared" si="2"/>
        <v>-3.3382408438453859E-2</v>
      </c>
      <c r="M18" s="2">
        <f t="shared" si="3"/>
        <v>-3.227663864390673E-2</v>
      </c>
      <c r="N18" s="2">
        <f t="shared" si="4"/>
        <v>-3.2206337688568953E-2</v>
      </c>
      <c r="O18" s="2">
        <f t="shared" si="5"/>
        <v>-3.7973091839094142E-2</v>
      </c>
      <c r="P18" s="2">
        <f t="shared" si="6"/>
        <v>-3.6712419550695041E-2</v>
      </c>
      <c r="Q18" s="2">
        <f t="shared" si="7"/>
        <v>-3.6627201091343653E-2</v>
      </c>
    </row>
    <row r="19" spans="1:17" x14ac:dyDescent="0.2">
      <c r="A19">
        <v>2031</v>
      </c>
      <c r="B19" s="3" cm="1">
        <f t="array" ref="B19">INDEX(MFModRaw!$B$2:$Z$37,_xlfn.XMATCH($A19,MFModRaw!$A$2:$A$37),_xlfn.XMATCH(B$2,MFModRaw!$B$1:$Z$1))</f>
        <v>168309329.610174</v>
      </c>
      <c r="C19" s="3" cm="1">
        <f t="array" ref="C19">INDEX(MFModRaw!$B$2:$Z$37,_xlfn.XMATCH($A19,MFModRaw!$A$2:$A$37),_xlfn.XMATCH(C$2,MFModRaw!$B$1:$Z$1))</f>
        <v>161873743.09228101</v>
      </c>
      <c r="D19" s="3" cm="1">
        <f t="array" ref="D19">INDEX(MFModRaw!$B$2:$Z$37,_xlfn.XMATCH($A19,MFModRaw!$A$2:$A$37),_xlfn.XMATCH(D$2,MFModRaw!$B$1:$Z$1))</f>
        <v>162087729.94959101</v>
      </c>
      <c r="E19" s="3" cm="1">
        <f t="array" ref="E19">INDEX(MFModRaw!$B$2:$Z$37,_xlfn.XMATCH($A19,MFModRaw!$A$2:$A$37),_xlfn.XMATCH(E$2,MFModRaw!$B$1:$Z$1))</f>
        <v>162103074.820315</v>
      </c>
      <c r="F19" s="3" cm="1">
        <f t="array" ref="F19">INDEX(MFModRaw!$B$2:$Z$37,_xlfn.XMATCH($A19,MFModRaw!$A$2:$A$37),_xlfn.XMATCH(F$2,MFModRaw!$B$1:$Z$1))</f>
        <v>160874854.22288501</v>
      </c>
      <c r="G19" s="3" cm="1">
        <f t="array" ref="G19">INDEX(MFModRaw!$B$2:$Z$37,_xlfn.XMATCH($A19,MFModRaw!$A$2:$A$37),_xlfn.XMATCH(G$2,MFModRaw!$B$1:$Z$1))</f>
        <v>161122618.77795699</v>
      </c>
      <c r="H19" s="3" cm="1">
        <f t="array" ref="H19">INDEX(MFModRaw!$B$2:$Z$37,_xlfn.XMATCH($A19,MFModRaw!$A$2:$A$37),_xlfn.XMATCH(H$2,MFModRaw!$B$1:$Z$1))</f>
        <v>161141548.304263</v>
      </c>
      <c r="K19">
        <v>2031</v>
      </c>
      <c r="L19" s="2">
        <f t="shared" si="2"/>
        <v>-3.8236659446024945E-2</v>
      </c>
      <c r="M19" s="2">
        <f t="shared" si="3"/>
        <v>-3.6965269097043008E-2</v>
      </c>
      <c r="N19" s="2">
        <f t="shared" si="4"/>
        <v>-3.68740984485737E-2</v>
      </c>
      <c r="O19" s="2">
        <f t="shared" si="5"/>
        <v>-4.4171499016175675E-2</v>
      </c>
      <c r="P19" s="2">
        <f t="shared" si="6"/>
        <v>-4.2699420459117454E-2</v>
      </c>
      <c r="Q19" s="2">
        <f t="shared" si="7"/>
        <v>-4.2586951789972072E-2</v>
      </c>
    </row>
    <row r="20" spans="1:17" x14ac:dyDescent="0.2">
      <c r="A20">
        <v>2032</v>
      </c>
      <c r="B20" s="3" cm="1">
        <f t="array" ref="B20">INDEX(MFModRaw!$B$2:$Z$37,_xlfn.XMATCH($A20,MFModRaw!$A$2:$A$37),_xlfn.XMATCH(B$2,MFModRaw!$B$1:$Z$1))</f>
        <v>169054085.10363299</v>
      </c>
      <c r="C20" s="3" cm="1">
        <f t="array" ref="C20">INDEX(MFModRaw!$B$2:$Z$37,_xlfn.XMATCH($A20,MFModRaw!$A$2:$A$37),_xlfn.XMATCH(C$2,MFModRaw!$B$1:$Z$1))</f>
        <v>161778690.08281901</v>
      </c>
      <c r="D20" s="3" cm="1">
        <f t="array" ref="D20">INDEX(MFModRaw!$B$2:$Z$37,_xlfn.XMATCH($A20,MFModRaw!$A$2:$A$37),_xlfn.XMATCH(D$2,MFModRaw!$B$1:$Z$1))</f>
        <v>162021524.44465899</v>
      </c>
      <c r="E20" s="3" cm="1">
        <f t="array" ref="E20">INDEX(MFModRaw!$B$2:$Z$37,_xlfn.XMATCH($A20,MFModRaw!$A$2:$A$37),_xlfn.XMATCH(E$2,MFModRaw!$B$1:$Z$1))</f>
        <v>162040775.231644</v>
      </c>
      <c r="F20" s="3" cm="1">
        <f t="array" ref="F20">INDEX(MFModRaw!$B$2:$Z$37,_xlfn.XMATCH($A20,MFModRaw!$A$2:$A$37),_xlfn.XMATCH(F$2,MFModRaw!$B$1:$Z$1))</f>
        <v>160516415.31356499</v>
      </c>
      <c r="G20" s="3" cm="1">
        <f t="array" ref="G20">INDEX(MFModRaw!$B$2:$Z$37,_xlfn.XMATCH($A20,MFModRaw!$A$2:$A$37),_xlfn.XMATCH(G$2,MFModRaw!$B$1:$Z$1))</f>
        <v>160802020.98271</v>
      </c>
      <c r="H20" s="3" cm="1">
        <f t="array" ref="H20">INDEX(MFModRaw!$B$2:$Z$37,_xlfn.XMATCH($A20,MFModRaw!$A$2:$A$37),_xlfn.XMATCH(H$2,MFModRaw!$B$1:$Z$1))</f>
        <v>160826229.625388</v>
      </c>
      <c r="K20">
        <v>2032</v>
      </c>
      <c r="L20" s="2">
        <f t="shared" si="2"/>
        <v>-4.3035901891125716E-2</v>
      </c>
      <c r="M20" s="2">
        <f t="shared" si="3"/>
        <v>-4.1599471877079575E-2</v>
      </c>
      <c r="N20" s="2">
        <f t="shared" si="4"/>
        <v>-4.1485598337891116E-2</v>
      </c>
      <c r="O20" s="2">
        <f t="shared" si="5"/>
        <v>-5.0502593799104378E-2</v>
      </c>
      <c r="P20" s="2">
        <f t="shared" si="6"/>
        <v>-4.8813160095269703E-2</v>
      </c>
      <c r="Q20" s="2">
        <f t="shared" si="7"/>
        <v>-4.8669959517400496E-2</v>
      </c>
    </row>
    <row r="21" spans="1:17" x14ac:dyDescent="0.2">
      <c r="A21">
        <v>2033</v>
      </c>
      <c r="B21" s="3" cm="1">
        <f t="array" ref="B21">INDEX(MFModRaw!$B$2:$Z$37,_xlfn.XMATCH($A21,MFModRaw!$A$2:$A$37),_xlfn.XMATCH(B$2,MFModRaw!$B$1:$Z$1))</f>
        <v>170006357.98768699</v>
      </c>
      <c r="C21" s="3" cm="1">
        <f t="array" ref="C21">INDEX(MFModRaw!$B$2:$Z$37,_xlfn.XMATCH($A21,MFModRaw!$A$2:$A$37),_xlfn.XMATCH(C$2,MFModRaw!$B$1:$Z$1))</f>
        <v>161892732.500725</v>
      </c>
      <c r="D21" s="3" cm="1">
        <f t="array" ref="D21">INDEX(MFModRaw!$B$2:$Z$37,_xlfn.XMATCH($A21,MFModRaw!$A$2:$A$37),_xlfn.XMATCH(D$2,MFModRaw!$B$1:$Z$1))</f>
        <v>162164586.401869</v>
      </c>
      <c r="E21" s="3" cm="1">
        <f t="array" ref="E21">INDEX(MFModRaw!$B$2:$Z$37,_xlfn.XMATCH($A21,MFModRaw!$A$2:$A$37),_xlfn.XMATCH(E$2,MFModRaw!$B$1:$Z$1))</f>
        <v>162188009.02881601</v>
      </c>
      <c r="F21" s="3" cm="1">
        <f t="array" ref="F21">INDEX(MFModRaw!$B$2:$Z$37,_xlfn.XMATCH($A21,MFModRaw!$A$2:$A$37),_xlfn.XMATCH(F$2,MFModRaw!$B$1:$Z$1))</f>
        <v>160329560.605894</v>
      </c>
      <c r="G21" s="3" cm="1">
        <f t="array" ref="G21">INDEX(MFModRaw!$B$2:$Z$37,_xlfn.XMATCH($A21,MFModRaw!$A$2:$A$37),_xlfn.XMATCH(G$2,MFModRaw!$B$1:$Z$1))</f>
        <v>160654484.806319</v>
      </c>
      <c r="H21" s="3" cm="1">
        <f t="array" ref="H21">INDEX(MFModRaw!$B$2:$Z$37,_xlfn.XMATCH($A21,MFModRaw!$A$2:$A$37),_xlfn.XMATCH(H$2,MFModRaw!$B$1:$Z$1))</f>
        <v>160684588.74667001</v>
      </c>
      <c r="K21">
        <v>2033</v>
      </c>
      <c r="L21" s="2">
        <f t="shared" si="2"/>
        <v>-4.7725423819441115E-2</v>
      </c>
      <c r="M21" s="2">
        <f t="shared" si="3"/>
        <v>-4.6126343029982086E-2</v>
      </c>
      <c r="N21" s="2">
        <f t="shared" si="4"/>
        <v>-4.5988568024245557E-2</v>
      </c>
      <c r="O21" s="2">
        <f t="shared" si="5"/>
        <v>-5.6920208728275079E-2</v>
      </c>
      <c r="P21" s="2">
        <f t="shared" si="6"/>
        <v>-5.5008961382757904E-2</v>
      </c>
      <c r="Q21" s="2">
        <f t="shared" si="7"/>
        <v>-5.4831886003299579E-2</v>
      </c>
    </row>
    <row r="22" spans="1:17" x14ac:dyDescent="0.2">
      <c r="A22">
        <v>2034</v>
      </c>
      <c r="B22" s="3" cm="1">
        <f t="array" ref="B22">INDEX(MFModRaw!$B$2:$Z$37,_xlfn.XMATCH($A22,MFModRaw!$A$2:$A$37),_xlfn.XMATCH(B$2,MFModRaw!$B$1:$Z$1))</f>
        <v>171269059.74022999</v>
      </c>
      <c r="C22" s="3" cm="1">
        <f t="array" ref="C22">INDEX(MFModRaw!$B$2:$Z$37,_xlfn.XMATCH($A22,MFModRaw!$A$2:$A$37),_xlfn.XMATCH(C$2,MFModRaw!$B$1:$Z$1))</f>
        <v>162316770.72167599</v>
      </c>
      <c r="D22" s="3" cm="1">
        <f t="array" ref="D22">INDEX(MFModRaw!$B$2:$Z$37,_xlfn.XMATCH($A22,MFModRaw!$A$2:$A$37),_xlfn.XMATCH(D$2,MFModRaw!$B$1:$Z$1))</f>
        <v>162617895.04172501</v>
      </c>
      <c r="E22" s="3" cm="1">
        <f t="array" ref="E22">INDEX(MFModRaw!$B$2:$Z$37,_xlfn.XMATCH($A22,MFModRaw!$A$2:$A$37),_xlfn.XMATCH(E$2,MFModRaw!$B$1:$Z$1))</f>
        <v>162645726.666852</v>
      </c>
      <c r="F22" s="3" cm="1">
        <f t="array" ref="F22">INDEX(MFModRaw!$B$2:$Z$37,_xlfn.XMATCH($A22,MFModRaw!$A$2:$A$37),_xlfn.XMATCH(F$2,MFModRaw!$B$1:$Z$1))</f>
        <v>160412864.67906901</v>
      </c>
      <c r="G22" s="3" cm="1">
        <f t="array" ref="G22">INDEX(MFModRaw!$B$2:$Z$37,_xlfn.XMATCH($A22,MFModRaw!$A$2:$A$37),_xlfn.XMATCH(G$2,MFModRaw!$B$1:$Z$1))</f>
        <v>160778749.760079</v>
      </c>
      <c r="H22" s="3" cm="1">
        <f t="array" ref="H22">INDEX(MFModRaw!$B$2:$Z$37,_xlfn.XMATCH($A22,MFModRaw!$A$2:$A$37),_xlfn.XMATCH(H$2,MFModRaw!$B$1:$Z$1))</f>
        <v>160815392.44348899</v>
      </c>
      <c r="K22">
        <v>2034</v>
      </c>
      <c r="L22" s="2">
        <f t="shared" si="2"/>
        <v>-5.2270322684857762E-2</v>
      </c>
      <c r="M22" s="2">
        <f t="shared" si="3"/>
        <v>-5.0512128177888749E-2</v>
      </c>
      <c r="N22" s="2">
        <f t="shared" si="4"/>
        <v>-5.0349625825337752E-2</v>
      </c>
      <c r="O22" s="2">
        <f t="shared" si="5"/>
        <v>-6.3386784966455556E-2</v>
      </c>
      <c r="P22" s="2">
        <f t="shared" si="6"/>
        <v>-6.1250467516211216E-2</v>
      </c>
      <c r="Q22" s="2">
        <f t="shared" si="7"/>
        <v>-6.1036519454222837E-2</v>
      </c>
    </row>
    <row r="23" spans="1:17" x14ac:dyDescent="0.2">
      <c r="A23">
        <v>2035</v>
      </c>
      <c r="B23" s="3" cm="1">
        <f t="array" ref="B23">INDEX(MFModRaw!$B$2:$Z$37,_xlfn.XMATCH($A23,MFModRaw!$A$2:$A$37),_xlfn.XMATCH(B$2,MFModRaw!$B$1:$Z$1))</f>
        <v>172900131.026261</v>
      </c>
      <c r="C23" s="3" cm="1">
        <f t="array" ref="C23">INDEX(MFModRaw!$B$2:$Z$37,_xlfn.XMATCH($A23,MFModRaw!$A$2:$A$37),_xlfn.XMATCH(C$2,MFModRaw!$B$1:$Z$1))</f>
        <v>163105196.33029401</v>
      </c>
      <c r="D23" s="3" cm="1">
        <f t="array" ref="D23">INDEX(MFModRaw!$B$2:$Z$37,_xlfn.XMATCH($A23,MFModRaw!$A$2:$A$37),_xlfn.XMATCH(D$2,MFModRaw!$B$1:$Z$1))</f>
        <v>163435975.84957901</v>
      </c>
      <c r="E23" s="3" cm="1">
        <f t="array" ref="E23">INDEX(MFModRaw!$B$2:$Z$37,_xlfn.XMATCH($A23,MFModRaw!$A$2:$A$37),_xlfn.XMATCH(E$2,MFModRaw!$B$1:$Z$1))</f>
        <v>163468458.072301</v>
      </c>
      <c r="F23" s="3" cm="1">
        <f t="array" ref="F23">INDEX(MFModRaw!$B$2:$Z$37,_xlfn.XMATCH($A23,MFModRaw!$A$2:$A$37),_xlfn.XMATCH(F$2,MFModRaw!$B$1:$Z$1))</f>
        <v>160816841.654928</v>
      </c>
      <c r="G23" s="3" cm="1">
        <f t="array" ref="G23">INDEX(MFModRaw!$B$2:$Z$37,_xlfn.XMATCH($A23,MFModRaw!$A$2:$A$37),_xlfn.XMATCH(G$2,MFModRaw!$B$1:$Z$1))</f>
        <v>161225603.20598301</v>
      </c>
      <c r="H23" s="3" cm="1">
        <f t="array" ref="H23">INDEX(MFModRaw!$B$2:$Z$37,_xlfn.XMATCH($A23,MFModRaw!$A$2:$A$37),_xlfn.XMATCH(H$2,MFModRaw!$B$1:$Z$1))</f>
        <v>161269504.434643</v>
      </c>
      <c r="K23">
        <v>2035</v>
      </c>
      <c r="L23" s="2">
        <f t="shared" si="2"/>
        <v>-5.6650822864207528E-2</v>
      </c>
      <c r="M23" s="2">
        <f t="shared" si="3"/>
        <v>-5.4737698118022426E-2</v>
      </c>
      <c r="N23" s="2">
        <f t="shared" si="4"/>
        <v>-5.454983115384382E-2</v>
      </c>
      <c r="O23" s="2">
        <f t="shared" si="5"/>
        <v>-6.9885946873560978E-2</v>
      </c>
      <c r="P23" s="2">
        <f t="shared" si="6"/>
        <v>-6.7521798572291458E-2</v>
      </c>
      <c r="Q23" s="2">
        <f t="shared" si="7"/>
        <v>-6.7267887667774362E-2</v>
      </c>
    </row>
    <row r="24" spans="1:17" x14ac:dyDescent="0.2">
      <c r="A24">
        <v>2036</v>
      </c>
      <c r="B24" s="3" cm="1">
        <f t="array" ref="B24">INDEX(MFModRaw!$B$2:$Z$37,_xlfn.XMATCH($A24,MFModRaw!$A$2:$A$37),_xlfn.XMATCH(B$2,MFModRaw!$B$1:$Z$1))</f>
        <v>174919726.61688799</v>
      </c>
      <c r="C24" s="3" cm="1">
        <f t="array" ref="C24">INDEX(MFModRaw!$B$2:$Z$37,_xlfn.XMATCH($A24,MFModRaw!$A$2:$A$37),_xlfn.XMATCH(C$2,MFModRaw!$B$1:$Z$1))</f>
        <v>164273442.55268699</v>
      </c>
      <c r="D24" s="3" cm="1">
        <f t="array" ref="D24">INDEX(MFModRaw!$B$2:$Z$37,_xlfn.XMATCH($A24,MFModRaw!$A$2:$A$37),_xlfn.XMATCH(D$2,MFModRaw!$B$1:$Z$1))</f>
        <v>164634439.622832</v>
      </c>
      <c r="E24" s="3" cm="1">
        <f t="array" ref="E24">INDEX(MFModRaw!$B$2:$Z$37,_xlfn.XMATCH($A24,MFModRaw!$A$2:$A$37),_xlfn.XMATCH(E$2,MFModRaw!$B$1:$Z$1))</f>
        <v>164671853.525704</v>
      </c>
      <c r="F24" s="3" cm="1">
        <f t="array" ref="F24">INDEX(MFModRaw!$B$2:$Z$37,_xlfn.XMATCH($A24,MFModRaw!$A$2:$A$37),_xlfn.XMATCH(F$2,MFModRaw!$B$1:$Z$1))</f>
        <v>161549052.89788401</v>
      </c>
      <c r="G24" s="3" cm="1">
        <f t="array" ref="G24">INDEX(MFModRaw!$B$2:$Z$37,_xlfn.XMATCH($A24,MFModRaw!$A$2:$A$37),_xlfn.XMATCH(G$2,MFModRaw!$B$1:$Z$1))</f>
        <v>162003066.608156</v>
      </c>
      <c r="H24" s="3" cm="1">
        <f t="array" ref="H24">INDEX(MFModRaw!$B$2:$Z$37,_xlfn.XMATCH($A24,MFModRaw!$A$2:$A$37),_xlfn.XMATCH(H$2,MFModRaw!$B$1:$Z$1))</f>
        <v>162055098.15404201</v>
      </c>
      <c r="K24">
        <v>2036</v>
      </c>
      <c r="L24" s="2">
        <f t="shared" si="2"/>
        <v>-6.0863827483098376E-2</v>
      </c>
      <c r="M24" s="2">
        <f t="shared" si="3"/>
        <v>-5.8800040412725907E-2</v>
      </c>
      <c r="N24" s="2">
        <f t="shared" si="4"/>
        <v>-5.8586148568760654E-2</v>
      </c>
      <c r="O24" s="2">
        <f t="shared" si="5"/>
        <v>-7.6438912737890607E-2</v>
      </c>
      <c r="P24" s="2">
        <f t="shared" si="6"/>
        <v>-7.3843358085176281E-2</v>
      </c>
      <c r="Q24" s="2">
        <f t="shared" si="7"/>
        <v>-7.3545898519623787E-2</v>
      </c>
    </row>
    <row r="25" spans="1:17" x14ac:dyDescent="0.2">
      <c r="A25">
        <v>2037</v>
      </c>
      <c r="B25" s="3" cm="1">
        <f t="array" ref="B25">INDEX(MFModRaw!$B$2:$Z$37,_xlfn.XMATCH($A25,MFModRaw!$A$2:$A$37),_xlfn.XMATCH(B$2,MFModRaw!$B$1:$Z$1))</f>
        <v>177318984.33424601</v>
      </c>
      <c r="C25" s="3" cm="1">
        <f t="array" ref="C25">INDEX(MFModRaw!$B$2:$Z$37,_xlfn.XMATCH($A25,MFModRaw!$A$2:$A$37),_xlfn.XMATCH(C$2,MFModRaw!$B$1:$Z$1))</f>
        <v>165808356.68788499</v>
      </c>
      <c r="D25" s="3" cm="1">
        <f t="array" ref="D25">INDEX(MFModRaw!$B$2:$Z$37,_xlfn.XMATCH($A25,MFModRaw!$A$2:$A$37),_xlfn.XMATCH(D$2,MFModRaw!$B$1:$Z$1))</f>
        <v>166200300.72480699</v>
      </c>
      <c r="E25" s="3" cm="1">
        <f t="array" ref="E25">INDEX(MFModRaw!$B$2:$Z$37,_xlfn.XMATCH($A25,MFModRaw!$A$2:$A$37),_xlfn.XMATCH(E$2,MFModRaw!$B$1:$Z$1))</f>
        <v>166243141.000949</v>
      </c>
      <c r="F25" s="3" cm="1">
        <f t="array" ref="F25">INDEX(MFModRaw!$B$2:$Z$37,_xlfn.XMATCH($A25,MFModRaw!$A$2:$A$37),_xlfn.XMATCH(F$2,MFModRaw!$B$1:$Z$1))</f>
        <v>162584980.14671901</v>
      </c>
      <c r="G25" s="3" cm="1">
        <f t="array" ref="G25">INDEX(MFModRaw!$B$2:$Z$37,_xlfn.XMATCH($A25,MFModRaw!$A$2:$A$37),_xlfn.XMATCH(G$2,MFModRaw!$B$1:$Z$1))</f>
        <v>163087201.88222799</v>
      </c>
      <c r="H25" s="3" cm="1">
        <f t="array" ref="H25">INDEX(MFModRaw!$B$2:$Z$37,_xlfn.XMATCH($A25,MFModRaw!$A$2:$A$37),_xlfn.XMATCH(H$2,MFModRaw!$B$1:$Z$1))</f>
        <v>163148607.04204401</v>
      </c>
      <c r="K25">
        <v>2037</v>
      </c>
      <c r="L25" s="2">
        <f t="shared" si="2"/>
        <v>-6.4914807004891828E-2</v>
      </c>
      <c r="M25" s="2">
        <f t="shared" si="3"/>
        <v>-6.2704417415792912E-2</v>
      </c>
      <c r="N25" s="2">
        <f t="shared" si="4"/>
        <v>-6.2462817362065826E-2</v>
      </c>
      <c r="O25" s="2">
        <f t="shared" si="5"/>
        <v>-8.3093213300576063E-2</v>
      </c>
      <c r="P25" s="2">
        <f t="shared" si="6"/>
        <v>-8.0260906667450449E-2</v>
      </c>
      <c r="Q25" s="2">
        <f t="shared" si="7"/>
        <v>-7.9914608948418397E-2</v>
      </c>
    </row>
    <row r="26" spans="1:17" x14ac:dyDescent="0.2">
      <c r="A26">
        <v>2038</v>
      </c>
      <c r="B26" s="3" cm="1">
        <f t="array" ref="B26">INDEX(MFModRaw!$B$2:$Z$37,_xlfn.XMATCH($A26,MFModRaw!$A$2:$A$37),_xlfn.XMATCH(B$2,MFModRaw!$B$1:$Z$1))</f>
        <v>180068444.86968201</v>
      </c>
      <c r="C26" s="3" cm="1">
        <f t="array" ref="C26">INDEX(MFModRaw!$B$2:$Z$37,_xlfn.XMATCH($A26,MFModRaw!$A$2:$A$37),_xlfn.XMATCH(C$2,MFModRaw!$B$1:$Z$1))</f>
        <v>167676093.112721</v>
      </c>
      <c r="D26" s="3" cm="1">
        <f t="array" ref="D26">INDEX(MFModRaw!$B$2:$Z$37,_xlfn.XMATCH($A26,MFModRaw!$A$2:$A$37),_xlfn.XMATCH(D$2,MFModRaw!$B$1:$Z$1))</f>
        <v>168099889.24531701</v>
      </c>
      <c r="E26" s="3" cm="1">
        <f t="array" ref="E26">INDEX(MFModRaw!$B$2:$Z$37,_xlfn.XMATCH($A26,MFModRaw!$A$2:$A$37),_xlfn.XMATCH(E$2,MFModRaw!$B$1:$Z$1))</f>
        <v>168148846.14226499</v>
      </c>
      <c r="F26" s="3" cm="1">
        <f t="array" ref="F26">INDEX(MFModRaw!$B$2:$Z$37,_xlfn.XMATCH($A26,MFModRaw!$A$2:$A$37),_xlfn.XMATCH(F$2,MFModRaw!$B$1:$Z$1))</f>
        <v>163883211.04404801</v>
      </c>
      <c r="G26" s="3" cm="1">
        <f t="array" ref="G26">INDEX(MFModRaw!$B$2:$Z$37,_xlfn.XMATCH($A26,MFModRaw!$A$2:$A$37),_xlfn.XMATCH(G$2,MFModRaw!$B$1:$Z$1))</f>
        <v>164437053.532794</v>
      </c>
      <c r="H26" s="3" cm="1">
        <f t="array" ref="H26">INDEX(MFModRaw!$B$2:$Z$37,_xlfn.XMATCH($A26,MFModRaw!$A$2:$A$37),_xlfn.XMATCH(H$2,MFModRaw!$B$1:$Z$1))</f>
        <v>164509403.29265699</v>
      </c>
      <c r="K26">
        <v>2038</v>
      </c>
      <c r="L26" s="2">
        <f t="shared" si="2"/>
        <v>-6.8820229807224353E-2</v>
      </c>
      <c r="M26" s="2">
        <f t="shared" si="3"/>
        <v>-6.6466701775687587E-2</v>
      </c>
      <c r="N26" s="2">
        <f t="shared" si="4"/>
        <v>-6.6194822396802522E-2</v>
      </c>
      <c r="O26" s="2">
        <f t="shared" si="5"/>
        <v>-8.9883787452862629E-2</v>
      </c>
      <c r="P26" s="2">
        <f t="shared" si="6"/>
        <v>-8.6808054282918157E-2</v>
      </c>
      <c r="Q26" s="2">
        <f t="shared" si="7"/>
        <v>-8.6406263953050289E-2</v>
      </c>
    </row>
    <row r="27" spans="1:17" x14ac:dyDescent="0.2">
      <c r="A27">
        <v>2039</v>
      </c>
      <c r="B27" s="3" cm="1">
        <f t="array" ref="B27">INDEX(MFModRaw!$B$2:$Z$37,_xlfn.XMATCH($A27,MFModRaw!$A$2:$A$37),_xlfn.XMATCH(B$2,MFModRaw!$B$1:$Z$1))</f>
        <v>183125137.17307499</v>
      </c>
      <c r="C27" s="3" cm="1">
        <f t="array" ref="C27">INDEX(MFModRaw!$B$2:$Z$37,_xlfn.XMATCH($A27,MFModRaw!$A$2:$A$37),_xlfn.XMATCH(C$2,MFModRaw!$B$1:$Z$1))</f>
        <v>169830013.44395199</v>
      </c>
      <c r="D27" s="3" cm="1">
        <f t="array" ref="D27">INDEX(MFModRaw!$B$2:$Z$37,_xlfn.XMATCH($A27,MFModRaw!$A$2:$A$37),_xlfn.XMATCH(D$2,MFModRaw!$B$1:$Z$1))</f>
        <v>170286725.279964</v>
      </c>
      <c r="E27" s="3" cm="1">
        <f t="array" ref="E27">INDEX(MFModRaw!$B$2:$Z$37,_xlfn.XMATCH($A27,MFModRaw!$A$2:$A$37),_xlfn.XMATCH(E$2,MFModRaw!$B$1:$Z$1))</f>
        <v>170342639.21642101</v>
      </c>
      <c r="F27" s="3" cm="1">
        <f t="array" ref="F27">INDEX(MFModRaw!$B$2:$Z$37,_xlfn.XMATCH($A27,MFModRaw!$A$2:$A$37),_xlfn.XMATCH(F$2,MFModRaw!$B$1:$Z$1))</f>
        <v>165388906.94756499</v>
      </c>
      <c r="G27" s="3" cm="1">
        <f t="array" ref="G27">INDEX(MFModRaw!$B$2:$Z$37,_xlfn.XMATCH($A27,MFModRaw!$A$2:$A$37),_xlfn.XMATCH(G$2,MFModRaw!$B$1:$Z$1))</f>
        <v>165998240.96241501</v>
      </c>
      <c r="H27" s="3" cm="1">
        <f t="array" ref="H27">INDEX(MFModRaw!$B$2:$Z$37,_xlfn.XMATCH($A27,MFModRaw!$A$2:$A$37),_xlfn.XMATCH(H$2,MFModRaw!$B$1:$Z$1))</f>
        <v>166083402.29369101</v>
      </c>
      <c r="K27">
        <v>2039</v>
      </c>
      <c r="L27" s="2">
        <f t="shared" si="2"/>
        <v>-7.2601303864458178E-2</v>
      </c>
      <c r="M27" s="2">
        <f t="shared" si="3"/>
        <v>-7.0107316184435997E-2</v>
      </c>
      <c r="N27" s="2">
        <f t="shared" si="4"/>
        <v>-6.980198433693463E-2</v>
      </c>
      <c r="O27" s="2">
        <f t="shared" si="5"/>
        <v>-9.6853061787728012E-2</v>
      </c>
      <c r="P27" s="2">
        <f t="shared" si="6"/>
        <v>-9.3525643038689044E-2</v>
      </c>
      <c r="Q27" s="2">
        <f t="shared" si="7"/>
        <v>-9.3060598574610354E-2</v>
      </c>
    </row>
    <row r="28" spans="1:17" x14ac:dyDescent="0.2">
      <c r="A28">
        <v>2040</v>
      </c>
      <c r="B28" s="3" cm="1">
        <f t="array" ref="B28">INDEX(MFModRaw!$B$2:$Z$37,_xlfn.XMATCH($A28,MFModRaw!$A$2:$A$37),_xlfn.XMATCH(B$2,MFModRaw!$B$1:$Z$1))</f>
        <v>186438077.322853</v>
      </c>
      <c r="C28" s="3" cm="1">
        <f t="array" ref="C28">INDEX(MFModRaw!$B$2:$Z$37,_xlfn.XMATCH($A28,MFModRaw!$A$2:$A$37),_xlfn.XMATCH(C$2,MFModRaw!$B$1:$Z$1))</f>
        <v>172217141.27991</v>
      </c>
      <c r="D28" s="3" cm="1">
        <f t="array" ref="D28">INDEX(MFModRaw!$B$2:$Z$37,_xlfn.XMATCH($A28,MFModRaw!$A$2:$A$37),_xlfn.XMATCH(D$2,MFModRaw!$B$1:$Z$1))</f>
        <v>172707938.37168899</v>
      </c>
      <c r="E28" s="3" cm="1">
        <f t="array" ref="E28">INDEX(MFModRaw!$B$2:$Z$37,_xlfn.XMATCH($A28,MFModRaw!$A$2:$A$37),_xlfn.XMATCH(E$2,MFModRaw!$B$1:$Z$1))</f>
        <v>172771765.084059</v>
      </c>
      <c r="F28" s="3" cm="1">
        <f t="array" ref="F28">INDEX(MFModRaw!$B$2:$Z$37,_xlfn.XMATCH($A28,MFModRaw!$A$2:$A$37),_xlfn.XMATCH(F$2,MFModRaw!$B$1:$Z$1))</f>
        <v>167041582.11908001</v>
      </c>
      <c r="G28" s="3" cm="1">
        <f t="array" ref="G28">INDEX(MFModRaw!$B$2:$Z$37,_xlfn.XMATCH($A28,MFModRaw!$A$2:$A$37),_xlfn.XMATCH(G$2,MFModRaw!$B$1:$Z$1))</f>
        <v>167710653.39989799</v>
      </c>
      <c r="H28" s="3" cm="1">
        <f t="array" ref="H28">INDEX(MFModRaw!$B$2:$Z$37,_xlfn.XMATCH($A28,MFModRaw!$A$2:$A$37),_xlfn.XMATCH(H$2,MFModRaw!$B$1:$Z$1))</f>
        <v>167810755.65205801</v>
      </c>
      <c r="K28">
        <v>2040</v>
      </c>
      <c r="L28" s="2">
        <f t="shared" si="2"/>
        <v>-7.6276993665391313E-2</v>
      </c>
      <c r="M28" s="2">
        <f t="shared" si="3"/>
        <v>-7.3644499816352793E-2</v>
      </c>
      <c r="N28" s="2">
        <f t="shared" si="4"/>
        <v>-7.330215176553323E-2</v>
      </c>
      <c r="O28" s="2">
        <f t="shared" si="5"/>
        <v>-0.10403719820701796</v>
      </c>
      <c r="P28" s="2">
        <f t="shared" si="6"/>
        <v>-0.10044849309685222</v>
      </c>
      <c r="Q28" s="2">
        <f t="shared" si="7"/>
        <v>-9.9911573527645015E-2</v>
      </c>
    </row>
    <row r="29" spans="1:17" x14ac:dyDescent="0.2">
      <c r="A29">
        <v>2041</v>
      </c>
      <c r="B29" s="3" cm="1">
        <f t="array" ref="B29">INDEX(MFModRaw!$B$2:$Z$37,_xlfn.XMATCH($A29,MFModRaw!$A$2:$A$37),_xlfn.XMATCH(B$2,MFModRaw!$B$1:$Z$1))</f>
        <v>189952295.52131799</v>
      </c>
      <c r="C29" s="3" cm="1">
        <f t="array" ref="C29">INDEX(MFModRaw!$B$2:$Z$37,_xlfn.XMATCH($A29,MFModRaw!$A$2:$A$37),_xlfn.XMATCH(C$2,MFModRaw!$B$1:$Z$1))</f>
        <v>174782584.321156</v>
      </c>
      <c r="D29" s="3" cm="1">
        <f t="array" ref="D29">INDEX(MFModRaw!$B$2:$Z$37,_xlfn.XMATCH($A29,MFModRaw!$A$2:$A$37),_xlfn.XMATCH(D$2,MFModRaw!$B$1:$Z$1))</f>
        <v>175308673.471028</v>
      </c>
      <c r="E29" s="3" cm="1">
        <f t="array" ref="E29">INDEX(MFModRaw!$B$2:$Z$37,_xlfn.XMATCH($A29,MFModRaw!$A$2:$A$37),_xlfn.XMATCH(E$2,MFModRaw!$B$1:$Z$1))</f>
        <v>175381447.692727</v>
      </c>
      <c r="F29" s="3" cm="1">
        <f t="array" ref="F29">INDEX(MFModRaw!$B$2:$Z$37,_xlfn.XMATCH($A29,MFModRaw!$A$2:$A$37),_xlfn.XMATCH(F$2,MFModRaw!$B$1:$Z$1))</f>
        <v>168775813.98672</v>
      </c>
      <c r="G29" s="3" cm="1">
        <f t="array" ref="G29">INDEX(MFModRaw!$B$2:$Z$37,_xlfn.XMATCH($A29,MFModRaw!$A$2:$A$37),_xlfn.XMATCH(G$2,MFModRaw!$B$1:$Z$1))</f>
        <v>169509279.25939101</v>
      </c>
      <c r="H29" s="3" cm="1">
        <f t="array" ref="H29">INDEX(MFModRaw!$B$2:$Z$37,_xlfn.XMATCH($A29,MFModRaw!$A$2:$A$37),_xlfn.XMATCH(H$2,MFModRaw!$B$1:$Z$1))</f>
        <v>169626723.29189101</v>
      </c>
      <c r="K29">
        <v>2041</v>
      </c>
      <c r="L29" s="2">
        <f t="shared" si="2"/>
        <v>-7.9860636369406324E-2</v>
      </c>
      <c r="M29" s="2">
        <f t="shared" si="3"/>
        <v>-7.7091050729874211E-2</v>
      </c>
      <c r="N29" s="2">
        <f t="shared" si="4"/>
        <v>-7.6707932318489602E-2</v>
      </c>
      <c r="O29" s="2">
        <f t="shared" si="5"/>
        <v>-0.11148315673932663</v>
      </c>
      <c r="P29" s="2">
        <f t="shared" si="6"/>
        <v>-0.10762184371513794</v>
      </c>
      <c r="Q29" s="2">
        <f t="shared" si="7"/>
        <v>-0.10700356199246819</v>
      </c>
    </row>
    <row r="30" spans="1:17" x14ac:dyDescent="0.2">
      <c r="A30">
        <v>2042</v>
      </c>
      <c r="B30" s="3" cm="1">
        <f t="array" ref="B30">INDEX(MFModRaw!$B$2:$Z$37,_xlfn.XMATCH($A30,MFModRaw!$A$2:$A$37),_xlfn.XMATCH(B$2,MFModRaw!$B$1:$Z$1))</f>
        <v>193611669.19498399</v>
      </c>
      <c r="C30" s="3" cm="1">
        <f t="array" ref="C30">INDEX(MFModRaw!$B$2:$Z$37,_xlfn.XMATCH($A30,MFModRaw!$A$2:$A$37),_xlfn.XMATCH(C$2,MFModRaw!$B$1:$Z$1))</f>
        <v>177471605.79471001</v>
      </c>
      <c r="D30" s="3" cm="1">
        <f t="array" ref="D30">INDEX(MFModRaw!$B$2:$Z$37,_xlfn.XMATCH($A30,MFModRaw!$A$2:$A$37),_xlfn.XMATCH(D$2,MFModRaw!$B$1:$Z$1))</f>
        <v>178034186.06073901</v>
      </c>
      <c r="E30" s="3" cm="1">
        <f t="array" ref="E30">INDEX(MFModRaw!$B$2:$Z$37,_xlfn.XMATCH($A30,MFModRaw!$A$2:$A$37),_xlfn.XMATCH(E$2,MFModRaw!$B$1:$Z$1))</f>
        <v>178116998.01137701</v>
      </c>
      <c r="F30" s="3" cm="1">
        <f t="array" ref="F30">INDEX(MFModRaw!$B$2:$Z$37,_xlfn.XMATCH($A30,MFModRaw!$A$2:$A$37),_xlfn.XMATCH(F$2,MFModRaw!$B$1:$Z$1))</f>
        <v>170523921.28309801</v>
      </c>
      <c r="G30" s="3" cm="1">
        <f t="array" ref="G30">INDEX(MFModRaw!$B$2:$Z$37,_xlfn.XMATCH($A30,MFModRaw!$A$2:$A$37),_xlfn.XMATCH(G$2,MFModRaw!$B$1:$Z$1))</f>
        <v>171326902.59970301</v>
      </c>
      <c r="H30" s="3" cm="1">
        <f t="array" ref="H30">INDEX(MFModRaw!$B$2:$Z$37,_xlfn.XMATCH($A30,MFModRaw!$A$2:$A$37),_xlfn.XMATCH(H$2,MFModRaw!$B$1:$Z$1))</f>
        <v>171464379.97009799</v>
      </c>
      <c r="K30">
        <v>2042</v>
      </c>
      <c r="L30" s="2">
        <f t="shared" si="2"/>
        <v>-8.3363071386051146E-2</v>
      </c>
      <c r="M30" s="2">
        <f t="shared" si="3"/>
        <v>-8.0457356723457996E-2</v>
      </c>
      <c r="N30" s="2">
        <f t="shared" si="4"/>
        <v>-8.0029634825380724E-2</v>
      </c>
      <c r="O30" s="2">
        <f t="shared" si="5"/>
        <v>-0.11924770861117151</v>
      </c>
      <c r="P30" s="2">
        <f t="shared" si="6"/>
        <v>-0.11510032782599611</v>
      </c>
      <c r="Q30" s="2">
        <f t="shared" si="7"/>
        <v>-0.11439026024088317</v>
      </c>
    </row>
    <row r="31" spans="1:17" x14ac:dyDescent="0.2">
      <c r="A31">
        <v>2043</v>
      </c>
      <c r="B31" s="3" cm="1">
        <f t="array" ref="B31">INDEX(MFModRaw!$B$2:$Z$37,_xlfn.XMATCH($A31,MFModRaw!$A$2:$A$37),_xlfn.XMATCH(B$2,MFModRaw!$B$1:$Z$1))</f>
        <v>197360875.84739399</v>
      </c>
      <c r="C31" s="3" cm="1">
        <f t="array" ref="C31">INDEX(MFModRaw!$B$2:$Z$37,_xlfn.XMATCH($A31,MFModRaw!$A$2:$A$37),_xlfn.XMATCH(C$2,MFModRaw!$B$1:$Z$1))</f>
        <v>180232159.47688499</v>
      </c>
      <c r="D31" s="3" cm="1">
        <f t="array" ref="D31">INDEX(MFModRaw!$B$2:$Z$37,_xlfn.XMATCH($A31,MFModRaw!$A$2:$A$37),_xlfn.XMATCH(D$2,MFModRaw!$B$1:$Z$1))</f>
        <v>180832365.22130001</v>
      </c>
      <c r="E31" s="3" cm="1">
        <f t="array" ref="E31">INDEX(MFModRaw!$B$2:$Z$37,_xlfn.XMATCH($A31,MFModRaw!$A$2:$A$37),_xlfn.XMATCH(E$2,MFModRaw!$B$1:$Z$1))</f>
        <v>180926332.72257799</v>
      </c>
      <c r="F31" s="3" cm="1">
        <f t="array" ref="F31">INDEX(MFModRaw!$B$2:$Z$37,_xlfn.XMATCH($A31,MFModRaw!$A$2:$A$37),_xlfn.XMATCH(F$2,MFModRaw!$B$1:$Z$1))</f>
        <v>172228787.080791</v>
      </c>
      <c r="G31" s="3" cm="1">
        <f t="array" ref="G31">INDEX(MFModRaw!$B$2:$Z$37,_xlfn.XMATCH($A31,MFModRaw!$A$2:$A$37),_xlfn.XMATCH(G$2,MFModRaw!$B$1:$Z$1))</f>
        <v>173106516.83162701</v>
      </c>
      <c r="H31" s="3" cm="1">
        <f t="array" ref="H31">INDEX(MFModRaw!$B$2:$Z$37,_xlfn.XMATCH($A31,MFModRaw!$A$2:$A$37),_xlfn.XMATCH(H$2,MFModRaw!$B$1:$Z$1))</f>
        <v>173266900.14348301</v>
      </c>
      <c r="K31">
        <v>2043</v>
      </c>
      <c r="L31" s="2">
        <f t="shared" si="2"/>
        <v>-8.6788814130281278E-2</v>
      </c>
      <c r="M31" s="2">
        <f t="shared" si="3"/>
        <v>-8.3747655431334778E-2</v>
      </c>
      <c r="N31" s="2">
        <f t="shared" si="4"/>
        <v>-8.3271535223241155E-2</v>
      </c>
      <c r="O31" s="2">
        <f t="shared" si="5"/>
        <v>-0.12734078453338427</v>
      </c>
      <c r="P31" s="2">
        <f t="shared" si="6"/>
        <v>-0.12289345044516953</v>
      </c>
      <c r="Q31" s="2">
        <f t="shared" si="7"/>
        <v>-0.12208081059865805</v>
      </c>
    </row>
    <row r="32" spans="1:17" x14ac:dyDescent="0.2">
      <c r="A32">
        <v>2044</v>
      </c>
      <c r="B32" s="3" cm="1">
        <f t="array" ref="B32">INDEX(MFModRaw!$B$2:$Z$37,_xlfn.XMATCH($A32,MFModRaw!$A$2:$A$37),_xlfn.XMATCH(B$2,MFModRaw!$B$1:$Z$1))</f>
        <v>201146745.651225</v>
      </c>
      <c r="C32" s="3" cm="1">
        <f t="array" ref="C32">INDEX(MFModRaw!$B$2:$Z$37,_xlfn.XMATCH($A32,MFModRaw!$A$2:$A$37),_xlfn.XMATCH(C$2,MFModRaw!$B$1:$Z$1))</f>
        <v>183015858.51943499</v>
      </c>
      <c r="D32" s="3" cm="1">
        <f t="array" ref="D32">INDEX(MFModRaw!$B$2:$Z$37,_xlfn.XMATCH($A32,MFModRaw!$A$2:$A$37),_xlfn.XMATCH(D$2,MFModRaw!$B$1:$Z$1))</f>
        <v>183654697.15528601</v>
      </c>
      <c r="E32" s="3" cm="1">
        <f t="array" ref="E32">INDEX(MFModRaw!$B$2:$Z$37,_xlfn.XMATCH($A32,MFModRaw!$A$2:$A$37),_xlfn.XMATCH(E$2,MFModRaw!$B$1:$Z$1))</f>
        <v>183760943.637086</v>
      </c>
      <c r="F32" s="3" cm="1">
        <f t="array" ref="F32">INDEX(MFModRaw!$B$2:$Z$37,_xlfn.XMATCH($A32,MFModRaw!$A$2:$A$37),_xlfn.XMATCH(F$2,MFModRaw!$B$1:$Z$1))</f>
        <v>173840220.72006699</v>
      </c>
      <c r="G32" s="3" cm="1">
        <f t="array" ref="G32">INDEX(MFModRaw!$B$2:$Z$37,_xlfn.XMATCH($A32,MFModRaw!$A$2:$A$37),_xlfn.XMATCH(G$2,MFModRaw!$B$1:$Z$1))</f>
        <v>174797868.86781499</v>
      </c>
      <c r="H32" s="3" cm="1">
        <f t="array" ref="H32">INDEX(MFModRaw!$B$2:$Z$37,_xlfn.XMATCH($A32,MFModRaw!$A$2:$A$37),_xlfn.XMATCH(H$2,MFModRaw!$B$1:$Z$1))</f>
        <v>174984146.762236</v>
      </c>
      <c r="K32">
        <v>2044</v>
      </c>
      <c r="L32" s="2">
        <f t="shared" si="2"/>
        <v>-9.0137611091296255E-2</v>
      </c>
      <c r="M32" s="2">
        <f t="shared" si="3"/>
        <v>-8.6961628135257207E-2</v>
      </c>
      <c r="N32" s="2">
        <f t="shared" si="4"/>
        <v>-8.6433424303492434E-2</v>
      </c>
      <c r="O32" s="2">
        <f t="shared" si="5"/>
        <v>-0.13575424669562242</v>
      </c>
      <c r="P32" s="2">
        <f t="shared" si="6"/>
        <v>-0.1309933039090635</v>
      </c>
      <c r="Q32" s="2">
        <f t="shared" si="7"/>
        <v>-0.13006722432563333</v>
      </c>
    </row>
    <row r="33" spans="1:17" x14ac:dyDescent="0.2">
      <c r="A33">
        <v>2045</v>
      </c>
      <c r="B33" s="3" cm="1">
        <f t="array" ref="B33">INDEX(MFModRaw!$B$2:$Z$37,_xlfn.XMATCH($A33,MFModRaw!$A$2:$A$37),_xlfn.XMATCH(B$2,MFModRaw!$B$1:$Z$1))</f>
        <v>204919239.09830499</v>
      </c>
      <c r="C33" s="3" cm="1">
        <f t="array" ref="C33">INDEX(MFModRaw!$B$2:$Z$37,_xlfn.XMATCH($A33,MFModRaw!$A$2:$A$37),_xlfn.XMATCH(C$2,MFModRaw!$B$1:$Z$1))</f>
        <v>185779097.11235201</v>
      </c>
      <c r="D33" s="3" cm="1">
        <f t="array" ref="D33">INDEX(MFModRaw!$B$2:$Z$37,_xlfn.XMATCH($A33,MFModRaw!$A$2:$A$37),_xlfn.XMATCH(D$2,MFModRaw!$B$1:$Z$1))</f>
        <v>186457389.33373699</v>
      </c>
      <c r="E33" s="3" cm="1">
        <f t="array" ref="E33">INDEX(MFModRaw!$B$2:$Z$37,_xlfn.XMATCH($A33,MFModRaw!$A$2:$A$37),_xlfn.XMATCH(E$2,MFModRaw!$B$1:$Z$1))</f>
        <v>186577018.55685201</v>
      </c>
      <c r="F33" s="3" cm="1">
        <f t="array" ref="F33">INDEX(MFModRaw!$B$2:$Z$37,_xlfn.XMATCH($A33,MFModRaw!$A$2:$A$37),_xlfn.XMATCH(F$2,MFModRaw!$B$1:$Z$1))</f>
        <v>175315314.22868401</v>
      </c>
      <c r="G33" s="3" cm="1">
        <f t="array" ref="G33">INDEX(MFModRaw!$B$2:$Z$37,_xlfn.XMATCH($A33,MFModRaw!$A$2:$A$37),_xlfn.XMATCH(G$2,MFModRaw!$B$1:$Z$1))</f>
        <v>176357809.62979901</v>
      </c>
      <c r="H33" s="3" cm="1">
        <f t="array" ref="H33">INDEX(MFModRaw!$B$2:$Z$37,_xlfn.XMATCH($A33,MFModRaw!$A$2:$A$37),_xlfn.XMATCH(H$2,MFModRaw!$B$1:$Z$1))</f>
        <v>176573033.93252599</v>
      </c>
      <c r="K33">
        <v>2045</v>
      </c>
      <c r="L33" s="2">
        <f t="shared" si="2"/>
        <v>-9.3403343044676013E-2</v>
      </c>
      <c r="M33" s="2">
        <f t="shared" si="3"/>
        <v>-9.00932964898985E-2</v>
      </c>
      <c r="N33" s="2">
        <f t="shared" si="4"/>
        <v>-8.9509509317735381E-2</v>
      </c>
      <c r="O33" s="2">
        <f t="shared" si="5"/>
        <v>-0.14446630291955764</v>
      </c>
      <c r="P33" s="2">
        <f t="shared" si="6"/>
        <v>-0.13937895531031297</v>
      </c>
      <c r="Q33" s="2">
        <f t="shared" si="7"/>
        <v>-0.13832866689584278</v>
      </c>
    </row>
    <row r="34" spans="1:17" x14ac:dyDescent="0.2">
      <c r="A34">
        <v>2046</v>
      </c>
      <c r="B34" s="3" cm="1">
        <f t="array" ref="B34">INDEX(MFModRaw!$B$2:$Z$37,_xlfn.XMATCH($A34,MFModRaw!$A$2:$A$37),_xlfn.XMATCH(B$2,MFModRaw!$B$1:$Z$1))</f>
        <v>208632203.80201301</v>
      </c>
      <c r="C34" s="3" cm="1">
        <f t="array" ref="C34">INDEX(MFModRaw!$B$2:$Z$37,_xlfn.XMATCH($A34,MFModRaw!$A$2:$A$37),_xlfn.XMATCH(C$2,MFModRaw!$B$1:$Z$1))</f>
        <v>188483274.717785</v>
      </c>
      <c r="D34" s="3" cm="1">
        <f t="array" ref="D34">INDEX(MFModRaw!$B$2:$Z$37,_xlfn.XMATCH($A34,MFModRaw!$A$2:$A$37),_xlfn.XMATCH(D$2,MFModRaw!$B$1:$Z$1))</f>
        <v>189201607.537433</v>
      </c>
      <c r="E34" s="3" cm="1">
        <f t="array" ref="E34">INDEX(MFModRaw!$B$2:$Z$37,_xlfn.XMATCH($A34,MFModRaw!$A$2:$A$37),_xlfn.XMATCH(E$2,MFModRaw!$B$1:$Z$1))</f>
        <v>189335682.74608001</v>
      </c>
      <c r="F34" s="3" cm="1">
        <f t="array" ref="F34">INDEX(MFModRaw!$B$2:$Z$37,_xlfn.XMATCH($A34,MFModRaw!$A$2:$A$37),_xlfn.XMATCH(F$2,MFModRaw!$B$1:$Z$1))</f>
        <v>176621081.738902</v>
      </c>
      <c r="G34" s="3" cm="1">
        <f t="array" ref="G34">INDEX(MFModRaw!$B$2:$Z$37,_xlfn.XMATCH($A34,MFModRaw!$A$2:$A$37),_xlfn.XMATCH(G$2,MFModRaw!$B$1:$Z$1))</f>
        <v>177752884.61067399</v>
      </c>
      <c r="H34" s="3" cm="1">
        <f t="array" ref="H34">INDEX(MFModRaw!$B$2:$Z$37,_xlfn.XMATCH($A34,MFModRaw!$A$2:$A$37),_xlfn.XMATCH(H$2,MFModRaw!$B$1:$Z$1))</f>
        <v>178000082.656259</v>
      </c>
      <c r="K34">
        <v>2046</v>
      </c>
      <c r="L34" s="2">
        <f t="shared" si="2"/>
        <v>-9.6576313325764662E-2</v>
      </c>
      <c r="M34" s="2">
        <f t="shared" si="3"/>
        <v>-9.3133255127857417E-2</v>
      </c>
      <c r="N34" s="2">
        <f t="shared" si="4"/>
        <v>-9.2490616042406049E-2</v>
      </c>
      <c r="O34" s="2">
        <f t="shared" si="5"/>
        <v>-0.1534332738654709</v>
      </c>
      <c r="P34" s="2">
        <f t="shared" si="6"/>
        <v>-0.14800840248345726</v>
      </c>
      <c r="Q34" s="2">
        <f t="shared" si="7"/>
        <v>-0.14682355162591854</v>
      </c>
    </row>
    <row r="35" spans="1:17" x14ac:dyDescent="0.2">
      <c r="A35">
        <v>2047</v>
      </c>
      <c r="B35" s="3" cm="1">
        <f t="array" ref="B35">INDEX(MFModRaw!$B$2:$Z$37,_xlfn.XMATCH($A35,MFModRaw!$A$2:$A$37),_xlfn.XMATCH(B$2,MFModRaw!$B$1:$Z$1))</f>
        <v>212244002.797198</v>
      </c>
      <c r="C35" s="3" cm="1">
        <f t="array" ref="C35">INDEX(MFModRaw!$B$2:$Z$37,_xlfn.XMATCH($A35,MFModRaw!$A$2:$A$37),_xlfn.XMATCH(C$2,MFModRaw!$B$1:$Z$1))</f>
        <v>191093968.37768999</v>
      </c>
      <c r="D35" s="3" cm="1">
        <f t="array" ref="D35">INDEX(MFModRaw!$B$2:$Z$37,_xlfn.XMATCH($A35,MFModRaw!$A$2:$A$37),_xlfn.XMATCH(D$2,MFModRaw!$B$1:$Z$1))</f>
        <v>191852700.95507199</v>
      </c>
      <c r="E35" s="3" cm="1">
        <f t="array" ref="E35">INDEX(MFModRaw!$B$2:$Z$37,_xlfn.XMATCH($A35,MFModRaw!$A$2:$A$37),_xlfn.XMATCH(E$2,MFModRaw!$B$1:$Z$1))</f>
        <v>192002242.40462101</v>
      </c>
      <c r="F35" s="3" cm="1">
        <f t="array" ref="F35">INDEX(MFModRaw!$B$2:$Z$37,_xlfn.XMATCH($A35,MFModRaw!$A$2:$A$37),_xlfn.XMATCH(F$2,MFModRaw!$B$1:$Z$1))</f>
        <v>177736209.64090899</v>
      </c>
      <c r="G35" s="3" cm="1">
        <f t="array" ref="G35">INDEX(MFModRaw!$B$2:$Z$37,_xlfn.XMATCH($A35,MFModRaw!$A$2:$A$37),_xlfn.XMATCH(G$2,MFModRaw!$B$1:$Z$1))</f>
        <v>178961040.714378</v>
      </c>
      <c r="H35" s="3" cm="1">
        <f t="array" ref="H35">INDEX(MFModRaw!$B$2:$Z$37,_xlfn.XMATCH($A35,MFModRaw!$A$2:$A$37),_xlfn.XMATCH(H$2,MFModRaw!$B$1:$Z$1))</f>
        <v>179243100.23109001</v>
      </c>
      <c r="K35">
        <v>2047</v>
      </c>
      <c r="L35" s="2">
        <f t="shared" si="2"/>
        <v>-9.9649620911631431E-2</v>
      </c>
      <c r="M35" s="2">
        <f t="shared" si="3"/>
        <v>-9.6074808114178678E-2</v>
      </c>
      <c r="N35" s="2">
        <f t="shared" si="4"/>
        <v>-9.5370234851433033E-2</v>
      </c>
      <c r="O35" s="2">
        <f t="shared" si="5"/>
        <v>-0.16258548039758591</v>
      </c>
      <c r="P35" s="2">
        <f t="shared" si="6"/>
        <v>-0.15681461734691426</v>
      </c>
      <c r="Q35" s="2">
        <f t="shared" si="7"/>
        <v>-0.15548567748055897</v>
      </c>
    </row>
    <row r="36" spans="1:17" x14ac:dyDescent="0.2">
      <c r="A36">
        <v>2048</v>
      </c>
      <c r="B36" s="3" cm="1">
        <f t="array" ref="B36">INDEX(MFModRaw!$B$2:$Z$37,_xlfn.XMATCH($A36,MFModRaw!$A$2:$A$37),_xlfn.XMATCH(B$2,MFModRaw!$B$1:$Z$1))</f>
        <v>215718054.303161</v>
      </c>
      <c r="C36" s="3" cm="1">
        <f t="array" ref="C36">INDEX(MFModRaw!$B$2:$Z$37,_xlfn.XMATCH($A36,MFModRaw!$A$2:$A$37),_xlfn.XMATCH(C$2,MFModRaw!$B$1:$Z$1))</f>
        <v>193582507.80092201</v>
      </c>
      <c r="D36" s="3" cm="1">
        <f t="array" ref="D36">INDEX(MFModRaw!$B$2:$Z$37,_xlfn.XMATCH($A36,MFModRaw!$A$2:$A$37),_xlfn.XMATCH(D$2,MFModRaw!$B$1:$Z$1))</f>
        <v>194381737.976457</v>
      </c>
      <c r="E36" s="3" cm="1">
        <f t="array" ref="E36">INDEX(MFModRaw!$B$2:$Z$37,_xlfn.XMATCH($A36,MFModRaw!$A$2:$A$37),_xlfn.XMATCH(E$2,MFModRaw!$B$1:$Z$1))</f>
        <v>194547701.325993</v>
      </c>
      <c r="F36" s="3" cm="1">
        <f t="array" ref="F36">INDEX(MFModRaw!$B$2:$Z$37,_xlfn.XMATCH($A36,MFModRaw!$A$2:$A$37),_xlfn.XMATCH(F$2,MFModRaw!$B$1:$Z$1))</f>
        <v>178645986.72984901</v>
      </c>
      <c r="G36" s="3" cm="1">
        <f t="array" ref="G36">INDEX(MFModRaw!$B$2:$Z$37,_xlfn.XMATCH($A36,MFModRaw!$A$2:$A$37),_xlfn.XMATCH(G$2,MFModRaw!$B$1:$Z$1))</f>
        <v>179966742.979523</v>
      </c>
      <c r="H36" s="3" cm="1">
        <f t="array" ref="H36">INDEX(MFModRaw!$B$2:$Z$37,_xlfn.XMATCH($A36,MFModRaw!$A$2:$A$37),_xlfn.XMATCH(H$2,MFModRaw!$B$1:$Z$1))</f>
        <v>180286368.658259</v>
      </c>
      <c r="K36">
        <v>2048</v>
      </c>
      <c r="L36" s="2">
        <f t="shared" si="2"/>
        <v>-0.10261332355209651</v>
      </c>
      <c r="M36" s="2">
        <f t="shared" si="3"/>
        <v>-9.8908347730222168E-2</v>
      </c>
      <c r="N36" s="2">
        <f t="shared" si="4"/>
        <v>-9.8138994650007749E-2</v>
      </c>
      <c r="O36" s="2">
        <f t="shared" si="5"/>
        <v>-0.17185426455410391</v>
      </c>
      <c r="P36" s="2">
        <f t="shared" si="6"/>
        <v>-0.16573166042650567</v>
      </c>
      <c r="Q36" s="2">
        <f t="shared" si="7"/>
        <v>-0.16424997786744266</v>
      </c>
    </row>
    <row r="37" spans="1:17" x14ac:dyDescent="0.2">
      <c r="A37">
        <v>2049</v>
      </c>
      <c r="B37" s="3" cm="1">
        <f t="array" ref="B37">INDEX(MFModRaw!$B$2:$Z$37,_xlfn.XMATCH($A37,MFModRaw!$A$2:$A$37),_xlfn.XMATCH(B$2,MFModRaw!$B$1:$Z$1))</f>
        <v>219023285.71374601</v>
      </c>
      <c r="C37" s="3" cm="1">
        <f t="array" ref="C37">INDEX(MFModRaw!$B$2:$Z$37,_xlfn.XMATCH($A37,MFModRaw!$A$2:$A$37),_xlfn.XMATCH(C$2,MFModRaw!$B$1:$Z$1))</f>
        <v>195925883.989319</v>
      </c>
      <c r="D37" s="3" cm="1">
        <f t="array" ref="D37">INDEX(MFModRaw!$B$2:$Z$37,_xlfn.XMATCH($A37,MFModRaw!$A$2:$A$37),_xlfn.XMATCH(D$2,MFModRaw!$B$1:$Z$1))</f>
        <v>196765429.260822</v>
      </c>
      <c r="E37" s="3" cm="1">
        <f t="array" ref="E37">INDEX(MFModRaw!$B$2:$Z$37,_xlfn.XMATCH($A37,MFModRaw!$A$2:$A$37),_xlfn.XMATCH(E$2,MFModRaw!$B$1:$Z$1))</f>
        <v>196948687.36182499</v>
      </c>
      <c r="F37" s="3" cm="1">
        <f t="array" ref="F37">INDEX(MFModRaw!$B$2:$Z$37,_xlfn.XMATCH($A37,MFModRaw!$A$2:$A$37),_xlfn.XMATCH(F$2,MFModRaw!$B$1:$Z$1))</f>
        <v>179330785.78538999</v>
      </c>
      <c r="G37" s="3" cm="1">
        <f t="array" ref="G37">INDEX(MFModRaw!$B$2:$Z$37,_xlfn.XMATCH($A37,MFModRaw!$A$2:$A$37),_xlfn.XMATCH(G$2,MFModRaw!$B$1:$Z$1))</f>
        <v>180749890.75668901</v>
      </c>
      <c r="H37" s="3" cm="1">
        <f t="array" ref="H37">INDEX(MFModRaw!$B$2:$Z$37,_xlfn.XMATCH($A37,MFModRaw!$A$2:$A$37),_xlfn.XMATCH(H$2,MFModRaw!$B$1:$Z$1))</f>
        <v>181109743.61089599</v>
      </c>
      <c r="K37">
        <v>2049</v>
      </c>
      <c r="L37" s="2">
        <f t="shared" si="2"/>
        <v>-0.10545637487428772</v>
      </c>
      <c r="M37" s="2">
        <f t="shared" si="3"/>
        <v>-0.10162324238900367</v>
      </c>
      <c r="N37" s="2">
        <f t="shared" si="4"/>
        <v>-0.10078653637208046</v>
      </c>
      <c r="O37" s="2">
        <f t="shared" si="5"/>
        <v>-0.18122502271394292</v>
      </c>
      <c r="P37" s="2">
        <f t="shared" si="6"/>
        <v>-0.17474578025954135</v>
      </c>
      <c r="Q37" s="2">
        <f t="shared" si="7"/>
        <v>-0.17310279123655092</v>
      </c>
    </row>
    <row r="38" spans="1:17" x14ac:dyDescent="0.2">
      <c r="A38">
        <v>2050</v>
      </c>
      <c r="B38" s="3" cm="1">
        <f t="array" ref="B38">INDEX(MFModRaw!$B$2:$Z$37,_xlfn.XMATCH($A38,MFModRaw!$A$2:$A$37),_xlfn.XMATCH(B$2,MFModRaw!$B$1:$Z$1))</f>
        <v>222134480.72465101</v>
      </c>
      <c r="C38" s="3" cm="1">
        <f t="array" ref="C38">INDEX(MFModRaw!$B$2:$Z$37,_xlfn.XMATCH($A38,MFModRaw!$A$2:$A$37),_xlfn.XMATCH(C$2,MFModRaw!$B$1:$Z$1))</f>
        <v>198106573.812226</v>
      </c>
      <c r="D38" s="3" cm="1">
        <f t="array" ref="D38">INDEX(MFModRaw!$B$2:$Z$37,_xlfn.XMATCH($A38,MFModRaw!$A$2:$A$37),_xlfn.XMATCH(D$2,MFModRaw!$B$1:$Z$1))</f>
        <v>198985967.91254199</v>
      </c>
      <c r="E38" s="3" cm="1">
        <f t="array" ref="E38">INDEX(MFModRaw!$B$2:$Z$37,_xlfn.XMATCH($A38,MFModRaw!$A$2:$A$37),_xlfn.XMATCH(E$2,MFModRaw!$B$1:$Z$1))</f>
        <v>199187297.43343401</v>
      </c>
      <c r="F38" s="3" cm="1">
        <f t="array" ref="F38">INDEX(MFModRaw!$B$2:$Z$37,_xlfn.XMATCH($A38,MFModRaw!$A$2:$A$37),_xlfn.XMATCH(F$2,MFModRaw!$B$1:$Z$1))</f>
        <v>179786453.23631099</v>
      </c>
      <c r="G38" s="3" cm="1">
        <f t="array" ref="G38">INDEX(MFModRaw!$B$2:$Z$37,_xlfn.XMATCH($A38,MFModRaw!$A$2:$A$37),_xlfn.XMATCH(G$2,MFModRaw!$B$1:$Z$1))</f>
        <v>181305589.042326</v>
      </c>
      <c r="H38" s="3" cm="1">
        <f t="array" ref="H38">INDEX(MFModRaw!$B$2:$Z$37,_xlfn.XMATCH($A38,MFModRaw!$A$2:$A$37),_xlfn.XMATCH(H$2,MFModRaw!$B$1:$Z$1))</f>
        <v>181708126.063797</v>
      </c>
      <c r="K38">
        <v>2050</v>
      </c>
      <c r="L38" s="2">
        <f t="shared" si="2"/>
        <v>-0.10816828992077565</v>
      </c>
      <c r="M38" s="2">
        <f t="shared" si="3"/>
        <v>-0.10420945337524157</v>
      </c>
      <c r="N38" s="2">
        <f t="shared" si="4"/>
        <v>-0.10330311267462078</v>
      </c>
      <c r="O38" s="2">
        <f t="shared" si="5"/>
        <v>-0.19064139592462881</v>
      </c>
      <c r="P38" s="2">
        <f t="shared" si="6"/>
        <v>-0.18380258458359222</v>
      </c>
      <c r="Q38" s="2">
        <f t="shared" si="7"/>
        <v>-0.18199045249064638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B9D5-6029-4521-9735-45251796B9EA}">
  <dimension ref="A1:Q38"/>
  <sheetViews>
    <sheetView workbookViewId="0">
      <selection activeCell="G44" sqref="G44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2</v>
      </c>
      <c r="D2" t="s">
        <v>6</v>
      </c>
      <c r="E2" t="s">
        <v>10</v>
      </c>
      <c r="F2" t="s">
        <v>14</v>
      </c>
      <c r="G2" t="s">
        <v>18</v>
      </c>
      <c r="H2" t="s">
        <v>22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3" cm="1">
        <f t="array" ref="B3">INDEX(MFModRaw!$B$2:$Z$37,_xlfn.XMATCH($A3,MFModRaw!$A$2:$A$37),_xlfn.XMATCH(B$2,MFModRaw!$B$1:$Z$1))</f>
        <v>95406124.717485994</v>
      </c>
      <c r="C3" s="3" cm="1">
        <f t="array" ref="C3">INDEX(MFModRaw!$B$2:$Z$37,_xlfn.XMATCH($A3,MFModRaw!$A$2:$A$37),_xlfn.XMATCH(C$2,MFModRaw!$B$1:$Z$1))</f>
        <v>95406124.717485994</v>
      </c>
      <c r="D3" s="3" cm="1">
        <f t="array" ref="D3">INDEX(MFModRaw!$B$2:$Z$37,_xlfn.XMATCH($A3,MFModRaw!$A$2:$A$37),_xlfn.XMATCH(D$2,MFModRaw!$B$1:$Z$1))</f>
        <v>95406124.717485994</v>
      </c>
      <c r="E3" s="3" cm="1">
        <f t="array" ref="E3">INDEX(MFModRaw!$B$2:$Z$37,_xlfn.XMATCH($A3,MFModRaw!$A$2:$A$37),_xlfn.XMATCH(E$2,MFModRaw!$B$1:$Z$1))</f>
        <v>95406124.717485994</v>
      </c>
      <c r="F3" s="3" cm="1">
        <f t="array" ref="F3">INDEX(MFModRaw!$B$2:$Z$37,_xlfn.XMATCH($A3,MFModRaw!$A$2:$A$37),_xlfn.XMATCH(F$2,MFModRaw!$B$1:$Z$1))</f>
        <v>95406124.717485994</v>
      </c>
      <c r="G3" s="3" cm="1">
        <f t="array" ref="G3">INDEX(MFModRaw!$B$2:$Z$37,_xlfn.XMATCH($A3,MFModRaw!$A$2:$A$37),_xlfn.XMATCH(G$2,MFModRaw!$B$1:$Z$1))</f>
        <v>95406124.717485994</v>
      </c>
      <c r="H3" s="3" cm="1">
        <f t="array" ref="H3">INDEX(MFModRaw!$B$2:$Z$37,_xlfn.XMATCH($A3,MFModRaw!$A$2:$A$37),_xlfn.XMATCH(H$2,MFModRaw!$B$1:$Z$1))</f>
        <v>95406124.717485994</v>
      </c>
      <c r="K3">
        <v>2015</v>
      </c>
      <c r="L3" s="4">
        <f>C3/$B3-1</f>
        <v>0</v>
      </c>
      <c r="M3" s="4">
        <f t="shared" ref="M3:Q18" si="1">D3/$B3-1</f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</row>
    <row r="4" spans="1:17" x14ac:dyDescent="0.2">
      <c r="A4">
        <v>2016</v>
      </c>
      <c r="B4" s="3" cm="1">
        <f t="array" ref="B4">INDEX(MFModRaw!$B$2:$Z$37,_xlfn.XMATCH($A4,MFModRaw!$A$2:$A$37),_xlfn.XMATCH(B$2,MFModRaw!$B$1:$Z$1))</f>
        <v>102948457.015031</v>
      </c>
      <c r="C4" s="3" cm="1">
        <f t="array" ref="C4">INDEX(MFModRaw!$B$2:$Z$37,_xlfn.XMATCH($A4,MFModRaw!$A$2:$A$37),_xlfn.XMATCH(C$2,MFModRaw!$B$1:$Z$1))</f>
        <v>102948457.015031</v>
      </c>
      <c r="D4" s="3" cm="1">
        <f t="array" ref="D4">INDEX(MFModRaw!$B$2:$Z$37,_xlfn.XMATCH($A4,MFModRaw!$A$2:$A$37),_xlfn.XMATCH(D$2,MFModRaw!$B$1:$Z$1))</f>
        <v>102948457.015031</v>
      </c>
      <c r="E4" s="3" cm="1">
        <f t="array" ref="E4">INDEX(MFModRaw!$B$2:$Z$37,_xlfn.XMATCH($A4,MFModRaw!$A$2:$A$37),_xlfn.XMATCH(E$2,MFModRaw!$B$1:$Z$1))</f>
        <v>102948457.015031</v>
      </c>
      <c r="F4" s="3" cm="1">
        <f t="array" ref="F4">INDEX(MFModRaw!$B$2:$Z$37,_xlfn.XMATCH($A4,MFModRaw!$A$2:$A$37),_xlfn.XMATCH(F$2,MFModRaw!$B$1:$Z$1))</f>
        <v>102948457.015031</v>
      </c>
      <c r="G4" s="3" cm="1">
        <f t="array" ref="G4">INDEX(MFModRaw!$B$2:$Z$37,_xlfn.XMATCH($A4,MFModRaw!$A$2:$A$37),_xlfn.XMATCH(G$2,MFModRaw!$B$1:$Z$1))</f>
        <v>102948457.015031</v>
      </c>
      <c r="H4" s="3" cm="1">
        <f t="array" ref="H4">INDEX(MFModRaw!$B$2:$Z$37,_xlfn.XMATCH($A4,MFModRaw!$A$2:$A$37),_xlfn.XMATCH(H$2,MFModRaw!$B$1:$Z$1))</f>
        <v>102948457.015031</v>
      </c>
      <c r="K4">
        <v>2016</v>
      </c>
      <c r="L4" s="4">
        <f t="shared" ref="L4:Q38" si="2">C4/$B4-1</f>
        <v>0</v>
      </c>
      <c r="M4" s="4">
        <f t="shared" si="1"/>
        <v>0</v>
      </c>
      <c r="N4" s="4">
        <f t="shared" si="1"/>
        <v>0</v>
      </c>
      <c r="O4" s="4">
        <f t="shared" si="1"/>
        <v>0</v>
      </c>
      <c r="P4" s="4">
        <f t="shared" si="1"/>
        <v>0</v>
      </c>
      <c r="Q4" s="4">
        <f t="shared" si="1"/>
        <v>0</v>
      </c>
    </row>
    <row r="5" spans="1:17" x14ac:dyDescent="0.2">
      <c r="A5">
        <v>2017</v>
      </c>
      <c r="B5" s="3" cm="1">
        <f t="array" ref="B5">INDEX(MFModRaw!$B$2:$Z$37,_xlfn.XMATCH($A5,MFModRaw!$A$2:$A$37),_xlfn.XMATCH(B$2,MFModRaw!$B$1:$Z$1))</f>
        <v>111261585.22876</v>
      </c>
      <c r="C5" s="3" cm="1">
        <f t="array" ref="C5">INDEX(MFModRaw!$B$2:$Z$37,_xlfn.XMATCH($A5,MFModRaw!$A$2:$A$37),_xlfn.XMATCH(C$2,MFModRaw!$B$1:$Z$1))</f>
        <v>111261585.22876</v>
      </c>
      <c r="D5" s="3" cm="1">
        <f t="array" ref="D5">INDEX(MFModRaw!$B$2:$Z$37,_xlfn.XMATCH($A5,MFModRaw!$A$2:$A$37),_xlfn.XMATCH(D$2,MFModRaw!$B$1:$Z$1))</f>
        <v>111261585.22876</v>
      </c>
      <c r="E5" s="3" cm="1">
        <f t="array" ref="E5">INDEX(MFModRaw!$B$2:$Z$37,_xlfn.XMATCH($A5,MFModRaw!$A$2:$A$37),_xlfn.XMATCH(E$2,MFModRaw!$B$1:$Z$1))</f>
        <v>111261585.22876</v>
      </c>
      <c r="F5" s="3" cm="1">
        <f t="array" ref="F5">INDEX(MFModRaw!$B$2:$Z$37,_xlfn.XMATCH($A5,MFModRaw!$A$2:$A$37),_xlfn.XMATCH(F$2,MFModRaw!$B$1:$Z$1))</f>
        <v>111261585.22876</v>
      </c>
      <c r="G5" s="3" cm="1">
        <f t="array" ref="G5">INDEX(MFModRaw!$B$2:$Z$37,_xlfn.XMATCH($A5,MFModRaw!$A$2:$A$37),_xlfn.XMATCH(G$2,MFModRaw!$B$1:$Z$1))</f>
        <v>111261585.22876</v>
      </c>
      <c r="H5" s="3" cm="1">
        <f t="array" ref="H5">INDEX(MFModRaw!$B$2:$Z$37,_xlfn.XMATCH($A5,MFModRaw!$A$2:$A$37),_xlfn.XMATCH(H$2,MFModRaw!$B$1:$Z$1))</f>
        <v>111261585.22876</v>
      </c>
      <c r="K5">
        <v>2017</v>
      </c>
      <c r="L5" s="4">
        <f t="shared" si="2"/>
        <v>0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1"/>
        <v>0</v>
      </c>
      <c r="Q5" s="4">
        <f t="shared" si="1"/>
        <v>0</v>
      </c>
    </row>
    <row r="6" spans="1:17" x14ac:dyDescent="0.2">
      <c r="A6">
        <v>2018</v>
      </c>
      <c r="B6" s="3" cm="1">
        <f t="array" ref="B6">INDEX(MFModRaw!$B$2:$Z$37,_xlfn.XMATCH($A6,MFModRaw!$A$2:$A$37),_xlfn.XMATCH(B$2,MFModRaw!$B$1:$Z$1))</f>
        <v>121026150.909922</v>
      </c>
      <c r="C6" s="3" cm="1">
        <f t="array" ref="C6">INDEX(MFModRaw!$B$2:$Z$37,_xlfn.XMATCH($A6,MFModRaw!$A$2:$A$37),_xlfn.XMATCH(C$2,MFModRaw!$B$1:$Z$1))</f>
        <v>121026150.909922</v>
      </c>
      <c r="D6" s="3" cm="1">
        <f t="array" ref="D6">INDEX(MFModRaw!$B$2:$Z$37,_xlfn.XMATCH($A6,MFModRaw!$A$2:$A$37),_xlfn.XMATCH(D$2,MFModRaw!$B$1:$Z$1))</f>
        <v>121026150.909922</v>
      </c>
      <c r="E6" s="3" cm="1">
        <f t="array" ref="E6">INDEX(MFModRaw!$B$2:$Z$37,_xlfn.XMATCH($A6,MFModRaw!$A$2:$A$37),_xlfn.XMATCH(E$2,MFModRaw!$B$1:$Z$1))</f>
        <v>121026150.909922</v>
      </c>
      <c r="F6" s="3" cm="1">
        <f t="array" ref="F6">INDEX(MFModRaw!$B$2:$Z$37,_xlfn.XMATCH($A6,MFModRaw!$A$2:$A$37),_xlfn.XMATCH(F$2,MFModRaw!$B$1:$Z$1))</f>
        <v>121026150.909922</v>
      </c>
      <c r="G6" s="3" cm="1">
        <f t="array" ref="G6">INDEX(MFModRaw!$B$2:$Z$37,_xlfn.XMATCH($A6,MFModRaw!$A$2:$A$37),_xlfn.XMATCH(G$2,MFModRaw!$B$1:$Z$1))</f>
        <v>121026150.909922</v>
      </c>
      <c r="H6" s="3" cm="1">
        <f t="array" ref="H6">INDEX(MFModRaw!$B$2:$Z$37,_xlfn.XMATCH($A6,MFModRaw!$A$2:$A$37),_xlfn.XMATCH(H$2,MFModRaw!$B$1:$Z$1))</f>
        <v>121026150.909922</v>
      </c>
      <c r="K6">
        <v>2018</v>
      </c>
      <c r="L6" s="4">
        <f t="shared" si="2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</row>
    <row r="7" spans="1:17" x14ac:dyDescent="0.2">
      <c r="A7">
        <v>2019</v>
      </c>
      <c r="B7" s="3" cm="1">
        <f t="array" ref="B7">INDEX(MFModRaw!$B$2:$Z$37,_xlfn.XMATCH($A7,MFModRaw!$A$2:$A$37),_xlfn.XMATCH(B$2,MFModRaw!$B$1:$Z$1))</f>
        <v>130631936.159025</v>
      </c>
      <c r="C7" s="3" cm="1">
        <f t="array" ref="C7">INDEX(MFModRaw!$B$2:$Z$37,_xlfn.XMATCH($A7,MFModRaw!$A$2:$A$37),_xlfn.XMATCH(C$2,MFModRaw!$B$1:$Z$1))</f>
        <v>130631936.159025</v>
      </c>
      <c r="D7" s="3" cm="1">
        <f t="array" ref="D7">INDEX(MFModRaw!$B$2:$Z$37,_xlfn.XMATCH($A7,MFModRaw!$A$2:$A$37),_xlfn.XMATCH(D$2,MFModRaw!$B$1:$Z$1))</f>
        <v>130631936.159025</v>
      </c>
      <c r="E7" s="3" cm="1">
        <f t="array" ref="E7">INDEX(MFModRaw!$B$2:$Z$37,_xlfn.XMATCH($A7,MFModRaw!$A$2:$A$37),_xlfn.XMATCH(E$2,MFModRaw!$B$1:$Z$1))</f>
        <v>130631936.159025</v>
      </c>
      <c r="F7" s="3" cm="1">
        <f t="array" ref="F7">INDEX(MFModRaw!$B$2:$Z$37,_xlfn.XMATCH($A7,MFModRaw!$A$2:$A$37),_xlfn.XMATCH(F$2,MFModRaw!$B$1:$Z$1))</f>
        <v>130631936.159025</v>
      </c>
      <c r="G7" s="3" cm="1">
        <f t="array" ref="G7">INDEX(MFModRaw!$B$2:$Z$37,_xlfn.XMATCH($A7,MFModRaw!$A$2:$A$37),_xlfn.XMATCH(G$2,MFModRaw!$B$1:$Z$1))</f>
        <v>130631936.159025</v>
      </c>
      <c r="H7" s="3" cm="1">
        <f t="array" ref="H7">INDEX(MFModRaw!$B$2:$Z$37,_xlfn.XMATCH($A7,MFModRaw!$A$2:$A$37),_xlfn.XMATCH(H$2,MFModRaw!$B$1:$Z$1))</f>
        <v>130631936.159025</v>
      </c>
      <c r="K7">
        <v>2019</v>
      </c>
      <c r="L7" s="4">
        <f t="shared" si="2"/>
        <v>0</v>
      </c>
      <c r="M7" s="4">
        <f t="shared" si="1"/>
        <v>0</v>
      </c>
      <c r="N7" s="4">
        <f t="shared" si="1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</row>
    <row r="8" spans="1:17" x14ac:dyDescent="0.2">
      <c r="A8">
        <v>2020</v>
      </c>
      <c r="B8" s="3" cm="1">
        <f t="array" ref="B8">INDEX(MFModRaw!$B$2:$Z$37,_xlfn.XMATCH($A8,MFModRaw!$A$2:$A$37),_xlfn.XMATCH(B$2,MFModRaw!$B$1:$Z$1))</f>
        <v>125987027.75209901</v>
      </c>
      <c r="C8" s="3" cm="1">
        <f t="array" ref="C8">INDEX(MFModRaw!$B$2:$Z$37,_xlfn.XMATCH($A8,MFModRaw!$A$2:$A$37),_xlfn.XMATCH(C$2,MFModRaw!$B$1:$Z$1))</f>
        <v>125987027.75209901</v>
      </c>
      <c r="D8" s="3" cm="1">
        <f t="array" ref="D8">INDEX(MFModRaw!$B$2:$Z$37,_xlfn.XMATCH($A8,MFModRaw!$A$2:$A$37),_xlfn.XMATCH(D$2,MFModRaw!$B$1:$Z$1))</f>
        <v>125987151.70941401</v>
      </c>
      <c r="E8" s="3" cm="1">
        <f t="array" ref="E8">INDEX(MFModRaw!$B$2:$Z$37,_xlfn.XMATCH($A8,MFModRaw!$A$2:$A$37),_xlfn.XMATCH(E$2,MFModRaw!$B$1:$Z$1))</f>
        <v>125987275.671707</v>
      </c>
      <c r="F8" s="3" cm="1">
        <f t="array" ref="F8">INDEX(MFModRaw!$B$2:$Z$37,_xlfn.XMATCH($A8,MFModRaw!$A$2:$A$37),_xlfn.XMATCH(F$2,MFModRaw!$B$1:$Z$1))</f>
        <v>125987027.75209901</v>
      </c>
      <c r="G8" s="3" cm="1">
        <f t="array" ref="G8">INDEX(MFModRaw!$B$2:$Z$37,_xlfn.XMATCH($A8,MFModRaw!$A$2:$A$37),_xlfn.XMATCH(G$2,MFModRaw!$B$1:$Z$1))</f>
        <v>125987151.70941401</v>
      </c>
      <c r="H8" s="3" cm="1">
        <f t="array" ref="H8">INDEX(MFModRaw!$B$2:$Z$37,_xlfn.XMATCH($A8,MFModRaw!$A$2:$A$37),_xlfn.XMATCH(H$2,MFModRaw!$B$1:$Z$1))</f>
        <v>125987275.671707</v>
      </c>
      <c r="K8">
        <v>2020</v>
      </c>
      <c r="L8" s="4">
        <f t="shared" si="2"/>
        <v>0</v>
      </c>
      <c r="M8" s="4">
        <f t="shared" si="1"/>
        <v>9.8388950986461055E-7</v>
      </c>
      <c r="N8" s="4">
        <f t="shared" si="1"/>
        <v>1.9678185319005337E-6</v>
      </c>
      <c r="O8" s="4">
        <f t="shared" si="1"/>
        <v>0</v>
      </c>
      <c r="P8" s="4">
        <f t="shared" si="1"/>
        <v>9.8388950986461055E-7</v>
      </c>
      <c r="Q8" s="4">
        <f t="shared" si="1"/>
        <v>1.9678185319005337E-6</v>
      </c>
    </row>
    <row r="9" spans="1:17" x14ac:dyDescent="0.2">
      <c r="A9">
        <v>2021</v>
      </c>
      <c r="B9" s="3" cm="1">
        <f t="array" ref="B9">INDEX(MFModRaw!$B$2:$Z$37,_xlfn.XMATCH($A9,MFModRaw!$A$2:$A$37),_xlfn.XMATCH(B$2,MFModRaw!$B$1:$Z$1))</f>
        <v>129879828.790113</v>
      </c>
      <c r="C9" s="3" cm="1">
        <f t="array" ref="C9">INDEX(MFModRaw!$B$2:$Z$37,_xlfn.XMATCH($A9,MFModRaw!$A$2:$A$37),_xlfn.XMATCH(C$2,MFModRaw!$B$1:$Z$1))</f>
        <v>129878137.75173</v>
      </c>
      <c r="D9" s="3" cm="1">
        <f t="array" ref="D9">INDEX(MFModRaw!$B$2:$Z$37,_xlfn.XMATCH($A9,MFModRaw!$A$2:$A$37),_xlfn.XMATCH(D$2,MFModRaw!$B$1:$Z$1))</f>
        <v>129882139.161384</v>
      </c>
      <c r="E9" s="3" cm="1">
        <f t="array" ref="E9">INDEX(MFModRaw!$B$2:$Z$37,_xlfn.XMATCH($A9,MFModRaw!$A$2:$A$37),_xlfn.XMATCH(E$2,MFModRaw!$B$1:$Z$1))</f>
        <v>129884637.032377</v>
      </c>
      <c r="F9" s="3" cm="1">
        <f t="array" ref="F9">INDEX(MFModRaw!$B$2:$Z$37,_xlfn.XMATCH($A9,MFModRaw!$A$2:$A$37),_xlfn.XMATCH(F$2,MFModRaw!$B$1:$Z$1))</f>
        <v>129878681.31697901</v>
      </c>
      <c r="G9" s="3" cm="1">
        <f t="array" ref="G9">INDEX(MFModRaw!$B$2:$Z$37,_xlfn.XMATCH($A9,MFModRaw!$A$2:$A$37),_xlfn.XMATCH(G$2,MFModRaw!$B$1:$Z$1))</f>
        <v>129882683.669135</v>
      </c>
      <c r="H9" s="3" cm="1">
        <f t="array" ref="H9">INDEX(MFModRaw!$B$2:$Z$37,_xlfn.XMATCH($A9,MFModRaw!$A$2:$A$37),_xlfn.XMATCH(H$2,MFModRaw!$B$1:$Z$1))</f>
        <v>129885182.375965</v>
      </c>
      <c r="K9">
        <v>2021</v>
      </c>
      <c r="L9" s="4">
        <f t="shared" si="2"/>
        <v>-1.302002319192308E-5</v>
      </c>
      <c r="M9" s="4">
        <f t="shared" si="1"/>
        <v>1.778853030920402E-5</v>
      </c>
      <c r="N9" s="4">
        <f t="shared" si="1"/>
        <v>3.702070066458063E-5</v>
      </c>
      <c r="O9" s="4">
        <f t="shared" si="1"/>
        <v>-8.8348833278129035E-6</v>
      </c>
      <c r="P9" s="4">
        <f t="shared" si="1"/>
        <v>2.198092689686959E-5</v>
      </c>
      <c r="Q9" s="4">
        <f t="shared" si="1"/>
        <v>4.1219532716185725E-5</v>
      </c>
    </row>
    <row r="10" spans="1:17" x14ac:dyDescent="0.2">
      <c r="A10">
        <v>2022</v>
      </c>
      <c r="B10" s="3" cm="1">
        <f t="array" ref="B10">INDEX(MFModRaw!$B$2:$Z$37,_xlfn.XMATCH($A10,MFModRaw!$A$2:$A$37),_xlfn.XMATCH(B$2,MFModRaw!$B$1:$Z$1))</f>
        <v>136508075.76283899</v>
      </c>
      <c r="C10" s="3" cm="1">
        <f t="array" ref="C10">INDEX(MFModRaw!$B$2:$Z$37,_xlfn.XMATCH($A10,MFModRaw!$A$2:$A$37),_xlfn.XMATCH(C$2,MFModRaw!$B$1:$Z$1))</f>
        <v>136501196.321408</v>
      </c>
      <c r="D10" s="3" cm="1">
        <f t="array" ref="D10">INDEX(MFModRaw!$B$2:$Z$37,_xlfn.XMATCH($A10,MFModRaw!$A$2:$A$37),_xlfn.XMATCH(D$2,MFModRaw!$B$1:$Z$1))</f>
        <v>136519871.21428201</v>
      </c>
      <c r="E10" s="3" cm="1">
        <f t="array" ref="E10">INDEX(MFModRaw!$B$2:$Z$37,_xlfn.XMATCH($A10,MFModRaw!$A$2:$A$37),_xlfn.XMATCH(E$2,MFModRaw!$B$1:$Z$1))</f>
        <v>136531578.19414201</v>
      </c>
      <c r="F10" s="3" cm="1">
        <f t="array" ref="F10">INDEX(MFModRaw!$B$2:$Z$37,_xlfn.XMATCH($A10,MFModRaw!$A$2:$A$37),_xlfn.XMATCH(F$2,MFModRaw!$B$1:$Z$1))</f>
        <v>136503077.05385399</v>
      </c>
      <c r="G10" s="3" cm="1">
        <f t="array" ref="G10">INDEX(MFModRaw!$B$2:$Z$37,_xlfn.XMATCH($A10,MFModRaw!$A$2:$A$37),_xlfn.XMATCH(G$2,MFModRaw!$B$1:$Z$1))</f>
        <v>136521758.58294699</v>
      </c>
      <c r="H10" s="3" cm="1">
        <f t="array" ref="H10">INDEX(MFModRaw!$B$2:$Z$37,_xlfn.XMATCH($A10,MFModRaw!$A$2:$A$37),_xlfn.XMATCH(H$2,MFModRaw!$B$1:$Z$1))</f>
        <v>136533469.93119699</v>
      </c>
      <c r="K10">
        <v>2022</v>
      </c>
      <c r="L10" s="4">
        <f t="shared" si="2"/>
        <v>-5.03958567472651E-5</v>
      </c>
      <c r="M10" s="4">
        <f t="shared" si="1"/>
        <v>8.6408451493547034E-5</v>
      </c>
      <c r="N10" s="4">
        <f t="shared" si="1"/>
        <v>1.7216879786552397E-4</v>
      </c>
      <c r="O10" s="4">
        <f t="shared" si="1"/>
        <v>-3.661841218605133E-5</v>
      </c>
      <c r="P10" s="4">
        <f t="shared" si="1"/>
        <v>1.0023451016749618E-4</v>
      </c>
      <c r="Q10" s="4">
        <f t="shared" si="1"/>
        <v>1.8602685750335191E-4</v>
      </c>
    </row>
    <row r="11" spans="1:17" x14ac:dyDescent="0.2">
      <c r="A11">
        <v>2023</v>
      </c>
      <c r="B11" s="3" cm="1">
        <f t="array" ref="B11">INDEX(MFModRaw!$B$2:$Z$37,_xlfn.XMATCH($A11,MFModRaw!$A$2:$A$37),_xlfn.XMATCH(B$2,MFModRaw!$B$1:$Z$1))</f>
        <v>143334277.97308999</v>
      </c>
      <c r="C11" s="3" cm="1">
        <f t="array" ref="C11">INDEX(MFModRaw!$B$2:$Z$37,_xlfn.XMATCH($A11,MFModRaw!$A$2:$A$37),_xlfn.XMATCH(C$2,MFModRaw!$B$1:$Z$1))</f>
        <v>143320049.29615</v>
      </c>
      <c r="D11" s="3" cm="1">
        <f t="array" ref="D11">INDEX(MFModRaw!$B$2:$Z$37,_xlfn.XMATCH($A11,MFModRaw!$A$2:$A$37),_xlfn.XMATCH(D$2,MFModRaw!$B$1:$Z$1))</f>
        <v>143362281.01977599</v>
      </c>
      <c r="E11" s="3" cm="1">
        <f t="array" ref="E11">INDEX(MFModRaw!$B$2:$Z$37,_xlfn.XMATCH($A11,MFModRaw!$A$2:$A$37),_xlfn.XMATCH(E$2,MFModRaw!$B$1:$Z$1))</f>
        <v>143388764.85435799</v>
      </c>
      <c r="F11" s="3" cm="1">
        <f t="array" ref="F11">INDEX(MFModRaw!$B$2:$Z$37,_xlfn.XMATCH($A11,MFModRaw!$A$2:$A$37),_xlfn.XMATCH(F$2,MFModRaw!$B$1:$Z$1))</f>
        <v>143322963.46654499</v>
      </c>
      <c r="G11" s="3" cm="1">
        <f t="array" ref="G11">INDEX(MFModRaw!$B$2:$Z$37,_xlfn.XMATCH($A11,MFModRaw!$A$2:$A$37),_xlfn.XMATCH(G$2,MFModRaw!$B$1:$Z$1))</f>
        <v>143365208.36103299</v>
      </c>
      <c r="H11" s="3" cm="1">
        <f t="array" ref="H11">INDEX(MFModRaw!$B$2:$Z$37,_xlfn.XMATCH($A11,MFModRaw!$A$2:$A$37),_xlfn.XMATCH(H$2,MFModRaw!$B$1:$Z$1))</f>
        <v>143391700.643929</v>
      </c>
      <c r="K11">
        <v>2023</v>
      </c>
      <c r="L11" s="4">
        <f t="shared" si="2"/>
        <v>-9.9269184881678463E-5</v>
      </c>
      <c r="M11" s="4">
        <f t="shared" si="1"/>
        <v>1.9536880557802228E-4</v>
      </c>
      <c r="N11" s="4">
        <f t="shared" si="1"/>
        <v>3.8013852679563698E-4</v>
      </c>
      <c r="O11" s="4">
        <f t="shared" si="1"/>
        <v>-7.8937897514896882E-5</v>
      </c>
      <c r="P11" s="4">
        <f t="shared" si="1"/>
        <v>2.1579198207422046E-4</v>
      </c>
      <c r="Q11" s="4">
        <f t="shared" si="1"/>
        <v>4.0062064462897951E-4</v>
      </c>
    </row>
    <row r="12" spans="1:17" x14ac:dyDescent="0.2">
      <c r="A12">
        <v>2024</v>
      </c>
      <c r="B12" s="3" cm="1">
        <f t="array" ref="B12">INDEX(MFModRaw!$B$2:$Z$37,_xlfn.XMATCH($A12,MFModRaw!$A$2:$A$37),_xlfn.XMATCH(B$2,MFModRaw!$B$1:$Z$1))</f>
        <v>151960779.35757601</v>
      </c>
      <c r="C12" s="3" cm="1">
        <f t="array" ref="C12">INDEX(MFModRaw!$B$2:$Z$37,_xlfn.XMATCH($A12,MFModRaw!$A$2:$A$37),_xlfn.XMATCH(C$2,MFModRaw!$B$1:$Z$1))</f>
        <v>151935268.998936</v>
      </c>
      <c r="D12" s="3" cm="1">
        <f t="array" ref="D12">INDEX(MFModRaw!$B$2:$Z$37,_xlfn.XMATCH($A12,MFModRaw!$A$2:$A$37),_xlfn.XMATCH(D$2,MFModRaw!$B$1:$Z$1))</f>
        <v>152018901.575661</v>
      </c>
      <c r="E12" s="3" cm="1">
        <f t="array" ref="E12">INDEX(MFModRaw!$B$2:$Z$37,_xlfn.XMATCH($A12,MFModRaw!$A$2:$A$37),_xlfn.XMATCH(E$2,MFModRaw!$B$1:$Z$1))</f>
        <v>152071455.30063999</v>
      </c>
      <c r="F12" s="3" cm="1">
        <f t="array" ref="F12">INDEX(MFModRaw!$B$2:$Z$37,_xlfn.XMATCH($A12,MFModRaw!$A$2:$A$37),_xlfn.XMATCH(F$2,MFModRaw!$B$1:$Z$1))</f>
        <v>151938361.64650899</v>
      </c>
      <c r="G12" s="3" cm="1">
        <f t="array" ref="G12">INDEX(MFModRaw!$B$2:$Z$37,_xlfn.XMATCH($A12,MFModRaw!$A$2:$A$37),_xlfn.XMATCH(G$2,MFModRaw!$B$1:$Z$1))</f>
        <v>152022006.35817599</v>
      </c>
      <c r="H12" s="3" cm="1">
        <f t="array" ref="H12">INDEX(MFModRaw!$B$2:$Z$37,_xlfn.XMATCH($A12,MFModRaw!$A$2:$A$37),_xlfn.XMATCH(H$2,MFModRaw!$B$1:$Z$1))</f>
        <v>152074568.05165201</v>
      </c>
      <c r="K12">
        <v>2024</v>
      </c>
      <c r="L12" s="4">
        <f t="shared" si="2"/>
        <v>-1.6787462362233274E-4</v>
      </c>
      <c r="M12" s="4">
        <f t="shared" si="1"/>
        <v>3.824817056790053E-4</v>
      </c>
      <c r="N12" s="4">
        <f t="shared" si="1"/>
        <v>7.2831913294901796E-4</v>
      </c>
      <c r="O12" s="4">
        <f t="shared" si="1"/>
        <v>-1.47523006671757E-4</v>
      </c>
      <c r="P12" s="4">
        <f t="shared" si="1"/>
        <v>4.0291317837937157E-4</v>
      </c>
      <c r="Q12" s="4">
        <f t="shared" si="1"/>
        <v>7.4880304350277704E-4</v>
      </c>
    </row>
    <row r="13" spans="1:17" x14ac:dyDescent="0.2">
      <c r="A13">
        <v>2025</v>
      </c>
      <c r="B13" s="3" cm="1">
        <f t="array" ref="B13">INDEX(MFModRaw!$B$2:$Z$37,_xlfn.XMATCH($A13,MFModRaw!$A$2:$A$37),_xlfn.XMATCH(B$2,MFModRaw!$B$1:$Z$1))</f>
        <v>157327866.00698</v>
      </c>
      <c r="C13" s="3" cm="1">
        <f t="array" ref="C13">INDEX(MFModRaw!$B$2:$Z$37,_xlfn.XMATCH($A13,MFModRaw!$A$2:$A$37),_xlfn.XMATCH(C$2,MFModRaw!$B$1:$Z$1))</f>
        <v>157288964.64420301</v>
      </c>
      <c r="D13" s="3" cm="1">
        <f t="array" ref="D13">INDEX(MFModRaw!$B$2:$Z$37,_xlfn.XMATCH($A13,MFModRaw!$A$2:$A$37),_xlfn.XMATCH(D$2,MFModRaw!$B$1:$Z$1))</f>
        <v>157424592.078675</v>
      </c>
      <c r="E13" s="3" cm="1">
        <f t="array" ref="E13">INDEX(MFModRaw!$B$2:$Z$37,_xlfn.XMATCH($A13,MFModRaw!$A$2:$A$37),_xlfn.XMATCH(E$2,MFModRaw!$B$1:$Z$1))</f>
        <v>157509877.044671</v>
      </c>
      <c r="F13" s="3" cm="1">
        <f t="array" ref="F13">INDEX(MFModRaw!$B$2:$Z$37,_xlfn.XMATCH($A13,MFModRaw!$A$2:$A$37),_xlfn.XMATCH(F$2,MFModRaw!$B$1:$Z$1))</f>
        <v>157292228.195732</v>
      </c>
      <c r="G13" s="3" cm="1">
        <f t="array" ref="G13">INDEX(MFModRaw!$B$2:$Z$37,_xlfn.XMATCH($A13,MFModRaw!$A$2:$A$37),_xlfn.XMATCH(G$2,MFModRaw!$B$1:$Z$1))</f>
        <v>157427868.59970501</v>
      </c>
      <c r="H13" s="3" cm="1">
        <f t="array" ref="H13">INDEX(MFModRaw!$B$2:$Z$37,_xlfn.XMATCH($A13,MFModRaw!$A$2:$A$37),_xlfn.XMATCH(H$2,MFModRaw!$B$1:$Z$1))</f>
        <v>157513162.27030301</v>
      </c>
      <c r="K13">
        <v>2025</v>
      </c>
      <c r="L13" s="4">
        <f t="shared" si="2"/>
        <v>-2.4726301680888518E-4</v>
      </c>
      <c r="M13" s="4">
        <f t="shared" si="1"/>
        <v>6.1480571846517229E-4</v>
      </c>
      <c r="N13" s="4">
        <f t="shared" si="1"/>
        <v>1.1568900177094665E-3</v>
      </c>
      <c r="O13" s="4">
        <f t="shared" si="1"/>
        <v>-2.2651938370810143E-4</v>
      </c>
      <c r="P13" s="4">
        <f t="shared" si="1"/>
        <v>6.3563178769987516E-4</v>
      </c>
      <c r="Q13" s="4">
        <f t="shared" si="1"/>
        <v>1.1777714147269691E-3</v>
      </c>
    </row>
    <row r="14" spans="1:17" x14ac:dyDescent="0.2">
      <c r="A14">
        <v>2026</v>
      </c>
      <c r="B14" s="3" cm="1">
        <f t="array" ref="B14">INDEX(MFModRaw!$B$2:$Z$37,_xlfn.XMATCH($A14,MFModRaw!$A$2:$A$37),_xlfn.XMATCH(B$2,MFModRaw!$B$1:$Z$1))</f>
        <v>161174295.799999</v>
      </c>
      <c r="C14" s="3" cm="1">
        <f t="array" ref="C14">INDEX(MFModRaw!$B$2:$Z$37,_xlfn.XMATCH($A14,MFModRaw!$A$2:$A$37),_xlfn.XMATCH(C$2,MFModRaw!$B$1:$Z$1))</f>
        <v>161120753.36383599</v>
      </c>
      <c r="D14" s="3" cm="1">
        <f t="array" ref="D14">INDEX(MFModRaw!$B$2:$Z$37,_xlfn.XMATCH($A14,MFModRaw!$A$2:$A$37),_xlfn.XMATCH(D$2,MFModRaw!$B$1:$Z$1))</f>
        <v>161319433.83687699</v>
      </c>
      <c r="E14" s="3" cm="1">
        <f t="array" ref="E14">INDEX(MFModRaw!$B$2:$Z$37,_xlfn.XMATCH($A14,MFModRaw!$A$2:$A$37),_xlfn.XMATCH(E$2,MFModRaw!$B$1:$Z$1))</f>
        <v>161444417.79790401</v>
      </c>
      <c r="F14" s="3" cm="1">
        <f t="array" ref="F14">INDEX(MFModRaw!$B$2:$Z$37,_xlfn.XMATCH($A14,MFModRaw!$A$2:$A$37),_xlfn.XMATCH(F$2,MFModRaw!$B$1:$Z$1))</f>
        <v>161122852.26472399</v>
      </c>
      <c r="G14" s="3" cm="1">
        <f t="array" ref="G14">INDEX(MFModRaw!$B$2:$Z$37,_xlfn.XMATCH($A14,MFModRaw!$A$2:$A$37),_xlfn.XMATCH(G$2,MFModRaw!$B$1:$Z$1))</f>
        <v>161321525.649611</v>
      </c>
      <c r="H14" s="3" cm="1">
        <f t="array" ref="H14">INDEX(MFModRaw!$B$2:$Z$37,_xlfn.XMATCH($A14,MFModRaw!$A$2:$A$37),_xlfn.XMATCH(H$2,MFModRaw!$B$1:$Z$1))</f>
        <v>161446505.63182199</v>
      </c>
      <c r="K14">
        <v>2026</v>
      </c>
      <c r="L14" s="4">
        <f t="shared" si="2"/>
        <v>-3.3220207910478194E-4</v>
      </c>
      <c r="M14" s="4">
        <f t="shared" si="1"/>
        <v>9.0050362036686593E-4</v>
      </c>
      <c r="N14" s="4">
        <f t="shared" si="1"/>
        <v>1.6759620171706846E-3</v>
      </c>
      <c r="O14" s="4">
        <f t="shared" si="1"/>
        <v>-3.1917952561644203E-4</v>
      </c>
      <c r="P14" s="4">
        <f t="shared" si="1"/>
        <v>9.1348219566400601E-4</v>
      </c>
      <c r="Q14" s="4">
        <f t="shared" si="1"/>
        <v>1.6889159060498038E-3</v>
      </c>
    </row>
    <row r="15" spans="1:17" x14ac:dyDescent="0.2">
      <c r="A15">
        <v>2027</v>
      </c>
      <c r="B15" s="3" cm="1">
        <f t="array" ref="B15">INDEX(MFModRaw!$B$2:$Z$37,_xlfn.XMATCH($A15,MFModRaw!$A$2:$A$37),_xlfn.XMATCH(B$2,MFModRaw!$B$1:$Z$1))</f>
        <v>163828412.62031001</v>
      </c>
      <c r="C15" s="3" cm="1">
        <f t="array" ref="C15">INDEX(MFModRaw!$B$2:$Z$37,_xlfn.XMATCH($A15,MFModRaw!$A$2:$A$37),_xlfn.XMATCH(C$2,MFModRaw!$B$1:$Z$1))</f>
        <v>163759768.44360301</v>
      </c>
      <c r="D15" s="3" cm="1">
        <f t="array" ref="D15">INDEX(MFModRaw!$B$2:$Z$37,_xlfn.XMATCH($A15,MFModRaw!$A$2:$A$37),_xlfn.XMATCH(D$2,MFModRaw!$B$1:$Z$1))</f>
        <v>164032067.01950401</v>
      </c>
      <c r="E15" s="3" cm="1">
        <f t="array" ref="E15">INDEX(MFModRaw!$B$2:$Z$37,_xlfn.XMATCH($A15,MFModRaw!$A$2:$A$37),_xlfn.XMATCH(E$2,MFModRaw!$B$1:$Z$1))</f>
        <v>164203418.02640799</v>
      </c>
      <c r="F15" s="3" cm="1">
        <f t="array" ref="F15">INDEX(MFModRaw!$B$2:$Z$37,_xlfn.XMATCH($A15,MFModRaw!$A$2:$A$37),_xlfn.XMATCH(F$2,MFModRaw!$B$1:$Z$1))</f>
        <v>163758196.395107</v>
      </c>
      <c r="G15" s="3" cm="1">
        <f t="array" ref="G15">INDEX(MFModRaw!$B$2:$Z$37,_xlfn.XMATCH($A15,MFModRaw!$A$2:$A$37),_xlfn.XMATCH(G$2,MFModRaw!$B$1:$Z$1))</f>
        <v>164030414.32967699</v>
      </c>
      <c r="H15" s="3" cm="1">
        <f t="array" ref="H15">INDEX(MFModRaw!$B$2:$Z$37,_xlfn.XMATCH($A15,MFModRaw!$A$2:$A$37),_xlfn.XMATCH(H$2,MFModRaw!$B$1:$Z$1))</f>
        <v>164201715.04683599</v>
      </c>
      <c r="K15">
        <v>2027</v>
      </c>
      <c r="L15" s="4">
        <f t="shared" si="2"/>
        <v>-4.1900043837994616E-4</v>
      </c>
      <c r="M15" s="4">
        <f t="shared" si="1"/>
        <v>1.243095723975518E-3</v>
      </c>
      <c r="N15" s="4">
        <f t="shared" si="1"/>
        <v>2.2890132431856447E-3</v>
      </c>
      <c r="O15" s="4">
        <f t="shared" si="1"/>
        <v>-4.2859613958257103E-4</v>
      </c>
      <c r="P15" s="4">
        <f t="shared" si="1"/>
        <v>1.2330077923365934E-3</v>
      </c>
      <c r="Q15" s="4">
        <f t="shared" si="1"/>
        <v>2.2786183455927311E-3</v>
      </c>
    </row>
    <row r="16" spans="1:17" x14ac:dyDescent="0.2">
      <c r="A16">
        <v>2028</v>
      </c>
      <c r="B16" s="3" cm="1">
        <f t="array" ref="B16">INDEX(MFModRaw!$B$2:$Z$37,_xlfn.XMATCH($A16,MFModRaw!$A$2:$A$37),_xlfn.XMATCH(B$2,MFModRaw!$B$1:$Z$1))</f>
        <v>165613937.73779401</v>
      </c>
      <c r="C16" s="3" cm="1">
        <f t="array" ref="C16">INDEX(MFModRaw!$B$2:$Z$37,_xlfn.XMATCH($A16,MFModRaw!$A$2:$A$37),_xlfn.XMATCH(C$2,MFModRaw!$B$1:$Z$1))</f>
        <v>165528947.80827001</v>
      </c>
      <c r="D16" s="3" cm="1">
        <f t="array" ref="D16">INDEX(MFModRaw!$B$2:$Z$37,_xlfn.XMATCH($A16,MFModRaw!$A$2:$A$37),_xlfn.XMATCH(D$2,MFModRaw!$B$1:$Z$1))</f>
        <v>165884693.63636199</v>
      </c>
      <c r="E16" s="3" cm="1">
        <f t="array" ref="E16">INDEX(MFModRaw!$B$2:$Z$37,_xlfn.XMATCH($A16,MFModRaw!$A$2:$A$37),_xlfn.XMATCH(E$2,MFModRaw!$B$1:$Z$1))</f>
        <v>166108623.86009899</v>
      </c>
      <c r="F16" s="3" cm="1">
        <f t="array" ref="F16">INDEX(MFModRaw!$B$2:$Z$37,_xlfn.XMATCH($A16,MFModRaw!$A$2:$A$37),_xlfn.XMATCH(F$2,MFModRaw!$B$1:$Z$1))</f>
        <v>165522824.15547401</v>
      </c>
      <c r="G16" s="3" cm="1">
        <f t="array" ref="G16">INDEX(MFModRaw!$B$2:$Z$37,_xlfn.XMATCH($A16,MFModRaw!$A$2:$A$37),_xlfn.XMATCH(G$2,MFModRaw!$B$1:$Z$1))</f>
        <v>165878387.08985201</v>
      </c>
      <c r="H16" s="3" cm="1">
        <f t="array" ref="H16">INDEX(MFModRaw!$B$2:$Z$37,_xlfn.XMATCH($A16,MFModRaw!$A$2:$A$37),_xlfn.XMATCH(H$2,MFModRaw!$B$1:$Z$1))</f>
        <v>166102202.602595</v>
      </c>
      <c r="K16">
        <v>2028</v>
      </c>
      <c r="L16" s="4">
        <f t="shared" si="2"/>
        <v>-5.1318102017816614E-4</v>
      </c>
      <c r="M16" s="4">
        <f t="shared" si="1"/>
        <v>1.6348617892090189E-3</v>
      </c>
      <c r="N16" s="4">
        <f t="shared" si="1"/>
        <v>2.9869836383467074E-3</v>
      </c>
      <c r="O16" s="4">
        <f t="shared" si="1"/>
        <v>-5.5015648782086313E-4</v>
      </c>
      <c r="P16" s="4">
        <f t="shared" si="1"/>
        <v>1.5967819838731412E-3</v>
      </c>
      <c r="Q16" s="4">
        <f t="shared" si="1"/>
        <v>2.9482111920677845E-3</v>
      </c>
    </row>
    <row r="17" spans="1:17" x14ac:dyDescent="0.2">
      <c r="A17">
        <v>2029</v>
      </c>
      <c r="B17" s="3" cm="1">
        <f t="array" ref="B17">INDEX(MFModRaw!$B$2:$Z$37,_xlfn.XMATCH($A17,MFModRaw!$A$2:$A$37),_xlfn.XMATCH(B$2,MFModRaw!$B$1:$Z$1))</f>
        <v>166797663.84194899</v>
      </c>
      <c r="C17" s="3" cm="1">
        <f t="array" ref="C17">INDEX(MFModRaw!$B$2:$Z$37,_xlfn.XMATCH($A17,MFModRaw!$A$2:$A$37),_xlfn.XMATCH(C$2,MFModRaw!$B$1:$Z$1))</f>
        <v>166695580.18852901</v>
      </c>
      <c r="D17" s="3" cm="1">
        <f t="array" ref="D17">INDEX(MFModRaw!$B$2:$Z$37,_xlfn.XMATCH($A17,MFModRaw!$A$2:$A$37),_xlfn.XMATCH(D$2,MFModRaw!$B$1:$Z$1))</f>
        <v>167143719.25653601</v>
      </c>
      <c r="E17" s="3" cm="1">
        <f t="array" ref="E17">INDEX(MFModRaw!$B$2:$Z$37,_xlfn.XMATCH($A17,MFModRaw!$A$2:$A$37),_xlfn.XMATCH(E$2,MFModRaw!$B$1:$Z$1))</f>
        <v>167425886.57892099</v>
      </c>
      <c r="F17" s="3" cm="1">
        <f t="array" ref="F17">INDEX(MFModRaw!$B$2:$Z$37,_xlfn.XMATCH($A17,MFModRaw!$A$2:$A$37),_xlfn.XMATCH(F$2,MFModRaw!$B$1:$Z$1))</f>
        <v>166682364.199788</v>
      </c>
      <c r="G17" s="3" cm="1">
        <f t="array" ref="G17">INDEX(MFModRaw!$B$2:$Z$37,_xlfn.XMATCH($A17,MFModRaw!$A$2:$A$37),_xlfn.XMATCH(G$2,MFModRaw!$B$1:$Z$1))</f>
        <v>167130137.03054899</v>
      </c>
      <c r="H17" s="3" cm="1">
        <f t="array" ref="H17">INDEX(MFModRaw!$B$2:$Z$37,_xlfn.XMATCH($A17,MFModRaw!$A$2:$A$37),_xlfn.XMATCH(H$2,MFModRaw!$B$1:$Z$1))</f>
        <v>167412074.410364</v>
      </c>
      <c r="K17">
        <v>2029</v>
      </c>
      <c r="L17" s="4">
        <f t="shared" si="2"/>
        <v>-6.1202088247891417E-4</v>
      </c>
      <c r="M17" s="4">
        <f t="shared" si="1"/>
        <v>2.0747018070643719E-3</v>
      </c>
      <c r="N17" s="4">
        <f t="shared" si="1"/>
        <v>3.7663761140400709E-3</v>
      </c>
      <c r="O17" s="4">
        <f t="shared" si="1"/>
        <v>-6.9125453861418329E-4</v>
      </c>
      <c r="P17" s="4">
        <f t="shared" si="1"/>
        <v>1.9932724532343293E-3</v>
      </c>
      <c r="Q17" s="4">
        <f t="shared" si="1"/>
        <v>3.683568188324271E-3</v>
      </c>
    </row>
    <row r="18" spans="1:17" x14ac:dyDescent="0.2">
      <c r="A18">
        <v>2030</v>
      </c>
      <c r="B18" s="3" cm="1">
        <f t="array" ref="B18">INDEX(MFModRaw!$B$2:$Z$37,_xlfn.XMATCH($A18,MFModRaw!$A$2:$A$37),_xlfn.XMATCH(B$2,MFModRaw!$B$1:$Z$1))</f>
        <v>167621595.458682</v>
      </c>
      <c r="C18" s="3" cm="1">
        <f t="array" ref="C18">INDEX(MFModRaw!$B$2:$Z$37,_xlfn.XMATCH($A18,MFModRaw!$A$2:$A$37),_xlfn.XMATCH(C$2,MFModRaw!$B$1:$Z$1))</f>
        <v>167502710.959719</v>
      </c>
      <c r="D18" s="3" cm="1">
        <f t="array" ref="D18">INDEX(MFModRaw!$B$2:$Z$37,_xlfn.XMATCH($A18,MFModRaw!$A$2:$A$37),_xlfn.XMATCH(D$2,MFModRaw!$B$1:$Z$1))</f>
        <v>168051301.11942601</v>
      </c>
      <c r="E18" s="3" cm="1">
        <f t="array" ref="E18">INDEX(MFModRaw!$B$2:$Z$37,_xlfn.XMATCH($A18,MFModRaw!$A$2:$A$37),_xlfn.XMATCH(E$2,MFModRaw!$B$1:$Z$1))</f>
        <v>168396810.32974699</v>
      </c>
      <c r="F18" s="3" cm="1">
        <f t="array" ref="F18">INDEX(MFModRaw!$B$2:$Z$37,_xlfn.XMATCH($A18,MFModRaw!$A$2:$A$37),_xlfn.XMATCH(F$2,MFModRaw!$B$1:$Z$1))</f>
        <v>167479527.26664999</v>
      </c>
      <c r="G18" s="3" cm="1">
        <f t="array" ref="G18">INDEX(MFModRaw!$B$2:$Z$37,_xlfn.XMATCH($A18,MFModRaw!$A$2:$A$37),_xlfn.XMATCH(G$2,MFModRaw!$B$1:$Z$1))</f>
        <v>168027458.609074</v>
      </c>
      <c r="H18" s="3" cm="1">
        <f t="array" ref="H18">INDEX(MFModRaw!$B$2:$Z$37,_xlfn.XMATCH($A18,MFModRaw!$A$2:$A$37),_xlfn.XMATCH(H$2,MFModRaw!$B$1:$Z$1))</f>
        <v>168372554.09754199</v>
      </c>
      <c r="K18">
        <v>2030</v>
      </c>
      <c r="L18" s="4">
        <f t="shared" si="2"/>
        <v>-7.0924333250543814E-4</v>
      </c>
      <c r="M18" s="4">
        <f t="shared" si="1"/>
        <v>2.5635459414889983E-3</v>
      </c>
      <c r="N18" s="4">
        <f t="shared" si="1"/>
        <v>4.6247911490382432E-3</v>
      </c>
      <c r="O18" s="4">
        <f t="shared" si="1"/>
        <v>-8.4755303541439453E-4</v>
      </c>
      <c r="P18" s="4">
        <f t="shared" si="1"/>
        <v>2.4213058543047783E-3</v>
      </c>
      <c r="Q18" s="4">
        <f t="shared" si="1"/>
        <v>4.4800828724069763E-3</v>
      </c>
    </row>
    <row r="19" spans="1:17" x14ac:dyDescent="0.2">
      <c r="A19">
        <v>2031</v>
      </c>
      <c r="B19" s="3" cm="1">
        <f t="array" ref="B19">INDEX(MFModRaw!$B$2:$Z$37,_xlfn.XMATCH($A19,MFModRaw!$A$2:$A$37),_xlfn.XMATCH(B$2,MFModRaw!$B$1:$Z$1))</f>
        <v>168309329.610174</v>
      </c>
      <c r="C19" s="3" cm="1">
        <f t="array" ref="C19">INDEX(MFModRaw!$B$2:$Z$37,_xlfn.XMATCH($A19,MFModRaw!$A$2:$A$37),_xlfn.XMATCH(C$2,MFModRaw!$B$1:$Z$1))</f>
        <v>168174578.20582801</v>
      </c>
      <c r="D19" s="3" cm="1">
        <f t="array" ref="D19">INDEX(MFModRaw!$B$2:$Z$37,_xlfn.XMATCH($A19,MFModRaw!$A$2:$A$37),_xlfn.XMATCH(D$2,MFModRaw!$B$1:$Z$1))</f>
        <v>168830922.31611201</v>
      </c>
      <c r="E19" s="3" cm="1">
        <f t="array" ref="E19">INDEX(MFModRaw!$B$2:$Z$37,_xlfn.XMATCH($A19,MFModRaw!$A$2:$A$37),_xlfn.XMATCH(E$2,MFModRaw!$B$1:$Z$1))</f>
        <v>169244417.80824801</v>
      </c>
      <c r="F19" s="3" cm="1">
        <f t="array" ref="F19">INDEX(MFModRaw!$B$2:$Z$37,_xlfn.XMATCH($A19,MFModRaw!$A$2:$A$37),_xlfn.XMATCH(F$2,MFModRaw!$B$1:$Z$1))</f>
        <v>168139024.82459599</v>
      </c>
      <c r="G19" s="3" cm="1">
        <f t="array" ref="G19">INDEX(MFModRaw!$B$2:$Z$37,_xlfn.XMATCH($A19,MFModRaw!$A$2:$A$37),_xlfn.XMATCH(G$2,MFModRaw!$B$1:$Z$1))</f>
        <v>168794304.496968</v>
      </c>
      <c r="H19" s="3" cm="1">
        <f t="array" ref="H19">INDEX(MFModRaw!$B$2:$Z$37,_xlfn.XMATCH($A19,MFModRaw!$A$2:$A$37),_xlfn.XMATCH(H$2,MFModRaw!$B$1:$Z$1))</f>
        <v>169207130.81025299</v>
      </c>
      <c r="K19">
        <v>2031</v>
      </c>
      <c r="L19" s="4">
        <f t="shared" si="2"/>
        <v>-8.0061755731597462E-4</v>
      </c>
      <c r="M19" s="4">
        <f t="shared" si="2"/>
        <v>3.0990124382652695E-3</v>
      </c>
      <c r="N19" s="4">
        <f t="shared" si="2"/>
        <v>5.5557716273946234E-3</v>
      </c>
      <c r="O19" s="4">
        <f t="shared" si="2"/>
        <v>-1.0118558844744996E-3</v>
      </c>
      <c r="P19" s="4">
        <f t="shared" si="2"/>
        <v>2.8814498157485602E-3</v>
      </c>
      <c r="Q19" s="4">
        <f t="shared" si="2"/>
        <v>5.3342331180239455E-3</v>
      </c>
    </row>
    <row r="20" spans="1:17" x14ac:dyDescent="0.2">
      <c r="A20">
        <v>2032</v>
      </c>
      <c r="B20" s="3" cm="1">
        <f t="array" ref="B20">INDEX(MFModRaw!$B$2:$Z$37,_xlfn.XMATCH($A20,MFModRaw!$A$2:$A$37),_xlfn.XMATCH(B$2,MFModRaw!$B$1:$Z$1))</f>
        <v>169054085.10363299</v>
      </c>
      <c r="C20" s="3" cm="1">
        <f t="array" ref="C20">INDEX(MFModRaw!$B$2:$Z$37,_xlfn.XMATCH($A20,MFModRaw!$A$2:$A$37),_xlfn.XMATCH(C$2,MFModRaw!$B$1:$Z$1))</f>
        <v>168903742.62945801</v>
      </c>
      <c r="D20" s="3" cm="1">
        <f t="array" ref="D20">INDEX(MFModRaw!$B$2:$Z$37,_xlfn.XMATCH($A20,MFModRaw!$A$2:$A$37),_xlfn.XMATCH(D$2,MFModRaw!$B$1:$Z$1))</f>
        <v>169674606.55072999</v>
      </c>
      <c r="E20" s="3" cm="1">
        <f t="array" ref="E20">INDEX(MFModRaw!$B$2:$Z$37,_xlfn.XMATCH($A20,MFModRaw!$A$2:$A$37),_xlfn.XMATCH(E$2,MFModRaw!$B$1:$Z$1))</f>
        <v>170160224.484227</v>
      </c>
      <c r="F20" s="3" cm="1">
        <f t="array" ref="F20">INDEX(MFModRaw!$B$2:$Z$37,_xlfn.XMATCH($A20,MFModRaw!$A$2:$A$37),_xlfn.XMATCH(F$2,MFModRaw!$B$1:$Z$1))</f>
        <v>168852999.848391</v>
      </c>
      <c r="G20" s="3" cm="1">
        <f t="array" ref="G20">INDEX(MFModRaw!$B$2:$Z$37,_xlfn.XMATCH($A20,MFModRaw!$A$2:$A$37),_xlfn.XMATCH(G$2,MFModRaw!$B$1:$Z$1))</f>
        <v>169622240.816614</v>
      </c>
      <c r="H20" s="3" cm="1">
        <f t="array" ref="H20">INDEX(MFModRaw!$B$2:$Z$37,_xlfn.XMATCH($A20,MFModRaw!$A$2:$A$37),_xlfn.XMATCH(H$2,MFModRaw!$B$1:$Z$1))</f>
        <v>170106837.65970501</v>
      </c>
      <c r="K20">
        <v>2032</v>
      </c>
      <c r="L20" s="4">
        <f t="shared" si="2"/>
        <v>-8.8931583098283973E-4</v>
      </c>
      <c r="M20" s="4">
        <f t="shared" si="2"/>
        <v>3.6705498522358049E-3</v>
      </c>
      <c r="N20" s="4">
        <f t="shared" si="2"/>
        <v>6.5431094428503034E-3</v>
      </c>
      <c r="O20" s="4">
        <f t="shared" si="2"/>
        <v>-1.1894729140601301E-3</v>
      </c>
      <c r="P20" s="4">
        <f t="shared" si="2"/>
        <v>3.3607925690333218E-3</v>
      </c>
      <c r="Q20" s="4">
        <f t="shared" si="2"/>
        <v>6.2273121375722162E-3</v>
      </c>
    </row>
    <row r="21" spans="1:17" x14ac:dyDescent="0.2">
      <c r="A21">
        <v>2033</v>
      </c>
      <c r="B21" s="3" cm="1">
        <f t="array" ref="B21">INDEX(MFModRaw!$B$2:$Z$37,_xlfn.XMATCH($A21,MFModRaw!$A$2:$A$37),_xlfn.XMATCH(B$2,MFModRaw!$B$1:$Z$1))</f>
        <v>170006357.98768699</v>
      </c>
      <c r="C21" s="3" cm="1">
        <f t="array" ref="C21">INDEX(MFModRaw!$B$2:$Z$37,_xlfn.XMATCH($A21,MFModRaw!$A$2:$A$37),_xlfn.XMATCH(C$2,MFModRaw!$B$1:$Z$1))</f>
        <v>169839906.058103</v>
      </c>
      <c r="D21" s="3" cm="1">
        <f t="array" ref="D21">INDEX(MFModRaw!$B$2:$Z$37,_xlfn.XMATCH($A21,MFModRaw!$A$2:$A$37),_xlfn.XMATCH(D$2,MFModRaw!$B$1:$Z$1))</f>
        <v>170731814.271487</v>
      </c>
      <c r="E21" s="3" cm="1">
        <f t="array" ref="E21">INDEX(MFModRaw!$B$2:$Z$37,_xlfn.XMATCH($A21,MFModRaw!$A$2:$A$37),_xlfn.XMATCH(E$2,MFModRaw!$B$1:$Z$1))</f>
        <v>171293458.75523299</v>
      </c>
      <c r="F21" s="3" cm="1">
        <f t="array" ref="F21">INDEX(MFModRaw!$B$2:$Z$37,_xlfn.XMATCH($A21,MFModRaw!$A$2:$A$37),_xlfn.XMATCH(F$2,MFModRaw!$B$1:$Z$1))</f>
        <v>169771829.961602</v>
      </c>
      <c r="G21" s="3" cm="1">
        <f t="array" ref="G21">INDEX(MFModRaw!$B$2:$Z$37,_xlfn.XMATCH($A21,MFModRaw!$A$2:$A$37),_xlfn.XMATCH(G$2,MFModRaw!$B$1:$Z$1))</f>
        <v>170661407.65856799</v>
      </c>
      <c r="H21" s="3" cm="1">
        <f t="array" ref="H21">INDEX(MFModRaw!$B$2:$Z$37,_xlfn.XMATCH($A21,MFModRaw!$A$2:$A$37),_xlfn.XMATCH(H$2,MFModRaw!$B$1:$Z$1))</f>
        <v>171221585.08918399</v>
      </c>
      <c r="K21">
        <v>2033</v>
      </c>
      <c r="L21" s="4">
        <f t="shared" si="2"/>
        <v>-9.7909237956883555E-4</v>
      </c>
      <c r="M21" s="4">
        <f t="shared" si="2"/>
        <v>4.2672303106012777E-3</v>
      </c>
      <c r="N21" s="4">
        <f t="shared" si="2"/>
        <v>7.5708978345341293E-3</v>
      </c>
      <c r="O21" s="4">
        <f t="shared" si="2"/>
        <v>-1.3795250298931361E-3</v>
      </c>
      <c r="P21" s="4">
        <f t="shared" si="2"/>
        <v>3.8530892528645388E-3</v>
      </c>
      <c r="Q21" s="4">
        <f t="shared" si="2"/>
        <v>7.1481273752420638E-3</v>
      </c>
    </row>
    <row r="22" spans="1:17" x14ac:dyDescent="0.2">
      <c r="A22">
        <v>2034</v>
      </c>
      <c r="B22" s="3" cm="1">
        <f t="array" ref="B22">INDEX(MFModRaw!$B$2:$Z$37,_xlfn.XMATCH($A22,MFModRaw!$A$2:$A$37),_xlfn.XMATCH(B$2,MFModRaw!$B$1:$Z$1))</f>
        <v>171269059.74022999</v>
      </c>
      <c r="C22" s="3" cm="1">
        <f t="array" ref="C22">INDEX(MFModRaw!$B$2:$Z$37,_xlfn.XMATCH($A22,MFModRaw!$A$2:$A$37),_xlfn.XMATCH(C$2,MFModRaw!$B$1:$Z$1))</f>
        <v>171086563.329815</v>
      </c>
      <c r="D22" s="3" cm="1">
        <f t="array" ref="D22">INDEX(MFModRaw!$B$2:$Z$37,_xlfn.XMATCH($A22,MFModRaw!$A$2:$A$37),_xlfn.XMATCH(D$2,MFModRaw!$B$1:$Z$1))</f>
        <v>172106161.751589</v>
      </c>
      <c r="E22" s="3" cm="1">
        <f t="array" ref="E22">INDEX(MFModRaw!$B$2:$Z$37,_xlfn.XMATCH($A22,MFModRaw!$A$2:$A$37),_xlfn.XMATCH(E$2,MFModRaw!$B$1:$Z$1))</f>
        <v>172747773.30398601</v>
      </c>
      <c r="F22" s="3" cm="1">
        <f t="array" ref="F22">INDEX(MFModRaw!$B$2:$Z$37,_xlfn.XMATCH($A22,MFModRaw!$A$2:$A$37),_xlfn.XMATCH(F$2,MFModRaw!$B$1:$Z$1))</f>
        <v>170998052.76162401</v>
      </c>
      <c r="G22" s="3" cm="1">
        <f t="array" ref="G22">INDEX(MFModRaw!$B$2:$Z$37,_xlfn.XMATCH($A22,MFModRaw!$A$2:$A$37),_xlfn.XMATCH(G$2,MFModRaw!$B$1:$Z$1))</f>
        <v>172014389.17862299</v>
      </c>
      <c r="H22" s="3" cm="1">
        <f t="array" ref="H22">INDEX(MFModRaw!$B$2:$Z$37,_xlfn.XMATCH($A22,MFModRaw!$A$2:$A$37),_xlfn.XMATCH(H$2,MFModRaw!$B$1:$Z$1))</f>
        <v>172653946.120287</v>
      </c>
      <c r="K22">
        <v>2034</v>
      </c>
      <c r="L22" s="4">
        <f t="shared" si="2"/>
        <v>-1.0655538758242988E-3</v>
      </c>
      <c r="M22" s="4">
        <f t="shared" si="2"/>
        <v>4.8876429439659308E-3</v>
      </c>
      <c r="N22" s="4">
        <f t="shared" si="2"/>
        <v>8.6338628004312135E-3</v>
      </c>
      <c r="O22" s="4">
        <f t="shared" si="2"/>
        <v>-1.5823463912105762E-3</v>
      </c>
      <c r="P22" s="4">
        <f t="shared" si="2"/>
        <v>4.3518043453001365E-3</v>
      </c>
      <c r="Q22" s="4">
        <f t="shared" si="2"/>
        <v>8.086027810028984E-3</v>
      </c>
    </row>
    <row r="23" spans="1:17" x14ac:dyDescent="0.2">
      <c r="A23">
        <v>2035</v>
      </c>
      <c r="B23" s="3" cm="1">
        <f t="array" ref="B23">INDEX(MFModRaw!$B$2:$Z$37,_xlfn.XMATCH($A23,MFModRaw!$A$2:$A$37),_xlfn.XMATCH(B$2,MFModRaw!$B$1:$Z$1))</f>
        <v>172900131.026261</v>
      </c>
      <c r="C23" s="3" cm="1">
        <f t="array" ref="C23">INDEX(MFModRaw!$B$2:$Z$37,_xlfn.XMATCH($A23,MFModRaw!$A$2:$A$37),_xlfn.XMATCH(C$2,MFModRaw!$B$1:$Z$1))</f>
        <v>172701299.31225801</v>
      </c>
      <c r="D23" s="3" cm="1">
        <f t="array" ref="D23">INDEX(MFModRaw!$B$2:$Z$37,_xlfn.XMATCH($A23,MFModRaw!$A$2:$A$37),_xlfn.XMATCH(D$2,MFModRaw!$B$1:$Z$1))</f>
        <v>173855553.03345299</v>
      </c>
      <c r="E23" s="3" cm="1">
        <f t="array" ref="E23">INDEX(MFModRaw!$B$2:$Z$37,_xlfn.XMATCH($A23,MFModRaw!$A$2:$A$37),_xlfn.XMATCH(E$2,MFModRaw!$B$1:$Z$1))</f>
        <v>174581262.458222</v>
      </c>
      <c r="F23" s="3" cm="1">
        <f t="array" ref="F23">INDEX(MFModRaw!$B$2:$Z$37,_xlfn.XMATCH($A23,MFModRaw!$A$2:$A$37),_xlfn.XMATCH(F$2,MFModRaw!$B$1:$Z$1))</f>
        <v>172588182.04454499</v>
      </c>
      <c r="G23" s="3" cm="1">
        <f t="array" ref="G23">INDEX(MFModRaw!$B$2:$Z$37,_xlfn.XMATCH($A23,MFModRaw!$A$2:$A$37),_xlfn.XMATCH(G$2,MFModRaw!$B$1:$Z$1))</f>
        <v>173737932.882186</v>
      </c>
      <c r="H23" s="3" cm="1">
        <f t="array" ref="H23">INDEX(MFModRaw!$B$2:$Z$37,_xlfn.XMATCH($A23,MFModRaw!$A$2:$A$37),_xlfn.XMATCH(H$2,MFModRaw!$B$1:$Z$1))</f>
        <v>174460804.434692</v>
      </c>
      <c r="K23">
        <v>2035</v>
      </c>
      <c r="L23" s="4">
        <f t="shared" si="2"/>
        <v>-1.1499801233395557E-3</v>
      </c>
      <c r="M23" s="4">
        <f t="shared" si="2"/>
        <v>5.5258605156689455E-3</v>
      </c>
      <c r="N23" s="4">
        <f t="shared" si="2"/>
        <v>9.7231356736546815E-3</v>
      </c>
      <c r="O23" s="4">
        <f t="shared" si="2"/>
        <v>-1.8042148369952216E-3</v>
      </c>
      <c r="P23" s="4">
        <f t="shared" si="2"/>
        <v>4.845582539192872E-3</v>
      </c>
      <c r="Q23" s="4">
        <f t="shared" si="2"/>
        <v>9.0264443362044755E-3</v>
      </c>
    </row>
    <row r="24" spans="1:17" x14ac:dyDescent="0.2">
      <c r="A24">
        <v>2036</v>
      </c>
      <c r="B24" s="3" cm="1">
        <f t="array" ref="B24">INDEX(MFModRaw!$B$2:$Z$37,_xlfn.XMATCH($A24,MFModRaw!$A$2:$A$37),_xlfn.XMATCH(B$2,MFModRaw!$B$1:$Z$1))</f>
        <v>174919726.61688799</v>
      </c>
      <c r="C24" s="3" cm="1">
        <f t="array" ref="C24">INDEX(MFModRaw!$B$2:$Z$37,_xlfn.XMATCH($A24,MFModRaw!$A$2:$A$37),_xlfn.XMATCH(C$2,MFModRaw!$B$1:$Z$1))</f>
        <v>174705153.07999</v>
      </c>
      <c r="D24" s="3" cm="1">
        <f t="array" ref="D24">INDEX(MFModRaw!$B$2:$Z$37,_xlfn.XMATCH($A24,MFModRaw!$A$2:$A$37),_xlfn.XMATCH(D$2,MFModRaw!$B$1:$Z$1))</f>
        <v>176001592.43381599</v>
      </c>
      <c r="E24" s="3" cm="1">
        <f t="array" ref="E24">INDEX(MFModRaw!$B$2:$Z$37,_xlfn.XMATCH($A24,MFModRaw!$A$2:$A$37),_xlfn.XMATCH(E$2,MFModRaw!$B$1:$Z$1))</f>
        <v>176815898.306521</v>
      </c>
      <c r="F24" s="3" cm="1">
        <f t="array" ref="F24">INDEX(MFModRaw!$B$2:$Z$37,_xlfn.XMATCH($A24,MFModRaw!$A$2:$A$37),_xlfn.XMATCH(F$2,MFModRaw!$B$1:$Z$1))</f>
        <v>174560722.66697401</v>
      </c>
      <c r="G24" s="3" cm="1">
        <f t="array" ref="G24">INDEX(MFModRaw!$B$2:$Z$37,_xlfn.XMATCH($A24,MFModRaw!$A$2:$A$37),_xlfn.XMATCH(G$2,MFModRaw!$B$1:$Z$1))</f>
        <v>175850928.18746099</v>
      </c>
      <c r="H24" s="3" cm="1">
        <f t="array" ref="H24">INDEX(MFModRaw!$B$2:$Z$37,_xlfn.XMATCH($A24,MFModRaw!$A$2:$A$37),_xlfn.XMATCH(H$2,MFModRaw!$B$1:$Z$1))</f>
        <v>176661303.04552001</v>
      </c>
      <c r="K24">
        <v>2036</v>
      </c>
      <c r="L24" s="4">
        <f t="shared" si="2"/>
        <v>-1.2266971887507916E-3</v>
      </c>
      <c r="M24" s="4">
        <f t="shared" si="2"/>
        <v>6.1849274398737553E-3</v>
      </c>
      <c r="N24" s="4">
        <f t="shared" si="2"/>
        <v>1.084023927035993E-2</v>
      </c>
      <c r="O24" s="4">
        <f t="shared" si="2"/>
        <v>-2.0523925852015124E-3</v>
      </c>
      <c r="P24" s="4">
        <f t="shared" si="2"/>
        <v>5.3235937911824127E-3</v>
      </c>
      <c r="Q24" s="4">
        <f t="shared" si="2"/>
        <v>9.9564323722414194E-3</v>
      </c>
    </row>
    <row r="25" spans="1:17" x14ac:dyDescent="0.2">
      <c r="A25">
        <v>2037</v>
      </c>
      <c r="B25" s="3" cm="1">
        <f t="array" ref="B25">INDEX(MFModRaw!$B$2:$Z$37,_xlfn.XMATCH($A25,MFModRaw!$A$2:$A$37),_xlfn.XMATCH(B$2,MFModRaw!$B$1:$Z$1))</f>
        <v>177318984.33424601</v>
      </c>
      <c r="C25" s="3" cm="1">
        <f t="array" ref="C25">INDEX(MFModRaw!$B$2:$Z$37,_xlfn.XMATCH($A25,MFModRaw!$A$2:$A$37),_xlfn.XMATCH(C$2,MFModRaw!$B$1:$Z$1))</f>
        <v>177087999.63686299</v>
      </c>
      <c r="D25" s="3" cm="1">
        <f t="array" ref="D25">INDEX(MFModRaw!$B$2:$Z$37,_xlfn.XMATCH($A25,MFModRaw!$A$2:$A$37),_xlfn.XMATCH(D$2,MFModRaw!$B$1:$Z$1))</f>
        <v>178534678.45427001</v>
      </c>
      <c r="E25" s="3" cm="1">
        <f t="array" ref="E25">INDEX(MFModRaw!$B$2:$Z$37,_xlfn.XMATCH($A25,MFModRaw!$A$2:$A$37),_xlfn.XMATCH(E$2,MFModRaw!$B$1:$Z$1))</f>
        <v>179442594.16524199</v>
      </c>
      <c r="F25" s="3" cm="1">
        <f t="array" ref="F25">INDEX(MFModRaw!$B$2:$Z$37,_xlfn.XMATCH($A25,MFModRaw!$A$2:$A$37),_xlfn.XMATCH(F$2,MFModRaw!$B$1:$Z$1))</f>
        <v>176906783.48280001</v>
      </c>
      <c r="G25" s="3" cm="1">
        <f t="array" ref="G25">INDEX(MFModRaw!$B$2:$Z$37,_xlfn.XMATCH($A25,MFModRaw!$A$2:$A$37),_xlfn.XMATCH(G$2,MFModRaw!$B$1:$Z$1))</f>
        <v>178345042.762788</v>
      </c>
      <c r="H25" s="3" cm="1">
        <f t="array" ref="H25">INDEX(MFModRaw!$B$2:$Z$37,_xlfn.XMATCH($A25,MFModRaw!$A$2:$A$37),_xlfn.XMATCH(H$2,MFModRaw!$B$1:$Z$1))</f>
        <v>179247644.391242</v>
      </c>
      <c r="K25">
        <v>2037</v>
      </c>
      <c r="L25" s="4">
        <f t="shared" si="2"/>
        <v>-1.3026506905070567E-3</v>
      </c>
      <c r="M25" s="4">
        <f t="shared" si="2"/>
        <v>6.8559727238930446E-3</v>
      </c>
      <c r="N25" s="4">
        <f t="shared" si="2"/>
        <v>1.197621246799474E-2</v>
      </c>
      <c r="O25" s="4">
        <f t="shared" si="2"/>
        <v>-2.3246289899168104E-3</v>
      </c>
      <c r="P25" s="4">
        <f t="shared" si="2"/>
        <v>5.7865119879543236E-3</v>
      </c>
      <c r="Q25" s="4">
        <f t="shared" si="2"/>
        <v>1.0876782676357166E-2</v>
      </c>
    </row>
    <row r="26" spans="1:17" x14ac:dyDescent="0.2">
      <c r="A26">
        <v>2038</v>
      </c>
      <c r="B26" s="3" cm="1">
        <f t="array" ref="B26">INDEX(MFModRaw!$B$2:$Z$37,_xlfn.XMATCH($A26,MFModRaw!$A$2:$A$37),_xlfn.XMATCH(B$2,MFModRaw!$B$1:$Z$1))</f>
        <v>180068444.86968201</v>
      </c>
      <c r="C26" s="3" cm="1">
        <f t="array" ref="C26">INDEX(MFModRaw!$B$2:$Z$37,_xlfn.XMATCH($A26,MFModRaw!$A$2:$A$37),_xlfn.XMATCH(C$2,MFModRaw!$B$1:$Z$1))</f>
        <v>179818861.978282</v>
      </c>
      <c r="D26" s="3" cm="1">
        <f t="array" ref="D26">INDEX(MFModRaw!$B$2:$Z$37,_xlfn.XMATCH($A26,MFModRaw!$A$2:$A$37),_xlfn.XMATCH(D$2,MFModRaw!$B$1:$Z$1))</f>
        <v>181424352.587973</v>
      </c>
      <c r="E26" s="3" cm="1">
        <f t="array" ref="E26">INDEX(MFModRaw!$B$2:$Z$37,_xlfn.XMATCH($A26,MFModRaw!$A$2:$A$37),_xlfn.XMATCH(E$2,MFModRaw!$B$1:$Z$1))</f>
        <v>182431358.58122599</v>
      </c>
      <c r="F26" s="3" cm="1">
        <f t="array" ref="F26">INDEX(MFModRaw!$B$2:$Z$37,_xlfn.XMATCH($A26,MFModRaw!$A$2:$A$37),_xlfn.XMATCH(F$2,MFModRaw!$B$1:$Z$1))</f>
        <v>179596349.42456001</v>
      </c>
      <c r="G26" s="3" cm="1">
        <f t="array" ref="G26">INDEX(MFModRaw!$B$2:$Z$37,_xlfn.XMATCH($A26,MFModRaw!$A$2:$A$37),_xlfn.XMATCH(G$2,MFModRaw!$B$1:$Z$1))</f>
        <v>181190774.81319001</v>
      </c>
      <c r="H26" s="3" cm="1">
        <f t="array" ref="H26">INDEX(MFModRaw!$B$2:$Z$37,_xlfn.XMATCH($A26,MFModRaw!$A$2:$A$37),_xlfn.XMATCH(H$2,MFModRaw!$B$1:$Z$1))</f>
        <v>182190800.20903701</v>
      </c>
      <c r="K26">
        <v>2038</v>
      </c>
      <c r="L26" s="4">
        <f t="shared" si="2"/>
        <v>-1.3860445764422025E-3</v>
      </c>
      <c r="M26" s="4">
        <f t="shared" si="2"/>
        <v>7.5299573963238942E-3</v>
      </c>
      <c r="N26" s="4">
        <f t="shared" si="2"/>
        <v>1.3122308649103021E-2</v>
      </c>
      <c r="O26" s="4">
        <f t="shared" si="2"/>
        <v>-2.6217555522494163E-3</v>
      </c>
      <c r="P26" s="4">
        <f t="shared" si="2"/>
        <v>6.232796336527624E-3</v>
      </c>
      <c r="Q26" s="4">
        <f t="shared" si="2"/>
        <v>1.1786381233485743E-2</v>
      </c>
    </row>
    <row r="27" spans="1:17" x14ac:dyDescent="0.2">
      <c r="A27">
        <v>2039</v>
      </c>
      <c r="B27" s="3" cm="1">
        <f t="array" ref="B27">INDEX(MFModRaw!$B$2:$Z$37,_xlfn.XMATCH($A27,MFModRaw!$A$2:$A$37),_xlfn.XMATCH(B$2,MFModRaw!$B$1:$Z$1))</f>
        <v>183125137.17307499</v>
      </c>
      <c r="C27" s="3" cm="1">
        <f t="array" ref="C27">INDEX(MFModRaw!$B$2:$Z$37,_xlfn.XMATCH($A27,MFModRaw!$A$2:$A$37),_xlfn.XMATCH(C$2,MFModRaw!$B$1:$Z$1))</f>
        <v>182854541.803635</v>
      </c>
      <c r="D27" s="3" cm="1">
        <f t="array" ref="D27">INDEX(MFModRaw!$B$2:$Z$37,_xlfn.XMATCH($A27,MFModRaw!$A$2:$A$37),_xlfn.XMATCH(D$2,MFModRaw!$B$1:$Z$1))</f>
        <v>184627939.74965799</v>
      </c>
      <c r="E27" s="3" cm="1">
        <f t="array" ref="E27">INDEX(MFModRaw!$B$2:$Z$37,_xlfn.XMATCH($A27,MFModRaw!$A$2:$A$37),_xlfn.XMATCH(E$2,MFModRaw!$B$1:$Z$1))</f>
        <v>185739943.921496</v>
      </c>
      <c r="F27" s="3" cm="1">
        <f t="array" ref="F27">INDEX(MFModRaw!$B$2:$Z$37,_xlfn.XMATCH($A27,MFModRaw!$A$2:$A$37),_xlfn.XMATCH(F$2,MFModRaw!$B$1:$Z$1))</f>
        <v>182586231.013942</v>
      </c>
      <c r="G27" s="3" cm="1">
        <f t="array" ref="G27">INDEX(MFModRaw!$B$2:$Z$37,_xlfn.XMATCH($A27,MFModRaw!$A$2:$A$37),_xlfn.XMATCH(G$2,MFModRaw!$B$1:$Z$1))</f>
        <v>184345407.034273</v>
      </c>
      <c r="H27" s="3" cm="1">
        <f t="array" ref="H27">INDEX(MFModRaw!$B$2:$Z$37,_xlfn.XMATCH($A27,MFModRaw!$A$2:$A$37),_xlfn.XMATCH(H$2,MFModRaw!$B$1:$Z$1))</f>
        <v>185448440.26736099</v>
      </c>
      <c r="K27">
        <v>2039</v>
      </c>
      <c r="L27" s="4">
        <f t="shared" si="2"/>
        <v>-1.4776527876904089E-3</v>
      </c>
      <c r="M27" s="4">
        <f t="shared" si="2"/>
        <v>8.20642430516072E-3</v>
      </c>
      <c r="N27" s="4">
        <f t="shared" si="2"/>
        <v>1.427879748671379E-2</v>
      </c>
      <c r="O27" s="4">
        <f t="shared" si="2"/>
        <v>-2.942830063923263E-3</v>
      </c>
      <c r="P27" s="4">
        <f t="shared" si="2"/>
        <v>6.663584694244884E-3</v>
      </c>
      <c r="Q27" s="4">
        <f t="shared" si="2"/>
        <v>1.2686969851059882E-2</v>
      </c>
    </row>
    <row r="28" spans="1:17" x14ac:dyDescent="0.2">
      <c r="A28">
        <v>2040</v>
      </c>
      <c r="B28" s="3" cm="1">
        <f t="array" ref="B28">INDEX(MFModRaw!$B$2:$Z$37,_xlfn.XMATCH($A28,MFModRaw!$A$2:$A$37),_xlfn.XMATCH(B$2,MFModRaw!$B$1:$Z$1))</f>
        <v>186438077.322853</v>
      </c>
      <c r="C28" s="3" cm="1">
        <f t="array" ref="C28">INDEX(MFModRaw!$B$2:$Z$37,_xlfn.XMATCH($A28,MFModRaw!$A$2:$A$37),_xlfn.XMATCH(C$2,MFModRaw!$B$1:$Z$1))</f>
        <v>186144933.97312701</v>
      </c>
      <c r="D28" s="3" cm="1">
        <f t="array" ref="D28">INDEX(MFModRaw!$B$2:$Z$37,_xlfn.XMATCH($A28,MFModRaw!$A$2:$A$37),_xlfn.XMATCH(D$2,MFModRaw!$B$1:$Z$1))</f>
        <v>188095789.71294701</v>
      </c>
      <c r="E28" s="3" cm="1">
        <f t="array" ref="E28">INDEX(MFModRaw!$B$2:$Z$37,_xlfn.XMATCH($A28,MFModRaw!$A$2:$A$37),_xlfn.XMATCH(E$2,MFModRaw!$B$1:$Z$1))</f>
        <v>189319054.75806999</v>
      </c>
      <c r="F28" s="3" cm="1">
        <f t="array" ref="F28">INDEX(MFModRaw!$B$2:$Z$37,_xlfn.XMATCH($A28,MFModRaw!$A$2:$A$37),_xlfn.XMATCH(F$2,MFModRaw!$B$1:$Z$1))</f>
        <v>185824212.68632501</v>
      </c>
      <c r="G28" s="3" cm="1">
        <f t="array" ref="G28">INDEX(MFModRaw!$B$2:$Z$37,_xlfn.XMATCH($A28,MFModRaw!$A$2:$A$37),_xlfn.XMATCH(G$2,MFModRaw!$B$1:$Z$1))</f>
        <v>187756965.55640301</v>
      </c>
      <c r="H28" s="3" cm="1">
        <f t="array" ref="H28">INDEX(MFModRaw!$B$2:$Z$37,_xlfn.XMATCH($A28,MFModRaw!$A$2:$A$37),_xlfn.XMATCH(H$2,MFModRaw!$B$1:$Z$1))</f>
        <v>188968807.56523299</v>
      </c>
      <c r="K28">
        <v>2040</v>
      </c>
      <c r="L28" s="4">
        <f t="shared" si="2"/>
        <v>-1.5723362627171333E-3</v>
      </c>
      <c r="M28" s="4">
        <f t="shared" si="2"/>
        <v>8.8914904825121432E-3</v>
      </c>
      <c r="N28" s="4">
        <f t="shared" si="2"/>
        <v>1.545273088301613E-2</v>
      </c>
      <c r="O28" s="4">
        <f t="shared" si="2"/>
        <v>-3.2925926148925644E-3</v>
      </c>
      <c r="P28" s="4">
        <f t="shared" si="2"/>
        <v>7.0741355654837523E-3</v>
      </c>
      <c r="Q28" s="4">
        <f t="shared" si="2"/>
        <v>1.3574106098495964E-2</v>
      </c>
    </row>
    <row r="29" spans="1:17" x14ac:dyDescent="0.2">
      <c r="A29">
        <v>2041</v>
      </c>
      <c r="B29" s="3" cm="1">
        <f t="array" ref="B29">INDEX(MFModRaw!$B$2:$Z$37,_xlfn.XMATCH($A29,MFModRaw!$A$2:$A$37),_xlfn.XMATCH(B$2,MFModRaw!$B$1:$Z$1))</f>
        <v>189952295.52131799</v>
      </c>
      <c r="C29" s="3" cm="1">
        <f t="array" ref="C29">INDEX(MFModRaw!$B$2:$Z$37,_xlfn.XMATCH($A29,MFModRaw!$A$2:$A$37),_xlfn.XMATCH(C$2,MFModRaw!$B$1:$Z$1))</f>
        <v>189634472.180163</v>
      </c>
      <c r="D29" s="3" cm="1">
        <f t="array" ref="D29">INDEX(MFModRaw!$B$2:$Z$37,_xlfn.XMATCH($A29,MFModRaw!$A$2:$A$37),_xlfn.XMATCH(D$2,MFModRaw!$B$1:$Z$1))</f>
        <v>191772473.708745</v>
      </c>
      <c r="E29" s="3" cm="1">
        <f t="array" ref="E29">INDEX(MFModRaw!$B$2:$Z$37,_xlfn.XMATCH($A29,MFModRaw!$A$2:$A$37),_xlfn.XMATCH(E$2,MFModRaw!$B$1:$Z$1))</f>
        <v>193113387.39654201</v>
      </c>
      <c r="F29" s="3" cm="1">
        <f t="array" ref="F29">INDEX(MFModRaw!$B$2:$Z$37,_xlfn.XMATCH($A29,MFModRaw!$A$2:$A$37),_xlfn.XMATCH(F$2,MFModRaw!$B$1:$Z$1))</f>
        <v>189253474.28272799</v>
      </c>
      <c r="G29" s="3" cm="1">
        <f t="array" ref="G29">INDEX(MFModRaw!$B$2:$Z$37,_xlfn.XMATCH($A29,MFModRaw!$A$2:$A$37),_xlfn.XMATCH(G$2,MFModRaw!$B$1:$Z$1))</f>
        <v>191368613.24195901</v>
      </c>
      <c r="H29" s="3" cm="1">
        <f t="array" ref="H29">INDEX(MFModRaw!$B$2:$Z$37,_xlfn.XMATCH($A29,MFModRaw!$A$2:$A$37),_xlfn.XMATCH(H$2,MFModRaw!$B$1:$Z$1))</f>
        <v>192695095.02059999</v>
      </c>
      <c r="K29">
        <v>2041</v>
      </c>
      <c r="L29" s="4">
        <f t="shared" si="2"/>
        <v>-1.6731745214383364E-3</v>
      </c>
      <c r="M29" s="4">
        <f t="shared" si="2"/>
        <v>9.5822910822509488E-3</v>
      </c>
      <c r="N29" s="4">
        <f t="shared" si="2"/>
        <v>1.6641503944706315E-2</v>
      </c>
      <c r="O29" s="4">
        <f t="shared" si="2"/>
        <v>-3.6789302107252952E-3</v>
      </c>
      <c r="P29" s="4">
        <f t="shared" si="2"/>
        <v>7.4561758611759732E-3</v>
      </c>
      <c r="Q29" s="4">
        <f t="shared" si="2"/>
        <v>1.4439412231131321E-2</v>
      </c>
    </row>
    <row r="30" spans="1:17" x14ac:dyDescent="0.2">
      <c r="A30">
        <v>2042</v>
      </c>
      <c r="B30" s="3" cm="1">
        <f t="array" ref="B30">INDEX(MFModRaw!$B$2:$Z$37,_xlfn.XMATCH($A30,MFModRaw!$A$2:$A$37),_xlfn.XMATCH(B$2,MFModRaw!$B$1:$Z$1))</f>
        <v>193611669.19498399</v>
      </c>
      <c r="C30" s="3" cm="1">
        <f t="array" ref="C30">INDEX(MFModRaw!$B$2:$Z$37,_xlfn.XMATCH($A30,MFModRaw!$A$2:$A$37),_xlfn.XMATCH(C$2,MFModRaw!$B$1:$Z$1))</f>
        <v>193267250.46621299</v>
      </c>
      <c r="D30" s="3" cm="1">
        <f t="array" ref="D30">INDEX(MFModRaw!$B$2:$Z$37,_xlfn.XMATCH($A30,MFModRaw!$A$2:$A$37),_xlfn.XMATCH(D$2,MFModRaw!$B$1:$Z$1))</f>
        <v>195602042.06324801</v>
      </c>
      <c r="E30" s="3" cm="1">
        <f t="array" ref="E30">INDEX(MFModRaw!$B$2:$Z$37,_xlfn.XMATCH($A30,MFModRaw!$A$2:$A$37),_xlfn.XMATCH(E$2,MFModRaw!$B$1:$Z$1))</f>
        <v>197066989.96441901</v>
      </c>
      <c r="F30" s="3" cm="1">
        <f t="array" ref="F30">INDEX(MFModRaw!$B$2:$Z$37,_xlfn.XMATCH($A30,MFModRaw!$A$2:$A$37),_xlfn.XMATCH(F$2,MFModRaw!$B$1:$Z$1))</f>
        <v>192819073.85655501</v>
      </c>
      <c r="G30" s="3" cm="1">
        <f t="array" ref="G30">INDEX(MFModRaw!$B$2:$Z$37,_xlfn.XMATCH($A30,MFModRaw!$A$2:$A$37),_xlfn.XMATCH(G$2,MFModRaw!$B$1:$Z$1))</f>
        <v>195125376.60440299</v>
      </c>
      <c r="H30" s="3" cm="1">
        <f t="array" ref="H30">INDEX(MFModRaw!$B$2:$Z$37,_xlfn.XMATCH($A30,MFModRaw!$A$2:$A$37),_xlfn.XMATCH(H$2,MFModRaw!$B$1:$Z$1))</f>
        <v>196572330.850986</v>
      </c>
      <c r="K30">
        <v>2042</v>
      </c>
      <c r="L30" s="4">
        <f t="shared" si="2"/>
        <v>-1.7789151356581989E-3</v>
      </c>
      <c r="M30" s="4">
        <f t="shared" si="2"/>
        <v>1.0280231953682106E-2</v>
      </c>
      <c r="N30" s="4">
        <f t="shared" si="2"/>
        <v>1.7846655544068613E-2</v>
      </c>
      <c r="O30" s="4">
        <f t="shared" si="2"/>
        <v>-4.0937374370279001E-3</v>
      </c>
      <c r="P30" s="4">
        <f t="shared" si="2"/>
        <v>7.8182653747722597E-3</v>
      </c>
      <c r="Q30" s="4">
        <f t="shared" si="2"/>
        <v>1.529175213618128E-2</v>
      </c>
    </row>
    <row r="31" spans="1:17" x14ac:dyDescent="0.2">
      <c r="A31">
        <v>2043</v>
      </c>
      <c r="B31" s="3" cm="1">
        <f t="array" ref="B31">INDEX(MFModRaw!$B$2:$Z$37,_xlfn.XMATCH($A31,MFModRaw!$A$2:$A$37),_xlfn.XMATCH(B$2,MFModRaw!$B$1:$Z$1))</f>
        <v>197360875.84739399</v>
      </c>
      <c r="C31" s="3" cm="1">
        <f t="array" ref="C31">INDEX(MFModRaw!$B$2:$Z$37,_xlfn.XMATCH($A31,MFModRaw!$A$2:$A$37),_xlfn.XMATCH(C$2,MFModRaw!$B$1:$Z$1))</f>
        <v>196987904.12993699</v>
      </c>
      <c r="D31" s="3" cm="1">
        <f t="array" ref="D31">INDEX(MFModRaw!$B$2:$Z$37,_xlfn.XMATCH($A31,MFModRaw!$A$2:$A$37),_xlfn.XMATCH(D$2,MFModRaw!$B$1:$Z$1))</f>
        <v>199528775.358785</v>
      </c>
      <c r="E31" s="3" cm="1">
        <f t="array" ref="E31">INDEX(MFModRaw!$B$2:$Z$37,_xlfn.XMATCH($A31,MFModRaw!$A$2:$A$37),_xlfn.XMATCH(E$2,MFModRaw!$B$1:$Z$1))</f>
        <v>201123924.723993</v>
      </c>
      <c r="F31" s="3" cm="1">
        <f t="array" ref="F31">INDEX(MFModRaw!$B$2:$Z$37,_xlfn.XMATCH($A31,MFModRaw!$A$2:$A$37),_xlfn.XMATCH(F$2,MFModRaw!$B$1:$Z$1))</f>
        <v>196466727.16143501</v>
      </c>
      <c r="G31" s="3" cm="1">
        <f t="array" ref="G31">INDEX(MFModRaw!$B$2:$Z$37,_xlfn.XMATCH($A31,MFModRaw!$A$2:$A$37),_xlfn.XMATCH(G$2,MFModRaw!$B$1:$Z$1))</f>
        <v>198972627.54829201</v>
      </c>
      <c r="H31" s="3" cm="1">
        <f t="array" ref="H31">INDEX(MFModRaw!$B$2:$Z$37,_xlfn.XMATCH($A31,MFModRaw!$A$2:$A$37),_xlfn.XMATCH(H$2,MFModRaw!$B$1:$Z$1))</f>
        <v>200545673.729754</v>
      </c>
      <c r="K31">
        <v>2043</v>
      </c>
      <c r="L31" s="4">
        <f t="shared" si="2"/>
        <v>-1.8897956135206506E-3</v>
      </c>
      <c r="M31" s="4">
        <f t="shared" si="2"/>
        <v>1.0984444115799796E-2</v>
      </c>
      <c r="N31" s="4">
        <f t="shared" si="2"/>
        <v>1.9066843215211238E-2</v>
      </c>
      <c r="O31" s="4">
        <f t="shared" si="2"/>
        <v>-4.5305265398718486E-3</v>
      </c>
      <c r="P31" s="4">
        <f t="shared" si="2"/>
        <v>8.166520816133227E-3</v>
      </c>
      <c r="Q31" s="4">
        <f t="shared" si="2"/>
        <v>1.61369261698181E-2</v>
      </c>
    </row>
    <row r="32" spans="1:17" x14ac:dyDescent="0.2">
      <c r="A32">
        <v>2044</v>
      </c>
      <c r="B32" s="3" cm="1">
        <f t="array" ref="B32">INDEX(MFModRaw!$B$2:$Z$37,_xlfn.XMATCH($A32,MFModRaw!$A$2:$A$37),_xlfn.XMATCH(B$2,MFModRaw!$B$1:$Z$1))</f>
        <v>201146745.651225</v>
      </c>
      <c r="C32" s="3" cm="1">
        <f t="array" ref="C32">INDEX(MFModRaw!$B$2:$Z$37,_xlfn.XMATCH($A32,MFModRaw!$A$2:$A$37),_xlfn.XMATCH(C$2,MFModRaw!$B$1:$Z$1))</f>
        <v>200744116.62540701</v>
      </c>
      <c r="D32" s="3" cm="1">
        <f t="array" ref="D32">INDEX(MFModRaw!$B$2:$Z$37,_xlfn.XMATCH($A32,MFModRaw!$A$2:$A$37),_xlfn.XMATCH(D$2,MFModRaw!$B$1:$Z$1))</f>
        <v>203499789.69160399</v>
      </c>
      <c r="E32" s="3" cm="1">
        <f t="array" ref="E32">INDEX(MFModRaw!$B$2:$Z$37,_xlfn.XMATCH($A32,MFModRaw!$A$2:$A$37),_xlfn.XMATCH(E$2,MFModRaw!$B$1:$Z$1))</f>
        <v>205230946.176148</v>
      </c>
      <c r="F32" s="3" cm="1">
        <f t="array" ref="F32">INDEX(MFModRaw!$B$2:$Z$37,_xlfn.XMATCH($A32,MFModRaw!$A$2:$A$37),_xlfn.XMATCH(F$2,MFModRaw!$B$1:$Z$1))</f>
        <v>200144196.563494</v>
      </c>
      <c r="G32" s="3" cm="1">
        <f t="array" ref="G32">INDEX(MFModRaw!$B$2:$Z$37,_xlfn.XMATCH($A32,MFModRaw!$A$2:$A$37),_xlfn.XMATCH(G$2,MFModRaw!$B$1:$Z$1))</f>
        <v>202857486.56533101</v>
      </c>
      <c r="H32" s="3" cm="1">
        <f t="array" ref="H32">INDEX(MFModRaw!$B$2:$Z$37,_xlfn.XMATCH($A32,MFModRaw!$A$2:$A$37),_xlfn.XMATCH(H$2,MFModRaw!$B$1:$Z$1))</f>
        <v>204561831.29546499</v>
      </c>
      <c r="K32">
        <v>2044</v>
      </c>
      <c r="L32" s="4">
        <f t="shared" si="2"/>
        <v>-2.0016681080992083E-3</v>
      </c>
      <c r="M32" s="4">
        <f t="shared" si="2"/>
        <v>1.1698146210423976E-2</v>
      </c>
      <c r="N32" s="4">
        <f t="shared" si="2"/>
        <v>2.0304581670959498E-2</v>
      </c>
      <c r="O32" s="4">
        <f t="shared" si="2"/>
        <v>-4.984167576190135E-3</v>
      </c>
      <c r="P32" s="4">
        <f t="shared" si="2"/>
        <v>8.5049395582681431E-3</v>
      </c>
      <c r="Q32" s="4">
        <f t="shared" si="2"/>
        <v>1.6978080521180994E-2</v>
      </c>
    </row>
    <row r="33" spans="1:17" x14ac:dyDescent="0.2">
      <c r="A33">
        <v>2045</v>
      </c>
      <c r="B33" s="3" cm="1">
        <f t="array" ref="B33">INDEX(MFModRaw!$B$2:$Z$37,_xlfn.XMATCH($A33,MFModRaw!$A$2:$A$37),_xlfn.XMATCH(B$2,MFModRaw!$B$1:$Z$1))</f>
        <v>204919239.09830499</v>
      </c>
      <c r="C33" s="3" cm="1">
        <f t="array" ref="C33">INDEX(MFModRaw!$B$2:$Z$37,_xlfn.XMATCH($A33,MFModRaw!$A$2:$A$37),_xlfn.XMATCH(C$2,MFModRaw!$B$1:$Z$1))</f>
        <v>204486666.59544</v>
      </c>
      <c r="D33" s="3" cm="1">
        <f t="array" ref="D33">INDEX(MFModRaw!$B$2:$Z$37,_xlfn.XMATCH($A33,MFModRaw!$A$2:$A$37),_xlfn.XMATCH(D$2,MFModRaw!$B$1:$Z$1))</f>
        <v>207465005.21200299</v>
      </c>
      <c r="E33" s="3" cm="1">
        <f t="array" ref="E33">INDEX(MFModRaw!$B$2:$Z$37,_xlfn.XMATCH($A33,MFModRaw!$A$2:$A$37),_xlfn.XMATCH(E$2,MFModRaw!$B$1:$Z$1))</f>
        <v>209337412.943845</v>
      </c>
      <c r="F33" s="3" cm="1">
        <f t="array" ref="F33">INDEX(MFModRaw!$B$2:$Z$37,_xlfn.XMATCH($A33,MFModRaw!$A$2:$A$37),_xlfn.XMATCH(F$2,MFModRaw!$B$1:$Z$1))</f>
        <v>203803044.651328</v>
      </c>
      <c r="G33" s="3" cm="1">
        <f t="array" ref="G33">INDEX(MFModRaw!$B$2:$Z$37,_xlfn.XMATCH($A33,MFModRaw!$A$2:$A$37),_xlfn.XMATCH(G$2,MFModRaw!$B$1:$Z$1))</f>
        <v>206730656.41704899</v>
      </c>
      <c r="H33" s="3" cm="1">
        <f t="array" ref="H33">INDEX(MFModRaw!$B$2:$Z$37,_xlfn.XMATCH($A33,MFModRaw!$A$2:$A$37),_xlfn.XMATCH(H$2,MFModRaw!$B$1:$Z$1))</f>
        <v>208570947.790425</v>
      </c>
      <c r="K33">
        <v>2045</v>
      </c>
      <c r="L33" s="4">
        <f t="shared" si="2"/>
        <v>-2.1109413872919536E-3</v>
      </c>
      <c r="M33" s="4">
        <f t="shared" si="2"/>
        <v>1.2423265501570357E-2</v>
      </c>
      <c r="N33" s="4">
        <f t="shared" si="2"/>
        <v>2.1560561443528137E-2</v>
      </c>
      <c r="O33" s="4">
        <f t="shared" si="2"/>
        <v>-5.4469968358682452E-3</v>
      </c>
      <c r="P33" s="4">
        <f t="shared" si="2"/>
        <v>8.8396644781363332E-3</v>
      </c>
      <c r="Q33" s="4">
        <f t="shared" si="2"/>
        <v>1.7820233513399897E-2</v>
      </c>
    </row>
    <row r="34" spans="1:17" x14ac:dyDescent="0.2">
      <c r="A34">
        <v>2046</v>
      </c>
      <c r="B34" s="3" cm="1">
        <f t="array" ref="B34">INDEX(MFModRaw!$B$2:$Z$37,_xlfn.XMATCH($A34,MFModRaw!$A$2:$A$37),_xlfn.XMATCH(B$2,MFModRaw!$B$1:$Z$1))</f>
        <v>208632203.80201301</v>
      </c>
      <c r="C34" s="3" cm="1">
        <f t="array" ref="C34">INDEX(MFModRaw!$B$2:$Z$37,_xlfn.XMATCH($A34,MFModRaw!$A$2:$A$37),_xlfn.XMATCH(C$2,MFModRaw!$B$1:$Z$1))</f>
        <v>208167592.714582</v>
      </c>
      <c r="D34" s="3" cm="1">
        <f t="array" ref="D34">INDEX(MFModRaw!$B$2:$Z$37,_xlfn.XMATCH($A34,MFModRaw!$A$2:$A$37),_xlfn.XMATCH(D$2,MFModRaw!$B$1:$Z$1))</f>
        <v>211375083.06935501</v>
      </c>
      <c r="E34" s="3" cm="1">
        <f t="array" ref="E34">INDEX(MFModRaw!$B$2:$Z$37,_xlfn.XMATCH($A34,MFModRaw!$A$2:$A$37),_xlfn.XMATCH(E$2,MFModRaw!$B$1:$Z$1))</f>
        <v>213393097.76972601</v>
      </c>
      <c r="F34" s="3" cm="1">
        <f t="array" ref="F34">INDEX(MFModRaw!$B$2:$Z$37,_xlfn.XMATCH($A34,MFModRaw!$A$2:$A$37),_xlfn.XMATCH(F$2,MFModRaw!$B$1:$Z$1))</f>
        <v>207399859.21617901</v>
      </c>
      <c r="G34" s="3" cm="1">
        <f t="array" ref="G34">INDEX(MFModRaw!$B$2:$Z$37,_xlfn.XMATCH($A34,MFModRaw!$A$2:$A$37),_xlfn.XMATCH(G$2,MFModRaw!$B$1:$Z$1))</f>
        <v>210547730.25084499</v>
      </c>
      <c r="H34" s="3" cm="1">
        <f t="array" ref="H34">INDEX(MFModRaw!$B$2:$Z$37,_xlfn.XMATCH($A34,MFModRaw!$A$2:$A$37),_xlfn.XMATCH(H$2,MFModRaw!$B$1:$Z$1))</f>
        <v>212527965.41604799</v>
      </c>
      <c r="K34">
        <v>2046</v>
      </c>
      <c r="L34" s="4">
        <f t="shared" si="2"/>
        <v>-2.2269385021304045E-3</v>
      </c>
      <c r="M34" s="4">
        <f t="shared" si="2"/>
        <v>1.3146960140175246E-2</v>
      </c>
      <c r="N34" s="4">
        <f t="shared" si="2"/>
        <v>2.2819554608314307E-2</v>
      </c>
      <c r="O34" s="4">
        <f t="shared" si="2"/>
        <v>-5.9067802734973363E-3</v>
      </c>
      <c r="P34" s="4">
        <f t="shared" si="2"/>
        <v>9.1813555813740066E-3</v>
      </c>
      <c r="Q34" s="4">
        <f t="shared" si="2"/>
        <v>1.8672868056994529E-2</v>
      </c>
    </row>
    <row r="35" spans="1:17" x14ac:dyDescent="0.2">
      <c r="A35">
        <v>2047</v>
      </c>
      <c r="B35" s="3" cm="1">
        <f t="array" ref="B35">INDEX(MFModRaw!$B$2:$Z$37,_xlfn.XMATCH($A35,MFModRaw!$A$2:$A$37),_xlfn.XMATCH(B$2,MFModRaw!$B$1:$Z$1))</f>
        <v>212244002.797198</v>
      </c>
      <c r="C35" s="3" cm="1">
        <f t="array" ref="C35">INDEX(MFModRaw!$B$2:$Z$37,_xlfn.XMATCH($A35,MFModRaw!$A$2:$A$37),_xlfn.XMATCH(C$2,MFModRaw!$B$1:$Z$1))</f>
        <v>211745799.133073</v>
      </c>
      <c r="D35" s="3" cm="1">
        <f t="array" ref="D35">INDEX(MFModRaw!$B$2:$Z$37,_xlfn.XMATCH($A35,MFModRaw!$A$2:$A$37),_xlfn.XMATCH(D$2,MFModRaw!$B$1:$Z$1))</f>
        <v>215187586.28512001</v>
      </c>
      <c r="E35" s="3" cm="1">
        <f t="array" ref="E35">INDEX(MFModRaw!$B$2:$Z$37,_xlfn.XMATCH($A35,MFModRaw!$A$2:$A$37),_xlfn.XMATCH(E$2,MFModRaw!$B$1:$Z$1))</f>
        <v>217354693.49902999</v>
      </c>
      <c r="F35" s="3" cm="1">
        <f t="array" ref="F35">INDEX(MFModRaw!$B$2:$Z$37,_xlfn.XMATCH($A35,MFModRaw!$A$2:$A$37),_xlfn.XMATCH(F$2,MFModRaw!$B$1:$Z$1))</f>
        <v>210894625.90129799</v>
      </c>
      <c r="G35" s="3" cm="1">
        <f t="array" ref="G35">INDEX(MFModRaw!$B$2:$Z$37,_xlfn.XMATCH($A35,MFModRaw!$A$2:$A$37),_xlfn.XMATCH(G$2,MFModRaw!$B$1:$Z$1))</f>
        <v>214267382.58716801</v>
      </c>
      <c r="H35" s="3" cm="1">
        <f t="array" ref="H35">INDEX(MFModRaw!$B$2:$Z$37,_xlfn.XMATCH($A35,MFModRaw!$A$2:$A$37),_xlfn.XMATCH(H$2,MFModRaw!$B$1:$Z$1))</f>
        <v>216390706.39861399</v>
      </c>
      <c r="K35">
        <v>2047</v>
      </c>
      <c r="L35" s="4">
        <f t="shared" si="2"/>
        <v>-2.3473156252195038E-3</v>
      </c>
      <c r="M35" s="4">
        <f t="shared" si="2"/>
        <v>1.3868865311283507E-2</v>
      </c>
      <c r="N35" s="4">
        <f t="shared" si="2"/>
        <v>2.4079317363399522E-2</v>
      </c>
      <c r="O35" s="4">
        <f t="shared" si="2"/>
        <v>-6.357667958181934E-3</v>
      </c>
      <c r="P35" s="4">
        <f t="shared" si="2"/>
        <v>9.5332719101768326E-3</v>
      </c>
      <c r="Q35" s="4">
        <f t="shared" si="2"/>
        <v>1.9537435907568179E-2</v>
      </c>
    </row>
    <row r="36" spans="1:17" x14ac:dyDescent="0.2">
      <c r="A36">
        <v>2048</v>
      </c>
      <c r="B36" s="3" cm="1">
        <f t="array" ref="B36">INDEX(MFModRaw!$B$2:$Z$37,_xlfn.XMATCH($A36,MFModRaw!$A$2:$A$37),_xlfn.XMATCH(B$2,MFModRaw!$B$1:$Z$1))</f>
        <v>215718054.303161</v>
      </c>
      <c r="C36" s="3" cm="1">
        <f t="array" ref="C36">INDEX(MFModRaw!$B$2:$Z$37,_xlfn.XMATCH($A36,MFModRaw!$A$2:$A$37),_xlfn.XMATCH(C$2,MFModRaw!$B$1:$Z$1))</f>
        <v>215186002.93076101</v>
      </c>
      <c r="D36" s="3" cm="1">
        <f t="array" ref="D36">INDEX(MFModRaw!$B$2:$Z$37,_xlfn.XMATCH($A36,MFModRaw!$A$2:$A$37),_xlfn.XMATCH(D$2,MFModRaw!$B$1:$Z$1))</f>
        <v>218865798.47658199</v>
      </c>
      <c r="E36" s="3" cm="1">
        <f t="array" ref="E36">INDEX(MFModRaw!$B$2:$Z$37,_xlfn.XMATCH($A36,MFModRaw!$A$2:$A$37),_xlfn.XMATCH(E$2,MFModRaw!$B$1:$Z$1))</f>
        <v>221184548.58849901</v>
      </c>
      <c r="F36" s="3" cm="1">
        <f t="array" ref="F36">INDEX(MFModRaw!$B$2:$Z$37,_xlfn.XMATCH($A36,MFModRaw!$A$2:$A$37),_xlfn.XMATCH(F$2,MFModRaw!$B$1:$Z$1))</f>
        <v>214247798.567626</v>
      </c>
      <c r="G36" s="3" cm="1">
        <f t="array" ref="G36">INDEX(MFModRaw!$B$2:$Z$37,_xlfn.XMATCH($A36,MFModRaw!$A$2:$A$37),_xlfn.XMATCH(G$2,MFModRaw!$B$1:$Z$1))</f>
        <v>217848130.14614099</v>
      </c>
      <c r="H36" s="3" cm="1">
        <f t="array" ref="H36">INDEX(MFModRaw!$B$2:$Z$37,_xlfn.XMATCH($A36,MFModRaw!$A$2:$A$37),_xlfn.XMATCH(H$2,MFModRaw!$B$1:$Z$1))</f>
        <v>220116432.65110499</v>
      </c>
      <c r="K36">
        <v>2048</v>
      </c>
      <c r="L36" s="4">
        <f t="shared" si="2"/>
        <v>-2.4664202267106194E-3</v>
      </c>
      <c r="M36" s="4">
        <f t="shared" si="2"/>
        <v>1.4591936607203371E-2</v>
      </c>
      <c r="N36" s="4">
        <f t="shared" si="2"/>
        <v>2.5340921523683058E-2</v>
      </c>
      <c r="O36" s="4">
        <f t="shared" si="2"/>
        <v>-6.8156359943278844E-3</v>
      </c>
      <c r="P36" s="4">
        <f t="shared" si="2"/>
        <v>9.8743512677268441E-3</v>
      </c>
      <c r="Q36" s="4">
        <f t="shared" si="2"/>
        <v>2.0389477191198324E-2</v>
      </c>
    </row>
    <row r="37" spans="1:17" x14ac:dyDescent="0.2">
      <c r="A37">
        <v>2049</v>
      </c>
      <c r="B37" s="3" cm="1">
        <f t="array" ref="B37">INDEX(MFModRaw!$B$2:$Z$37,_xlfn.XMATCH($A37,MFModRaw!$A$2:$A$37),_xlfn.XMATCH(B$2,MFModRaw!$B$1:$Z$1))</f>
        <v>219023285.71374601</v>
      </c>
      <c r="C37" s="3" cm="1">
        <f t="array" ref="C37">INDEX(MFModRaw!$B$2:$Z$37,_xlfn.XMATCH($A37,MFModRaw!$A$2:$A$37),_xlfn.XMATCH(C$2,MFModRaw!$B$1:$Z$1))</f>
        <v>218458497.02641699</v>
      </c>
      <c r="D37" s="3" cm="1">
        <f t="array" ref="D37">INDEX(MFModRaw!$B$2:$Z$37,_xlfn.XMATCH($A37,MFModRaw!$A$2:$A$37),_xlfn.XMATCH(D$2,MFModRaw!$B$1:$Z$1))</f>
        <v>222378502.93577999</v>
      </c>
      <c r="E37" s="3" cm="1">
        <f t="array" ref="E37">INDEX(MFModRaw!$B$2:$Z$37,_xlfn.XMATCH($A37,MFModRaw!$A$2:$A$37),_xlfn.XMATCH(E$2,MFModRaw!$B$1:$Z$1))</f>
        <v>224850460.32176599</v>
      </c>
      <c r="F37" s="3" cm="1">
        <f t="array" ref="F37">INDEX(MFModRaw!$B$2:$Z$37,_xlfn.XMATCH($A37,MFModRaw!$A$2:$A$37),_xlfn.XMATCH(F$2,MFModRaw!$B$1:$Z$1))</f>
        <v>217431049.984635</v>
      </c>
      <c r="G37" s="3" cm="1">
        <f t="array" ref="G37">INDEX(MFModRaw!$B$2:$Z$37,_xlfn.XMATCH($A37,MFModRaw!$A$2:$A$37),_xlfn.XMATCH(G$2,MFModRaw!$B$1:$Z$1))</f>
        <v>221260293.636783</v>
      </c>
      <c r="H37" s="3" cm="1">
        <f t="array" ref="H37">INDEX(MFModRaw!$B$2:$Z$37,_xlfn.XMATCH($A37,MFModRaw!$A$2:$A$37),_xlfn.XMATCH(H$2,MFModRaw!$B$1:$Z$1))</f>
        <v>223674582.02865899</v>
      </c>
      <c r="K37">
        <v>2049</v>
      </c>
      <c r="L37" s="4">
        <f t="shared" si="2"/>
        <v>-2.57866959436992E-3</v>
      </c>
      <c r="M37" s="4">
        <f t="shared" si="2"/>
        <v>1.5318997754508734E-2</v>
      </c>
      <c r="N37" s="4">
        <f t="shared" si="2"/>
        <v>2.6605274361721776E-2</v>
      </c>
      <c r="O37" s="4">
        <f t="shared" si="2"/>
        <v>-7.2697098115493963E-3</v>
      </c>
      <c r="P37" s="4">
        <f t="shared" si="2"/>
        <v>1.021356206828461E-2</v>
      </c>
      <c r="Q37" s="4">
        <f t="shared" si="2"/>
        <v>2.1236537931368815E-2</v>
      </c>
    </row>
    <row r="38" spans="1:17" x14ac:dyDescent="0.2">
      <c r="A38">
        <v>2050</v>
      </c>
      <c r="B38" s="3" cm="1">
        <f t="array" ref="B38">INDEX(MFModRaw!$B$2:$Z$37,_xlfn.XMATCH($A38,MFModRaw!$A$2:$A$37),_xlfn.XMATCH(B$2,MFModRaw!$B$1:$Z$1))</f>
        <v>222134480.72465101</v>
      </c>
      <c r="C38" s="3" cm="1">
        <f t="array" ref="C38">INDEX(MFModRaw!$B$2:$Z$37,_xlfn.XMATCH($A38,MFModRaw!$A$2:$A$37),_xlfn.XMATCH(C$2,MFModRaw!$B$1:$Z$1))</f>
        <v>221537249.193883</v>
      </c>
      <c r="D38" s="3" cm="1">
        <f t="array" ref="D38">INDEX(MFModRaw!$B$2:$Z$37,_xlfn.XMATCH($A38,MFModRaw!$A$2:$A$37),_xlfn.XMATCH(D$2,MFModRaw!$B$1:$Z$1))</f>
        <v>225697893.48039901</v>
      </c>
      <c r="E38" s="3" cm="1">
        <f t="array" ref="E38">INDEX(MFModRaw!$B$2:$Z$37,_xlfn.XMATCH($A38,MFModRaw!$A$2:$A$37),_xlfn.XMATCH(E$2,MFModRaw!$B$1:$Z$1))</f>
        <v>228323467.26816201</v>
      </c>
      <c r="F38" s="3" cm="1">
        <f t="array" ref="F38">INDEX(MFModRaw!$B$2:$Z$37,_xlfn.XMATCH($A38,MFModRaw!$A$2:$A$37),_xlfn.XMATCH(F$2,MFModRaw!$B$1:$Z$1))</f>
        <v>220420203.60880899</v>
      </c>
      <c r="G38" s="3" cm="1">
        <f t="array" ref="G38">INDEX(MFModRaw!$B$2:$Z$37,_xlfn.XMATCH($A38,MFModRaw!$A$2:$A$37),_xlfn.XMATCH(G$2,MFModRaw!$B$1:$Z$1))</f>
        <v>224478107.60452801</v>
      </c>
      <c r="H38" s="3" cm="1">
        <f t="array" ref="H38">INDEX(MFModRaw!$B$2:$Z$37,_xlfn.XMATCH($A38,MFModRaw!$A$2:$A$37),_xlfn.XMATCH(H$2,MFModRaw!$B$1:$Z$1))</f>
        <v>227038349.21435899</v>
      </c>
      <c r="K38">
        <v>2050</v>
      </c>
      <c r="L38" s="4">
        <f t="shared" si="2"/>
        <v>-2.6886034478740273E-3</v>
      </c>
      <c r="M38" s="4">
        <f t="shared" si="2"/>
        <v>1.604169124992838E-2</v>
      </c>
      <c r="N38" s="4">
        <f t="shared" si="2"/>
        <v>2.7861440165980467E-2</v>
      </c>
      <c r="O38" s="4">
        <f t="shared" si="2"/>
        <v>-7.7172940925229749E-3</v>
      </c>
      <c r="P38" s="4">
        <f t="shared" si="2"/>
        <v>1.0550486679202553E-2</v>
      </c>
      <c r="Q38" s="4">
        <f t="shared" si="2"/>
        <v>2.2076124668761521E-2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0DD0-BDF2-441F-9CB9-A24E3C8D1365}">
  <dimension ref="A1:Q38"/>
  <sheetViews>
    <sheetView workbookViewId="0">
      <selection activeCell="L3" sqref="L3:Q38"/>
    </sheetView>
  </sheetViews>
  <sheetFormatPr baseColWidth="10" defaultColWidth="8.83203125" defaultRowHeight="15" x14ac:dyDescent="0.2"/>
  <cols>
    <col min="2" max="2" width="20.6640625" bestFit="1" customWidth="1"/>
    <col min="3" max="4" width="22.83203125" bestFit="1" customWidth="1"/>
    <col min="5" max="5" width="23" bestFit="1" customWidth="1"/>
    <col min="6" max="6" width="18.6640625" bestFit="1" customWidth="1"/>
    <col min="7" max="7" width="21.5" bestFit="1" customWidth="1"/>
    <col min="8" max="8" width="24" bestFit="1" customWidth="1"/>
  </cols>
  <sheetData>
    <row r="1" spans="1:17" x14ac:dyDescent="0.2"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7" x14ac:dyDescent="0.2">
      <c r="B2" t="s">
        <v>0</v>
      </c>
      <c r="C2" t="s">
        <v>3</v>
      </c>
      <c r="D2" t="s">
        <v>7</v>
      </c>
      <c r="E2" t="s">
        <v>11</v>
      </c>
      <c r="F2" t="s">
        <v>15</v>
      </c>
      <c r="G2" t="s">
        <v>19</v>
      </c>
      <c r="H2" t="s">
        <v>23</v>
      </c>
      <c r="L2" t="str">
        <f t="shared" ref="L2:Q2" si="0">C1</f>
        <v>Control_Optimistic</v>
      </c>
      <c r="M2" t="str">
        <f t="shared" si="0"/>
        <v>StatusQuo_Optimistic</v>
      </c>
      <c r="N2" t="str">
        <f t="shared" si="0"/>
        <v>Improvement_Optimistic</v>
      </c>
      <c r="O2" t="str">
        <f t="shared" si="0"/>
        <v>Control_Pessimistic</v>
      </c>
      <c r="P2" t="str">
        <f t="shared" si="0"/>
        <v>StatusQuo_Pessimistic</v>
      </c>
      <c r="Q2" t="str">
        <f t="shared" si="0"/>
        <v>Improvement_Pessimistic</v>
      </c>
    </row>
    <row r="3" spans="1:17" x14ac:dyDescent="0.2">
      <c r="A3">
        <v>2015</v>
      </c>
      <c r="B3" s="3" cm="1">
        <f t="array" ref="B3">INDEX(MFModRaw!$B$2:$Z$37,_xlfn.XMATCH($A3,MFModRaw!$A$2:$A$37),_xlfn.XMATCH(B$2,MFModRaw!$B$1:$Z$1))</f>
        <v>95406124.717485994</v>
      </c>
      <c r="C3" s="3" cm="1">
        <f t="array" ref="C3">INDEX(MFModRaw!$B$2:$Z$37,_xlfn.XMATCH($A3,MFModRaw!$A$2:$A$37),_xlfn.XMATCH(C$2,MFModRaw!$B$1:$Z$1))</f>
        <v>95406124.717485994</v>
      </c>
      <c r="D3" s="3" cm="1">
        <f t="array" ref="D3">INDEX(MFModRaw!$B$2:$Z$37,_xlfn.XMATCH($A3,MFModRaw!$A$2:$A$37),_xlfn.XMATCH(D$2,MFModRaw!$B$1:$Z$1))</f>
        <v>95406124.717485994</v>
      </c>
      <c r="E3" s="3" cm="1">
        <f t="array" ref="E3">INDEX(MFModRaw!$B$2:$Z$37,_xlfn.XMATCH($A3,MFModRaw!$A$2:$A$37),_xlfn.XMATCH(E$2,MFModRaw!$B$1:$Z$1))</f>
        <v>95406124.717485994</v>
      </c>
      <c r="F3" s="3" cm="1">
        <f t="array" ref="F3">INDEX(MFModRaw!$B$2:$Z$37,_xlfn.XMATCH($A3,MFModRaw!$A$2:$A$37),_xlfn.XMATCH(F$2,MFModRaw!$B$1:$Z$1))</f>
        <v>95406124.717485994</v>
      </c>
      <c r="G3" s="3" cm="1">
        <f t="array" ref="G3">INDEX(MFModRaw!$B$2:$Z$37,_xlfn.XMATCH($A3,MFModRaw!$A$2:$A$37),_xlfn.XMATCH(G$2,MFModRaw!$B$1:$Z$1))</f>
        <v>95406124.717485994</v>
      </c>
      <c r="H3" s="3" cm="1">
        <f t="array" ref="H3">INDEX(MFModRaw!$B$2:$Z$37,_xlfn.XMATCH($A3,MFModRaw!$A$2:$A$37),_xlfn.XMATCH(H$2,MFModRaw!$B$1:$Z$1))</f>
        <v>95406124.717485994</v>
      </c>
      <c r="K3">
        <v>2015</v>
      </c>
      <c r="L3" s="5">
        <f>C3/$B3-1</f>
        <v>0</v>
      </c>
      <c r="M3" s="5">
        <f t="shared" ref="M3:Q18" si="1">D3/$B3-1</f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</row>
    <row r="4" spans="1:17" x14ac:dyDescent="0.2">
      <c r="A4">
        <v>2016</v>
      </c>
      <c r="B4" s="3" cm="1">
        <f t="array" ref="B4">INDEX(MFModRaw!$B$2:$Z$37,_xlfn.XMATCH($A4,MFModRaw!$A$2:$A$37),_xlfn.XMATCH(B$2,MFModRaw!$B$1:$Z$1))</f>
        <v>102948457.015031</v>
      </c>
      <c r="C4" s="3" cm="1">
        <f t="array" ref="C4">INDEX(MFModRaw!$B$2:$Z$37,_xlfn.XMATCH($A4,MFModRaw!$A$2:$A$37),_xlfn.XMATCH(C$2,MFModRaw!$B$1:$Z$1))</f>
        <v>102948457.015031</v>
      </c>
      <c r="D4" s="3" cm="1">
        <f t="array" ref="D4">INDEX(MFModRaw!$B$2:$Z$37,_xlfn.XMATCH($A4,MFModRaw!$A$2:$A$37),_xlfn.XMATCH(D$2,MFModRaw!$B$1:$Z$1))</f>
        <v>102948457.015031</v>
      </c>
      <c r="E4" s="3" cm="1">
        <f t="array" ref="E4">INDEX(MFModRaw!$B$2:$Z$37,_xlfn.XMATCH($A4,MFModRaw!$A$2:$A$37),_xlfn.XMATCH(E$2,MFModRaw!$B$1:$Z$1))</f>
        <v>102948457.015031</v>
      </c>
      <c r="F4" s="3" cm="1">
        <f t="array" ref="F4">INDEX(MFModRaw!$B$2:$Z$37,_xlfn.XMATCH($A4,MFModRaw!$A$2:$A$37),_xlfn.XMATCH(F$2,MFModRaw!$B$1:$Z$1))</f>
        <v>102948457.015031</v>
      </c>
      <c r="G4" s="3" cm="1">
        <f t="array" ref="G4">INDEX(MFModRaw!$B$2:$Z$37,_xlfn.XMATCH($A4,MFModRaw!$A$2:$A$37),_xlfn.XMATCH(G$2,MFModRaw!$B$1:$Z$1))</f>
        <v>102948457.015031</v>
      </c>
      <c r="H4" s="3" cm="1">
        <f t="array" ref="H4">INDEX(MFModRaw!$B$2:$Z$37,_xlfn.XMATCH($A4,MFModRaw!$A$2:$A$37),_xlfn.XMATCH(H$2,MFModRaw!$B$1:$Z$1))</f>
        <v>102948457.015031</v>
      </c>
      <c r="K4">
        <v>2016</v>
      </c>
      <c r="L4" s="5">
        <f t="shared" ref="L4:Q38" si="2">C4/$B4-1</f>
        <v>0</v>
      </c>
      <c r="M4" s="5">
        <f t="shared" si="1"/>
        <v>0</v>
      </c>
      <c r="N4" s="5">
        <f t="shared" si="1"/>
        <v>0</v>
      </c>
      <c r="O4" s="5">
        <f t="shared" si="1"/>
        <v>0</v>
      </c>
      <c r="P4" s="5">
        <f t="shared" si="1"/>
        <v>0</v>
      </c>
      <c r="Q4" s="5">
        <f t="shared" si="1"/>
        <v>0</v>
      </c>
    </row>
    <row r="5" spans="1:17" x14ac:dyDescent="0.2">
      <c r="A5">
        <v>2017</v>
      </c>
      <c r="B5" s="3" cm="1">
        <f t="array" ref="B5">INDEX(MFModRaw!$B$2:$Z$37,_xlfn.XMATCH($A5,MFModRaw!$A$2:$A$37),_xlfn.XMATCH(B$2,MFModRaw!$B$1:$Z$1))</f>
        <v>111261585.22876</v>
      </c>
      <c r="C5" s="3" cm="1">
        <f t="array" ref="C5">INDEX(MFModRaw!$B$2:$Z$37,_xlfn.XMATCH($A5,MFModRaw!$A$2:$A$37),_xlfn.XMATCH(C$2,MFModRaw!$B$1:$Z$1))</f>
        <v>111261585.22876</v>
      </c>
      <c r="D5" s="3" cm="1">
        <f t="array" ref="D5">INDEX(MFModRaw!$B$2:$Z$37,_xlfn.XMATCH($A5,MFModRaw!$A$2:$A$37),_xlfn.XMATCH(D$2,MFModRaw!$B$1:$Z$1))</f>
        <v>111261585.22876</v>
      </c>
      <c r="E5" s="3" cm="1">
        <f t="array" ref="E5">INDEX(MFModRaw!$B$2:$Z$37,_xlfn.XMATCH($A5,MFModRaw!$A$2:$A$37),_xlfn.XMATCH(E$2,MFModRaw!$B$1:$Z$1))</f>
        <v>111261585.22876</v>
      </c>
      <c r="F5" s="3" cm="1">
        <f t="array" ref="F5">INDEX(MFModRaw!$B$2:$Z$37,_xlfn.XMATCH($A5,MFModRaw!$A$2:$A$37),_xlfn.XMATCH(F$2,MFModRaw!$B$1:$Z$1))</f>
        <v>111261585.22876</v>
      </c>
      <c r="G5" s="3" cm="1">
        <f t="array" ref="G5">INDEX(MFModRaw!$B$2:$Z$37,_xlfn.XMATCH($A5,MFModRaw!$A$2:$A$37),_xlfn.XMATCH(G$2,MFModRaw!$B$1:$Z$1))</f>
        <v>111261585.22876</v>
      </c>
      <c r="H5" s="3" cm="1">
        <f t="array" ref="H5">INDEX(MFModRaw!$B$2:$Z$37,_xlfn.XMATCH($A5,MFModRaw!$A$2:$A$37),_xlfn.XMATCH(H$2,MFModRaw!$B$1:$Z$1))</f>
        <v>111261585.22876</v>
      </c>
      <c r="K5">
        <v>2017</v>
      </c>
      <c r="L5" s="5">
        <f t="shared" si="2"/>
        <v>0</v>
      </c>
      <c r="M5" s="5">
        <f t="shared" si="1"/>
        <v>0</v>
      </c>
      <c r="N5" s="5">
        <f t="shared" si="1"/>
        <v>0</v>
      </c>
      <c r="O5" s="5">
        <f t="shared" si="1"/>
        <v>0</v>
      </c>
      <c r="P5" s="5">
        <f t="shared" si="1"/>
        <v>0</v>
      </c>
      <c r="Q5" s="5">
        <f t="shared" si="1"/>
        <v>0</v>
      </c>
    </row>
    <row r="6" spans="1:17" x14ac:dyDescent="0.2">
      <c r="A6">
        <v>2018</v>
      </c>
      <c r="B6" s="3" cm="1">
        <f t="array" ref="B6">INDEX(MFModRaw!$B$2:$Z$37,_xlfn.XMATCH($A6,MFModRaw!$A$2:$A$37),_xlfn.XMATCH(B$2,MFModRaw!$B$1:$Z$1))</f>
        <v>121026150.909922</v>
      </c>
      <c r="C6" s="3" cm="1">
        <f t="array" ref="C6">INDEX(MFModRaw!$B$2:$Z$37,_xlfn.XMATCH($A6,MFModRaw!$A$2:$A$37),_xlfn.XMATCH(C$2,MFModRaw!$B$1:$Z$1))</f>
        <v>121026150.909922</v>
      </c>
      <c r="D6" s="3" cm="1">
        <f t="array" ref="D6">INDEX(MFModRaw!$B$2:$Z$37,_xlfn.XMATCH($A6,MFModRaw!$A$2:$A$37),_xlfn.XMATCH(D$2,MFModRaw!$B$1:$Z$1))</f>
        <v>121026150.909922</v>
      </c>
      <c r="E6" s="3" cm="1">
        <f t="array" ref="E6">INDEX(MFModRaw!$B$2:$Z$37,_xlfn.XMATCH($A6,MFModRaw!$A$2:$A$37),_xlfn.XMATCH(E$2,MFModRaw!$B$1:$Z$1))</f>
        <v>121026150.909922</v>
      </c>
      <c r="F6" s="3" cm="1">
        <f t="array" ref="F6">INDEX(MFModRaw!$B$2:$Z$37,_xlfn.XMATCH($A6,MFModRaw!$A$2:$A$37),_xlfn.XMATCH(F$2,MFModRaw!$B$1:$Z$1))</f>
        <v>121026150.909922</v>
      </c>
      <c r="G6" s="3" cm="1">
        <f t="array" ref="G6">INDEX(MFModRaw!$B$2:$Z$37,_xlfn.XMATCH($A6,MFModRaw!$A$2:$A$37),_xlfn.XMATCH(G$2,MFModRaw!$B$1:$Z$1))</f>
        <v>121026150.909922</v>
      </c>
      <c r="H6" s="3" cm="1">
        <f t="array" ref="H6">INDEX(MFModRaw!$B$2:$Z$37,_xlfn.XMATCH($A6,MFModRaw!$A$2:$A$37),_xlfn.XMATCH(H$2,MFModRaw!$B$1:$Z$1))</f>
        <v>121026150.909922</v>
      </c>
      <c r="K6">
        <v>2018</v>
      </c>
      <c r="L6" s="5">
        <f t="shared" si="2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</row>
    <row r="7" spans="1:17" x14ac:dyDescent="0.2">
      <c r="A7">
        <v>2019</v>
      </c>
      <c r="B7" s="3" cm="1">
        <f t="array" ref="B7">INDEX(MFModRaw!$B$2:$Z$37,_xlfn.XMATCH($A7,MFModRaw!$A$2:$A$37),_xlfn.XMATCH(B$2,MFModRaw!$B$1:$Z$1))</f>
        <v>130631936.159025</v>
      </c>
      <c r="C7" s="3" cm="1">
        <f t="array" ref="C7">INDEX(MFModRaw!$B$2:$Z$37,_xlfn.XMATCH($A7,MFModRaw!$A$2:$A$37),_xlfn.XMATCH(C$2,MFModRaw!$B$1:$Z$1))</f>
        <v>130631936.159025</v>
      </c>
      <c r="D7" s="3" cm="1">
        <f t="array" ref="D7">INDEX(MFModRaw!$B$2:$Z$37,_xlfn.XMATCH($A7,MFModRaw!$A$2:$A$37),_xlfn.XMATCH(D$2,MFModRaw!$B$1:$Z$1))</f>
        <v>130631936.159025</v>
      </c>
      <c r="E7" s="3" cm="1">
        <f t="array" ref="E7">INDEX(MFModRaw!$B$2:$Z$37,_xlfn.XMATCH($A7,MFModRaw!$A$2:$A$37),_xlfn.XMATCH(E$2,MFModRaw!$B$1:$Z$1))</f>
        <v>130631936.159025</v>
      </c>
      <c r="F7" s="3" cm="1">
        <f t="array" ref="F7">INDEX(MFModRaw!$B$2:$Z$37,_xlfn.XMATCH($A7,MFModRaw!$A$2:$A$37),_xlfn.XMATCH(F$2,MFModRaw!$B$1:$Z$1))</f>
        <v>130631936.159025</v>
      </c>
      <c r="G7" s="3" cm="1">
        <f t="array" ref="G7">INDEX(MFModRaw!$B$2:$Z$37,_xlfn.XMATCH($A7,MFModRaw!$A$2:$A$37),_xlfn.XMATCH(G$2,MFModRaw!$B$1:$Z$1))</f>
        <v>130631936.159025</v>
      </c>
      <c r="H7" s="3" cm="1">
        <f t="array" ref="H7">INDEX(MFModRaw!$B$2:$Z$37,_xlfn.XMATCH($A7,MFModRaw!$A$2:$A$37),_xlfn.XMATCH(H$2,MFModRaw!$B$1:$Z$1))</f>
        <v>130631936.159025</v>
      </c>
      <c r="K7">
        <v>2019</v>
      </c>
      <c r="L7" s="5">
        <f t="shared" si="2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</row>
    <row r="8" spans="1:17" x14ac:dyDescent="0.2">
      <c r="A8">
        <v>2020</v>
      </c>
      <c r="B8" s="3" cm="1">
        <f t="array" ref="B8">INDEX(MFModRaw!$B$2:$Z$37,_xlfn.XMATCH($A8,MFModRaw!$A$2:$A$37),_xlfn.XMATCH(B$2,MFModRaw!$B$1:$Z$1))</f>
        <v>125987027.75209901</v>
      </c>
      <c r="C8" s="3" cm="1">
        <f t="array" ref="C8">INDEX(MFModRaw!$B$2:$Z$37,_xlfn.XMATCH($A8,MFModRaw!$A$2:$A$37),_xlfn.XMATCH(C$2,MFModRaw!$B$1:$Z$1))</f>
        <v>125987027.75209901</v>
      </c>
      <c r="D8" s="3" cm="1">
        <f t="array" ref="D8">INDEX(MFModRaw!$B$2:$Z$37,_xlfn.XMATCH($A8,MFModRaw!$A$2:$A$37),_xlfn.XMATCH(D$2,MFModRaw!$B$1:$Z$1))</f>
        <v>125987151.70941401</v>
      </c>
      <c r="E8" s="3" cm="1">
        <f t="array" ref="E8">INDEX(MFModRaw!$B$2:$Z$37,_xlfn.XMATCH($A8,MFModRaw!$A$2:$A$37),_xlfn.XMATCH(E$2,MFModRaw!$B$1:$Z$1))</f>
        <v>125987275.671707</v>
      </c>
      <c r="F8" s="3" cm="1">
        <f t="array" ref="F8">INDEX(MFModRaw!$B$2:$Z$37,_xlfn.XMATCH($A8,MFModRaw!$A$2:$A$37),_xlfn.XMATCH(F$2,MFModRaw!$B$1:$Z$1))</f>
        <v>125987027.75209901</v>
      </c>
      <c r="G8" s="3" cm="1">
        <f t="array" ref="G8">INDEX(MFModRaw!$B$2:$Z$37,_xlfn.XMATCH($A8,MFModRaw!$A$2:$A$37),_xlfn.XMATCH(G$2,MFModRaw!$B$1:$Z$1))</f>
        <v>125987151.70941401</v>
      </c>
      <c r="H8" s="3" cm="1">
        <f t="array" ref="H8">INDEX(MFModRaw!$B$2:$Z$37,_xlfn.XMATCH($A8,MFModRaw!$A$2:$A$37),_xlfn.XMATCH(H$2,MFModRaw!$B$1:$Z$1))</f>
        <v>125987275.671707</v>
      </c>
      <c r="K8">
        <v>2020</v>
      </c>
      <c r="L8" s="5">
        <f t="shared" si="2"/>
        <v>0</v>
      </c>
      <c r="M8" s="5">
        <f t="shared" si="1"/>
        <v>9.8388950986461055E-7</v>
      </c>
      <c r="N8" s="5">
        <f t="shared" si="1"/>
        <v>1.9678185319005337E-6</v>
      </c>
      <c r="O8" s="5">
        <f t="shared" si="1"/>
        <v>0</v>
      </c>
      <c r="P8" s="5">
        <f t="shared" si="1"/>
        <v>9.8388950986461055E-7</v>
      </c>
      <c r="Q8" s="5">
        <f t="shared" si="1"/>
        <v>1.9678185319005337E-6</v>
      </c>
    </row>
    <row r="9" spans="1:17" x14ac:dyDescent="0.2">
      <c r="A9">
        <v>2021</v>
      </c>
      <c r="B9" s="3" cm="1">
        <f t="array" ref="B9">INDEX(MFModRaw!$B$2:$Z$37,_xlfn.XMATCH($A9,MFModRaw!$A$2:$A$37),_xlfn.XMATCH(B$2,MFModRaw!$B$1:$Z$1))</f>
        <v>129879828.790113</v>
      </c>
      <c r="C9" s="3" cm="1">
        <f t="array" ref="C9">INDEX(MFModRaw!$B$2:$Z$37,_xlfn.XMATCH($A9,MFModRaw!$A$2:$A$37),_xlfn.XMATCH(C$2,MFModRaw!$B$1:$Z$1))</f>
        <v>129879828.750599</v>
      </c>
      <c r="D9" s="3" cm="1">
        <f t="array" ref="D9">INDEX(MFModRaw!$B$2:$Z$37,_xlfn.XMATCH($A9,MFModRaw!$A$2:$A$37),_xlfn.XMATCH(D$2,MFModRaw!$B$1:$Z$1))</f>
        <v>129879981.39729901</v>
      </c>
      <c r="E9" s="3" cm="1">
        <f t="array" ref="E9">INDEX(MFModRaw!$B$2:$Z$37,_xlfn.XMATCH($A9,MFModRaw!$A$2:$A$37),_xlfn.XMATCH(E$2,MFModRaw!$B$1:$Z$1))</f>
        <v>129879955.432283</v>
      </c>
      <c r="F9" s="3" cm="1">
        <f t="array" ref="F9">INDEX(MFModRaw!$B$2:$Z$37,_xlfn.XMATCH($A9,MFModRaw!$A$2:$A$37),_xlfn.XMATCH(F$2,MFModRaw!$B$1:$Z$1))</f>
        <v>129879828.750599</v>
      </c>
      <c r="G9" s="3" cm="1">
        <f t="array" ref="G9">INDEX(MFModRaw!$B$2:$Z$37,_xlfn.XMATCH($A9,MFModRaw!$A$2:$A$37),_xlfn.XMATCH(G$2,MFModRaw!$B$1:$Z$1))</f>
        <v>129879979.187813</v>
      </c>
      <c r="H9" s="3" cm="1">
        <f t="array" ref="H9">INDEX(MFModRaw!$B$2:$Z$37,_xlfn.XMATCH($A9,MFModRaw!$A$2:$A$37),_xlfn.XMATCH(H$2,MFModRaw!$B$1:$Z$1))</f>
        <v>129879953.282897</v>
      </c>
      <c r="K9">
        <v>2021</v>
      </c>
      <c r="L9" s="5">
        <f t="shared" si="2"/>
        <v>-3.0423508157184642E-10</v>
      </c>
      <c r="M9" s="5">
        <f t="shared" si="1"/>
        <v>1.1749875821198685E-6</v>
      </c>
      <c r="N9" s="5">
        <f t="shared" si="1"/>
        <v>9.7507188900891606E-7</v>
      </c>
      <c r="O9" s="5">
        <f t="shared" si="1"/>
        <v>-3.0423508157184642E-10</v>
      </c>
      <c r="P9" s="5">
        <f t="shared" si="1"/>
        <v>1.1579758103508198E-6</v>
      </c>
      <c r="Q9" s="5">
        <f t="shared" si="1"/>
        <v>9.5852285264541592E-7</v>
      </c>
    </row>
    <row r="10" spans="1:17" x14ac:dyDescent="0.2">
      <c r="A10">
        <v>2022</v>
      </c>
      <c r="B10" s="3" cm="1">
        <f t="array" ref="B10">INDEX(MFModRaw!$B$2:$Z$37,_xlfn.XMATCH($A10,MFModRaw!$A$2:$A$37),_xlfn.XMATCH(B$2,MFModRaw!$B$1:$Z$1))</f>
        <v>136508075.76283899</v>
      </c>
      <c r="C10" s="3" cm="1">
        <f t="array" ref="C10">INDEX(MFModRaw!$B$2:$Z$37,_xlfn.XMATCH($A10,MFModRaw!$A$2:$A$37),_xlfn.XMATCH(C$2,MFModRaw!$B$1:$Z$1))</f>
        <v>136508075.78817299</v>
      </c>
      <c r="D10" s="3" cm="1">
        <f t="array" ref="D10">INDEX(MFModRaw!$B$2:$Z$37,_xlfn.XMATCH($A10,MFModRaw!$A$2:$A$37),_xlfn.XMATCH(D$2,MFModRaw!$B$1:$Z$1))</f>
        <v>136509541.97040799</v>
      </c>
      <c r="E10" s="3" cm="1">
        <f t="array" ref="E10">INDEX(MFModRaw!$B$2:$Z$37,_xlfn.XMATCH($A10,MFModRaw!$A$2:$A$37),_xlfn.XMATCH(E$2,MFModRaw!$B$1:$Z$1))</f>
        <v>136509678.74261099</v>
      </c>
      <c r="F10" s="3" cm="1">
        <f t="array" ref="F10">INDEX(MFModRaw!$B$2:$Z$37,_xlfn.XMATCH($A10,MFModRaw!$A$2:$A$37),_xlfn.XMATCH(F$2,MFModRaw!$B$1:$Z$1))</f>
        <v>136508075.78817299</v>
      </c>
      <c r="G10" s="3" cm="1">
        <f t="array" ref="G10">INDEX(MFModRaw!$B$2:$Z$37,_xlfn.XMATCH($A10,MFModRaw!$A$2:$A$37),_xlfn.XMATCH(G$2,MFModRaw!$B$1:$Z$1))</f>
        <v>136509517.65371901</v>
      </c>
      <c r="H10" s="3" cm="1">
        <f t="array" ref="H10">INDEX(MFModRaw!$B$2:$Z$37,_xlfn.XMATCH($A10,MFModRaw!$A$2:$A$37),_xlfn.XMATCH(H$2,MFModRaw!$B$1:$Z$1))</f>
        <v>136509657.45699</v>
      </c>
      <c r="K10">
        <v>2022</v>
      </c>
      <c r="L10" s="5">
        <f t="shared" si="2"/>
        <v>1.8558599101936579E-10</v>
      </c>
      <c r="M10" s="5">
        <f t="shared" si="1"/>
        <v>1.0740811932308247E-5</v>
      </c>
      <c r="N10" s="5">
        <f t="shared" si="1"/>
        <v>1.1742746815812666E-5</v>
      </c>
      <c r="O10" s="5">
        <f t="shared" si="1"/>
        <v>1.8558599101936579E-10</v>
      </c>
      <c r="P10" s="5">
        <f t="shared" si="1"/>
        <v>1.0562678229630862E-5</v>
      </c>
      <c r="Q10" s="5">
        <f t="shared" si="1"/>
        <v>1.1586817425746077E-5</v>
      </c>
    </row>
    <row r="11" spans="1:17" x14ac:dyDescent="0.2">
      <c r="A11">
        <v>2023</v>
      </c>
      <c r="B11" s="3" cm="1">
        <f t="array" ref="B11">INDEX(MFModRaw!$B$2:$Z$37,_xlfn.XMATCH($A11,MFModRaw!$A$2:$A$37),_xlfn.XMATCH(B$2,MFModRaw!$B$1:$Z$1))</f>
        <v>143334277.97308999</v>
      </c>
      <c r="C11" s="3" cm="1">
        <f t="array" ref="C11">INDEX(MFModRaw!$B$2:$Z$37,_xlfn.XMATCH($A11,MFModRaw!$A$2:$A$37),_xlfn.XMATCH(C$2,MFModRaw!$B$1:$Z$1))</f>
        <v>143334277.97902101</v>
      </c>
      <c r="D11" s="3" cm="1">
        <f t="array" ref="D11">INDEX(MFModRaw!$B$2:$Z$37,_xlfn.XMATCH($A11,MFModRaw!$A$2:$A$37),_xlfn.XMATCH(D$2,MFModRaw!$B$1:$Z$1))</f>
        <v>143338218.49899301</v>
      </c>
      <c r="E11" s="3" cm="1">
        <f t="array" ref="E11">INDEX(MFModRaw!$B$2:$Z$37,_xlfn.XMATCH($A11,MFModRaw!$A$2:$A$37),_xlfn.XMATCH(E$2,MFModRaw!$B$1:$Z$1))</f>
        <v>143338666.389128</v>
      </c>
      <c r="F11" s="3" cm="1">
        <f t="array" ref="F11">INDEX(MFModRaw!$B$2:$Z$37,_xlfn.XMATCH($A11,MFModRaw!$A$2:$A$37),_xlfn.XMATCH(F$2,MFModRaw!$B$1:$Z$1))</f>
        <v>143334277.97902101</v>
      </c>
      <c r="G11" s="3" cm="1">
        <f t="array" ref="G11">INDEX(MFModRaw!$B$2:$Z$37,_xlfn.XMATCH($A11,MFModRaw!$A$2:$A$37),_xlfn.XMATCH(G$2,MFModRaw!$B$1:$Z$1))</f>
        <v>143338146.58307701</v>
      </c>
      <c r="H11" s="3" cm="1">
        <f t="array" ref="H11">INDEX(MFModRaw!$B$2:$Z$37,_xlfn.XMATCH($A11,MFModRaw!$A$2:$A$37),_xlfn.XMATCH(H$2,MFModRaw!$B$1:$Z$1))</f>
        <v>143338598.14144799</v>
      </c>
      <c r="K11">
        <v>2023</v>
      </c>
      <c r="L11" s="5">
        <f t="shared" si="2"/>
        <v>4.1378900306199284E-11</v>
      </c>
      <c r="M11" s="5">
        <f t="shared" si="1"/>
        <v>2.7491859998507451E-5</v>
      </c>
      <c r="N11" s="5">
        <f t="shared" si="1"/>
        <v>3.0616654299819857E-5</v>
      </c>
      <c r="O11" s="5">
        <f t="shared" si="1"/>
        <v>4.1378900306199284E-11</v>
      </c>
      <c r="P11" s="5">
        <f t="shared" si="1"/>
        <v>2.6990124356363054E-5</v>
      </c>
      <c r="Q11" s="5">
        <f t="shared" si="1"/>
        <v>3.0140510833165379E-5</v>
      </c>
    </row>
    <row r="12" spans="1:17" x14ac:dyDescent="0.2">
      <c r="A12">
        <v>2024</v>
      </c>
      <c r="B12" s="3" cm="1">
        <f t="array" ref="B12">INDEX(MFModRaw!$B$2:$Z$37,_xlfn.XMATCH($A12,MFModRaw!$A$2:$A$37),_xlfn.XMATCH(B$2,MFModRaw!$B$1:$Z$1))</f>
        <v>151960779.35757601</v>
      </c>
      <c r="C12" s="3" cm="1">
        <f t="array" ref="C12">INDEX(MFModRaw!$B$2:$Z$37,_xlfn.XMATCH($A12,MFModRaw!$A$2:$A$37),_xlfn.XMATCH(C$2,MFModRaw!$B$1:$Z$1))</f>
        <v>151960779.058882</v>
      </c>
      <c r="D12" s="3" cm="1">
        <f t="array" ref="D12">INDEX(MFModRaw!$B$2:$Z$37,_xlfn.XMATCH($A12,MFModRaw!$A$2:$A$37),_xlfn.XMATCH(D$2,MFModRaw!$B$1:$Z$1))</f>
        <v>151969507.35010299</v>
      </c>
      <c r="E12" s="3" cm="1">
        <f t="array" ref="E12">INDEX(MFModRaw!$B$2:$Z$37,_xlfn.XMATCH($A12,MFModRaw!$A$2:$A$37),_xlfn.XMATCH(E$2,MFModRaw!$B$1:$Z$1))</f>
        <v>151970813.88389599</v>
      </c>
      <c r="F12" s="3" cm="1">
        <f t="array" ref="F12">INDEX(MFModRaw!$B$2:$Z$37,_xlfn.XMATCH($A12,MFModRaw!$A$2:$A$37),_xlfn.XMATCH(F$2,MFModRaw!$B$1:$Z$1))</f>
        <v>151960779.058882</v>
      </c>
      <c r="G12" s="3" cm="1">
        <f t="array" ref="G12">INDEX(MFModRaw!$B$2:$Z$37,_xlfn.XMATCH($A12,MFModRaw!$A$2:$A$37),_xlfn.XMATCH(G$2,MFModRaw!$B$1:$Z$1))</f>
        <v>151969333.15858099</v>
      </c>
      <c r="H12" s="3" cm="1">
        <f t="array" ref="H12">INDEX(MFModRaw!$B$2:$Z$37,_xlfn.XMATCH($A12,MFModRaw!$A$2:$A$37),_xlfn.XMATCH(H$2,MFModRaw!$B$1:$Z$1))</f>
        <v>151970642.096044</v>
      </c>
      <c r="K12">
        <v>2024</v>
      </c>
      <c r="L12" s="5">
        <f t="shared" si="2"/>
        <v>-1.9655993499512192E-9</v>
      </c>
      <c r="M12" s="5">
        <f t="shared" si="1"/>
        <v>5.7435823663798402E-5</v>
      </c>
      <c r="N12" s="5">
        <f t="shared" si="1"/>
        <v>6.6033659227082708E-5</v>
      </c>
      <c r="O12" s="5">
        <f t="shared" si="1"/>
        <v>-1.9655993499512192E-9</v>
      </c>
      <c r="P12" s="5">
        <f t="shared" si="1"/>
        <v>5.6289531029873885E-5</v>
      </c>
      <c r="Q12" s="5">
        <f t="shared" si="1"/>
        <v>6.4903184293196858E-5</v>
      </c>
    </row>
    <row r="13" spans="1:17" x14ac:dyDescent="0.2">
      <c r="A13">
        <v>2025</v>
      </c>
      <c r="B13" s="3" cm="1">
        <f t="array" ref="B13">INDEX(MFModRaw!$B$2:$Z$37,_xlfn.XMATCH($A13,MFModRaw!$A$2:$A$37),_xlfn.XMATCH(B$2,MFModRaw!$B$1:$Z$1))</f>
        <v>157327866.00698</v>
      </c>
      <c r="C13" s="3" cm="1">
        <f t="array" ref="C13">INDEX(MFModRaw!$B$2:$Z$37,_xlfn.XMATCH($A13,MFModRaw!$A$2:$A$37),_xlfn.XMATCH(C$2,MFModRaw!$B$1:$Z$1))</f>
        <v>157327866.03341901</v>
      </c>
      <c r="D13" s="3" cm="1">
        <f t="array" ref="D13">INDEX(MFModRaw!$B$2:$Z$37,_xlfn.XMATCH($A13,MFModRaw!$A$2:$A$37),_xlfn.XMATCH(D$2,MFModRaw!$B$1:$Z$1))</f>
        <v>157342798.343025</v>
      </c>
      <c r="E13" s="3" cm="1">
        <f t="array" ref="E13">INDEX(MFModRaw!$B$2:$Z$37,_xlfn.XMATCH($A13,MFModRaw!$A$2:$A$37),_xlfn.XMATCH(E$2,MFModRaw!$B$1:$Z$1))</f>
        <v>157345188.679851</v>
      </c>
      <c r="F13" s="3" cm="1">
        <f t="array" ref="F13">INDEX(MFModRaw!$B$2:$Z$37,_xlfn.XMATCH($A13,MFModRaw!$A$2:$A$37),_xlfn.XMATCH(F$2,MFModRaw!$B$1:$Z$1))</f>
        <v>157327866.03341901</v>
      </c>
      <c r="G13" s="3" cm="1">
        <f t="array" ref="G13">INDEX(MFModRaw!$B$2:$Z$37,_xlfn.XMATCH($A13,MFModRaw!$A$2:$A$37),_xlfn.XMATCH(G$2,MFModRaw!$B$1:$Z$1))</f>
        <v>157342463.56177199</v>
      </c>
      <c r="H13" s="3" cm="1">
        <f t="array" ref="H13">INDEX(MFModRaw!$B$2:$Z$37,_xlfn.XMATCH($A13,MFModRaw!$A$2:$A$37),_xlfn.XMATCH(H$2,MFModRaw!$B$1:$Z$1))</f>
        <v>157344855.19327199</v>
      </c>
      <c r="K13">
        <v>2025</v>
      </c>
      <c r="L13" s="5">
        <f t="shared" si="2"/>
        <v>1.6805046243462129E-10</v>
      </c>
      <c r="M13" s="5">
        <f t="shared" si="1"/>
        <v>9.4912213735476314E-5</v>
      </c>
      <c r="N13" s="5">
        <f t="shared" si="1"/>
        <v>1.1010556051282983E-4</v>
      </c>
      <c r="O13" s="5">
        <f t="shared" si="1"/>
        <v>1.6805046243462129E-10</v>
      </c>
      <c r="P13" s="5">
        <f t="shared" si="1"/>
        <v>9.2784292843095528E-5</v>
      </c>
      <c r="Q13" s="5">
        <f t="shared" si="1"/>
        <v>1.079858687669244E-4</v>
      </c>
    </row>
    <row r="14" spans="1:17" x14ac:dyDescent="0.2">
      <c r="A14">
        <v>2026</v>
      </c>
      <c r="B14" s="3" cm="1">
        <f t="array" ref="B14">INDEX(MFModRaw!$B$2:$Z$37,_xlfn.XMATCH($A14,MFModRaw!$A$2:$A$37),_xlfn.XMATCH(B$2,MFModRaw!$B$1:$Z$1))</f>
        <v>161174295.799999</v>
      </c>
      <c r="C14" s="3" cm="1">
        <f t="array" ref="C14">INDEX(MFModRaw!$B$2:$Z$37,_xlfn.XMATCH($A14,MFModRaw!$A$2:$A$37),_xlfn.XMATCH(C$2,MFModRaw!$B$1:$Z$1))</f>
        <v>161174295.936389</v>
      </c>
      <c r="D14" s="3" cm="1">
        <f t="array" ref="D14">INDEX(MFModRaw!$B$2:$Z$37,_xlfn.XMATCH($A14,MFModRaw!$A$2:$A$37),_xlfn.XMATCH(D$2,MFModRaw!$B$1:$Z$1))</f>
        <v>161197164.23522899</v>
      </c>
      <c r="E14" s="3" cm="1">
        <f t="array" ref="E14">INDEX(MFModRaw!$B$2:$Z$37,_xlfn.XMATCH($A14,MFModRaw!$A$2:$A$37),_xlfn.XMATCH(E$2,MFModRaw!$B$1:$Z$1))</f>
        <v>161200940.64803401</v>
      </c>
      <c r="F14" s="3" cm="1">
        <f t="array" ref="F14">INDEX(MFModRaw!$B$2:$Z$37,_xlfn.XMATCH($A14,MFModRaw!$A$2:$A$37),_xlfn.XMATCH(F$2,MFModRaw!$B$1:$Z$1))</f>
        <v>161174295.936389</v>
      </c>
      <c r="G14" s="3" cm="1">
        <f t="array" ref="G14">INDEX(MFModRaw!$B$2:$Z$37,_xlfn.XMATCH($A14,MFModRaw!$A$2:$A$37),_xlfn.XMATCH(G$2,MFModRaw!$B$1:$Z$1))</f>
        <v>161196604.568275</v>
      </c>
      <c r="H14" s="3" cm="1">
        <f t="array" ref="H14">INDEX(MFModRaw!$B$2:$Z$37,_xlfn.XMATCH($A14,MFModRaw!$A$2:$A$37),_xlfn.XMATCH(H$2,MFModRaw!$B$1:$Z$1))</f>
        <v>161200380.53821999</v>
      </c>
      <c r="K14">
        <v>2026</v>
      </c>
      <c r="L14" s="5">
        <f t="shared" si="2"/>
        <v>8.4622664431321937E-10</v>
      </c>
      <c r="M14" s="5">
        <f t="shared" si="1"/>
        <v>1.4188636665957155E-4</v>
      </c>
      <c r="N14" s="5">
        <f t="shared" si="1"/>
        <v>1.6531698123922745E-4</v>
      </c>
      <c r="O14" s="5">
        <f t="shared" si="1"/>
        <v>8.4622664431321937E-10</v>
      </c>
      <c r="P14" s="5">
        <f t="shared" si="1"/>
        <v>1.384139335944834E-4</v>
      </c>
      <c r="Q14" s="5">
        <f t="shared" si="1"/>
        <v>1.6184180046519003E-4</v>
      </c>
    </row>
    <row r="15" spans="1:17" x14ac:dyDescent="0.2">
      <c r="A15">
        <v>2027</v>
      </c>
      <c r="B15" s="3" cm="1">
        <f t="array" ref="B15">INDEX(MFModRaw!$B$2:$Z$37,_xlfn.XMATCH($A15,MFModRaw!$A$2:$A$37),_xlfn.XMATCH(B$2,MFModRaw!$B$1:$Z$1))</f>
        <v>163828412.62031001</v>
      </c>
      <c r="C15" s="3" cm="1">
        <f t="array" ref="C15">INDEX(MFModRaw!$B$2:$Z$37,_xlfn.XMATCH($A15,MFModRaw!$A$2:$A$37),_xlfn.XMATCH(C$2,MFModRaw!$B$1:$Z$1))</f>
        <v>163828412.66539499</v>
      </c>
      <c r="D15" s="3" cm="1">
        <f t="array" ref="D15">INDEX(MFModRaw!$B$2:$Z$37,_xlfn.XMATCH($A15,MFModRaw!$A$2:$A$37),_xlfn.XMATCH(D$2,MFModRaw!$B$1:$Z$1))</f>
        <v>163861060.46318999</v>
      </c>
      <c r="E15" s="3" cm="1">
        <f t="array" ref="E15">INDEX(MFModRaw!$B$2:$Z$37,_xlfn.XMATCH($A15,MFModRaw!$A$2:$A$37),_xlfn.XMATCH(E$2,MFModRaw!$B$1:$Z$1))</f>
        <v>163866556.53627801</v>
      </c>
      <c r="F15" s="3" cm="1">
        <f t="array" ref="F15">INDEX(MFModRaw!$B$2:$Z$37,_xlfn.XMATCH($A15,MFModRaw!$A$2:$A$37),_xlfn.XMATCH(F$2,MFModRaw!$B$1:$Z$1))</f>
        <v>163828412.66539499</v>
      </c>
      <c r="G15" s="3" cm="1">
        <f t="array" ref="G15">INDEX(MFModRaw!$B$2:$Z$37,_xlfn.XMATCH($A15,MFModRaw!$A$2:$A$37),_xlfn.XMATCH(G$2,MFModRaw!$B$1:$Z$1))</f>
        <v>163860208.15103099</v>
      </c>
      <c r="H15" s="3" cm="1">
        <f t="array" ref="H15">INDEX(MFModRaw!$B$2:$Z$37,_xlfn.XMATCH($A15,MFModRaw!$A$2:$A$37),_xlfn.XMATCH(H$2,MFModRaw!$B$1:$Z$1))</f>
        <v>163865700.64910901</v>
      </c>
      <c r="K15">
        <v>2027</v>
      </c>
      <c r="L15" s="5">
        <f t="shared" si="2"/>
        <v>2.7519631018435575E-10</v>
      </c>
      <c r="M15" s="5">
        <f t="shared" si="1"/>
        <v>1.9928071302044437E-4</v>
      </c>
      <c r="N15" s="5">
        <f t="shared" si="1"/>
        <v>2.3282845361149995E-4</v>
      </c>
      <c r="O15" s="5">
        <f t="shared" si="1"/>
        <v>2.7519631018435575E-10</v>
      </c>
      <c r="P15" s="5">
        <f t="shared" si="1"/>
        <v>1.9407824450246025E-4</v>
      </c>
      <c r="Q15" s="5">
        <f t="shared" si="1"/>
        <v>2.2760416342082479E-4</v>
      </c>
    </row>
    <row r="16" spans="1:17" x14ac:dyDescent="0.2">
      <c r="A16">
        <v>2028</v>
      </c>
      <c r="B16" s="3" cm="1">
        <f t="array" ref="B16">INDEX(MFModRaw!$B$2:$Z$37,_xlfn.XMATCH($A16,MFModRaw!$A$2:$A$37),_xlfn.XMATCH(B$2,MFModRaw!$B$1:$Z$1))</f>
        <v>165613937.73779401</v>
      </c>
      <c r="C16" s="3" cm="1">
        <f t="array" ref="C16">INDEX(MFModRaw!$B$2:$Z$37,_xlfn.XMATCH($A16,MFModRaw!$A$2:$A$37),_xlfn.XMATCH(C$2,MFModRaw!$B$1:$Z$1))</f>
        <v>165613937.73886999</v>
      </c>
      <c r="D16" s="3" cm="1">
        <f t="array" ref="D16">INDEX(MFModRaw!$B$2:$Z$37,_xlfn.XMATCH($A16,MFModRaw!$A$2:$A$37),_xlfn.XMATCH(D$2,MFModRaw!$B$1:$Z$1))</f>
        <v>165658141.43110201</v>
      </c>
      <c r="E16" s="3" cm="1">
        <f t="array" ref="E16">INDEX(MFModRaw!$B$2:$Z$37,_xlfn.XMATCH($A16,MFModRaw!$A$2:$A$37),_xlfn.XMATCH(E$2,MFModRaw!$B$1:$Z$1))</f>
        <v>165665678.848573</v>
      </c>
      <c r="F16" s="3" cm="1">
        <f t="array" ref="F16">INDEX(MFModRaw!$B$2:$Z$37,_xlfn.XMATCH($A16,MFModRaw!$A$2:$A$37),_xlfn.XMATCH(F$2,MFModRaw!$B$1:$Z$1))</f>
        <v>165613937.73886999</v>
      </c>
      <c r="G16" s="3" cm="1">
        <f t="array" ref="G16">INDEX(MFModRaw!$B$2:$Z$37,_xlfn.XMATCH($A16,MFModRaw!$A$2:$A$37),_xlfn.XMATCH(G$2,MFModRaw!$B$1:$Z$1))</f>
        <v>165656906.76313999</v>
      </c>
      <c r="H16" s="3" cm="1">
        <f t="array" ref="H16">INDEX(MFModRaw!$B$2:$Z$37,_xlfn.XMATCH($A16,MFModRaw!$A$2:$A$37),_xlfn.XMATCH(H$2,MFModRaw!$B$1:$Z$1))</f>
        <v>165664436.22591099</v>
      </c>
      <c r="K16">
        <v>2028</v>
      </c>
      <c r="L16" s="5">
        <f t="shared" si="2"/>
        <v>6.4970251401064161E-12</v>
      </c>
      <c r="M16" s="5">
        <f t="shared" si="1"/>
        <v>2.6690805080664681E-4</v>
      </c>
      <c r="N16" s="5">
        <f t="shared" si="1"/>
        <v>3.1242002627163146E-4</v>
      </c>
      <c r="O16" s="5">
        <f t="shared" si="1"/>
        <v>6.4970251401064161E-12</v>
      </c>
      <c r="P16" s="5">
        <f t="shared" si="1"/>
        <v>2.5945295385709777E-4</v>
      </c>
      <c r="Q16" s="5">
        <f t="shared" si="1"/>
        <v>3.0491689773670672E-4</v>
      </c>
    </row>
    <row r="17" spans="1:17" x14ac:dyDescent="0.2">
      <c r="A17">
        <v>2029</v>
      </c>
      <c r="B17" s="3" cm="1">
        <f t="array" ref="B17">INDEX(MFModRaw!$B$2:$Z$37,_xlfn.XMATCH($A17,MFModRaw!$A$2:$A$37),_xlfn.XMATCH(B$2,MFModRaw!$B$1:$Z$1))</f>
        <v>166797663.84194899</v>
      </c>
      <c r="C17" s="3" cm="1">
        <f t="array" ref="C17">INDEX(MFModRaw!$B$2:$Z$37,_xlfn.XMATCH($A17,MFModRaw!$A$2:$A$37),_xlfn.XMATCH(C$2,MFModRaw!$B$1:$Z$1))</f>
        <v>166797663.86344701</v>
      </c>
      <c r="D17" s="3" cm="1">
        <f t="array" ref="D17">INDEX(MFModRaw!$B$2:$Z$37,_xlfn.XMATCH($A17,MFModRaw!$A$2:$A$37),_xlfn.XMATCH(D$2,MFModRaw!$B$1:$Z$1))</f>
        <v>166854974.965325</v>
      </c>
      <c r="E17" s="3" cm="1">
        <f t="array" ref="E17">INDEX(MFModRaw!$B$2:$Z$37,_xlfn.XMATCH($A17,MFModRaw!$A$2:$A$37),_xlfn.XMATCH(E$2,MFModRaw!$B$1:$Z$1))</f>
        <v>166864831.317132</v>
      </c>
      <c r="F17" s="3" cm="1">
        <f t="array" ref="F17">INDEX(MFModRaw!$B$2:$Z$37,_xlfn.XMATCH($A17,MFModRaw!$A$2:$A$37),_xlfn.XMATCH(F$2,MFModRaw!$B$1:$Z$1))</f>
        <v>166797663.86344701</v>
      </c>
      <c r="G17" s="3" cm="1">
        <f t="array" ref="G17">INDEX(MFModRaw!$B$2:$Z$37,_xlfn.XMATCH($A17,MFModRaw!$A$2:$A$37),_xlfn.XMATCH(G$2,MFModRaw!$B$1:$Z$1))</f>
        <v>166853261.164855</v>
      </c>
      <c r="H17" s="3" cm="1">
        <f t="array" ref="H17">INDEX(MFModRaw!$B$2:$Z$37,_xlfn.XMATCH($A17,MFModRaw!$A$2:$A$37),_xlfn.XMATCH(H$2,MFModRaw!$B$1:$Z$1))</f>
        <v>166863103.09436399</v>
      </c>
      <c r="K17">
        <v>2029</v>
      </c>
      <c r="L17" s="5">
        <f t="shared" si="2"/>
        <v>1.2888690115175905E-10</v>
      </c>
      <c r="M17" s="5">
        <f t="shared" si="1"/>
        <v>3.4359667908967495E-4</v>
      </c>
      <c r="N17" s="5">
        <f t="shared" si="1"/>
        <v>4.0268834488377259E-4</v>
      </c>
      <c r="O17" s="5">
        <f t="shared" si="1"/>
        <v>1.2888690115175905E-10</v>
      </c>
      <c r="P17" s="5">
        <f t="shared" si="1"/>
        <v>3.3332195203095161E-4</v>
      </c>
      <c r="Q17" s="5">
        <f t="shared" si="1"/>
        <v>3.9232715199788437E-4</v>
      </c>
    </row>
    <row r="18" spans="1:17" x14ac:dyDescent="0.2">
      <c r="A18">
        <v>2030</v>
      </c>
      <c r="B18" s="3" cm="1">
        <f t="array" ref="B18">INDEX(MFModRaw!$B$2:$Z$37,_xlfn.XMATCH($A18,MFModRaw!$A$2:$A$37),_xlfn.XMATCH(B$2,MFModRaw!$B$1:$Z$1))</f>
        <v>167621595.458682</v>
      </c>
      <c r="C18" s="3" cm="1">
        <f t="array" ref="C18">INDEX(MFModRaw!$B$2:$Z$37,_xlfn.XMATCH($A18,MFModRaw!$A$2:$A$37),_xlfn.XMATCH(C$2,MFModRaw!$B$1:$Z$1))</f>
        <v>167621595.38151699</v>
      </c>
      <c r="D18" s="3" cm="1">
        <f t="array" ref="D18">INDEX(MFModRaw!$B$2:$Z$37,_xlfn.XMATCH($A18,MFModRaw!$A$2:$A$37),_xlfn.XMATCH(D$2,MFModRaw!$B$1:$Z$1))</f>
        <v>167693268.49261501</v>
      </c>
      <c r="E18" s="3" cm="1">
        <f t="array" ref="E18">INDEX(MFModRaw!$B$2:$Z$37,_xlfn.XMATCH($A18,MFModRaw!$A$2:$A$37),_xlfn.XMATCH(E$2,MFModRaw!$B$1:$Z$1))</f>
        <v>167705663.837363</v>
      </c>
      <c r="F18" s="3" cm="1">
        <f t="array" ref="F18">INDEX(MFModRaw!$B$2:$Z$37,_xlfn.XMATCH($A18,MFModRaw!$A$2:$A$37),_xlfn.XMATCH(F$2,MFModRaw!$B$1:$Z$1))</f>
        <v>167621595.38151699</v>
      </c>
      <c r="G18" s="3" cm="1">
        <f t="array" ref="G18">INDEX(MFModRaw!$B$2:$Z$37,_xlfn.XMATCH($A18,MFModRaw!$A$2:$A$37),_xlfn.XMATCH(G$2,MFModRaw!$B$1:$Z$1))</f>
        <v>167690986.724062</v>
      </c>
      <c r="H18" s="3" cm="1">
        <f t="array" ref="H18">INDEX(MFModRaw!$B$2:$Z$37,_xlfn.XMATCH($A18,MFModRaw!$A$2:$A$37),_xlfn.XMATCH(H$2,MFModRaw!$B$1:$Z$1))</f>
        <v>167703358.38414201</v>
      </c>
      <c r="K18">
        <v>2030</v>
      </c>
      <c r="L18" s="5">
        <f t="shared" si="2"/>
        <v>-4.6035242284858668E-10</v>
      </c>
      <c r="M18" s="5">
        <f t="shared" si="1"/>
        <v>4.2758830529487923E-4</v>
      </c>
      <c r="N18" s="5">
        <f t="shared" si="1"/>
        <v>5.0153668118335659E-4</v>
      </c>
      <c r="O18" s="5">
        <f t="shared" si="1"/>
        <v>-4.6035242284858668E-10</v>
      </c>
      <c r="P18" s="5">
        <f t="shared" si="1"/>
        <v>4.1397568845535915E-4</v>
      </c>
      <c r="Q18" s="5">
        <f t="shared" si="1"/>
        <v>4.8778276591554537E-4</v>
      </c>
    </row>
    <row r="19" spans="1:17" x14ac:dyDescent="0.2">
      <c r="A19">
        <v>2031</v>
      </c>
      <c r="B19" s="3" cm="1">
        <f t="array" ref="B19">INDEX(MFModRaw!$B$2:$Z$37,_xlfn.XMATCH($A19,MFModRaw!$A$2:$A$37),_xlfn.XMATCH(B$2,MFModRaw!$B$1:$Z$1))</f>
        <v>168309329.610174</v>
      </c>
      <c r="C19" s="3" cm="1">
        <f t="array" ref="C19">INDEX(MFModRaw!$B$2:$Z$37,_xlfn.XMATCH($A19,MFModRaw!$A$2:$A$37),_xlfn.XMATCH(C$2,MFModRaw!$B$1:$Z$1))</f>
        <v>168309329.661351</v>
      </c>
      <c r="D19" s="3" cm="1">
        <f t="array" ref="D19">INDEX(MFModRaw!$B$2:$Z$37,_xlfn.XMATCH($A19,MFModRaw!$A$2:$A$37),_xlfn.XMATCH(D$2,MFModRaw!$B$1:$Z$1))</f>
        <v>168396316.28444701</v>
      </c>
      <c r="E19" s="3" cm="1">
        <f t="array" ref="E19">INDEX(MFModRaw!$B$2:$Z$37,_xlfn.XMATCH($A19,MFModRaw!$A$2:$A$37),_xlfn.XMATCH(E$2,MFModRaw!$B$1:$Z$1))</f>
        <v>168411413.846477</v>
      </c>
      <c r="F19" s="3" cm="1">
        <f t="array" ref="F19">INDEX(MFModRaw!$B$2:$Z$37,_xlfn.XMATCH($A19,MFModRaw!$A$2:$A$37),_xlfn.XMATCH(F$2,MFModRaw!$B$1:$Z$1))</f>
        <v>168309329.661351</v>
      </c>
      <c r="G19" s="3" cm="1">
        <f t="array" ref="G19">INDEX(MFModRaw!$B$2:$Z$37,_xlfn.XMATCH($A19,MFModRaw!$A$2:$A$37),_xlfn.XMATCH(G$2,MFModRaw!$B$1:$Z$1))</f>
        <v>168393396.84736899</v>
      </c>
      <c r="H19" s="3" cm="1">
        <f t="array" ref="H19">INDEX(MFModRaw!$B$2:$Z$37,_xlfn.XMATCH($A19,MFModRaw!$A$2:$A$37),_xlfn.XMATCH(H$2,MFModRaw!$B$1:$Z$1))</f>
        <v>168408458.22014299</v>
      </c>
      <c r="K19">
        <v>2031</v>
      </c>
      <c r="L19" s="5">
        <f t="shared" si="2"/>
        <v>3.0406521744907877E-10</v>
      </c>
      <c r="M19" s="5">
        <f t="shared" si="2"/>
        <v>5.16826217979105E-4</v>
      </c>
      <c r="N19" s="5">
        <f t="shared" si="2"/>
        <v>6.0652749636314063E-4</v>
      </c>
      <c r="O19" s="5">
        <f t="shared" si="2"/>
        <v>3.0406521744907877E-10</v>
      </c>
      <c r="P19" s="5">
        <f t="shared" si="2"/>
        <v>4.9948055398774116E-4</v>
      </c>
      <c r="Q19" s="5">
        <f t="shared" si="2"/>
        <v>5.8896681603193279E-4</v>
      </c>
    </row>
    <row r="20" spans="1:17" x14ac:dyDescent="0.2">
      <c r="A20">
        <v>2032</v>
      </c>
      <c r="B20" s="3" cm="1">
        <f t="array" ref="B20">INDEX(MFModRaw!$B$2:$Z$37,_xlfn.XMATCH($A20,MFModRaw!$A$2:$A$37),_xlfn.XMATCH(B$2,MFModRaw!$B$1:$Z$1))</f>
        <v>169054085.10363299</v>
      </c>
      <c r="C20" s="3" cm="1">
        <f t="array" ref="C20">INDEX(MFModRaw!$B$2:$Z$37,_xlfn.XMATCH($A20,MFModRaw!$A$2:$A$37),_xlfn.XMATCH(C$2,MFModRaw!$B$1:$Z$1))</f>
        <v>169054085.120884</v>
      </c>
      <c r="D20" s="3" cm="1">
        <f t="array" ref="D20">INDEX(MFModRaw!$B$2:$Z$37,_xlfn.XMATCH($A20,MFModRaw!$A$2:$A$37),_xlfn.XMATCH(D$2,MFModRaw!$B$1:$Z$1))</f>
        <v>169157086.00340399</v>
      </c>
      <c r="E20" s="3" cm="1">
        <f t="array" ref="E20">INDEX(MFModRaw!$B$2:$Z$37,_xlfn.XMATCH($A20,MFModRaw!$A$2:$A$37),_xlfn.XMATCH(E$2,MFModRaw!$B$1:$Z$1))</f>
        <v>169174827.97478399</v>
      </c>
      <c r="F20" s="3" cm="1">
        <f t="array" ref="F20">INDEX(MFModRaw!$B$2:$Z$37,_xlfn.XMATCH($A20,MFModRaw!$A$2:$A$37),_xlfn.XMATCH(F$2,MFModRaw!$B$1:$Z$1))</f>
        <v>169054085.120884</v>
      </c>
      <c r="G20" s="3" cm="1">
        <f t="array" ref="G20">INDEX(MFModRaw!$B$2:$Z$37,_xlfn.XMATCH($A20,MFModRaw!$A$2:$A$37),_xlfn.XMATCH(G$2,MFModRaw!$B$1:$Z$1))</f>
        <v>169153463.12611201</v>
      </c>
      <c r="H20" s="3" cm="1">
        <f t="array" ref="H20">INDEX(MFModRaw!$B$2:$Z$37,_xlfn.XMATCH($A20,MFModRaw!$A$2:$A$37),_xlfn.XMATCH(H$2,MFModRaw!$B$1:$Z$1))</f>
        <v>169171152.59081399</v>
      </c>
      <c r="K20">
        <v>2032</v>
      </c>
      <c r="L20" s="5">
        <f t="shared" si="2"/>
        <v>1.0204437295158186E-10</v>
      </c>
      <c r="M20" s="5">
        <f t="shared" si="2"/>
        <v>6.0927779241692903E-4</v>
      </c>
      <c r="N20" s="5">
        <f t="shared" si="2"/>
        <v>7.1422628490158679E-4</v>
      </c>
      <c r="O20" s="5">
        <f t="shared" si="2"/>
        <v>1.0204437295158186E-10</v>
      </c>
      <c r="P20" s="5">
        <f t="shared" si="2"/>
        <v>5.8784750701601496E-4</v>
      </c>
      <c r="Q20" s="5">
        <f t="shared" si="2"/>
        <v>6.9248540849664586E-4</v>
      </c>
    </row>
    <row r="21" spans="1:17" x14ac:dyDescent="0.2">
      <c r="A21">
        <v>2033</v>
      </c>
      <c r="B21" s="3" cm="1">
        <f t="array" ref="B21">INDEX(MFModRaw!$B$2:$Z$37,_xlfn.XMATCH($A21,MFModRaw!$A$2:$A$37),_xlfn.XMATCH(B$2,MFModRaw!$B$1:$Z$1))</f>
        <v>170006357.98768699</v>
      </c>
      <c r="C21" s="3" cm="1">
        <f t="array" ref="C21">INDEX(MFModRaw!$B$2:$Z$37,_xlfn.XMATCH($A21,MFModRaw!$A$2:$A$37),_xlfn.XMATCH(C$2,MFModRaw!$B$1:$Z$1))</f>
        <v>170006358.01323199</v>
      </c>
      <c r="D21" s="3" cm="1">
        <f t="array" ref="D21">INDEX(MFModRaw!$B$2:$Z$37,_xlfn.XMATCH($A21,MFModRaw!$A$2:$A$37),_xlfn.XMATCH(D$2,MFModRaw!$B$1:$Z$1))</f>
        <v>170125892.02998099</v>
      </c>
      <c r="E21" s="3" cm="1">
        <f t="array" ref="E21">INDEX(MFModRaw!$B$2:$Z$37,_xlfn.XMATCH($A21,MFModRaw!$A$2:$A$37),_xlfn.XMATCH(E$2,MFModRaw!$B$1:$Z$1))</f>
        <v>170146091.042649</v>
      </c>
      <c r="F21" s="3" cm="1">
        <f t="array" ref="F21">INDEX(MFModRaw!$B$2:$Z$37,_xlfn.XMATCH($A21,MFModRaw!$A$2:$A$37),_xlfn.XMATCH(F$2,MFModRaw!$B$1:$Z$1))</f>
        <v>170006358.01323199</v>
      </c>
      <c r="G21" s="3" cm="1">
        <f t="array" ref="G21">INDEX(MFModRaw!$B$2:$Z$37,_xlfn.XMATCH($A21,MFModRaw!$A$2:$A$37),_xlfn.XMATCH(G$2,MFModRaw!$B$1:$Z$1))</f>
        <v>170121476.95460701</v>
      </c>
      <c r="H21" s="3" cm="1">
        <f t="array" ref="H21">INDEX(MFModRaw!$B$2:$Z$37,_xlfn.XMATCH($A21,MFModRaw!$A$2:$A$37),_xlfn.XMATCH(H$2,MFModRaw!$B$1:$Z$1))</f>
        <v>170141603.06185901</v>
      </c>
      <c r="K21">
        <v>2033</v>
      </c>
      <c r="L21" s="5">
        <f t="shared" si="2"/>
        <v>1.5025913846500316E-10</v>
      </c>
      <c r="M21" s="5">
        <f t="shared" si="2"/>
        <v>7.0311512880394389E-4</v>
      </c>
      <c r="N21" s="5">
        <f t="shared" si="2"/>
        <v>8.2192840677253187E-4</v>
      </c>
      <c r="O21" s="5">
        <f t="shared" si="2"/>
        <v>1.5025913846500316E-10</v>
      </c>
      <c r="P21" s="5">
        <f t="shared" si="2"/>
        <v>6.7714506847060818E-4</v>
      </c>
      <c r="Q21" s="5">
        <f t="shared" si="2"/>
        <v>7.9552950708938752E-4</v>
      </c>
    </row>
    <row r="22" spans="1:17" x14ac:dyDescent="0.2">
      <c r="A22">
        <v>2034</v>
      </c>
      <c r="B22" s="3" cm="1">
        <f t="array" ref="B22">INDEX(MFModRaw!$B$2:$Z$37,_xlfn.XMATCH($A22,MFModRaw!$A$2:$A$37),_xlfn.XMATCH(B$2,MFModRaw!$B$1:$Z$1))</f>
        <v>171269059.74022999</v>
      </c>
      <c r="C22" s="3" cm="1">
        <f t="array" ref="C22">INDEX(MFModRaw!$B$2:$Z$37,_xlfn.XMATCH($A22,MFModRaw!$A$2:$A$37),_xlfn.XMATCH(C$2,MFModRaw!$B$1:$Z$1))</f>
        <v>171269059.89570501</v>
      </c>
      <c r="D22" s="3" cm="1">
        <f t="array" ref="D22">INDEX(MFModRaw!$B$2:$Z$37,_xlfn.XMATCH($A22,MFModRaw!$A$2:$A$37),_xlfn.XMATCH(D$2,MFModRaw!$B$1:$Z$1))</f>
        <v>171405479.917061</v>
      </c>
      <c r="E22" s="3" cm="1">
        <f t="array" ref="E22">INDEX(MFModRaw!$B$2:$Z$37,_xlfn.XMATCH($A22,MFModRaw!$A$2:$A$37),_xlfn.XMATCH(E$2,MFModRaw!$B$1:$Z$1))</f>
        <v>171427866.84810901</v>
      </c>
      <c r="F22" s="3" cm="1">
        <f t="array" ref="F22">INDEX(MFModRaw!$B$2:$Z$37,_xlfn.XMATCH($A22,MFModRaw!$A$2:$A$37),_xlfn.XMATCH(F$2,MFModRaw!$B$1:$Z$1))</f>
        <v>171269059.89570501</v>
      </c>
      <c r="G22" s="3" cm="1">
        <f t="array" ref="G22">INDEX(MFModRaw!$B$2:$Z$37,_xlfn.XMATCH($A22,MFModRaw!$A$2:$A$37),_xlfn.XMATCH(G$2,MFModRaw!$B$1:$Z$1))</f>
        <v>171400179.30039999</v>
      </c>
      <c r="H22" s="3" cm="1">
        <f t="array" ref="H22">INDEX(MFModRaw!$B$2:$Z$37,_xlfn.XMATCH($A22,MFModRaw!$A$2:$A$37),_xlfn.XMATCH(H$2,MFModRaw!$B$1:$Z$1))</f>
        <v>171422468.271763</v>
      </c>
      <c r="K22">
        <v>2034</v>
      </c>
      <c r="L22" s="5">
        <f t="shared" si="2"/>
        <v>9.077822937797464E-10</v>
      </c>
      <c r="M22" s="5">
        <f t="shared" si="2"/>
        <v>7.9652551977527075E-4</v>
      </c>
      <c r="N22" s="5">
        <f t="shared" si="2"/>
        <v>9.2723757647683591E-4</v>
      </c>
      <c r="O22" s="5">
        <f t="shared" si="2"/>
        <v>9.077822937797464E-10</v>
      </c>
      <c r="P22" s="5">
        <f t="shared" si="2"/>
        <v>7.655764582865654E-4</v>
      </c>
      <c r="Q22" s="5">
        <f t="shared" si="2"/>
        <v>8.9571655128883876E-4</v>
      </c>
    </row>
    <row r="23" spans="1:17" x14ac:dyDescent="0.2">
      <c r="A23">
        <v>2035</v>
      </c>
      <c r="B23" s="3" cm="1">
        <f t="array" ref="B23">INDEX(MFModRaw!$B$2:$Z$37,_xlfn.XMATCH($A23,MFModRaw!$A$2:$A$37),_xlfn.XMATCH(B$2,MFModRaw!$B$1:$Z$1))</f>
        <v>172900131.026261</v>
      </c>
      <c r="C23" s="3" cm="1">
        <f t="array" ref="C23">INDEX(MFModRaw!$B$2:$Z$37,_xlfn.XMATCH($A23,MFModRaw!$A$2:$A$37),_xlfn.XMATCH(C$2,MFModRaw!$B$1:$Z$1))</f>
        <v>172900131.202611</v>
      </c>
      <c r="D23" s="3" cm="1">
        <f t="array" ref="D23">INDEX(MFModRaw!$B$2:$Z$37,_xlfn.XMATCH($A23,MFModRaw!$A$2:$A$37),_xlfn.XMATCH(D$2,MFModRaw!$B$1:$Z$1))</f>
        <v>173053633.15385401</v>
      </c>
      <c r="E23" s="3" cm="1">
        <f t="array" ref="E23">INDEX(MFModRaw!$B$2:$Z$37,_xlfn.XMATCH($A23,MFModRaw!$A$2:$A$37),_xlfn.XMATCH(E$2,MFModRaw!$B$1:$Z$1))</f>
        <v>173077890.066944</v>
      </c>
      <c r="F23" s="3" cm="1">
        <f t="array" ref="F23">INDEX(MFModRaw!$B$2:$Z$37,_xlfn.XMATCH($A23,MFModRaw!$A$2:$A$37),_xlfn.XMATCH(F$2,MFModRaw!$B$1:$Z$1))</f>
        <v>172900131.202611</v>
      </c>
      <c r="G23" s="3" cm="1">
        <f t="array" ref="G23">INDEX(MFModRaw!$B$2:$Z$37,_xlfn.XMATCH($A23,MFModRaw!$A$2:$A$37),_xlfn.XMATCH(G$2,MFModRaw!$B$1:$Z$1))</f>
        <v>173047367.09632301</v>
      </c>
      <c r="H23" s="3" cm="1">
        <f t="array" ref="H23">INDEX(MFModRaw!$B$2:$Z$37,_xlfn.XMATCH($A23,MFModRaw!$A$2:$A$37),_xlfn.XMATCH(H$2,MFModRaw!$B$1:$Z$1))</f>
        <v>173071494.57617301</v>
      </c>
      <c r="K23">
        <v>2035</v>
      </c>
      <c r="L23" s="5">
        <f t="shared" si="2"/>
        <v>1.0199530109389343E-9</v>
      </c>
      <c r="M23" s="5">
        <f t="shared" si="2"/>
        <v>8.8780804665611335E-4</v>
      </c>
      <c r="N23" s="5">
        <f t="shared" si="2"/>
        <v>1.0281024058680366E-3</v>
      </c>
      <c r="O23" s="5">
        <f t="shared" si="2"/>
        <v>1.0199530109389343E-9</v>
      </c>
      <c r="P23" s="5">
        <f t="shared" si="2"/>
        <v>8.5156713987477595E-4</v>
      </c>
      <c r="Q23" s="5">
        <f t="shared" si="2"/>
        <v>9.9111289791897761E-4</v>
      </c>
    </row>
    <row r="24" spans="1:17" x14ac:dyDescent="0.2">
      <c r="A24">
        <v>2036</v>
      </c>
      <c r="B24" s="3" cm="1">
        <f t="array" ref="B24">INDEX(MFModRaw!$B$2:$Z$37,_xlfn.XMATCH($A24,MFModRaw!$A$2:$A$37),_xlfn.XMATCH(B$2,MFModRaw!$B$1:$Z$1))</f>
        <v>174919726.61688799</v>
      </c>
      <c r="C24" s="3" cm="1">
        <f t="array" ref="C24">INDEX(MFModRaw!$B$2:$Z$37,_xlfn.XMATCH($A24,MFModRaw!$A$2:$A$37),_xlfn.XMATCH(C$2,MFModRaw!$B$1:$Z$1))</f>
        <v>174919726.42832801</v>
      </c>
      <c r="D24" s="3" cm="1">
        <f t="array" ref="D24">INDEX(MFModRaw!$B$2:$Z$37,_xlfn.XMATCH($A24,MFModRaw!$A$2:$A$37),_xlfn.XMATCH(D$2,MFModRaw!$B$1:$Z$1))</f>
        <v>175090349.18791899</v>
      </c>
      <c r="E24" s="3" cm="1">
        <f t="array" ref="E24">INDEX(MFModRaw!$B$2:$Z$37,_xlfn.XMATCH($A24,MFModRaw!$A$2:$A$37),_xlfn.XMATCH(E$2,MFModRaw!$B$1:$Z$1))</f>
        <v>175116136.352889</v>
      </c>
      <c r="F24" s="3" cm="1">
        <f t="array" ref="F24">INDEX(MFModRaw!$B$2:$Z$37,_xlfn.XMATCH($A24,MFModRaw!$A$2:$A$37),_xlfn.XMATCH(F$2,MFModRaw!$B$1:$Z$1))</f>
        <v>174919726.42832801</v>
      </c>
      <c r="G24" s="3" cm="1">
        <f t="array" ref="G24">INDEX(MFModRaw!$B$2:$Z$37,_xlfn.XMATCH($A24,MFModRaw!$A$2:$A$37),_xlfn.XMATCH(G$2,MFModRaw!$B$1:$Z$1))</f>
        <v>175083063.475739</v>
      </c>
      <c r="H24" s="3" cm="1">
        <f t="array" ref="H24">INDEX(MFModRaw!$B$2:$Z$37,_xlfn.XMATCH($A24,MFModRaw!$A$2:$A$37),_xlfn.XMATCH(H$2,MFModRaw!$B$1:$Z$1))</f>
        <v>175108680.22957501</v>
      </c>
      <c r="K24">
        <v>2036</v>
      </c>
      <c r="L24" s="5">
        <f t="shared" si="2"/>
        <v>-1.0779800385662952E-9</v>
      </c>
      <c r="M24" s="5">
        <f t="shared" si="2"/>
        <v>9.7543355647200514E-4</v>
      </c>
      <c r="N24" s="5">
        <f t="shared" si="2"/>
        <v>1.1228564084782011E-3</v>
      </c>
      <c r="O24" s="5">
        <f t="shared" si="2"/>
        <v>-1.0779800385662952E-9</v>
      </c>
      <c r="P24" s="5">
        <f t="shared" si="2"/>
        <v>9.3378180957692791E-4</v>
      </c>
      <c r="Q24" s="5">
        <f t="shared" si="2"/>
        <v>1.0802304367927285E-3</v>
      </c>
    </row>
    <row r="25" spans="1:17" x14ac:dyDescent="0.2">
      <c r="A25">
        <v>2037</v>
      </c>
      <c r="B25" s="3" cm="1">
        <f t="array" ref="B25">INDEX(MFModRaw!$B$2:$Z$37,_xlfn.XMATCH($A25,MFModRaw!$A$2:$A$37),_xlfn.XMATCH(B$2,MFModRaw!$B$1:$Z$1))</f>
        <v>177318984.33424601</v>
      </c>
      <c r="C25" s="3" cm="1">
        <f t="array" ref="C25">INDEX(MFModRaw!$B$2:$Z$37,_xlfn.XMATCH($A25,MFModRaw!$A$2:$A$37),_xlfn.XMATCH(C$2,MFModRaw!$B$1:$Z$1))</f>
        <v>177318984.16848499</v>
      </c>
      <c r="D25" s="3" cm="1">
        <f t="array" ref="D25">INDEX(MFModRaw!$B$2:$Z$37,_xlfn.XMATCH($A25,MFModRaw!$A$2:$A$37),_xlfn.XMATCH(D$2,MFModRaw!$B$1:$Z$1))</f>
        <v>177506637.45093599</v>
      </c>
      <c r="E25" s="3" cm="1">
        <f t="array" ref="E25">INDEX(MFModRaw!$B$2:$Z$37,_xlfn.XMATCH($A25,MFModRaw!$A$2:$A$37),_xlfn.XMATCH(E$2,MFModRaw!$B$1:$Z$1))</f>
        <v>177533765.544563</v>
      </c>
      <c r="F25" s="3" cm="1">
        <f t="array" ref="F25">INDEX(MFModRaw!$B$2:$Z$37,_xlfn.XMATCH($A25,MFModRaw!$A$2:$A$37),_xlfn.XMATCH(F$2,MFModRaw!$B$1:$Z$1))</f>
        <v>177318984.16848499</v>
      </c>
      <c r="G25" s="3" cm="1">
        <f t="array" ref="G25">INDEX(MFModRaw!$B$2:$Z$37,_xlfn.XMATCH($A25,MFModRaw!$A$2:$A$37),_xlfn.XMATCH(G$2,MFModRaw!$B$1:$Z$1))</f>
        <v>177498289.22334099</v>
      </c>
      <c r="H25" s="3" cm="1">
        <f t="array" ref="H25">INDEX(MFModRaw!$B$2:$Z$37,_xlfn.XMATCH($A25,MFModRaw!$A$2:$A$37),_xlfn.XMATCH(H$2,MFModRaw!$B$1:$Z$1))</f>
        <v>177525194.404955</v>
      </c>
      <c r="K25">
        <v>2037</v>
      </c>
      <c r="L25" s="5">
        <f t="shared" si="2"/>
        <v>-9.3481822283081328E-10</v>
      </c>
      <c r="M25" s="5">
        <f t="shared" si="2"/>
        <v>1.0582798981988439E-3</v>
      </c>
      <c r="N25" s="5">
        <f t="shared" si="2"/>
        <v>1.2112702490565397E-3</v>
      </c>
      <c r="O25" s="5">
        <f t="shared" si="2"/>
        <v>-9.3481822283081328E-10</v>
      </c>
      <c r="P25" s="5">
        <f t="shared" si="2"/>
        <v>1.0111996172783577E-3</v>
      </c>
      <c r="Q25" s="5">
        <f t="shared" si="2"/>
        <v>1.1629328437856579E-3</v>
      </c>
    </row>
    <row r="26" spans="1:17" x14ac:dyDescent="0.2">
      <c r="A26">
        <v>2038</v>
      </c>
      <c r="B26" s="3" cm="1">
        <f t="array" ref="B26">INDEX(MFModRaw!$B$2:$Z$37,_xlfn.XMATCH($A26,MFModRaw!$A$2:$A$37),_xlfn.XMATCH(B$2,MFModRaw!$B$1:$Z$1))</f>
        <v>180068444.86968201</v>
      </c>
      <c r="C26" s="3" cm="1">
        <f t="array" ref="C26">INDEX(MFModRaw!$B$2:$Z$37,_xlfn.XMATCH($A26,MFModRaw!$A$2:$A$37),_xlfn.XMATCH(C$2,MFModRaw!$B$1:$Z$1))</f>
        <v>180068444.79923499</v>
      </c>
      <c r="D26" s="3" cm="1">
        <f t="array" ref="D26">INDEX(MFModRaw!$B$2:$Z$37,_xlfn.XMATCH($A26,MFModRaw!$A$2:$A$37),_xlfn.XMATCH(D$2,MFModRaw!$B$1:$Z$1))</f>
        <v>180273003.73143399</v>
      </c>
      <c r="E26" s="3" cm="1">
        <f t="array" ref="E26">INDEX(MFModRaw!$B$2:$Z$37,_xlfn.XMATCH($A26,MFModRaw!$A$2:$A$37),_xlfn.XMATCH(E$2,MFModRaw!$B$1:$Z$1))</f>
        <v>180301397.47438601</v>
      </c>
      <c r="F26" s="3" cm="1">
        <f t="array" ref="F26">INDEX(MFModRaw!$B$2:$Z$37,_xlfn.XMATCH($A26,MFModRaw!$A$2:$A$37),_xlfn.XMATCH(F$2,MFModRaw!$B$1:$Z$1))</f>
        <v>180068444.79923499</v>
      </c>
      <c r="G26" s="3" cm="1">
        <f t="array" ref="G26">INDEX(MFModRaw!$B$2:$Z$37,_xlfn.XMATCH($A26,MFModRaw!$A$2:$A$37),_xlfn.XMATCH(G$2,MFModRaw!$B$1:$Z$1))</f>
        <v>180263473.73407799</v>
      </c>
      <c r="H26" s="3" cm="1">
        <f t="array" ref="H26">INDEX(MFModRaw!$B$2:$Z$37,_xlfn.XMATCH($A26,MFModRaw!$A$2:$A$37),_xlfn.XMATCH(H$2,MFModRaw!$B$1:$Z$1))</f>
        <v>180291581.62184101</v>
      </c>
      <c r="K26">
        <v>2038</v>
      </c>
      <c r="L26" s="5">
        <f t="shared" si="2"/>
        <v>-3.9122360906418407E-10</v>
      </c>
      <c r="M26" s="5">
        <f t="shared" si="2"/>
        <v>1.1360061553262746E-3</v>
      </c>
      <c r="N26" s="5">
        <f t="shared" si="2"/>
        <v>1.2936892128578847E-3</v>
      </c>
      <c r="O26" s="5">
        <f t="shared" si="2"/>
        <v>-3.9122360906418407E-10</v>
      </c>
      <c r="P26" s="5">
        <f t="shared" si="2"/>
        <v>1.0830818499993899E-3</v>
      </c>
      <c r="Q26" s="5">
        <f t="shared" si="2"/>
        <v>1.2391774267861422E-3</v>
      </c>
    </row>
    <row r="27" spans="1:17" x14ac:dyDescent="0.2">
      <c r="A27">
        <v>2039</v>
      </c>
      <c r="B27" s="3" cm="1">
        <f t="array" ref="B27">INDEX(MFModRaw!$B$2:$Z$37,_xlfn.XMATCH($A27,MFModRaw!$A$2:$A$37),_xlfn.XMATCH(B$2,MFModRaw!$B$1:$Z$1))</f>
        <v>183125137.17307499</v>
      </c>
      <c r="C27" s="3" cm="1">
        <f t="array" ref="C27">INDEX(MFModRaw!$B$2:$Z$37,_xlfn.XMATCH($A27,MFModRaw!$A$2:$A$37),_xlfn.XMATCH(C$2,MFModRaw!$B$1:$Z$1))</f>
        <v>183125137.13906801</v>
      </c>
      <c r="D27" s="3" cm="1">
        <f t="array" ref="D27">INDEX(MFModRaw!$B$2:$Z$37,_xlfn.XMATCH($A27,MFModRaw!$A$2:$A$37),_xlfn.XMATCH(D$2,MFModRaw!$B$1:$Z$1))</f>
        <v>183346423.26007101</v>
      </c>
      <c r="E27" s="3" cm="1">
        <f t="array" ref="E27">INDEX(MFModRaw!$B$2:$Z$37,_xlfn.XMATCH($A27,MFModRaw!$A$2:$A$37),_xlfn.XMATCH(E$2,MFModRaw!$B$1:$Z$1))</f>
        <v>183376071.46834001</v>
      </c>
      <c r="F27" s="3" cm="1">
        <f t="array" ref="F27">INDEX(MFModRaw!$B$2:$Z$37,_xlfn.XMATCH($A27,MFModRaw!$A$2:$A$37),_xlfn.XMATCH(F$2,MFModRaw!$B$1:$Z$1))</f>
        <v>183125137.13906801</v>
      </c>
      <c r="G27" s="3" cm="1">
        <f t="array" ref="G27">INDEX(MFModRaw!$B$2:$Z$37,_xlfn.XMATCH($A27,MFModRaw!$A$2:$A$37),_xlfn.XMATCH(G$2,MFModRaw!$B$1:$Z$1))</f>
        <v>183335539.13937601</v>
      </c>
      <c r="H27" s="3" cm="1">
        <f t="array" ref="H27">INDEX(MFModRaw!$B$2:$Z$37,_xlfn.XMATCH($A27,MFModRaw!$A$2:$A$37),_xlfn.XMATCH(H$2,MFModRaw!$B$1:$Z$1))</f>
        <v>183364831.93732199</v>
      </c>
      <c r="K27">
        <v>2039</v>
      </c>
      <c r="L27" s="5">
        <f t="shared" si="2"/>
        <v>-1.857035636376736E-10</v>
      </c>
      <c r="M27" s="5">
        <f t="shared" si="2"/>
        <v>1.208387283210044E-3</v>
      </c>
      <c r="N27" s="5">
        <f t="shared" si="2"/>
        <v>1.3702886405368986E-3</v>
      </c>
      <c r="O27" s="5">
        <f t="shared" si="2"/>
        <v>-1.857035636376736E-10</v>
      </c>
      <c r="P27" s="5">
        <f t="shared" si="2"/>
        <v>1.1489518563592149E-3</v>
      </c>
      <c r="Q27" s="5">
        <f t="shared" si="2"/>
        <v>1.308912407915086E-3</v>
      </c>
    </row>
    <row r="28" spans="1:17" x14ac:dyDescent="0.2">
      <c r="A28">
        <v>2040</v>
      </c>
      <c r="B28" s="3" cm="1">
        <f t="array" ref="B28">INDEX(MFModRaw!$B$2:$Z$37,_xlfn.XMATCH($A28,MFModRaw!$A$2:$A$37),_xlfn.XMATCH(B$2,MFModRaw!$B$1:$Z$1))</f>
        <v>186438077.322853</v>
      </c>
      <c r="C28" s="3" cm="1">
        <f t="array" ref="C28">INDEX(MFModRaw!$B$2:$Z$37,_xlfn.XMATCH($A28,MFModRaw!$A$2:$A$37),_xlfn.XMATCH(C$2,MFModRaw!$B$1:$Z$1))</f>
        <v>186438077.286762</v>
      </c>
      <c r="D28" s="3" cm="1">
        <f t="array" ref="D28">INDEX(MFModRaw!$B$2:$Z$37,_xlfn.XMATCH($A28,MFModRaw!$A$2:$A$37),_xlfn.XMATCH(D$2,MFModRaw!$B$1:$Z$1))</f>
        <v>186675786.73870599</v>
      </c>
      <c r="E28" s="3" cm="1">
        <f t="array" ref="E28">INDEX(MFModRaw!$B$2:$Z$37,_xlfn.XMATCH($A28,MFModRaw!$A$2:$A$37),_xlfn.XMATCH(E$2,MFModRaw!$B$1:$Z$1))</f>
        <v>186706727.339816</v>
      </c>
      <c r="F28" s="3" cm="1">
        <f t="array" ref="F28">INDEX(MFModRaw!$B$2:$Z$37,_xlfn.XMATCH($A28,MFModRaw!$A$2:$A$37),_xlfn.XMATCH(F$2,MFModRaw!$B$1:$Z$1))</f>
        <v>186438077.286762</v>
      </c>
      <c r="G28" s="3" cm="1">
        <f t="array" ref="G28">INDEX(MFModRaw!$B$2:$Z$37,_xlfn.XMATCH($A28,MFModRaw!$A$2:$A$37),_xlfn.XMATCH(G$2,MFModRaw!$B$1:$Z$1))</f>
        <v>186663397.53186899</v>
      </c>
      <c r="H28" s="3" cm="1">
        <f t="array" ref="H28">INDEX(MFModRaw!$B$2:$Z$37,_xlfn.XMATCH($A28,MFModRaw!$A$2:$A$37),_xlfn.XMATCH(H$2,MFModRaw!$B$1:$Z$1))</f>
        <v>186693897.199745</v>
      </c>
      <c r="K28">
        <v>2040</v>
      </c>
      <c r="L28" s="5">
        <f t="shared" si="2"/>
        <v>-1.9358170622041371E-10</v>
      </c>
      <c r="M28" s="5">
        <f t="shared" si="2"/>
        <v>1.2750046517662206E-3</v>
      </c>
      <c r="N28" s="5">
        <f t="shared" si="2"/>
        <v>1.4409610999033262E-3</v>
      </c>
      <c r="O28" s="5">
        <f t="shared" si="2"/>
        <v>-1.9358170622041371E-10</v>
      </c>
      <c r="P28" s="5">
        <f t="shared" si="2"/>
        <v>1.2085525245242312E-3</v>
      </c>
      <c r="Q28" s="5">
        <f t="shared" si="2"/>
        <v>1.3721439341438657E-3</v>
      </c>
    </row>
    <row r="29" spans="1:17" x14ac:dyDescent="0.2">
      <c r="A29">
        <v>2041</v>
      </c>
      <c r="B29" s="3" cm="1">
        <f t="array" ref="B29">INDEX(MFModRaw!$B$2:$Z$37,_xlfn.XMATCH($A29,MFModRaw!$A$2:$A$37),_xlfn.XMATCH(B$2,MFModRaw!$B$1:$Z$1))</f>
        <v>189952295.52131799</v>
      </c>
      <c r="C29" s="3" cm="1">
        <f t="array" ref="C29">INDEX(MFModRaw!$B$2:$Z$37,_xlfn.XMATCH($A29,MFModRaw!$A$2:$A$37),_xlfn.XMATCH(C$2,MFModRaw!$B$1:$Z$1))</f>
        <v>189952295.47833699</v>
      </c>
      <c r="D29" s="3" cm="1">
        <f t="array" ref="D29">INDEX(MFModRaw!$B$2:$Z$37,_xlfn.XMATCH($A29,MFModRaw!$A$2:$A$37),_xlfn.XMATCH(D$2,MFModRaw!$B$1:$Z$1))</f>
        <v>190206006.67568401</v>
      </c>
      <c r="E29" s="3" cm="1">
        <f t="array" ref="E29">INDEX(MFModRaw!$B$2:$Z$37,_xlfn.XMATCH($A29,MFModRaw!$A$2:$A$37),_xlfn.XMATCH(E$2,MFModRaw!$B$1:$Z$1))</f>
        <v>190238286.615863</v>
      </c>
      <c r="F29" s="3" cm="1">
        <f t="array" ref="F29">INDEX(MFModRaw!$B$2:$Z$37,_xlfn.XMATCH($A29,MFModRaw!$A$2:$A$37),_xlfn.XMATCH(F$2,MFModRaw!$B$1:$Z$1))</f>
        <v>189952295.47833699</v>
      </c>
      <c r="G29" s="3" cm="1">
        <f t="array" ref="G29">INDEX(MFModRaw!$B$2:$Z$37,_xlfn.XMATCH($A29,MFModRaw!$A$2:$A$37),_xlfn.XMATCH(G$2,MFModRaw!$B$1:$Z$1))</f>
        <v>190191975.232236</v>
      </c>
      <c r="H29" s="3" cm="1">
        <f t="array" ref="H29">INDEX(MFModRaw!$B$2:$Z$37,_xlfn.XMATCH($A29,MFModRaw!$A$2:$A$37),_xlfn.XMATCH(H$2,MFModRaw!$B$1:$Z$1))</f>
        <v>190223713.651452</v>
      </c>
      <c r="K29">
        <v>2041</v>
      </c>
      <c r="L29" s="5">
        <f t="shared" si="2"/>
        <v>-2.2627255624740883E-10</v>
      </c>
      <c r="M29" s="5">
        <f t="shared" si="2"/>
        <v>1.3356572168274905E-3</v>
      </c>
      <c r="N29" s="5">
        <f t="shared" si="2"/>
        <v>1.5055943059814059E-3</v>
      </c>
      <c r="O29" s="5">
        <f t="shared" si="2"/>
        <v>-2.2627255624740883E-10</v>
      </c>
      <c r="P29" s="5">
        <f t="shared" si="2"/>
        <v>1.2617889679100713E-3</v>
      </c>
      <c r="Q29" s="5">
        <f t="shared" si="2"/>
        <v>1.4288752309579156E-3</v>
      </c>
    </row>
    <row r="30" spans="1:17" x14ac:dyDescent="0.2">
      <c r="A30">
        <v>2042</v>
      </c>
      <c r="B30" s="3" cm="1">
        <f t="array" ref="B30">INDEX(MFModRaw!$B$2:$Z$37,_xlfn.XMATCH($A30,MFModRaw!$A$2:$A$37),_xlfn.XMATCH(B$2,MFModRaw!$B$1:$Z$1))</f>
        <v>193611669.19498399</v>
      </c>
      <c r="C30" s="3" cm="1">
        <f t="array" ref="C30">INDEX(MFModRaw!$B$2:$Z$37,_xlfn.XMATCH($A30,MFModRaw!$A$2:$A$37),_xlfn.XMATCH(C$2,MFModRaw!$B$1:$Z$1))</f>
        <v>193611669.20157701</v>
      </c>
      <c r="D30" s="3" cm="1">
        <f t="array" ref="D30">INDEX(MFModRaw!$B$2:$Z$37,_xlfn.XMATCH($A30,MFModRaw!$A$2:$A$37),_xlfn.XMATCH(D$2,MFModRaw!$B$1:$Z$1))</f>
        <v>193880857.40739</v>
      </c>
      <c r="E30" s="3" cm="1">
        <f t="array" ref="E30">INDEX(MFModRaw!$B$2:$Z$37,_xlfn.XMATCH($A30,MFModRaw!$A$2:$A$37),_xlfn.XMATCH(E$2,MFModRaw!$B$1:$Z$1))</f>
        <v>193914531.173471</v>
      </c>
      <c r="F30" s="3" cm="1">
        <f t="array" ref="F30">INDEX(MFModRaw!$B$2:$Z$37,_xlfn.XMATCH($A30,MFModRaw!$A$2:$A$37),_xlfn.XMATCH(F$2,MFModRaw!$B$1:$Z$1))</f>
        <v>193611669.20157701</v>
      </c>
      <c r="G30" s="3" cm="1">
        <f t="array" ref="G30">INDEX(MFModRaw!$B$2:$Z$37,_xlfn.XMATCH($A30,MFModRaw!$A$2:$A$37),_xlfn.XMATCH(G$2,MFModRaw!$B$1:$Z$1))</f>
        <v>193865040.477074</v>
      </c>
      <c r="H30" s="3" cm="1">
        <f t="array" ref="H30">INDEX(MFModRaw!$B$2:$Z$37,_xlfn.XMATCH($A30,MFModRaw!$A$2:$A$37),_xlfn.XMATCH(H$2,MFModRaw!$B$1:$Z$1))</f>
        <v>193898051.34456101</v>
      </c>
      <c r="K30">
        <v>2042</v>
      </c>
      <c r="L30" s="5">
        <f t="shared" si="2"/>
        <v>3.4052760611302801E-11</v>
      </c>
      <c r="M30" s="5">
        <f t="shared" si="2"/>
        <v>1.3903511783419642E-3</v>
      </c>
      <c r="N30" s="5">
        <f t="shared" si="2"/>
        <v>1.5642754372517942E-3</v>
      </c>
      <c r="O30" s="5">
        <f t="shared" si="2"/>
        <v>3.4052760611302801E-11</v>
      </c>
      <c r="P30" s="5">
        <f t="shared" si="2"/>
        <v>1.3086570822073984E-3</v>
      </c>
      <c r="Q30" s="5">
        <f t="shared" si="2"/>
        <v>1.4791574845036681E-3</v>
      </c>
    </row>
    <row r="31" spans="1:17" x14ac:dyDescent="0.2">
      <c r="A31">
        <v>2043</v>
      </c>
      <c r="B31" s="3" cm="1">
        <f t="array" ref="B31">INDEX(MFModRaw!$B$2:$Z$37,_xlfn.XMATCH($A31,MFModRaw!$A$2:$A$37),_xlfn.XMATCH(B$2,MFModRaw!$B$1:$Z$1))</f>
        <v>197360875.84739399</v>
      </c>
      <c r="C31" s="3" cm="1">
        <f t="array" ref="C31">INDEX(MFModRaw!$B$2:$Z$37,_xlfn.XMATCH($A31,MFModRaw!$A$2:$A$37),_xlfn.XMATCH(C$2,MFModRaw!$B$1:$Z$1))</f>
        <v>197360875.83955401</v>
      </c>
      <c r="D31" s="3" cm="1">
        <f t="array" ref="D31">INDEX(MFModRaw!$B$2:$Z$37,_xlfn.XMATCH($A31,MFModRaw!$A$2:$A$37),_xlfn.XMATCH(D$2,MFModRaw!$B$1:$Z$1))</f>
        <v>197644894.59005499</v>
      </c>
      <c r="E31" s="3" cm="1">
        <f t="array" ref="E31">INDEX(MFModRaw!$B$2:$Z$37,_xlfn.XMATCH($A31,MFModRaw!$A$2:$A$37),_xlfn.XMATCH(E$2,MFModRaw!$B$1:$Z$1))</f>
        <v>197679996.99191901</v>
      </c>
      <c r="F31" s="3" cm="1">
        <f t="array" ref="F31">INDEX(MFModRaw!$B$2:$Z$37,_xlfn.XMATCH($A31,MFModRaw!$A$2:$A$37),_xlfn.XMATCH(F$2,MFModRaw!$B$1:$Z$1))</f>
        <v>197360875.83955401</v>
      </c>
      <c r="G31" s="3" cm="1">
        <f t="array" ref="G31">INDEX(MFModRaw!$B$2:$Z$37,_xlfn.XMATCH($A31,MFModRaw!$A$2:$A$37),_xlfn.XMATCH(G$2,MFModRaw!$B$1:$Z$1))</f>
        <v>197627147.42192101</v>
      </c>
      <c r="H31" s="3" cm="1">
        <f t="array" ref="H31">INDEX(MFModRaw!$B$2:$Z$37,_xlfn.XMATCH($A31,MFModRaw!$A$2:$A$37),_xlfn.XMATCH(H$2,MFModRaw!$B$1:$Z$1))</f>
        <v>197661456.18217501</v>
      </c>
      <c r="K31">
        <v>2043</v>
      </c>
      <c r="L31" s="5">
        <f t="shared" si="2"/>
        <v>-3.9724112887995489E-11</v>
      </c>
      <c r="M31" s="5">
        <f t="shared" si="2"/>
        <v>1.4390833109223511E-3</v>
      </c>
      <c r="N31" s="5">
        <f t="shared" si="2"/>
        <v>1.6169422797442934E-3</v>
      </c>
      <c r="O31" s="5">
        <f t="shared" si="2"/>
        <v>-3.9724112887995489E-11</v>
      </c>
      <c r="P31" s="5">
        <f t="shared" si="2"/>
        <v>1.3491608880622508E-3</v>
      </c>
      <c r="Q31" s="5">
        <f t="shared" si="2"/>
        <v>1.5229985856641814E-3</v>
      </c>
    </row>
    <row r="32" spans="1:17" x14ac:dyDescent="0.2">
      <c r="A32">
        <v>2044</v>
      </c>
      <c r="B32" s="3" cm="1">
        <f t="array" ref="B32">INDEX(MFModRaw!$B$2:$Z$37,_xlfn.XMATCH($A32,MFModRaw!$A$2:$A$37),_xlfn.XMATCH(B$2,MFModRaw!$B$1:$Z$1))</f>
        <v>201146745.651225</v>
      </c>
      <c r="C32" s="3" cm="1">
        <f t="array" ref="C32">INDEX(MFModRaw!$B$2:$Z$37,_xlfn.XMATCH($A32,MFModRaw!$A$2:$A$37),_xlfn.XMATCH(C$2,MFModRaw!$B$1:$Z$1))</f>
        <v>201146745.62745899</v>
      </c>
      <c r="D32" s="3" cm="1">
        <f t="array" ref="D32">INDEX(MFModRaw!$B$2:$Z$37,_xlfn.XMATCH($A32,MFModRaw!$A$2:$A$37),_xlfn.XMATCH(D$2,MFModRaw!$B$1:$Z$1))</f>
        <v>201444787.33416399</v>
      </c>
      <c r="E32" s="3" cm="1">
        <f t="array" ref="E32">INDEX(MFModRaw!$B$2:$Z$37,_xlfn.XMATCH($A32,MFModRaw!$A$2:$A$37),_xlfn.XMATCH(E$2,MFModRaw!$B$1:$Z$1))</f>
        <v>201481327.73981401</v>
      </c>
      <c r="F32" s="3" cm="1">
        <f t="array" ref="F32">INDEX(MFModRaw!$B$2:$Z$37,_xlfn.XMATCH($A32,MFModRaw!$A$2:$A$37),_xlfn.XMATCH(F$2,MFModRaw!$B$1:$Z$1))</f>
        <v>201146745.62745899</v>
      </c>
      <c r="G32" s="3" cm="1">
        <f t="array" ref="G32">INDEX(MFModRaw!$B$2:$Z$37,_xlfn.XMATCH($A32,MFModRaw!$A$2:$A$37),_xlfn.XMATCH(G$2,MFModRaw!$B$1:$Z$1))</f>
        <v>201425000.466903</v>
      </c>
      <c r="H32" s="3" cm="1">
        <f t="array" ref="H32">INDEX(MFModRaw!$B$2:$Z$37,_xlfn.XMATCH($A32,MFModRaw!$A$2:$A$37),_xlfn.XMATCH(H$2,MFModRaw!$B$1:$Z$1))</f>
        <v>201460603.67930099</v>
      </c>
      <c r="K32">
        <v>2044</v>
      </c>
      <c r="L32" s="5">
        <f t="shared" si="2"/>
        <v>-1.1815259881586826E-10</v>
      </c>
      <c r="M32" s="5">
        <f t="shared" si="2"/>
        <v>1.4817126768522648E-3</v>
      </c>
      <c r="N32" s="5">
        <f t="shared" si="2"/>
        <v>1.663373113523603E-3</v>
      </c>
      <c r="O32" s="5">
        <f t="shared" si="2"/>
        <v>-1.1815259881586826E-10</v>
      </c>
      <c r="P32" s="5">
        <f t="shared" si="2"/>
        <v>1.3833423691600455E-3</v>
      </c>
      <c r="Q32" s="5">
        <f t="shared" si="2"/>
        <v>1.560343554452448E-3</v>
      </c>
    </row>
    <row r="33" spans="1:17" x14ac:dyDescent="0.2">
      <c r="A33">
        <v>2045</v>
      </c>
      <c r="B33" s="3" cm="1">
        <f t="array" ref="B33">INDEX(MFModRaw!$B$2:$Z$37,_xlfn.XMATCH($A33,MFModRaw!$A$2:$A$37),_xlfn.XMATCH(B$2,MFModRaw!$B$1:$Z$1))</f>
        <v>204919239.09830499</v>
      </c>
      <c r="C33" s="3" cm="1">
        <f t="array" ref="C33">INDEX(MFModRaw!$B$2:$Z$37,_xlfn.XMATCH($A33,MFModRaw!$A$2:$A$37),_xlfn.XMATCH(C$2,MFModRaw!$B$1:$Z$1))</f>
        <v>204919239.07260001</v>
      </c>
      <c r="D33" s="3" cm="1">
        <f t="array" ref="D33">INDEX(MFModRaw!$B$2:$Z$37,_xlfn.XMATCH($A33,MFModRaw!$A$2:$A$37),_xlfn.XMATCH(D$2,MFModRaw!$B$1:$Z$1))</f>
        <v>205230285.926146</v>
      </c>
      <c r="E33" s="3" cm="1">
        <f t="array" ref="E33">INDEX(MFModRaw!$B$2:$Z$37,_xlfn.XMATCH($A33,MFModRaw!$A$2:$A$37),_xlfn.XMATCH(E$2,MFModRaw!$B$1:$Z$1))</f>
        <v>205268241.525545</v>
      </c>
      <c r="F33" s="3" cm="1">
        <f t="array" ref="F33">INDEX(MFModRaw!$B$2:$Z$37,_xlfn.XMATCH($A33,MFModRaw!$A$2:$A$37),_xlfn.XMATCH(F$2,MFModRaw!$B$1:$Z$1))</f>
        <v>204919239.07260001</v>
      </c>
      <c r="G33" s="3" cm="1">
        <f t="array" ref="G33">INDEX(MFModRaw!$B$2:$Z$37,_xlfn.XMATCH($A33,MFModRaw!$A$2:$A$37),_xlfn.XMATCH(G$2,MFModRaw!$B$1:$Z$1))</f>
        <v>205208415.76022199</v>
      </c>
      <c r="H33" s="3" cm="1">
        <f t="array" ref="H33">INDEX(MFModRaw!$B$2:$Z$37,_xlfn.XMATCH($A33,MFModRaw!$A$2:$A$37),_xlfn.XMATCH(H$2,MFModRaw!$B$1:$Z$1))</f>
        <v>205245279.073513</v>
      </c>
      <c r="K33">
        <v>2045</v>
      </c>
      <c r="L33" s="5">
        <f t="shared" si="2"/>
        <v>-1.2543954763799547E-10</v>
      </c>
      <c r="M33" s="5">
        <f t="shared" si="2"/>
        <v>1.5178995842932697E-3</v>
      </c>
      <c r="N33" s="5">
        <f t="shared" si="2"/>
        <v>1.7031218189942354E-3</v>
      </c>
      <c r="O33" s="5">
        <f t="shared" si="2"/>
        <v>-1.2543954763799547E-10</v>
      </c>
      <c r="P33" s="5">
        <f t="shared" si="2"/>
        <v>1.4111738028574905E-3</v>
      </c>
      <c r="Q33" s="5">
        <f t="shared" si="2"/>
        <v>1.5910657127298222E-3</v>
      </c>
    </row>
    <row r="34" spans="1:17" x14ac:dyDescent="0.2">
      <c r="A34">
        <v>2046</v>
      </c>
      <c r="B34" s="3" cm="1">
        <f t="array" ref="B34">INDEX(MFModRaw!$B$2:$Z$37,_xlfn.XMATCH($A34,MFModRaw!$A$2:$A$37),_xlfn.XMATCH(B$2,MFModRaw!$B$1:$Z$1))</f>
        <v>208632203.80201301</v>
      </c>
      <c r="C34" s="3" cm="1">
        <f t="array" ref="C34">INDEX(MFModRaw!$B$2:$Z$37,_xlfn.XMATCH($A34,MFModRaw!$A$2:$A$37),_xlfn.XMATCH(C$2,MFModRaw!$B$1:$Z$1))</f>
        <v>208632203.78101501</v>
      </c>
      <c r="D34" s="3" cm="1">
        <f t="array" ref="D34">INDEX(MFModRaw!$B$2:$Z$37,_xlfn.XMATCH($A34,MFModRaw!$A$2:$A$37),_xlfn.XMATCH(D$2,MFModRaw!$B$1:$Z$1))</f>
        <v>208955129.772888</v>
      </c>
      <c r="E34" s="3" cm="1">
        <f t="array" ref="E34">INDEX(MFModRaw!$B$2:$Z$37,_xlfn.XMATCH($A34,MFModRaw!$A$2:$A$37),_xlfn.XMATCH(E$2,MFModRaw!$B$1:$Z$1))</f>
        <v>208994437.824938</v>
      </c>
      <c r="F34" s="3" cm="1">
        <f t="array" ref="F34">INDEX(MFModRaw!$B$2:$Z$37,_xlfn.XMATCH($A34,MFModRaw!$A$2:$A$37),_xlfn.XMATCH(F$2,MFModRaw!$B$1:$Z$1))</f>
        <v>208632203.78101501</v>
      </c>
      <c r="G34" s="3" cm="1">
        <f t="array" ref="G34">INDEX(MFModRaw!$B$2:$Z$37,_xlfn.XMATCH($A34,MFModRaw!$A$2:$A$37),_xlfn.XMATCH(G$2,MFModRaw!$B$1:$Z$1))</f>
        <v>208931083.66818401</v>
      </c>
      <c r="H34" s="3" cm="1">
        <f t="array" ref="H34">INDEX(MFModRaw!$B$2:$Z$37,_xlfn.XMATCH($A34,MFModRaw!$A$2:$A$37),_xlfn.XMATCH(H$2,MFModRaw!$B$1:$Z$1))</f>
        <v>208969138.67759499</v>
      </c>
      <c r="K34">
        <v>2046</v>
      </c>
      <c r="L34" s="5">
        <f t="shared" si="2"/>
        <v>-1.0064604705206648E-10</v>
      </c>
      <c r="M34" s="5">
        <f t="shared" si="2"/>
        <v>1.5478241852895369E-3</v>
      </c>
      <c r="N34" s="5">
        <f t="shared" si="2"/>
        <v>1.7362325485894559E-3</v>
      </c>
      <c r="O34" s="5">
        <f t="shared" si="2"/>
        <v>-1.0064604705206648E-10</v>
      </c>
      <c r="P34" s="5">
        <f t="shared" si="2"/>
        <v>1.4325682264020312E-3</v>
      </c>
      <c r="Q34" s="5">
        <f t="shared" si="2"/>
        <v>1.614970601095278E-3</v>
      </c>
    </row>
    <row r="35" spans="1:17" x14ac:dyDescent="0.2">
      <c r="A35">
        <v>2047</v>
      </c>
      <c r="B35" s="3" cm="1">
        <f t="array" ref="B35">INDEX(MFModRaw!$B$2:$Z$37,_xlfn.XMATCH($A35,MFModRaw!$A$2:$A$37),_xlfn.XMATCH(B$2,MFModRaw!$B$1:$Z$1))</f>
        <v>212244002.797198</v>
      </c>
      <c r="C35" s="3" cm="1">
        <f t="array" ref="C35">INDEX(MFModRaw!$B$2:$Z$37,_xlfn.XMATCH($A35,MFModRaw!$A$2:$A$37),_xlfn.XMATCH(C$2,MFModRaw!$B$1:$Z$1))</f>
        <v>212244002.781288</v>
      </c>
      <c r="D35" s="3" cm="1">
        <f t="array" ref="D35">INDEX(MFModRaw!$B$2:$Z$37,_xlfn.XMATCH($A35,MFModRaw!$A$2:$A$37),_xlfn.XMATCH(D$2,MFModRaw!$B$1:$Z$1))</f>
        <v>212577558.98523</v>
      </c>
      <c r="E35" s="3" cm="1">
        <f t="array" ref="E35">INDEX(MFModRaw!$B$2:$Z$37,_xlfn.XMATCH($A35,MFModRaw!$A$2:$A$37),_xlfn.XMATCH(E$2,MFModRaw!$B$1:$Z$1))</f>
        <v>212618113.80772901</v>
      </c>
      <c r="F35" s="3" cm="1">
        <f t="array" ref="F35">INDEX(MFModRaw!$B$2:$Z$37,_xlfn.XMATCH($A35,MFModRaw!$A$2:$A$37),_xlfn.XMATCH(F$2,MFModRaw!$B$1:$Z$1))</f>
        <v>212244002.781288</v>
      </c>
      <c r="G35" s="3" cm="1">
        <f t="array" ref="G35">INDEX(MFModRaw!$B$2:$Z$37,_xlfn.XMATCH($A35,MFModRaw!$A$2:$A$37),_xlfn.XMATCH(G$2,MFModRaw!$B$1:$Z$1))</f>
        <v>212551200.568773</v>
      </c>
      <c r="H35" s="3" cm="1">
        <f t="array" ref="H35">INDEX(MFModRaw!$B$2:$Z$37,_xlfn.XMATCH($A35,MFModRaw!$A$2:$A$37),_xlfn.XMATCH(H$2,MFModRaw!$B$1:$Z$1))</f>
        <v>212590341.61952701</v>
      </c>
      <c r="K35">
        <v>2047</v>
      </c>
      <c r="L35" s="5">
        <f t="shared" si="2"/>
        <v>-7.4960926355061019E-11</v>
      </c>
      <c r="M35" s="5">
        <f t="shared" si="2"/>
        <v>1.5715694372326894E-3</v>
      </c>
      <c r="N35" s="5">
        <f t="shared" si="2"/>
        <v>1.7626458491195596E-3</v>
      </c>
      <c r="O35" s="5">
        <f t="shared" si="2"/>
        <v>-7.4960926355061019E-11</v>
      </c>
      <c r="P35" s="5">
        <f t="shared" si="2"/>
        <v>1.447380220531036E-3</v>
      </c>
      <c r="Q35" s="5">
        <f t="shared" si="2"/>
        <v>1.631795564371874E-3</v>
      </c>
    </row>
    <row r="36" spans="1:17" x14ac:dyDescent="0.2">
      <c r="A36">
        <v>2048</v>
      </c>
      <c r="B36" s="3" cm="1">
        <f t="array" ref="B36">INDEX(MFModRaw!$B$2:$Z$37,_xlfn.XMATCH($A36,MFModRaw!$A$2:$A$37),_xlfn.XMATCH(B$2,MFModRaw!$B$1:$Z$1))</f>
        <v>215718054.303161</v>
      </c>
      <c r="C36" s="3" cm="1">
        <f t="array" ref="C36">INDEX(MFModRaw!$B$2:$Z$37,_xlfn.XMATCH($A36,MFModRaw!$A$2:$A$37),_xlfn.XMATCH(C$2,MFModRaw!$B$1:$Z$1))</f>
        <v>215718054.29112199</v>
      </c>
      <c r="D36" s="3" cm="1">
        <f t="array" ref="D36">INDEX(MFModRaw!$B$2:$Z$37,_xlfn.XMATCH($A36,MFModRaw!$A$2:$A$37),_xlfn.XMATCH(D$2,MFModRaw!$B$1:$Z$1))</f>
        <v>216060752.52545801</v>
      </c>
      <c r="E36" s="3" cm="1">
        <f t="array" ref="E36">INDEX(MFModRaw!$B$2:$Z$37,_xlfn.XMATCH($A36,MFModRaw!$A$2:$A$37),_xlfn.XMATCH(E$2,MFModRaw!$B$1:$Z$1))</f>
        <v>216102406.99469399</v>
      </c>
      <c r="F36" s="3" cm="1">
        <f t="array" ref="F36">INDEX(MFModRaw!$B$2:$Z$37,_xlfn.XMATCH($A36,MFModRaw!$A$2:$A$37),_xlfn.XMATCH(F$2,MFModRaw!$B$1:$Z$1))</f>
        <v>215718054.29112199</v>
      </c>
      <c r="G36" s="3" cm="1">
        <f t="array" ref="G36">INDEX(MFModRaw!$B$2:$Z$37,_xlfn.XMATCH($A36,MFModRaw!$A$2:$A$37),_xlfn.XMATCH(G$2,MFModRaw!$B$1:$Z$1))</f>
        <v>216032015.031241</v>
      </c>
      <c r="H36" s="3" cm="1">
        <f t="array" ref="H36">INDEX(MFModRaw!$B$2:$Z$37,_xlfn.XMATCH($A36,MFModRaw!$A$2:$A$37),_xlfn.XMATCH(H$2,MFModRaw!$B$1:$Z$1))</f>
        <v>216072091.62106401</v>
      </c>
      <c r="K36">
        <v>2048</v>
      </c>
      <c r="L36" s="5">
        <f t="shared" si="2"/>
        <v>-5.5809024068764757E-11</v>
      </c>
      <c r="M36" s="5">
        <f t="shared" si="2"/>
        <v>1.5886395017052912E-3</v>
      </c>
      <c r="N36" s="5">
        <f t="shared" si="2"/>
        <v>1.7817363167611511E-3</v>
      </c>
      <c r="O36" s="5">
        <f t="shared" si="2"/>
        <v>-5.5809024068764757E-11</v>
      </c>
      <c r="P36" s="5">
        <f t="shared" si="2"/>
        <v>1.4554216571913692E-3</v>
      </c>
      <c r="Q36" s="5">
        <f t="shared" si="2"/>
        <v>1.6412039272590828E-3</v>
      </c>
    </row>
    <row r="37" spans="1:17" x14ac:dyDescent="0.2">
      <c r="A37">
        <v>2049</v>
      </c>
      <c r="B37" s="3" cm="1">
        <f t="array" ref="B37">INDEX(MFModRaw!$B$2:$Z$37,_xlfn.XMATCH($A37,MFModRaw!$A$2:$A$37),_xlfn.XMATCH(B$2,MFModRaw!$B$1:$Z$1))</f>
        <v>219023285.71374601</v>
      </c>
      <c r="C37" s="3" cm="1">
        <f t="array" ref="C37">INDEX(MFModRaw!$B$2:$Z$37,_xlfn.XMATCH($A37,MFModRaw!$A$2:$A$37),_xlfn.XMATCH(C$2,MFModRaw!$B$1:$Z$1))</f>
        <v>219023285.69422099</v>
      </c>
      <c r="D37" s="3" cm="1">
        <f t="array" ref="D37">INDEX(MFModRaw!$B$2:$Z$37,_xlfn.XMATCH($A37,MFModRaw!$A$2:$A$37),_xlfn.XMATCH(D$2,MFModRaw!$B$1:$Z$1))</f>
        <v>219373358.22979099</v>
      </c>
      <c r="E37" s="3" cm="1">
        <f t="array" ref="E37">INDEX(MFModRaw!$B$2:$Z$37,_xlfn.XMATCH($A37,MFModRaw!$A$2:$A$37),_xlfn.XMATCH(E$2,MFModRaw!$B$1:$Z$1))</f>
        <v>219415924.76629099</v>
      </c>
      <c r="F37" s="3" cm="1">
        <f t="array" ref="F37">INDEX(MFModRaw!$B$2:$Z$37,_xlfn.XMATCH($A37,MFModRaw!$A$2:$A$37),_xlfn.XMATCH(F$2,MFModRaw!$B$1:$Z$1))</f>
        <v>219023285.69422099</v>
      </c>
      <c r="G37" s="3" cm="1">
        <f t="array" ref="G37">INDEX(MFModRaw!$B$2:$Z$37,_xlfn.XMATCH($A37,MFModRaw!$A$2:$A$37),_xlfn.XMATCH(G$2,MFModRaw!$B$1:$Z$1))</f>
        <v>219342286.56136</v>
      </c>
      <c r="H37" s="3" cm="1">
        <f t="array" ref="H37">INDEX(MFModRaw!$B$2:$Z$37,_xlfn.XMATCH($A37,MFModRaw!$A$2:$A$37),_xlfn.XMATCH(H$2,MFModRaw!$B$1:$Z$1))</f>
        <v>219383105.839524</v>
      </c>
      <c r="K37">
        <v>2049</v>
      </c>
      <c r="L37" s="5">
        <f t="shared" si="2"/>
        <v>-8.9145912873789257E-11</v>
      </c>
      <c r="M37" s="5">
        <f t="shared" si="2"/>
        <v>1.5983346926067288E-3</v>
      </c>
      <c r="N37" s="5">
        <f t="shared" si="2"/>
        <v>1.7926817747504487E-3</v>
      </c>
      <c r="O37" s="5">
        <f t="shared" si="2"/>
        <v>-8.9145912873789257E-11</v>
      </c>
      <c r="P37" s="5">
        <f t="shared" si="2"/>
        <v>1.4564700121926233E-3</v>
      </c>
      <c r="Q37" s="5">
        <f t="shared" si="2"/>
        <v>1.6428395939975804E-3</v>
      </c>
    </row>
    <row r="38" spans="1:17" x14ac:dyDescent="0.2">
      <c r="A38">
        <v>2050</v>
      </c>
      <c r="B38" s="3" cm="1">
        <f t="array" ref="B38">INDEX(MFModRaw!$B$2:$Z$37,_xlfn.XMATCH($A38,MFModRaw!$A$2:$A$37),_xlfn.XMATCH(B$2,MFModRaw!$B$1:$Z$1))</f>
        <v>222134480.72465101</v>
      </c>
      <c r="C38" s="3" cm="1">
        <f t="array" ref="C38">INDEX(MFModRaw!$B$2:$Z$37,_xlfn.XMATCH($A38,MFModRaw!$A$2:$A$37),_xlfn.XMATCH(C$2,MFModRaw!$B$1:$Z$1))</f>
        <v>222134480.73963001</v>
      </c>
      <c r="D38" s="3" cm="1">
        <f t="array" ref="D38">INDEX(MFModRaw!$B$2:$Z$37,_xlfn.XMATCH($A38,MFModRaw!$A$2:$A$37),_xlfn.XMATCH(D$2,MFModRaw!$B$1:$Z$1))</f>
        <v>222489991.584526</v>
      </c>
      <c r="E38" s="3" cm="1">
        <f t="array" ref="E38">INDEX(MFModRaw!$B$2:$Z$37,_xlfn.XMATCH($A38,MFModRaw!$A$2:$A$37),_xlfn.XMATCH(E$2,MFModRaw!$B$1:$Z$1))</f>
        <v>222533242.179115</v>
      </c>
      <c r="F38" s="3" cm="1">
        <f t="array" ref="F38">INDEX(MFModRaw!$B$2:$Z$37,_xlfn.XMATCH($A38,MFModRaw!$A$2:$A$37),_xlfn.XMATCH(F$2,MFModRaw!$B$1:$Z$1))</f>
        <v>222134480.73963001</v>
      </c>
      <c r="G38" s="3" cm="1">
        <f t="array" ref="G38">INDEX(MFModRaw!$B$2:$Z$37,_xlfn.XMATCH($A38,MFModRaw!$A$2:$A$37),_xlfn.XMATCH(G$2,MFModRaw!$B$1:$Z$1))</f>
        <v>222456645.91135499</v>
      </c>
      <c r="H38" s="3" cm="1">
        <f t="array" ref="H38">INDEX(MFModRaw!$B$2:$Z$37,_xlfn.XMATCH($A38,MFModRaw!$A$2:$A$37),_xlfn.XMATCH(H$2,MFModRaw!$B$1:$Z$1))</f>
        <v>222497977.41477799</v>
      </c>
      <c r="K38">
        <v>2050</v>
      </c>
      <c r="L38" s="5">
        <f t="shared" si="2"/>
        <v>6.7432059935867983E-11</v>
      </c>
      <c r="M38" s="5">
        <f t="shared" si="2"/>
        <v>1.6004307783070715E-3</v>
      </c>
      <c r="N38" s="5">
        <f t="shared" si="2"/>
        <v>1.7951353304679341E-3</v>
      </c>
      <c r="O38" s="5">
        <f t="shared" si="2"/>
        <v>6.7432059935867983E-11</v>
      </c>
      <c r="P38" s="5">
        <f t="shared" si="2"/>
        <v>1.4503159781993347E-3</v>
      </c>
      <c r="Q38" s="5">
        <f t="shared" si="2"/>
        <v>1.6363812089918994E-3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BEB-A67D-5E41-9E79-C067E55C1F53}">
  <dimension ref="A1:G35"/>
  <sheetViews>
    <sheetView workbookViewId="0"/>
  </sheetViews>
  <sheetFormatPr baseColWidth="10" defaultColWidth="8.83203125" defaultRowHeight="15" x14ac:dyDescent="0.2"/>
  <sheetData>
    <row r="1" spans="1:7" x14ac:dyDescent="0.2">
      <c r="A1" s="15" t="s">
        <v>53</v>
      </c>
      <c r="B1" t="s">
        <v>52</v>
      </c>
    </row>
    <row r="2" spans="1:7" x14ac:dyDescent="0.2">
      <c r="A2" s="15" t="s">
        <v>51</v>
      </c>
      <c r="B2" s="16" t="s">
        <v>37</v>
      </c>
      <c r="C2" s="16"/>
      <c r="D2" s="16"/>
      <c r="E2" s="16" t="s">
        <v>50</v>
      </c>
      <c r="F2" s="16"/>
      <c r="G2" s="16"/>
    </row>
    <row r="3" spans="1:7" x14ac:dyDescent="0.2">
      <c r="A3" s="15" t="s">
        <v>49</v>
      </c>
      <c r="B3" s="15" t="s">
        <v>26</v>
      </c>
      <c r="C3" s="15" t="s">
        <v>48</v>
      </c>
      <c r="D3" s="15" t="s">
        <v>33</v>
      </c>
      <c r="E3" s="15" t="s">
        <v>26</v>
      </c>
      <c r="F3" s="15" t="s">
        <v>48</v>
      </c>
      <c r="G3" s="15" t="s">
        <v>33</v>
      </c>
    </row>
    <row r="4" spans="1:7" x14ac:dyDescent="0.2">
      <c r="A4" s="15" t="s">
        <v>47</v>
      </c>
    </row>
    <row r="5" spans="1:7" x14ac:dyDescent="0.2">
      <c r="A5" s="15">
        <v>2020</v>
      </c>
      <c r="B5">
        <v>0.92900000000000005</v>
      </c>
      <c r="C5">
        <v>0.89945700538313755</v>
      </c>
      <c r="D5">
        <v>0.89945700538313755</v>
      </c>
      <c r="E5">
        <v>0.92900000000000005</v>
      </c>
      <c r="F5">
        <v>0.89945700538313755</v>
      </c>
      <c r="G5">
        <v>0.89945700538313755</v>
      </c>
    </row>
    <row r="6" spans="1:7" x14ac:dyDescent="0.2">
      <c r="A6" s="15">
        <v>2021</v>
      </c>
      <c r="B6">
        <v>0.93784210526315803</v>
      </c>
      <c r="C6">
        <v>0.90757606845995864</v>
      </c>
      <c r="D6">
        <v>0.90698918356438685</v>
      </c>
      <c r="E6">
        <v>0.9771773093614432</v>
      </c>
      <c r="F6">
        <v>0.94564184700332476</v>
      </c>
      <c r="G6">
        <v>0.94503034683720799</v>
      </c>
    </row>
    <row r="7" spans="1:7" x14ac:dyDescent="0.2">
      <c r="A7" s="15">
        <v>2022</v>
      </c>
      <c r="B7">
        <v>0.94289473684210556</v>
      </c>
      <c r="C7">
        <v>0.91202140535531318</v>
      </c>
      <c r="D7">
        <v>0.91084131187036221</v>
      </c>
      <c r="E7">
        <v>1.0152120272783649</v>
      </c>
      <c r="F7">
        <v>0.98197080084781363</v>
      </c>
      <c r="G7">
        <v>0.98070019761669636</v>
      </c>
    </row>
    <row r="8" spans="1:7" x14ac:dyDescent="0.2">
      <c r="A8" s="15">
        <v>2023</v>
      </c>
      <c r="B8">
        <v>0.94747368421052702</v>
      </c>
      <c r="C8">
        <v>0.91600403011734144</v>
      </c>
      <c r="D8">
        <v>0.91422529361864602</v>
      </c>
      <c r="E8">
        <v>1.065924984500926</v>
      </c>
      <c r="F8">
        <v>1.030521056021922</v>
      </c>
      <c r="G8">
        <v>1.028519945377478</v>
      </c>
    </row>
    <row r="9" spans="1:7" x14ac:dyDescent="0.2">
      <c r="A9" s="15">
        <v>2024</v>
      </c>
      <c r="B9">
        <v>0.95015789473684276</v>
      </c>
      <c r="C9">
        <v>0.91815142838297958</v>
      </c>
      <c r="D9">
        <v>0.91577306079338205</v>
      </c>
      <c r="E9">
        <v>1.112834469931804</v>
      </c>
      <c r="F9">
        <v>1.0753481750574589</v>
      </c>
      <c r="G9">
        <v>1.072562607047622</v>
      </c>
    </row>
    <row r="10" spans="1:7" x14ac:dyDescent="0.2">
      <c r="A10" s="15">
        <v>2025</v>
      </c>
      <c r="B10">
        <v>0.95521052631578995</v>
      </c>
      <c r="C10">
        <v>0.92258382130488836</v>
      </c>
      <c r="D10">
        <v>0.9195950525833736</v>
      </c>
      <c r="E10">
        <v>1.1394587724736569</v>
      </c>
      <c r="F10">
        <v>1.100538781312157</v>
      </c>
      <c r="G10">
        <v>1.096973516226815</v>
      </c>
    </row>
    <row r="11" spans="1:7" x14ac:dyDescent="0.2">
      <c r="A11" s="15">
        <v>2026</v>
      </c>
      <c r="B11">
        <v>0.95663157894736839</v>
      </c>
      <c r="C11">
        <v>0.92350562750445997</v>
      </c>
      <c r="D11">
        <v>0.91991376942199243</v>
      </c>
      <c r="E11">
        <v>1.1812969621822711</v>
      </c>
      <c r="F11">
        <v>1.1403913652209381</v>
      </c>
      <c r="G11">
        <v>1.135955957552212</v>
      </c>
    </row>
    <row r="12" spans="1:7" x14ac:dyDescent="0.2">
      <c r="A12" s="15">
        <v>2027</v>
      </c>
      <c r="B12">
        <v>0.95694736842105355</v>
      </c>
      <c r="C12">
        <v>0.92335962497015356</v>
      </c>
      <c r="D12">
        <v>0.91916774056592121</v>
      </c>
      <c r="E12">
        <v>1.234545567265968</v>
      </c>
      <c r="F12">
        <v>1.191214448794748</v>
      </c>
      <c r="G12">
        <v>1.1858065523100381</v>
      </c>
    </row>
    <row r="13" spans="1:7" x14ac:dyDescent="0.2">
      <c r="A13" s="15">
        <v>2028</v>
      </c>
      <c r="B13">
        <v>0.96136842105263198</v>
      </c>
      <c r="C13">
        <v>0.92717256389567637</v>
      </c>
      <c r="D13">
        <v>0.92235970593394279</v>
      </c>
      <c r="E13">
        <v>1.2675089894606359</v>
      </c>
      <c r="F13">
        <v>1.2224237178835911</v>
      </c>
      <c r="G13">
        <v>1.2160782413754121</v>
      </c>
    </row>
    <row r="14" spans="1:7" x14ac:dyDescent="0.2">
      <c r="A14" s="15">
        <v>2029</v>
      </c>
      <c r="B14">
        <v>0.96436842105263199</v>
      </c>
      <c r="C14">
        <v>0.92961150064509723</v>
      </c>
      <c r="D14">
        <v>0.92418013931875598</v>
      </c>
      <c r="E14">
        <v>1.3372393056416649</v>
      </c>
      <c r="F14">
        <v>1.2890437000023991</v>
      </c>
      <c r="G14">
        <v>1.2815123150149079</v>
      </c>
    </row>
    <row r="15" spans="1:7" x14ac:dyDescent="0.2">
      <c r="A15" s="15">
        <v>2030</v>
      </c>
      <c r="B15">
        <v>0.96421052631578996</v>
      </c>
      <c r="C15">
        <v>0.92900501769702282</v>
      </c>
      <c r="D15">
        <v>0.92297115985602318</v>
      </c>
      <c r="E15">
        <v>1.3803453192808459</v>
      </c>
      <c r="F15">
        <v>1.329945787530763</v>
      </c>
      <c r="G15">
        <v>1.321307832228767</v>
      </c>
    </row>
    <row r="16" spans="1:7" x14ac:dyDescent="0.2">
      <c r="A16" s="15">
        <v>2031</v>
      </c>
      <c r="B16">
        <v>0.96326315789473715</v>
      </c>
      <c r="C16">
        <v>0.92763840727033242</v>
      </c>
      <c r="D16">
        <v>0.92100768495447161</v>
      </c>
      <c r="E16">
        <v>1.398094854308747</v>
      </c>
      <c r="F16">
        <v>1.346388547339769</v>
      </c>
      <c r="G16">
        <v>1.336764615733772</v>
      </c>
    </row>
    <row r="17" spans="1:7" x14ac:dyDescent="0.2">
      <c r="A17" s="15">
        <v>2032</v>
      </c>
      <c r="B17">
        <v>0.96657894736842098</v>
      </c>
      <c r="C17">
        <v>0.93037617278743001</v>
      </c>
      <c r="D17">
        <v>0.92311775798939755</v>
      </c>
      <c r="E17">
        <v>1.466557346559201</v>
      </c>
      <c r="F17">
        <v>1.4116281085780411</v>
      </c>
      <c r="G17">
        <v>1.4006151627908301</v>
      </c>
    </row>
    <row r="18" spans="1:7" x14ac:dyDescent="0.2">
      <c r="A18" s="15">
        <v>2033</v>
      </c>
      <c r="B18">
        <v>0.9714736842105266</v>
      </c>
      <c r="C18">
        <v>0.93462987860394475</v>
      </c>
      <c r="D18">
        <v>0.92672677639663437</v>
      </c>
      <c r="E18">
        <v>1.5210737755734689</v>
      </c>
      <c r="F18">
        <v>1.463386009644903</v>
      </c>
      <c r="G18">
        <v>1.4510118180341589</v>
      </c>
    </row>
    <row r="19" spans="1:7" x14ac:dyDescent="0.2">
      <c r="A19" s="15">
        <v>2034</v>
      </c>
      <c r="B19">
        <v>0.97115789473684255</v>
      </c>
      <c r="C19">
        <v>0.93386851355911116</v>
      </c>
      <c r="D19">
        <v>0.92536024702881758</v>
      </c>
      <c r="E19">
        <v>1.583197148171112</v>
      </c>
      <c r="F19">
        <v>1.522407401974746</v>
      </c>
      <c r="G19">
        <v>1.5085370896603001</v>
      </c>
    </row>
    <row r="20" spans="1:7" x14ac:dyDescent="0.2">
      <c r="A20" s="15">
        <v>2035</v>
      </c>
      <c r="B20">
        <v>0.97368421052631637</v>
      </c>
      <c r="C20">
        <v>0.93583908448565478</v>
      </c>
      <c r="D20">
        <v>0.92669937077999198</v>
      </c>
      <c r="E20">
        <v>1.678283942963424</v>
      </c>
      <c r="F20">
        <v>1.613052457573374</v>
      </c>
      <c r="G20">
        <v>1.5972988543109721</v>
      </c>
    </row>
    <row r="21" spans="1:7" x14ac:dyDescent="0.2">
      <c r="A21" s="15">
        <v>2036</v>
      </c>
      <c r="B21">
        <v>0.97115789473684255</v>
      </c>
      <c r="C21">
        <v>0.93295340935216398</v>
      </c>
      <c r="D21">
        <v>0.92322967617468565</v>
      </c>
      <c r="E21">
        <v>1.789852448853072</v>
      </c>
      <c r="F21">
        <v>1.719441249918765</v>
      </c>
      <c r="G21">
        <v>1.701520325078403</v>
      </c>
    </row>
    <row r="22" spans="1:7" x14ac:dyDescent="0.2">
      <c r="A22" s="15">
        <v>2037</v>
      </c>
      <c r="B22">
        <v>0.97636842105263277</v>
      </c>
      <c r="C22">
        <v>0.93749895121506976</v>
      </c>
      <c r="D22">
        <v>0.92711205358547077</v>
      </c>
      <c r="E22">
        <v>1.865921884686915</v>
      </c>
      <c r="F22">
        <v>1.791639070072844</v>
      </c>
      <c r="G22">
        <v>1.7717888381489391</v>
      </c>
    </row>
    <row r="23" spans="1:7" x14ac:dyDescent="0.2">
      <c r="A23" s="15">
        <v>2038</v>
      </c>
      <c r="B23">
        <v>0.98284210526315841</v>
      </c>
      <c r="C23">
        <v>0.94325185943430401</v>
      </c>
      <c r="D23">
        <v>0.93218104773227939</v>
      </c>
      <c r="E23">
        <v>1.9610086794792321</v>
      </c>
      <c r="F23">
        <v>1.882016524709557</v>
      </c>
      <c r="G23">
        <v>1.8599275668593671</v>
      </c>
    </row>
    <row r="24" spans="1:7" x14ac:dyDescent="0.2">
      <c r="A24" s="15">
        <v>2039</v>
      </c>
      <c r="B24">
        <v>0.98647368421052695</v>
      </c>
      <c r="C24">
        <v>0.9462723853382502</v>
      </c>
      <c r="D24">
        <v>0.9345433495698916</v>
      </c>
      <c r="E24">
        <v>2.0484885306881582</v>
      </c>
      <c r="F24">
        <v>1.9650074394266801</v>
      </c>
      <c r="G24">
        <v>1.940651193910873</v>
      </c>
    </row>
    <row r="25" spans="1:7" x14ac:dyDescent="0.2">
      <c r="A25" s="15">
        <v>2040</v>
      </c>
      <c r="B25">
        <v>0.98678947368421099</v>
      </c>
      <c r="C25">
        <v>0.94611038881376619</v>
      </c>
      <c r="D25">
        <v>0.93376008306475922</v>
      </c>
      <c r="E25">
        <v>2.168931804091752</v>
      </c>
      <c r="F25">
        <v>2.0795204724047149</v>
      </c>
      <c r="G25">
        <v>2.05237489409887</v>
      </c>
    </row>
    <row r="26" spans="1:7" x14ac:dyDescent="0.2">
      <c r="A26" s="15">
        <v>2041</v>
      </c>
      <c r="B26">
        <v>0.99136842105263256</v>
      </c>
      <c r="C26">
        <v>0.95003350105420681</v>
      </c>
      <c r="D26">
        <v>0.93700550611886557</v>
      </c>
      <c r="E26">
        <v>2.3147315561066342</v>
      </c>
      <c r="F26">
        <v>2.2182192589044418</v>
      </c>
      <c r="G26">
        <v>2.1878003850032419</v>
      </c>
    </row>
    <row r="27" spans="1:7" x14ac:dyDescent="0.2">
      <c r="A27" s="15">
        <v>2042</v>
      </c>
      <c r="B27">
        <v>0.99373684210526358</v>
      </c>
      <c r="C27">
        <v>0.95183498126946098</v>
      </c>
      <c r="D27">
        <v>0.93815399907672004</v>
      </c>
      <c r="E27">
        <v>2.3996757594544378</v>
      </c>
      <c r="F27">
        <v>2.2984911445108192</v>
      </c>
      <c r="G27">
        <v>2.2654543082555612</v>
      </c>
    </row>
    <row r="28" spans="1:7" x14ac:dyDescent="0.2">
      <c r="A28" s="15">
        <v>2043</v>
      </c>
      <c r="B28">
        <v>0.99721052631579044</v>
      </c>
      <c r="C28">
        <v>0.95469236771427757</v>
      </c>
      <c r="D28">
        <v>0.94033952599043102</v>
      </c>
      <c r="E28">
        <v>2.487155610663355</v>
      </c>
      <c r="F28">
        <v>2.3811105239638399</v>
      </c>
      <c r="G28">
        <v>2.3453129166578739</v>
      </c>
    </row>
    <row r="29" spans="1:7" x14ac:dyDescent="0.2">
      <c r="A29" s="15">
        <v>2044</v>
      </c>
      <c r="B29">
        <v>0.99815789473684235</v>
      </c>
      <c r="C29">
        <v>0.95512907019427518</v>
      </c>
      <c r="D29">
        <v>0.94013796356267343</v>
      </c>
      <c r="E29">
        <v>2.5708319900805932</v>
      </c>
      <c r="F29">
        <v>2.4600079619254478</v>
      </c>
      <c r="G29">
        <v>2.4213972203800012</v>
      </c>
    </row>
    <row r="30" spans="1:7" x14ac:dyDescent="0.2">
      <c r="A30" s="15">
        <v>2045</v>
      </c>
      <c r="B30">
        <v>0.998789473684211</v>
      </c>
      <c r="C30">
        <v>0.95526285242073716</v>
      </c>
      <c r="D30">
        <v>0.93963723557457846</v>
      </c>
      <c r="E30">
        <v>2.6367588344699291</v>
      </c>
      <c r="F30">
        <v>2.5218505317945459</v>
      </c>
      <c r="G30">
        <v>2.4805996132088972</v>
      </c>
    </row>
    <row r="31" spans="1:7" x14ac:dyDescent="0.2">
      <c r="A31" s="15">
        <v>2046</v>
      </c>
      <c r="B31">
        <v>1.0060526315789471</v>
      </c>
      <c r="C31">
        <v>0.96173549399455982</v>
      </c>
      <c r="D31">
        <v>0.94536667844653322</v>
      </c>
      <c r="E31">
        <v>2.674793552386856</v>
      </c>
      <c r="F31">
        <v>2.5569675161039229</v>
      </c>
      <c r="G31">
        <v>2.513447723089361</v>
      </c>
    </row>
    <row r="32" spans="1:7" x14ac:dyDescent="0.2">
      <c r="A32" s="15">
        <v>2047</v>
      </c>
      <c r="B32">
        <v>1.0088947368421051</v>
      </c>
      <c r="C32">
        <v>0.96397707158493795</v>
      </c>
      <c r="D32">
        <v>0.94693066565829298</v>
      </c>
      <c r="E32">
        <v>2.7229708617482942</v>
      </c>
      <c r="F32">
        <v>2.6017396874675498</v>
      </c>
      <c r="G32">
        <v>2.5557320466892119</v>
      </c>
    </row>
    <row r="33" spans="1:7" x14ac:dyDescent="0.2">
      <c r="A33" s="15">
        <v>2048</v>
      </c>
      <c r="B33">
        <v>1.009684210526316</v>
      </c>
      <c r="C33">
        <v>0.96425569317014159</v>
      </c>
      <c r="D33">
        <v>0.94656410579563999</v>
      </c>
      <c r="E33">
        <v>2.8548245505269669</v>
      </c>
      <c r="F33">
        <v>2.726378007250982</v>
      </c>
      <c r="G33">
        <v>2.6763560524180021</v>
      </c>
    </row>
    <row r="34" spans="1:7" x14ac:dyDescent="0.2">
      <c r="A34" s="15">
        <v>2049</v>
      </c>
      <c r="B34">
        <v>1.0092105263157889</v>
      </c>
      <c r="C34">
        <v>0.96332784108683844</v>
      </c>
      <c r="D34">
        <v>0.94501300757737361</v>
      </c>
      <c r="E34">
        <v>2.9055375077495409</v>
      </c>
      <c r="F34">
        <v>2.773440329398007</v>
      </c>
      <c r="G34">
        <v>2.720711553466387</v>
      </c>
    </row>
    <row r="35" spans="1:7" x14ac:dyDescent="0.2">
      <c r="A35" s="15">
        <v>2050</v>
      </c>
      <c r="B35">
        <v>1.0129999999999999</v>
      </c>
      <c r="C35">
        <v>0.96646776474654716</v>
      </c>
      <c r="D35">
        <v>0.94745024369866682</v>
      </c>
      <c r="E35">
        <v>2.9740000000000002</v>
      </c>
      <c r="F35">
        <v>2.837389074389173</v>
      </c>
      <c r="G35">
        <v>2.7815567865348818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B94F-1E2C-6F48-903E-211563F5BA47}">
  <dimension ref="A1:F35"/>
  <sheetViews>
    <sheetView workbookViewId="0"/>
  </sheetViews>
  <sheetFormatPr baseColWidth="10" defaultColWidth="8.83203125" defaultRowHeight="15" x14ac:dyDescent="0.2"/>
  <sheetData>
    <row r="1" spans="1:6" x14ac:dyDescent="0.2">
      <c r="A1" s="15" t="s">
        <v>53</v>
      </c>
      <c r="B1" t="s">
        <v>55</v>
      </c>
    </row>
    <row r="2" spans="1:6" x14ac:dyDescent="0.2">
      <c r="A2" s="15" t="s">
        <v>51</v>
      </c>
      <c r="B2" s="15" t="s">
        <v>54</v>
      </c>
      <c r="C2" s="16" t="s">
        <v>37</v>
      </c>
      <c r="D2" s="16"/>
      <c r="E2" s="16" t="s">
        <v>50</v>
      </c>
      <c r="F2" s="16"/>
    </row>
    <row r="3" spans="1:6" x14ac:dyDescent="0.2">
      <c r="A3" s="15" t="s">
        <v>49</v>
      </c>
      <c r="B3" s="15" t="s">
        <v>26</v>
      </c>
      <c r="C3" s="15" t="s">
        <v>48</v>
      </c>
      <c r="D3" s="15" t="s">
        <v>33</v>
      </c>
      <c r="E3" s="15" t="s">
        <v>48</v>
      </c>
      <c r="F3" s="15" t="s">
        <v>33</v>
      </c>
    </row>
    <row r="4" spans="1:6" x14ac:dyDescent="0.2">
      <c r="A4" s="15" t="s">
        <v>47</v>
      </c>
    </row>
    <row r="5" spans="1:6" x14ac:dyDescent="0.2">
      <c r="A5" s="15">
        <v>2020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 s="15">
        <v>2021</v>
      </c>
      <c r="B6">
        <v>0</v>
      </c>
      <c r="C6">
        <v>0.26038898229753488</v>
      </c>
      <c r="D6">
        <v>0.30687518723009471</v>
      </c>
      <c r="E6">
        <v>0.25771136831872971</v>
      </c>
      <c r="F6">
        <v>0.30421233741111459</v>
      </c>
    </row>
    <row r="7" spans="1:6" x14ac:dyDescent="0.2">
      <c r="A7" s="15">
        <v>2022</v>
      </c>
      <c r="B7">
        <v>0</v>
      </c>
      <c r="C7">
        <v>0.52383154630998885</v>
      </c>
      <c r="D7">
        <v>0.61673202735599097</v>
      </c>
      <c r="E7">
        <v>0.51541368930337883</v>
      </c>
      <c r="F7">
        <v>0.60833956397724931</v>
      </c>
    </row>
    <row r="8" spans="1:6" x14ac:dyDescent="0.2">
      <c r="A8" s="15">
        <v>2023</v>
      </c>
      <c r="B8">
        <v>0</v>
      </c>
      <c r="C8">
        <v>0.78989828210870183</v>
      </c>
      <c r="D8">
        <v>0.92915122543921724</v>
      </c>
      <c r="E8">
        <v>0.77310243928690703</v>
      </c>
      <c r="F8">
        <v>0.91233912427591402</v>
      </c>
    </row>
    <row r="9" spans="1:6" x14ac:dyDescent="0.2">
      <c r="A9" s="15">
        <v>2024</v>
      </c>
      <c r="B9">
        <v>0</v>
      </c>
      <c r="C9">
        <v>1.0564421400503701</v>
      </c>
      <c r="D9">
        <v>1.2420363067874121</v>
      </c>
      <c r="E9">
        <v>1.0307809356251441</v>
      </c>
      <c r="F9">
        <v>1.216242225616935</v>
      </c>
    </row>
    <row r="10" spans="1:6" x14ac:dyDescent="0.2">
      <c r="A10" s="15">
        <v>2025</v>
      </c>
      <c r="B10">
        <v>0</v>
      </c>
      <c r="C10">
        <v>1.32818662935026</v>
      </c>
      <c r="D10">
        <v>1.559999515723768</v>
      </c>
      <c r="E10">
        <v>1.2884603366967891</v>
      </c>
      <c r="F10">
        <v>1.520153838042454</v>
      </c>
    </row>
    <row r="11" spans="1:6" x14ac:dyDescent="0.2">
      <c r="A11" s="15">
        <v>2026</v>
      </c>
      <c r="B11">
        <v>0</v>
      </c>
      <c r="C11">
        <v>1.596400414792275</v>
      </c>
      <c r="D11">
        <v>1.8745151884993541</v>
      </c>
      <c r="E11">
        <v>1.5461225478336811</v>
      </c>
      <c r="F11">
        <v>1.8239037398625111</v>
      </c>
    </row>
    <row r="12" spans="1:6" x14ac:dyDescent="0.2">
      <c r="A12" s="15">
        <v>2027</v>
      </c>
      <c r="B12">
        <v>0</v>
      </c>
      <c r="C12">
        <v>1.863135121591128</v>
      </c>
      <c r="D12">
        <v>2.1875866231535368</v>
      </c>
      <c r="E12">
        <v>1.803765307202299</v>
      </c>
      <c r="F12">
        <v>2.1274706533658621</v>
      </c>
    </row>
    <row r="13" spans="1:6" x14ac:dyDescent="0.2">
      <c r="A13" s="15">
        <v>2028</v>
      </c>
      <c r="B13">
        <v>0</v>
      </c>
      <c r="C13">
        <v>2.139984817820646</v>
      </c>
      <c r="D13">
        <v>2.5105347830250602</v>
      </c>
      <c r="E13">
        <v>2.061414701282577</v>
      </c>
      <c r="F13">
        <v>2.4310999814888641</v>
      </c>
    </row>
    <row r="14" spans="1:6" x14ac:dyDescent="0.2">
      <c r="A14" s="15">
        <v>2029</v>
      </c>
      <c r="B14">
        <v>0</v>
      </c>
      <c r="C14">
        <v>2.4156417086927768</v>
      </c>
      <c r="D14">
        <v>2.8323182347341622</v>
      </c>
      <c r="E14">
        <v>2.319016898436733</v>
      </c>
      <c r="F14">
        <v>2.7342853147038868</v>
      </c>
    </row>
    <row r="15" spans="1:6" x14ac:dyDescent="0.2">
      <c r="A15" s="15">
        <v>2030</v>
      </c>
      <c r="B15">
        <v>0</v>
      </c>
      <c r="C15">
        <v>2.6835692208490181</v>
      </c>
      <c r="D15">
        <v>3.1465543775507658</v>
      </c>
      <c r="E15">
        <v>2.5766341744810251</v>
      </c>
      <c r="F15">
        <v>3.03761249932721</v>
      </c>
    </row>
    <row r="16" spans="1:6" x14ac:dyDescent="0.2">
      <c r="A16" s="15">
        <v>2031</v>
      </c>
      <c r="B16">
        <v>0</v>
      </c>
      <c r="C16">
        <v>2.948777136790409</v>
      </c>
      <c r="D16">
        <v>3.4581349857570469</v>
      </c>
      <c r="E16">
        <v>2.8342743704383202</v>
      </c>
      <c r="F16">
        <v>3.3411552980911492</v>
      </c>
    </row>
    <row r="17" spans="1:6" x14ac:dyDescent="0.2">
      <c r="A17" s="15">
        <v>2032</v>
      </c>
      <c r="B17">
        <v>0</v>
      </c>
      <c r="C17">
        <v>3.2288712635920298</v>
      </c>
      <c r="D17">
        <v>3.7842511518303601</v>
      </c>
      <c r="E17">
        <v>3.0918379656337338</v>
      </c>
      <c r="F17">
        <v>3.6439774917009262</v>
      </c>
    </row>
    <row r="18" spans="1:6" x14ac:dyDescent="0.2">
      <c r="A18" s="15">
        <v>2033</v>
      </c>
      <c r="B18">
        <v>0</v>
      </c>
      <c r="C18">
        <v>3.517171891252497</v>
      </c>
      <c r="D18">
        <v>4.118380510061141</v>
      </c>
      <c r="E18">
        <v>3.3494068384406939</v>
      </c>
      <c r="F18">
        <v>3.9468493333036072</v>
      </c>
    </row>
    <row r="19" spans="1:6" x14ac:dyDescent="0.2">
      <c r="A19" s="15">
        <v>2034</v>
      </c>
      <c r="B19">
        <v>0</v>
      </c>
      <c r="C19">
        <v>3.786387633194721</v>
      </c>
      <c r="D19">
        <v>4.4338745376931623</v>
      </c>
      <c r="E19">
        <v>3.6069500771344249</v>
      </c>
      <c r="F19">
        <v>4.2494800275121776</v>
      </c>
    </row>
    <row r="20" spans="1:6" x14ac:dyDescent="0.2">
      <c r="A20" s="15">
        <v>2035</v>
      </c>
      <c r="B20">
        <v>0</v>
      </c>
      <c r="C20">
        <v>4.0682948241395769</v>
      </c>
      <c r="D20">
        <v>4.7617610601733587</v>
      </c>
      <c r="E20">
        <v>3.8644197308443018</v>
      </c>
      <c r="F20">
        <v>4.5514184868482461</v>
      </c>
    </row>
    <row r="21" spans="1:6" x14ac:dyDescent="0.2">
      <c r="A21" s="15">
        <v>2036</v>
      </c>
      <c r="B21">
        <v>0</v>
      </c>
      <c r="C21">
        <v>4.3273001522225378</v>
      </c>
      <c r="D21">
        <v>5.0672851859350416</v>
      </c>
      <c r="E21">
        <v>4.1218354021274974</v>
      </c>
      <c r="F21">
        <v>4.8528491181426006</v>
      </c>
    </row>
    <row r="22" spans="1:6" x14ac:dyDescent="0.2">
      <c r="A22" s="15">
        <v>2037</v>
      </c>
      <c r="B22">
        <v>0</v>
      </c>
      <c r="C22">
        <v>4.624522963956287</v>
      </c>
      <c r="D22">
        <v>5.4101265612207454</v>
      </c>
      <c r="E22">
        <v>4.3792963100810951</v>
      </c>
      <c r="F22">
        <v>5.1547053036618564</v>
      </c>
    </row>
    <row r="23" spans="1:6" x14ac:dyDescent="0.2">
      <c r="A23" s="15">
        <v>2038</v>
      </c>
      <c r="B23">
        <v>0</v>
      </c>
      <c r="C23">
        <v>4.9317653406921078</v>
      </c>
      <c r="D23">
        <v>5.7627514850707913</v>
      </c>
      <c r="E23">
        <v>4.6366984103631692</v>
      </c>
      <c r="F23">
        <v>5.4560082686887386</v>
      </c>
    </row>
    <row r="24" spans="1:6" x14ac:dyDescent="0.2">
      <c r="A24" s="15">
        <v>2039</v>
      </c>
      <c r="B24">
        <v>0</v>
      </c>
      <c r="C24">
        <v>5.2266025417110731</v>
      </c>
      <c r="D24">
        <v>6.1032634440316436</v>
      </c>
      <c r="E24">
        <v>4.8940950822447942</v>
      </c>
      <c r="F24">
        <v>5.7572601672086359</v>
      </c>
    </row>
    <row r="25" spans="1:6" x14ac:dyDescent="0.2">
      <c r="A25" s="15">
        <v>2040</v>
      </c>
      <c r="B25">
        <v>0</v>
      </c>
      <c r="C25">
        <v>5.5035953745834778</v>
      </c>
      <c r="D25">
        <v>6.4263513688826581</v>
      </c>
      <c r="E25">
        <v>5.1513925350293359</v>
      </c>
      <c r="F25">
        <v>6.0575786834619203</v>
      </c>
    </row>
    <row r="26" spans="1:6" x14ac:dyDescent="0.2">
      <c r="A26" s="15">
        <v>2041</v>
      </c>
      <c r="B26">
        <v>0</v>
      </c>
      <c r="C26">
        <v>5.8078318818186823</v>
      </c>
      <c r="D26">
        <v>6.7760412281634048</v>
      </c>
      <c r="E26">
        <v>5.4085980065840582</v>
      </c>
      <c r="F26">
        <v>6.3570319061245746</v>
      </c>
    </row>
    <row r="27" spans="1:6" x14ac:dyDescent="0.2">
      <c r="A27" s="15">
        <v>2042</v>
      </c>
      <c r="B27">
        <v>0</v>
      </c>
      <c r="C27">
        <v>6.1001403354799768</v>
      </c>
      <c r="D27">
        <v>7.1140840058199206</v>
      </c>
      <c r="E27">
        <v>5.6659280297712904</v>
      </c>
      <c r="F27">
        <v>6.6576568214197849</v>
      </c>
    </row>
    <row r="28" spans="1:6" x14ac:dyDescent="0.2">
      <c r="A28" s="15">
        <v>2043</v>
      </c>
      <c r="B28">
        <v>0</v>
      </c>
      <c r="C28">
        <v>6.4015618220717379</v>
      </c>
      <c r="D28">
        <v>7.4610251538373502</v>
      </c>
      <c r="E28">
        <v>5.9232309109562813</v>
      </c>
      <c r="F28">
        <v>6.9580264041800586</v>
      </c>
    </row>
    <row r="29" spans="1:6" x14ac:dyDescent="0.2">
      <c r="A29" s="15">
        <v>2044</v>
      </c>
      <c r="B29">
        <v>0</v>
      </c>
      <c r="C29">
        <v>6.6867611558029871</v>
      </c>
      <c r="D29">
        <v>7.792126270845829</v>
      </c>
      <c r="E29">
        <v>6.1805238400737821</v>
      </c>
      <c r="F29">
        <v>7.2583023650108522</v>
      </c>
    </row>
    <row r="30" spans="1:6" x14ac:dyDescent="0.2">
      <c r="A30" s="15">
        <v>2045</v>
      </c>
      <c r="B30">
        <v>0</v>
      </c>
      <c r="C30">
        <v>6.9701474253910067</v>
      </c>
      <c r="D30">
        <v>8.121457031447429</v>
      </c>
      <c r="E30">
        <v>6.4378496411717769</v>
      </c>
      <c r="F30">
        <v>7.5588875619117397</v>
      </c>
    </row>
    <row r="31" spans="1:6" x14ac:dyDescent="0.2">
      <c r="A31" s="15">
        <v>2046</v>
      </c>
      <c r="B31">
        <v>0</v>
      </c>
      <c r="C31">
        <v>7.3060171307041903</v>
      </c>
      <c r="D31">
        <v>8.5020349511956095</v>
      </c>
      <c r="E31">
        <v>6.6952460114756001</v>
      </c>
      <c r="F31">
        <v>7.8601366234034691</v>
      </c>
    </row>
    <row r="32" spans="1:6" x14ac:dyDescent="0.2">
      <c r="A32" s="15">
        <v>2047</v>
      </c>
      <c r="B32">
        <v>0</v>
      </c>
      <c r="C32">
        <v>7.6102059257250962</v>
      </c>
      <c r="D32">
        <v>8.8516782221498573</v>
      </c>
      <c r="E32">
        <v>6.9526007640426517</v>
      </c>
      <c r="F32">
        <v>8.1609941750082928</v>
      </c>
    </row>
    <row r="33" spans="1:6" x14ac:dyDescent="0.2">
      <c r="A33" s="15">
        <v>2048</v>
      </c>
      <c r="B33">
        <v>0</v>
      </c>
      <c r="C33">
        <v>7.8987451144570437</v>
      </c>
      <c r="D33">
        <v>9.1860405220131245</v>
      </c>
      <c r="E33">
        <v>7.2096653987635193</v>
      </c>
      <c r="F33">
        <v>8.4591225055174277</v>
      </c>
    </row>
    <row r="34" spans="1:6" x14ac:dyDescent="0.2">
      <c r="A34" s="15">
        <v>2049</v>
      </c>
      <c r="B34">
        <v>0</v>
      </c>
      <c r="C34">
        <v>8.1766921916153574</v>
      </c>
      <c r="D34">
        <v>9.5100602133940715</v>
      </c>
      <c r="E34">
        <v>7.4669785335938013</v>
      </c>
      <c r="F34">
        <v>8.7595885472353423</v>
      </c>
    </row>
    <row r="35" spans="1:6" x14ac:dyDescent="0.2">
      <c r="A35" s="15">
        <v>2050</v>
      </c>
      <c r="B35">
        <v>0</v>
      </c>
      <c r="C35">
        <v>8.492999889067347</v>
      </c>
      <c r="D35">
        <v>9.8715369192785314</v>
      </c>
      <c r="E35">
        <v>7.7242162739734104</v>
      </c>
      <c r="F35">
        <v>9.0593453319117607</v>
      </c>
    </row>
  </sheetData>
  <mergeCells count="2">
    <mergeCell ref="E2:F2"/>
    <mergeCell ref="C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03A6-3218-CC4A-A51E-D22E6FB47DB7}">
  <dimension ref="A1:G35"/>
  <sheetViews>
    <sheetView workbookViewId="0"/>
  </sheetViews>
  <sheetFormatPr baseColWidth="10" defaultColWidth="8.83203125" defaultRowHeight="15" x14ac:dyDescent="0.2"/>
  <sheetData>
    <row r="1" spans="1:7" x14ac:dyDescent="0.2">
      <c r="A1" s="15" t="s">
        <v>53</v>
      </c>
      <c r="B1" t="s">
        <v>56</v>
      </c>
    </row>
    <row r="2" spans="1:7" x14ac:dyDescent="0.2">
      <c r="A2" s="15" t="s">
        <v>51</v>
      </c>
      <c r="B2" s="16" t="s">
        <v>37</v>
      </c>
      <c r="C2" s="16"/>
      <c r="D2" s="16"/>
      <c r="E2" s="16" t="s">
        <v>50</v>
      </c>
      <c r="F2" s="16"/>
      <c r="G2" s="16"/>
    </row>
    <row r="3" spans="1:7" x14ac:dyDescent="0.2">
      <c r="A3" s="15" t="s">
        <v>49</v>
      </c>
      <c r="B3" s="15" t="s">
        <v>26</v>
      </c>
      <c r="C3" s="15" t="s">
        <v>48</v>
      </c>
      <c r="D3" s="15" t="s">
        <v>33</v>
      </c>
      <c r="E3" s="15" t="s">
        <v>26</v>
      </c>
      <c r="F3" s="15" t="s">
        <v>48</v>
      </c>
      <c r="G3" s="15" t="s">
        <v>33</v>
      </c>
    </row>
    <row r="4" spans="1:7" x14ac:dyDescent="0.2">
      <c r="A4" s="15" t="s">
        <v>47</v>
      </c>
    </row>
    <row r="5" spans="1:7" x14ac:dyDescent="0.2">
      <c r="A5" s="15">
        <v>2020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s="15">
        <v>2021</v>
      </c>
      <c r="B6">
        <v>-0.14316524963015051</v>
      </c>
      <c r="C6">
        <v>0.20100797414277499</v>
      </c>
      <c r="D6">
        <v>0.4180301616669268</v>
      </c>
      <c r="E6">
        <v>-9.7147847963319198E-2</v>
      </c>
      <c r="F6">
        <v>0.24718398245402451</v>
      </c>
      <c r="G6">
        <v>0.46430618113111333</v>
      </c>
    </row>
    <row r="7" spans="1:7" x14ac:dyDescent="0.2">
      <c r="A7" s="15">
        <v>2022</v>
      </c>
      <c r="B7">
        <v>-0.22497396370451109</v>
      </c>
      <c r="C7">
        <v>0.46280854910569769</v>
      </c>
      <c r="D7">
        <v>0.89649732894343526</v>
      </c>
      <c r="E7">
        <v>-0.17384351740803439</v>
      </c>
      <c r="F7">
        <v>0.51429145461197034</v>
      </c>
      <c r="G7">
        <v>0.94820248145628405</v>
      </c>
    </row>
    <row r="8" spans="1:7" x14ac:dyDescent="0.2">
      <c r="A8" s="15">
        <v>2023</v>
      </c>
      <c r="B8">
        <v>-0.29911311083442582</v>
      </c>
      <c r="C8">
        <v>0.73179405959955535</v>
      </c>
      <c r="D8">
        <v>1.3818438421169259</v>
      </c>
      <c r="E8">
        <v>-0.2761044100009879</v>
      </c>
      <c r="F8">
        <v>0.75504067039959821</v>
      </c>
      <c r="G8">
        <v>1.4052404696464069</v>
      </c>
    </row>
    <row r="9" spans="1:7" x14ac:dyDescent="0.2">
      <c r="A9" s="15">
        <v>2024</v>
      </c>
      <c r="B9">
        <v>-0.34257399018643442</v>
      </c>
      <c r="C9">
        <v>1.031369723068853</v>
      </c>
      <c r="D9">
        <v>1.8977249465141901</v>
      </c>
      <c r="E9">
        <v>-0.37069573564948438</v>
      </c>
      <c r="F9">
        <v>1.002860272475026</v>
      </c>
      <c r="G9">
        <v>1.868971024213129</v>
      </c>
    </row>
    <row r="10" spans="1:7" x14ac:dyDescent="0.2">
      <c r="A10" s="15">
        <v>2025</v>
      </c>
      <c r="B10">
        <v>-0.424382704260795</v>
      </c>
      <c r="C10">
        <v>1.2916371004691121</v>
      </c>
      <c r="D10">
        <v>2.3736921417494732</v>
      </c>
      <c r="E10">
        <v>-0.424382704260795</v>
      </c>
      <c r="F10">
        <v>1.2916371004691121</v>
      </c>
      <c r="G10">
        <v>2.3736921417494732</v>
      </c>
    </row>
    <row r="11" spans="1:7" x14ac:dyDescent="0.2">
      <c r="A11" s="15">
        <v>2026</v>
      </c>
      <c r="B11">
        <v>-0.44739140509419961</v>
      </c>
      <c r="C11">
        <v>1.611356540648456</v>
      </c>
      <c r="D11">
        <v>2.9095225567260301</v>
      </c>
      <c r="E11">
        <v>-0.50874794064997841</v>
      </c>
      <c r="F11">
        <v>1.5487311519373881</v>
      </c>
      <c r="G11">
        <v>2.8460970787913098</v>
      </c>
    </row>
    <row r="12" spans="1:7" x14ac:dyDescent="0.2">
      <c r="A12" s="15">
        <v>2027</v>
      </c>
      <c r="B12">
        <v>-0.45250444972386727</v>
      </c>
      <c r="C12">
        <v>1.9492447929191139</v>
      </c>
      <c r="D12">
        <v>3.4636940252239961</v>
      </c>
      <c r="E12">
        <v>-0.61612187787259964</v>
      </c>
      <c r="F12">
        <v>1.7816798216205849</v>
      </c>
      <c r="G12">
        <v>3.293639887451882</v>
      </c>
    </row>
    <row r="13" spans="1:7" x14ac:dyDescent="0.2">
      <c r="A13" s="15">
        <v>2028</v>
      </c>
      <c r="B13">
        <v>-0.52408707453892589</v>
      </c>
      <c r="C13">
        <v>2.2187954311924329</v>
      </c>
      <c r="D13">
        <v>3.9483499705898151</v>
      </c>
      <c r="E13">
        <v>-0.6825914580580128</v>
      </c>
      <c r="F13">
        <v>2.055920553471791</v>
      </c>
      <c r="G13">
        <v>3.7827192299877188</v>
      </c>
    </row>
    <row r="14" spans="1:7" x14ac:dyDescent="0.2">
      <c r="A14" s="15">
        <v>2029</v>
      </c>
      <c r="B14">
        <v>-0.57266099852059105</v>
      </c>
      <c r="C14">
        <v>2.5115750573053042</v>
      </c>
      <c r="D14">
        <v>4.4563738081742521</v>
      </c>
      <c r="E14">
        <v>-0.83516796911803359</v>
      </c>
      <c r="F14">
        <v>2.2409251204799312</v>
      </c>
      <c r="G14">
        <v>4.1805892350039731</v>
      </c>
    </row>
    <row r="15" spans="1:7" x14ac:dyDescent="0.2">
      <c r="A15" s="15">
        <v>2030</v>
      </c>
      <c r="B15">
        <v>-0.57010447620575722</v>
      </c>
      <c r="C15">
        <v>2.8569125895143488</v>
      </c>
      <c r="D15">
        <v>5.0178556522314732</v>
      </c>
      <c r="E15">
        <v>-0.93074727350969122</v>
      </c>
      <c r="F15">
        <v>2.4838396371300142</v>
      </c>
      <c r="G15">
        <v>4.6369447297190716</v>
      </c>
    </row>
    <row r="16" spans="1:7" x14ac:dyDescent="0.2">
      <c r="A16" s="15">
        <v>2031</v>
      </c>
      <c r="B16">
        <v>-0.55476534231680974</v>
      </c>
      <c r="C16">
        <v>3.2155349876714872</v>
      </c>
      <c r="D16">
        <v>5.5929390642211576</v>
      </c>
      <c r="E16">
        <v>-0.97010345767097883</v>
      </c>
      <c r="F16">
        <v>2.7844500199038391</v>
      </c>
      <c r="G16">
        <v>5.1519247465757978</v>
      </c>
    </row>
    <row r="17" spans="1:7" x14ac:dyDescent="0.2">
      <c r="A17" s="15">
        <v>2032</v>
      </c>
      <c r="B17">
        <v>-0.60845231092812035</v>
      </c>
      <c r="C17">
        <v>3.502382101491897</v>
      </c>
      <c r="D17">
        <v>6.0945136652228893</v>
      </c>
      <c r="E17">
        <v>-1.121905882293017</v>
      </c>
      <c r="F17">
        <v>2.967692090415341</v>
      </c>
      <c r="G17">
        <v>5.5464327850051287</v>
      </c>
    </row>
    <row r="18" spans="1:7" x14ac:dyDescent="0.2">
      <c r="A18" s="15">
        <v>2033</v>
      </c>
      <c r="B18">
        <v>-0.68770450268765826</v>
      </c>
      <c r="C18">
        <v>3.7621484175619062</v>
      </c>
      <c r="D18">
        <v>6.5680518063459647</v>
      </c>
      <c r="E18">
        <v>-1.242785590788376</v>
      </c>
      <c r="F18">
        <v>3.182195996173709</v>
      </c>
      <c r="G18">
        <v>5.972416493948618</v>
      </c>
    </row>
    <row r="19" spans="1:7" x14ac:dyDescent="0.2">
      <c r="A19" s="15">
        <v>2034</v>
      </c>
      <c r="B19">
        <v>-0.6825914580580128</v>
      </c>
      <c r="C19">
        <v>4.109804562119157</v>
      </c>
      <c r="D19">
        <v>7.1317022460219981</v>
      </c>
      <c r="E19">
        <v>-1.380532235352838</v>
      </c>
      <c r="F19">
        <v>3.3781858158505869</v>
      </c>
      <c r="G19">
        <v>6.37884748836961</v>
      </c>
    </row>
    <row r="20" spans="1:7" x14ac:dyDescent="0.2">
      <c r="A20" s="15">
        <v>2035</v>
      </c>
      <c r="B20">
        <v>-0.72553288466877808</v>
      </c>
      <c r="C20">
        <v>4.4069570651938514</v>
      </c>
      <c r="D20">
        <v>7.6433046931536408</v>
      </c>
      <c r="E20">
        <v>-1.591368936216808</v>
      </c>
      <c r="F20">
        <v>3.4963572897807942</v>
      </c>
      <c r="G20">
        <v>6.7044786624601116</v>
      </c>
    </row>
    <row r="21" spans="1:7" x14ac:dyDescent="0.2">
      <c r="A21" s="15">
        <v>2036</v>
      </c>
      <c r="B21">
        <v>-0.6825914580580128</v>
      </c>
      <c r="C21">
        <v>4.7944325650016051</v>
      </c>
      <c r="D21">
        <v>8.2480299180334171</v>
      </c>
      <c r="E21">
        <v>-1.8387506652305381</v>
      </c>
      <c r="F21">
        <v>3.5745150314175471</v>
      </c>
      <c r="G21">
        <v>6.9879088749519314</v>
      </c>
    </row>
    <row r="22" spans="1:7" x14ac:dyDescent="0.2">
      <c r="A22" s="15">
        <v>2037</v>
      </c>
      <c r="B22">
        <v>-0.77332253686461794</v>
      </c>
      <c r="C22">
        <v>5.0406992512920246</v>
      </c>
      <c r="D22">
        <v>8.7067942279633215</v>
      </c>
      <c r="E22">
        <v>-2.0074200259217019</v>
      </c>
      <c r="F22">
        <v>3.7342918766927862</v>
      </c>
      <c r="G22">
        <v>7.3547910648017254</v>
      </c>
    </row>
    <row r="23" spans="1:7" x14ac:dyDescent="0.2">
      <c r="A23" s="15">
        <v>2038</v>
      </c>
      <c r="B23">
        <v>-0.88857993333690821</v>
      </c>
      <c r="C23">
        <v>5.2602925675988788</v>
      </c>
      <c r="D23">
        <v>9.1375313206067297</v>
      </c>
      <c r="E23">
        <v>-2.218256726785683</v>
      </c>
      <c r="F23">
        <v>3.848122625884542</v>
      </c>
      <c r="G23">
        <v>7.6733444227326641</v>
      </c>
    </row>
    <row r="24" spans="1:7" x14ac:dyDescent="0.2">
      <c r="A24" s="15">
        <v>2039</v>
      </c>
      <c r="B24">
        <v>-0.95323652160186356</v>
      </c>
      <c r="C24">
        <v>5.5330058627201639</v>
      </c>
      <c r="D24">
        <v>9.6229768826215043</v>
      </c>
      <c r="E24">
        <v>-2.412226491580538</v>
      </c>
      <c r="F24">
        <v>3.978471502907488</v>
      </c>
      <c r="G24">
        <v>8.0081959636485003</v>
      </c>
    </row>
    <row r="25" spans="1:7" x14ac:dyDescent="0.2">
      <c r="A25" s="15">
        <v>2040</v>
      </c>
      <c r="B25">
        <v>-0.95885883362489821</v>
      </c>
      <c r="C25">
        <v>5.8683771641105498</v>
      </c>
      <c r="D25">
        <v>10.17336543347567</v>
      </c>
      <c r="E25">
        <v>-2.6792863126749</v>
      </c>
      <c r="F25">
        <v>4.0293548841713767</v>
      </c>
      <c r="G25">
        <v>8.2595619057804548</v>
      </c>
    </row>
    <row r="26" spans="1:7" x14ac:dyDescent="0.2">
      <c r="A26" s="15">
        <v>2041</v>
      </c>
      <c r="B26">
        <v>-1.0403823579589799</v>
      </c>
      <c r="C26">
        <v>6.1223147669719369</v>
      </c>
      <c r="D26">
        <v>10.638831716154691</v>
      </c>
      <c r="E26">
        <v>-3.002569253999654</v>
      </c>
      <c r="F26">
        <v>4.0181047833958372</v>
      </c>
      <c r="G26">
        <v>8.4450675226433134</v>
      </c>
    </row>
    <row r="27" spans="1:7" x14ac:dyDescent="0.2">
      <c r="A27" s="15">
        <v>2042</v>
      </c>
      <c r="B27">
        <v>-1.082549698131763</v>
      </c>
      <c r="C27">
        <v>6.4180308334245586</v>
      </c>
      <c r="D27">
        <v>11.147603857191219</v>
      </c>
      <c r="E27">
        <v>-3.190916706771485</v>
      </c>
      <c r="F27">
        <v>4.1497933824097277</v>
      </c>
      <c r="G27">
        <v>8.7785583516032837</v>
      </c>
    </row>
    <row r="28" spans="1:7" x14ac:dyDescent="0.2">
      <c r="A28" s="15">
        <v>2043</v>
      </c>
      <c r="B28">
        <v>-1.1443951303852009</v>
      </c>
      <c r="C28">
        <v>6.6922181863120711</v>
      </c>
      <c r="D28">
        <v>11.6336803550612</v>
      </c>
      <c r="E28">
        <v>-3.3848864715663169</v>
      </c>
      <c r="F28">
        <v>4.2741156282110504</v>
      </c>
      <c r="G28">
        <v>9.1035831031190089</v>
      </c>
    </row>
    <row r="29" spans="1:7" x14ac:dyDescent="0.2">
      <c r="A29" s="15">
        <v>2044</v>
      </c>
      <c r="B29">
        <v>-1.161262066454305</v>
      </c>
      <c r="C29">
        <v>7.0146783354086084</v>
      </c>
      <c r="D29">
        <v>12.17010690602234</v>
      </c>
      <c r="E29">
        <v>-3.5738857866016831</v>
      </c>
      <c r="F29">
        <v>4.4024823811306346</v>
      </c>
      <c r="G29">
        <v>9.4320684985014687</v>
      </c>
    </row>
    <row r="30" spans="1:7" x14ac:dyDescent="0.2">
      <c r="A30" s="15">
        <v>2045</v>
      </c>
      <c r="B30">
        <v>-1.1725066905003969</v>
      </c>
      <c r="C30">
        <v>7.3431289830014901</v>
      </c>
      <c r="D30">
        <v>12.7127561194843</v>
      </c>
      <c r="E30">
        <v>-3.7290697467158518</v>
      </c>
      <c r="F30">
        <v>4.566275410108811</v>
      </c>
      <c r="G30">
        <v>9.7969959538705798</v>
      </c>
    </row>
    <row r="31" spans="1:7" x14ac:dyDescent="0.2">
      <c r="A31" s="15">
        <v>2046</v>
      </c>
      <c r="B31">
        <v>-1.301819867030285</v>
      </c>
      <c r="C31">
        <v>7.5428530486189027</v>
      </c>
      <c r="D31">
        <v>13.119958213999251</v>
      </c>
      <c r="E31">
        <v>-3.8185989544740391</v>
      </c>
      <c r="F31">
        <v>4.800536997885696</v>
      </c>
      <c r="G31">
        <v>10.235427366298209</v>
      </c>
    </row>
    <row r="32" spans="1:7" x14ac:dyDescent="0.2">
      <c r="A32" s="15">
        <v>2047</v>
      </c>
      <c r="B32">
        <v>-1.352420675237642</v>
      </c>
      <c r="C32">
        <v>7.8277230567247447</v>
      </c>
      <c r="D32">
        <v>13.6163630115018</v>
      </c>
      <c r="E32">
        <v>-3.9320026176343998</v>
      </c>
      <c r="F32">
        <v>5.0080852187685432</v>
      </c>
      <c r="G32">
        <v>10.645355305165751</v>
      </c>
    </row>
    <row r="33" spans="1:7" x14ac:dyDescent="0.2">
      <c r="A33" s="15">
        <v>2048</v>
      </c>
      <c r="B33">
        <v>-1.36647645529524</v>
      </c>
      <c r="C33">
        <v>8.1523161235924171</v>
      </c>
      <c r="D33">
        <v>14.1544948096995</v>
      </c>
      <c r="E33">
        <v>-4.2423705378627492</v>
      </c>
      <c r="F33">
        <v>4.9988790894299084</v>
      </c>
      <c r="G33">
        <v>10.82605003429917</v>
      </c>
    </row>
    <row r="34" spans="1:7" x14ac:dyDescent="0.2">
      <c r="A34" s="15">
        <v>2049</v>
      </c>
      <c r="B34">
        <v>-1.358042987260677</v>
      </c>
      <c r="C34">
        <v>8.5015494226859936</v>
      </c>
      <c r="D34">
        <v>14.718623166675579</v>
      </c>
      <c r="E34">
        <v>-4.361742814873681</v>
      </c>
      <c r="F34">
        <v>5.1976197849703087</v>
      </c>
      <c r="G34">
        <v>11.22538034115821</v>
      </c>
    </row>
    <row r="35" spans="1:7" x14ac:dyDescent="0.2">
      <c r="A35" s="15">
        <v>2050</v>
      </c>
      <c r="B35">
        <v>-1.42551073153715</v>
      </c>
      <c r="C35">
        <v>8.7670914588219073</v>
      </c>
      <c r="D35">
        <v>15.194148159125699</v>
      </c>
      <c r="E35">
        <v>-4.5228953888383883</v>
      </c>
      <c r="F35">
        <v>5.3494372279557112</v>
      </c>
      <c r="G35">
        <v>11.57454444860346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BA15-2464-2D45-9C94-38A10ABD9911}">
  <dimension ref="A1:M36"/>
  <sheetViews>
    <sheetView tabSelected="1" workbookViewId="0">
      <selection activeCell="J27" sqref="J27"/>
    </sheetView>
  </sheetViews>
  <sheetFormatPr baseColWidth="10" defaultColWidth="8.83203125" defaultRowHeight="15" x14ac:dyDescent="0.2"/>
  <sheetData>
    <row r="1" spans="1:13" x14ac:dyDescent="0.2">
      <c r="A1" s="15" t="s">
        <v>53</v>
      </c>
      <c r="B1" t="s">
        <v>60</v>
      </c>
    </row>
    <row r="2" spans="1:13" x14ac:dyDescent="0.2">
      <c r="A2" s="15" t="s">
        <v>59</v>
      </c>
      <c r="B2" s="16" t="s">
        <v>58</v>
      </c>
      <c r="C2" s="16"/>
      <c r="D2" s="16"/>
      <c r="E2" s="16"/>
      <c r="F2" s="16"/>
      <c r="G2" s="16"/>
      <c r="H2" s="16" t="s">
        <v>57</v>
      </c>
      <c r="I2" s="16"/>
      <c r="J2" s="16"/>
      <c r="K2" s="16"/>
      <c r="L2" s="16"/>
      <c r="M2" s="16"/>
    </row>
    <row r="3" spans="1:13" x14ac:dyDescent="0.2">
      <c r="A3" s="15" t="s">
        <v>51</v>
      </c>
      <c r="B3" s="16" t="s">
        <v>37</v>
      </c>
      <c r="C3" s="16"/>
      <c r="D3" s="16"/>
      <c r="E3" s="16" t="s">
        <v>50</v>
      </c>
      <c r="F3" s="16"/>
      <c r="G3" s="16"/>
      <c r="H3" s="16" t="s">
        <v>37</v>
      </c>
      <c r="I3" s="16"/>
      <c r="J3" s="16"/>
      <c r="K3" s="16" t="s">
        <v>50</v>
      </c>
      <c r="L3" s="16"/>
      <c r="M3" s="16"/>
    </row>
    <row r="4" spans="1:13" x14ac:dyDescent="0.2">
      <c r="A4" s="15" t="s">
        <v>49</v>
      </c>
      <c r="B4" s="15" t="s">
        <v>26</v>
      </c>
      <c r="C4" s="15" t="s">
        <v>48</v>
      </c>
      <c r="D4" s="15" t="s">
        <v>33</v>
      </c>
      <c r="E4" s="15" t="s">
        <v>26</v>
      </c>
      <c r="F4" s="15" t="s">
        <v>48</v>
      </c>
      <c r="G4" s="15" t="s">
        <v>33</v>
      </c>
      <c r="H4" s="15" t="s">
        <v>26</v>
      </c>
      <c r="I4" s="15" t="s">
        <v>48</v>
      </c>
      <c r="J4" s="15" t="s">
        <v>33</v>
      </c>
      <c r="K4" s="15" t="s">
        <v>26</v>
      </c>
      <c r="L4" s="15" t="s">
        <v>48</v>
      </c>
      <c r="M4" s="15" t="s">
        <v>33</v>
      </c>
    </row>
    <row r="5" spans="1:13" x14ac:dyDescent="0.2">
      <c r="A5" s="15" t="s">
        <v>47</v>
      </c>
    </row>
    <row r="6" spans="1:13" x14ac:dyDescent="0.2">
      <c r="A6" s="15">
        <v>2020</v>
      </c>
      <c r="B6">
        <v>0</v>
      </c>
      <c r="C6">
        <v>500000</v>
      </c>
      <c r="D6">
        <v>1000000</v>
      </c>
      <c r="E6">
        <v>0</v>
      </c>
      <c r="F6">
        <v>500000</v>
      </c>
      <c r="G6">
        <v>1000000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5">
        <v>2021</v>
      </c>
      <c r="B7">
        <v>0</v>
      </c>
      <c r="C7">
        <v>500000</v>
      </c>
      <c r="D7">
        <v>1000000</v>
      </c>
      <c r="E7">
        <v>0</v>
      </c>
      <c r="F7">
        <v>500000</v>
      </c>
      <c r="G7">
        <v>1000000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5">
        <v>2022</v>
      </c>
      <c r="B8">
        <v>0</v>
      </c>
      <c r="C8">
        <v>500000</v>
      </c>
      <c r="D8">
        <v>1000000</v>
      </c>
      <c r="E8">
        <v>0</v>
      </c>
      <c r="F8">
        <v>500000</v>
      </c>
      <c r="G8">
        <v>1000000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5">
        <v>2023</v>
      </c>
      <c r="B9">
        <v>0</v>
      </c>
      <c r="C9">
        <v>500000</v>
      </c>
      <c r="D9">
        <v>1000000</v>
      </c>
      <c r="E9">
        <v>0</v>
      </c>
      <c r="F9">
        <v>500000</v>
      </c>
      <c r="G9">
        <v>1000000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5">
        <v>2024</v>
      </c>
      <c r="B10">
        <v>0</v>
      </c>
      <c r="C10">
        <v>500000</v>
      </c>
      <c r="D10">
        <v>1000000</v>
      </c>
      <c r="E10">
        <v>0</v>
      </c>
      <c r="F10">
        <v>500000</v>
      </c>
      <c r="G10">
        <v>1000000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s="15">
        <v>2025</v>
      </c>
      <c r="B11">
        <v>0</v>
      </c>
      <c r="C11">
        <v>500000</v>
      </c>
      <c r="D11">
        <v>1000000</v>
      </c>
      <c r="E11">
        <v>0</v>
      </c>
      <c r="F11">
        <v>500000</v>
      </c>
      <c r="G11">
        <v>1000000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s="15">
        <v>2026</v>
      </c>
      <c r="B12">
        <v>0</v>
      </c>
      <c r="C12">
        <v>500000</v>
      </c>
      <c r="D12">
        <v>1000000</v>
      </c>
      <c r="E12">
        <v>0</v>
      </c>
      <c r="F12">
        <v>500000</v>
      </c>
      <c r="G12">
        <v>1000000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s="15">
        <v>2027</v>
      </c>
      <c r="B13">
        <v>0</v>
      </c>
      <c r="C13">
        <v>500000</v>
      </c>
      <c r="D13">
        <v>1000000</v>
      </c>
      <c r="E13">
        <v>0</v>
      </c>
      <c r="F13">
        <v>500000</v>
      </c>
      <c r="G13">
        <v>1000000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15">
        <v>2028</v>
      </c>
      <c r="B14">
        <v>0</v>
      </c>
      <c r="C14">
        <v>500000</v>
      </c>
      <c r="D14">
        <v>1000000</v>
      </c>
      <c r="E14">
        <v>0</v>
      </c>
      <c r="F14">
        <v>500000</v>
      </c>
      <c r="G14">
        <v>1000000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s="15">
        <v>2029</v>
      </c>
      <c r="B15">
        <v>0</v>
      </c>
      <c r="C15">
        <v>500000</v>
      </c>
      <c r="D15">
        <v>1000000</v>
      </c>
      <c r="E15">
        <v>0</v>
      </c>
      <c r="F15">
        <v>500000</v>
      </c>
      <c r="G15">
        <v>1000000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s="15">
        <v>2030</v>
      </c>
      <c r="B16">
        <v>0</v>
      </c>
      <c r="C16">
        <v>500000</v>
      </c>
      <c r="D16">
        <v>1000000</v>
      </c>
      <c r="E16">
        <v>0</v>
      </c>
      <c r="F16">
        <v>500000</v>
      </c>
      <c r="G16">
        <v>1000000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s="15">
        <v>2031</v>
      </c>
      <c r="B17">
        <v>0</v>
      </c>
      <c r="C17">
        <v>500000</v>
      </c>
      <c r="D17">
        <v>1000000</v>
      </c>
      <c r="E17">
        <v>0</v>
      </c>
      <c r="F17">
        <v>500000</v>
      </c>
      <c r="G17">
        <v>1000000</v>
      </c>
      <c r="H17">
        <v>0</v>
      </c>
      <c r="I17">
        <v>0</v>
      </c>
      <c r="J17">
        <v>4200000</v>
      </c>
      <c r="K17">
        <v>0</v>
      </c>
      <c r="L17">
        <v>0</v>
      </c>
      <c r="M17">
        <v>4200000</v>
      </c>
    </row>
    <row r="18" spans="1:13" x14ac:dyDescent="0.2">
      <c r="A18" s="15">
        <v>2032</v>
      </c>
      <c r="B18">
        <v>0</v>
      </c>
      <c r="C18">
        <v>500000</v>
      </c>
      <c r="D18">
        <v>1000000</v>
      </c>
      <c r="E18">
        <v>0</v>
      </c>
      <c r="F18">
        <v>500000</v>
      </c>
      <c r="G18">
        <v>1000000</v>
      </c>
      <c r="H18">
        <v>0</v>
      </c>
      <c r="I18">
        <v>0</v>
      </c>
      <c r="J18">
        <v>4200000</v>
      </c>
      <c r="K18">
        <v>0</v>
      </c>
      <c r="L18">
        <v>0</v>
      </c>
      <c r="M18">
        <v>4200000</v>
      </c>
    </row>
    <row r="19" spans="1:13" x14ac:dyDescent="0.2">
      <c r="A19" s="15">
        <v>2033</v>
      </c>
      <c r="B19">
        <v>0</v>
      </c>
      <c r="C19">
        <v>500000</v>
      </c>
      <c r="D19">
        <v>1000000</v>
      </c>
      <c r="E19">
        <v>0</v>
      </c>
      <c r="F19">
        <v>500000</v>
      </c>
      <c r="G19">
        <v>1000000</v>
      </c>
      <c r="H19">
        <v>0</v>
      </c>
      <c r="I19">
        <v>0</v>
      </c>
      <c r="J19">
        <v>4200000</v>
      </c>
      <c r="K19">
        <v>0</v>
      </c>
      <c r="L19">
        <v>0</v>
      </c>
      <c r="M19">
        <v>4200000</v>
      </c>
    </row>
    <row r="20" spans="1:13" x14ac:dyDescent="0.2">
      <c r="A20" s="15">
        <v>2034</v>
      </c>
      <c r="B20">
        <v>0</v>
      </c>
      <c r="C20">
        <v>500000</v>
      </c>
      <c r="D20">
        <v>1000000</v>
      </c>
      <c r="E20">
        <v>0</v>
      </c>
      <c r="F20">
        <v>500000</v>
      </c>
      <c r="G20">
        <v>1000000</v>
      </c>
      <c r="H20">
        <v>0</v>
      </c>
      <c r="I20">
        <v>0</v>
      </c>
      <c r="J20">
        <v>4200000</v>
      </c>
      <c r="K20">
        <v>0</v>
      </c>
      <c r="L20">
        <v>0</v>
      </c>
      <c r="M20">
        <v>4200000</v>
      </c>
    </row>
    <row r="21" spans="1:13" x14ac:dyDescent="0.2">
      <c r="A21" s="15">
        <v>2035</v>
      </c>
      <c r="B21">
        <v>0</v>
      </c>
      <c r="C21">
        <v>500000</v>
      </c>
      <c r="D21">
        <v>1000000</v>
      </c>
      <c r="E21">
        <v>0</v>
      </c>
      <c r="F21">
        <v>500000</v>
      </c>
      <c r="G21">
        <v>1000000</v>
      </c>
      <c r="H21">
        <v>0</v>
      </c>
      <c r="I21">
        <v>0</v>
      </c>
      <c r="J21">
        <v>4200000</v>
      </c>
      <c r="K21">
        <v>0</v>
      </c>
      <c r="L21">
        <v>0</v>
      </c>
      <c r="M21">
        <v>4200000</v>
      </c>
    </row>
    <row r="22" spans="1:13" x14ac:dyDescent="0.2">
      <c r="A22" s="15">
        <v>2036</v>
      </c>
      <c r="B22">
        <v>0</v>
      </c>
      <c r="C22">
        <v>500000</v>
      </c>
      <c r="D22">
        <v>1000000</v>
      </c>
      <c r="E22">
        <v>0</v>
      </c>
      <c r="F22">
        <v>500000</v>
      </c>
      <c r="G22">
        <v>1000000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s="15">
        <v>2037</v>
      </c>
      <c r="B23">
        <v>0</v>
      </c>
      <c r="C23">
        <v>500000</v>
      </c>
      <c r="D23">
        <v>1000000</v>
      </c>
      <c r="E23">
        <v>0</v>
      </c>
      <c r="F23">
        <v>500000</v>
      </c>
      <c r="G23">
        <v>1000000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s="15">
        <v>2038</v>
      </c>
      <c r="B24">
        <v>0</v>
      </c>
      <c r="C24">
        <v>500000</v>
      </c>
      <c r="D24">
        <v>1000000</v>
      </c>
      <c r="E24">
        <v>0</v>
      </c>
      <c r="F24">
        <v>500000</v>
      </c>
      <c r="G24">
        <v>1000000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s="15">
        <v>2039</v>
      </c>
      <c r="B25">
        <v>0</v>
      </c>
      <c r="C25">
        <v>500000</v>
      </c>
      <c r="D25">
        <v>1000000</v>
      </c>
      <c r="E25">
        <v>0</v>
      </c>
      <c r="F25">
        <v>500000</v>
      </c>
      <c r="G25">
        <v>1000000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s="15">
        <v>2040</v>
      </c>
      <c r="B26">
        <v>0</v>
      </c>
      <c r="C26">
        <v>500000</v>
      </c>
      <c r="D26">
        <v>1000000</v>
      </c>
      <c r="E26">
        <v>0</v>
      </c>
      <c r="F26">
        <v>500000</v>
      </c>
      <c r="G26">
        <v>1000000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s="15">
        <v>2041</v>
      </c>
      <c r="B27">
        <v>0</v>
      </c>
      <c r="C27">
        <v>500000</v>
      </c>
      <c r="D27">
        <v>1000000</v>
      </c>
      <c r="E27">
        <v>0</v>
      </c>
      <c r="F27">
        <v>500000</v>
      </c>
      <c r="G27">
        <v>1000000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s="15">
        <v>2042</v>
      </c>
      <c r="B28">
        <v>0</v>
      </c>
      <c r="C28">
        <v>500000</v>
      </c>
      <c r="D28">
        <v>1000000</v>
      </c>
      <c r="E28">
        <v>0</v>
      </c>
      <c r="F28">
        <v>500000</v>
      </c>
      <c r="G28">
        <v>1000000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s="15">
        <v>2043</v>
      </c>
      <c r="B29">
        <v>0</v>
      </c>
      <c r="C29">
        <v>500000</v>
      </c>
      <c r="D29">
        <v>1000000</v>
      </c>
      <c r="E29">
        <v>0</v>
      </c>
      <c r="F29">
        <v>500000</v>
      </c>
      <c r="G29">
        <v>1000000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s="15">
        <v>2044</v>
      </c>
      <c r="B30">
        <v>0</v>
      </c>
      <c r="C30">
        <v>500000</v>
      </c>
      <c r="D30">
        <v>1000000</v>
      </c>
      <c r="E30">
        <v>0</v>
      </c>
      <c r="F30">
        <v>500000</v>
      </c>
      <c r="G30">
        <v>1000000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s="15">
        <v>2045</v>
      </c>
      <c r="B31">
        <v>0</v>
      </c>
      <c r="C31">
        <v>500000</v>
      </c>
      <c r="D31">
        <v>1000000</v>
      </c>
      <c r="E31">
        <v>0</v>
      </c>
      <c r="F31">
        <v>500000</v>
      </c>
      <c r="G31">
        <v>1000000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s="15">
        <v>2046</v>
      </c>
      <c r="B32">
        <v>0</v>
      </c>
      <c r="C32">
        <v>500000</v>
      </c>
      <c r="D32">
        <v>1000000</v>
      </c>
      <c r="E32">
        <v>0</v>
      </c>
      <c r="F32">
        <v>500000</v>
      </c>
      <c r="G32">
        <v>1000000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 s="15">
        <v>2047</v>
      </c>
      <c r="B33">
        <v>0</v>
      </c>
      <c r="C33">
        <v>500000</v>
      </c>
      <c r="D33">
        <v>1000000</v>
      </c>
      <c r="E33">
        <v>0</v>
      </c>
      <c r="F33">
        <v>500000</v>
      </c>
      <c r="G33">
        <v>1000000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 s="15">
        <v>2048</v>
      </c>
      <c r="B34">
        <v>0</v>
      </c>
      <c r="C34">
        <v>500000</v>
      </c>
      <c r="D34">
        <v>1000000</v>
      </c>
      <c r="E34">
        <v>0</v>
      </c>
      <c r="F34">
        <v>500000</v>
      </c>
      <c r="G34">
        <v>1000000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s="15">
        <v>2049</v>
      </c>
      <c r="B35">
        <v>0</v>
      </c>
      <c r="C35">
        <v>500000</v>
      </c>
      <c r="D35">
        <v>1000000</v>
      </c>
      <c r="E35">
        <v>0</v>
      </c>
      <c r="F35">
        <v>500000</v>
      </c>
      <c r="G35">
        <v>1000000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s="15">
        <v>2050</v>
      </c>
      <c r="B36">
        <v>0</v>
      </c>
      <c r="C36">
        <v>500000</v>
      </c>
      <c r="D36">
        <v>1000000</v>
      </c>
      <c r="E36">
        <v>0</v>
      </c>
      <c r="F36">
        <v>500000</v>
      </c>
      <c r="G36">
        <v>1000000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</sheetData>
  <mergeCells count="6">
    <mergeCell ref="B2:G2"/>
    <mergeCell ref="B3:D3"/>
    <mergeCell ref="E3:G3"/>
    <mergeCell ref="K3:M3"/>
    <mergeCell ref="H3:J3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MFModRaw</vt:lpstr>
      <vt:lpstr>All</vt:lpstr>
      <vt:lpstr>DRR</vt:lpstr>
      <vt:lpstr>AGR</vt:lpstr>
      <vt:lpstr>HYD</vt:lpstr>
      <vt:lpstr>INPUT_DRR</vt:lpstr>
      <vt:lpstr>INPUT_HYD</vt:lpstr>
      <vt:lpstr>INPUT_AGR</vt:lpstr>
      <vt:lpstr>INPUT_COSTS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Unnada Chewpreecha</dc:creator>
  <cp:lastModifiedBy>Robin Middelanis</cp:lastModifiedBy>
  <dcterms:created xsi:type="dcterms:W3CDTF">2025-12-03T20:33:58Z</dcterms:created>
  <dcterms:modified xsi:type="dcterms:W3CDTF">2025-12-12T16:49:34Z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2025-12-03T21:15:24Z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2718ed24-8966-463b-868a-442651275d8c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